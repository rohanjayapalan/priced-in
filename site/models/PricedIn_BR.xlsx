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<sst xmlns="http://schemas.openxmlformats.org/spreadsheetml/2006/main" count="844" uniqueCount="252">
  <si>
    <t xml:space="preserve">Priced In: Broadridge (BR)</t>
  </si>
  <si>
    <t xml:space="preserve">Reverse DCF, model v1.0. Inputs as of the Oct 13, 2026 close; model locked Oct 14, 2026 (commit 0735af0).</t>
  </si>
  <si>
    <t xml:space="preserve">Data and software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</si>
  <si>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</si>
  <si>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</si>
  <si>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</si>
  <si>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</si>
  <si>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</si>
  <si>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</si>
  <si>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</si>
  <si>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</si>
  <si>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</si>
  <si>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</si>
  <si>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</si>
  <si>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</si>
  <si>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</si>
  <si>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</si>
  <si>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</si>
  <si>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</si>
  <si>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</si>
  <si>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</si>
  <si>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</si>
  <si>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</si>
  <si>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</si>
  <si>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</si>
  <si>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</si>
  <si>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</si>
  <si>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</si>
  <si>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</si>
  <si>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</si>
  <si>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Broadridge (BR):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</si>
  <si>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</si>
  <si>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</si>
  <si>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</si>
  <si>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</si>
  <si>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</si>
  <si>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</si>
  <si>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</si>
  <si>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</si>
  <si>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</si>
  <si>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</si>
  <si>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</si>
  <si>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</si>
  <si>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</si>
  <si>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</si>
  <si>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</si>
  <si>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</si>
  <si>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</si>
  <si>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</si>
  <si>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</si>
  <si>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</si>
  <si>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</si>
  <si>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</si>
  <si>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</si>
  <si>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</si>
  <si>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</si>
  <si>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</si>
  <si>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</si>
  <si>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</si>
  <si>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</si>
  <si>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</si>
  <si>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</si>
  <si>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</si>
  <si>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</si>
  <si>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</si>
  <si>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</si>
  <si>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</si>
  <si>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</si>
  <si>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</si>
  <si>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</si>
  <si>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</si>
  <si>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</si>
  <si>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</si>
  <si>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</si>
  <si>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</si>
  <si>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</si>
  <si>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</si>
  <si>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</si>
  <si>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</si>
  <si>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</si>
  <si>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</si>
  <si>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FY2022 to FY2026 (June years)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</si>
  <si>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</si>
  <si>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</si>
  <si>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</si>
  <si>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</si>
  <si>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</si>
  <si>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</si>
  <si>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</si>
  <si>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</si>
  <si>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</si>
  <si>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</si>
  <si>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</si>
  <si>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</si>
  <si>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Broadridge (BR):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</si>
  <si>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</si>
  <si>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</si>
  <si>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</si>
  <si>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</si>
  <si>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</si>
  <si>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</si>
  <si>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</si>
  <si>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TTM (= FY2026)</t>
  </si>
  <si>
    <t xml:space="preserve">Revenue ($mm)</t>
  </si>
  <si>
    <t xml:space="preserve">Growth on the prior year</t>
  </si>
  <si>
    <t xml:space="preserve">Source note: BR fiscal years end June; fy2025=FY2026(Jun-26) etc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</si>
  <si>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</si>
  <si>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</si>
  <si>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</si>
  <si>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</si>
  <si>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FY2022 to FY2026 (June years). Starts after the Itiviti purchase so the window is organic.</t>
  </si>
  <si>
    <t xml:space="preserve">Free-cash-flow margin history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</si>
  <si>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</si>
  <si>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</si>
  <si>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</si>
  <si>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</si>
  <si>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</si>
  <si>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</si>
  <si>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</si>
  <si>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</si>
  <si>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</si>
  <si>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Broadridge (BR):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</si>
  <si>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</si>
  <si>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</si>
  <si>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</si>
  <si>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</si>
  <si>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</si>
  <si>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</si>
  <si>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FactSet (FDS)</t>
  </si>
  <si>
    <t xml:space="preserve">Raw betas: 60 monthly returns to Sep 2026 against the S&amp;P 500 (S&amp;P/TSX for TMX); Cboe uses Stock Analysis's 5-year beta. Debt and equity from Stock Analysis, Oct 13, 2026.</t>
  </si>
  <si>
    <t xml:space="preserve">Thomson Reuters (TRI)</t>
  </si>
  <si>
    <t xml:space="preserve">Broadridge (BR)</t>
  </si>
  <si>
    <t xml:space="preserve">SS&amp;C Technologies (SSNC)</t>
  </si>
  <si>
    <t xml:space="preserve">Verisk (VRSK)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</si>
  <si>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</si>
  <si>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</si>
  <si>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</si>
  <si>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</si>
  <si>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</si>
  <si>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</si>
  <si>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</si>
  <si>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</si>
  <si>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</si>
  <si>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</si>
  <si>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</si>
  <si>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</si>
  <si>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</si>
  <si>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</si>
  <si>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</si>
  <si>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</si>
  <si>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</si>
  <si>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</si>
  <si>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</si>
  <si>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</si>
  <si>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</si>
  <si>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</si>
  <si>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</si>
  <si>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</si>
  <si>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</si>
  <si>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</si>
  <si>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</si>
  <si>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</si>
  <si>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</si>
  <si>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</si>
  <si>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</si>
  <si>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</si>
  <si>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</si>
  <si>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</si>
  <si>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</si>
  <si>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</si>
  <si>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</si>
  <si>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</si>
  <si>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</si>
  <si>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</si>
  <si>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</si>
  <si>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</si>
  <si>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</si>
  <si>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</si>
  <si>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</si>
  <si>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</si>
  <si>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</si>
  <si>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</si>
  <si>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</si>
  <si>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</si>
  <si>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</si>
  <si>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</si>
  <si>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</si>
  <si>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</si>
  <si>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</si>
  <si>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</si>
  <si>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</si>
  <si>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</si>
  <si>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</si>
  <si>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</si>
  <si>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</si>
  <si>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</si>
  <si>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</si>
  <si>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</si>
  <si>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</si>
  <si>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</si>
  <si>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</si>
  <si>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</si>
  <si>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</si>
  <si>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</si>
  <si>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</si>
  <si>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</si>
  <si>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</si>
  <si>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</si>
  <si>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</si>
  <si>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</si>
  <si>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Broadridge (BR):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</si>
  <si>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</si>
  <si>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</si>
  <si>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</si>
  <si>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</si>
  <si>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</si>
  <si>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</si>
  <si>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</si>
  <si>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</si>
  <si>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</si>
  <si>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</si>
  <si>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</si>
  <si>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</si>
  <si>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</si>
  <si>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</si>
  <si>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</si>
  <si>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</si>
  <si>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</si>
  <si>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Broadridge (BR):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</si>
  <si>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</si>
  <si>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</si>
  <si>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</si>
  <si>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</si>
  <si>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</si>
  <si>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</si>
  <si>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</si>
  <si>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$168.47.</t>
  </si>
  <si>
    <t xml:space="preserve">Helper: revenue paths for each growth view (years 1 to 10)</t>
  </si>
  <si>
    <t xml:space="preserve">Broadridge (BR):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</si>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</sst>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168.467670504872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0.00815496228597112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0.0598867486285174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-0.0517317863425463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low</v>
      </c>
    </row>
    <row r="15" customFormat="false" ht="15" hidden="false" customHeight="false" outlineLevel="0" collapsed="false">
      <c r="B15" s="5" t="s">
        <v>11</v>
      </c>
      <c r="C15" s="12" t="n">
        <f aca="false">WACC!$C$35</f>
        <v>0.0811268672746673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0.171122994652406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0.0598867486285173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237.611052290306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0.410425226265801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7480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0.0598867486285173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168.467670504872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112.9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19020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7480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7480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1280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1280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1280</v>
      </c>
    </row>
    <row r="17" customFormat="false" ht="15" hidden="false" customHeight="false" outlineLevel="0" collapsed="false">
      <c r="B17" s="5" t="s">
        <v>50</v>
      </c>
      <c r="C17" s="14" t="n">
        <v>1300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1450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0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0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1280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0.171122994652406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1810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3520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403.8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3116.2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0.0697734972570347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0.05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0.0598867486285174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0.0598867486285173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5709</v>
      </c>
      <c r="D6" s="14" t="n">
        <v>6061</v>
      </c>
      <c r="E6" s="14" t="n">
        <v>6507</v>
      </c>
      <c r="F6" s="14" t="n">
        <v>6889</v>
      </c>
      <c r="G6" s="14" t="n">
        <v>7477</v>
      </c>
      <c r="H6" s="14" t="n">
        <v>7477</v>
      </c>
    </row>
    <row r="7" customFormat="false" ht="15" hidden="false" customHeight="false" outlineLevel="0" collapsed="false">
      <c r="B7" s="5" t="s">
        <v>104</v>
      </c>
      <c r="D7" s="23" t="n">
        <f aca="false">D6/C6-1</f>
        <v>0.0616570327552985</v>
      </c>
      <c r="E7" s="23" t="n">
        <f aca="false">E6/D6-1</f>
        <v>0.0735852169608975</v>
      </c>
      <c r="F7" s="23" t="n">
        <f aca="false">F6/E6-1</f>
        <v>0.0587060089134779</v>
      </c>
      <c r="G7" s="23" t="n">
        <f aca="false">G6/F6-1</f>
        <v>0.0853534620409349</v>
      </c>
    </row>
    <row r="8" customFormat="false" ht="15" hidden="false" customHeight="false" outlineLevel="0" collapsed="false">
      <c r="B8" s="19" t="s">
        <v>105</v>
      </c>
    </row>
    <row r="10" customFormat="false" ht="15" hidden="false" customHeight="false" outlineLevel="0" collapsed="false">
      <c r="B10" s="3" t="s">
        <v>106</v>
      </c>
    </row>
    <row r="11" customFormat="false" ht="15" hidden="false" customHeight="false" outlineLevel="0" collapsed="false">
      <c r="B11" s="5" t="s">
        <v>107</v>
      </c>
      <c r="C11" s="29" t="s">
        <v>97</v>
      </c>
      <c r="E11" s="5" t="s">
        <v>108</v>
      </c>
      <c r="G11" s="30" t="n">
        <v>4</v>
      </c>
    </row>
    <row r="12" customFormat="false" ht="15" hidden="false" customHeight="false" outlineLevel="0" collapsed="false">
      <c r="B12" s="5" t="s">
        <v>109</v>
      </c>
      <c r="C12" s="23" t="n">
        <f aca="false">(H6/INDEX(C6:H6,MATCH(C11,C5:H5,0)))^(1/G11)-1</f>
        <v>0.0697734972570347</v>
      </c>
      <c r="I12" s="19" t="s">
        <v>110</v>
      </c>
    </row>
    <row r="15" customFormat="false" ht="15" hidden="false" customHeight="false" outlineLevel="0" collapsed="false">
      <c r="B15" s="3" t="s">
        <v>111</v>
      </c>
    </row>
    <row r="16" customFormat="false" ht="15" hidden="false" customHeight="false" outlineLevel="0" collapsed="false">
      <c r="B16" s="28" t="s">
        <v>96</v>
      </c>
      <c r="C16" s="28" t="s">
        <v>112</v>
      </c>
      <c r="D16" s="28" t="s">
        <v>113</v>
      </c>
      <c r="E16" s="28" t="s">
        <v>114</v>
      </c>
      <c r="F16" s="28" t="s">
        <v>115</v>
      </c>
      <c r="G16" s="28" t="s">
        <v>116</v>
      </c>
    </row>
    <row r="17" customFormat="false" ht="15" hidden="false" customHeight="false" outlineLevel="0" collapsed="false">
      <c r="B17" s="5" t="s">
        <v>117</v>
      </c>
      <c r="C17" s="22" t="n">
        <v>0.0726</v>
      </c>
      <c r="D17" s="22" t="n">
        <v>0.1295</v>
      </c>
      <c r="E17" s="22" t="n">
        <v>0.1535</v>
      </c>
      <c r="F17" s="22" t="n">
        <v>0.1637</v>
      </c>
      <c r="G17" s="22" t="n">
        <v>0.171</v>
      </c>
      <c r="I17" s="19" t="s">
        <v>118</v>
      </c>
    </row>
    <row r="18" customFormat="false" ht="15" hidden="false" customHeight="false" outlineLevel="0" collapsed="false">
      <c r="B18" s="5" t="s">
        <v>119</v>
      </c>
      <c r="C18" s="23" t="n">
        <f aca="false">C17+(Inputs!$C$23-Inputs!$C$16/Inputs!$C$12)</f>
        <v>0.0726</v>
      </c>
      <c r="D18" s="23" t="n">
        <f aca="false">D17+(Inputs!$C$23-Inputs!$C$16/Inputs!$C$12)</f>
        <v>0.1295</v>
      </c>
      <c r="E18" s="23" t="n">
        <f aca="false">E17+(Inputs!$C$23-Inputs!$C$16/Inputs!$C$12)</f>
        <v>0.1535</v>
      </c>
      <c r="F18" s="23" t="n">
        <f aca="false">F17+(Inputs!$C$23-Inputs!$C$16/Inputs!$C$12)</f>
        <v>0.1637</v>
      </c>
      <c r="G18" s="23" t="n">
        <f aca="false">G17+(Inputs!$C$23-Inputs!$C$16/Inputs!$C$12)</f>
        <v>0.171</v>
      </c>
    </row>
    <row r="19" customFormat="false" ht="15" hidden="false" customHeight="false" outlineLevel="0" collapsed="false">
      <c r="B19" s="5" t="s">
        <v>120</v>
      </c>
      <c r="C19" s="23" t="n">
        <f aca="false">MIN(C18:G18)</f>
        <v>0.0726</v>
      </c>
      <c r="D19" s="23" t="n">
        <f aca="false">MAX(C18:G18)</f>
        <v>0.171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121</v>
      </c>
    </row>
    <row r="3" customFormat="false" ht="15" hidden="false" customHeight="false" outlineLevel="0" collapsed="false">
      <c r="B3" s="2" t="s">
        <v>122</v>
      </c>
    </row>
    <row r="5" customFormat="false" ht="15" hidden="false" customHeight="false" outlineLevel="0" collapsed="false">
      <c r="B5" s="28" t="s">
        <v>123</v>
      </c>
      <c r="C5" s="28" t="s">
        <v>124</v>
      </c>
      <c r="D5" s="28" t="s">
        <v>125</v>
      </c>
      <c r="E5" s="28" t="s">
        <v>126</v>
      </c>
      <c r="F5" s="28" t="s">
        <v>55</v>
      </c>
      <c r="G5" s="28" t="s">
        <v>127</v>
      </c>
    </row>
    <row r="6" customFormat="false" ht="15" hidden="false" customHeight="false" outlineLevel="0" collapsed="false">
      <c r="B6" s="5" t="s">
        <v>128</v>
      </c>
      <c r="C6" s="31" t="n">
        <v>0.769330232518927</v>
      </c>
      <c r="D6" s="14" t="n">
        <v>1540</v>
      </c>
      <c r="E6" s="14" t="n">
        <v>10290</v>
      </c>
      <c r="F6" s="22" t="n">
        <v>0.25</v>
      </c>
      <c r="G6" s="32" t="n">
        <f aca="false">C6/(1+(1-F6)*D6/E6)</f>
        <v>0.691691401714264</v>
      </c>
      <c r="H6" s="19" t="s">
        <v>129</v>
      </c>
    </row>
    <row r="7" customFormat="false" ht="15" hidden="false" customHeight="false" outlineLevel="0" collapsed="false">
      <c r="B7" s="5" t="s">
        <v>130</v>
      </c>
      <c r="C7" s="31" t="n">
        <v>0.766558343640791</v>
      </c>
      <c r="D7" s="14" t="n">
        <v>3210</v>
      </c>
      <c r="E7" s="14" t="n">
        <v>45600</v>
      </c>
      <c r="F7" s="22" t="n">
        <v>0.25</v>
      </c>
      <c r="G7" s="32" t="n">
        <f aca="false">C7/(1+(1-F7)*D7/E7)</f>
        <v>0.728116658230903</v>
      </c>
    </row>
    <row r="8" customFormat="false" ht="15" hidden="false" customHeight="false" outlineLevel="0" collapsed="false">
      <c r="B8" s="7" t="s">
        <v>131</v>
      </c>
      <c r="C8" s="31" t="n">
        <v>0.923134711556654</v>
      </c>
      <c r="D8" s="14" t="n">
        <v>3520</v>
      </c>
      <c r="E8" s="14" t="n">
        <v>19020</v>
      </c>
      <c r="F8" s="22" t="n">
        <v>0.25</v>
      </c>
      <c r="G8" s="32" t="n">
        <f aca="false">C8/(1+(1-F8)*D8/E8)</f>
        <v>0.810619677461106</v>
      </c>
    </row>
    <row r="9" customFormat="false" ht="15" hidden="false" customHeight="false" outlineLevel="0" collapsed="false">
      <c r="B9" s="5" t="s">
        <v>132</v>
      </c>
      <c r="C9" s="31" t="n">
        <v>1.08729648487927</v>
      </c>
      <c r="D9" s="14" t="n">
        <v>7780</v>
      </c>
      <c r="E9" s="14" t="n">
        <v>19010</v>
      </c>
      <c r="F9" s="22" t="n">
        <v>0.25</v>
      </c>
      <c r="G9" s="32" t="n">
        <f aca="false">C9/(1+(1-F9)*D9/E9)</f>
        <v>0.83193826434111</v>
      </c>
    </row>
    <row r="10" customFormat="false" ht="15" hidden="false" customHeight="false" outlineLevel="0" collapsed="false">
      <c r="B10" s="5" t="s">
        <v>133</v>
      </c>
      <c r="C10" s="31" t="n">
        <v>0.687897840873463</v>
      </c>
      <c r="D10" s="14" t="n">
        <v>4620</v>
      </c>
      <c r="E10" s="14" t="n">
        <v>22990</v>
      </c>
      <c r="F10" s="22" t="n">
        <v>0.25</v>
      </c>
      <c r="G10" s="32" t="n">
        <f aca="false">C10/(1+(1-F10)*D10/E10)</f>
        <v>0.597798955270493</v>
      </c>
    </row>
    <row r="12" customFormat="false" ht="15" hidden="false" customHeight="false" outlineLevel="0" collapsed="false">
      <c r="B12" s="5" t="s">
        <v>134</v>
      </c>
      <c r="C12" s="32" t="n">
        <f aca="false">MEDIAN(G6:G10)</f>
        <v>0.728116658230903</v>
      </c>
    </row>
    <row r="13" customFormat="false" ht="15" hidden="false" customHeight="false" outlineLevel="0" collapsed="false">
      <c r="B13" s="5" t="s">
        <v>125</v>
      </c>
      <c r="C13" s="16" t="n">
        <f aca="false">Inputs!$C$27</f>
        <v>3520</v>
      </c>
    </row>
    <row r="14" customFormat="false" ht="15" hidden="false" customHeight="false" outlineLevel="0" collapsed="false">
      <c r="B14" s="5" t="s">
        <v>37</v>
      </c>
      <c r="C14" s="16" t="n">
        <f aca="false">Inputs!$C$8</f>
        <v>19020</v>
      </c>
    </row>
    <row r="15" customFormat="false" ht="15" hidden="false" customHeight="false" outlineLevel="0" collapsed="false">
      <c r="B15" s="5" t="s">
        <v>55</v>
      </c>
      <c r="C15" s="9" t="n">
        <f aca="false">Inputs!$C$20</f>
        <v>0.25</v>
      </c>
    </row>
    <row r="16" customFormat="false" ht="15" hidden="false" customHeight="false" outlineLevel="0" collapsed="false">
      <c r="B16" s="5" t="s">
        <v>135</v>
      </c>
      <c r="C16" s="32" t="n">
        <f aca="false">WACC!$C$12*(1+(1-WACC!$C$15)*WACC!$C$13/WACC!$C$14)</f>
        <v>0.829180169152543</v>
      </c>
      <c r="H16" s="19" t="s">
        <v>136</v>
      </c>
    </row>
    <row r="17" customFormat="false" ht="15" hidden="false" customHeight="false" outlineLevel="0" collapsed="false">
      <c r="B17" s="5" t="s">
        <v>137</v>
      </c>
      <c r="C17" s="12" t="n">
        <f aca="false">Inputs!$C$35</f>
        <v>0.0521</v>
      </c>
    </row>
    <row r="18" customFormat="false" ht="15" hidden="false" customHeight="false" outlineLevel="0" collapsed="false">
      <c r="B18" s="5" t="s">
        <v>77</v>
      </c>
      <c r="C18" s="12" t="n">
        <f aca="false">Inputs!$C$38</f>
        <v>0.0423</v>
      </c>
    </row>
    <row r="19" customFormat="false" ht="15" hidden="false" customHeight="false" outlineLevel="0" collapsed="false">
      <c r="B19" s="5" t="s">
        <v>138</v>
      </c>
      <c r="C19" s="25" t="n">
        <f aca="false">WACC!$C$17+WACC!$C$16*WACC!$C$18</f>
        <v>0.0871743211551526</v>
      </c>
      <c r="H19" s="19" t="s">
        <v>139</v>
      </c>
    </row>
    <row r="21" customFormat="false" ht="15" hidden="false" customHeight="false" outlineLevel="0" collapsed="false">
      <c r="B21" s="3" t="s">
        <v>140</v>
      </c>
    </row>
    <row r="22" customFormat="false" ht="15" hidden="false" customHeight="false" outlineLevel="0" collapsed="false">
      <c r="B22" s="28" t="s">
        <v>141</v>
      </c>
      <c r="C22" s="28" t="s">
        <v>142</v>
      </c>
    </row>
    <row r="23" customFormat="false" ht="15" hidden="false" customHeight="false" outlineLevel="0" collapsed="false">
      <c r="B23" s="33" t="n">
        <v>1</v>
      </c>
      <c r="C23" s="24" t="n">
        <v>0.01</v>
      </c>
      <c r="H23" s="19" t="s">
        <v>143</v>
      </c>
    </row>
    <row r="24" customFormat="false" ht="15" hidden="false" customHeight="false" outlineLevel="0" collapsed="false">
      <c r="B24" s="33" t="n">
        <v>2</v>
      </c>
      <c r="C24" s="24" t="n">
        <v>0.0125</v>
      </c>
    </row>
    <row r="25" customFormat="false" ht="15" hidden="false" customHeight="false" outlineLevel="0" collapsed="false">
      <c r="B25" s="33" t="n">
        <v>3</v>
      </c>
      <c r="C25" s="24" t="n">
        <v>0.016</v>
      </c>
    </row>
    <row r="26" customFormat="false" ht="15" hidden="false" customHeight="false" outlineLevel="0" collapsed="false">
      <c r="B26" s="33" t="n">
        <v>4</v>
      </c>
      <c r="C26" s="24" t="n">
        <v>0.02</v>
      </c>
    </row>
    <row r="27" customFormat="false" ht="15" hidden="false" customHeight="false" outlineLevel="0" collapsed="false">
      <c r="B27" s="33" t="n">
        <v>99</v>
      </c>
      <c r="C27" s="24" t="n">
        <v>0.0275</v>
      </c>
    </row>
    <row r="29" customFormat="false" ht="15" hidden="false" customHeight="false" outlineLevel="0" collapsed="false">
      <c r="B29" s="5" t="s">
        <v>144</v>
      </c>
      <c r="C29" s="34" t="n">
        <f aca="false">Inputs!$C$27/Inputs!$C$24</f>
        <v>1.94475138121547</v>
      </c>
    </row>
    <row r="30" customFormat="false" ht="15" hidden="false" customHeight="false" outlineLevel="0" collapsed="false">
      <c r="B30" s="5" t="s">
        <v>145</v>
      </c>
      <c r="C30" s="25" t="n">
        <f aca="false">INDEX(C23:C27,COUNTIF(B23:B27,"&lt;="&amp;WACC!$C$29)+1)</f>
        <v>0.0125</v>
      </c>
      <c r="H30" s="19" t="s">
        <v>146</v>
      </c>
    </row>
    <row r="31" customFormat="false" ht="15" hidden="false" customHeight="false" outlineLevel="0" collapsed="false">
      <c r="B31" s="5" t="s">
        <v>147</v>
      </c>
      <c r="C31" s="25" t="n">
        <f aca="false">WACC!$C$17+WACC!$C$30</f>
        <v>0.0646</v>
      </c>
    </row>
    <row r="32" customFormat="false" ht="15" hidden="false" customHeight="false" outlineLevel="0" collapsed="false">
      <c r="B32" s="5" t="s">
        <v>148</v>
      </c>
      <c r="C32" s="25" t="n">
        <f aca="false">WACC!$C$31*(1-WACC!$C$15)</f>
        <v>0.04845</v>
      </c>
    </row>
    <row r="33" customFormat="false" ht="15" hidden="false" customHeight="false" outlineLevel="0" collapsed="false">
      <c r="B33" s="5" t="s">
        <v>149</v>
      </c>
      <c r="C33" s="23" t="n">
        <f aca="false">WACC!$C$13/(WACC!$C$13+WACC!$C$14)</f>
        <v>0.156166814551908</v>
      </c>
      <c r="H33" s="19" t="s">
        <v>150</v>
      </c>
    </row>
    <row r="34" customFormat="false" ht="15" hidden="false" customHeight="false" outlineLevel="0" collapsed="false">
      <c r="B34" s="5" t="s">
        <v>151</v>
      </c>
      <c r="C34" s="23" t="n">
        <f aca="false">1-WACC!$C$33</f>
        <v>0.843833185448092</v>
      </c>
    </row>
    <row r="35" customFormat="false" ht="15" hidden="false" customHeight="false" outlineLevel="0" collapsed="false">
      <c r="B35" s="5" t="s">
        <v>11</v>
      </c>
      <c r="C35" s="35" t="n">
        <f aca="false">WACC!$C$34*WACC!$C$19+WACC!$C$33*WACC!$C$32</f>
        <v>0.0811268672746673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152</v>
      </c>
    </row>
    <row r="2" customFormat="false" ht="15" hidden="false" customHeight="false" outlineLevel="0" collapsed="false">
      <c r="B2" s="5" t="s">
        <v>153</v>
      </c>
      <c r="C2" s="16" t="n">
        <f aca="false">Inputs!$C$12</f>
        <v>7480</v>
      </c>
      <c r="D2" s="5" t="s">
        <v>154</v>
      </c>
      <c r="E2" s="9" t="n">
        <f aca="false">Inputs!$C$23</f>
        <v>0.171122994652406</v>
      </c>
      <c r="F2" s="5" t="s">
        <v>155</v>
      </c>
      <c r="G2" s="16" t="n">
        <f aca="false">Inputs!$C$27</f>
        <v>3520</v>
      </c>
      <c r="H2" s="5" t="s">
        <v>156</v>
      </c>
      <c r="I2" s="16" t="n">
        <f aca="false">Inputs!$C$28</f>
        <v>403.8</v>
      </c>
      <c r="J2" s="5" t="s">
        <v>157</v>
      </c>
      <c r="K2" s="36" t="n">
        <f aca="false">Inputs!$C$7</f>
        <v>112.9</v>
      </c>
      <c r="L2" s="5" t="s">
        <v>158</v>
      </c>
      <c r="M2" s="6" t="n">
        <f aca="false">Inputs!$C$6</f>
        <v>168.467670504872</v>
      </c>
      <c r="N2" s="5" t="s">
        <v>159</v>
      </c>
      <c r="O2" s="37" t="n">
        <f aca="false">Inputs!$C$46</f>
        <v>5</v>
      </c>
      <c r="P2" s="5" t="s">
        <v>160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161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162</v>
      </c>
    </row>
    <row r="6" customFormat="false" ht="15" hidden="false" customHeight="false" outlineLevel="0" collapsed="false">
      <c r="A6" s="38" t="s">
        <v>163</v>
      </c>
      <c r="E6" s="5" t="s">
        <v>11</v>
      </c>
      <c r="F6" s="12" t="n">
        <f aca="false">WACC!$C$35</f>
        <v>0.0811268672746673</v>
      </c>
      <c r="G6" s="5" t="s">
        <v>12</v>
      </c>
      <c r="I6" s="12" t="n">
        <f aca="false">Inputs!$C$37</f>
        <v>0.0283</v>
      </c>
      <c r="W6" s="38" t="s">
        <v>164</v>
      </c>
    </row>
    <row r="7" customFormat="false" ht="23.85" hidden="false" customHeight="false" outlineLevel="0" collapsed="false">
      <c r="A7" s="38" t="s">
        <v>165</v>
      </c>
      <c r="B7" s="28" t="s">
        <v>166</v>
      </c>
      <c r="C7" s="28" t="s">
        <v>167</v>
      </c>
      <c r="D7" s="28" t="s">
        <v>168</v>
      </c>
      <c r="E7" s="28" t="s">
        <v>169</v>
      </c>
      <c r="F7" s="28" t="s">
        <v>170</v>
      </c>
      <c r="G7" s="28" t="s">
        <v>171</v>
      </c>
      <c r="H7" s="28" t="s">
        <v>172</v>
      </c>
      <c r="I7" s="28" t="s">
        <v>173</v>
      </c>
      <c r="J7" s="28" t="s">
        <v>174</v>
      </c>
      <c r="K7" s="28" t="s">
        <v>175</v>
      </c>
      <c r="L7" s="28" t="s">
        <v>176</v>
      </c>
      <c r="M7" s="28" t="s">
        <v>177</v>
      </c>
      <c r="N7" s="28" t="s">
        <v>178</v>
      </c>
      <c r="O7" s="28" t="s">
        <v>179</v>
      </c>
      <c r="P7" s="28" t="s">
        <v>180</v>
      </c>
      <c r="Q7" s="28" t="s">
        <v>181</v>
      </c>
      <c r="R7" s="28" t="s">
        <v>182</v>
      </c>
      <c r="S7" s="28" t="s">
        <v>183</v>
      </c>
      <c r="T7" s="28" t="s">
        <v>184</v>
      </c>
      <c r="W7" s="40" t="n">
        <f aca="false">$D$47</f>
        <v>0.00815496228597112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9350</v>
      </c>
      <c r="F8" s="15" t="n">
        <f aca="false">E8*(1+IF(F$3&lt;=$O$2,$D8,$D8-($D8-$I$6)*MIN(F$3-$O$2,$Q$2)/$Q$2))</f>
        <v>11687.5</v>
      </c>
      <c r="G8" s="15" t="n">
        <f aca="false">F8*(1+IF(G$3&lt;=$O$2,$D8,$D8-($D8-$I$6)*MIN(G$3-$O$2,$Q$2)/$Q$2))</f>
        <v>14609.375</v>
      </c>
      <c r="H8" s="15" t="n">
        <f aca="false">G8*(1+IF(H$3&lt;=$O$2,$D8,$D8-($D8-$I$6)*MIN(H$3-$O$2,$Q$2)/$Q$2))</f>
        <v>18261.71875</v>
      </c>
      <c r="I8" s="15" t="n">
        <f aca="false">H8*(1+IF(I$3&lt;=$O$2,$D8,$D8-($D8-$I$6)*MIN(I$3-$O$2,$Q$2)/$Q$2))</f>
        <v>22827.1484375</v>
      </c>
      <c r="J8" s="15" t="n">
        <f aca="false">I8*(1+IF(J$3&lt;=$O$2,$D8,$D8-($D8-$I$6)*MIN(J$3-$O$2,$Q$2)/$Q$2))</f>
        <v>27521.7797851563</v>
      </c>
      <c r="K8" s="15" t="n">
        <f aca="false">J8*(1+IF(K$3&lt;=$O$2,$D8,$D8-($D8-$I$6)*MIN(K$3-$O$2,$Q$2)/$Q$2))</f>
        <v>31961.5933000977</v>
      </c>
      <c r="L8" s="15" t="n">
        <f aca="false">K8*(1+IF(L$3&lt;=$O$2,$D8,$D8-($D8-$I$6)*MIN(L$3-$O$2,$Q$2)/$Q$2))</f>
        <v>35700.4604843431</v>
      </c>
      <c r="M8" s="15" t="n">
        <f aca="false">L8*(1+IF(M$3&lt;=$O$2,$D8,$D8-($D8-$I$6)*MIN(M$3-$O$2,$Q$2)/$Q$2))</f>
        <v>38293.7419339258</v>
      </c>
      <c r="N8" s="15" t="n">
        <f aca="false">M8*(1+IF(N$3&lt;=$O$2,$D8,$D8-($D8-$I$6)*MIN(N$3-$O$2,$Q$2)/$Q$2))</f>
        <v>39377.4548306559</v>
      </c>
      <c r="O8" s="15" t="n">
        <f aca="false">SUMPRODUCT(E8:N8,1/(1+$F$6)^$E$3:$N$3)*$E$2</f>
        <v>25828.4304636483</v>
      </c>
      <c r="P8" s="15" t="n">
        <f aca="false">N8*$E$2*(1+$I$6)/($F$6-$I$6)/(1+$F$6)^$N$3</f>
        <v>60124.9032380198</v>
      </c>
      <c r="Q8" s="15" t="n">
        <f aca="false">O8+P8</f>
        <v>85953.333701668</v>
      </c>
      <c r="R8" s="15" t="n">
        <f aca="false">Q8-$G$2+$I$2</f>
        <v>82837.133701668</v>
      </c>
      <c r="S8" s="42" t="n">
        <f aca="false">R8/$K$2</f>
        <v>733.721290537361</v>
      </c>
      <c r="T8" s="43" t="n">
        <f aca="false">S8-$M$2</f>
        <v>565.253620032489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6545</v>
      </c>
      <c r="F9" s="15" t="n">
        <f aca="false">E9*(1+IF(F$3&lt;=$O$2,$D9,$D9-($D9-$I$6)*MIN(F$3-$O$2,$Q$2)/$Q$2))</f>
        <v>5726.875</v>
      </c>
      <c r="G9" s="15" t="n">
        <f aca="false">F9*(1+IF(G$3&lt;=$O$2,$D9,$D9-($D9-$I$6)*MIN(G$3-$O$2,$Q$2)/$Q$2))</f>
        <v>5011.015625</v>
      </c>
      <c r="H9" s="15" t="n">
        <f aca="false">G9*(1+IF(H$3&lt;=$O$2,$D9,$D9-($D9-$I$6)*MIN(H$3-$O$2,$Q$2)/$Q$2))</f>
        <v>4384.638671875</v>
      </c>
      <c r="I9" s="15" t="n">
        <f aca="false">H9*(1+IF(I$3&lt;=$O$2,$D9,$D9-($D9-$I$6)*MIN(I$3-$O$2,$Q$2)/$Q$2))</f>
        <v>3836.55883789063</v>
      </c>
      <c r="J9" s="15" t="n">
        <f aca="false">I9*(1+IF(J$3&lt;=$O$2,$D9,$D9-($D9-$I$6)*MIN(J$3-$O$2,$Q$2)/$Q$2))</f>
        <v>3474.61787712402</v>
      </c>
      <c r="K9" s="15" t="n">
        <f aca="false">J9*(1+IF(K$3&lt;=$O$2,$D9,$D9-($D9-$I$6)*MIN(K$3-$O$2,$Q$2)/$Q$2))</f>
        <v>3253.35421070877</v>
      </c>
      <c r="L9" s="15" t="n">
        <f aca="false">K9*(1+IF(L$3&lt;=$O$2,$D9,$D9-($D9-$I$6)*MIN(L$3-$O$2,$Q$2)/$Q$2))</f>
        <v>3145.92845467116</v>
      </c>
      <c r="M9" s="15" t="n">
        <f aca="false">L9*(1+IF(M$3&lt;=$O$2,$D9,$D9-($D9-$I$6)*MIN(M$3-$O$2,$Q$2)/$Q$2))</f>
        <v>3138.50406351814</v>
      </c>
      <c r="N9" s="15" t="n">
        <f aca="false">M9*(1+IF(N$3&lt;=$O$2,$D9,$D9-($D9-$I$6)*MIN(N$3-$O$2,$Q$2)/$Q$2))</f>
        <v>3227.3237285157</v>
      </c>
      <c r="O9" s="15" t="n">
        <f aca="false">SUMPRODUCT(E9:N9,1/(1+$F$6)^$E$3:$N$3)*$E$2</f>
        <v>5049.26259959599</v>
      </c>
      <c r="P9" s="15" t="n">
        <f aca="false">N9*$E$2*(1+$I$6)/($F$6-$I$6)/(1+$F$6)^$N$3</f>
        <v>4927.75695456343</v>
      </c>
      <c r="Q9" s="15" t="n">
        <f aca="false">O9+P9</f>
        <v>9977.01955415942</v>
      </c>
      <c r="R9" s="15" t="n">
        <f aca="false">Q9-$G$2+$I$2</f>
        <v>6860.81955415942</v>
      </c>
      <c r="S9" s="42" t="n">
        <f aca="false">R9/$K$2</f>
        <v>60.7689951652739</v>
      </c>
      <c r="T9" s="43" t="n">
        <f aca="false">S9-$M$2</f>
        <v>-107.698675339598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7947.5</v>
      </c>
      <c r="F10" s="15" t="n">
        <f aca="false">E10*(1+IF(F$3&lt;=$O$2,$D10,$D10-($D10-$I$6)*MIN(F$3-$O$2,$Q$2)/$Q$2))</f>
        <v>8444.21875</v>
      </c>
      <c r="G10" s="15" t="n">
        <f aca="false">F10*(1+IF(G$3&lt;=$O$2,$D10,$D10-($D10-$I$6)*MIN(G$3-$O$2,$Q$2)/$Q$2))</f>
        <v>8971.982421875</v>
      </c>
      <c r="H10" s="15" t="n">
        <f aca="false">G10*(1+IF(H$3&lt;=$O$2,$D10,$D10-($D10-$I$6)*MIN(H$3-$O$2,$Q$2)/$Q$2))</f>
        <v>9532.73132324219</v>
      </c>
      <c r="I10" s="15" t="n">
        <f aca="false">H10*(1+IF(I$3&lt;=$O$2,$D10,$D10-($D10-$I$6)*MIN(I$3-$O$2,$Q$2)/$Q$2))</f>
        <v>10128.5270309448</v>
      </c>
      <c r="J10" s="15" t="n">
        <f aca="false">I10*(1+IF(J$3&lt;=$O$2,$D10,$D10-($D10-$I$6)*MIN(J$3-$O$2,$Q$2)/$Q$2))</f>
        <v>10692.2808454872</v>
      </c>
      <c r="K10" s="15" t="n">
        <f aca="false">J10*(1+IF(K$3&lt;=$O$2,$D10,$D10-($D10-$I$6)*MIN(K$3-$O$2,$Q$2)/$Q$2))</f>
        <v>11214.2779963639</v>
      </c>
      <c r="L10" s="15" t="n">
        <f aca="false">K10*(1+IF(L$3&lt;=$O$2,$D10,$D10-($D10-$I$6)*MIN(L$3-$O$2,$Q$2)/$Q$2))</f>
        <v>11685.0533866513</v>
      </c>
      <c r="M10" s="15" t="n">
        <f aca="false">L10*(1+IF(M$3&lt;=$O$2,$D10,$D10-($D10-$I$6)*MIN(M$3-$O$2,$Q$2)/$Q$2))</f>
        <v>12095.6661626582</v>
      </c>
      <c r="N10" s="15" t="n">
        <f aca="false">M10*(1+IF(N$3&lt;=$O$2,$D10,$D10-($D10-$I$6)*MIN(N$3-$O$2,$Q$2)/$Q$2))</f>
        <v>12437.9735150614</v>
      </c>
      <c r="O10" s="15" t="n">
        <f aca="false">SUMPRODUCT(E10:N10,1/(1+$F$6)^$E$3:$N$3)*$E$2</f>
        <v>11406.8608367729</v>
      </c>
      <c r="P10" s="15" t="n">
        <f aca="false">N10*$E$2*(1+$I$6)/($F$6-$I$6)/(1+$F$6)^$N$3</f>
        <v>18991.3735482955</v>
      </c>
      <c r="Q10" s="15" t="n">
        <f aca="false">O10+P10</f>
        <v>30398.2343850684</v>
      </c>
      <c r="R10" s="15" t="n">
        <f aca="false">Q10-$G$2+$I$2</f>
        <v>27282.0343850684</v>
      </c>
      <c r="S10" s="42" t="n">
        <f aca="false">R10/$K$2</f>
        <v>241.647780204326</v>
      </c>
      <c r="T10" s="43" t="n">
        <f aca="false">S10-$M$2</f>
        <v>73.1801096994546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41" t="n">
        <f aca="false">(B11+C11)/2</f>
        <v>-0.03125</v>
      </c>
      <c r="E11" s="15" t="n">
        <f aca="false">$C$2*(1+IF(E$3&lt;=$O$2,$D11,$D11-($D11-$I$6)*MIN(E$3-$O$2,$Q$2)/$Q$2))</f>
        <v>7246.25</v>
      </c>
      <c r="F11" s="15" t="n">
        <f aca="false">E11*(1+IF(F$3&lt;=$O$2,$D11,$D11-($D11-$I$6)*MIN(F$3-$O$2,$Q$2)/$Q$2))</f>
        <v>7019.8046875</v>
      </c>
      <c r="G11" s="15" t="n">
        <f aca="false">F11*(1+IF(G$3&lt;=$O$2,$D11,$D11-($D11-$I$6)*MIN(G$3-$O$2,$Q$2)/$Q$2))</f>
        <v>6800.43579101563</v>
      </c>
      <c r="H11" s="15" t="n">
        <f aca="false">G11*(1+IF(H$3&lt;=$O$2,$D11,$D11-($D11-$I$6)*MIN(H$3-$O$2,$Q$2)/$Q$2))</f>
        <v>6587.92217254639</v>
      </c>
      <c r="I11" s="15" t="n">
        <f aca="false">H11*(1+IF(I$3&lt;=$O$2,$D11,$D11-($D11-$I$6)*MIN(I$3-$O$2,$Q$2)/$Q$2))</f>
        <v>6382.04960465431</v>
      </c>
      <c r="J11" s="15" t="n">
        <f aca="false">I11*(1+IF(J$3&lt;=$O$2,$D11,$D11-($D11-$I$6)*MIN(J$3-$O$2,$Q$2)/$Q$2))</f>
        <v>6258.6207653003</v>
      </c>
      <c r="K11" s="15" t="n">
        <f aca="false">J11*(1+IF(K$3&lt;=$O$2,$D11,$D11-($D11-$I$6)*MIN(K$3-$O$2,$Q$2)/$Q$2))</f>
        <v>6212.11921301412</v>
      </c>
      <c r="L11" s="15" t="n">
        <f aca="false">K11*(1+IF(L$3&lt;=$O$2,$D11,$D11-($D11-$I$6)*MIN(L$3-$O$2,$Q$2)/$Q$2))</f>
        <v>6239.94950708842</v>
      </c>
      <c r="M11" s="15" t="n">
        <f aca="false">L11*(1+IF(M$3&lt;=$O$2,$D11,$D11-($D11-$I$6)*MIN(M$3-$O$2,$Q$2)/$Q$2))</f>
        <v>6342.2222795096</v>
      </c>
      <c r="N11" s="15" t="n">
        <f aca="false">M11*(1+IF(N$3&lt;=$O$2,$D11,$D11-($D11-$I$6)*MIN(N$3-$O$2,$Q$2)/$Q$2))</f>
        <v>6521.70717001972</v>
      </c>
      <c r="O11" s="15" t="n">
        <f aca="false">SUMPRODUCT(E11:N11,1/(1+$F$6)^$E$3:$N$3)*$E$2</f>
        <v>7568.1620091986</v>
      </c>
      <c r="P11" s="15" t="n">
        <f aca="false">N11*$E$2*(1+$I$6)/($F$6-$I$6)/(1+$F$6)^$N$3</f>
        <v>9957.90647796939</v>
      </c>
      <c r="Q11" s="15" t="n">
        <f aca="false">O11+P11</f>
        <v>17526.068487168</v>
      </c>
      <c r="R11" s="15" t="n">
        <f aca="false">Q11-$G$2+$I$2</f>
        <v>14409.868487168</v>
      </c>
      <c r="S11" s="42" t="n">
        <f aca="false">R11/$K$2</f>
        <v>127.633910426643</v>
      </c>
      <c r="T11" s="43" t="n">
        <f aca="false">S11-$M$2</f>
        <v>-40.8337600782286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41" t="n">
        <f aca="false">(B12+C12)/2</f>
        <v>0.015625</v>
      </c>
      <c r="E12" s="15" t="n">
        <f aca="false">$C$2*(1+IF(E$3&lt;=$O$2,$D12,$D12-($D12-$I$6)*MIN(E$3-$O$2,$Q$2)/$Q$2))</f>
        <v>7596.875</v>
      </c>
      <c r="F12" s="15" t="n">
        <f aca="false">E12*(1+IF(F$3&lt;=$O$2,$D12,$D12-($D12-$I$6)*MIN(F$3-$O$2,$Q$2)/$Q$2))</f>
        <v>7715.576171875</v>
      </c>
      <c r="G12" s="15" t="n">
        <f aca="false">F12*(1+IF(G$3&lt;=$O$2,$D12,$D12-($D12-$I$6)*MIN(G$3-$O$2,$Q$2)/$Q$2))</f>
        <v>7836.13204956055</v>
      </c>
      <c r="H12" s="15" t="n">
        <f aca="false">G12*(1+IF(H$3&lt;=$O$2,$D12,$D12-($D12-$I$6)*MIN(H$3-$O$2,$Q$2)/$Q$2))</f>
        <v>7958.57161283493</v>
      </c>
      <c r="I12" s="15" t="n">
        <f aca="false">H12*(1+IF(I$3&lt;=$O$2,$D12,$D12-($D12-$I$6)*MIN(I$3-$O$2,$Q$2)/$Q$2))</f>
        <v>8082.92429428548</v>
      </c>
      <c r="J12" s="15" t="n">
        <f aca="false">I12*(1+IF(J$3&lt;=$O$2,$D12,$D12-($D12-$I$6)*MIN(J$3-$O$2,$Q$2)/$Q$2))</f>
        <v>8229.7101994697</v>
      </c>
      <c r="K12" s="15" t="n">
        <f aca="false">J12*(1+IF(K$3&lt;=$O$2,$D12,$D12-($D12-$I$6)*MIN(K$3-$O$2,$Q$2)/$Q$2))</f>
        <v>8400.02405204773</v>
      </c>
      <c r="L12" s="15" t="n">
        <f aca="false">K12*(1+IF(L$3&lt;=$O$2,$D12,$D12-($D12-$I$6)*MIN(L$3-$O$2,$Q$2)/$Q$2))</f>
        <v>8595.15661077679</v>
      </c>
      <c r="M12" s="15" t="n">
        <f aca="false">L12*(1+IF(M$3&lt;=$O$2,$D12,$D12-($D12-$I$6)*MIN(M$3-$O$2,$Q$2)/$Q$2))</f>
        <v>8816.61082085346</v>
      </c>
      <c r="N12" s="15" t="n">
        <f aca="false">M12*(1+IF(N$3&lt;=$O$2,$D12,$D12-($D12-$I$6)*MIN(N$3-$O$2,$Q$2)/$Q$2))</f>
        <v>9066.12090708361</v>
      </c>
      <c r="O12" s="15" t="n">
        <f aca="false">SUMPRODUCT(E12:N12,1/(1+$F$6)^$E$3:$N$3)*$E$2</f>
        <v>9287.97957427391</v>
      </c>
      <c r="P12" s="15" t="n">
        <f aca="false">N12*$E$2*(1+$I$6)/($F$6-$I$6)/(1+$F$6)^$N$3</f>
        <v>13842.9374022981</v>
      </c>
      <c r="Q12" s="15" t="n">
        <f aca="false">O12+P12</f>
        <v>23130.916976572</v>
      </c>
      <c r="R12" s="15" t="n">
        <f aca="false">Q12-$G$2+$I$2</f>
        <v>20014.716976572</v>
      </c>
      <c r="S12" s="42" t="n">
        <f aca="false">R12/$K$2</f>
        <v>177.278272600284</v>
      </c>
      <c r="T12" s="43" t="n">
        <f aca="false">S12-$M$2</f>
        <v>8.81060209541195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-0.03125</v>
      </c>
      <c r="C13" s="25" t="n">
        <f aca="false">IF(T12&gt;0,D12,C12)</f>
        <v>0.015625</v>
      </c>
      <c r="D13" s="41" t="n">
        <f aca="false">(B13+C13)/2</f>
        <v>-0.0078125</v>
      </c>
      <c r="E13" s="15" t="n">
        <f aca="false">$C$2*(1+IF(E$3&lt;=$O$2,$D13,$D13-($D13-$I$6)*MIN(E$3-$O$2,$Q$2)/$Q$2))</f>
        <v>7421.5625</v>
      </c>
      <c r="F13" s="15" t="n">
        <f aca="false">E13*(1+IF(F$3&lt;=$O$2,$D13,$D13-($D13-$I$6)*MIN(F$3-$O$2,$Q$2)/$Q$2))</f>
        <v>7363.58154296875</v>
      </c>
      <c r="G13" s="15" t="n">
        <f aca="false">F13*(1+IF(G$3&lt;=$O$2,$D13,$D13-($D13-$I$6)*MIN(G$3-$O$2,$Q$2)/$Q$2))</f>
        <v>7306.05356216431</v>
      </c>
      <c r="H13" s="15" t="n">
        <f aca="false">G13*(1+IF(H$3&lt;=$O$2,$D13,$D13-($D13-$I$6)*MIN(H$3-$O$2,$Q$2)/$Q$2))</f>
        <v>7248.9750187099</v>
      </c>
      <c r="I13" s="15" t="n">
        <f aca="false">H13*(1+IF(I$3&lt;=$O$2,$D13,$D13-($D13-$I$6)*MIN(I$3-$O$2,$Q$2)/$Q$2))</f>
        <v>7192.34240137623</v>
      </c>
      <c r="J13" s="15" t="n">
        <f aca="false">I13*(1+IF(J$3&lt;=$O$2,$D13,$D13-($D13-$I$6)*MIN(J$3-$O$2,$Q$2)/$Q$2))</f>
        <v>7188.09891935942</v>
      </c>
      <c r="K13" s="15" t="n">
        <f aca="false">J13*(1+IF(K$3&lt;=$O$2,$D13,$D13-($D13-$I$6)*MIN(K$3-$O$2,$Q$2)/$Q$2))</f>
        <v>7235.77398544207</v>
      </c>
      <c r="L13" s="15" t="n">
        <f aca="false">K13*(1+IF(L$3&lt;=$O$2,$D13,$D13-($D13-$I$6)*MIN(L$3-$O$2,$Q$2)/$Q$2))</f>
        <v>7336.02563401037</v>
      </c>
      <c r="M13" s="15" t="n">
        <f aca="false">L13*(1+IF(M$3&lt;=$O$2,$D13,$D13-($D13-$I$6)*MIN(M$3-$O$2,$Q$2)/$Q$2))</f>
        <v>7490.65071431122</v>
      </c>
      <c r="N13" s="15" t="n">
        <f aca="false">M13*(1+IF(N$3&lt;=$O$2,$D13,$D13-($D13-$I$6)*MIN(N$3-$O$2,$Q$2)/$Q$2))</f>
        <v>7702.63612952623</v>
      </c>
      <c r="O13" s="15" t="n">
        <f aca="false">SUMPRODUCT(E13:N13,1/(1+$F$6)^$E$3:$N$3)*$E$2</f>
        <v>8382.98292610674</v>
      </c>
      <c r="P13" s="15" t="n">
        <f aca="false">N13*$E$2*(1+$I$6)/($F$6-$I$6)/(1+$F$6)^$N$3</f>
        <v>11761.0509352904</v>
      </c>
      <c r="Q13" s="15" t="n">
        <f aca="false">O13+P13</f>
        <v>20144.0338613971</v>
      </c>
      <c r="R13" s="15" t="n">
        <f aca="false">Q13-$G$2+$I$2</f>
        <v>17027.8338613971</v>
      </c>
      <c r="S13" s="42" t="n">
        <f aca="false">R13/$K$2</f>
        <v>150.822266265696</v>
      </c>
      <c r="T13" s="43" t="n">
        <f aca="false">S13-$M$2</f>
        <v>-17.6454042391754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-0.0078125</v>
      </c>
      <c r="C14" s="25" t="n">
        <f aca="false">IF(T13&gt;0,D13,C13)</f>
        <v>0.015625</v>
      </c>
      <c r="D14" s="41" t="n">
        <f aca="false">(B14+C14)/2</f>
        <v>0.00390625</v>
      </c>
      <c r="E14" s="15" t="n">
        <f aca="false">$C$2*(1+IF(E$3&lt;=$O$2,$D14,$D14-($D14-$I$6)*MIN(E$3-$O$2,$Q$2)/$Q$2))</f>
        <v>7509.21875</v>
      </c>
      <c r="F14" s="15" t="n">
        <f aca="false">E14*(1+IF(F$3&lt;=$O$2,$D14,$D14-($D14-$I$6)*MIN(F$3-$O$2,$Q$2)/$Q$2))</f>
        <v>7538.55163574219</v>
      </c>
      <c r="G14" s="15" t="n">
        <f aca="false">F14*(1+IF(G$3&lt;=$O$2,$D14,$D14-($D14-$I$6)*MIN(G$3-$O$2,$Q$2)/$Q$2))</f>
        <v>7567.99910306931</v>
      </c>
      <c r="H14" s="15" t="n">
        <f aca="false">G14*(1+IF(H$3&lt;=$O$2,$D14,$D14-($D14-$I$6)*MIN(H$3-$O$2,$Q$2)/$Q$2))</f>
        <v>7597.56159956567</v>
      </c>
      <c r="I14" s="15" t="n">
        <f aca="false">H14*(1+IF(I$3&lt;=$O$2,$D14,$D14-($D14-$I$6)*MIN(I$3-$O$2,$Q$2)/$Q$2))</f>
        <v>7627.23957456397</v>
      </c>
      <c r="J14" s="15" t="n">
        <f aca="false">I14*(1+IF(J$3&lt;=$O$2,$D14,$D14-($D14-$I$6)*MIN(J$3-$O$2,$Q$2)/$Q$2))</f>
        <v>7694.24487422652</v>
      </c>
      <c r="K14" s="15" t="n">
        <f aca="false">J14*(1+IF(K$3&lt;=$O$2,$D14,$D14-($D14-$I$6)*MIN(K$3-$O$2,$Q$2)/$Q$2))</f>
        <v>7799.37711262673</v>
      </c>
      <c r="L14" s="15" t="n">
        <f aca="false">K14*(1+IF(L$3&lt;=$O$2,$D14,$D14-($D14-$I$6)*MIN(L$3-$O$2,$Q$2)/$Q$2))</f>
        <v>7943.99706273761</v>
      </c>
      <c r="M14" s="15" t="n">
        <f aca="false">L14*(1+IF(M$3&lt;=$O$2,$D14,$D14-($D14-$I$6)*MIN(M$3-$O$2,$Q$2)/$Q$2))</f>
        <v>8130.05540394325</v>
      </c>
      <c r="N14" s="15" t="n">
        <f aca="false">M14*(1+IF(N$3&lt;=$O$2,$D14,$D14-($D14-$I$6)*MIN(N$3-$O$2,$Q$2)/$Q$2))</f>
        <v>8360.13597187485</v>
      </c>
      <c r="O14" s="15" t="n">
        <f aca="false">SUMPRODUCT(E14:N14,1/(1+$F$6)^$E$3:$N$3)*$E$2</f>
        <v>8823.64199612503</v>
      </c>
      <c r="P14" s="15" t="n">
        <f aca="false">N14*$E$2*(1+$I$6)/($F$6-$I$6)/(1+$F$6)^$N$3</f>
        <v>12764.9785525077</v>
      </c>
      <c r="Q14" s="15" t="n">
        <f aca="false">O14+P14</f>
        <v>21588.6205486327</v>
      </c>
      <c r="R14" s="15" t="n">
        <f aca="false">Q14-$G$2+$I$2</f>
        <v>18472.4205486327</v>
      </c>
      <c r="S14" s="42" t="n">
        <f aca="false">R14/$K$2</f>
        <v>163.61754250339</v>
      </c>
      <c r="T14" s="43" t="n">
        <f aca="false">S14-$M$2</f>
        <v>-4.85012800148147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0.00390625</v>
      </c>
      <c r="C15" s="25" t="n">
        <f aca="false">IF(T14&gt;0,D14,C14)</f>
        <v>0.015625</v>
      </c>
      <c r="D15" s="41" t="n">
        <f aca="false">(B15+C15)/2</f>
        <v>0.009765625</v>
      </c>
      <c r="E15" s="15" t="n">
        <f aca="false">$C$2*(1+IF(E$3&lt;=$O$2,$D15,$D15-($D15-$I$6)*MIN(E$3-$O$2,$Q$2)/$Q$2))</f>
        <v>7553.046875</v>
      </c>
      <c r="F15" s="15" t="n">
        <f aca="false">E15*(1+IF(F$3&lt;=$O$2,$D15,$D15-($D15-$I$6)*MIN(F$3-$O$2,$Q$2)/$Q$2))</f>
        <v>7626.80709838867</v>
      </c>
      <c r="G15" s="15" t="n">
        <f aca="false">F15*(1+IF(G$3&lt;=$O$2,$D15,$D15-($D15-$I$6)*MIN(G$3-$O$2,$Q$2)/$Q$2))</f>
        <v>7701.28763645887</v>
      </c>
      <c r="H15" s="15" t="n">
        <f aca="false">G15*(1+IF(H$3&lt;=$O$2,$D15,$D15-($D15-$I$6)*MIN(H$3-$O$2,$Q$2)/$Q$2))</f>
        <v>7776.49552353367</v>
      </c>
      <c r="I15" s="15" t="n">
        <f aca="false">H15*(1+IF(I$3&lt;=$O$2,$D15,$D15-($D15-$I$6)*MIN(I$3-$O$2,$Q$2)/$Q$2))</f>
        <v>7852.43786263068</v>
      </c>
      <c r="J15" s="15" t="n">
        <f aca="false">I15*(1+IF(J$3&lt;=$O$2,$D15,$D15-($D15-$I$6)*MIN(J$3-$O$2,$Q$2)/$Q$2))</f>
        <v>7958.22983173497</v>
      </c>
      <c r="K15" s="15" t="n">
        <f aca="false">J15*(1+IF(K$3&lt;=$O$2,$D15,$D15-($D15-$I$6)*MIN(K$3-$O$2,$Q$2)/$Q$2))</f>
        <v>8094.94724635053</v>
      </c>
      <c r="L15" s="15" t="n">
        <f aca="false">K15*(1+IF(L$3&lt;=$O$2,$D15,$D15-($D15-$I$6)*MIN(L$3-$O$2,$Q$2)/$Q$2))</f>
        <v>8264.02033827462</v>
      </c>
      <c r="M15" s="15" t="n">
        <f aca="false">L15*(1+IF(M$3&lt;=$O$2,$D15,$D15-($D15-$I$6)*MIN(M$3-$O$2,$Q$2)/$Q$2))</f>
        <v>8467.25842345635</v>
      </c>
      <c r="N15" s="15" t="n">
        <f aca="false">M15*(1+IF(N$3&lt;=$O$2,$D15,$D15-($D15-$I$6)*MIN(N$3-$O$2,$Q$2)/$Q$2))</f>
        <v>8706.88183684016</v>
      </c>
      <c r="O15" s="15" t="n">
        <f aca="false">SUMPRODUCT(E15:N15,1/(1+$F$6)^$E$3:$N$3)*$E$2</f>
        <v>9052.77734190328</v>
      </c>
      <c r="P15" s="15" t="n">
        <f aca="false">N15*$E$2*(1+$I$6)/($F$6-$I$6)/(1+$F$6)^$N$3</f>
        <v>13294.4201243127</v>
      </c>
      <c r="Q15" s="15" t="n">
        <f aca="false">O15+P15</f>
        <v>22347.197466216</v>
      </c>
      <c r="R15" s="15" t="n">
        <f aca="false">Q15-$G$2+$I$2</f>
        <v>19230.997466216</v>
      </c>
      <c r="S15" s="42" t="n">
        <f aca="false">R15/$K$2</f>
        <v>170.336558602445</v>
      </c>
      <c r="T15" s="43" t="n">
        <f aca="false">S15-$M$2</f>
        <v>1.86888809757309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0.00390625</v>
      </c>
      <c r="C16" s="25" t="n">
        <f aca="false">IF(T15&gt;0,D15,C15)</f>
        <v>0.009765625</v>
      </c>
      <c r="D16" s="41" t="n">
        <f aca="false">(B16+C16)/2</f>
        <v>0.0068359375</v>
      </c>
      <c r="E16" s="15" t="n">
        <f aca="false">$C$2*(1+IF(E$3&lt;=$O$2,$D16,$D16-($D16-$I$6)*MIN(E$3-$O$2,$Q$2)/$Q$2))</f>
        <v>7531.1328125</v>
      </c>
      <c r="F16" s="15" t="n">
        <f aca="false">E16*(1+IF(F$3&lt;=$O$2,$D16,$D16-($D16-$I$6)*MIN(F$3-$O$2,$Q$2)/$Q$2))</f>
        <v>7582.61516571045</v>
      </c>
      <c r="G16" s="15" t="n">
        <f aca="false">F16*(1+IF(G$3&lt;=$O$2,$D16,$D16-($D16-$I$6)*MIN(G$3-$O$2,$Q$2)/$Q$2))</f>
        <v>7634.4494490698</v>
      </c>
      <c r="H16" s="15" t="n">
        <f aca="false">G16*(1+IF(H$3&lt;=$O$2,$D16,$D16-($D16-$I$6)*MIN(H$3-$O$2,$Q$2)/$Q$2))</f>
        <v>7686.63806835055</v>
      </c>
      <c r="I16" s="15" t="n">
        <f aca="false">H16*(1+IF(I$3&lt;=$O$2,$D16,$D16-($D16-$I$6)*MIN(I$3-$O$2,$Q$2)/$Q$2))</f>
        <v>7739.18344577091</v>
      </c>
      <c r="J16" s="15" t="n">
        <f aca="false">I16*(1+IF(J$3&lt;=$O$2,$D16,$D16-($D16-$I$6)*MIN(J$3-$O$2,$Q$2)/$Q$2))</f>
        <v>7825.31088354304</v>
      </c>
      <c r="K16" s="15" t="n">
        <f aca="false">J16*(1+IF(K$3&lt;=$O$2,$D16,$D16-($D16-$I$6)*MIN(K$3-$O$2,$Q$2)/$Q$2))</f>
        <v>7945.98940441553</v>
      </c>
      <c r="L16" s="15" t="n">
        <f aca="false">K16*(1+IF(L$3&lt;=$O$2,$D16,$D16-($D16-$I$6)*MIN(L$3-$O$2,$Q$2)/$Q$2))</f>
        <v>8102.6396192802</v>
      </c>
      <c r="M16" s="15" t="n">
        <f aca="false">L16*(1+IF(M$3&lt;=$O$2,$D16,$D16-($D16-$I$6)*MIN(M$3-$O$2,$Q$2)/$Q$2))</f>
        <v>8297.16120786519</v>
      </c>
      <c r="N16" s="15" t="n">
        <f aca="false">M16*(1+IF(N$3&lt;=$O$2,$D16,$D16-($D16-$I$6)*MIN(N$3-$O$2,$Q$2)/$Q$2))</f>
        <v>8531.97087004777</v>
      </c>
      <c r="O16" s="15" t="n">
        <f aca="false">SUMPRODUCT(E16:N16,1/(1+$F$6)^$E$3:$N$3)*$E$2</f>
        <v>8937.4606361229</v>
      </c>
      <c r="P16" s="15" t="n">
        <f aca="false">N16*$E$2*(1+$I$6)/($F$6-$I$6)/(1+$F$6)^$N$3</f>
        <v>13027.3509346232</v>
      </c>
      <c r="Q16" s="15" t="n">
        <f aca="false">O16+P16</f>
        <v>21964.811570746</v>
      </c>
      <c r="R16" s="15" t="n">
        <f aca="false">Q16-$G$2+$I$2</f>
        <v>18848.611570746</v>
      </c>
      <c r="S16" s="42" t="n">
        <f aca="false">R16/$K$2</f>
        <v>166.949615329903</v>
      </c>
      <c r="T16" s="43" t="n">
        <f aca="false">S16-$M$2</f>
        <v>-1.51805517496862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0.0068359375</v>
      </c>
      <c r="C17" s="25" t="n">
        <f aca="false">IF(T16&gt;0,D16,C16)</f>
        <v>0.009765625</v>
      </c>
      <c r="D17" s="41" t="n">
        <f aca="false">(B17+C17)/2</f>
        <v>0.00830078125</v>
      </c>
      <c r="E17" s="15" t="n">
        <f aca="false">$C$2*(1+IF(E$3&lt;=$O$2,$D17,$D17-($D17-$I$6)*MIN(E$3-$O$2,$Q$2)/$Q$2))</f>
        <v>7542.08984375</v>
      </c>
      <c r="F17" s="15" t="n">
        <f aca="false">E17*(1+IF(F$3&lt;=$O$2,$D17,$D17-($D17-$I$6)*MIN(F$3-$O$2,$Q$2)/$Q$2))</f>
        <v>7604.69508171082</v>
      </c>
      <c r="G17" s="15" t="n">
        <f aca="false">F17*(1+IF(G$3&lt;=$O$2,$D17,$D17-($D17-$I$6)*MIN(G$3-$O$2,$Q$2)/$Q$2))</f>
        <v>7667.81999205705</v>
      </c>
      <c r="H17" s="15" t="n">
        <f aca="false">G17*(1+IF(H$3&lt;=$O$2,$D17,$D17-($D17-$I$6)*MIN(H$3-$O$2,$Q$2)/$Q$2))</f>
        <v>7731.46888847549</v>
      </c>
      <c r="I17" s="15" t="n">
        <f aca="false">H17*(1+IF(I$3&lt;=$O$2,$D17,$D17-($D17-$I$6)*MIN(I$3-$O$2,$Q$2)/$Q$2))</f>
        <v>7795.64612045991</v>
      </c>
      <c r="J17" s="15" t="n">
        <f aca="false">I17*(1+IF(J$3&lt;=$O$2,$D17,$D17-($D17-$I$6)*MIN(J$3-$O$2,$Q$2)/$Q$2))</f>
        <v>7891.53744002039</v>
      </c>
      <c r="K17" s="15" t="n">
        <f aca="false">J17*(1+IF(K$3&lt;=$O$2,$D17,$D17-($D17-$I$6)*MIN(K$3-$O$2,$Q$2)/$Q$2))</f>
        <v>8020.1731994509</v>
      </c>
      <c r="L17" s="15" t="n">
        <f aca="false">K17*(1+IF(L$3&lt;=$O$2,$D17,$D17-($D17-$I$6)*MIN(L$3-$O$2,$Q$2)/$Q$2))</f>
        <v>8182.98522170387</v>
      </c>
      <c r="M17" s="15" t="n">
        <f aca="false">L17*(1+IF(M$3&lt;=$O$2,$D17,$D17-($D17-$I$6)*MIN(M$3-$O$2,$Q$2)/$Q$2))</f>
        <v>8381.83304118272</v>
      </c>
      <c r="N17" s="15" t="n">
        <f aca="false">M17*(1+IF(N$3&lt;=$O$2,$D17,$D17-($D17-$I$6)*MIN(N$3-$O$2,$Q$2)/$Q$2))</f>
        <v>8619.03891624819</v>
      </c>
      <c r="O17" s="15" t="n">
        <f aca="false">SUMPRODUCT(E17:N17,1/(1+$F$6)^$E$3:$N$3)*$E$2</f>
        <v>8994.93057263794</v>
      </c>
      <c r="P17" s="15" t="n">
        <f aca="false">N17*$E$2*(1+$I$6)/($F$6-$I$6)/(1+$F$6)^$N$3</f>
        <v>13160.2939568534</v>
      </c>
      <c r="Q17" s="15" t="n">
        <f aca="false">O17+P17</f>
        <v>22155.2245294914</v>
      </c>
      <c r="R17" s="15" t="n">
        <f aca="false">Q17-$G$2+$I$2</f>
        <v>19039.0245294914</v>
      </c>
      <c r="S17" s="42" t="n">
        <f aca="false">R17/$K$2</f>
        <v>168.636178294875</v>
      </c>
      <c r="T17" s="43" t="n">
        <f aca="false">S17-$M$2</f>
        <v>0.168507790003218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0.0068359375</v>
      </c>
      <c r="C18" s="25" t="n">
        <f aca="false">IF(T17&gt;0,D17,C17)</f>
        <v>0.00830078125</v>
      </c>
      <c r="D18" s="41" t="n">
        <f aca="false">(B18+C18)/2</f>
        <v>0.007568359375</v>
      </c>
      <c r="E18" s="15" t="n">
        <f aca="false">$C$2*(1+IF(E$3&lt;=$O$2,$D18,$D18-($D18-$I$6)*MIN(E$3-$O$2,$Q$2)/$Q$2))</f>
        <v>7536.611328125</v>
      </c>
      <c r="F18" s="15" t="n">
        <f aca="false">E18*(1+IF(F$3&lt;=$O$2,$D18,$D18-($D18-$I$6)*MIN(F$3-$O$2,$Q$2)/$Q$2))</f>
        <v>7593.65111112595</v>
      </c>
      <c r="G18" s="15" t="n">
        <f aca="false">F18*(1+IF(G$3&lt;=$O$2,$D18,$D18-($D18-$I$6)*MIN(G$3-$O$2,$Q$2)/$Q$2))</f>
        <v>7651.12259170332</v>
      </c>
      <c r="H18" s="15" t="n">
        <f aca="false">G18*(1+IF(H$3&lt;=$O$2,$D18,$D18-($D18-$I$6)*MIN(H$3-$O$2,$Q$2)/$Q$2))</f>
        <v>7709.02903709951</v>
      </c>
      <c r="I18" s="15" t="n">
        <f aca="false">H18*(1+IF(I$3&lt;=$O$2,$D18,$D18-($D18-$I$6)*MIN(I$3-$O$2,$Q$2)/$Q$2))</f>
        <v>7767.37373928459</v>
      </c>
      <c r="J18" s="15" t="n">
        <f aca="false">I18*(1+IF(J$3&lt;=$O$2,$D18,$D18-($D18-$I$6)*MIN(J$3-$O$2,$Q$2)/$Q$2))</f>
        <v>7858.36609533601</v>
      </c>
      <c r="K18" s="15" t="n">
        <f aca="false">J18*(1+IF(K$3&lt;=$O$2,$D18,$D18-($D18-$I$6)*MIN(K$3-$O$2,$Q$2)/$Q$2))</f>
        <v>7983.00776276111</v>
      </c>
      <c r="L18" s="15" t="n">
        <f aca="false">K18*(1+IF(L$3&lt;=$O$2,$D18,$D18-($D18-$I$6)*MIN(L$3-$O$2,$Q$2)/$Q$2))</f>
        <v>8142.72654322959</v>
      </c>
      <c r="M18" s="15" t="n">
        <f aca="false">L18*(1+IF(M$3&lt;=$O$2,$D18,$D18-($D18-$I$6)*MIN(M$3-$O$2,$Q$2)/$Q$2))</f>
        <v>8339.40328832261</v>
      </c>
      <c r="N18" s="15" t="n">
        <f aca="false">M18*(1+IF(N$3&lt;=$O$2,$D18,$D18-($D18-$I$6)*MIN(N$3-$O$2,$Q$2)/$Q$2))</f>
        <v>8575.40840138213</v>
      </c>
      <c r="O18" s="15" t="n">
        <f aca="false">SUMPRODUCT(E18:N18,1/(1+$F$6)^$E$3:$N$3)*$E$2</f>
        <v>8966.14864554324</v>
      </c>
      <c r="P18" s="15" t="n">
        <f aca="false">N18*$E$2*(1+$I$6)/($F$6-$I$6)/(1+$F$6)^$N$3</f>
        <v>13093.675113766</v>
      </c>
      <c r="Q18" s="15" t="n">
        <f aca="false">O18+P18</f>
        <v>22059.8237593092</v>
      </c>
      <c r="R18" s="15" t="n">
        <f aca="false">Q18-$G$2+$I$2</f>
        <v>18943.6237593092</v>
      </c>
      <c r="S18" s="42" t="n">
        <f aca="false">R18/$K$2</f>
        <v>167.791175901765</v>
      </c>
      <c r="T18" s="43" t="n">
        <f aca="false">S18-$M$2</f>
        <v>-0.676494603107102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0.007568359375</v>
      </c>
      <c r="C19" s="25" t="n">
        <f aca="false">IF(T18&gt;0,D18,C18)</f>
        <v>0.00830078125</v>
      </c>
      <c r="D19" s="41" t="n">
        <f aca="false">(B19+C19)/2</f>
        <v>0.0079345703125</v>
      </c>
      <c r="E19" s="15" t="n">
        <f aca="false">$C$2*(1+IF(E$3&lt;=$O$2,$D19,$D19-($D19-$I$6)*MIN(E$3-$O$2,$Q$2)/$Q$2))</f>
        <v>7539.3505859375</v>
      </c>
      <c r="F19" s="15" t="n">
        <f aca="false">E19*(1+IF(F$3&lt;=$O$2,$D19,$D19-($D19-$I$6)*MIN(F$3-$O$2,$Q$2)/$Q$2))</f>
        <v>7599.17209327221</v>
      </c>
      <c r="G19" s="15" t="n">
        <f aca="false">F19*(1+IF(G$3&lt;=$O$2,$D19,$D19-($D19-$I$6)*MIN(G$3-$O$2,$Q$2)/$Q$2))</f>
        <v>7659.46825856307</v>
      </c>
      <c r="H19" s="15" t="n">
        <f aca="false">G19*(1+IF(H$3&lt;=$O$2,$D19,$D19-($D19-$I$6)*MIN(H$3-$O$2,$Q$2)/$Q$2))</f>
        <v>7720.242848017</v>
      </c>
      <c r="I19" s="15" t="n">
        <f aca="false">H19*(1+IF(I$3&lt;=$O$2,$D19,$D19-($D19-$I$6)*MIN(I$3-$O$2,$Q$2)/$Q$2))</f>
        <v>7781.49965772416</v>
      </c>
      <c r="J19" s="15" t="n">
        <f aca="false">I19*(1+IF(J$3&lt;=$O$2,$D19,$D19-($D19-$I$6)*MIN(J$3-$O$2,$Q$2)/$Q$2))</f>
        <v>7874.93723072361</v>
      </c>
      <c r="K19" s="15" t="n">
        <f aca="false">J19*(1+IF(K$3&lt;=$O$2,$D19,$D19-($D19-$I$6)*MIN(K$3-$O$2,$Q$2)/$Q$2))</f>
        <v>8001.57206607362</v>
      </c>
      <c r="L19" s="15" t="n">
        <f aca="false">K19*(1+IF(L$3&lt;=$O$2,$D19,$D19-($D19-$I$6)*MIN(L$3-$O$2,$Q$2)/$Q$2))</f>
        <v>8162.83437422307</v>
      </c>
      <c r="M19" s="15" t="n">
        <f aca="false">L19*(1+IF(M$3&lt;=$O$2,$D19,$D19-($D19-$I$6)*MIN(M$3-$O$2,$Q$2)/$Q$2))</f>
        <v>8360.59466111379</v>
      </c>
      <c r="N19" s="15" t="n">
        <f aca="false">M19*(1+IF(N$3&lt;=$O$2,$D19,$D19-($D19-$I$6)*MIN(N$3-$O$2,$Q$2)/$Q$2))</f>
        <v>8597.19949002331</v>
      </c>
      <c r="O19" s="15" t="n">
        <f aca="false">SUMPRODUCT(E19:N19,1/(1+$F$6)^$E$3:$N$3)*$E$2</f>
        <v>8980.52785125477</v>
      </c>
      <c r="P19" s="15" t="n">
        <f aca="false">N19*$E$2*(1+$I$6)/($F$6-$I$6)/(1+$F$6)^$N$3</f>
        <v>13126.9476323083</v>
      </c>
      <c r="Q19" s="15" t="n">
        <f aca="false">O19+P19</f>
        <v>22107.475483563</v>
      </c>
      <c r="R19" s="15" t="n">
        <f aca="false">Q19-$G$2+$I$2</f>
        <v>18991.275483563</v>
      </c>
      <c r="S19" s="42" t="n">
        <f aca="false">R19/$K$2</f>
        <v>168.213246090018</v>
      </c>
      <c r="T19" s="43" t="n">
        <f aca="false">S19-$M$2</f>
        <v>-0.254424414853503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0.0079345703125</v>
      </c>
      <c r="C20" s="25" t="n">
        <f aca="false">IF(T19&gt;0,D19,C19)</f>
        <v>0.00830078125</v>
      </c>
      <c r="D20" s="41" t="n">
        <f aca="false">(B20+C20)/2</f>
        <v>0.00811767578125</v>
      </c>
      <c r="E20" s="15" t="n">
        <f aca="false">$C$2*(1+IF(E$3&lt;=$O$2,$D20,$D20-($D20-$I$6)*MIN(E$3-$O$2,$Q$2)/$Q$2))</f>
        <v>7540.72021484375</v>
      </c>
      <c r="F20" s="15" t="n">
        <f aca="false">E20*(1+IF(F$3&lt;=$O$2,$D20,$D20-($D20-$I$6)*MIN(F$3-$O$2,$Q$2)/$Q$2))</f>
        <v>7601.93333670497</v>
      </c>
      <c r="G20" s="15" t="n">
        <f aca="false">F20*(1+IF(G$3&lt;=$O$2,$D20,$D20-($D20-$I$6)*MIN(G$3-$O$2,$Q$2)/$Q$2))</f>
        <v>7663.64336684302</v>
      </c>
      <c r="H20" s="15" t="n">
        <f aca="false">G20*(1+IF(H$3&lt;=$O$2,$D20,$D20-($D20-$I$6)*MIN(H$3-$O$2,$Q$2)/$Q$2))</f>
        <v>7725.85433899818</v>
      </c>
      <c r="I20" s="15" t="n">
        <f aca="false">H20*(1+IF(I$3&lt;=$O$2,$D20,$D20-($D20-$I$6)*MIN(I$3-$O$2,$Q$2)/$Q$2))</f>
        <v>7788.57031965533</v>
      </c>
      <c r="J20" s="15" t="n">
        <f aca="false">I20*(1+IF(J$3&lt;=$O$2,$D20,$D20-($D20-$I$6)*MIN(J$3-$O$2,$Q$2)/$Q$2))</f>
        <v>7883.23369858812</v>
      </c>
      <c r="K20" s="15" t="n">
        <f aca="false">J20*(1+IF(K$3&lt;=$O$2,$D20,$D20-($D20-$I$6)*MIN(K$3-$O$2,$Q$2)/$Q$2))</f>
        <v>8010.86802521991</v>
      </c>
      <c r="L20" s="15" t="n">
        <f aca="false">K20*(1+IF(L$3&lt;=$O$2,$D20,$D20-($D20-$I$6)*MIN(L$3-$O$2,$Q$2)/$Q$2))</f>
        <v>8172.9044160302</v>
      </c>
      <c r="M20" s="15" t="n">
        <f aca="false">L20*(1+IF(M$3&lt;=$O$2,$D20,$D20-($D20-$I$6)*MIN(M$3-$O$2,$Q$2)/$Q$2))</f>
        <v>8371.20796965721</v>
      </c>
      <c r="N20" s="15" t="n">
        <f aca="false">M20*(1+IF(N$3&lt;=$O$2,$D20,$D20-($D20-$I$6)*MIN(N$3-$O$2,$Q$2)/$Q$2))</f>
        <v>8608.11315519851</v>
      </c>
      <c r="O20" s="15" t="n">
        <f aca="false">SUMPRODUCT(E20:N20,1/(1+$F$6)^$E$3:$N$3)*$E$2</f>
        <v>8987.72627021891</v>
      </c>
      <c r="P20" s="15" t="n">
        <f aca="false">N20*$E$2*(1+$I$6)/($F$6-$I$6)/(1+$F$6)^$N$3</f>
        <v>13143.6115600673</v>
      </c>
      <c r="Q20" s="15" t="n">
        <f aca="false">O20+P20</f>
        <v>22131.3378302862</v>
      </c>
      <c r="R20" s="15" t="n">
        <f aca="false">Q20-$G$2+$I$2</f>
        <v>19015.1378302862</v>
      </c>
      <c r="S20" s="42" t="n">
        <f aca="false">R20/$K$2</f>
        <v>168.424604342659</v>
      </c>
      <c r="T20" s="43" t="n">
        <f aca="false">S20-$M$2</f>
        <v>-0.043066162212682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0.00811767578125</v>
      </c>
      <c r="C21" s="25" t="n">
        <f aca="false">IF(T20&gt;0,D20,C20)</f>
        <v>0.00830078125</v>
      </c>
      <c r="D21" s="41" t="n">
        <f aca="false">(B21+C21)/2</f>
        <v>0.008209228515625</v>
      </c>
      <c r="E21" s="15" t="n">
        <f aca="false">$C$2*(1+IF(E$3&lt;=$O$2,$D21,$D21-($D21-$I$6)*MIN(E$3-$O$2,$Q$2)/$Q$2))</f>
        <v>7541.40502929688</v>
      </c>
      <c r="F21" s="15" t="n">
        <f aca="false">E21*(1+IF(F$3&lt;=$O$2,$D21,$D21-($D21-$I$6)*MIN(F$3-$O$2,$Q$2)/$Q$2))</f>
        <v>7603.31414651126</v>
      </c>
      <c r="G21" s="15" t="n">
        <f aca="false">F21*(1+IF(G$3&lt;=$O$2,$D21,$D21-($D21-$I$6)*MIN(G$3-$O$2,$Q$2)/$Q$2))</f>
        <v>7665.73148981605</v>
      </c>
      <c r="H21" s="15" t="n">
        <f aca="false">G21*(1+IF(H$3&lt;=$O$2,$D21,$D21-($D21-$I$6)*MIN(H$3-$O$2,$Q$2)/$Q$2))</f>
        <v>7728.66123135537</v>
      </c>
      <c r="I21" s="15" t="n">
        <f aca="false">H21*(1+IF(I$3&lt;=$O$2,$D21,$D21-($D21-$I$6)*MIN(I$3-$O$2,$Q$2)/$Q$2))</f>
        <v>7792.10757752342</v>
      </c>
      <c r="J21" s="15" t="n">
        <f aca="false">I21*(1+IF(J$3&lt;=$O$2,$D21,$D21-($D21-$I$6)*MIN(J$3-$O$2,$Q$2)/$Q$2))</f>
        <v>7887.38465978998</v>
      </c>
      <c r="K21" s="15" t="n">
        <f aca="false">J21*(1+IF(K$3&lt;=$O$2,$D21,$D21-($D21-$I$6)*MIN(K$3-$O$2,$Q$2)/$Q$2))</f>
        <v>8015.51945997652</v>
      </c>
      <c r="L21" s="15" t="n">
        <f aca="false">K21*(1+IF(L$3&lt;=$O$2,$D21,$D21-($D21-$I$6)*MIN(L$3-$O$2,$Q$2)/$Q$2))</f>
        <v>8177.94347277427</v>
      </c>
      <c r="M21" s="15" t="n">
        <f aca="false">L21*(1+IF(M$3&lt;=$O$2,$D21,$D21-($D21-$I$6)*MIN(M$3-$O$2,$Q$2)/$Q$2))</f>
        <v>8376.51903434905</v>
      </c>
      <c r="N21" s="15" t="n">
        <f aca="false">M21*(1+IF(N$3&lt;=$O$2,$D21,$D21-($D21-$I$6)*MIN(N$3-$O$2,$Q$2)/$Q$2))</f>
        <v>8613.57452302113</v>
      </c>
      <c r="O21" s="15" t="n">
        <f aca="false">SUMPRODUCT(E21:N21,1/(1+$F$6)^$E$3:$N$3)*$E$2</f>
        <v>8991.32768571284</v>
      </c>
      <c r="P21" s="15" t="n">
        <f aca="false">N21*$E$2*(1+$I$6)/($F$6-$I$6)/(1+$F$6)^$N$3</f>
        <v>13151.9504487358</v>
      </c>
      <c r="Q21" s="15" t="n">
        <f aca="false">O21+P21</f>
        <v>22143.2781344486</v>
      </c>
      <c r="R21" s="15" t="n">
        <f aca="false">Q21-$G$2+$I$2</f>
        <v>19027.0781344486</v>
      </c>
      <c r="S21" s="42" t="n">
        <f aca="false">R21/$K$2</f>
        <v>168.530364344098</v>
      </c>
      <c r="T21" s="43" t="n">
        <f aca="false">S21-$M$2</f>
        <v>0.0626938392260854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0.00811767578125</v>
      </c>
      <c r="C22" s="25" t="n">
        <f aca="false">IF(T21&gt;0,D21,C21)</f>
        <v>0.008209228515625</v>
      </c>
      <c r="D22" s="41" t="n">
        <f aca="false">(B22+C22)/2</f>
        <v>0.0081634521484375</v>
      </c>
      <c r="E22" s="15" t="n">
        <f aca="false">$C$2*(1+IF(E$3&lt;=$O$2,$D22,$D22-($D22-$I$6)*MIN(E$3-$O$2,$Q$2)/$Q$2))</f>
        <v>7541.06262207031</v>
      </c>
      <c r="F22" s="15" t="n">
        <f aca="false">E22*(1+IF(F$3&lt;=$O$2,$D22,$D22-($D22-$I$6)*MIN(F$3-$O$2,$Q$2)/$Q$2))</f>
        <v>7602.62372593395</v>
      </c>
      <c r="G22" s="15" t="n">
        <f aca="false">F22*(1+IF(G$3&lt;=$O$2,$D22,$D22-($D22-$I$6)*MIN(G$3-$O$2,$Q$2)/$Q$2))</f>
        <v>7664.68738092319</v>
      </c>
      <c r="H22" s="15" t="n">
        <f aca="false">G22*(1+IF(H$3&lt;=$O$2,$D22,$D22-($D22-$I$6)*MIN(H$3-$O$2,$Q$2)/$Q$2))</f>
        <v>7727.25768959009</v>
      </c>
      <c r="I22" s="15" t="n">
        <f aca="false">H22*(1+IF(I$3&lt;=$O$2,$D22,$D22-($D22-$I$6)*MIN(I$3-$O$2,$Q$2)/$Q$2))</f>
        <v>7790.33878797771</v>
      </c>
      <c r="J22" s="15" t="n">
        <f aca="false">I22*(1+IF(J$3&lt;=$O$2,$D22,$D22-($D22-$I$6)*MIN(J$3-$O$2,$Q$2)/$Q$2))</f>
        <v>7885.30895185028</v>
      </c>
      <c r="K22" s="15" t="n">
        <f aca="false">J22*(1+IF(K$3&lt;=$O$2,$D22,$D22-($D22-$I$6)*MIN(K$3-$O$2,$Q$2)/$Q$2))</f>
        <v>8013.19345456767</v>
      </c>
      <c r="L22" s="15" t="n">
        <f aca="false">K22*(1+IF(L$3&lt;=$O$2,$D22,$D22-($D22-$I$6)*MIN(L$3-$O$2,$Q$2)/$Q$2))</f>
        <v>8175.42360795524</v>
      </c>
      <c r="M22" s="15" t="n">
        <f aca="false">L22*(1+IF(M$3&lt;=$O$2,$D22,$D22-($D22-$I$6)*MIN(M$3-$O$2,$Q$2)/$Q$2))</f>
        <v>8373.8631343227</v>
      </c>
      <c r="N22" s="15" t="n">
        <f aca="false">M22*(1+IF(N$3&lt;=$O$2,$D22,$D22-($D22-$I$6)*MIN(N$3-$O$2,$Q$2)/$Q$2))</f>
        <v>8610.84346102403</v>
      </c>
      <c r="O22" s="15" t="n">
        <f aca="false">SUMPRODUCT(E22:N22,1/(1+$F$6)^$E$3:$N$3)*$E$2</f>
        <v>8989.52679407245</v>
      </c>
      <c r="P22" s="15" t="n">
        <f aca="false">N22*$E$2*(1+$I$6)/($F$6-$I$6)/(1+$F$6)^$N$3</f>
        <v>13147.7804271075</v>
      </c>
      <c r="Q22" s="15" t="n">
        <f aca="false">O22+P22</f>
        <v>22137.3072211799</v>
      </c>
      <c r="R22" s="15" t="n">
        <f aca="false">Q22-$G$2+$I$2</f>
        <v>19021.1072211799</v>
      </c>
      <c r="S22" s="42" t="n">
        <f aca="false">R22/$K$2</f>
        <v>168.477477601239</v>
      </c>
      <c r="T22" s="43" t="n">
        <f aca="false">S22-$M$2</f>
        <v>0.0098070963675525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0.00811767578125</v>
      </c>
      <c r="C23" s="25" t="n">
        <f aca="false">IF(T22&gt;0,D22,C22)</f>
        <v>0.0081634521484375</v>
      </c>
      <c r="D23" s="41" t="n">
        <f aca="false">(B23+C23)/2</f>
        <v>0.00814056396484375</v>
      </c>
      <c r="E23" s="15" t="n">
        <f aca="false">$C$2*(1+IF(E$3&lt;=$O$2,$D23,$D23-($D23-$I$6)*MIN(E$3-$O$2,$Q$2)/$Q$2))</f>
        <v>7540.89141845703</v>
      </c>
      <c r="F23" s="15" t="n">
        <f aca="false">E23*(1+IF(F$3&lt;=$O$2,$D23,$D23-($D23-$I$6)*MIN(F$3-$O$2,$Q$2)/$Q$2))</f>
        <v>7602.27852740092</v>
      </c>
      <c r="G23" s="15" t="n">
        <f aca="false">F23*(1+IF(G$3&lt;=$O$2,$D23,$D23-($D23-$I$6)*MIN(G$3-$O$2,$Q$2)/$Q$2))</f>
        <v>7664.16536203179</v>
      </c>
      <c r="H23" s="15" t="n">
        <f aca="false">G23*(1+IF(H$3&lt;=$O$2,$D23,$D23-($D23-$I$6)*MIN(H$3-$O$2,$Q$2)/$Q$2))</f>
        <v>7726.55599039855</v>
      </c>
      <c r="I23" s="15" t="n">
        <f aca="false">H23*(1+IF(I$3&lt;=$O$2,$D23,$D23-($D23-$I$6)*MIN(I$3-$O$2,$Q$2)/$Q$2))</f>
        <v>7789.45451366633</v>
      </c>
      <c r="J23" s="15" t="n">
        <f aca="false">I23*(1+IF(J$3&lt;=$O$2,$D23,$D23-($D23-$I$6)*MIN(J$3-$O$2,$Q$2)/$Q$2))</f>
        <v>7884.27126838948</v>
      </c>
      <c r="K23" s="15" t="n">
        <f aca="false">J23*(1+IF(K$3&lt;=$O$2,$D23,$D23-($D23-$I$6)*MIN(K$3-$O$2,$Q$2)/$Q$2))</f>
        <v>8012.03066789355</v>
      </c>
      <c r="L23" s="15" t="n">
        <f aca="false">K23*(1+IF(L$3&lt;=$O$2,$D23,$D23-($D23-$I$6)*MIN(L$3-$O$2,$Q$2)/$Q$2))</f>
        <v>8174.16392789049</v>
      </c>
      <c r="M23" s="15" t="n">
        <f aca="false">L23*(1+IF(M$3&lt;=$O$2,$D23,$D23-($D23-$I$6)*MIN(M$3-$O$2,$Q$2)/$Q$2))</f>
        <v>8372.53546008076</v>
      </c>
      <c r="N23" s="15" t="n">
        <f aca="false">M23*(1+IF(N$3&lt;=$O$2,$D23,$D23-($D23-$I$6)*MIN(N$3-$O$2,$Q$2)/$Q$2))</f>
        <v>8609.47821360104</v>
      </c>
      <c r="O23" s="15" t="n">
        <f aca="false">SUMPRODUCT(E23:N23,1/(1+$F$6)^$E$3:$N$3)*$E$2</f>
        <v>8988.62648617676</v>
      </c>
      <c r="P23" s="15" t="n">
        <f aca="false">N23*$E$2*(1+$I$6)/($F$6-$I$6)/(1+$F$6)^$N$3</f>
        <v>13145.695849281</v>
      </c>
      <c r="Q23" s="15" t="n">
        <f aca="false">O23+P23</f>
        <v>22134.3223354577</v>
      </c>
      <c r="R23" s="15" t="n">
        <f aca="false">Q23-$G$2+$I$2</f>
        <v>19018.1223354577</v>
      </c>
      <c r="S23" s="42" t="n">
        <f aca="false">R23/$K$2</f>
        <v>168.451039286605</v>
      </c>
      <c r="T23" s="43" t="n">
        <f aca="false">S23-$M$2</f>
        <v>-0.016631218266383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0.00814056396484375</v>
      </c>
      <c r="C24" s="25" t="n">
        <f aca="false">IF(T23&gt;0,D23,C23)</f>
        <v>0.0081634521484375</v>
      </c>
      <c r="D24" s="41" t="n">
        <f aca="false">(B24+C24)/2</f>
        <v>0.00815200805664063</v>
      </c>
      <c r="E24" s="15" t="n">
        <f aca="false">$C$2*(1+IF(E$3&lt;=$O$2,$D24,$D24-($D24-$I$6)*MIN(E$3-$O$2,$Q$2)/$Q$2))</f>
        <v>7540.97702026367</v>
      </c>
      <c r="F24" s="15" t="n">
        <f aca="false">E24*(1+IF(F$3&lt;=$O$2,$D24,$D24-($D24-$I$6)*MIN(F$3-$O$2,$Q$2)/$Q$2))</f>
        <v>7602.4511256878</v>
      </c>
      <c r="G24" s="15" t="n">
        <f aca="false">F24*(1+IF(G$3&lt;=$O$2,$D24,$D24-($D24-$I$6)*MIN(G$3-$O$2,$Q$2)/$Q$2))</f>
        <v>7664.42636851463</v>
      </c>
      <c r="H24" s="15" t="n">
        <f aca="false">G24*(1+IF(H$3&lt;=$O$2,$D24,$D24-($D24-$I$6)*MIN(H$3-$O$2,$Q$2)/$Q$2))</f>
        <v>7726.90683402029</v>
      </c>
      <c r="I24" s="15" t="n">
        <f aca="false">H24*(1+IF(I$3&lt;=$O$2,$D24,$D24-($D24-$I$6)*MIN(I$3-$O$2,$Q$2)/$Q$2))</f>
        <v>7789.89664078413</v>
      </c>
      <c r="J24" s="15" t="n">
        <f aca="false">I24*(1+IF(J$3&lt;=$O$2,$D24,$D24-($D24-$I$6)*MIN(J$3-$O$2,$Q$2)/$Q$2))</f>
        <v>7884.79009591183</v>
      </c>
      <c r="K24" s="15" t="n">
        <f aca="false">J24*(1+IF(K$3&lt;=$O$2,$D24,$D24-($D24-$I$6)*MIN(K$3-$O$2,$Q$2)/$Q$2))</f>
        <v>8012.61204322962</v>
      </c>
      <c r="L24" s="15" t="n">
        <f aca="false">K24*(1+IF(L$3&lt;=$O$2,$D24,$D24-($D24-$I$6)*MIN(L$3-$O$2,$Q$2)/$Q$2))</f>
        <v>8174.79374689612</v>
      </c>
      <c r="M24" s="15" t="n">
        <f aca="false">L24*(1+IF(M$3&lt;=$O$2,$D24,$D24-($D24-$I$6)*MIN(M$3-$O$2,$Q$2)/$Q$2))</f>
        <v>8373.19927422306</v>
      </c>
      <c r="N24" s="15" t="n">
        <f aca="false">M24*(1+IF(N$3&lt;=$O$2,$D24,$D24-($D24-$I$6)*MIN(N$3-$O$2,$Q$2)/$Q$2))</f>
        <v>8610.16081368358</v>
      </c>
      <c r="O24" s="15" t="n">
        <f aca="false">SUMPRODUCT(E24:N24,1/(1+$F$6)^$E$3:$N$3)*$E$2</f>
        <v>8989.07662863182</v>
      </c>
      <c r="P24" s="15" t="n">
        <f aca="false">N24*$E$2*(1+$I$6)/($F$6-$I$6)/(1+$F$6)^$N$3</f>
        <v>13146.7381021155</v>
      </c>
      <c r="Q24" s="15" t="n">
        <f aca="false">O24+P24</f>
        <v>22135.8147307473</v>
      </c>
      <c r="R24" s="15" t="n">
        <f aca="false">Q24-$G$2+$I$2</f>
        <v>19019.6147307473</v>
      </c>
      <c r="S24" s="42" t="n">
        <f aca="false">R24/$K$2</f>
        <v>168.464258022562</v>
      </c>
      <c r="T24" s="43" t="n">
        <f aca="false">S24-$M$2</f>
        <v>-0.00341248230918723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0.00815200805664063</v>
      </c>
      <c r="C25" s="25" t="n">
        <f aca="false">IF(T24&gt;0,D24,C24)</f>
        <v>0.0081634521484375</v>
      </c>
      <c r="D25" s="41" t="n">
        <f aca="false">(B25+C25)/2</f>
        <v>0.00815773010253906</v>
      </c>
      <c r="E25" s="15" t="n">
        <f aca="false">$C$2*(1+IF(E$3&lt;=$O$2,$D25,$D25-($D25-$I$6)*MIN(E$3-$O$2,$Q$2)/$Q$2))</f>
        <v>7541.01982116699</v>
      </c>
      <c r="F25" s="15" t="n">
        <f aca="false">E25*(1+IF(F$3&lt;=$O$2,$D25,$D25-($D25-$I$6)*MIN(F$3-$O$2,$Q$2)/$Q$2))</f>
        <v>7602.53742556597</v>
      </c>
      <c r="G25" s="15" t="n">
        <f aca="false">F25*(1+IF(G$3&lt;=$O$2,$D25,$D25-($D25-$I$6)*MIN(G$3-$O$2,$Q$2)/$Q$2))</f>
        <v>7664.55687397819</v>
      </c>
      <c r="H25" s="15" t="n">
        <f aca="false">G25*(1+IF(H$3&lt;=$O$2,$D25,$D25-($D25-$I$6)*MIN(H$3-$O$2,$Q$2)/$Q$2))</f>
        <v>7727.08226031166</v>
      </c>
      <c r="I25" s="15" t="n">
        <f aca="false">H25*(1+IF(I$3&lt;=$O$2,$D25,$D25-($D25-$I$6)*MIN(I$3-$O$2,$Q$2)/$Q$2))</f>
        <v>7790.1177118714</v>
      </c>
      <c r="J25" s="15" t="n">
        <f aca="false">I25*(1+IF(J$3&lt;=$O$2,$D25,$D25-($D25-$I$6)*MIN(J$3-$O$2,$Q$2)/$Q$2))</f>
        <v>7885.04952032896</v>
      </c>
      <c r="K25" s="15" t="n">
        <f aca="false">J25*(1+IF(K$3&lt;=$O$2,$D25,$D25-($D25-$I$6)*MIN(K$3-$O$2,$Q$2)/$Q$2))</f>
        <v>8012.90274439828</v>
      </c>
      <c r="L25" s="15" t="n">
        <f aca="false">K25*(1+IF(L$3&lt;=$O$2,$D25,$D25-($D25-$I$6)*MIN(L$3-$O$2,$Q$2)/$Q$2))</f>
        <v>8175.10867216885</v>
      </c>
      <c r="M25" s="15" t="n">
        <f aca="false">L25*(1+IF(M$3&lt;=$O$2,$D25,$D25-($D25-$I$6)*MIN(M$3-$O$2,$Q$2)/$Q$2))</f>
        <v>8373.53119852804</v>
      </c>
      <c r="N25" s="15" t="n">
        <f aca="false">M25*(1+IF(N$3&lt;=$O$2,$D25,$D25-($D25-$I$6)*MIN(N$3-$O$2,$Q$2)/$Q$2))</f>
        <v>8610.50213144639</v>
      </c>
      <c r="O25" s="15" t="n">
        <f aca="false">SUMPRODUCT(E25:N25,1/(1+$F$6)^$E$3:$N$3)*$E$2</f>
        <v>8989.30170847887</v>
      </c>
      <c r="P25" s="15" t="n">
        <f aca="false">N25*$E$2*(1+$I$6)/($F$6-$I$6)/(1+$F$6)^$N$3</f>
        <v>13147.2592555915</v>
      </c>
      <c r="Q25" s="15" t="n">
        <f aca="false">O25+P25</f>
        <v>22136.5609640704</v>
      </c>
      <c r="R25" s="15" t="n">
        <f aca="false">Q25-$G$2+$I$2</f>
        <v>19020.3609640704</v>
      </c>
      <c r="S25" s="42" t="n">
        <f aca="false">R25/$K$2</f>
        <v>168.470867706558</v>
      </c>
      <c r="T25" s="43" t="n">
        <f aca="false">S25-$M$2</f>
        <v>0.00319720168627669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0.00815200805664063</v>
      </c>
      <c r="C26" s="25" t="n">
        <f aca="false">IF(T25&gt;0,D25,C25)</f>
        <v>0.00815773010253906</v>
      </c>
      <c r="D26" s="41" t="n">
        <f aca="false">(B26+C26)/2</f>
        <v>0.00815486907958984</v>
      </c>
      <c r="E26" s="15" t="n">
        <f aca="false">$C$2*(1+IF(E$3&lt;=$O$2,$D26,$D26-($D26-$I$6)*MIN(E$3-$O$2,$Q$2)/$Q$2))</f>
        <v>7540.99842071533</v>
      </c>
      <c r="F26" s="15" t="n">
        <f aca="false">E26*(1+IF(F$3&lt;=$O$2,$D26,$D26-($D26-$I$6)*MIN(F$3-$O$2,$Q$2)/$Q$2))</f>
        <v>7602.49427556566</v>
      </c>
      <c r="G26" s="15" t="n">
        <f aca="false">F26*(1+IF(G$3&lt;=$O$2,$D26,$D26-($D26-$I$6)*MIN(G$3-$O$2,$Q$2)/$Q$2))</f>
        <v>7664.49162106123</v>
      </c>
      <c r="H26" s="15" t="n">
        <f aca="false">G26*(1+IF(H$3&lt;=$O$2,$D26,$D26-($D26-$I$6)*MIN(H$3-$O$2,$Q$2)/$Q$2))</f>
        <v>7726.9945467926</v>
      </c>
      <c r="I26" s="15" t="n">
        <f aca="false">H26*(1+IF(I$3&lt;=$O$2,$D26,$D26-($D26-$I$6)*MIN(I$3-$O$2,$Q$2)/$Q$2))</f>
        <v>7790.00717570039</v>
      </c>
      <c r="J26" s="15" t="n">
        <f aca="false">I26*(1+IF(J$3&lt;=$O$2,$D26,$D26-($D26-$I$6)*MIN(J$3-$O$2,$Q$2)/$Q$2))</f>
        <v>7884.91980723238</v>
      </c>
      <c r="K26" s="15" t="n">
        <f aca="false">J26*(1+IF(K$3&lt;=$O$2,$D26,$D26-($D26-$I$6)*MIN(K$3-$O$2,$Q$2)/$Q$2))</f>
        <v>8012.75739268888</v>
      </c>
      <c r="L26" s="15" t="n">
        <f aca="false">K26*(1+IF(L$3&lt;=$O$2,$D26,$D26-($D26-$I$6)*MIN(L$3-$O$2,$Q$2)/$Q$2))</f>
        <v>8174.95120821829</v>
      </c>
      <c r="M26" s="15" t="n">
        <f aca="false">L26*(1+IF(M$3&lt;=$O$2,$D26,$D26-($D26-$I$6)*MIN(M$3-$O$2,$Q$2)/$Q$2))</f>
        <v>8373.36523493937</v>
      </c>
      <c r="N26" s="15" t="n">
        <f aca="false">M26*(1+IF(N$3&lt;=$O$2,$D26,$D26-($D26-$I$6)*MIN(N$3-$O$2,$Q$2)/$Q$2))</f>
        <v>8610.33147108815</v>
      </c>
      <c r="O26" s="15" t="n">
        <f aca="false">SUMPRODUCT(E26:N26,1/(1+$F$6)^$E$3:$N$3)*$E$2</f>
        <v>8989.18916783704</v>
      </c>
      <c r="P26" s="15" t="n">
        <f aca="false">N26*$E$2*(1+$I$6)/($F$6-$I$6)/(1+$F$6)^$N$3</f>
        <v>13146.9986765985</v>
      </c>
      <c r="Q26" s="15" t="n">
        <f aca="false">O26+P26</f>
        <v>22136.1878444356</v>
      </c>
      <c r="R26" s="15" t="n">
        <f aca="false">Q26-$G$2+$I$2</f>
        <v>19019.9878444356</v>
      </c>
      <c r="S26" s="42" t="n">
        <f aca="false">R26/$K$2</f>
        <v>168.467562838225</v>
      </c>
      <c r="T26" s="43" t="n">
        <f aca="false">S26-$M$2</f>
        <v>-0.000107666646840698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0.00815486907958984</v>
      </c>
      <c r="C27" s="25" t="n">
        <f aca="false">IF(T26&gt;0,D26,C26)</f>
        <v>0.00815773010253906</v>
      </c>
      <c r="D27" s="41" t="n">
        <f aca="false">(B27+C27)/2</f>
        <v>0.00815629959106445</v>
      </c>
      <c r="E27" s="15" t="n">
        <f aca="false">$C$2*(1+IF(E$3&lt;=$O$2,$D27,$D27-($D27-$I$6)*MIN(E$3-$O$2,$Q$2)/$Q$2))</f>
        <v>7541.00912094116</v>
      </c>
      <c r="F27" s="15" t="n">
        <f aca="false">E27*(1+IF(F$3&lt;=$O$2,$D27,$D27-($D27-$I$6)*MIN(F$3-$O$2,$Q$2)/$Q$2))</f>
        <v>7602.51585055051</v>
      </c>
      <c r="G27" s="15" t="n">
        <f aca="false">F27*(1+IF(G$3&lt;=$O$2,$D27,$D27-($D27-$I$6)*MIN(G$3-$O$2,$Q$2)/$Q$2))</f>
        <v>7664.52424747341</v>
      </c>
      <c r="H27" s="15" t="n">
        <f aca="false">G27*(1+IF(H$3&lt;=$O$2,$D27,$D27-($D27-$I$6)*MIN(H$3-$O$2,$Q$2)/$Q$2))</f>
        <v>7727.03840345879</v>
      </c>
      <c r="I27" s="15" t="n">
        <f aca="false">H27*(1+IF(I$3&lt;=$O$2,$D27,$D27-($D27-$I$6)*MIN(I$3-$O$2,$Q$2)/$Q$2))</f>
        <v>7790.06244362906</v>
      </c>
      <c r="J27" s="15" t="n">
        <f aca="false">I27*(1+IF(J$3&lt;=$O$2,$D27,$D27-($D27-$I$6)*MIN(J$3-$O$2,$Q$2)/$Q$2))</f>
        <v>7884.98466355867</v>
      </c>
      <c r="K27" s="15" t="n">
        <f aca="false">J27*(1+IF(K$3&lt;=$O$2,$D27,$D27-($D27-$I$6)*MIN(K$3-$O$2,$Q$2)/$Q$2))</f>
        <v>8012.83006826231</v>
      </c>
      <c r="L27" s="15" t="n">
        <f aca="false">K27*(1+IF(L$3&lt;=$O$2,$D27,$D27-($D27-$I$6)*MIN(L$3-$O$2,$Q$2)/$Q$2))</f>
        <v>8175.02993986502</v>
      </c>
      <c r="M27" s="15" t="n">
        <f aca="false">L27*(1+IF(M$3&lt;=$O$2,$D27,$D27-($D27-$I$6)*MIN(M$3-$O$2,$Q$2)/$Q$2))</f>
        <v>8373.44821637465</v>
      </c>
      <c r="N27" s="15" t="n">
        <f aca="false">M27*(1+IF(N$3&lt;=$O$2,$D27,$D27-($D27-$I$6)*MIN(N$3-$O$2,$Q$2)/$Q$2))</f>
        <v>8610.41680089806</v>
      </c>
      <c r="O27" s="15" t="n">
        <f aca="false">SUMPRODUCT(E27:N27,1/(1+$F$6)^$E$3:$N$3)*$E$2</f>
        <v>8989.24543797838</v>
      </c>
      <c r="P27" s="15" t="n">
        <f aca="false">N27*$E$2*(1+$I$6)/($F$6-$I$6)/(1+$F$6)^$N$3</f>
        <v>13147.1289655313</v>
      </c>
      <c r="Q27" s="15" t="n">
        <f aca="false">O27+P27</f>
        <v>22136.3744035097</v>
      </c>
      <c r="R27" s="15" t="n">
        <f aca="false">Q27-$G$2+$I$2</f>
        <v>19020.1744035097</v>
      </c>
      <c r="S27" s="42" t="n">
        <f aca="false">R27/$K$2</f>
        <v>168.469215265807</v>
      </c>
      <c r="T27" s="43" t="n">
        <f aca="false">S27-$M$2</f>
        <v>0.00154476093578637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0.00815486907958984</v>
      </c>
      <c r="C28" s="25" t="n">
        <f aca="false">IF(T27&gt;0,D27,C27)</f>
        <v>0.00815629959106445</v>
      </c>
      <c r="D28" s="41" t="n">
        <f aca="false">(B28+C28)/2</f>
        <v>0.00815558433532715</v>
      </c>
      <c r="E28" s="15" t="n">
        <f aca="false">$C$2*(1+IF(E$3&lt;=$O$2,$D28,$D28-($D28-$I$6)*MIN(E$3-$O$2,$Q$2)/$Q$2))</f>
        <v>7541.00377082825</v>
      </c>
      <c r="F28" s="15" t="n">
        <f aca="false">E28*(1+IF(F$3&lt;=$O$2,$D28,$D28-($D28-$I$6)*MIN(F$3-$O$2,$Q$2)/$Q$2))</f>
        <v>7602.50506305426</v>
      </c>
      <c r="G28" s="15" t="n">
        <f aca="false">F28*(1+IF(G$3&lt;=$O$2,$D28,$D28-($D28-$I$6)*MIN(G$3-$O$2,$Q$2)/$Q$2))</f>
        <v>7664.50793425575</v>
      </c>
      <c r="H28" s="15" t="n">
        <f aca="false">G28*(1+IF(H$3&lt;=$O$2,$D28,$D28-($D28-$I$6)*MIN(H$3-$O$2,$Q$2)/$Q$2))</f>
        <v>7727.01647510236</v>
      </c>
      <c r="I28" s="15" t="n">
        <f aca="false">H28*(1+IF(I$3&lt;=$O$2,$D28,$D28-($D28-$I$6)*MIN(I$3-$O$2,$Q$2)/$Q$2))</f>
        <v>7790.03480962552</v>
      </c>
      <c r="J28" s="15" t="n">
        <f aca="false">I28*(1+IF(J$3&lt;=$O$2,$D28,$D28-($D28-$I$6)*MIN(J$3-$O$2,$Q$2)/$Q$2))</f>
        <v>7884.95223534002</v>
      </c>
      <c r="K28" s="15" t="n">
        <f aca="false">J28*(1+IF(K$3&lt;=$O$2,$D28,$D28-($D28-$I$6)*MIN(K$3-$O$2,$Q$2)/$Q$2))</f>
        <v>8012.79373040528</v>
      </c>
      <c r="L28" s="15" t="n">
        <f aca="false">K28*(1+IF(L$3&lt;=$O$2,$D28,$D28-($D28-$I$6)*MIN(L$3-$O$2,$Q$2)/$Q$2))</f>
        <v>8174.99057395952</v>
      </c>
      <c r="M28" s="15" t="n">
        <f aca="false">L28*(1+IF(M$3&lt;=$O$2,$D28,$D28-($D28-$I$6)*MIN(M$3-$O$2,$Q$2)/$Q$2))</f>
        <v>8373.40672556725</v>
      </c>
      <c r="N28" s="15" t="n">
        <f aca="false">M28*(1+IF(N$3&lt;=$O$2,$D28,$D28-($D28-$I$6)*MIN(N$3-$O$2,$Q$2)/$Q$2))</f>
        <v>8610.3741359008</v>
      </c>
      <c r="O28" s="15" t="n">
        <f aca="false">SUMPRODUCT(E28:N28,1/(1+$F$6)^$E$3:$N$3)*$E$2</f>
        <v>8989.21730286281</v>
      </c>
      <c r="P28" s="15" t="n">
        <f aca="false">N28*$E$2*(1+$I$6)/($F$6-$I$6)/(1+$F$6)^$N$3</f>
        <v>13147.063820924</v>
      </c>
      <c r="Q28" s="15" t="n">
        <f aca="false">O28+P28</f>
        <v>22136.2811237868</v>
      </c>
      <c r="R28" s="15" t="n">
        <f aca="false">Q28-$G$2+$I$2</f>
        <v>19020.0811237868</v>
      </c>
      <c r="S28" s="42" t="n">
        <f aca="false">R28/$K$2</f>
        <v>168.46838905037</v>
      </c>
      <c r="T28" s="43" t="n">
        <f aca="false">S28-$M$2</f>
        <v>0.000718545498500589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0.00815486907958984</v>
      </c>
      <c r="C29" s="25" t="n">
        <f aca="false">IF(T28&gt;0,D28,C28)</f>
        <v>0.00815558433532715</v>
      </c>
      <c r="D29" s="41" t="n">
        <f aca="false">(B29+C29)/2</f>
        <v>0.0081552267074585</v>
      </c>
      <c r="E29" s="15" t="n">
        <f aca="false">$C$2*(1+IF(E$3&lt;=$O$2,$D29,$D29-($D29-$I$6)*MIN(E$3-$O$2,$Q$2)/$Q$2))</f>
        <v>7541.00109577179</v>
      </c>
      <c r="F29" s="15" t="n">
        <f aca="false">E29*(1+IF(F$3&lt;=$O$2,$D29,$D29-($D29-$I$6)*MIN(F$3-$O$2,$Q$2)/$Q$2))</f>
        <v>7602.499669309</v>
      </c>
      <c r="G29" s="15" t="n">
        <f aca="false">F29*(1+IF(G$3&lt;=$O$2,$D29,$D29-($D29-$I$6)*MIN(G$3-$O$2,$Q$2)/$Q$2))</f>
        <v>7664.4997776556</v>
      </c>
      <c r="H29" s="15" t="n">
        <f aca="false">G29*(1+IF(H$3&lt;=$O$2,$D29,$D29-($D29-$I$6)*MIN(H$3-$O$2,$Q$2)/$Q$2))</f>
        <v>7727.00551094164</v>
      </c>
      <c r="I29" s="15" t="n">
        <f aca="false">H29*(1+IF(I$3&lt;=$O$2,$D29,$D29-($D29-$I$6)*MIN(I$3-$O$2,$Q$2)/$Q$2))</f>
        <v>7790.02099265315</v>
      </c>
      <c r="J29" s="15" t="n">
        <f aca="false">I29*(1+IF(J$3&lt;=$O$2,$D29,$D29-($D29-$I$6)*MIN(J$3-$O$2,$Q$2)/$Q$2))</f>
        <v>7884.93602127233</v>
      </c>
      <c r="K29" s="15" t="n">
        <f aca="false">J29*(1+IF(K$3&lt;=$O$2,$D29,$D29-($D29-$I$6)*MIN(K$3-$O$2,$Q$2)/$Q$2))</f>
        <v>8012.7755615295</v>
      </c>
      <c r="L29" s="15" t="n">
        <f aca="false">K29*(1+IF(L$3&lt;=$O$2,$D29,$D29-($D29-$I$6)*MIN(L$3-$O$2,$Q$2)/$Q$2))</f>
        <v>8174.97089106837</v>
      </c>
      <c r="M29" s="15" t="n">
        <f aca="false">L29*(1+IF(M$3&lt;=$O$2,$D29,$D29-($D29-$I$6)*MIN(M$3-$O$2,$Q$2)/$Q$2))</f>
        <v>8373.38598023087</v>
      </c>
      <c r="N29" s="15" t="n">
        <f aca="false">M29*(1+IF(N$3&lt;=$O$2,$D29,$D29-($D29-$I$6)*MIN(N$3-$O$2,$Q$2)/$Q$2))</f>
        <v>8610.3528034714</v>
      </c>
      <c r="O29" s="15" t="n">
        <f aca="false">SUMPRODUCT(E29:N29,1/(1+$F$6)^$E$3:$N$3)*$E$2</f>
        <v>8989.2032353387</v>
      </c>
      <c r="P29" s="15" t="n">
        <f aca="false">N29*$E$2*(1+$I$6)/($F$6-$I$6)/(1+$F$6)^$N$3</f>
        <v>13147.031248726</v>
      </c>
      <c r="Q29" s="15" t="n">
        <f aca="false">O29+P29</f>
        <v>22136.2344840647</v>
      </c>
      <c r="R29" s="15" t="n">
        <f aca="false">Q29-$G$2+$I$2</f>
        <v>19020.0344840647</v>
      </c>
      <c r="S29" s="42" t="n">
        <f aca="false">R29/$K$2</f>
        <v>168.467975943886</v>
      </c>
      <c r="T29" s="43" t="n">
        <f aca="false">S29-$M$2</f>
        <v>0.000305439014340436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0.00815486907958984</v>
      </c>
      <c r="C30" s="25" t="n">
        <f aca="false">IF(T29&gt;0,D29,C29)</f>
        <v>0.0081552267074585</v>
      </c>
      <c r="D30" s="41" t="n">
        <f aca="false">(B30+C30)/2</f>
        <v>0.00815504789352417</v>
      </c>
      <c r="E30" s="15" t="n">
        <f aca="false">$C$2*(1+IF(E$3&lt;=$O$2,$D30,$D30-($D30-$I$6)*MIN(E$3-$O$2,$Q$2)/$Q$2))</f>
        <v>7540.99975824356</v>
      </c>
      <c r="F30" s="15" t="n">
        <f aca="false">E30*(1+IF(F$3&lt;=$O$2,$D30,$D30-($D30-$I$6)*MIN(F$3-$O$2,$Q$2)/$Q$2))</f>
        <v>7602.49697243709</v>
      </c>
      <c r="G30" s="15" t="n">
        <f aca="false">F30*(1+IF(G$3&lt;=$O$2,$D30,$D30-($D30-$I$6)*MIN(G$3-$O$2,$Q$2)/$Q$2))</f>
        <v>7664.49569935769</v>
      </c>
      <c r="H30" s="15" t="n">
        <f aca="false">G30*(1+IF(H$3&lt;=$O$2,$D30,$D30-($D30-$I$6)*MIN(H$3-$O$2,$Q$2)/$Q$2))</f>
        <v>7727.00002886566</v>
      </c>
      <c r="I30" s="15" t="n">
        <f aca="false">H30*(1+IF(I$3&lt;=$O$2,$D30,$D30-($D30-$I$6)*MIN(I$3-$O$2,$Q$2)/$Q$2))</f>
        <v>7790.01408417432</v>
      </c>
      <c r="J30" s="15" t="n">
        <f aca="false">I30*(1+IF(J$3&lt;=$O$2,$D30,$D30-($D30-$I$6)*MIN(J$3-$O$2,$Q$2)/$Q$2))</f>
        <v>7884.92791424888</v>
      </c>
      <c r="K30" s="15" t="n">
        <f aca="false">J30*(1+IF(K$3&lt;=$O$2,$D30,$D30-($D30-$I$6)*MIN(K$3-$O$2,$Q$2)/$Q$2))</f>
        <v>8012.76647710479</v>
      </c>
      <c r="L30" s="15" t="n">
        <f aca="false">K30*(1+IF(L$3&lt;=$O$2,$D30,$D30-($D30-$I$6)*MIN(L$3-$O$2,$Q$2)/$Q$2))</f>
        <v>8174.9610496382</v>
      </c>
      <c r="M30" s="15" t="n">
        <f aca="false">L30*(1+IF(M$3&lt;=$O$2,$D30,$D30-($D30-$I$6)*MIN(M$3-$O$2,$Q$2)/$Q$2))</f>
        <v>8373.37560757951</v>
      </c>
      <c r="N30" s="15" t="n">
        <f aca="false">M30*(1+IF(N$3&lt;=$O$2,$D30,$D30-($D30-$I$6)*MIN(N$3-$O$2,$Q$2)/$Q$2))</f>
        <v>8610.34213727401</v>
      </c>
      <c r="O30" s="15" t="n">
        <f aca="false">SUMPRODUCT(E30:N30,1/(1+$F$6)^$E$3:$N$3)*$E$2</f>
        <v>8989.19620158506</v>
      </c>
      <c r="P30" s="15" t="n">
        <f aca="false">N30*$E$2*(1+$I$6)/($F$6-$I$6)/(1+$F$6)^$N$3</f>
        <v>13147.0149626535</v>
      </c>
      <c r="Q30" s="15" t="n">
        <f aca="false">O30+P30</f>
        <v>22136.2111642385</v>
      </c>
      <c r="R30" s="15" t="n">
        <f aca="false">Q30-$G$2+$I$2</f>
        <v>19020.0111642385</v>
      </c>
      <c r="S30" s="42" t="n">
        <f aca="false">R30/$K$2</f>
        <v>168.467769390952</v>
      </c>
      <c r="T30" s="43" t="n">
        <f aca="false">S30-$M$2</f>
        <v>9.88860808774916E-005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0.00815486907958984</v>
      </c>
      <c r="C31" s="25" t="n">
        <f aca="false">IF(T30&gt;0,D30,C30)</f>
        <v>0.00815504789352417</v>
      </c>
      <c r="D31" s="41" t="n">
        <f aca="false">(B31+C31)/2</f>
        <v>0.00815495848655701</v>
      </c>
      <c r="E31" s="15" t="n">
        <f aca="false">$C$2*(1+IF(E$3&lt;=$O$2,$D31,$D31-($D31-$I$6)*MIN(E$3-$O$2,$Q$2)/$Q$2))</f>
        <v>7540.99908947945</v>
      </c>
      <c r="F31" s="15" t="n">
        <f aca="false">E31*(1+IF(F$3&lt;=$O$2,$D31,$D31-($D31-$I$6)*MIN(F$3-$O$2,$Q$2)/$Q$2))</f>
        <v>7602.49562400132</v>
      </c>
      <c r="G31" s="15" t="n">
        <f aca="false">F31*(1+IF(G$3&lt;=$O$2,$D31,$D31-($D31-$I$6)*MIN(G$3-$O$2,$Q$2)/$Q$2))</f>
        <v>7664.49366020928</v>
      </c>
      <c r="H31" s="15" t="n">
        <f aca="false">G31*(1+IF(H$3&lt;=$O$2,$D31,$D31-($D31-$I$6)*MIN(H$3-$O$2,$Q$2)/$Q$2))</f>
        <v>7726.99728782876</v>
      </c>
      <c r="I31" s="15" t="n">
        <f aca="false">H31*(1+IF(I$3&lt;=$O$2,$D31,$D31-($D31-$I$6)*MIN(I$3-$O$2,$Q$2)/$Q$2))</f>
        <v>7790.01062993675</v>
      </c>
      <c r="J31" s="15" t="n">
        <f aca="false">I31*(1+IF(J$3&lt;=$O$2,$D31,$D31-($D31-$I$6)*MIN(J$3-$O$2,$Q$2)/$Q$2))</f>
        <v>7884.92386073977</v>
      </c>
      <c r="K31" s="15" t="n">
        <f aca="false">J31*(1+IF(K$3&lt;=$O$2,$D31,$D31-($D31-$I$6)*MIN(K$3-$O$2,$Q$2)/$Q$2))</f>
        <v>8012.76193489574</v>
      </c>
      <c r="L31" s="15" t="n">
        <f aca="false">K31*(1+IF(L$3&lt;=$O$2,$D31,$D31-($D31-$I$6)*MIN(L$3-$O$2,$Q$2)/$Q$2))</f>
        <v>8174.95612892696</v>
      </c>
      <c r="M31" s="15" t="n">
        <f aca="false">L31*(1+IF(M$3&lt;=$O$2,$D31,$D31-($D31-$I$6)*MIN(M$3-$O$2,$Q$2)/$Q$2))</f>
        <v>8373.37042125803</v>
      </c>
      <c r="N31" s="15" t="n">
        <f aca="false">M31*(1+IF(N$3&lt;=$O$2,$D31,$D31-($D31-$I$6)*MIN(N$3-$O$2,$Q$2)/$Q$2))</f>
        <v>8610.33680417964</v>
      </c>
      <c r="O31" s="15" t="n">
        <f aca="false">SUMPRODUCT(E31:N31,1/(1+$F$6)^$E$3:$N$3)*$E$2</f>
        <v>8989.19268471035</v>
      </c>
      <c r="P31" s="15" t="n">
        <f aca="false">N31*$E$2*(1+$I$6)/($F$6-$I$6)/(1+$F$6)^$N$3</f>
        <v>13147.0068196238</v>
      </c>
      <c r="Q31" s="15" t="n">
        <f aca="false">O31+P31</f>
        <v>22136.1995043342</v>
      </c>
      <c r="R31" s="15" t="n">
        <f aca="false">Q31-$G$2+$I$2</f>
        <v>19019.9995043342</v>
      </c>
      <c r="S31" s="42" t="n">
        <f aca="false">R31/$K$2</f>
        <v>168.467666114563</v>
      </c>
      <c r="T31" s="43" t="n">
        <f aca="false">S31-$M$2</f>
        <v>-4.39030870325041E-006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0.00815495848655701</v>
      </c>
      <c r="C32" s="25" t="n">
        <f aca="false">IF(T31&gt;0,D31,C31)</f>
        <v>0.00815504789352417</v>
      </c>
      <c r="D32" s="41" t="n">
        <f aca="false">(B32+C32)/2</f>
        <v>0.00815500319004059</v>
      </c>
      <c r="E32" s="15" t="n">
        <f aca="false">$C$2*(1+IF(E$3&lt;=$O$2,$D32,$D32-($D32-$I$6)*MIN(E$3-$O$2,$Q$2)/$Q$2))</f>
        <v>7540.9994238615</v>
      </c>
      <c r="F32" s="15" t="n">
        <f aca="false">E32*(1+IF(F$3&lt;=$O$2,$D32,$D32-($D32-$I$6)*MIN(F$3-$O$2,$Q$2)/$Q$2))</f>
        <v>7602.49629821919</v>
      </c>
      <c r="G32" s="15" t="n">
        <f aca="false">F32*(1+IF(G$3&lt;=$O$2,$D32,$D32-($D32-$I$6)*MIN(G$3-$O$2,$Q$2)/$Q$2))</f>
        <v>7664.49467978344</v>
      </c>
      <c r="H32" s="15" t="n">
        <f aca="false">G32*(1+IF(H$3&lt;=$O$2,$D32,$D32-($D32-$I$6)*MIN(H$3-$O$2,$Q$2)/$Q$2))</f>
        <v>7726.99865834712</v>
      </c>
      <c r="I32" s="15" t="n">
        <f aca="false">H32*(1+IF(I$3&lt;=$O$2,$D32,$D32-($D32-$I$6)*MIN(I$3-$O$2,$Q$2)/$Q$2))</f>
        <v>7790.01235705538</v>
      </c>
      <c r="J32" s="15" t="n">
        <f aca="false">I32*(1+IF(J$3&lt;=$O$2,$D32,$D32-($D32-$I$6)*MIN(J$3-$O$2,$Q$2)/$Q$2))</f>
        <v>7884.92588749411</v>
      </c>
      <c r="K32" s="15" t="n">
        <f aca="false">J32*(1+IF(K$3&lt;=$O$2,$D32,$D32-($D32-$I$6)*MIN(K$3-$O$2,$Q$2)/$Q$2))</f>
        <v>8012.76420599999</v>
      </c>
      <c r="L32" s="15" t="n">
        <f aca="false">K32*(1+IF(L$3&lt;=$O$2,$D32,$D32-($D32-$I$6)*MIN(L$3-$O$2,$Q$2)/$Q$2))</f>
        <v>8174.95858928226</v>
      </c>
      <c r="M32" s="15" t="n">
        <f aca="false">L32*(1+IF(M$3&lt;=$O$2,$D32,$D32-($D32-$I$6)*MIN(M$3-$O$2,$Q$2)/$Q$2))</f>
        <v>8373.37301441842</v>
      </c>
      <c r="N32" s="15" t="n">
        <f aca="false">M32*(1+IF(N$3&lt;=$O$2,$D32,$D32-($D32-$I$6)*MIN(N$3-$O$2,$Q$2)/$Q$2))</f>
        <v>8610.33947072646</v>
      </c>
      <c r="O32" s="15" t="n">
        <f aca="false">SUMPRODUCT(E32:N32,1/(1+$F$6)^$E$3:$N$3)*$E$2</f>
        <v>8989.19444314753</v>
      </c>
      <c r="P32" s="15" t="n">
        <f aca="false">N32*$E$2*(1+$I$6)/($F$6-$I$6)/(1+$F$6)^$N$3</f>
        <v>13147.0108911381</v>
      </c>
      <c r="Q32" s="15" t="n">
        <f aca="false">O32+P32</f>
        <v>22136.2053342856</v>
      </c>
      <c r="R32" s="15" t="n">
        <f aca="false">Q32-$G$2+$I$2</f>
        <v>19020.0053342856</v>
      </c>
      <c r="S32" s="42" t="n">
        <f aca="false">R32/$K$2</f>
        <v>168.467717752751</v>
      </c>
      <c r="T32" s="43" t="n">
        <f aca="false">S32-$M$2</f>
        <v>4.72478796496034E-005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0.00815495848655701</v>
      </c>
      <c r="C33" s="25" t="n">
        <f aca="false">IF(T32&gt;0,D32,C32)</f>
        <v>0.00815500319004059</v>
      </c>
      <c r="D33" s="41" t="n">
        <f aca="false">(B33+C33)/2</f>
        <v>0.0081549808382988</v>
      </c>
      <c r="E33" s="15" t="n">
        <f aca="false">$C$2*(1+IF(E$3&lt;=$O$2,$D33,$D33-($D33-$I$6)*MIN(E$3-$O$2,$Q$2)/$Q$2))</f>
        <v>7540.99925667048</v>
      </c>
      <c r="F33" s="15" t="n">
        <f aca="false">E33*(1+IF(F$3&lt;=$O$2,$D33,$D33-($D33-$I$6)*MIN(F$3-$O$2,$Q$2)/$Q$2))</f>
        <v>7602.49596111025</v>
      </c>
      <c r="G33" s="15" t="n">
        <f aca="false">F33*(1+IF(G$3&lt;=$O$2,$D33,$D33-($D33-$I$6)*MIN(G$3-$O$2,$Q$2)/$Q$2))</f>
        <v>7664.49416999635</v>
      </c>
      <c r="H33" s="15" t="n">
        <f aca="false">G33*(1+IF(H$3&lt;=$O$2,$D33,$D33-($D33-$I$6)*MIN(H$3-$O$2,$Q$2)/$Q$2))</f>
        <v>7726.99797308792</v>
      </c>
      <c r="I33" s="15" t="n">
        <f aca="false">H33*(1+IF(I$3&lt;=$O$2,$D33,$D33-($D33-$I$6)*MIN(I$3-$O$2,$Q$2)/$Q$2))</f>
        <v>7790.01149349603</v>
      </c>
      <c r="J33" s="15" t="n">
        <f aca="false">I33*(1+IF(J$3&lt;=$O$2,$D33,$D33-($D33-$I$6)*MIN(J$3-$O$2,$Q$2)/$Q$2))</f>
        <v>7884.92487411688</v>
      </c>
      <c r="K33" s="15" t="n">
        <f aca="false">J33*(1+IF(K$3&lt;=$O$2,$D33,$D33-($D33-$I$6)*MIN(K$3-$O$2,$Q$2)/$Q$2))</f>
        <v>8012.7630704478</v>
      </c>
      <c r="L33" s="15" t="n">
        <f aca="false">K33*(1+IF(L$3&lt;=$O$2,$D33,$D33-($D33-$I$6)*MIN(L$3-$O$2,$Q$2)/$Q$2))</f>
        <v>8174.95735910453</v>
      </c>
      <c r="M33" s="15" t="n">
        <f aca="false">L33*(1+IF(M$3&lt;=$O$2,$D33,$D33-($D33-$I$6)*MIN(M$3-$O$2,$Q$2)/$Q$2))</f>
        <v>8373.37171783814</v>
      </c>
      <c r="N33" s="15" t="n">
        <f aca="false">M33*(1+IF(N$3&lt;=$O$2,$D33,$D33-($D33-$I$6)*MIN(N$3-$O$2,$Q$2)/$Q$2))</f>
        <v>8610.33813745296</v>
      </c>
      <c r="O33" s="15" t="n">
        <f aca="false">SUMPRODUCT(E33:N33,1/(1+$F$6)^$E$3:$N$3)*$E$2</f>
        <v>8989.1935639289</v>
      </c>
      <c r="P33" s="15" t="n">
        <f aca="false">N33*$E$2*(1+$I$6)/($F$6-$I$6)/(1+$F$6)^$N$3</f>
        <v>13147.0088553808</v>
      </c>
      <c r="Q33" s="15" t="n">
        <f aca="false">O33+P33</f>
        <v>22136.2024193097</v>
      </c>
      <c r="R33" s="15" t="n">
        <f aca="false">Q33-$G$2+$I$2</f>
        <v>19020.0024193097</v>
      </c>
      <c r="S33" s="42" t="n">
        <f aca="false">R33/$K$2</f>
        <v>168.467691933655</v>
      </c>
      <c r="T33" s="43" t="n">
        <f aca="false">S33-$M$2</f>
        <v>2.14287838673499E-005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0.00815495848655701</v>
      </c>
      <c r="C34" s="25" t="n">
        <f aca="false">IF(T33&gt;0,D33,C33)</f>
        <v>0.0081549808382988</v>
      </c>
      <c r="D34" s="41" t="n">
        <f aca="false">(B34+C34)/2</f>
        <v>0.0081549696624279</v>
      </c>
      <c r="E34" s="15" t="n">
        <f aca="false">$C$2*(1+IF(E$3&lt;=$O$2,$D34,$D34-($D34-$I$6)*MIN(E$3-$O$2,$Q$2)/$Q$2))</f>
        <v>7540.99917307496</v>
      </c>
      <c r="F34" s="15" t="n">
        <f aca="false">E34*(1+IF(F$3&lt;=$O$2,$D34,$D34-($D34-$I$6)*MIN(F$3-$O$2,$Q$2)/$Q$2))</f>
        <v>7602.49579255578</v>
      </c>
      <c r="G34" s="15" t="n">
        <f aca="false">F34*(1+IF(G$3&lt;=$O$2,$D34,$D34-($D34-$I$6)*MIN(G$3-$O$2,$Q$2)/$Q$2))</f>
        <v>7664.49391510281</v>
      </c>
      <c r="H34" s="15" t="n">
        <f aca="false">G34*(1+IF(H$3&lt;=$O$2,$D34,$D34-($D34-$I$6)*MIN(H$3-$O$2,$Q$2)/$Q$2))</f>
        <v>7726.99763045834</v>
      </c>
      <c r="I34" s="15" t="n">
        <f aca="false">H34*(1+IF(I$3&lt;=$O$2,$D34,$D34-($D34-$I$6)*MIN(I$3-$O$2,$Q$2)/$Q$2))</f>
        <v>7790.01106171638</v>
      </c>
      <c r="J34" s="15" t="n">
        <f aca="false">I34*(1+IF(J$3&lt;=$O$2,$D34,$D34-($D34-$I$6)*MIN(J$3-$O$2,$Q$2)/$Q$2))</f>
        <v>7884.92436742831</v>
      </c>
      <c r="K34" s="15" t="n">
        <f aca="false">J34*(1+IF(K$3&lt;=$O$2,$D34,$D34-($D34-$I$6)*MIN(K$3-$O$2,$Q$2)/$Q$2))</f>
        <v>8012.76250267175</v>
      </c>
      <c r="L34" s="15" t="n">
        <f aca="false">K34*(1+IF(L$3&lt;=$O$2,$D34,$D34-($D34-$I$6)*MIN(L$3-$O$2,$Q$2)/$Q$2))</f>
        <v>8174.95674401573</v>
      </c>
      <c r="M34" s="15" t="n">
        <f aca="false">L34*(1+IF(M$3&lt;=$O$2,$D34,$D34-($D34-$I$6)*MIN(M$3-$O$2,$Q$2)/$Q$2))</f>
        <v>8373.37106954806</v>
      </c>
      <c r="N34" s="15" t="n">
        <f aca="false">M34*(1+IF(N$3&lt;=$O$2,$D34,$D34-($D34-$I$6)*MIN(N$3-$O$2,$Q$2)/$Q$2))</f>
        <v>8610.33747081627</v>
      </c>
      <c r="O34" s="15" t="n">
        <f aca="false">SUMPRODUCT(E34:N34,1/(1+$F$6)^$E$3:$N$3)*$E$2</f>
        <v>8989.19312431961</v>
      </c>
      <c r="P34" s="15" t="n">
        <f aca="false">N34*$E$2*(1+$I$6)/($F$6-$I$6)/(1+$F$6)^$N$3</f>
        <v>13147.0078375023</v>
      </c>
      <c r="Q34" s="15" t="n">
        <f aca="false">O34+P34</f>
        <v>22136.2009618219</v>
      </c>
      <c r="R34" s="15" t="n">
        <f aca="false">Q34-$G$2+$I$2</f>
        <v>19020.0009618219</v>
      </c>
      <c r="S34" s="42" t="n">
        <f aca="false">R34/$K$2</f>
        <v>168.467679024109</v>
      </c>
      <c r="T34" s="43" t="n">
        <f aca="false">S34-$M$2</f>
        <v>8.51923715572411E-006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0.00815495848655701</v>
      </c>
      <c r="C35" s="25" t="n">
        <f aca="false">IF(T34&gt;0,D34,C34)</f>
        <v>0.0081549696624279</v>
      </c>
      <c r="D35" s="41" t="n">
        <f aca="false">(B35+C35)/2</f>
        <v>0.00815496407449246</v>
      </c>
      <c r="E35" s="15" t="n">
        <f aca="false">$C$2*(1+IF(E$3&lt;=$O$2,$D35,$D35-($D35-$I$6)*MIN(E$3-$O$2,$Q$2)/$Q$2))</f>
        <v>7540.9991312772</v>
      </c>
      <c r="F35" s="15" t="n">
        <f aca="false">E35*(1+IF(F$3&lt;=$O$2,$D35,$D35-($D35-$I$6)*MIN(F$3-$O$2,$Q$2)/$Q$2))</f>
        <v>7602.49570827855</v>
      </c>
      <c r="G35" s="15" t="n">
        <f aca="false">F35*(1+IF(G$3&lt;=$O$2,$D35,$D35-($D35-$I$6)*MIN(G$3-$O$2,$Q$2)/$Q$2))</f>
        <v>7664.49378765604</v>
      </c>
      <c r="H35" s="15" t="n">
        <f aca="false">G35*(1+IF(H$3&lt;=$O$2,$D35,$D35-($D35-$I$6)*MIN(H$3-$O$2,$Q$2)/$Q$2))</f>
        <v>7726.99745914355</v>
      </c>
      <c r="I35" s="15" t="n">
        <f aca="false">H35*(1+IF(I$3&lt;=$O$2,$D35,$D35-($D35-$I$6)*MIN(I$3-$O$2,$Q$2)/$Q$2))</f>
        <v>7790.01084582656</v>
      </c>
      <c r="J35" s="15" t="n">
        <f aca="false">I35*(1+IF(J$3&lt;=$O$2,$D35,$D35-($D35-$I$6)*MIN(J$3-$O$2,$Q$2)/$Q$2))</f>
        <v>7884.92411408403</v>
      </c>
      <c r="K35" s="15" t="n">
        <f aca="false">J35*(1+IF(K$3&lt;=$O$2,$D35,$D35-($D35-$I$6)*MIN(K$3-$O$2,$Q$2)/$Q$2))</f>
        <v>8012.76221878374</v>
      </c>
      <c r="L35" s="15" t="n">
        <f aca="false">K35*(1+IF(L$3&lt;=$O$2,$D35,$D35-($D35-$I$6)*MIN(L$3-$O$2,$Q$2)/$Q$2))</f>
        <v>8174.95643647134</v>
      </c>
      <c r="M35" s="15" t="n">
        <f aca="false">L35*(1+IF(M$3&lt;=$O$2,$D35,$D35-($D35-$I$6)*MIN(M$3-$O$2,$Q$2)/$Q$2))</f>
        <v>8373.37074540304</v>
      </c>
      <c r="N35" s="15" t="n">
        <f aca="false">M35*(1+IF(N$3&lt;=$O$2,$D35,$D35-($D35-$I$6)*MIN(N$3-$O$2,$Q$2)/$Q$2))</f>
        <v>8610.33713749795</v>
      </c>
      <c r="O35" s="15" t="n">
        <f aca="false">SUMPRODUCT(E35:N35,1/(1+$F$6)^$E$3:$N$3)*$E$2</f>
        <v>8989.19290451498</v>
      </c>
      <c r="P35" s="15" t="n">
        <f aca="false">N35*$E$2*(1+$I$6)/($F$6-$I$6)/(1+$F$6)^$N$3</f>
        <v>13147.007328563</v>
      </c>
      <c r="Q35" s="15" t="n">
        <f aca="false">O35+P35</f>
        <v>22136.200233078</v>
      </c>
      <c r="R35" s="15" t="n">
        <f aca="false">Q35-$G$2+$I$2</f>
        <v>19020.000233078</v>
      </c>
      <c r="S35" s="42" t="n">
        <f aca="false">R35/$K$2</f>
        <v>168.467672569336</v>
      </c>
      <c r="T35" s="43" t="n">
        <f aca="false">S35-$M$2</f>
        <v>2.06446412676087E-006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0.00815495848655701</v>
      </c>
      <c r="C36" s="25" t="n">
        <f aca="false">IF(T35&gt;0,D35,C35)</f>
        <v>0.00815496407449246</v>
      </c>
      <c r="D36" s="41" t="n">
        <f aca="false">(B36+C36)/2</f>
        <v>0.00815496128052473</v>
      </c>
      <c r="E36" s="15" t="n">
        <f aca="false">$C$2*(1+IF(E$3&lt;=$O$2,$D36,$D36-($D36-$I$6)*MIN(E$3-$O$2,$Q$2)/$Q$2))</f>
        <v>7540.99911037833</v>
      </c>
      <c r="F36" s="15" t="n">
        <f aca="false">E36*(1+IF(F$3&lt;=$O$2,$D36,$D36-($D36-$I$6)*MIN(F$3-$O$2,$Q$2)/$Q$2))</f>
        <v>7602.49566613993</v>
      </c>
      <c r="G36" s="15" t="n">
        <f aca="false">F36*(1+IF(G$3&lt;=$O$2,$D36,$D36-($D36-$I$6)*MIN(G$3-$O$2,$Q$2)/$Q$2))</f>
        <v>7664.49372393266</v>
      </c>
      <c r="H36" s="15" t="n">
        <f aca="false">G36*(1+IF(H$3&lt;=$O$2,$D36,$D36-($D36-$I$6)*MIN(H$3-$O$2,$Q$2)/$Q$2))</f>
        <v>7726.99737348616</v>
      </c>
      <c r="I36" s="15" t="n">
        <f aca="false">H36*(1+IF(I$3&lt;=$O$2,$D36,$D36-($D36-$I$6)*MIN(I$3-$O$2,$Q$2)/$Q$2))</f>
        <v>7790.01073788165</v>
      </c>
      <c r="J36" s="15" t="n">
        <f aca="false">I36*(1+IF(J$3&lt;=$O$2,$D36,$D36-($D36-$I$6)*MIN(J$3-$O$2,$Q$2)/$Q$2))</f>
        <v>7884.9239874119</v>
      </c>
      <c r="K36" s="15" t="n">
        <f aca="false">J36*(1+IF(K$3&lt;=$O$2,$D36,$D36-($D36-$I$6)*MIN(K$3-$O$2,$Q$2)/$Q$2))</f>
        <v>8012.76207683974</v>
      </c>
      <c r="L36" s="15" t="n">
        <f aca="false">K36*(1+IF(L$3&lt;=$O$2,$D36,$D36-($D36-$I$6)*MIN(L$3-$O$2,$Q$2)/$Q$2))</f>
        <v>8174.95628269915</v>
      </c>
      <c r="M36" s="15" t="n">
        <f aca="false">L36*(1+IF(M$3&lt;=$O$2,$D36,$D36-($D36-$I$6)*MIN(M$3-$O$2,$Q$2)/$Q$2))</f>
        <v>8373.37058333054</v>
      </c>
      <c r="N36" s="15" t="n">
        <f aca="false">M36*(1+IF(N$3&lt;=$O$2,$D36,$D36-($D36-$I$6)*MIN(N$3-$O$2,$Q$2)/$Q$2))</f>
        <v>8610.33697083879</v>
      </c>
      <c r="O36" s="15" t="n">
        <f aca="false">SUMPRODUCT(E36:N36,1/(1+$F$6)^$E$3:$N$3)*$E$2</f>
        <v>8989.19279461267</v>
      </c>
      <c r="P36" s="15" t="n">
        <f aca="false">N36*$E$2*(1+$I$6)/($F$6-$I$6)/(1+$F$6)^$N$3</f>
        <v>13147.0070740934</v>
      </c>
      <c r="Q36" s="15" t="n">
        <f aca="false">O36+P36</f>
        <v>22136.1998687061</v>
      </c>
      <c r="R36" s="15" t="n">
        <f aca="false">Q36-$G$2+$I$2</f>
        <v>19019.9998687061</v>
      </c>
      <c r="S36" s="42" t="n">
        <f aca="false">R36/$K$2</f>
        <v>168.467669341949</v>
      </c>
      <c r="T36" s="43" t="n">
        <f aca="false">S36-$M$2</f>
        <v>-1.16292230245563E-006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0.00815496128052473</v>
      </c>
      <c r="C37" s="25" t="n">
        <f aca="false">IF(T36&gt;0,D36,C36)</f>
        <v>0.00815496407449246</v>
      </c>
      <c r="D37" s="41" t="n">
        <f aca="false">(B37+C37)/2</f>
        <v>0.00815496267750859</v>
      </c>
      <c r="E37" s="15" t="n">
        <f aca="false">$C$2*(1+IF(E$3&lt;=$O$2,$D37,$D37-($D37-$I$6)*MIN(E$3-$O$2,$Q$2)/$Q$2))</f>
        <v>7540.99912082776</v>
      </c>
      <c r="F37" s="15" t="n">
        <f aca="false">E37*(1+IF(F$3&lt;=$O$2,$D37,$D37-($D37-$I$6)*MIN(F$3-$O$2,$Q$2)/$Q$2))</f>
        <v>7602.49568720924</v>
      </c>
      <c r="G37" s="15" t="n">
        <f aca="false">F37*(1+IF(G$3&lt;=$O$2,$D37,$D37-($D37-$I$6)*MIN(G$3-$O$2,$Q$2)/$Q$2))</f>
        <v>7664.49375579435</v>
      </c>
      <c r="H37" s="15" t="n">
        <f aca="false">G37*(1+IF(H$3&lt;=$O$2,$D37,$D37-($D37-$I$6)*MIN(H$3-$O$2,$Q$2)/$Q$2))</f>
        <v>7726.99741631485</v>
      </c>
      <c r="I37" s="15" t="n">
        <f aca="false">H37*(1+IF(I$3&lt;=$O$2,$D37,$D37-($D37-$I$6)*MIN(I$3-$O$2,$Q$2)/$Q$2))</f>
        <v>7790.0107918541</v>
      </c>
      <c r="J37" s="15" t="n">
        <f aca="false">I37*(1+IF(J$3&lt;=$O$2,$D37,$D37-($D37-$I$6)*MIN(J$3-$O$2,$Q$2)/$Q$2))</f>
        <v>7884.92405074797</v>
      </c>
      <c r="K37" s="15" t="n">
        <f aca="false">J37*(1+IF(K$3&lt;=$O$2,$D37,$D37-($D37-$I$6)*MIN(K$3-$O$2,$Q$2)/$Q$2))</f>
        <v>8012.76214781174</v>
      </c>
      <c r="L37" s="15" t="n">
        <f aca="false">K37*(1+IF(L$3&lt;=$O$2,$D37,$D37-($D37-$I$6)*MIN(L$3-$O$2,$Q$2)/$Q$2))</f>
        <v>8174.95635958524</v>
      </c>
      <c r="M37" s="15" t="n">
        <f aca="false">L37*(1+IF(M$3&lt;=$O$2,$D37,$D37-($D37-$I$6)*MIN(M$3-$O$2,$Q$2)/$Q$2))</f>
        <v>8373.37066436679</v>
      </c>
      <c r="N37" s="15" t="n">
        <f aca="false">M37*(1+IF(N$3&lt;=$O$2,$D37,$D37-($D37-$I$6)*MIN(N$3-$O$2,$Q$2)/$Q$2))</f>
        <v>8610.33705416837</v>
      </c>
      <c r="O37" s="15" t="n">
        <f aca="false">SUMPRODUCT(E37:N37,1/(1+$F$6)^$E$3:$N$3)*$E$2</f>
        <v>8989.19284956382</v>
      </c>
      <c r="P37" s="15" t="n">
        <f aca="false">N37*$E$2*(1+$I$6)/($F$6-$I$6)/(1+$F$6)^$N$3</f>
        <v>13147.0072013282</v>
      </c>
      <c r="Q37" s="15" t="n">
        <f aca="false">O37+P37</f>
        <v>22136.200050892</v>
      </c>
      <c r="R37" s="15" t="n">
        <f aca="false">Q37-$G$2+$I$2</f>
        <v>19020.000050892</v>
      </c>
      <c r="S37" s="42" t="n">
        <f aca="false">R37/$K$2</f>
        <v>168.467670955643</v>
      </c>
      <c r="T37" s="43" t="n">
        <f aca="false">S37-$M$2</f>
        <v>4.50770897941766E-007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0.00815496128052473</v>
      </c>
      <c r="C38" s="25" t="n">
        <f aca="false">IF(T37&gt;0,D37,C37)</f>
        <v>0.00815496267750859</v>
      </c>
      <c r="D38" s="41" t="n">
        <f aca="false">(B38+C38)/2</f>
        <v>0.00815496197901666</v>
      </c>
      <c r="E38" s="15" t="n">
        <f aca="false">$C$2*(1+IF(E$3&lt;=$O$2,$D38,$D38-($D38-$I$6)*MIN(E$3-$O$2,$Q$2)/$Q$2))</f>
        <v>7540.99911560305</v>
      </c>
      <c r="F38" s="15" t="n">
        <f aca="false">E38*(1+IF(F$3&lt;=$O$2,$D38,$D38-($D38-$I$6)*MIN(F$3-$O$2,$Q$2)/$Q$2))</f>
        <v>7602.49567667459</v>
      </c>
      <c r="G38" s="15" t="n">
        <f aca="false">F38*(1+IF(G$3&lt;=$O$2,$D38,$D38-($D38-$I$6)*MIN(G$3-$O$2,$Q$2)/$Q$2))</f>
        <v>7664.49373986351</v>
      </c>
      <c r="H38" s="15" t="n">
        <f aca="false">G38*(1+IF(H$3&lt;=$O$2,$D38,$D38-($D38-$I$6)*MIN(H$3-$O$2,$Q$2)/$Q$2))</f>
        <v>7726.9973949005</v>
      </c>
      <c r="I38" s="15" t="n">
        <f aca="false">H38*(1+IF(I$3&lt;=$O$2,$D38,$D38-($D38-$I$6)*MIN(I$3-$O$2,$Q$2)/$Q$2))</f>
        <v>7790.01076486788</v>
      </c>
      <c r="J38" s="15" t="n">
        <f aca="false">I38*(1+IF(J$3&lt;=$O$2,$D38,$D38-($D38-$I$6)*MIN(J$3-$O$2,$Q$2)/$Q$2))</f>
        <v>7884.92401907993</v>
      </c>
      <c r="K38" s="15" t="n">
        <f aca="false">J38*(1+IF(K$3&lt;=$O$2,$D38,$D38-($D38-$I$6)*MIN(K$3-$O$2,$Q$2)/$Q$2))</f>
        <v>8012.76211232574</v>
      </c>
      <c r="L38" s="15" t="n">
        <f aca="false">K38*(1+IF(L$3&lt;=$O$2,$D38,$D38-($D38-$I$6)*MIN(L$3-$O$2,$Q$2)/$Q$2))</f>
        <v>8174.9563211422</v>
      </c>
      <c r="M38" s="15" t="n">
        <f aca="false">L38*(1+IF(M$3&lt;=$O$2,$D38,$D38-($D38-$I$6)*MIN(M$3-$O$2,$Q$2)/$Q$2))</f>
        <v>8373.37062384866</v>
      </c>
      <c r="N38" s="15" t="n">
        <f aca="false">M38*(1+IF(N$3&lt;=$O$2,$D38,$D38-($D38-$I$6)*MIN(N$3-$O$2,$Q$2)/$Q$2))</f>
        <v>8610.33701250358</v>
      </c>
      <c r="O38" s="15" t="n">
        <f aca="false">SUMPRODUCT(E38:N38,1/(1+$F$6)^$E$3:$N$3)*$E$2</f>
        <v>8989.19282208824</v>
      </c>
      <c r="P38" s="15" t="n">
        <f aca="false">N38*$E$2*(1+$I$6)/($F$6-$I$6)/(1+$F$6)^$N$3</f>
        <v>13147.0071377108</v>
      </c>
      <c r="Q38" s="15" t="n">
        <f aca="false">O38+P38</f>
        <v>22136.1999597991</v>
      </c>
      <c r="R38" s="15" t="n">
        <f aca="false">Q38-$G$2+$I$2</f>
        <v>19019.9999597991</v>
      </c>
      <c r="S38" s="42" t="n">
        <f aca="false">R38/$K$2</f>
        <v>168.467670148796</v>
      </c>
      <c r="T38" s="43" t="n">
        <f aca="false">S38-$M$2</f>
        <v>-3.56075702256931E-007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0.00815496197901666</v>
      </c>
      <c r="C39" s="25" t="n">
        <f aca="false">IF(T38&gt;0,D38,C38)</f>
        <v>0.00815496267750859</v>
      </c>
      <c r="D39" s="41" t="n">
        <f aca="false">(B39+C39)/2</f>
        <v>0.00815496232826263</v>
      </c>
      <c r="E39" s="15" t="n">
        <f aca="false">$C$2*(1+IF(E$3&lt;=$O$2,$D39,$D39-($D39-$I$6)*MIN(E$3-$O$2,$Q$2)/$Q$2))</f>
        <v>7540.9991182154</v>
      </c>
      <c r="F39" s="15" t="n">
        <f aca="false">E39*(1+IF(F$3&lt;=$O$2,$D39,$D39-($D39-$I$6)*MIN(F$3-$O$2,$Q$2)/$Q$2))</f>
        <v>7602.49568194191</v>
      </c>
      <c r="G39" s="15" t="n">
        <f aca="false">F39*(1+IF(G$3&lt;=$O$2,$D39,$D39-($D39-$I$6)*MIN(G$3-$O$2,$Q$2)/$Q$2))</f>
        <v>7664.49374782893</v>
      </c>
      <c r="H39" s="15" t="n">
        <f aca="false">G39*(1+IF(H$3&lt;=$O$2,$D39,$D39-($D39-$I$6)*MIN(H$3-$O$2,$Q$2)/$Q$2))</f>
        <v>7726.99740560768</v>
      </c>
      <c r="I39" s="15" t="n">
        <f aca="false">H39*(1+IF(I$3&lt;=$O$2,$D39,$D39-($D39-$I$6)*MIN(I$3-$O$2,$Q$2)/$Q$2))</f>
        <v>7790.01077836099</v>
      </c>
      <c r="J39" s="15" t="n">
        <f aca="false">I39*(1+IF(J$3&lt;=$O$2,$D39,$D39-($D39-$I$6)*MIN(J$3-$O$2,$Q$2)/$Q$2))</f>
        <v>7884.92403491395</v>
      </c>
      <c r="K39" s="15" t="n">
        <f aca="false">J39*(1+IF(K$3&lt;=$O$2,$D39,$D39-($D39-$I$6)*MIN(K$3-$O$2,$Q$2)/$Q$2))</f>
        <v>8012.76213006874</v>
      </c>
      <c r="L39" s="15" t="n">
        <f aca="false">K39*(1+IF(L$3&lt;=$O$2,$D39,$D39-($D39-$I$6)*MIN(L$3-$O$2,$Q$2)/$Q$2))</f>
        <v>8174.95634036372</v>
      </c>
      <c r="M39" s="15" t="n">
        <f aca="false">L39*(1+IF(M$3&lt;=$O$2,$D39,$D39-($D39-$I$6)*MIN(M$3-$O$2,$Q$2)/$Q$2))</f>
        <v>8373.37064410773</v>
      </c>
      <c r="N39" s="15" t="n">
        <f aca="false">M39*(1+IF(N$3&lt;=$O$2,$D39,$D39-($D39-$I$6)*MIN(N$3-$O$2,$Q$2)/$Q$2))</f>
        <v>8610.33703333598</v>
      </c>
      <c r="O39" s="15" t="n">
        <f aca="false">SUMPRODUCT(E39:N39,1/(1+$F$6)^$E$3:$N$3)*$E$2</f>
        <v>8989.19283582603</v>
      </c>
      <c r="P39" s="15" t="n">
        <f aca="false">N39*$E$2*(1+$I$6)/($F$6-$I$6)/(1+$F$6)^$N$3</f>
        <v>13147.0071695195</v>
      </c>
      <c r="Q39" s="15" t="n">
        <f aca="false">O39+P39</f>
        <v>22136.2000053456</v>
      </c>
      <c r="R39" s="15" t="n">
        <f aca="false">Q39-$G$2+$I$2</f>
        <v>19020.0000053456</v>
      </c>
      <c r="S39" s="42" t="n">
        <f aca="false">R39/$K$2</f>
        <v>168.467670552219</v>
      </c>
      <c r="T39" s="43" t="n">
        <f aca="false">S39-$M$2</f>
        <v>4.73476404749817E-008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0.00815496197901666</v>
      </c>
      <c r="C40" s="25" t="n">
        <f aca="false">IF(T39&gt;0,D39,C39)</f>
        <v>0.00815496232826263</v>
      </c>
      <c r="D40" s="41" t="n">
        <f aca="false">(B40+C40)/2</f>
        <v>0.00815496215363964</v>
      </c>
      <c r="E40" s="15" t="n">
        <f aca="false">$C$2*(1+IF(E$3&lt;=$O$2,$D40,$D40-($D40-$I$6)*MIN(E$3-$O$2,$Q$2)/$Q$2))</f>
        <v>7540.99911690922</v>
      </c>
      <c r="F40" s="15" t="n">
        <f aca="false">E40*(1+IF(F$3&lt;=$O$2,$D40,$D40-($D40-$I$6)*MIN(F$3-$O$2,$Q$2)/$Q$2))</f>
        <v>7602.49567930825</v>
      </c>
      <c r="G40" s="15" t="n">
        <f aca="false">F40*(1+IF(G$3&lt;=$O$2,$D40,$D40-($D40-$I$6)*MIN(G$3-$O$2,$Q$2)/$Q$2))</f>
        <v>7664.49374384622</v>
      </c>
      <c r="H40" s="15" t="n">
        <f aca="false">G40*(1+IF(H$3&lt;=$O$2,$D40,$D40-($D40-$I$6)*MIN(H$3-$O$2,$Q$2)/$Q$2))</f>
        <v>7726.99740025409</v>
      </c>
      <c r="I40" s="15" t="n">
        <f aca="false">H40*(1+IF(I$3&lt;=$O$2,$D40,$D40-($D40-$I$6)*MIN(I$3-$O$2,$Q$2)/$Q$2))</f>
        <v>7790.01077161443</v>
      </c>
      <c r="J40" s="15" t="n">
        <f aca="false">I40*(1+IF(J$3&lt;=$O$2,$D40,$D40-($D40-$I$6)*MIN(J$3-$O$2,$Q$2)/$Q$2))</f>
        <v>7884.92402699694</v>
      </c>
      <c r="K40" s="15" t="n">
        <f aca="false">J40*(1+IF(K$3&lt;=$O$2,$D40,$D40-($D40-$I$6)*MIN(K$3-$O$2,$Q$2)/$Q$2))</f>
        <v>8012.76212119724</v>
      </c>
      <c r="L40" s="15" t="n">
        <f aca="false">K40*(1+IF(L$3&lt;=$O$2,$D40,$D40-($D40-$I$6)*MIN(L$3-$O$2,$Q$2)/$Q$2))</f>
        <v>8174.95633075296</v>
      </c>
      <c r="M40" s="15" t="n">
        <f aca="false">L40*(1+IF(M$3&lt;=$O$2,$D40,$D40-($D40-$I$6)*MIN(M$3-$O$2,$Q$2)/$Q$2))</f>
        <v>8373.37063397819</v>
      </c>
      <c r="N40" s="15" t="n">
        <f aca="false">M40*(1+IF(N$3&lt;=$O$2,$D40,$D40-($D40-$I$6)*MIN(N$3-$O$2,$Q$2)/$Q$2))</f>
        <v>8610.33702291978</v>
      </c>
      <c r="O40" s="15" t="n">
        <f aca="false">SUMPRODUCT(E40:N40,1/(1+$F$6)^$E$3:$N$3)*$E$2</f>
        <v>8989.19282895714</v>
      </c>
      <c r="P40" s="15" t="n">
        <f aca="false">N40*$E$2*(1+$I$6)/($F$6-$I$6)/(1+$F$6)^$N$3</f>
        <v>13147.0071536152</v>
      </c>
      <c r="Q40" s="15" t="n">
        <f aca="false">O40+P40</f>
        <v>22136.1999825723</v>
      </c>
      <c r="R40" s="15" t="n">
        <f aca="false">Q40-$G$2+$I$2</f>
        <v>19019.9999825723</v>
      </c>
      <c r="S40" s="42" t="n">
        <f aca="false">R40/$K$2</f>
        <v>168.467670350508</v>
      </c>
      <c r="T40" s="43" t="n">
        <f aca="false">S40-$M$2</f>
        <v>-1.54364073523539E-007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0.00815496215363964</v>
      </c>
      <c r="C41" s="25" t="n">
        <f aca="false">IF(T40&gt;0,D40,C40)</f>
        <v>0.00815496232826263</v>
      </c>
      <c r="D41" s="41" t="n">
        <f aca="false">(B41+C41)/2</f>
        <v>0.00815496224095114</v>
      </c>
      <c r="E41" s="15" t="n">
        <f aca="false">$C$2*(1+IF(E$3&lt;=$O$2,$D41,$D41-($D41-$I$6)*MIN(E$3-$O$2,$Q$2)/$Q$2))</f>
        <v>7540.99911756231</v>
      </c>
      <c r="F41" s="15" t="n">
        <f aca="false">E41*(1+IF(F$3&lt;=$O$2,$D41,$D41-($D41-$I$6)*MIN(F$3-$O$2,$Q$2)/$Q$2))</f>
        <v>7602.49568062508</v>
      </c>
      <c r="G41" s="15" t="n">
        <f aca="false">F41*(1+IF(G$3&lt;=$O$2,$D41,$D41-($D41-$I$6)*MIN(G$3-$O$2,$Q$2)/$Q$2))</f>
        <v>7664.49374583757</v>
      </c>
      <c r="H41" s="15" t="n">
        <f aca="false">G41*(1+IF(H$3&lt;=$O$2,$D41,$D41-($D41-$I$6)*MIN(H$3-$O$2,$Q$2)/$Q$2))</f>
        <v>7726.99740293088</v>
      </c>
      <c r="I41" s="15" t="n">
        <f aca="false">H41*(1+IF(I$3&lt;=$O$2,$D41,$D41-($D41-$I$6)*MIN(I$3-$O$2,$Q$2)/$Q$2))</f>
        <v>7790.01077498771</v>
      </c>
      <c r="J41" s="15" t="n">
        <f aca="false">I41*(1+IF(J$3&lt;=$O$2,$D41,$D41-($D41-$I$6)*MIN(J$3-$O$2,$Q$2)/$Q$2))</f>
        <v>7884.92403095545</v>
      </c>
      <c r="K41" s="15" t="n">
        <f aca="false">J41*(1+IF(K$3&lt;=$O$2,$D41,$D41-($D41-$I$6)*MIN(K$3-$O$2,$Q$2)/$Q$2))</f>
        <v>8012.76212563299</v>
      </c>
      <c r="L41" s="15" t="n">
        <f aca="false">K41*(1+IF(L$3&lt;=$O$2,$D41,$D41-($D41-$I$6)*MIN(L$3-$O$2,$Q$2)/$Q$2))</f>
        <v>8174.95633555834</v>
      </c>
      <c r="M41" s="15" t="n">
        <f aca="false">L41*(1+IF(M$3&lt;=$O$2,$D41,$D41-($D41-$I$6)*MIN(M$3-$O$2,$Q$2)/$Q$2))</f>
        <v>8373.37063904296</v>
      </c>
      <c r="N41" s="15" t="n">
        <f aca="false">M41*(1+IF(N$3&lt;=$O$2,$D41,$D41-($D41-$I$6)*MIN(N$3-$O$2,$Q$2)/$Q$2))</f>
        <v>8610.33702812788</v>
      </c>
      <c r="O41" s="15" t="n">
        <f aca="false">SUMPRODUCT(E41:N41,1/(1+$F$6)^$E$3:$N$3)*$E$2</f>
        <v>8989.19283239158</v>
      </c>
      <c r="P41" s="15" t="n">
        <f aca="false">N41*$E$2*(1+$I$6)/($F$6-$I$6)/(1+$F$6)^$N$3</f>
        <v>13147.0071615673</v>
      </c>
      <c r="Q41" s="15" t="n">
        <f aca="false">O41+P41</f>
        <v>22136.1999939589</v>
      </c>
      <c r="R41" s="15" t="n">
        <f aca="false">Q41-$G$2+$I$2</f>
        <v>19019.9999939589</v>
      </c>
      <c r="S41" s="42" t="n">
        <f aca="false">R41/$K$2</f>
        <v>168.467670451363</v>
      </c>
      <c r="T41" s="43" t="n">
        <f aca="false">S41-$M$2</f>
        <v>-5.35082449459878E-008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0.00815496224095114</v>
      </c>
      <c r="C42" s="25" t="n">
        <f aca="false">IF(T41&gt;0,D41,C41)</f>
        <v>0.00815496232826263</v>
      </c>
      <c r="D42" s="41" t="n">
        <f aca="false">(B42+C42)/2</f>
        <v>0.00815496228460688</v>
      </c>
      <c r="E42" s="15" t="n">
        <f aca="false">$C$2*(1+IF(E$3&lt;=$O$2,$D42,$D42-($D42-$I$6)*MIN(E$3-$O$2,$Q$2)/$Q$2))</f>
        <v>7540.99911788886</v>
      </c>
      <c r="F42" s="15" t="n">
        <f aca="false">E42*(1+IF(F$3&lt;=$O$2,$D42,$D42-($D42-$I$6)*MIN(F$3-$O$2,$Q$2)/$Q$2))</f>
        <v>7602.4956812835</v>
      </c>
      <c r="G42" s="15" t="n">
        <f aca="false">F42*(1+IF(G$3&lt;=$O$2,$D42,$D42-($D42-$I$6)*MIN(G$3-$O$2,$Q$2)/$Q$2))</f>
        <v>7664.49374683325</v>
      </c>
      <c r="H42" s="15" t="n">
        <f aca="false">G42*(1+IF(H$3&lt;=$O$2,$D42,$D42-($D42-$I$6)*MIN(H$3-$O$2,$Q$2)/$Q$2))</f>
        <v>7726.99740426928</v>
      </c>
      <c r="I42" s="15" t="n">
        <f aca="false">H42*(1+IF(I$3&lt;=$O$2,$D42,$D42-($D42-$I$6)*MIN(I$3-$O$2,$Q$2)/$Q$2))</f>
        <v>7790.01077667435</v>
      </c>
      <c r="J42" s="15" t="n">
        <f aca="false">I42*(1+IF(J$3&lt;=$O$2,$D42,$D42-($D42-$I$6)*MIN(J$3-$O$2,$Q$2)/$Q$2))</f>
        <v>7884.9240329347</v>
      </c>
      <c r="K42" s="15" t="n">
        <f aca="false">J42*(1+IF(K$3&lt;=$O$2,$D42,$D42-($D42-$I$6)*MIN(K$3-$O$2,$Q$2)/$Q$2))</f>
        <v>8012.76212785086</v>
      </c>
      <c r="L42" s="15" t="n">
        <f aca="false">K42*(1+IF(L$3&lt;=$O$2,$D42,$D42-($D42-$I$6)*MIN(L$3-$O$2,$Q$2)/$Q$2))</f>
        <v>8174.95633796103</v>
      </c>
      <c r="M42" s="15" t="n">
        <f aca="false">L42*(1+IF(M$3&lt;=$O$2,$D42,$D42-($D42-$I$6)*MIN(M$3-$O$2,$Q$2)/$Q$2))</f>
        <v>8373.37064157534</v>
      </c>
      <c r="N42" s="15" t="n">
        <f aca="false">M42*(1+IF(N$3&lt;=$O$2,$D42,$D42-($D42-$I$6)*MIN(N$3-$O$2,$Q$2)/$Q$2))</f>
        <v>8610.33703073193</v>
      </c>
      <c r="O42" s="15" t="n">
        <f aca="false">SUMPRODUCT(E42:N42,1/(1+$F$6)^$E$3:$N$3)*$E$2</f>
        <v>8989.19283410881</v>
      </c>
      <c r="P42" s="15" t="n">
        <f aca="false">N42*$E$2*(1+$I$6)/($F$6-$I$6)/(1+$F$6)^$N$3</f>
        <v>13147.0071655434</v>
      </c>
      <c r="Q42" s="15" t="n">
        <f aca="false">O42+P42</f>
        <v>22136.1999996522</v>
      </c>
      <c r="R42" s="15" t="n">
        <f aca="false">Q42-$G$2+$I$2</f>
        <v>19019.9999996522</v>
      </c>
      <c r="S42" s="42" t="n">
        <f aca="false">R42/$K$2</f>
        <v>168.467670501791</v>
      </c>
      <c r="T42" s="43" t="n">
        <f aca="false">S42-$M$2</f>
        <v>-3.08031644635776E-009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0.00815496228460688</v>
      </c>
      <c r="C43" s="25" t="n">
        <f aca="false">IF(T42&gt;0,D42,C42)</f>
        <v>0.00815496232826263</v>
      </c>
      <c r="D43" s="41" t="n">
        <f aca="false">(B43+C43)/2</f>
        <v>0.00815496230643475</v>
      </c>
      <c r="E43" s="15" t="n">
        <f aca="false">$C$2*(1+IF(E$3&lt;=$O$2,$D43,$D43-($D43-$I$6)*MIN(E$3-$O$2,$Q$2)/$Q$2))</f>
        <v>7540.99911805213</v>
      </c>
      <c r="F43" s="15" t="n">
        <f aca="false">E43*(1+IF(F$3&lt;=$O$2,$D43,$D43-($D43-$I$6)*MIN(F$3-$O$2,$Q$2)/$Q$2))</f>
        <v>7602.49568161271</v>
      </c>
      <c r="G43" s="15" t="n">
        <f aca="false">F43*(1+IF(G$3&lt;=$O$2,$D43,$D43-($D43-$I$6)*MIN(G$3-$O$2,$Q$2)/$Q$2))</f>
        <v>7664.49374733109</v>
      </c>
      <c r="H43" s="15" t="n">
        <f aca="false">G43*(1+IF(H$3&lt;=$O$2,$D43,$D43-($D43-$I$6)*MIN(H$3-$O$2,$Q$2)/$Q$2))</f>
        <v>7726.99740493848</v>
      </c>
      <c r="I43" s="15" t="n">
        <f aca="false">H43*(1+IF(I$3&lt;=$O$2,$D43,$D43-($D43-$I$6)*MIN(I$3-$O$2,$Q$2)/$Q$2))</f>
        <v>7790.01077751767</v>
      </c>
      <c r="J43" s="15" t="n">
        <f aca="false">I43*(1+IF(J$3&lt;=$O$2,$D43,$D43-($D43-$I$6)*MIN(J$3-$O$2,$Q$2)/$Q$2))</f>
        <v>7884.92403392432</v>
      </c>
      <c r="K43" s="15" t="n">
        <f aca="false">J43*(1+IF(K$3&lt;=$O$2,$D43,$D43-($D43-$I$6)*MIN(K$3-$O$2,$Q$2)/$Q$2))</f>
        <v>8012.7621289598</v>
      </c>
      <c r="L43" s="15" t="n">
        <f aca="false">K43*(1+IF(L$3&lt;=$O$2,$D43,$D43-($D43-$I$6)*MIN(L$3-$O$2,$Q$2)/$Q$2))</f>
        <v>8174.95633916237</v>
      </c>
      <c r="M43" s="15" t="n">
        <f aca="false">L43*(1+IF(M$3&lt;=$O$2,$D43,$D43-($D43-$I$6)*MIN(M$3-$O$2,$Q$2)/$Q$2))</f>
        <v>8373.37064284153</v>
      </c>
      <c r="N43" s="15" t="n">
        <f aca="false">M43*(1+IF(N$3&lt;=$O$2,$D43,$D43-($D43-$I$6)*MIN(N$3-$O$2,$Q$2)/$Q$2))</f>
        <v>8610.33703203395</v>
      </c>
      <c r="O43" s="15" t="n">
        <f aca="false">SUMPRODUCT(E43:N43,1/(1+$F$6)^$E$3:$N$3)*$E$2</f>
        <v>8989.19283496742</v>
      </c>
      <c r="P43" s="15" t="n">
        <f aca="false">N43*$E$2*(1+$I$6)/($F$6-$I$6)/(1+$F$6)^$N$3</f>
        <v>13147.0071675315</v>
      </c>
      <c r="Q43" s="15" t="n">
        <f aca="false">O43+P43</f>
        <v>22136.2000024989</v>
      </c>
      <c r="R43" s="15" t="n">
        <f aca="false">Q43-$G$2+$I$2</f>
        <v>19020.0000024989</v>
      </c>
      <c r="S43" s="42" t="n">
        <f aca="false">R43/$K$2</f>
        <v>168.467670527005</v>
      </c>
      <c r="T43" s="43" t="n">
        <f aca="false">S43-$M$2</f>
        <v>2.21336051708931E-008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0.00815496228460688</v>
      </c>
      <c r="C44" s="25" t="n">
        <f aca="false">IF(T43&gt;0,D43,C43)</f>
        <v>0.00815496230643475</v>
      </c>
      <c r="D44" s="41" t="n">
        <f aca="false">(B44+C44)/2</f>
        <v>0.00815496229552082</v>
      </c>
      <c r="E44" s="15" t="n">
        <f aca="false">$C$2*(1+IF(E$3&lt;=$O$2,$D44,$D44-($D44-$I$6)*MIN(E$3-$O$2,$Q$2)/$Q$2))</f>
        <v>7540.9991179705</v>
      </c>
      <c r="F44" s="15" t="n">
        <f aca="false">E44*(1+IF(F$3&lt;=$O$2,$D44,$D44-($D44-$I$6)*MIN(F$3-$O$2,$Q$2)/$Q$2))</f>
        <v>7602.4956814481</v>
      </c>
      <c r="G44" s="15" t="n">
        <f aca="false">F44*(1+IF(G$3&lt;=$O$2,$D44,$D44-($D44-$I$6)*MIN(G$3-$O$2,$Q$2)/$Q$2))</f>
        <v>7664.49374708217</v>
      </c>
      <c r="H44" s="15" t="n">
        <f aca="false">G44*(1+IF(H$3&lt;=$O$2,$D44,$D44-($D44-$I$6)*MIN(H$3-$O$2,$Q$2)/$Q$2))</f>
        <v>7726.99740460388</v>
      </c>
      <c r="I44" s="15" t="n">
        <f aca="false">H44*(1+IF(I$3&lt;=$O$2,$D44,$D44-($D44-$I$6)*MIN(I$3-$O$2,$Q$2)/$Q$2))</f>
        <v>7790.01077709601</v>
      </c>
      <c r="J44" s="15" t="n">
        <f aca="false">I44*(1+IF(J$3&lt;=$O$2,$D44,$D44-($D44-$I$6)*MIN(J$3-$O$2,$Q$2)/$Q$2))</f>
        <v>7884.92403342951</v>
      </c>
      <c r="K44" s="15" t="n">
        <f aca="false">J44*(1+IF(K$3&lt;=$O$2,$D44,$D44-($D44-$I$6)*MIN(K$3-$O$2,$Q$2)/$Q$2))</f>
        <v>8012.76212840533</v>
      </c>
      <c r="L44" s="15" t="n">
        <f aca="false">K44*(1+IF(L$3&lt;=$O$2,$D44,$D44-($D44-$I$6)*MIN(L$3-$O$2,$Q$2)/$Q$2))</f>
        <v>8174.9563385617</v>
      </c>
      <c r="M44" s="15" t="n">
        <f aca="false">L44*(1+IF(M$3&lt;=$O$2,$D44,$D44-($D44-$I$6)*MIN(M$3-$O$2,$Q$2)/$Q$2))</f>
        <v>8373.37064220844</v>
      </c>
      <c r="N44" s="15" t="n">
        <f aca="false">M44*(1+IF(N$3&lt;=$O$2,$D44,$D44-($D44-$I$6)*MIN(N$3-$O$2,$Q$2)/$Q$2))</f>
        <v>8610.33703138294</v>
      </c>
      <c r="O44" s="15" t="n">
        <f aca="false">SUMPRODUCT(E44:N44,1/(1+$F$6)^$E$3:$N$3)*$E$2</f>
        <v>8989.19283453811</v>
      </c>
      <c r="P44" s="15" t="n">
        <f aca="false">N44*$E$2*(1+$I$6)/($F$6-$I$6)/(1+$F$6)^$N$3</f>
        <v>13147.0071665374</v>
      </c>
      <c r="Q44" s="15" t="n">
        <f aca="false">O44+P44</f>
        <v>22136.2000010756</v>
      </c>
      <c r="R44" s="15" t="n">
        <f aca="false">Q44-$G$2+$I$2</f>
        <v>19020.0000010756</v>
      </c>
      <c r="S44" s="42" t="n">
        <f aca="false">R44/$K$2</f>
        <v>168.467670514398</v>
      </c>
      <c r="T44" s="43" t="n">
        <f aca="false">S44-$M$2</f>
        <v>9.52664436226769E-009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0.00815496228460688</v>
      </c>
      <c r="C45" s="25" t="n">
        <f aca="false">IF(T44&gt;0,D44,C44)</f>
        <v>0.00815496229552082</v>
      </c>
      <c r="D45" s="41" t="n">
        <f aca="false">(B45+C45)/2</f>
        <v>0.00815496229006385</v>
      </c>
      <c r="E45" s="15" t="n">
        <f aca="false">$C$2*(1+IF(E$3&lt;=$O$2,$D45,$D45-($D45-$I$6)*MIN(E$3-$O$2,$Q$2)/$Q$2))</f>
        <v>7540.99911792968</v>
      </c>
      <c r="F45" s="15" t="n">
        <f aca="false">E45*(1+IF(F$3&lt;=$O$2,$D45,$D45-($D45-$I$6)*MIN(F$3-$O$2,$Q$2)/$Q$2))</f>
        <v>7602.4956813658</v>
      </c>
      <c r="G45" s="15" t="n">
        <f aca="false">F45*(1+IF(G$3&lt;=$O$2,$D45,$D45-($D45-$I$6)*MIN(G$3-$O$2,$Q$2)/$Q$2))</f>
        <v>7664.49374695771</v>
      </c>
      <c r="H45" s="15" t="n">
        <f aca="false">G45*(1+IF(H$3&lt;=$O$2,$D45,$D45-($D45-$I$6)*MIN(H$3-$O$2,$Q$2)/$Q$2))</f>
        <v>7726.99740443658</v>
      </c>
      <c r="I45" s="15" t="n">
        <f aca="false">H45*(1+IF(I$3&lt;=$O$2,$D45,$D45-($D45-$I$6)*MIN(I$3-$O$2,$Q$2)/$Q$2))</f>
        <v>7790.01077688518</v>
      </c>
      <c r="J45" s="15" t="n">
        <f aca="false">I45*(1+IF(J$3&lt;=$O$2,$D45,$D45-($D45-$I$6)*MIN(J$3-$O$2,$Q$2)/$Q$2))</f>
        <v>7884.92403318211</v>
      </c>
      <c r="K45" s="15" t="n">
        <f aca="false">J45*(1+IF(K$3&lt;=$O$2,$D45,$D45-($D45-$I$6)*MIN(K$3-$O$2,$Q$2)/$Q$2))</f>
        <v>8012.7621281281</v>
      </c>
      <c r="L45" s="15" t="n">
        <f aca="false">K45*(1+IF(L$3&lt;=$O$2,$D45,$D45-($D45-$I$6)*MIN(L$3-$O$2,$Q$2)/$Q$2))</f>
        <v>8174.95633826137</v>
      </c>
      <c r="M45" s="15" t="n">
        <f aca="false">L45*(1+IF(M$3&lt;=$O$2,$D45,$D45-($D45-$I$6)*MIN(M$3-$O$2,$Q$2)/$Q$2))</f>
        <v>8373.37064189189</v>
      </c>
      <c r="N45" s="15" t="n">
        <f aca="false">M45*(1+IF(N$3&lt;=$O$2,$D45,$D45-($D45-$I$6)*MIN(N$3-$O$2,$Q$2)/$Q$2))</f>
        <v>8610.33703105743</v>
      </c>
      <c r="O45" s="15" t="n">
        <f aca="false">SUMPRODUCT(E45:N45,1/(1+$F$6)^$E$3:$N$3)*$E$2</f>
        <v>8989.19283432346</v>
      </c>
      <c r="P45" s="15" t="n">
        <f aca="false">N45*$E$2*(1+$I$6)/($F$6-$I$6)/(1+$F$6)^$N$3</f>
        <v>13147.0071660404</v>
      </c>
      <c r="Q45" s="15" t="n">
        <f aca="false">O45+P45</f>
        <v>22136.2000003639</v>
      </c>
      <c r="R45" s="15" t="n">
        <f aca="false">Q45-$G$2+$I$2</f>
        <v>19020.0000003639</v>
      </c>
      <c r="S45" s="42" t="n">
        <f aca="false">R45/$K$2</f>
        <v>168.467670508095</v>
      </c>
      <c r="T45" s="43" t="n">
        <f aca="false">S45-$M$2</f>
        <v>3.22313553624554E-009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0.00815496228460688</v>
      </c>
      <c r="C46" s="25" t="n">
        <f aca="false">IF(T45&gt;0,D45,C45)</f>
        <v>0.00815496229006385</v>
      </c>
      <c r="D46" s="41" t="n">
        <f aca="false">(B46+C46)/2</f>
        <v>0.00815496228733537</v>
      </c>
      <c r="E46" s="15" t="n">
        <f aca="false">$C$2*(1+IF(E$3&lt;=$O$2,$D46,$D46-($D46-$I$6)*MIN(E$3-$O$2,$Q$2)/$Q$2))</f>
        <v>7540.99911790927</v>
      </c>
      <c r="F46" s="15" t="n">
        <f aca="false">E46*(1+IF(F$3&lt;=$O$2,$D46,$D46-($D46-$I$6)*MIN(F$3-$O$2,$Q$2)/$Q$2))</f>
        <v>7602.49568132465</v>
      </c>
      <c r="G46" s="15" t="n">
        <f aca="false">F46*(1+IF(G$3&lt;=$O$2,$D46,$D46-($D46-$I$6)*MIN(G$3-$O$2,$Q$2)/$Q$2))</f>
        <v>7664.49374689548</v>
      </c>
      <c r="H46" s="15" t="n">
        <f aca="false">G46*(1+IF(H$3&lt;=$O$2,$D46,$D46-($D46-$I$6)*MIN(H$3-$O$2,$Q$2)/$Q$2))</f>
        <v>7726.99740435293</v>
      </c>
      <c r="I46" s="15" t="n">
        <f aca="false">H46*(1+IF(I$3&lt;=$O$2,$D46,$D46-($D46-$I$6)*MIN(I$3-$O$2,$Q$2)/$Q$2))</f>
        <v>7790.01077677977</v>
      </c>
      <c r="J46" s="15" t="n">
        <f aca="false">I46*(1+IF(J$3&lt;=$O$2,$D46,$D46-($D46-$I$6)*MIN(J$3-$O$2,$Q$2)/$Q$2))</f>
        <v>7884.9240330584</v>
      </c>
      <c r="K46" s="15" t="n">
        <f aca="false">J46*(1+IF(K$3&lt;=$O$2,$D46,$D46-($D46-$I$6)*MIN(K$3-$O$2,$Q$2)/$Q$2))</f>
        <v>8012.76212798948</v>
      </c>
      <c r="L46" s="15" t="n">
        <f aca="false">K46*(1+IF(L$3&lt;=$O$2,$D46,$D46-($D46-$I$6)*MIN(L$3-$O$2,$Q$2)/$Q$2))</f>
        <v>8174.9563381112</v>
      </c>
      <c r="M46" s="15" t="n">
        <f aca="false">L46*(1+IF(M$3&lt;=$O$2,$D46,$D46-($D46-$I$6)*MIN(M$3-$O$2,$Q$2)/$Q$2))</f>
        <v>8373.37064173362</v>
      </c>
      <c r="N46" s="15" t="n">
        <f aca="false">M46*(1+IF(N$3&lt;=$O$2,$D46,$D46-($D46-$I$6)*MIN(N$3-$O$2,$Q$2)/$Q$2))</f>
        <v>8610.33703089468</v>
      </c>
      <c r="O46" s="15" t="n">
        <f aca="false">SUMPRODUCT(E46:N46,1/(1+$F$6)^$E$3:$N$3)*$E$2</f>
        <v>8989.19283421614</v>
      </c>
      <c r="P46" s="15" t="n">
        <f aca="false">N46*$E$2*(1+$I$6)/($F$6-$I$6)/(1+$F$6)^$N$3</f>
        <v>13147.0071657919</v>
      </c>
      <c r="Q46" s="15" t="n">
        <f aca="false">O46+P46</f>
        <v>22136.2000000081</v>
      </c>
      <c r="R46" s="15" t="n">
        <f aca="false">Q46-$G$2+$I$2</f>
        <v>19020.0000000081</v>
      </c>
      <c r="S46" s="42" t="n">
        <f aca="false">R46/$K$2</f>
        <v>168.467670504943</v>
      </c>
      <c r="T46" s="43" t="n">
        <f aca="false">S46-$M$2</f>
        <v>7.14805992174661E-011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0.00815496228460688</v>
      </c>
      <c r="C47" s="25" t="n">
        <f aca="false">IF(T46&gt;0,D46,C46)</f>
        <v>0.00815496228733537</v>
      </c>
      <c r="D47" s="41" t="n">
        <f aca="false">(B47+C47)/2</f>
        <v>0.00815496228597112</v>
      </c>
      <c r="E47" s="15" t="n">
        <f aca="false">$C$2*(1+IF(E$3&lt;=$O$2,$D47,$D47-($D47-$I$6)*MIN(E$3-$O$2,$Q$2)/$Q$2))</f>
        <v>7540.99911789906</v>
      </c>
      <c r="F47" s="15" t="n">
        <f aca="false">E47*(1+IF(F$3&lt;=$O$2,$D47,$D47-($D47-$I$6)*MIN(F$3-$O$2,$Q$2)/$Q$2))</f>
        <v>7602.49568130407</v>
      </c>
      <c r="G47" s="15" t="n">
        <f aca="false">F47*(1+IF(G$3&lt;=$O$2,$D47,$D47-($D47-$I$6)*MIN(G$3-$O$2,$Q$2)/$Q$2))</f>
        <v>7664.49374686437</v>
      </c>
      <c r="H47" s="15" t="n">
        <f aca="false">G47*(1+IF(H$3&lt;=$O$2,$D47,$D47-($D47-$I$6)*MIN(H$3-$O$2,$Q$2)/$Q$2))</f>
        <v>7726.99740431111</v>
      </c>
      <c r="I47" s="15" t="n">
        <f aca="false">H47*(1+IF(I$3&lt;=$O$2,$D47,$D47-($D47-$I$6)*MIN(I$3-$O$2,$Q$2)/$Q$2))</f>
        <v>7790.01077672706</v>
      </c>
      <c r="J47" s="15" t="n">
        <f aca="false">I47*(1+IF(J$3&lt;=$O$2,$D47,$D47-($D47-$I$6)*MIN(J$3-$O$2,$Q$2)/$Q$2))</f>
        <v>7884.92403299655</v>
      </c>
      <c r="K47" s="15" t="n">
        <f aca="false">J47*(1+IF(K$3&lt;=$O$2,$D47,$D47-($D47-$I$6)*MIN(K$3-$O$2,$Q$2)/$Q$2))</f>
        <v>8012.76212792017</v>
      </c>
      <c r="L47" s="15" t="n">
        <f aca="false">K47*(1+IF(L$3&lt;=$O$2,$D47,$D47-($D47-$I$6)*MIN(L$3-$O$2,$Q$2)/$Q$2))</f>
        <v>8174.95633803611</v>
      </c>
      <c r="M47" s="15" t="n">
        <f aca="false">L47*(1+IF(M$3&lt;=$O$2,$D47,$D47-($D47-$I$6)*MIN(M$3-$O$2,$Q$2)/$Q$2))</f>
        <v>8373.37064165448</v>
      </c>
      <c r="N47" s="15" t="n">
        <f aca="false">M47*(1+IF(N$3&lt;=$O$2,$D47,$D47-($D47-$I$6)*MIN(N$3-$O$2,$Q$2)/$Q$2))</f>
        <v>8610.3370308133</v>
      </c>
      <c r="O47" s="15" t="n">
        <f aca="false">SUMPRODUCT(E47:N47,1/(1+$F$6)^$E$3:$N$3)*$E$2</f>
        <v>8989.19283416247</v>
      </c>
      <c r="P47" s="15" t="n">
        <f aca="false">N47*$E$2*(1+$I$6)/($F$6-$I$6)/(1+$F$6)^$N$3</f>
        <v>13147.0071656677</v>
      </c>
      <c r="Q47" s="15" t="n">
        <f aca="false">O47+P47</f>
        <v>22136.1999998302</v>
      </c>
      <c r="R47" s="15" t="n">
        <f aca="false">Q47-$G$2+$I$2</f>
        <v>19019.9999998302</v>
      </c>
      <c r="S47" s="42" t="n">
        <f aca="false">R47/$K$2</f>
        <v>168.467670503367</v>
      </c>
      <c r="T47" s="43" t="n">
        <f aca="false">S47-$M$2</f>
        <v>-1.50441792357015E-009</v>
      </c>
    </row>
    <row r="49" customFormat="false" ht="15" hidden="false" customHeight="false" outlineLevel="0" collapsed="false">
      <c r="A49" s="38" t="s">
        <v>185</v>
      </c>
      <c r="E49" s="5" t="s">
        <v>11</v>
      </c>
      <c r="F49" s="12" t="n">
        <f aca="false">Sensitivity!$B$10</f>
        <v>0.0711268672746673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165</v>
      </c>
      <c r="B50" s="28" t="s">
        <v>166</v>
      </c>
      <c r="C50" s="28" t="s">
        <v>167</v>
      </c>
      <c r="D50" s="28" t="s">
        <v>168</v>
      </c>
      <c r="E50" s="28" t="s">
        <v>169</v>
      </c>
      <c r="F50" s="28" t="s">
        <v>170</v>
      </c>
      <c r="G50" s="28" t="s">
        <v>171</v>
      </c>
      <c r="H50" s="28" t="s">
        <v>172</v>
      </c>
      <c r="I50" s="28" t="s">
        <v>173</v>
      </c>
      <c r="J50" s="28" t="s">
        <v>174</v>
      </c>
      <c r="K50" s="28" t="s">
        <v>175</v>
      </c>
      <c r="L50" s="28" t="s">
        <v>176</v>
      </c>
      <c r="M50" s="28" t="s">
        <v>177</v>
      </c>
      <c r="N50" s="28" t="s">
        <v>178</v>
      </c>
      <c r="O50" s="28" t="s">
        <v>179</v>
      </c>
      <c r="P50" s="28" t="s">
        <v>180</v>
      </c>
      <c r="Q50" s="28" t="s">
        <v>181</v>
      </c>
      <c r="R50" s="28" t="s">
        <v>182</v>
      </c>
      <c r="S50" s="28" t="s">
        <v>183</v>
      </c>
      <c r="T50" s="28" t="s">
        <v>184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9350</v>
      </c>
      <c r="F51" s="15" t="n">
        <f aca="false">E51*(1+IF(F$3&lt;=$O$2,$D51,$D51-($D51-$I$49)*MIN(F$3-$O$2,$Q$2)/$Q$2))</f>
        <v>11687.5</v>
      </c>
      <c r="G51" s="15" t="n">
        <f aca="false">F51*(1+IF(G$3&lt;=$O$2,$D51,$D51-($D51-$I$49)*MIN(G$3-$O$2,$Q$2)/$Q$2))</f>
        <v>14609.375</v>
      </c>
      <c r="H51" s="15" t="n">
        <f aca="false">G51*(1+IF(H$3&lt;=$O$2,$D51,$D51-($D51-$I$49)*MIN(H$3-$O$2,$Q$2)/$Q$2))</f>
        <v>18261.71875</v>
      </c>
      <c r="I51" s="15" t="n">
        <f aca="false">H51*(1+IF(I$3&lt;=$O$2,$D51,$D51-($D51-$I$49)*MIN(I$3-$O$2,$Q$2)/$Q$2))</f>
        <v>22827.1484375</v>
      </c>
      <c r="J51" s="15" t="n">
        <f aca="false">I51*(1+IF(J$3&lt;=$O$2,$D51,$D51-($D51-$I$49)*MIN(J$3-$O$2,$Q$2)/$Q$2))</f>
        <v>27476.1254882813</v>
      </c>
      <c r="K51" s="15" t="n">
        <f aca="false">J51*(1+IF(K$3&lt;=$O$2,$D51,$D51-($D51-$I$49)*MIN(K$3-$O$2,$Q$2)/$Q$2))</f>
        <v>31798.6695500977</v>
      </c>
      <c r="L51" s="15" t="n">
        <f aca="false">K51*(1+IF(L$3&lt;=$O$2,$D51,$D51-($D51-$I$49)*MIN(L$3-$O$2,$Q$2)/$Q$2))</f>
        <v>35327.6858967675</v>
      </c>
      <c r="M51" s="15" t="n">
        <f aca="false">L51*(1+IF(M$3&lt;=$O$2,$D51,$D51-($D51-$I$49)*MIN(M$3-$O$2,$Q$2)/$Q$2))</f>
        <v>37611.2675131345</v>
      </c>
      <c r="N51" s="15" t="n">
        <f aca="false">M51*(1+IF(N$3&lt;=$O$2,$D51,$D51-($D51-$I$49)*MIN(N$3-$O$2,$Q$2)/$Q$2))</f>
        <v>38299.5537086249</v>
      </c>
      <c r="O51" s="15" t="n">
        <f aca="false">SUMPRODUCT(E51:N51,1/(1+$F$49)^$E$3:$N$3)*$E$2</f>
        <v>27146.467034624</v>
      </c>
      <c r="P51" s="15" t="n">
        <f aca="false">N51*$E$2*(1+$I$49)/($F$49-$I$49)/(1+$F$49)^$N$3</f>
        <v>63549.7494232388</v>
      </c>
      <c r="Q51" s="15" t="n">
        <f aca="false">O51+P51</f>
        <v>90696.2164578627</v>
      </c>
      <c r="R51" s="15" t="n">
        <f aca="false">Q51-$G$2+$I$2</f>
        <v>87580.0164578627</v>
      </c>
      <c r="S51" s="42" t="n">
        <f aca="false">R51/$K$2</f>
        <v>775.730880937668</v>
      </c>
      <c r="T51" s="43" t="n">
        <f aca="false">S51-$M$2</f>
        <v>607.263210432797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6545</v>
      </c>
      <c r="F52" s="15" t="n">
        <f aca="false">E52*(1+IF(F$3&lt;=$O$2,$D52,$D52-($D52-$I$49)*MIN(F$3-$O$2,$Q$2)/$Q$2))</f>
        <v>5726.875</v>
      </c>
      <c r="G52" s="15" t="n">
        <f aca="false">F52*(1+IF(G$3&lt;=$O$2,$D52,$D52-($D52-$I$49)*MIN(G$3-$O$2,$Q$2)/$Q$2))</f>
        <v>5011.015625</v>
      </c>
      <c r="H52" s="15" t="n">
        <f aca="false">G52*(1+IF(H$3&lt;=$O$2,$D52,$D52-($D52-$I$49)*MIN(H$3-$O$2,$Q$2)/$Q$2))</f>
        <v>4384.638671875</v>
      </c>
      <c r="I52" s="15" t="n">
        <f aca="false">H52*(1+IF(I$3&lt;=$O$2,$D52,$D52-($D52-$I$49)*MIN(I$3-$O$2,$Q$2)/$Q$2))</f>
        <v>3836.55883789063</v>
      </c>
      <c r="J52" s="15" t="n">
        <f aca="false">I52*(1+IF(J$3&lt;=$O$2,$D52,$D52-($D52-$I$49)*MIN(J$3-$O$2,$Q$2)/$Q$2))</f>
        <v>3466.94475944824</v>
      </c>
      <c r="K52" s="15" t="n">
        <f aca="false">J52*(1+IF(K$3&lt;=$O$2,$D52,$D52-($D52-$I$49)*MIN(K$3-$O$2,$Q$2)/$Q$2))</f>
        <v>3232.30193812879</v>
      </c>
      <c r="L52" s="15" t="n">
        <f aca="false">K52*(1+IF(L$3&lt;=$O$2,$D52,$D52-($D52-$I$49)*MIN(L$3-$O$2,$Q$2)/$Q$2))</f>
        <v>3106.177516503</v>
      </c>
      <c r="M52" s="15" t="n">
        <f aca="false">L52*(1+IF(M$3&lt;=$O$2,$D52,$D52-($D52-$I$49)*MIN(M$3-$O$2,$Q$2)/$Q$2))</f>
        <v>3073.99751743203</v>
      </c>
      <c r="N52" s="15" t="n">
        <f aca="false">M52*(1+IF(N$3&lt;=$O$2,$D52,$D52-($D52-$I$49)*MIN(N$3-$O$2,$Q$2)/$Q$2))</f>
        <v>3130.25167200104</v>
      </c>
      <c r="O52" s="15" t="n">
        <f aca="false">SUMPRODUCT(E52:N52,1/(1+$F$49)^$E$3:$N$3)*$E$2</f>
        <v>5227.61302146512</v>
      </c>
      <c r="P52" s="15" t="n">
        <f aca="false">N52*$E$2*(1+$I$49)/($F$49-$I$49)/(1+$F$49)^$N$3</f>
        <v>5193.96938410127</v>
      </c>
      <c r="Q52" s="15" t="n">
        <f aca="false">O52+P52</f>
        <v>10421.5824055664</v>
      </c>
      <c r="R52" s="15" t="n">
        <f aca="false">Q52-$G$2+$I$2</f>
        <v>7305.38240556639</v>
      </c>
      <c r="S52" s="42" t="n">
        <f aca="false">R52/$K$2</f>
        <v>64.7066643539982</v>
      </c>
      <c r="T52" s="43" t="n">
        <f aca="false">S52-$M$2</f>
        <v>-103.761006150873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7947.5</v>
      </c>
      <c r="F53" s="15" t="n">
        <f aca="false">E53*(1+IF(F$3&lt;=$O$2,$D53,$D53-($D53-$I$49)*MIN(F$3-$O$2,$Q$2)/$Q$2))</f>
        <v>8444.21875</v>
      </c>
      <c r="G53" s="15" t="n">
        <f aca="false">F53*(1+IF(G$3&lt;=$O$2,$D53,$D53-($D53-$I$49)*MIN(G$3-$O$2,$Q$2)/$Q$2))</f>
        <v>8971.982421875</v>
      </c>
      <c r="H53" s="15" t="n">
        <f aca="false">G53*(1+IF(H$3&lt;=$O$2,$D53,$D53-($D53-$I$49)*MIN(H$3-$O$2,$Q$2)/$Q$2))</f>
        <v>9532.73132324219</v>
      </c>
      <c r="I53" s="15" t="n">
        <f aca="false">H53*(1+IF(I$3&lt;=$O$2,$D53,$D53-($D53-$I$49)*MIN(I$3-$O$2,$Q$2)/$Q$2))</f>
        <v>10128.5270309448</v>
      </c>
      <c r="J53" s="15" t="n">
        <f aca="false">I53*(1+IF(J$3&lt;=$O$2,$D53,$D53-($D53-$I$49)*MIN(J$3-$O$2,$Q$2)/$Q$2))</f>
        <v>10672.0237914253</v>
      </c>
      <c r="K53" s="15" t="n">
        <f aca="false">J53*(1+IF(K$3&lt;=$O$2,$D53,$D53-($D53-$I$49)*MIN(K$3-$O$2,$Q$2)/$Q$2))</f>
        <v>11150.343897757</v>
      </c>
      <c r="L53" s="15" t="n">
        <f aca="false">K53*(1+IF(L$3&lt;=$O$2,$D53,$D53-($D53-$I$49)*MIN(L$3-$O$2,$Q$2)/$Q$2))</f>
        <v>11551.5332711983</v>
      </c>
      <c r="M53" s="15" t="n">
        <f aca="false">L53*(1+IF(M$3&lt;=$O$2,$D53,$D53-($D53-$I$49)*MIN(M$3-$O$2,$Q$2)/$Q$2))</f>
        <v>11865.0418841786</v>
      </c>
      <c r="N53" s="15" t="n">
        <f aca="false">M53*(1+IF(N$3&lt;=$O$2,$D53,$D53-($D53-$I$49)*MIN(N$3-$O$2,$Q$2)/$Q$2))</f>
        <v>12082.1721506591</v>
      </c>
      <c r="O53" s="15" t="n">
        <f aca="false">SUMPRODUCT(E53:N53,1/(1+$F$49)^$E$3:$N$3)*$E$2</f>
        <v>11910.6147966961</v>
      </c>
      <c r="P53" s="15" t="n">
        <f aca="false">N53*$E$2*(1+$I$49)/($F$49-$I$49)/(1+$F$49)^$N$3</f>
        <v>20047.7274096776</v>
      </c>
      <c r="Q53" s="15" t="n">
        <f aca="false">O53+P53</f>
        <v>31958.3422063737</v>
      </c>
      <c r="R53" s="15" t="n">
        <f aca="false">Q53-$G$2+$I$2</f>
        <v>28842.1422063737</v>
      </c>
      <c r="S53" s="42" t="n">
        <f aca="false">R53/$K$2</f>
        <v>255.466272864249</v>
      </c>
      <c r="T53" s="43" t="n">
        <f aca="false">S53-$M$2</f>
        <v>86.9986023593772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7246.25</v>
      </c>
      <c r="F54" s="15" t="n">
        <f aca="false">E54*(1+IF(F$3&lt;=$O$2,$D54,$D54-($D54-$I$49)*MIN(F$3-$O$2,$Q$2)/$Q$2))</f>
        <v>7019.8046875</v>
      </c>
      <c r="G54" s="15" t="n">
        <f aca="false">F54*(1+IF(G$3&lt;=$O$2,$D54,$D54-($D54-$I$49)*MIN(G$3-$O$2,$Q$2)/$Q$2))</f>
        <v>6800.43579101563</v>
      </c>
      <c r="H54" s="15" t="n">
        <f aca="false">G54*(1+IF(H$3&lt;=$O$2,$D54,$D54-($D54-$I$49)*MIN(H$3-$O$2,$Q$2)/$Q$2))</f>
        <v>6587.92217254639</v>
      </c>
      <c r="I54" s="15" t="n">
        <f aca="false">H54*(1+IF(I$3&lt;=$O$2,$D54,$D54-($D54-$I$49)*MIN(I$3-$O$2,$Q$2)/$Q$2))</f>
        <v>6382.04960465431</v>
      </c>
      <c r="J54" s="15" t="n">
        <f aca="false">I54*(1+IF(J$3&lt;=$O$2,$D54,$D54-($D54-$I$49)*MIN(J$3-$O$2,$Q$2)/$Q$2))</f>
        <v>6245.85666609099</v>
      </c>
      <c r="K54" s="15" t="n">
        <f aca="false">J54*(1+IF(K$3&lt;=$O$2,$D54,$D54-($D54-$I$49)*MIN(K$3-$O$2,$Q$2)/$Q$2))</f>
        <v>6174.46652439757</v>
      </c>
      <c r="L54" s="15" t="n">
        <f aca="false">K54*(1+IF(L$3&lt;=$O$2,$D54,$D54-($D54-$I$49)*MIN(L$3-$O$2,$Q$2)/$Q$2))</f>
        <v>6165.08133528048</v>
      </c>
      <c r="M54" s="15" t="n">
        <f aca="false">L54*(1+IF(M$3&lt;=$O$2,$D54,$D54-($D54-$I$49)*MIN(M$3-$O$2,$Q$2)/$Q$2))</f>
        <v>6216.80636768349</v>
      </c>
      <c r="N54" s="15" t="n">
        <f aca="false">M54*(1+IF(N$3&lt;=$O$2,$D54,$D54-($D54-$I$49)*MIN(N$3-$O$2,$Q$2)/$Q$2))</f>
        <v>6330.5739242121</v>
      </c>
      <c r="O54" s="15" t="n">
        <f aca="false">SUMPRODUCT(E54:N54,1/(1+$F$49)^$E$3:$N$3)*$E$2</f>
        <v>7870.48866032111</v>
      </c>
      <c r="P54" s="15" t="n">
        <f aca="false">N54*$E$2*(1+$I$49)/($F$49-$I$49)/(1+$F$49)^$N$3</f>
        <v>10504.2056011836</v>
      </c>
      <c r="Q54" s="15" t="n">
        <f aca="false">O54+P54</f>
        <v>18374.6942615047</v>
      </c>
      <c r="R54" s="15" t="n">
        <f aca="false">Q54-$G$2+$I$2</f>
        <v>15258.4942615047</v>
      </c>
      <c r="S54" s="42" t="n">
        <f aca="false">R54/$K$2</f>
        <v>135.15052490261</v>
      </c>
      <c r="T54" s="43" t="n">
        <f aca="false">S54-$M$2</f>
        <v>-33.3171456022617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41" t="n">
        <f aca="false">(B55+C55)/2</f>
        <v>0.015625</v>
      </c>
      <c r="E55" s="15" t="n">
        <f aca="false">$C$2*(1+IF(E$3&lt;=$O$2,$D55,$D55-($D55-$I$49)*MIN(E$3-$O$2,$Q$2)/$Q$2))</f>
        <v>7596.875</v>
      </c>
      <c r="F55" s="15" t="n">
        <f aca="false">E55*(1+IF(F$3&lt;=$O$2,$D55,$D55-($D55-$I$49)*MIN(F$3-$O$2,$Q$2)/$Q$2))</f>
        <v>7715.576171875</v>
      </c>
      <c r="G55" s="15" t="n">
        <f aca="false">F55*(1+IF(G$3&lt;=$O$2,$D55,$D55-($D55-$I$49)*MIN(G$3-$O$2,$Q$2)/$Q$2))</f>
        <v>7836.13204956055</v>
      </c>
      <c r="H55" s="15" t="n">
        <f aca="false">G55*(1+IF(H$3&lt;=$O$2,$D55,$D55-($D55-$I$49)*MIN(H$3-$O$2,$Q$2)/$Q$2))</f>
        <v>7958.57161283493</v>
      </c>
      <c r="I55" s="15" t="n">
        <f aca="false">H55*(1+IF(I$3&lt;=$O$2,$D55,$D55-($D55-$I$49)*MIN(I$3-$O$2,$Q$2)/$Q$2))</f>
        <v>8082.92429428548</v>
      </c>
      <c r="J55" s="15" t="n">
        <f aca="false">I55*(1+IF(J$3&lt;=$O$2,$D55,$D55-($D55-$I$49)*MIN(J$3-$O$2,$Q$2)/$Q$2))</f>
        <v>8213.54435088113</v>
      </c>
      <c r="K55" s="15" t="n">
        <f aca="false">J55*(1+IF(K$3&lt;=$O$2,$D55,$D55-($D55-$I$49)*MIN(K$3-$O$2,$Q$2)/$Q$2))</f>
        <v>8350.66947381909</v>
      </c>
      <c r="L55" s="15" t="n">
        <f aca="false">K55*(1+IF(L$3&lt;=$O$2,$D55,$D55-($D55-$I$49)*MIN(L$3-$O$2,$Q$2)/$Q$2))</f>
        <v>8494.55150885299</v>
      </c>
      <c r="M55" s="15" t="n">
        <f aca="false">L55*(1+IF(M$3&lt;=$O$2,$D55,$D55-($D55-$I$49)*MIN(M$3-$O$2,$Q$2)/$Q$2))</f>
        <v>8645.45721640777</v>
      </c>
      <c r="N55" s="15" t="n">
        <f aca="false">M55*(1+IF(N$3&lt;=$O$2,$D55,$D55-($D55-$I$49)*MIN(N$3-$O$2,$Q$2)/$Q$2))</f>
        <v>8803.66908346803</v>
      </c>
      <c r="O55" s="15" t="n">
        <f aca="false">SUMPRODUCT(E55:N55,1/(1+$F$49)^$E$3:$N$3)*$E$2</f>
        <v>9679.14547364975</v>
      </c>
      <c r="P55" s="15" t="n">
        <f aca="false">N55*$E$2*(1+$I$49)/($F$49-$I$49)/(1+$F$49)^$N$3</f>
        <v>14607.7671953007</v>
      </c>
      <c r="Q55" s="15" t="n">
        <f aca="false">O55+P55</f>
        <v>24286.9126689504</v>
      </c>
      <c r="R55" s="15" t="n">
        <f aca="false">Q55-$G$2+$I$2</f>
        <v>21170.7126689504</v>
      </c>
      <c r="S55" s="42" t="n">
        <f aca="false">R55/$K$2</f>
        <v>187.517384135965</v>
      </c>
      <c r="T55" s="43" t="n">
        <f aca="false">S55-$M$2</f>
        <v>19.0497136310931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-0.03125</v>
      </c>
      <c r="C56" s="25" t="n">
        <f aca="false">IF(T55&gt;0,D55,C55)</f>
        <v>0.015625</v>
      </c>
      <c r="D56" s="41" t="n">
        <f aca="false">(B56+C56)/2</f>
        <v>-0.0078125</v>
      </c>
      <c r="E56" s="15" t="n">
        <f aca="false">$C$2*(1+IF(E$3&lt;=$O$2,$D56,$D56-($D56-$I$49)*MIN(E$3-$O$2,$Q$2)/$Q$2))</f>
        <v>7421.5625</v>
      </c>
      <c r="F56" s="15" t="n">
        <f aca="false">E56*(1+IF(F$3&lt;=$O$2,$D56,$D56-($D56-$I$49)*MIN(F$3-$O$2,$Q$2)/$Q$2))</f>
        <v>7363.58154296875</v>
      </c>
      <c r="G56" s="15" t="n">
        <f aca="false">F56*(1+IF(G$3&lt;=$O$2,$D56,$D56-($D56-$I$49)*MIN(G$3-$O$2,$Q$2)/$Q$2))</f>
        <v>7306.05356216431</v>
      </c>
      <c r="H56" s="15" t="n">
        <f aca="false">G56*(1+IF(H$3&lt;=$O$2,$D56,$D56-($D56-$I$49)*MIN(H$3-$O$2,$Q$2)/$Q$2))</f>
        <v>7248.9750187099</v>
      </c>
      <c r="I56" s="15" t="n">
        <f aca="false">H56*(1+IF(I$3&lt;=$O$2,$D56,$D56-($D56-$I$49)*MIN(I$3-$O$2,$Q$2)/$Q$2))</f>
        <v>7192.34240137623</v>
      </c>
      <c r="J56" s="15" t="n">
        <f aca="false">I56*(1+IF(J$3&lt;=$O$2,$D56,$D56-($D56-$I$49)*MIN(J$3-$O$2,$Q$2)/$Q$2))</f>
        <v>7173.71423455666</v>
      </c>
      <c r="K56" s="15" t="n">
        <f aca="false">J56*(1+IF(K$3&lt;=$O$2,$D56,$D56-($D56-$I$49)*MIN(K$3-$O$2,$Q$2)/$Q$2))</f>
        <v>7192.59903727913</v>
      </c>
      <c r="L56" s="15" t="n">
        <f aca="false">K56*(1+IF(L$3&lt;=$O$2,$D56,$D56-($D56-$I$49)*MIN(L$3-$O$2,$Q$2)/$Q$2))</f>
        <v>7249.09690271696</v>
      </c>
      <c r="M56" s="15" t="n">
        <f aca="false">L56*(1+IF(M$3&lt;=$O$2,$D56,$D56-($D56-$I$49)*MIN(M$3-$O$2,$Q$2)/$Q$2))</f>
        <v>7343.89696746224</v>
      </c>
      <c r="N56" s="15" t="n">
        <f aca="false">M56*(1+IF(N$3&lt;=$O$2,$D56,$D56-($D56-$I$49)*MIN(N$3-$O$2,$Q$2)/$Q$2))</f>
        <v>7478.2902819668</v>
      </c>
      <c r="O56" s="15" t="n">
        <f aca="false">SUMPRODUCT(E56:N56,1/(1+$F$49)^$E$3:$N$3)*$E$2</f>
        <v>8727.06659222566</v>
      </c>
      <c r="P56" s="15" t="n">
        <f aca="false">N56*$E$2*(1+$I$49)/($F$49-$I$49)/(1+$F$49)^$N$3</f>
        <v>12408.5903754594</v>
      </c>
      <c r="Q56" s="15" t="n">
        <f aca="false">O56+P56</f>
        <v>21135.656967685</v>
      </c>
      <c r="R56" s="15" t="n">
        <f aca="false">Q56-$G$2+$I$2</f>
        <v>18019.456967685</v>
      </c>
      <c r="S56" s="42" t="n">
        <f aca="false">R56/$K$2</f>
        <v>159.605464727059</v>
      </c>
      <c r="T56" s="43" t="n">
        <f aca="false">S56-$M$2</f>
        <v>-8.86220577781216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-0.0078125</v>
      </c>
      <c r="C57" s="25" t="n">
        <f aca="false">IF(T56&gt;0,D56,C56)</f>
        <v>0.015625</v>
      </c>
      <c r="D57" s="41" t="n">
        <f aca="false">(B57+C57)/2</f>
        <v>0.00390625</v>
      </c>
      <c r="E57" s="15" t="n">
        <f aca="false">$C$2*(1+IF(E$3&lt;=$O$2,$D57,$D57-($D57-$I$49)*MIN(E$3-$O$2,$Q$2)/$Q$2))</f>
        <v>7509.21875</v>
      </c>
      <c r="F57" s="15" t="n">
        <f aca="false">E57*(1+IF(F$3&lt;=$O$2,$D57,$D57-($D57-$I$49)*MIN(F$3-$O$2,$Q$2)/$Q$2))</f>
        <v>7538.55163574219</v>
      </c>
      <c r="G57" s="15" t="n">
        <f aca="false">F57*(1+IF(G$3&lt;=$O$2,$D57,$D57-($D57-$I$49)*MIN(G$3-$O$2,$Q$2)/$Q$2))</f>
        <v>7567.99910306931</v>
      </c>
      <c r="H57" s="15" t="n">
        <f aca="false">G57*(1+IF(H$3&lt;=$O$2,$D57,$D57-($D57-$I$49)*MIN(H$3-$O$2,$Q$2)/$Q$2))</f>
        <v>7597.56159956567</v>
      </c>
      <c r="I57" s="15" t="n">
        <f aca="false">H57*(1+IF(I$3&lt;=$O$2,$D57,$D57-($D57-$I$49)*MIN(I$3-$O$2,$Q$2)/$Q$2))</f>
        <v>7627.23957456397</v>
      </c>
      <c r="J57" s="15" t="n">
        <f aca="false">I57*(1+IF(J$3&lt;=$O$2,$D57,$D57-($D57-$I$49)*MIN(J$3-$O$2,$Q$2)/$Q$2))</f>
        <v>7678.99039507739</v>
      </c>
      <c r="K57" s="15" t="n">
        <f aca="false">J57*(1+IF(K$3&lt;=$O$2,$D57,$D57-($D57-$I$49)*MIN(K$3-$O$2,$Q$2)/$Q$2))</f>
        <v>7753.19823850782</v>
      </c>
      <c r="L57" s="15" t="n">
        <f aca="false">K57*(1+IF(L$3&lt;=$O$2,$D57,$D57-($D57-$I$49)*MIN(L$3-$O$2,$Q$2)/$Q$2))</f>
        <v>7850.4427274143</v>
      </c>
      <c r="M57" s="15" t="n">
        <f aca="false">L57*(1+IF(M$3&lt;=$O$2,$D57,$D57-($D57-$I$49)*MIN(M$3-$O$2,$Q$2)/$Q$2))</f>
        <v>7971.50636732444</v>
      </c>
      <c r="N57" s="15" t="n">
        <f aca="false">M57*(1+IF(N$3&lt;=$O$2,$D57,$D57-($D57-$I$49)*MIN(N$3-$O$2,$Q$2)/$Q$2))</f>
        <v>8117.38493384648</v>
      </c>
      <c r="O57" s="15" t="n">
        <f aca="false">SUMPRODUCT(E57:N57,1/(1+$F$49)^$E$3:$N$3)*$E$2</f>
        <v>9190.56503652715</v>
      </c>
      <c r="P57" s="15" t="n">
        <f aca="false">N57*$E$2*(1+$I$49)/($F$49-$I$49)/(1+$F$49)^$N$3</f>
        <v>13469.0284498471</v>
      </c>
      <c r="Q57" s="15" t="n">
        <f aca="false">O57+P57</f>
        <v>22659.5934863743</v>
      </c>
      <c r="R57" s="15" t="n">
        <f aca="false">Q57-$G$2+$I$2</f>
        <v>19543.3934863743</v>
      </c>
      <c r="S57" s="42" t="n">
        <f aca="false">R57/$K$2</f>
        <v>173.103573838568</v>
      </c>
      <c r="T57" s="43" t="n">
        <f aca="false">S57-$M$2</f>
        <v>4.63590333369606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-0.0078125</v>
      </c>
      <c r="C58" s="25" t="n">
        <f aca="false">IF(T57&gt;0,D57,C57)</f>
        <v>0.00390625</v>
      </c>
      <c r="D58" s="41" t="n">
        <f aca="false">(B58+C58)/2</f>
        <v>-0.001953125</v>
      </c>
      <c r="E58" s="15" t="n">
        <f aca="false">$C$2*(1+IF(E$3&lt;=$O$2,$D58,$D58-($D58-$I$49)*MIN(E$3-$O$2,$Q$2)/$Q$2))</f>
        <v>7465.390625</v>
      </c>
      <c r="F58" s="15" t="n">
        <f aca="false">E58*(1+IF(F$3&lt;=$O$2,$D58,$D58-($D58-$I$49)*MIN(F$3-$O$2,$Q$2)/$Q$2))</f>
        <v>7450.80978393555</v>
      </c>
      <c r="G58" s="15" t="n">
        <f aca="false">F58*(1+IF(G$3&lt;=$O$2,$D58,$D58-($D58-$I$49)*MIN(G$3-$O$2,$Q$2)/$Q$2))</f>
        <v>7436.2574210763</v>
      </c>
      <c r="H58" s="15" t="n">
        <f aca="false">G58*(1+IF(H$3&lt;=$O$2,$D58,$D58-($D58-$I$49)*MIN(H$3-$O$2,$Q$2)/$Q$2))</f>
        <v>7421.73348080076</v>
      </c>
      <c r="I58" s="15" t="n">
        <f aca="false">H58*(1+IF(I$3&lt;=$O$2,$D58,$D58-($D58-$I$49)*MIN(I$3-$O$2,$Q$2)/$Q$2))</f>
        <v>7407.23790759607</v>
      </c>
      <c r="J58" s="15" t="n">
        <f aca="false">I58*(1+IF(J$3&lt;=$O$2,$D58,$D58-($D58-$I$49)*MIN(J$3-$O$2,$Q$2)/$Q$2))</f>
        <v>7422.77458910725</v>
      </c>
      <c r="K58" s="15" t="n">
        <f aca="false">J58*(1+IF(K$3&lt;=$O$2,$D58,$D58-($D58-$I$49)*MIN(K$3-$O$2,$Q$2)/$Q$2))</f>
        <v>7468.41073512791</v>
      </c>
      <c r="L58" s="15" t="n">
        <f aca="false">K58*(1+IF(L$3&lt;=$O$2,$D58,$D58-($D58-$I$49)*MIN(L$3-$O$2,$Q$2)/$Q$2))</f>
        <v>7544.57918911279</v>
      </c>
      <c r="M58" s="15" t="n">
        <f aca="false">L58*(1+IF(M$3&lt;=$O$2,$D58,$D58-($D58-$I$49)*MIN(M$3-$O$2,$Q$2)/$Q$2))</f>
        <v>7652.08472719566</v>
      </c>
      <c r="N58" s="15" t="n">
        <f aca="false">M58*(1+IF(N$3&lt;=$O$2,$D58,$D58-($D58-$I$49)*MIN(N$3-$O$2,$Q$2)/$Q$2))</f>
        <v>7792.11787770334</v>
      </c>
      <c r="O58" s="15" t="n">
        <f aca="false">SUMPRODUCT(E58:N58,1/(1+$F$49)^$E$3:$N$3)*$E$2</f>
        <v>8955.75804503404</v>
      </c>
      <c r="P58" s="15" t="n">
        <f aca="false">N58*$E$2*(1+$I$49)/($F$49-$I$49)/(1+$F$49)^$N$3</f>
        <v>12929.3187688731</v>
      </c>
      <c r="Q58" s="15" t="n">
        <f aca="false">O58+P58</f>
        <v>21885.0768139071</v>
      </c>
      <c r="R58" s="15" t="n">
        <f aca="false">Q58-$G$2+$I$2</f>
        <v>18768.8768139071</v>
      </c>
      <c r="S58" s="42" t="n">
        <f aca="false">R58/$K$2</f>
        <v>166.243373019549</v>
      </c>
      <c r="T58" s="43" t="n">
        <f aca="false">S58-$M$2</f>
        <v>-2.22429748532238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-0.001953125</v>
      </c>
      <c r="C59" s="25" t="n">
        <f aca="false">IF(T58&gt;0,D58,C58)</f>
        <v>0.00390625</v>
      </c>
      <c r="D59" s="41" t="n">
        <f aca="false">(B59+C59)/2</f>
        <v>0.0009765625</v>
      </c>
      <c r="E59" s="15" t="n">
        <f aca="false">$C$2*(1+IF(E$3&lt;=$O$2,$D59,$D59-($D59-$I$49)*MIN(E$3-$O$2,$Q$2)/$Q$2))</f>
        <v>7487.3046875</v>
      </c>
      <c r="F59" s="15" t="n">
        <f aca="false">E59*(1+IF(F$3&lt;=$O$2,$D59,$D59-($D59-$I$49)*MIN(F$3-$O$2,$Q$2)/$Q$2))</f>
        <v>7494.61650848389</v>
      </c>
      <c r="G59" s="15" t="n">
        <f aca="false">F59*(1+IF(G$3&lt;=$O$2,$D59,$D59-($D59-$I$49)*MIN(G$3-$O$2,$Q$2)/$Q$2))</f>
        <v>7501.93546991795</v>
      </c>
      <c r="H59" s="15" t="n">
        <f aca="false">G59*(1+IF(H$3&lt;=$O$2,$D59,$D59-($D59-$I$49)*MIN(H$3-$O$2,$Q$2)/$Q$2))</f>
        <v>7509.2615787753</v>
      </c>
      <c r="I59" s="15" t="n">
        <f aca="false">H59*(1+IF(I$3&lt;=$O$2,$D59,$D59-($D59-$I$49)*MIN(I$3-$O$2,$Q$2)/$Q$2))</f>
        <v>7516.59484203582</v>
      </c>
      <c r="J59" s="15" t="n">
        <f aca="false">I59*(1+IF(J$3&lt;=$O$2,$D59,$D59-($D59-$I$49)*MIN(J$3-$O$2,$Q$2)/$Q$2))</f>
        <v>7549.97791887801</v>
      </c>
      <c r="K59" s="15" t="n">
        <f aca="false">J59*(1+IF(K$3&lt;=$O$2,$D59,$D59-($D59-$I$49)*MIN(K$3-$O$2,$Q$2)/$Q$2))</f>
        <v>7609.66757243104</v>
      </c>
      <c r="L59" s="15" t="n">
        <f aca="false">K59*(1+IF(L$3&lt;=$O$2,$D59,$D59-($D59-$I$49)*MIN(L$3-$O$2,$Q$2)/$Q$2))</f>
        <v>7696.19424877181</v>
      </c>
      <c r="M59" s="15" t="n">
        <f aca="false">L59*(1+IF(M$3&lt;=$O$2,$D59,$D59-($D59-$I$49)*MIN(M$3-$O$2,$Q$2)/$Q$2))</f>
        <v>7810.36969551304</v>
      </c>
      <c r="N59" s="15" t="n">
        <f aca="false">M59*(1+IF(N$3&lt;=$O$2,$D59,$D59-($D59-$I$49)*MIN(N$3-$O$2,$Q$2)/$Q$2))</f>
        <v>7953.29946094093</v>
      </c>
      <c r="O59" s="15" t="n">
        <f aca="false">SUMPRODUCT(E59:N59,1/(1+$F$49)^$E$3:$N$3)*$E$2</f>
        <v>9072.38754462071</v>
      </c>
      <c r="P59" s="15" t="n">
        <f aca="false">N59*$E$2*(1+$I$49)/($F$49-$I$49)/(1+$F$49)^$N$3</f>
        <v>13196.764423836</v>
      </c>
      <c r="Q59" s="15" t="n">
        <f aca="false">O59+P59</f>
        <v>22269.1519684567</v>
      </c>
      <c r="R59" s="15" t="n">
        <f aca="false">Q59-$G$2+$I$2</f>
        <v>19152.9519684567</v>
      </c>
      <c r="S59" s="42" t="n">
        <f aca="false">R59/$K$2</f>
        <v>169.64527872858</v>
      </c>
      <c r="T59" s="43" t="n">
        <f aca="false">S59-$M$2</f>
        <v>1.17760822370838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-0.001953125</v>
      </c>
      <c r="C60" s="25" t="n">
        <f aca="false">IF(T59&gt;0,D59,C59)</f>
        <v>0.0009765625</v>
      </c>
      <c r="D60" s="41" t="n">
        <f aca="false">(B60+C60)/2</f>
        <v>-0.00048828125</v>
      </c>
      <c r="E60" s="15" t="n">
        <f aca="false">$C$2*(1+IF(E$3&lt;=$O$2,$D60,$D60-($D60-$I$49)*MIN(E$3-$O$2,$Q$2)/$Q$2))</f>
        <v>7476.34765625</v>
      </c>
      <c r="F60" s="15" t="n">
        <f aca="false">E60*(1+IF(F$3&lt;=$O$2,$D60,$D60-($D60-$I$49)*MIN(F$3-$O$2,$Q$2)/$Q$2))</f>
        <v>7472.69709587097</v>
      </c>
      <c r="G60" s="15" t="n">
        <f aca="false">F60*(1+IF(G$3&lt;=$O$2,$D60,$D60-($D60-$I$49)*MIN(G$3-$O$2,$Q$2)/$Q$2))</f>
        <v>7469.04831799213</v>
      </c>
      <c r="H60" s="15" t="n">
        <f aca="false">G60*(1+IF(H$3&lt;=$O$2,$D60,$D60-($D60-$I$49)*MIN(H$3-$O$2,$Q$2)/$Q$2))</f>
        <v>7465.40132174311</v>
      </c>
      <c r="I60" s="15" t="n">
        <f aca="false">H60*(1+IF(I$3&lt;=$O$2,$D60,$D60-($D60-$I$49)*MIN(I$3-$O$2,$Q$2)/$Q$2))</f>
        <v>7461.75610625398</v>
      </c>
      <c r="J60" s="15" t="n">
        <f aca="false">I60*(1+IF(J$3&lt;=$O$2,$D60,$D60-($D60-$I$49)*MIN(J$3-$O$2,$Q$2)/$Q$2))</f>
        <v>7486.15138512386</v>
      </c>
      <c r="K60" s="15" t="n">
        <f aca="false">J60*(1+IF(K$3&lt;=$O$2,$D60,$D60-($D60-$I$49)*MIN(K$3-$O$2,$Q$2)/$Q$2))</f>
        <v>7538.75680484936</v>
      </c>
      <c r="L60" s="15" t="n">
        <f aca="false">K60*(1+IF(L$3&lt;=$O$2,$D60,$D60-($D60-$I$49)*MIN(L$3-$O$2,$Q$2)/$Q$2))</f>
        <v>7620.05994112816</v>
      </c>
      <c r="M60" s="15" t="n">
        <f aca="false">L60*(1+IF(M$3&lt;=$O$2,$D60,$D60-($D60-$I$49)*MIN(M$3-$O$2,$Q$2)/$Q$2))</f>
        <v>7730.87347218765</v>
      </c>
      <c r="N60" s="15" t="n">
        <f aca="false">M60*(1+IF(N$3&lt;=$O$2,$D60,$D60-($D60-$I$49)*MIN(N$3-$O$2,$Q$2)/$Q$2))</f>
        <v>7872.34845672868</v>
      </c>
      <c r="O60" s="15" t="n">
        <f aca="false">SUMPRODUCT(E60:N60,1/(1+$F$49)^$E$3:$N$3)*$E$2</f>
        <v>9013.88049813141</v>
      </c>
      <c r="P60" s="15" t="n">
        <f aca="false">N60*$E$2*(1+$I$49)/($F$49-$I$49)/(1+$F$49)^$N$3</f>
        <v>13062.4439021822</v>
      </c>
      <c r="Q60" s="15" t="n">
        <f aca="false">O60+P60</f>
        <v>22076.3244003136</v>
      </c>
      <c r="R60" s="15" t="n">
        <f aca="false">Q60-$G$2+$I$2</f>
        <v>18960.1244003136</v>
      </c>
      <c r="S60" s="42" t="n">
        <f aca="false">R60/$K$2</f>
        <v>167.937328612167</v>
      </c>
      <c r="T60" s="43" t="n">
        <f aca="false">S60-$M$2</f>
        <v>-0.53034189270474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-0.00048828125</v>
      </c>
      <c r="C61" s="25" t="n">
        <f aca="false">IF(T60&gt;0,D60,C60)</f>
        <v>0.0009765625</v>
      </c>
      <c r="D61" s="41" t="n">
        <f aca="false">(B61+C61)/2</f>
        <v>0.000244140625</v>
      </c>
      <c r="E61" s="15" t="n">
        <f aca="false">$C$2*(1+IF(E$3&lt;=$O$2,$D61,$D61-($D61-$I$49)*MIN(E$3-$O$2,$Q$2)/$Q$2))</f>
        <v>7481.826171875</v>
      </c>
      <c r="F61" s="15" t="n">
        <f aca="false">E61*(1+IF(F$3&lt;=$O$2,$D61,$D61-($D61-$I$49)*MIN(F$3-$O$2,$Q$2)/$Q$2))</f>
        <v>7483.65278959274</v>
      </c>
      <c r="G61" s="15" t="n">
        <f aca="false">F61*(1+IF(G$3&lt;=$O$2,$D61,$D61-($D61-$I$49)*MIN(G$3-$O$2,$Q$2)/$Q$2))</f>
        <v>7485.47985326208</v>
      </c>
      <c r="H61" s="15" t="n">
        <f aca="false">G61*(1+IF(H$3&lt;=$O$2,$D61,$D61-($D61-$I$49)*MIN(H$3-$O$2,$Q$2)/$Q$2))</f>
        <v>7487.30736299188</v>
      </c>
      <c r="I61" s="15" t="n">
        <f aca="false">H61*(1+IF(I$3&lt;=$O$2,$D61,$D61-($D61-$I$49)*MIN(I$3-$O$2,$Q$2)/$Q$2))</f>
        <v>7489.13531889105</v>
      </c>
      <c r="J61" s="15" t="n">
        <f aca="false">I61*(1+IF(J$3&lt;=$O$2,$D61,$D61-($D61-$I$49)*MIN(J$3-$O$2,$Q$2)/$Q$2))</f>
        <v>7518.00827590016</v>
      </c>
      <c r="K61" s="15" t="n">
        <f aca="false">J61*(1+IF(K$3&lt;=$O$2,$D61,$D61-($D61-$I$49)*MIN(K$3-$O$2,$Q$2)/$Q$2))</f>
        <v>7574.14136722329</v>
      </c>
      <c r="L61" s="15" t="n">
        <f aca="false">K61*(1+IF(L$3&lt;=$O$2,$D61,$D61-($D61-$I$49)*MIN(L$3-$O$2,$Q$2)/$Q$2))</f>
        <v>7658.04510167829</v>
      </c>
      <c r="M61" s="15" t="n">
        <f aca="false">L61*(1+IF(M$3&lt;=$O$2,$D61,$D61-($D61-$I$49)*MIN(M$3-$O$2,$Q$2)/$Q$2))</f>
        <v>7770.53280995034</v>
      </c>
      <c r="N61" s="15" t="n">
        <f aca="false">M61*(1+IF(N$3&lt;=$O$2,$D61,$D61-($D61-$I$49)*MIN(N$3-$O$2,$Q$2)/$Q$2))</f>
        <v>7912.73356037243</v>
      </c>
      <c r="O61" s="15" t="n">
        <f aca="false">SUMPRODUCT(E61:N61,1/(1+$F$49)^$E$3:$N$3)*$E$2</f>
        <v>9043.08579741882</v>
      </c>
      <c r="P61" s="15" t="n">
        <f aca="false">N61*$E$2*(1+$I$49)/($F$49-$I$49)/(1+$F$49)^$N$3</f>
        <v>13129.4541664928</v>
      </c>
      <c r="Q61" s="15" t="n">
        <f aca="false">O61+P61</f>
        <v>22172.5399639116</v>
      </c>
      <c r="R61" s="15" t="n">
        <f aca="false">Q61-$G$2+$I$2</f>
        <v>19056.3399639116</v>
      </c>
      <c r="S61" s="42" t="n">
        <f aca="false">R61/$K$2</f>
        <v>168.789547953159</v>
      </c>
      <c r="T61" s="43" t="n">
        <f aca="false">S61-$M$2</f>
        <v>0.321877448287125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-0.00048828125</v>
      </c>
      <c r="C62" s="25" t="n">
        <f aca="false">IF(T61&gt;0,D61,C61)</f>
        <v>0.000244140625</v>
      </c>
      <c r="D62" s="41" t="n">
        <f aca="false">(B62+C62)/2</f>
        <v>-0.0001220703125</v>
      </c>
      <c r="E62" s="15" t="n">
        <f aca="false">$C$2*(1+IF(E$3&lt;=$O$2,$D62,$D62-($D62-$I$49)*MIN(E$3-$O$2,$Q$2)/$Q$2))</f>
        <v>7479.0869140625</v>
      </c>
      <c r="F62" s="15" t="n">
        <f aca="false">E62*(1+IF(F$3&lt;=$O$2,$D62,$D62-($D62-$I$49)*MIN(F$3-$O$2,$Q$2)/$Q$2))</f>
        <v>7478.17393958569</v>
      </c>
      <c r="G62" s="15" t="n">
        <f aca="false">F62*(1+IF(G$3&lt;=$O$2,$D62,$D62-($D62-$I$49)*MIN(G$3-$O$2,$Q$2)/$Q$2))</f>
        <v>7477.26107655595</v>
      </c>
      <c r="H62" s="15" t="n">
        <f aca="false">G62*(1+IF(H$3&lt;=$O$2,$D62,$D62-($D62-$I$49)*MIN(H$3-$O$2,$Q$2)/$Q$2))</f>
        <v>7476.34832495969</v>
      </c>
      <c r="I62" s="15" t="n">
        <f aca="false">H62*(1+IF(I$3&lt;=$O$2,$D62,$D62-($D62-$I$49)*MIN(I$3-$O$2,$Q$2)/$Q$2))</f>
        <v>7475.43568478331</v>
      </c>
      <c r="J62" s="15" t="n">
        <f aca="false">I62*(1+IF(J$3&lt;=$O$2,$D62,$D62-($D62-$I$49)*MIN(J$3-$O$2,$Q$2)/$Q$2))</f>
        <v>7502.06575637352</v>
      </c>
      <c r="K62" s="15" t="n">
        <f aca="false">J62*(1+IF(K$3&lt;=$O$2,$D62,$D62-($D62-$I$49)*MIN(K$3-$O$2,$Q$2)/$Q$2))</f>
        <v>7556.43141000341</v>
      </c>
      <c r="L62" s="15" t="n">
        <f aca="false">K62*(1+IF(L$3&lt;=$O$2,$D62,$D62-($D62-$I$49)*MIN(L$3-$O$2,$Q$2)/$Q$2))</f>
        <v>7639.03206050781</v>
      </c>
      <c r="M62" s="15" t="n">
        <f aca="false">L62*(1+IF(M$3&lt;=$O$2,$D62,$D62-($D62-$I$49)*MIN(M$3-$O$2,$Q$2)/$Q$2))</f>
        <v>7750.68099006747</v>
      </c>
      <c r="N62" s="15" t="n">
        <f aca="false">M62*(1+IF(N$3&lt;=$O$2,$D62,$D62-($D62-$I$49)*MIN(N$3-$O$2,$Q$2)/$Q$2))</f>
        <v>7892.51845218571</v>
      </c>
      <c r="O62" s="15" t="n">
        <f aca="false">SUMPRODUCT(E62:N62,1/(1+$F$49)^$E$3:$N$3)*$E$2</f>
        <v>9028.4711105405</v>
      </c>
      <c r="P62" s="15" t="n">
        <f aca="false">N62*$E$2*(1+$I$49)/($F$49-$I$49)/(1+$F$49)^$N$3</f>
        <v>13095.9116069736</v>
      </c>
      <c r="Q62" s="15" t="n">
        <f aca="false">O62+P62</f>
        <v>22124.3827175141</v>
      </c>
      <c r="R62" s="15" t="n">
        <f aca="false">Q62-$G$2+$I$2</f>
        <v>19008.1827175141</v>
      </c>
      <c r="S62" s="42" t="n">
        <f aca="false">R62/$K$2</f>
        <v>168.363000155129</v>
      </c>
      <c r="T62" s="43" t="n">
        <f aca="false">S62-$M$2</f>
        <v>-0.104670349742236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-0.0001220703125</v>
      </c>
      <c r="C63" s="25" t="n">
        <f aca="false">IF(T62&gt;0,D62,C62)</f>
        <v>0.000244140625</v>
      </c>
      <c r="D63" s="41" t="n">
        <f aca="false">(B63+C63)/2</f>
        <v>6.103515625E-005</v>
      </c>
      <c r="E63" s="15" t="n">
        <f aca="false">$C$2*(1+IF(E$3&lt;=$O$2,$D63,$D63-($D63-$I$49)*MIN(E$3-$O$2,$Q$2)/$Q$2))</f>
        <v>7480.45654296875</v>
      </c>
      <c r="F63" s="15" t="n">
        <f aca="false">E63*(1+IF(F$3&lt;=$O$2,$D63,$D63-($D63-$I$49)*MIN(F$3-$O$2,$Q$2)/$Q$2))</f>
        <v>7480.91311380267</v>
      </c>
      <c r="G63" s="15" t="n">
        <f aca="false">F63*(1+IF(G$3&lt;=$O$2,$D63,$D63-($D63-$I$49)*MIN(G$3-$O$2,$Q$2)/$Q$2))</f>
        <v>7481.36971250347</v>
      </c>
      <c r="H63" s="15" t="n">
        <f aca="false">G63*(1+IF(H$3&lt;=$O$2,$D63,$D63-($D63-$I$49)*MIN(H$3-$O$2,$Q$2)/$Q$2))</f>
        <v>7481.82633907283</v>
      </c>
      <c r="I63" s="15" t="n">
        <f aca="false">H63*(1+IF(I$3&lt;=$O$2,$D63,$D63-($D63-$I$49)*MIN(I$3-$O$2,$Q$2)/$Q$2))</f>
        <v>7482.28299351247</v>
      </c>
      <c r="J63" s="15" t="n">
        <f aca="false">I63*(1+IF(J$3&lt;=$O$2,$D63,$D63-($D63-$I$49)*MIN(J$3-$O$2,$Q$2)/$Q$2))</f>
        <v>7510.03349511802</v>
      </c>
      <c r="K63" s="15" t="n">
        <f aca="false">J63*(1+IF(K$3&lt;=$O$2,$D63,$D63-($D63-$I$49)*MIN(K$3-$O$2,$Q$2)/$Q$2))</f>
        <v>7565.28196594297</v>
      </c>
      <c r="L63" s="15" t="n">
        <f aca="false">K63*(1+IF(L$3&lt;=$O$2,$D63,$D63-($D63-$I$49)*MIN(L$3-$O$2,$Q$2)/$Q$2))</f>
        <v>7648.53346119577</v>
      </c>
      <c r="M63" s="15" t="n">
        <f aca="false">L63*(1+IF(M$3&lt;=$O$2,$D63,$D63-($D63-$I$49)*MIN(M$3-$O$2,$Q$2)/$Q$2))</f>
        <v>7760.60135695466</v>
      </c>
      <c r="N63" s="15" t="n">
        <f aca="false">M63*(1+IF(N$3&lt;=$O$2,$D63,$D63-($D63-$I$49)*MIN(N$3-$O$2,$Q$2)/$Q$2))</f>
        <v>7902.62036178693</v>
      </c>
      <c r="O63" s="15" t="n">
        <f aca="false">SUMPRODUCT(E63:N63,1/(1+$F$49)^$E$3:$N$3)*$E$2</f>
        <v>9035.77544232866</v>
      </c>
      <c r="P63" s="15" t="n">
        <f aca="false">N63*$E$2*(1+$I$49)/($F$49-$I$49)/(1+$F$49)^$N$3</f>
        <v>13112.6735209306</v>
      </c>
      <c r="Q63" s="15" t="n">
        <f aca="false">O63+P63</f>
        <v>22148.4489632592</v>
      </c>
      <c r="R63" s="15" t="n">
        <f aca="false">Q63-$G$2+$I$2</f>
        <v>19032.2489632592</v>
      </c>
      <c r="S63" s="42" t="n">
        <f aca="false">R63/$K$2</f>
        <v>168.576164422137</v>
      </c>
      <c r="T63" s="43" t="n">
        <f aca="false">S63-$M$2</f>
        <v>0.108493917264951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-0.0001220703125</v>
      </c>
      <c r="C64" s="25" t="n">
        <f aca="false">IF(T63&gt;0,D63,C63)</f>
        <v>6.103515625E-005</v>
      </c>
      <c r="D64" s="41" t="n">
        <f aca="false">(B64+C64)/2</f>
        <v>-3.0517578125E-005</v>
      </c>
      <c r="E64" s="15" t="n">
        <f aca="false">$C$2*(1+IF(E$3&lt;=$O$2,$D64,$D64-($D64-$I$49)*MIN(E$3-$O$2,$Q$2)/$Q$2))</f>
        <v>7479.77172851563</v>
      </c>
      <c r="F64" s="15" t="n">
        <f aca="false">E64*(1+IF(F$3&lt;=$O$2,$D64,$D64-($D64-$I$49)*MIN(F$3-$O$2,$Q$2)/$Q$2))</f>
        <v>7479.54346399754</v>
      </c>
      <c r="G64" s="15" t="n">
        <f aca="false">F64*(1+IF(G$3&lt;=$O$2,$D64,$D64-($D64-$I$49)*MIN(G$3-$O$2,$Q$2)/$Q$2))</f>
        <v>7479.31520644554</v>
      </c>
      <c r="H64" s="15" t="n">
        <f aca="false">G64*(1+IF(H$3&lt;=$O$2,$D64,$D64-($D64-$I$49)*MIN(H$3-$O$2,$Q$2)/$Q$2))</f>
        <v>7479.08695585941</v>
      </c>
      <c r="I64" s="15" t="n">
        <f aca="false">H64*(1+IF(I$3&lt;=$O$2,$D64,$D64-($D64-$I$49)*MIN(I$3-$O$2,$Q$2)/$Q$2))</f>
        <v>7478.85871223893</v>
      </c>
      <c r="J64" s="15" t="n">
        <f aca="false">I64*(1+IF(J$3&lt;=$O$2,$D64,$D64-($D64-$I$49)*MIN(J$3-$O$2,$Q$2)/$Q$2))</f>
        <v>7506.04874580169</v>
      </c>
      <c r="K64" s="15" t="n">
        <f aca="false">J64*(1+IF(K$3&lt;=$O$2,$D64,$D64-($D64-$I$49)*MIN(K$3-$O$2,$Q$2)/$Q$2))</f>
        <v>7560.85558276356</v>
      </c>
      <c r="L64" s="15" t="n">
        <f aca="false">K64*(1+IF(L$3&lt;=$O$2,$D64,$D64-($D64-$I$49)*MIN(L$3-$O$2,$Q$2)/$Q$2))</f>
        <v>7643.78148146192</v>
      </c>
      <c r="M64" s="15" t="n">
        <f aca="false">L64*(1+IF(M$3&lt;=$O$2,$D64,$D64-($D64-$I$49)*MIN(M$3-$O$2,$Q$2)/$Q$2))</f>
        <v>7755.63978841082</v>
      </c>
      <c r="N64" s="15" t="n">
        <f aca="false">M64*(1+IF(N$3&lt;=$O$2,$D64,$D64-($D64-$I$49)*MIN(N$3-$O$2,$Q$2)/$Q$2))</f>
        <v>7897.56799653874</v>
      </c>
      <c r="O64" s="15" t="n">
        <f aca="false">SUMPRODUCT(E64:N64,1/(1+$F$49)^$E$3:$N$3)*$E$2</f>
        <v>9032.12252381474</v>
      </c>
      <c r="P64" s="15" t="n">
        <f aca="false">N64*$E$2*(1+$I$49)/($F$49-$I$49)/(1+$F$49)^$N$3</f>
        <v>13104.2902236222</v>
      </c>
      <c r="Q64" s="15" t="n">
        <f aca="false">O64+P64</f>
        <v>22136.4127474369</v>
      </c>
      <c r="R64" s="15" t="n">
        <f aca="false">Q64-$G$2+$I$2</f>
        <v>19020.2127474369</v>
      </c>
      <c r="S64" s="42" t="n">
        <f aca="false">R64/$K$2</f>
        <v>168.469554893153</v>
      </c>
      <c r="T64" s="43" t="n">
        <f aca="false">S64-$M$2</f>
        <v>0.00188438828106996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-0.0001220703125</v>
      </c>
      <c r="C65" s="25" t="n">
        <f aca="false">IF(T64&gt;0,D64,C64)</f>
        <v>-3.0517578125E-005</v>
      </c>
      <c r="D65" s="41" t="n">
        <f aca="false">(B65+C65)/2</f>
        <v>-7.62939453125E-005</v>
      </c>
      <c r="E65" s="15" t="n">
        <f aca="false">$C$2*(1+IF(E$3&lt;=$O$2,$D65,$D65-($D65-$I$49)*MIN(E$3-$O$2,$Q$2)/$Q$2))</f>
        <v>7479.42932128906</v>
      </c>
      <c r="F65" s="15" t="n">
        <f aca="false">E65*(1+IF(F$3&lt;=$O$2,$D65,$D65-($D65-$I$49)*MIN(F$3-$O$2,$Q$2)/$Q$2))</f>
        <v>7478.85868611746</v>
      </c>
      <c r="G65" s="15" t="n">
        <f aca="false">F65*(1+IF(G$3&lt;=$O$2,$D65,$D65-($D65-$I$49)*MIN(G$3-$O$2,$Q$2)/$Q$2))</f>
        <v>7478.28809448186</v>
      </c>
      <c r="H65" s="15" t="n">
        <f aca="false">G65*(1+IF(H$3&lt;=$O$2,$D65,$D65-($D65-$I$49)*MIN(H$3-$O$2,$Q$2)/$Q$2))</f>
        <v>7477.71754637895</v>
      </c>
      <c r="I65" s="15" t="n">
        <f aca="false">H65*(1+IF(I$3&lt;=$O$2,$D65,$D65-($D65-$I$49)*MIN(I$3-$O$2,$Q$2)/$Q$2))</f>
        <v>7477.1470418054</v>
      </c>
      <c r="J65" s="15" t="n">
        <f aca="false">I65*(1+IF(J$3&lt;=$O$2,$D65,$D65-($D65-$I$49)*MIN(J$3-$O$2,$Q$2)/$Q$2))</f>
        <v>7504.05703114041</v>
      </c>
      <c r="K65" s="15" t="n">
        <f aca="false">J65*(1+IF(K$3&lt;=$O$2,$D65,$D65-($D65-$I$49)*MIN(K$3-$O$2,$Q$2)/$Q$2))</f>
        <v>7558.6432201383</v>
      </c>
      <c r="L65" s="15" t="n">
        <f aca="false">K65*(1+IF(L$3&lt;=$O$2,$D65,$D65-($D65-$I$49)*MIN(L$3-$O$2,$Q$2)/$Q$2))</f>
        <v>7641.40645121043</v>
      </c>
      <c r="M65" s="15" t="n">
        <f aca="false">L65*(1+IF(M$3&lt;=$O$2,$D65,$D65-($D65-$I$49)*MIN(M$3-$O$2,$Q$2)/$Q$2))</f>
        <v>7753.16004304697</v>
      </c>
      <c r="N65" s="15" t="n">
        <f aca="false">M65*(1+IF(N$3&lt;=$O$2,$D65,$D65-($D65-$I$49)*MIN(N$3-$O$2,$Q$2)/$Q$2))</f>
        <v>7895.04287183473</v>
      </c>
      <c r="O65" s="15" t="n">
        <f aca="false">SUMPRODUCT(E65:N65,1/(1+$F$49)^$E$3:$N$3)*$E$2</f>
        <v>9030.29662905927</v>
      </c>
      <c r="P65" s="15" t="n">
        <f aca="false">N65*$E$2*(1+$I$49)/($F$49-$I$49)/(1+$F$49)^$N$3</f>
        <v>13100.1003303555</v>
      </c>
      <c r="Q65" s="15" t="n">
        <f aca="false">O65+P65</f>
        <v>22130.3969594147</v>
      </c>
      <c r="R65" s="15" t="n">
        <f aca="false">Q65-$G$2+$I$2</f>
        <v>19014.1969594147</v>
      </c>
      <c r="S65" s="42" t="n">
        <f aca="false">R65/$K$2</f>
        <v>168.416270676836</v>
      </c>
      <c r="T65" s="43" t="n">
        <f aca="false">S65-$M$2</f>
        <v>-0.0513998280359829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-7.62939453125E-005</v>
      </c>
      <c r="C66" s="25" t="n">
        <f aca="false">IF(T65&gt;0,D65,C65)</f>
        <v>-3.0517578125E-005</v>
      </c>
      <c r="D66" s="41" t="n">
        <f aca="false">(B66+C66)/2</f>
        <v>-5.340576171875E-005</v>
      </c>
      <c r="E66" s="15" t="n">
        <f aca="false">$C$2*(1+IF(E$3&lt;=$O$2,$D66,$D66-($D66-$I$49)*MIN(E$3-$O$2,$Q$2)/$Q$2))</f>
        <v>7479.60052490234</v>
      </c>
      <c r="F66" s="15" t="n">
        <f aca="false">E66*(1+IF(F$3&lt;=$O$2,$D66,$D66-($D66-$I$49)*MIN(F$3-$O$2,$Q$2)/$Q$2))</f>
        <v>7479.20107113896</v>
      </c>
      <c r="G66" s="15" t="n">
        <f aca="false">F66*(1+IF(G$3&lt;=$O$2,$D66,$D66-($D66-$I$49)*MIN(G$3-$O$2,$Q$2)/$Q$2))</f>
        <v>7478.80163870871</v>
      </c>
      <c r="H66" s="15" t="n">
        <f aca="false">G66*(1+IF(H$3&lt;=$O$2,$D66,$D66-($D66-$I$49)*MIN(H$3-$O$2,$Q$2)/$Q$2))</f>
        <v>7478.40222761045</v>
      </c>
      <c r="I66" s="15" t="n">
        <f aca="false">H66*(1+IF(I$3&lt;=$O$2,$D66,$D66-($D66-$I$49)*MIN(I$3-$O$2,$Q$2)/$Q$2))</f>
        <v>7478.00283784304</v>
      </c>
      <c r="J66" s="15" t="n">
        <f aca="false">I66*(1+IF(J$3&lt;=$O$2,$D66,$D66-($D66-$I$49)*MIN(J$3-$O$2,$Q$2)/$Q$2))</f>
        <v>7505.0528334794</v>
      </c>
      <c r="K66" s="15" t="n">
        <f aca="false">J66*(1+IF(K$3&lt;=$O$2,$D66,$D66-($D66-$I$49)*MIN(K$3-$O$2,$Q$2)/$Q$2))</f>
        <v>7559.74933238248</v>
      </c>
      <c r="L66" s="15" t="n">
        <f aca="false">K66*(1+IF(L$3&lt;=$O$2,$D66,$D66-($D66-$I$49)*MIN(L$3-$O$2,$Q$2)/$Q$2))</f>
        <v>7642.59388638344</v>
      </c>
      <c r="M66" s="15" t="n">
        <f aca="false">L66*(1+IF(M$3&lt;=$O$2,$D66,$D66-($D66-$I$49)*MIN(M$3-$O$2,$Q$2)/$Q$2))</f>
        <v>7754.39982917049</v>
      </c>
      <c r="N66" s="15" t="n">
        <f aca="false">M66*(1+IF(N$3&lt;=$O$2,$D66,$D66-($D66-$I$49)*MIN(N$3-$O$2,$Q$2)/$Q$2))</f>
        <v>7896.30534604431</v>
      </c>
      <c r="O66" s="15" t="n">
        <f aca="false">SUMPRODUCT(E66:N66,1/(1+$F$49)^$E$3:$N$3)*$E$2</f>
        <v>9031.20952940284</v>
      </c>
      <c r="P66" s="15" t="n">
        <f aca="false">N66*$E$2*(1+$I$49)/($F$49-$I$49)/(1+$F$49)^$N$3</f>
        <v>13102.1951307357</v>
      </c>
      <c r="Q66" s="15" t="n">
        <f aca="false">O66+P66</f>
        <v>22133.4046601386</v>
      </c>
      <c r="R66" s="15" t="n">
        <f aca="false">Q66-$G$2+$I$2</f>
        <v>19017.2046601386</v>
      </c>
      <c r="S66" s="42" t="n">
        <f aca="false">R66/$K$2</f>
        <v>168.442911072972</v>
      </c>
      <c r="T66" s="43" t="n">
        <f aca="false">S66-$M$2</f>
        <v>-0.0247594318993833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-5.340576171875E-005</v>
      </c>
      <c r="C67" s="25" t="n">
        <f aca="false">IF(T66&gt;0,D66,C66)</f>
        <v>-3.0517578125E-005</v>
      </c>
      <c r="D67" s="41" t="n">
        <f aca="false">(B67+C67)/2</f>
        <v>-4.1961669921875E-005</v>
      </c>
      <c r="E67" s="15" t="n">
        <f aca="false">$C$2*(1+IF(E$3&lt;=$O$2,$D67,$D67-($D67-$I$49)*MIN(E$3-$O$2,$Q$2)/$Q$2))</f>
        <v>7479.68612670898</v>
      </c>
      <c r="F67" s="15" t="n">
        <f aca="false">E67*(1+IF(F$3&lt;=$O$2,$D67,$D67-($D67-$I$49)*MIN(F$3-$O$2,$Q$2)/$Q$2))</f>
        <v>7479.37226658862</v>
      </c>
      <c r="G67" s="15" t="n">
        <f aca="false">F67*(1+IF(G$3&lt;=$O$2,$D67,$D67-($D67-$I$49)*MIN(G$3-$O$2,$Q$2)/$Q$2))</f>
        <v>7479.05841963834</v>
      </c>
      <c r="H67" s="15" t="n">
        <f aca="false">G67*(1+IF(H$3&lt;=$O$2,$D67,$D67-($D67-$I$49)*MIN(H$3-$O$2,$Q$2)/$Q$2))</f>
        <v>7478.74458585761</v>
      </c>
      <c r="I67" s="15" t="n">
        <f aca="false">H67*(1+IF(I$3&lt;=$O$2,$D67,$D67-($D67-$I$49)*MIN(I$3-$O$2,$Q$2)/$Q$2))</f>
        <v>7478.43076524587</v>
      </c>
      <c r="J67" s="15" t="n">
        <f aca="false">I67*(1+IF(J$3&lt;=$O$2,$D67,$D67-($D67-$I$49)*MIN(J$3-$O$2,$Q$2)/$Q$2))</f>
        <v>7505.55077589203</v>
      </c>
      <c r="K67" s="15" t="n">
        <f aca="false">J67*(1+IF(K$3&lt;=$O$2,$D67,$D67-($D67-$I$49)*MIN(K$3-$O$2,$Q$2)/$Q$2))</f>
        <v>7560.30244030501</v>
      </c>
      <c r="L67" s="15" t="n">
        <f aca="false">K67*(1+IF(L$3&lt;=$O$2,$D67,$D67-($D67-$I$49)*MIN(L$3-$O$2,$Q$2)/$Q$2))</f>
        <v>7643.18766393336</v>
      </c>
      <c r="M67" s="15" t="n">
        <f aca="false">L67*(1+IF(M$3&lt;=$O$2,$D67,$D67-($D67-$I$49)*MIN(M$3-$O$2,$Q$2)/$Q$2))</f>
        <v>7755.01978714976</v>
      </c>
      <c r="N67" s="15" t="n">
        <f aca="false">M67*(1+IF(N$3&lt;=$O$2,$D67,$D67-($D67-$I$49)*MIN(N$3-$O$2,$Q$2)/$Q$2))</f>
        <v>7896.9366492546</v>
      </c>
      <c r="O67" s="15" t="n">
        <f aca="false">SUMPRODUCT(E67:N67,1/(1+$F$49)^$E$3:$N$3)*$E$2</f>
        <v>9031.66601484968</v>
      </c>
      <c r="P67" s="15" t="n">
        <f aca="false">N67*$E$2*(1+$I$49)/($F$49-$I$49)/(1+$F$49)^$N$3</f>
        <v>13103.2426406135</v>
      </c>
      <c r="Q67" s="15" t="n">
        <f aca="false">O67+P67</f>
        <v>22134.9086554632</v>
      </c>
      <c r="R67" s="15" t="n">
        <f aca="false">Q67-$G$2+$I$2</f>
        <v>19018.7086554632</v>
      </c>
      <c r="S67" s="42" t="n">
        <f aca="false">R67/$K$2</f>
        <v>168.456232555033</v>
      </c>
      <c r="T67" s="43" t="n">
        <f aca="false">S67-$M$2</f>
        <v>-0.0114379498390917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-4.1961669921875E-005</v>
      </c>
      <c r="C68" s="25" t="n">
        <f aca="false">IF(T67&gt;0,D67,C67)</f>
        <v>-3.0517578125E-005</v>
      </c>
      <c r="D68" s="41" t="n">
        <f aca="false">(B68+C68)/2</f>
        <v>-3.62396240234375E-005</v>
      </c>
      <c r="E68" s="15" t="n">
        <f aca="false">$C$2*(1+IF(E$3&lt;=$O$2,$D68,$D68-($D68-$I$49)*MIN(E$3-$O$2,$Q$2)/$Q$2))</f>
        <v>7479.72892761231</v>
      </c>
      <c r="F68" s="15" t="n">
        <f aca="false">E68*(1+IF(F$3&lt;=$O$2,$D68,$D68-($D68-$I$49)*MIN(F$3-$O$2,$Q$2)/$Q$2))</f>
        <v>7479.45786504817</v>
      </c>
      <c r="G68" s="15" t="n">
        <f aca="false">F68*(1+IF(G$3&lt;=$O$2,$D68,$D68-($D68-$I$49)*MIN(G$3-$O$2,$Q$2)/$Q$2))</f>
        <v>7479.18681230724</v>
      </c>
      <c r="H68" s="15" t="n">
        <f aca="false">G68*(1+IF(H$3&lt;=$O$2,$D68,$D68-($D68-$I$49)*MIN(H$3-$O$2,$Q$2)/$Q$2))</f>
        <v>7478.91576938916</v>
      </c>
      <c r="I68" s="15" t="n">
        <f aca="false">H68*(1+IF(I$3&lt;=$O$2,$D68,$D68-($D68-$I$49)*MIN(I$3-$O$2,$Q$2)/$Q$2))</f>
        <v>7478.64473629358</v>
      </c>
      <c r="J68" s="15" t="n">
        <f aca="false">I68*(1+IF(J$3&lt;=$O$2,$D68,$D68-($D68-$I$49)*MIN(J$3-$O$2,$Q$2)/$Q$2))</f>
        <v>7505.79975740965</v>
      </c>
      <c r="K68" s="15" t="n">
        <f aca="false">J68*(1+IF(K$3&lt;=$O$2,$D68,$D68-($D68-$I$49)*MIN(K$3-$O$2,$Q$2)/$Q$2))</f>
        <v>7560.57900721717</v>
      </c>
      <c r="L68" s="15" t="n">
        <f aca="false">K68*(1+IF(L$3&lt;=$O$2,$D68,$D68-($D68-$I$49)*MIN(L$3-$O$2,$Q$2)/$Q$2))</f>
        <v>7643.48456770017</v>
      </c>
      <c r="M68" s="15" t="n">
        <f aca="false">L68*(1+IF(M$3&lt;=$O$2,$D68,$D68-($D68-$I$49)*MIN(M$3-$O$2,$Q$2)/$Q$2))</f>
        <v>7755.3297823699</v>
      </c>
      <c r="N68" s="15" t="n">
        <f aca="false">M68*(1+IF(N$3&lt;=$O$2,$D68,$D68-($D68-$I$49)*MIN(N$3-$O$2,$Q$2)/$Q$2))</f>
        <v>7897.25231738727</v>
      </c>
      <c r="O68" s="15" t="n">
        <f aca="false">SUMPRODUCT(E68:N68,1/(1+$F$49)^$E$3:$N$3)*$E$2</f>
        <v>9031.89426639236</v>
      </c>
      <c r="P68" s="15" t="n">
        <f aca="false">N68*$E$2*(1+$I$49)/($F$49-$I$49)/(1+$F$49)^$N$3</f>
        <v>13103.7664229762</v>
      </c>
      <c r="Q68" s="15" t="n">
        <f aca="false">O68+P68</f>
        <v>22135.6606893686</v>
      </c>
      <c r="R68" s="15" t="n">
        <f aca="false">Q68-$G$2+$I$2</f>
        <v>19019.4606893686</v>
      </c>
      <c r="S68" s="42" t="n">
        <f aca="false">R68/$K$2</f>
        <v>168.462893617082</v>
      </c>
      <c r="T68" s="43" t="n">
        <f aca="false">S68-$M$2</f>
        <v>-0.00477688778951801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-3.62396240234375E-005</v>
      </c>
      <c r="C69" s="25" t="n">
        <f aca="false">IF(T68&gt;0,D68,C68)</f>
        <v>-3.0517578125E-005</v>
      </c>
      <c r="D69" s="41" t="n">
        <f aca="false">(B69+C69)/2</f>
        <v>-3.33786010742188E-005</v>
      </c>
      <c r="E69" s="15" t="n">
        <f aca="false">$C$2*(1+IF(E$3&lt;=$O$2,$D69,$D69-($D69-$I$49)*MIN(E$3-$O$2,$Q$2)/$Q$2))</f>
        <v>7479.75032806397</v>
      </c>
      <c r="F69" s="15" t="n">
        <f aca="false">E69*(1+IF(F$3&lt;=$O$2,$D69,$D69-($D69-$I$49)*MIN(F$3-$O$2,$Q$2)/$Q$2))</f>
        <v>7479.50066446163</v>
      </c>
      <c r="G69" s="15" t="n">
        <f aca="false">F69*(1+IF(G$3&lt;=$O$2,$D69,$D69-($D69-$I$49)*MIN(G$3-$O$2,$Q$2)/$Q$2))</f>
        <v>7479.25100919272</v>
      </c>
      <c r="H69" s="15" t="n">
        <f aca="false">G69*(1+IF(H$3&lt;=$O$2,$D69,$D69-($D69-$I$49)*MIN(H$3-$O$2,$Q$2)/$Q$2))</f>
        <v>7479.00136225695</v>
      </c>
      <c r="I69" s="15" t="n">
        <f aca="false">H69*(1+IF(I$3&lt;=$O$2,$D69,$D69-($D69-$I$49)*MIN(I$3-$O$2,$Q$2)/$Q$2))</f>
        <v>7478.75172365404</v>
      </c>
      <c r="J69" s="15" t="n">
        <f aca="false">I69*(1+IF(J$3&lt;=$O$2,$D69,$D69-($D69-$I$49)*MIN(J$3-$O$2,$Q$2)/$Q$2))</f>
        <v>7505.92425074636</v>
      </c>
      <c r="K69" s="15" t="n">
        <f aca="false">J69*(1+IF(K$3&lt;=$O$2,$D69,$D69-($D69-$I$49)*MIN(K$3-$O$2,$Q$2)/$Q$2))</f>
        <v>7560.71729391107</v>
      </c>
      <c r="L69" s="15" t="n">
        <f aca="false">K69*(1+IF(L$3&lt;=$O$2,$D69,$D69-($D69-$I$49)*MIN(L$3-$O$2,$Q$2)/$Q$2))</f>
        <v>7643.63302333166</v>
      </c>
      <c r="M69" s="15" t="n">
        <f aca="false">L69*(1+IF(M$3&lt;=$O$2,$D69,$D69-($D69-$I$49)*MIN(M$3-$O$2,$Q$2)/$Q$2))</f>
        <v>7755.48478403774</v>
      </c>
      <c r="N69" s="15" t="n">
        <f aca="false">M69*(1+IF(N$3&lt;=$O$2,$D69,$D69-($D69-$I$49)*MIN(N$3-$O$2,$Q$2)/$Q$2))</f>
        <v>7897.41015558564</v>
      </c>
      <c r="O69" s="15" t="n">
        <f aca="false">SUMPRODUCT(E69:N69,1/(1+$F$49)^$E$3:$N$3)*$E$2</f>
        <v>9032.00839436858</v>
      </c>
      <c r="P69" s="15" t="n">
        <f aca="false">N69*$E$2*(1+$I$49)/($F$49-$I$49)/(1+$F$49)^$N$3</f>
        <v>13104.0283210138</v>
      </c>
      <c r="Q69" s="15" t="n">
        <f aca="false">O69+P69</f>
        <v>22136.0367153823</v>
      </c>
      <c r="R69" s="15" t="n">
        <f aca="false">Q69-$G$2+$I$2</f>
        <v>19019.8367153823</v>
      </c>
      <c r="S69" s="42" t="n">
        <f aca="false">R69/$K$2</f>
        <v>168.466224228364</v>
      </c>
      <c r="T69" s="43" t="n">
        <f aca="false">S69-$M$2</f>
        <v>-0.00144627650726648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-3.33786010742188E-005</v>
      </c>
      <c r="C70" s="25" t="n">
        <f aca="false">IF(T69&gt;0,D69,C69)</f>
        <v>-3.0517578125E-005</v>
      </c>
      <c r="D70" s="41" t="n">
        <f aca="false">(B70+C70)/2</f>
        <v>-3.19480895996094E-005</v>
      </c>
      <c r="E70" s="15" t="n">
        <f aca="false">$C$2*(1+IF(E$3&lt;=$O$2,$D70,$D70-($D70-$I$49)*MIN(E$3-$O$2,$Q$2)/$Q$2))</f>
        <v>7479.7610282898</v>
      </c>
      <c r="F70" s="15" t="n">
        <f aca="false">E70*(1+IF(F$3&lt;=$O$2,$D70,$D70-($D70-$I$49)*MIN(F$3-$O$2,$Q$2)/$Q$2))</f>
        <v>7479.52206421428</v>
      </c>
      <c r="G70" s="15" t="n">
        <f aca="false">F70*(1+IF(G$3&lt;=$O$2,$D70,$D70-($D70-$I$49)*MIN(G$3-$O$2,$Q$2)/$Q$2))</f>
        <v>7479.28310777321</v>
      </c>
      <c r="H70" s="15" t="n">
        <f aca="false">G70*(1+IF(H$3&lt;=$O$2,$D70,$D70-($D70-$I$49)*MIN(H$3-$O$2,$Q$2)/$Q$2))</f>
        <v>7479.04415896634</v>
      </c>
      <c r="I70" s="15" t="n">
        <f aca="false">H70*(1+IF(I$3&lt;=$O$2,$D70,$D70-($D70-$I$49)*MIN(I$3-$O$2,$Q$2)/$Q$2))</f>
        <v>7478.80521779343</v>
      </c>
      <c r="J70" s="15" t="n">
        <f aca="false">I70*(1+IF(J$3&lt;=$O$2,$D70,$D70-($D70-$I$49)*MIN(J$3-$O$2,$Q$2)/$Q$2))</f>
        <v>7505.9864980592</v>
      </c>
      <c r="K70" s="15" t="n">
        <f aca="false">J70*(1+IF(K$3&lt;=$O$2,$D70,$D70-($D70-$I$49)*MIN(K$3-$O$2,$Q$2)/$Q$2))</f>
        <v>7560.78643806749</v>
      </c>
      <c r="L70" s="15" t="n">
        <f aca="false">K70*(1+IF(L$3&lt;=$O$2,$D70,$D70-($D70-$I$49)*MIN(L$3-$O$2,$Q$2)/$Q$2))</f>
        <v>7643.70725208444</v>
      </c>
      <c r="M70" s="15" t="n">
        <f aca="false">L70*(1+IF(M$3&lt;=$O$2,$D70,$D70-($D70-$I$49)*MIN(M$3-$O$2,$Q$2)/$Q$2))</f>
        <v>7755.56228588613</v>
      </c>
      <c r="N70" s="15" t="n">
        <f aca="false">M70*(1+IF(N$3&lt;=$O$2,$D70,$D70-($D70-$I$49)*MIN(N$3-$O$2,$Q$2)/$Q$2))</f>
        <v>7897.48907571784</v>
      </c>
      <c r="O70" s="15" t="n">
        <f aca="false">SUMPRODUCT(E70:N70,1/(1+$F$49)^$E$3:$N$3)*$E$2</f>
        <v>9032.06545890792</v>
      </c>
      <c r="P70" s="15" t="n">
        <f aca="false">N70*$E$2*(1+$I$49)/($F$49-$I$49)/(1+$F$49)^$N$3</f>
        <v>13104.1592717466</v>
      </c>
      <c r="Q70" s="15" t="n">
        <f aca="false">O70+P70</f>
        <v>22136.2247306545</v>
      </c>
      <c r="R70" s="15" t="n">
        <f aca="false">Q70-$G$2+$I$2</f>
        <v>19020.0247306545</v>
      </c>
      <c r="S70" s="42" t="n">
        <f aca="false">R70/$K$2</f>
        <v>168.46788955407</v>
      </c>
      <c r="T70" s="43" t="n">
        <f aca="false">S70-$M$2</f>
        <v>0.000219049198591392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-3.33786010742188E-005</v>
      </c>
      <c r="C71" s="25" t="n">
        <f aca="false">IF(T70&gt;0,D70,C70)</f>
        <v>-3.19480895996094E-005</v>
      </c>
      <c r="D71" s="41" t="n">
        <f aca="false">(B71+C71)/2</f>
        <v>-3.26633453369141E-005</v>
      </c>
      <c r="E71" s="15" t="n">
        <f aca="false">$C$2*(1+IF(E$3&lt;=$O$2,$D71,$D71-($D71-$I$49)*MIN(E$3-$O$2,$Q$2)/$Q$2))</f>
        <v>7479.75567817688</v>
      </c>
      <c r="F71" s="15" t="n">
        <f aca="false">E71*(1+IF(F$3&lt;=$O$2,$D71,$D71-($D71-$I$49)*MIN(F$3-$O$2,$Q$2)/$Q$2))</f>
        <v>7479.51136433413</v>
      </c>
      <c r="G71" s="15" t="n">
        <f aca="false">F71*(1+IF(G$3&lt;=$O$2,$D71,$D71-($D71-$I$49)*MIN(G$3-$O$2,$Q$2)/$Q$2))</f>
        <v>7479.26705847148</v>
      </c>
      <c r="H71" s="15" t="n">
        <f aca="false">G71*(1+IF(H$3&lt;=$O$2,$D71,$D71-($D71-$I$49)*MIN(H$3-$O$2,$Q$2)/$Q$2))</f>
        <v>7479.02276058869</v>
      </c>
      <c r="I71" s="15" t="n">
        <f aca="false">H71*(1+IF(I$3&lt;=$O$2,$D71,$D71-($D71-$I$49)*MIN(I$3-$O$2,$Q$2)/$Q$2))</f>
        <v>7478.77847068547</v>
      </c>
      <c r="J71" s="15" t="n">
        <f aca="false">I71*(1+IF(J$3&lt;=$O$2,$D71,$D71-($D71-$I$49)*MIN(J$3-$O$2,$Q$2)/$Q$2))</f>
        <v>7505.95537434907</v>
      </c>
      <c r="K71" s="15" t="n">
        <f aca="false">J71*(1+IF(K$3&lt;=$O$2,$D71,$D71-($D71-$I$49)*MIN(K$3-$O$2,$Q$2)/$Q$2))</f>
        <v>7560.75186592182</v>
      </c>
      <c r="L71" s="15" t="n">
        <f aca="false">K71*(1+IF(L$3&lt;=$O$2,$D71,$D71-($D71-$I$49)*MIN(L$3-$O$2,$Q$2)/$Q$2))</f>
        <v>7643.67013762996</v>
      </c>
      <c r="M71" s="15" t="n">
        <f aca="false">L71*(1+IF(M$3&lt;=$O$2,$D71,$D71-($D71-$I$49)*MIN(M$3-$O$2,$Q$2)/$Q$2))</f>
        <v>7755.5235348774</v>
      </c>
      <c r="N71" s="15" t="n">
        <f aca="false">M71*(1+IF(N$3&lt;=$O$2,$D71,$D71-($D71-$I$49)*MIN(N$3-$O$2,$Q$2)/$Q$2))</f>
        <v>7897.44961556565</v>
      </c>
      <c r="O71" s="15" t="n">
        <f aca="false">SUMPRODUCT(E71:N71,1/(1+$F$49)^$E$3:$N$3)*$E$2</f>
        <v>9032.03692659232</v>
      </c>
      <c r="P71" s="15" t="n">
        <f aca="false">N71*$E$2*(1+$I$49)/($F$49-$I$49)/(1+$F$49)^$N$3</f>
        <v>13104.0937962373</v>
      </c>
      <c r="Q71" s="15" t="n">
        <f aca="false">O71+P71</f>
        <v>22136.1307228297</v>
      </c>
      <c r="R71" s="15" t="n">
        <f aca="false">Q71-$G$2+$I$2</f>
        <v>19019.9307228297</v>
      </c>
      <c r="S71" s="42" t="n">
        <f aca="false">R71/$K$2</f>
        <v>168.467056889545</v>
      </c>
      <c r="T71" s="43" t="n">
        <f aca="false">S71-$M$2</f>
        <v>-0.000613615326358286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-3.26633453369141E-005</v>
      </c>
      <c r="C72" s="25" t="n">
        <f aca="false">IF(T71&gt;0,D71,C71)</f>
        <v>-3.19480895996094E-005</v>
      </c>
      <c r="D72" s="41" t="n">
        <f aca="false">(B72+C72)/2</f>
        <v>-3.23057174682617E-005</v>
      </c>
      <c r="E72" s="15" t="n">
        <f aca="false">$C$2*(1+IF(E$3&lt;=$O$2,$D72,$D72-($D72-$I$49)*MIN(E$3-$O$2,$Q$2)/$Q$2))</f>
        <v>7479.75835323334</v>
      </c>
      <c r="F72" s="15" t="n">
        <f aca="false">E72*(1+IF(F$3&lt;=$O$2,$D72,$D72-($D72-$I$49)*MIN(F$3-$O$2,$Q$2)/$Q$2))</f>
        <v>7479.51671427325</v>
      </c>
      <c r="G72" s="15" t="n">
        <f aca="false">F72*(1+IF(G$3&lt;=$O$2,$D72,$D72-($D72-$I$49)*MIN(G$3-$O$2,$Q$2)/$Q$2))</f>
        <v>7479.27508311948</v>
      </c>
      <c r="H72" s="15" t="n">
        <f aca="false">G72*(1+IF(H$3&lt;=$O$2,$D72,$D72-($D72-$I$49)*MIN(H$3-$O$2,$Q$2)/$Q$2))</f>
        <v>7479.03345977177</v>
      </c>
      <c r="I72" s="15" t="n">
        <f aca="false">H72*(1+IF(I$3&lt;=$O$2,$D72,$D72-($D72-$I$49)*MIN(I$3-$O$2,$Q$2)/$Q$2))</f>
        <v>7478.79184422989</v>
      </c>
      <c r="J72" s="15" t="n">
        <f aca="false">I72*(1+IF(J$3&lt;=$O$2,$D72,$D72-($D72-$I$49)*MIN(J$3-$O$2,$Q$2)/$Q$2))</f>
        <v>7505.97093619071</v>
      </c>
      <c r="K72" s="15" t="n">
        <f aca="false">J72*(1+IF(K$3&lt;=$O$2,$D72,$D72-($D72-$I$49)*MIN(K$3-$O$2,$Q$2)/$Q$2))</f>
        <v>7560.76915197779</v>
      </c>
      <c r="L72" s="15" t="n">
        <f aca="false">K72*(1+IF(L$3&lt;=$O$2,$D72,$D72-($D72-$I$49)*MIN(L$3-$O$2,$Q$2)/$Q$2))</f>
        <v>7643.68869483768</v>
      </c>
      <c r="M72" s="15" t="n">
        <f aca="false">L72*(1+IF(M$3&lt;=$O$2,$D72,$D72-($D72-$I$49)*MIN(M$3-$O$2,$Q$2)/$Q$2))</f>
        <v>7755.54291036063</v>
      </c>
      <c r="N72" s="15" t="n">
        <f aca="false">M72*(1+IF(N$3&lt;=$O$2,$D72,$D72-($D72-$I$49)*MIN(N$3-$O$2,$Q$2)/$Q$2))</f>
        <v>7897.46934562023</v>
      </c>
      <c r="O72" s="15" t="n">
        <f aca="false">SUMPRODUCT(E72:N72,1/(1+$F$49)^$E$3:$N$3)*$E$2</f>
        <v>9032.05119273863</v>
      </c>
      <c r="P72" s="15" t="n">
        <f aca="false">N72*$E$2*(1+$I$49)/($F$49-$I$49)/(1+$F$49)^$N$3</f>
        <v>13104.1265339563</v>
      </c>
      <c r="Q72" s="15" t="n">
        <f aca="false">O72+P72</f>
        <v>22136.1777266949</v>
      </c>
      <c r="R72" s="15" t="n">
        <f aca="false">Q72-$G$2+$I$2</f>
        <v>19019.9777266949</v>
      </c>
      <c r="S72" s="42" t="n">
        <f aca="false">R72/$K$2</f>
        <v>168.46747322139</v>
      </c>
      <c r="T72" s="43" t="n">
        <f aca="false">S72-$M$2</f>
        <v>-0.000197283481895738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-3.23057174682617E-005</v>
      </c>
      <c r="C73" s="25" t="n">
        <f aca="false">IF(T72&gt;0,D72,C72)</f>
        <v>-3.19480895996094E-005</v>
      </c>
      <c r="D73" s="41" t="n">
        <f aca="false">(B73+C73)/2</f>
        <v>-3.21269035339356E-005</v>
      </c>
      <c r="E73" s="15" t="n">
        <f aca="false">$C$2*(1+IF(E$3&lt;=$O$2,$D73,$D73-($D73-$I$49)*MIN(E$3-$O$2,$Q$2)/$Q$2))</f>
        <v>7479.75969076157</v>
      </c>
      <c r="F73" s="15" t="n">
        <f aca="false">E73*(1+IF(F$3&lt;=$O$2,$D73,$D73-($D73-$I$49)*MIN(F$3-$O$2,$Q$2)/$Q$2))</f>
        <v>7479.51938924352</v>
      </c>
      <c r="G73" s="15" t="n">
        <f aca="false">F73*(1+IF(G$3&lt;=$O$2,$D73,$D73-($D73-$I$49)*MIN(G$3-$O$2,$Q$2)/$Q$2))</f>
        <v>7479.27909544563</v>
      </c>
      <c r="H73" s="15" t="n">
        <f aca="false">G73*(1+IF(H$3&lt;=$O$2,$D73,$D73-($D73-$I$49)*MIN(H$3-$O$2,$Q$2)/$Q$2))</f>
        <v>7479.03880936762</v>
      </c>
      <c r="I73" s="15" t="n">
        <f aca="false">H73*(1+IF(I$3&lt;=$O$2,$D73,$D73-($D73-$I$49)*MIN(I$3-$O$2,$Q$2)/$Q$2))</f>
        <v>7478.79853100927</v>
      </c>
      <c r="J73" s="15" t="n">
        <f aca="false">I73*(1+IF(J$3&lt;=$O$2,$D73,$D73-($D73-$I$49)*MIN(J$3-$O$2,$Q$2)/$Q$2))</f>
        <v>7505.9787171216</v>
      </c>
      <c r="K73" s="15" t="n">
        <f aca="false">J73*(1+IF(K$3&lt;=$O$2,$D73,$D73-($D73-$I$49)*MIN(K$3-$O$2,$Q$2)/$Q$2))</f>
        <v>7560.77779501842</v>
      </c>
      <c r="L73" s="15" t="n">
        <f aca="false">K73*(1+IF(L$3&lt;=$O$2,$D73,$D73-($D73-$I$49)*MIN(L$3-$O$2,$Q$2)/$Q$2))</f>
        <v>7643.69797345618</v>
      </c>
      <c r="M73" s="15" t="n">
        <f aca="false">L73*(1+IF(M$3&lt;=$O$2,$D73,$D73-($D73-$I$49)*MIN(M$3-$O$2,$Q$2)/$Q$2))</f>
        <v>7755.55259811809</v>
      </c>
      <c r="N73" s="15" t="n">
        <f aca="false">M73*(1+IF(N$3&lt;=$O$2,$D73,$D73-($D73-$I$49)*MIN(N$3-$O$2,$Q$2)/$Q$2))</f>
        <v>7897.47921066365</v>
      </c>
      <c r="O73" s="15" t="n">
        <f aca="false">SUMPRODUCT(E73:N73,1/(1+$F$49)^$E$3:$N$3)*$E$2</f>
        <v>9032.0583258204</v>
      </c>
      <c r="P73" s="15" t="n">
        <f aca="false">N73*$E$2*(1+$I$49)/($F$49-$I$49)/(1+$F$49)^$N$3</f>
        <v>13104.1429028425</v>
      </c>
      <c r="Q73" s="15" t="n">
        <f aca="false">O73+P73</f>
        <v>22136.2012286629</v>
      </c>
      <c r="R73" s="15" t="n">
        <f aca="false">Q73-$G$2+$I$2</f>
        <v>19020.0012286629</v>
      </c>
      <c r="S73" s="42" t="n">
        <f aca="false">R73/$K$2</f>
        <v>168.467681387625</v>
      </c>
      <c r="T73" s="43" t="n">
        <f aca="false">S73-$M$2</f>
        <v>1.08827538269907E-005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-3.23057174682617E-005</v>
      </c>
      <c r="C74" s="25" t="n">
        <f aca="false">IF(T73&gt;0,D73,C73)</f>
        <v>-3.21269035339356E-005</v>
      </c>
      <c r="D74" s="41" t="n">
        <f aca="false">(B74+C74)/2</f>
        <v>-3.22163105010986E-005</v>
      </c>
      <c r="E74" s="15" t="n">
        <f aca="false">$C$2*(1+IF(E$3&lt;=$O$2,$D74,$D74-($D74-$I$49)*MIN(E$3-$O$2,$Q$2)/$Q$2))</f>
        <v>7479.75902199745</v>
      </c>
      <c r="F74" s="15" t="n">
        <f aca="false">E74*(1+IF(F$3&lt;=$O$2,$D74,$D74-($D74-$I$49)*MIN(F$3-$O$2,$Q$2)/$Q$2))</f>
        <v>7479.51805175833</v>
      </c>
      <c r="G74" s="15" t="n">
        <f aca="false">F74*(1+IF(G$3&lt;=$O$2,$D74,$D74-($D74-$I$49)*MIN(G$3-$O$2,$Q$2)/$Q$2))</f>
        <v>7479.27708928237</v>
      </c>
      <c r="H74" s="15" t="n">
        <f aca="false">G74*(1+IF(H$3&lt;=$O$2,$D74,$D74-($D74-$I$49)*MIN(H$3-$O$2,$Q$2)/$Q$2))</f>
        <v>7479.03613456934</v>
      </c>
      <c r="I74" s="15" t="n">
        <f aca="false">H74*(1+IF(I$3&lt;=$O$2,$D74,$D74-($D74-$I$49)*MIN(I$3-$O$2,$Q$2)/$Q$2))</f>
        <v>7478.79518761898</v>
      </c>
      <c r="J74" s="15" t="n">
        <f aca="false">I74*(1+IF(J$3&lt;=$O$2,$D74,$D74-($D74-$I$49)*MIN(J$3-$O$2,$Q$2)/$Q$2))</f>
        <v>7505.97482665532</v>
      </c>
      <c r="K74" s="15" t="n">
        <f aca="false">J74*(1+IF(K$3&lt;=$O$2,$D74,$D74-($D74-$I$49)*MIN(K$3-$O$2,$Q$2)/$Q$2))</f>
        <v>7560.77347349705</v>
      </c>
      <c r="L74" s="15" t="n">
        <f aca="false">K74*(1+IF(L$3&lt;=$O$2,$D74,$D74-($D74-$I$49)*MIN(L$3-$O$2,$Q$2)/$Q$2))</f>
        <v>7643.69333414571</v>
      </c>
      <c r="M74" s="15" t="n">
        <f aca="false">L74*(1+IF(M$3&lt;=$O$2,$D74,$D74-($D74-$I$49)*MIN(M$3-$O$2,$Q$2)/$Q$2))</f>
        <v>7755.54775423804</v>
      </c>
      <c r="N74" s="15" t="n">
        <f aca="false">M74*(1+IF(N$3&lt;=$O$2,$D74,$D74-($D74-$I$49)*MIN(N$3-$O$2,$Q$2)/$Q$2))</f>
        <v>7897.4742781406</v>
      </c>
      <c r="O74" s="15" t="n">
        <f aca="false">SUMPRODUCT(E74:N74,1/(1+$F$49)^$E$3:$N$3)*$E$2</f>
        <v>9032.0547592788</v>
      </c>
      <c r="P74" s="15" t="n">
        <f aca="false">N74*$E$2*(1+$I$49)/($F$49-$I$49)/(1+$F$49)^$N$3</f>
        <v>13104.1347183972</v>
      </c>
      <c r="Q74" s="15" t="n">
        <f aca="false">O74+P74</f>
        <v>22136.189477676</v>
      </c>
      <c r="R74" s="15" t="n">
        <f aca="false">Q74-$G$2+$I$2</f>
        <v>19019.989477676</v>
      </c>
      <c r="S74" s="42" t="n">
        <f aca="false">R74/$K$2</f>
        <v>168.467577304481</v>
      </c>
      <c r="T74" s="43" t="n">
        <f aca="false">S74-$M$2</f>
        <v>-9.3200390125503E-005</v>
      </c>
    </row>
    <row r="76" customFormat="false" ht="15" hidden="false" customHeight="false" outlineLevel="0" collapsed="false">
      <c r="A76" s="38" t="s">
        <v>186</v>
      </c>
      <c r="E76" s="5" t="s">
        <v>11</v>
      </c>
      <c r="F76" s="12" t="n">
        <f aca="false">Sensitivity!$B$10</f>
        <v>0.0711268672746673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165</v>
      </c>
      <c r="B77" s="28" t="s">
        <v>166</v>
      </c>
      <c r="C77" s="28" t="s">
        <v>167</v>
      </c>
      <c r="D77" s="28" t="s">
        <v>168</v>
      </c>
      <c r="E77" s="28" t="s">
        <v>169</v>
      </c>
      <c r="F77" s="28" t="s">
        <v>170</v>
      </c>
      <c r="G77" s="28" t="s">
        <v>171</v>
      </c>
      <c r="H77" s="28" t="s">
        <v>172</v>
      </c>
      <c r="I77" s="28" t="s">
        <v>173</v>
      </c>
      <c r="J77" s="28" t="s">
        <v>174</v>
      </c>
      <c r="K77" s="28" t="s">
        <v>175</v>
      </c>
      <c r="L77" s="28" t="s">
        <v>176</v>
      </c>
      <c r="M77" s="28" t="s">
        <v>177</v>
      </c>
      <c r="N77" s="28" t="s">
        <v>178</v>
      </c>
      <c r="O77" s="28" t="s">
        <v>179</v>
      </c>
      <c r="P77" s="28" t="s">
        <v>180</v>
      </c>
      <c r="Q77" s="28" t="s">
        <v>181</v>
      </c>
      <c r="R77" s="28" t="s">
        <v>182</v>
      </c>
      <c r="S77" s="28" t="s">
        <v>183</v>
      </c>
      <c r="T77" s="28" t="s">
        <v>184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9350</v>
      </c>
      <c r="F78" s="15" t="n">
        <f aca="false">E78*(1+IF(F$3&lt;=$O$2,$D78,$D78-($D78-$I$76)*MIN(F$3-$O$2,$Q$2)/$Q$2))</f>
        <v>11687.5</v>
      </c>
      <c r="G78" s="15" t="n">
        <f aca="false">F78*(1+IF(G$3&lt;=$O$2,$D78,$D78-($D78-$I$76)*MIN(G$3-$O$2,$Q$2)/$Q$2))</f>
        <v>14609.375</v>
      </c>
      <c r="H78" s="15" t="n">
        <f aca="false">G78*(1+IF(H$3&lt;=$O$2,$D78,$D78-($D78-$I$76)*MIN(H$3-$O$2,$Q$2)/$Q$2))</f>
        <v>18261.71875</v>
      </c>
      <c r="I78" s="15" t="n">
        <f aca="false">H78*(1+IF(I$3&lt;=$O$2,$D78,$D78-($D78-$I$76)*MIN(I$3-$O$2,$Q$2)/$Q$2))</f>
        <v>22827.1484375</v>
      </c>
      <c r="J78" s="15" t="n">
        <f aca="false">I78*(1+IF(J$3&lt;=$O$2,$D78,$D78-($D78-$I$76)*MIN(J$3-$O$2,$Q$2)/$Q$2))</f>
        <v>27498.9526367188</v>
      </c>
      <c r="K78" s="15" t="n">
        <f aca="false">J78*(1+IF(K$3&lt;=$O$2,$D78,$D78-($D78-$I$76)*MIN(K$3-$O$2,$Q$2)/$Q$2))</f>
        <v>31880.0857708008</v>
      </c>
      <c r="L78" s="15" t="n">
        <f aca="false">K78*(1+IF(L$3&lt;=$O$2,$D78,$D78-($D78-$I$76)*MIN(L$3-$O$2,$Q$2)/$Q$2))</f>
        <v>35513.7779469567</v>
      </c>
      <c r="M78" s="15" t="n">
        <f aca="false">L78*(1+IF(M$3&lt;=$O$2,$D78,$D78-($D78-$I$76)*MIN(M$3-$O$2,$Q$2)/$Q$2))</f>
        <v>37951.4436652358</v>
      </c>
      <c r="N78" s="15" t="n">
        <f aca="false">M78*(1+IF(N$3&lt;=$O$2,$D78,$D78-($D78-$I$76)*MIN(N$3-$O$2,$Q$2)/$Q$2))</f>
        <v>38835.7123026357</v>
      </c>
      <c r="O78" s="15" t="n">
        <f aca="false">SUMPRODUCT(E78:N78,1/(1+$F$76)^$E$3:$N$3)*$E$2</f>
        <v>27253.5616897796</v>
      </c>
      <c r="P78" s="15" t="n">
        <f aca="false">N78*$E$2*(1+$I$76)/($F$76-$I$76)/(1+$F$76)^$N$3</f>
        <v>71525.6077659067</v>
      </c>
      <c r="Q78" s="15" t="n">
        <f aca="false">O78+P78</f>
        <v>98779.1694556863</v>
      </c>
      <c r="R78" s="15" t="n">
        <f aca="false">Q78-$G$2+$I$2</f>
        <v>95662.9694556863</v>
      </c>
      <c r="S78" s="42" t="n">
        <f aca="false">R78/$K$2</f>
        <v>847.324795887389</v>
      </c>
      <c r="T78" s="43" t="n">
        <f aca="false">S78-$M$2</f>
        <v>678.857125382518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6545</v>
      </c>
      <c r="F79" s="15" t="n">
        <f aca="false">E79*(1+IF(F$3&lt;=$O$2,$D79,$D79-($D79-$I$76)*MIN(F$3-$O$2,$Q$2)/$Q$2))</f>
        <v>5726.875</v>
      </c>
      <c r="G79" s="15" t="n">
        <f aca="false">F79*(1+IF(G$3&lt;=$O$2,$D79,$D79-($D79-$I$76)*MIN(G$3-$O$2,$Q$2)/$Q$2))</f>
        <v>5011.015625</v>
      </c>
      <c r="H79" s="15" t="n">
        <f aca="false">G79*(1+IF(H$3&lt;=$O$2,$D79,$D79-($D79-$I$76)*MIN(H$3-$O$2,$Q$2)/$Q$2))</f>
        <v>4384.638671875</v>
      </c>
      <c r="I79" s="15" t="n">
        <f aca="false">H79*(1+IF(I$3&lt;=$O$2,$D79,$D79-($D79-$I$76)*MIN(I$3-$O$2,$Q$2)/$Q$2))</f>
        <v>3836.55883789063</v>
      </c>
      <c r="J79" s="15" t="n">
        <f aca="false">I79*(1+IF(J$3&lt;=$O$2,$D79,$D79-($D79-$I$76)*MIN(J$3-$O$2,$Q$2)/$Q$2))</f>
        <v>3470.78131828613</v>
      </c>
      <c r="K79" s="15" t="n">
        <f aca="false">J79*(1+IF(K$3&lt;=$O$2,$D79,$D79-($D79-$I$76)*MIN(K$3-$O$2,$Q$2)/$Q$2))</f>
        <v>3242.8204013011</v>
      </c>
      <c r="L79" s="15" t="n">
        <f aca="false">K79*(1+IF(L$3&lt;=$O$2,$D79,$D79-($D79-$I$76)*MIN(L$3-$O$2,$Q$2)/$Q$2))</f>
        <v>3126.01401044623</v>
      </c>
      <c r="M79" s="15" t="n">
        <f aca="false">L79*(1+IF(M$3&lt;=$O$2,$D79,$D79-($D79-$I$76)*MIN(M$3-$O$2,$Q$2)/$Q$2))</f>
        <v>3106.1325613398</v>
      </c>
      <c r="N79" s="15" t="n">
        <f aca="false">M79*(1+IF(N$3&lt;=$O$2,$D79,$D79-($D79-$I$76)*MIN(N$3-$O$2,$Q$2)/$Q$2))</f>
        <v>3178.50545001901</v>
      </c>
      <c r="O79" s="15" t="n">
        <f aca="false">SUMPRODUCT(E79:N79,1/(1+$F$76)^$E$3:$N$3)*$E$2</f>
        <v>5238.23604931712</v>
      </c>
      <c r="P79" s="15" t="n">
        <f aca="false">N79*$E$2*(1+$I$76)/($F$76-$I$76)/(1+$F$76)^$N$3</f>
        <v>5854.00706257747</v>
      </c>
      <c r="Q79" s="15" t="n">
        <f aca="false">O79+P79</f>
        <v>11092.2431118946</v>
      </c>
      <c r="R79" s="15" t="n">
        <f aca="false">Q79-$G$2+$I$2</f>
        <v>7976.04311189459</v>
      </c>
      <c r="S79" s="42" t="n">
        <f aca="false">R79/$K$2</f>
        <v>70.6469717616881</v>
      </c>
      <c r="T79" s="43" t="n">
        <f aca="false">S79-$M$2</f>
        <v>-97.8206987431835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7947.5</v>
      </c>
      <c r="F80" s="15" t="n">
        <f aca="false">E80*(1+IF(F$3&lt;=$O$2,$D80,$D80-($D80-$I$76)*MIN(F$3-$O$2,$Q$2)/$Q$2))</f>
        <v>8444.21875</v>
      </c>
      <c r="G80" s="15" t="n">
        <f aca="false">F80*(1+IF(G$3&lt;=$O$2,$D80,$D80-($D80-$I$76)*MIN(G$3-$O$2,$Q$2)/$Q$2))</f>
        <v>8971.982421875</v>
      </c>
      <c r="H80" s="15" t="n">
        <f aca="false">G80*(1+IF(H$3&lt;=$O$2,$D80,$D80-($D80-$I$76)*MIN(H$3-$O$2,$Q$2)/$Q$2))</f>
        <v>9532.73132324219</v>
      </c>
      <c r="I80" s="15" t="n">
        <f aca="false">H80*(1+IF(I$3&lt;=$O$2,$D80,$D80-($D80-$I$76)*MIN(I$3-$O$2,$Q$2)/$Q$2))</f>
        <v>10128.5270309448</v>
      </c>
      <c r="J80" s="15" t="n">
        <f aca="false">I80*(1+IF(J$3&lt;=$O$2,$D80,$D80-($D80-$I$76)*MIN(J$3-$O$2,$Q$2)/$Q$2))</f>
        <v>10682.1523184563</v>
      </c>
      <c r="K80" s="15" t="n">
        <f aca="false">J80*(1+IF(K$3&lt;=$O$2,$D80,$D80-($D80-$I$76)*MIN(K$3-$O$2,$Q$2)/$Q$2))</f>
        <v>11182.2906900064</v>
      </c>
      <c r="L80" s="15" t="n">
        <f aca="false">K80*(1+IF(L$3&lt;=$O$2,$D80,$D80-($D80-$I$76)*MIN(L$3-$O$2,$Q$2)/$Q$2))</f>
        <v>11618.1763811028</v>
      </c>
      <c r="M80" s="15" t="n">
        <f aca="false">L80*(1+IF(M$3&lt;=$O$2,$D80,$D80-($D80-$I$76)*MIN(M$3-$O$2,$Q$2)/$Q$2))</f>
        <v>11979.9663936104</v>
      </c>
      <c r="N80" s="15" t="n">
        <f aca="false">M80*(1+IF(N$3&lt;=$O$2,$D80,$D80-($D80-$I$76)*MIN(N$3-$O$2,$Q$2)/$Q$2))</f>
        <v>12259.0996105815</v>
      </c>
      <c r="O80" s="15" t="n">
        <f aca="false">SUMPRODUCT(E80:N80,1/(1+$F$76)^$E$3:$N$3)*$E$2</f>
        <v>11947.5496693728</v>
      </c>
      <c r="P80" s="15" t="n">
        <f aca="false">N80*$E$2*(1+$I$76)/($F$76-$I$76)/(1+$F$76)^$N$3</f>
        <v>22578.176073524</v>
      </c>
      <c r="Q80" s="15" t="n">
        <f aca="false">O80+P80</f>
        <v>34525.7257428968</v>
      </c>
      <c r="R80" s="15" t="n">
        <f aca="false">Q80-$G$2+$I$2</f>
        <v>31409.5257428968</v>
      </c>
      <c r="S80" s="42" t="n">
        <f aca="false">R80/$K$2</f>
        <v>278.206605340095</v>
      </c>
      <c r="T80" s="43" t="n">
        <f aca="false">S80-$M$2</f>
        <v>109.738934835224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7246.25</v>
      </c>
      <c r="F81" s="15" t="n">
        <f aca="false">E81*(1+IF(F$3&lt;=$O$2,$D81,$D81-($D81-$I$76)*MIN(F$3-$O$2,$Q$2)/$Q$2))</f>
        <v>7019.8046875</v>
      </c>
      <c r="G81" s="15" t="n">
        <f aca="false">F81*(1+IF(G$3&lt;=$O$2,$D81,$D81-($D81-$I$76)*MIN(G$3-$O$2,$Q$2)/$Q$2))</f>
        <v>6800.43579101563</v>
      </c>
      <c r="H81" s="15" t="n">
        <f aca="false">G81*(1+IF(H$3&lt;=$O$2,$D81,$D81-($D81-$I$76)*MIN(H$3-$O$2,$Q$2)/$Q$2))</f>
        <v>6587.92217254639</v>
      </c>
      <c r="I81" s="15" t="n">
        <f aca="false">H81*(1+IF(I$3&lt;=$O$2,$D81,$D81-($D81-$I$76)*MIN(I$3-$O$2,$Q$2)/$Q$2))</f>
        <v>6382.04960465431</v>
      </c>
      <c r="J81" s="15" t="n">
        <f aca="false">I81*(1+IF(J$3&lt;=$O$2,$D81,$D81-($D81-$I$76)*MIN(J$3-$O$2,$Q$2)/$Q$2))</f>
        <v>6252.23871569564</v>
      </c>
      <c r="K81" s="15" t="n">
        <f aca="false">J81*(1+IF(K$3&lt;=$O$2,$D81,$D81-($D81-$I$76)*MIN(K$3-$O$2,$Q$2)/$Q$2))</f>
        <v>6193.28010460663</v>
      </c>
      <c r="L81" s="15" t="n">
        <f aca="false">K81*(1+IF(L$3&lt;=$O$2,$D81,$D81-($D81-$I$76)*MIN(L$3-$O$2,$Q$2)/$Q$2))</f>
        <v>6202.44615916145</v>
      </c>
      <c r="M81" s="15" t="n">
        <f aca="false">L81*(1+IF(M$3&lt;=$O$2,$D81,$D81-($D81-$I$76)*MIN(M$3-$O$2,$Q$2)/$Q$2))</f>
        <v>6279.29446707346</v>
      </c>
      <c r="N81" s="15" t="n">
        <f aca="false">M81*(1+IF(N$3&lt;=$O$2,$D81,$D81-($D81-$I$76)*MIN(N$3-$O$2,$Q$2)/$Q$2))</f>
        <v>6425.60202815627</v>
      </c>
      <c r="O81" s="15" t="n">
        <f aca="false">SUMPRODUCT(E81:N81,1/(1+$F$76)^$E$3:$N$3)*$E$2</f>
        <v>7890.83362392542</v>
      </c>
      <c r="P81" s="15" t="n">
        <f aca="false">N81*$E$2*(1+$I$76)/($F$76-$I$76)/(1+$F$76)^$N$3</f>
        <v>11834.3417199156</v>
      </c>
      <c r="Q81" s="15" t="n">
        <f aca="false">O81+P81</f>
        <v>19725.175343841</v>
      </c>
      <c r="R81" s="15" t="n">
        <f aca="false">Q81-$G$2+$I$2</f>
        <v>16608.975343841</v>
      </c>
      <c r="S81" s="42" t="n">
        <f aca="false">R81/$K$2</f>
        <v>147.112270538893</v>
      </c>
      <c r="T81" s="43" t="n">
        <f aca="false">S81-$M$2</f>
        <v>-21.3553999659791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41" t="n">
        <f aca="false">(B82+C82)/2</f>
        <v>0.015625</v>
      </c>
      <c r="E82" s="15" t="n">
        <f aca="false">$C$2*(1+IF(E$3&lt;=$O$2,$D82,$D82-($D82-$I$76)*MIN(E$3-$O$2,$Q$2)/$Q$2))</f>
        <v>7596.875</v>
      </c>
      <c r="F82" s="15" t="n">
        <f aca="false">E82*(1+IF(F$3&lt;=$O$2,$D82,$D82-($D82-$I$76)*MIN(F$3-$O$2,$Q$2)/$Q$2))</f>
        <v>7715.576171875</v>
      </c>
      <c r="G82" s="15" t="n">
        <f aca="false">F82*(1+IF(G$3&lt;=$O$2,$D82,$D82-($D82-$I$76)*MIN(G$3-$O$2,$Q$2)/$Q$2))</f>
        <v>7836.13204956055</v>
      </c>
      <c r="H82" s="15" t="n">
        <f aca="false">G82*(1+IF(H$3&lt;=$O$2,$D82,$D82-($D82-$I$76)*MIN(H$3-$O$2,$Q$2)/$Q$2))</f>
        <v>7958.57161283493</v>
      </c>
      <c r="I82" s="15" t="n">
        <f aca="false">H82*(1+IF(I$3&lt;=$O$2,$D82,$D82-($D82-$I$76)*MIN(I$3-$O$2,$Q$2)/$Q$2))</f>
        <v>8082.92429428548</v>
      </c>
      <c r="J82" s="15" t="n">
        <f aca="false">I82*(1+IF(J$3&lt;=$O$2,$D82,$D82-($D82-$I$76)*MIN(J$3-$O$2,$Q$2)/$Q$2))</f>
        <v>8221.62727517542</v>
      </c>
      <c r="K82" s="15" t="n">
        <f aca="false">J82*(1+IF(K$3&lt;=$O$2,$D82,$D82-($D82-$I$76)*MIN(K$3-$O$2,$Q$2)/$Q$2))</f>
        <v>8375.33059708482</v>
      </c>
      <c r="L82" s="15" t="n">
        <f aca="false">K82*(1+IF(L$3&lt;=$O$2,$D82,$D82-($D82-$I$76)*MIN(L$3-$O$2,$Q$2)/$Q$2))</f>
        <v>8544.76353506384</v>
      </c>
      <c r="M82" s="15" t="n">
        <f aca="false">L82*(1+IF(M$3&lt;=$O$2,$D82,$D82-($D82-$I$76)*MIN(M$3-$O$2,$Q$2)/$Q$2))</f>
        <v>8730.74031340451</v>
      </c>
      <c r="N82" s="15" t="n">
        <f aca="false">M82*(1+IF(N$3&lt;=$O$2,$D82,$D82-($D82-$I$76)*MIN(N$3-$O$2,$Q$2)/$Q$2))</f>
        <v>8934.16656270683</v>
      </c>
      <c r="O82" s="15" t="n">
        <f aca="false">SUMPRODUCT(E82:N82,1/(1+$F$76)^$E$3:$N$3)*$E$2</f>
        <v>9706.72545608592</v>
      </c>
      <c r="P82" s="15" t="n">
        <f aca="false">N82*$E$2*(1+$I$76)/($F$76-$I$76)/(1+$F$76)^$N$3</f>
        <v>16454.4862290598</v>
      </c>
      <c r="Q82" s="15" t="n">
        <f aca="false">O82+P82</f>
        <v>26161.2116851457</v>
      </c>
      <c r="R82" s="15" t="n">
        <f aca="false">Q82-$G$2+$I$2</f>
        <v>23045.0116851457</v>
      </c>
      <c r="S82" s="42" t="n">
        <f aca="false">R82/$K$2</f>
        <v>204.118792605365</v>
      </c>
      <c r="T82" s="43" t="n">
        <f aca="false">S82-$M$2</f>
        <v>35.6511221004933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-0.03125</v>
      </c>
      <c r="C83" s="25" t="n">
        <f aca="false">IF(T82&gt;0,D82,C82)</f>
        <v>0.015625</v>
      </c>
      <c r="D83" s="41" t="n">
        <f aca="false">(B83+C83)/2</f>
        <v>-0.0078125</v>
      </c>
      <c r="E83" s="15" t="n">
        <f aca="false">$C$2*(1+IF(E$3&lt;=$O$2,$D83,$D83-($D83-$I$76)*MIN(E$3-$O$2,$Q$2)/$Q$2))</f>
        <v>7421.5625</v>
      </c>
      <c r="F83" s="15" t="n">
        <f aca="false">E83*(1+IF(F$3&lt;=$O$2,$D83,$D83-($D83-$I$76)*MIN(F$3-$O$2,$Q$2)/$Q$2))</f>
        <v>7363.58154296875</v>
      </c>
      <c r="G83" s="15" t="n">
        <f aca="false">F83*(1+IF(G$3&lt;=$O$2,$D83,$D83-($D83-$I$76)*MIN(G$3-$O$2,$Q$2)/$Q$2))</f>
        <v>7306.05356216431</v>
      </c>
      <c r="H83" s="15" t="n">
        <f aca="false">G83*(1+IF(H$3&lt;=$O$2,$D83,$D83-($D83-$I$76)*MIN(H$3-$O$2,$Q$2)/$Q$2))</f>
        <v>7248.9750187099</v>
      </c>
      <c r="I83" s="15" t="n">
        <f aca="false">H83*(1+IF(I$3&lt;=$O$2,$D83,$D83-($D83-$I$76)*MIN(I$3-$O$2,$Q$2)/$Q$2))</f>
        <v>7192.34240137623</v>
      </c>
      <c r="J83" s="15" t="n">
        <f aca="false">I83*(1+IF(J$3&lt;=$O$2,$D83,$D83-($D83-$I$76)*MIN(J$3-$O$2,$Q$2)/$Q$2))</f>
        <v>7180.90657695804</v>
      </c>
      <c r="K83" s="15" t="n">
        <f aca="false">J83*(1+IF(K$3&lt;=$O$2,$D83,$D83-($D83-$I$76)*MIN(K$3-$O$2,$Q$2)/$Q$2))</f>
        <v>7214.1721266758</v>
      </c>
      <c r="L83" s="15" t="n">
        <f aca="false">K83*(1+IF(L$3&lt;=$O$2,$D83,$D83-($D83-$I$76)*MIN(L$3-$O$2,$Q$2)/$Q$2))</f>
        <v>7292.48196511086</v>
      </c>
      <c r="M83" s="15" t="n">
        <f aca="false">L83*(1+IF(M$3&lt;=$O$2,$D83,$D83-($D83-$I$76)*MIN(M$3-$O$2,$Q$2)/$Q$2))</f>
        <v>7417.01932587005</v>
      </c>
      <c r="N83" s="15" t="n">
        <f aca="false">M83*(1+IF(N$3&lt;=$O$2,$D83,$D83-($D83-$I$76)*MIN(N$3-$O$2,$Q$2)/$Q$2))</f>
        <v>7589.83587616282</v>
      </c>
      <c r="O83" s="15" t="n">
        <f aca="false">SUMPRODUCT(E83:N83,1/(1+$F$76)^$E$3:$N$3)*$E$2</f>
        <v>8750.79215619277</v>
      </c>
      <c r="P83" s="15" t="n">
        <f aca="false">N83*$E$2*(1+$I$76)/($F$76-$I$76)/(1+$F$76)^$N$3</f>
        <v>13978.5674498671</v>
      </c>
      <c r="Q83" s="15" t="n">
        <f aca="false">O83+P83</f>
        <v>22729.3596060599</v>
      </c>
      <c r="R83" s="15" t="n">
        <f aca="false">Q83-$G$2+$I$2</f>
        <v>19613.1596060599</v>
      </c>
      <c r="S83" s="42" t="n">
        <f aca="false">R83/$K$2</f>
        <v>173.721519982816</v>
      </c>
      <c r="T83" s="43" t="n">
        <f aca="false">S83-$M$2</f>
        <v>5.2538494779441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-0.03125</v>
      </c>
      <c r="C84" s="25" t="n">
        <f aca="false">IF(T83&gt;0,D83,C83)</f>
        <v>-0.0078125</v>
      </c>
      <c r="D84" s="41" t="n">
        <f aca="false">(B84+C84)/2</f>
        <v>-0.01953125</v>
      </c>
      <c r="E84" s="15" t="n">
        <f aca="false">$C$2*(1+IF(E$3&lt;=$O$2,$D84,$D84-($D84-$I$76)*MIN(E$3-$O$2,$Q$2)/$Q$2))</f>
        <v>7333.90625</v>
      </c>
      <c r="F84" s="15" t="n">
        <f aca="false">E84*(1+IF(F$3&lt;=$O$2,$D84,$D84-($D84-$I$76)*MIN(F$3-$O$2,$Q$2)/$Q$2))</f>
        <v>7190.66589355469</v>
      </c>
      <c r="G84" s="15" t="n">
        <f aca="false">F84*(1+IF(G$3&lt;=$O$2,$D84,$D84-($D84-$I$76)*MIN(G$3-$O$2,$Q$2)/$Q$2))</f>
        <v>7050.2232003212</v>
      </c>
      <c r="H84" s="15" t="n">
        <f aca="false">G84*(1+IF(H$3&lt;=$O$2,$D84,$D84-($D84-$I$76)*MIN(H$3-$O$2,$Q$2)/$Q$2))</f>
        <v>6912.52352843992</v>
      </c>
      <c r="I84" s="15" t="n">
        <f aca="false">H84*(1+IF(I$3&lt;=$O$2,$D84,$D84-($D84-$I$76)*MIN(I$3-$O$2,$Q$2)/$Q$2))</f>
        <v>6777.51330327508</v>
      </c>
      <c r="J84" s="15" t="n">
        <f aca="false">I84*(1+IF(J$3&lt;=$O$2,$D84,$D84-($D84-$I$76)*MIN(J$3-$O$2,$Q$2)/$Q$2))</f>
        <v>6703.19786990467</v>
      </c>
      <c r="K84" s="15" t="n">
        <f aca="false">J84*(1+IF(K$3&lt;=$O$2,$D84,$D84-($D84-$I$76)*MIN(K$3-$O$2,$Q$2)/$Q$2))</f>
        <v>6687.11857401424</v>
      </c>
      <c r="L84" s="15" t="n">
        <f aca="false">K84*(1+IF(L$3&lt;=$O$2,$D84,$D84-($D84-$I$76)*MIN(L$3-$O$2,$Q$2)/$Q$2))</f>
        <v>6728.36137781947</v>
      </c>
      <c r="M84" s="15" t="n">
        <f aca="false">L84*(1+IF(M$3&lt;=$O$2,$D84,$D84-($D84-$I$76)*MIN(M$3-$O$2,$Q$2)/$Q$2))</f>
        <v>6827.49537226992</v>
      </c>
      <c r="N84" s="15" t="n">
        <f aca="false">M84*(1+IF(N$3&lt;=$O$2,$D84,$D84-($D84-$I$76)*MIN(N$3-$O$2,$Q$2)/$Q$2))</f>
        <v>6986.57601444381</v>
      </c>
      <c r="O84" s="15" t="n">
        <f aca="false">SUMPRODUCT(E84:N84,1/(1+$F$76)^$E$3:$N$3)*$E$2</f>
        <v>8309.40963442904</v>
      </c>
      <c r="P84" s="15" t="n">
        <f aca="false">N84*$E$2*(1+$I$76)/($F$76-$I$76)/(1+$F$76)^$N$3</f>
        <v>12867.5146149407</v>
      </c>
      <c r="Q84" s="15" t="n">
        <f aca="false">O84+P84</f>
        <v>21176.9242493698</v>
      </c>
      <c r="R84" s="15" t="n">
        <f aca="false">Q84-$G$2+$I$2</f>
        <v>18060.7242493698</v>
      </c>
      <c r="S84" s="42" t="n">
        <f aca="false">R84/$K$2</f>
        <v>159.970985379715</v>
      </c>
      <c r="T84" s="43" t="n">
        <f aca="false">S84-$M$2</f>
        <v>-8.49668512515703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-0.01953125</v>
      </c>
      <c r="C85" s="25" t="n">
        <f aca="false">IF(T84&gt;0,D84,C84)</f>
        <v>-0.0078125</v>
      </c>
      <c r="D85" s="41" t="n">
        <f aca="false">(B85+C85)/2</f>
        <v>-0.013671875</v>
      </c>
      <c r="E85" s="15" t="n">
        <f aca="false">$C$2*(1+IF(E$3&lt;=$O$2,$D85,$D85-($D85-$I$76)*MIN(E$3-$O$2,$Q$2)/$Q$2))</f>
        <v>7377.734375</v>
      </c>
      <c r="F85" s="15" t="n">
        <f aca="false">E85*(1+IF(F$3&lt;=$O$2,$D85,$D85-($D85-$I$76)*MIN(F$3-$O$2,$Q$2)/$Q$2))</f>
        <v>7276.8669128418</v>
      </c>
      <c r="G85" s="15" t="n">
        <f aca="false">F85*(1+IF(G$3&lt;=$O$2,$D85,$D85-($D85-$I$76)*MIN(G$3-$O$2,$Q$2)/$Q$2))</f>
        <v>7177.37849801779</v>
      </c>
      <c r="H85" s="15" t="n">
        <f aca="false">G85*(1+IF(H$3&lt;=$O$2,$D85,$D85-($D85-$I$76)*MIN(H$3-$O$2,$Q$2)/$Q$2))</f>
        <v>7079.2502763652</v>
      </c>
      <c r="I85" s="15" t="n">
        <f aca="false">H85*(1+IF(I$3&lt;=$O$2,$D85,$D85-($D85-$I$76)*MIN(I$3-$O$2,$Q$2)/$Q$2))</f>
        <v>6982.46365149302</v>
      </c>
      <c r="J85" s="15" t="n">
        <f aca="false">I85*(1+IF(J$3&lt;=$O$2,$D85,$D85-($D85-$I$76)*MIN(J$3-$O$2,$Q$2)/$Q$2))</f>
        <v>6938.63123592077</v>
      </c>
      <c r="K85" s="15" t="n">
        <f aca="false">J85*(1+IF(K$3&lt;=$O$2,$D85,$D85-($D85-$I$76)*MIN(K$3-$O$2,$Q$2)/$Q$2))</f>
        <v>6946.38081968239</v>
      </c>
      <c r="L85" s="15" t="n">
        <f aca="false">K85*(1+IF(L$3&lt;=$O$2,$D85,$D85-($D85-$I$76)*MIN(L$3-$O$2,$Q$2)/$Q$2))</f>
        <v>7005.50320343391</v>
      </c>
      <c r="M85" s="15" t="n">
        <f aca="false">L85*(1+IF(M$3&lt;=$O$2,$D85,$D85-($D85-$I$76)*MIN(M$3-$O$2,$Q$2)/$Q$2))</f>
        <v>7116.93011032403</v>
      </c>
      <c r="N85" s="15" t="n">
        <f aca="false">M85*(1+IF(N$3&lt;=$O$2,$D85,$D85-($D85-$I$76)*MIN(N$3-$O$2,$Q$2)/$Q$2))</f>
        <v>7282.75458189458</v>
      </c>
      <c r="O85" s="15" t="n">
        <f aca="false">SUMPRODUCT(E85:N85,1/(1+$F$76)^$E$3:$N$3)*$E$2</f>
        <v>8527.17790761803</v>
      </c>
      <c r="P85" s="15" t="n">
        <f aca="false">N85*$E$2*(1+$I$76)/($F$76-$I$76)/(1+$F$76)^$N$3</f>
        <v>13413.0009930215</v>
      </c>
      <c r="Q85" s="15" t="n">
        <f aca="false">O85+P85</f>
        <v>21940.1789006396</v>
      </c>
      <c r="R85" s="15" t="n">
        <f aca="false">Q85-$G$2+$I$2</f>
        <v>18823.9789006395</v>
      </c>
      <c r="S85" s="42" t="n">
        <f aca="false">R85/$K$2</f>
        <v>166.731434018065</v>
      </c>
      <c r="T85" s="43" t="n">
        <f aca="false">S85-$M$2</f>
        <v>-1.73623648680652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-0.013671875</v>
      </c>
      <c r="C86" s="25" t="n">
        <f aca="false">IF(T85&gt;0,D85,C85)</f>
        <v>-0.0078125</v>
      </c>
      <c r="D86" s="41" t="n">
        <f aca="false">(B86+C86)/2</f>
        <v>-0.0107421875</v>
      </c>
      <c r="E86" s="15" t="n">
        <f aca="false">$C$2*(1+IF(E$3&lt;=$O$2,$D86,$D86-($D86-$I$76)*MIN(E$3-$O$2,$Q$2)/$Q$2))</f>
        <v>7399.6484375</v>
      </c>
      <c r="F86" s="15" t="n">
        <f aca="false">E86*(1+IF(F$3&lt;=$O$2,$D86,$D86-($D86-$I$76)*MIN(F$3-$O$2,$Q$2)/$Q$2))</f>
        <v>7320.16002655029</v>
      </c>
      <c r="G86" s="15" t="n">
        <f aca="false">F86*(1+IF(G$3&lt;=$O$2,$D86,$D86-($D86-$I$76)*MIN(G$3-$O$2,$Q$2)/$Q$2))</f>
        <v>7241.52549501509</v>
      </c>
      <c r="H86" s="15" t="n">
        <f aca="false">G86*(1+IF(H$3&lt;=$O$2,$D86,$D86-($D86-$I$76)*MIN(H$3-$O$2,$Q$2)/$Q$2))</f>
        <v>7163.7356703616</v>
      </c>
      <c r="I86" s="15" t="n">
        <f aca="false">H86*(1+IF(I$3&lt;=$O$2,$D86,$D86-($D86-$I$76)*MIN(I$3-$O$2,$Q$2)/$Q$2))</f>
        <v>7086.78147859014</v>
      </c>
      <c r="J86" s="15" t="n">
        <f aca="false">I86*(1+IF(J$3&lt;=$O$2,$D86,$D86-($D86-$I$76)*MIN(J$3-$O$2,$Q$2)/$Q$2))</f>
        <v>7058.90385194874</v>
      </c>
      <c r="K86" s="15" t="n">
        <f aca="false">J86*(1+IF(K$3&lt;=$O$2,$D86,$D86-($D86-$I$76)*MIN(K$3-$O$2,$Q$2)/$Q$2))</f>
        <v>7079.19599461564</v>
      </c>
      <c r="L86" s="15" t="n">
        <f aca="false">K86*(1+IF(L$3&lt;=$O$2,$D86,$D86-($D86-$I$76)*MIN(L$3-$O$2,$Q$2)/$Q$2))</f>
        <v>7147.744734331</v>
      </c>
      <c r="M86" s="15" t="n">
        <f aca="false">L86*(1+IF(M$3&lt;=$O$2,$D86,$D86-($D86-$I$76)*MIN(M$3-$O$2,$Q$2)/$Q$2))</f>
        <v>7265.62221335126</v>
      </c>
      <c r="N86" s="15" t="n">
        <f aca="false">M86*(1+IF(N$3&lt;=$O$2,$D86,$D86-($D86-$I$76)*MIN(N$3-$O$2,$Q$2)/$Q$2))</f>
        <v>7434.91121092235</v>
      </c>
      <c r="O86" s="15" t="n">
        <f aca="false">SUMPRODUCT(E86:N86,1/(1+$F$76)^$E$3:$N$3)*$E$2</f>
        <v>8638.24508895309</v>
      </c>
      <c r="P86" s="15" t="n">
        <f aca="false">N86*$E$2*(1+$I$76)/($F$76-$I$76)/(1+$F$76)^$N$3</f>
        <v>13693.2352084265</v>
      </c>
      <c r="Q86" s="15" t="n">
        <f aca="false">O86+P86</f>
        <v>22331.4802973796</v>
      </c>
      <c r="R86" s="15" t="n">
        <f aca="false">Q86-$G$2+$I$2</f>
        <v>19215.2802973796</v>
      </c>
      <c r="S86" s="42" t="n">
        <f aca="false">R86/$K$2</f>
        <v>170.197345415231</v>
      </c>
      <c r="T86" s="43" t="n">
        <f aca="false">S86-$M$2</f>
        <v>1.72967491035948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-0.013671875</v>
      </c>
      <c r="C87" s="25" t="n">
        <f aca="false">IF(T86&gt;0,D86,C86)</f>
        <v>-0.0107421875</v>
      </c>
      <c r="D87" s="41" t="n">
        <f aca="false">(B87+C87)/2</f>
        <v>-0.01220703125</v>
      </c>
      <c r="E87" s="15" t="n">
        <f aca="false">$C$2*(1+IF(E$3&lt;=$O$2,$D87,$D87-($D87-$I$76)*MIN(E$3-$O$2,$Q$2)/$Q$2))</f>
        <v>7388.69140625</v>
      </c>
      <c r="F87" s="15" t="n">
        <f aca="false">E87*(1+IF(F$3&lt;=$O$2,$D87,$D87-($D87-$I$76)*MIN(F$3-$O$2,$Q$2)/$Q$2))</f>
        <v>7298.4974193573</v>
      </c>
      <c r="G87" s="15" t="n">
        <f aca="false">F87*(1+IF(G$3&lt;=$O$2,$D87,$D87-($D87-$I$76)*MIN(G$3-$O$2,$Q$2)/$Q$2))</f>
        <v>7209.40443328116</v>
      </c>
      <c r="H87" s="15" t="n">
        <f aca="false">G87*(1+IF(H$3&lt;=$O$2,$D87,$D87-($D87-$I$76)*MIN(H$3-$O$2,$Q$2)/$Q$2))</f>
        <v>7121.39900807021</v>
      </c>
      <c r="I87" s="15" t="n">
        <f aca="false">H87*(1+IF(I$3&lt;=$O$2,$D87,$D87-($D87-$I$76)*MIN(I$3-$O$2,$Q$2)/$Q$2))</f>
        <v>7034.46786783498</v>
      </c>
      <c r="J87" s="15" t="n">
        <f aca="false">I87*(1+IF(J$3&lt;=$O$2,$D87,$D87-($D87-$I$76)*MIN(J$3-$O$2,$Q$2)/$Q$2))</f>
        <v>6998.55251282726</v>
      </c>
      <c r="K87" s="15" t="n">
        <f aca="false">J87*(1+IF(K$3&lt;=$O$2,$D87,$D87-($D87-$I$76)*MIN(K$3-$O$2,$Q$2)/$Q$2))</f>
        <v>7012.5200927095</v>
      </c>
      <c r="L87" s="15" t="n">
        <f aca="false">K87*(1+IF(L$3&lt;=$O$2,$D87,$D87-($D87-$I$76)*MIN(L$3-$O$2,$Q$2)/$Q$2))</f>
        <v>7076.3143028404</v>
      </c>
      <c r="M87" s="15" t="n">
        <f aca="false">L87*(1+IF(M$3&lt;=$O$2,$D87,$D87-($D87-$I$76)*MIN(M$3-$O$2,$Q$2)/$Q$2))</f>
        <v>7190.94064347943</v>
      </c>
      <c r="N87" s="15" t="n">
        <f aca="false">M87*(1+IF(N$3&lt;=$O$2,$D87,$D87-($D87-$I$76)*MIN(N$3-$O$2,$Q$2)/$Q$2))</f>
        <v>7358.4895604725</v>
      </c>
      <c r="O87" s="15" t="n">
        <f aca="false">SUMPRODUCT(E87:N87,1/(1+$F$76)^$E$3:$N$3)*$E$2</f>
        <v>8582.52766992452</v>
      </c>
      <c r="P87" s="15" t="n">
        <f aca="false">N87*$E$2*(1+$I$76)/($F$76-$I$76)/(1+$F$76)^$N$3</f>
        <v>13552.4857623418</v>
      </c>
      <c r="Q87" s="15" t="n">
        <f aca="false">O87+P87</f>
        <v>22135.0134322664</v>
      </c>
      <c r="R87" s="15" t="n">
        <f aca="false">Q87-$G$2+$I$2</f>
        <v>19018.8134322664</v>
      </c>
      <c r="S87" s="42" t="n">
        <f aca="false">R87/$K$2</f>
        <v>168.457160604662</v>
      </c>
      <c r="T87" s="43" t="n">
        <f aca="false">S87-$M$2</f>
        <v>-0.0105099002094562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-0.01220703125</v>
      </c>
      <c r="C88" s="25" t="n">
        <f aca="false">IF(T87&gt;0,D87,C87)</f>
        <v>-0.0107421875</v>
      </c>
      <c r="D88" s="41" t="n">
        <f aca="false">(B88+C88)/2</f>
        <v>-0.011474609375</v>
      </c>
      <c r="E88" s="15" t="n">
        <f aca="false">$C$2*(1+IF(E$3&lt;=$O$2,$D88,$D88-($D88-$I$76)*MIN(E$3-$O$2,$Q$2)/$Q$2))</f>
        <v>7394.169921875</v>
      </c>
      <c r="F88" s="15" t="n">
        <f aca="false">E88*(1+IF(F$3&lt;=$O$2,$D88,$D88-($D88-$I$76)*MIN(F$3-$O$2,$Q$2)/$Q$2))</f>
        <v>7309.32471036911</v>
      </c>
      <c r="G88" s="15" t="n">
        <f aca="false">F88*(1+IF(G$3&lt;=$O$2,$D88,$D88-($D88-$I$76)*MIN(G$3-$O$2,$Q$2)/$Q$2))</f>
        <v>7225.45306452259</v>
      </c>
      <c r="H88" s="15" t="n">
        <f aca="false">G88*(1+IF(H$3&lt;=$O$2,$D88,$D88-($D88-$I$76)*MIN(H$3-$O$2,$Q$2)/$Q$2))</f>
        <v>7142.5438130498</v>
      </c>
      <c r="I88" s="15" t="n">
        <f aca="false">H88*(1+IF(I$3&lt;=$O$2,$D88,$D88-($D88-$I$76)*MIN(I$3-$O$2,$Q$2)/$Q$2))</f>
        <v>7060.58591285123</v>
      </c>
      <c r="J88" s="15" t="n">
        <f aca="false">I88*(1+IF(J$3&lt;=$O$2,$D88,$D88-($D88-$I$76)*MIN(J$3-$O$2,$Q$2)/$Q$2))</f>
        <v>7028.67427095824</v>
      </c>
      <c r="K88" s="15" t="n">
        <f aca="false">J88*(1+IF(K$3&lt;=$O$2,$D88,$D88-($D88-$I$76)*MIN(K$3-$O$2,$Q$2)/$Q$2))</f>
        <v>7045.79074015355</v>
      </c>
      <c r="L88" s="15" t="n">
        <f aca="false">K88*(1+IF(L$3&lt;=$O$2,$D88,$D88-($D88-$I$76)*MIN(L$3-$O$2,$Q$2)/$Q$2))</f>
        <v>7111.9518161084</v>
      </c>
      <c r="M88" s="15" t="n">
        <f aca="false">L88*(1+IF(M$3&lt;=$O$2,$D88,$D88-($D88-$I$76)*MIN(M$3-$O$2,$Q$2)/$Q$2))</f>
        <v>7228.19722416393</v>
      </c>
      <c r="N88" s="15" t="n">
        <f aca="false">M88*(1+IF(N$3&lt;=$O$2,$D88,$D88-($D88-$I$76)*MIN(N$3-$O$2,$Q$2)/$Q$2))</f>
        <v>7396.61421948695</v>
      </c>
      <c r="O88" s="15" t="n">
        <f aca="false">SUMPRODUCT(E88:N88,1/(1+$F$76)^$E$3:$N$3)*$E$2</f>
        <v>8610.34027817095</v>
      </c>
      <c r="P88" s="15" t="n">
        <f aca="false">N88*$E$2*(1+$I$76)/($F$76-$I$76)/(1+$F$76)^$N$3</f>
        <v>13622.7017889111</v>
      </c>
      <c r="Q88" s="15" t="n">
        <f aca="false">O88+P88</f>
        <v>22233.042067082</v>
      </c>
      <c r="R88" s="15" t="n">
        <f aca="false">Q88-$G$2+$I$2</f>
        <v>19116.842067082</v>
      </c>
      <c r="S88" s="42" t="n">
        <f aca="false">R88/$K$2</f>
        <v>169.32543903527</v>
      </c>
      <c r="T88" s="43" t="n">
        <f aca="false">S88-$M$2</f>
        <v>0.85776853039863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-0.01220703125</v>
      </c>
      <c r="C89" s="25" t="n">
        <f aca="false">IF(T88&gt;0,D88,C88)</f>
        <v>-0.011474609375</v>
      </c>
      <c r="D89" s="41" t="n">
        <f aca="false">(B89+C89)/2</f>
        <v>-0.0118408203125</v>
      </c>
      <c r="E89" s="15" t="n">
        <f aca="false">$C$2*(1+IF(E$3&lt;=$O$2,$D89,$D89-($D89-$I$76)*MIN(E$3-$O$2,$Q$2)/$Q$2))</f>
        <v>7391.4306640625</v>
      </c>
      <c r="F89" s="15" t="n">
        <f aca="false">E89*(1+IF(F$3&lt;=$O$2,$D89,$D89-($D89-$I$76)*MIN(F$3-$O$2,$Q$2)/$Q$2))</f>
        <v>7303.91006171703</v>
      </c>
      <c r="G89" s="15" t="n">
        <f aca="false">F89*(1+IF(G$3&lt;=$O$2,$D89,$D89-($D89-$I$76)*MIN(G$3-$O$2,$Q$2)/$Q$2))</f>
        <v>7217.42577509758</v>
      </c>
      <c r="H89" s="15" t="n">
        <f aca="false">G89*(1+IF(H$3&lt;=$O$2,$D89,$D89-($D89-$I$76)*MIN(H$3-$O$2,$Q$2)/$Q$2))</f>
        <v>7131.96553337585</v>
      </c>
      <c r="I89" s="15" t="n">
        <f aca="false">H89*(1+IF(I$3&lt;=$O$2,$D89,$D89-($D89-$I$76)*MIN(I$3-$O$2,$Q$2)/$Q$2))</f>
        <v>7047.5172110202</v>
      </c>
      <c r="J89" s="15" t="n">
        <f aca="false">I89*(1+IF(J$3&lt;=$O$2,$D89,$D89-($D89-$I$76)*MIN(J$3-$O$2,$Q$2)/$Q$2))</f>
        <v>7013.5999332676</v>
      </c>
      <c r="K89" s="15" t="n">
        <f aca="false">J89*(1+IF(K$3&lt;=$O$2,$D89,$D89-($D89-$I$76)*MIN(K$3-$O$2,$Q$2)/$Q$2))</f>
        <v>7029.1386187135</v>
      </c>
      <c r="L89" s="15" t="n">
        <f aca="false">K89*(1+IF(L$3&lt;=$O$2,$D89,$D89-($D89-$I$76)*MIN(L$3-$O$2,$Q$2)/$Q$2))</f>
        <v>7094.11366966878</v>
      </c>
      <c r="M89" s="15" t="n">
        <f aca="false">L89*(1+IF(M$3&lt;=$O$2,$D89,$D89-($D89-$I$76)*MIN(M$3-$O$2,$Q$2)/$Q$2))</f>
        <v>7209.54792342361</v>
      </c>
      <c r="N89" s="15" t="n">
        <f aca="false">M89*(1+IF(N$3&lt;=$O$2,$D89,$D89-($D89-$I$76)*MIN(N$3-$O$2,$Q$2)/$Q$2))</f>
        <v>7377.53039003938</v>
      </c>
      <c r="O89" s="15" t="n">
        <f aca="false">SUMPRODUCT(E89:N89,1/(1+$F$76)^$E$3:$N$3)*$E$2</f>
        <v>8596.4224667838</v>
      </c>
      <c r="P89" s="15" t="n">
        <f aca="false">N89*$E$2*(1+$I$76)/($F$76-$I$76)/(1+$F$76)^$N$3</f>
        <v>13587.5541781475</v>
      </c>
      <c r="Q89" s="15" t="n">
        <f aca="false">O89+P89</f>
        <v>22183.9766449313</v>
      </c>
      <c r="R89" s="15" t="n">
        <f aca="false">Q89-$G$2+$I$2</f>
        <v>19067.7766449313</v>
      </c>
      <c r="S89" s="42" t="n">
        <f aca="false">R89/$K$2</f>
        <v>168.890847165025</v>
      </c>
      <c r="T89" s="43" t="n">
        <f aca="false">S89-$M$2</f>
        <v>0.423176660153274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-0.01220703125</v>
      </c>
      <c r="C90" s="25" t="n">
        <f aca="false">IF(T89&gt;0,D89,C89)</f>
        <v>-0.0118408203125</v>
      </c>
      <c r="D90" s="41" t="n">
        <f aca="false">(B90+C90)/2</f>
        <v>-0.01202392578125</v>
      </c>
      <c r="E90" s="15" t="n">
        <f aca="false">$C$2*(1+IF(E$3&lt;=$O$2,$D90,$D90-($D90-$I$76)*MIN(E$3-$O$2,$Q$2)/$Q$2))</f>
        <v>7390.06103515625</v>
      </c>
      <c r="F90" s="15" t="n">
        <f aca="false">E90*(1+IF(F$3&lt;=$O$2,$D90,$D90-($D90-$I$76)*MIN(F$3-$O$2,$Q$2)/$Q$2))</f>
        <v>7301.20348975062</v>
      </c>
      <c r="G90" s="15" t="n">
        <f aca="false">F90*(1+IF(G$3&lt;=$O$2,$D90,$D90-($D90-$I$76)*MIN(G$3-$O$2,$Q$2)/$Q$2))</f>
        <v>7213.41436087606</v>
      </c>
      <c r="H90" s="15" t="n">
        <f aca="false">G90*(1+IF(H$3&lt;=$O$2,$D90,$D90-($D90-$I$76)*MIN(H$3-$O$2,$Q$2)/$Q$2))</f>
        <v>7126.68080197148</v>
      </c>
      <c r="I90" s="15" t="n">
        <f aca="false">H90*(1+IF(I$3&lt;=$O$2,$D90,$D90-($D90-$I$76)*MIN(I$3-$O$2,$Q$2)/$Q$2))</f>
        <v>7040.99012094192</v>
      </c>
      <c r="J90" s="15" t="n">
        <f aca="false">I90*(1+IF(J$3&lt;=$O$2,$D90,$D90-($D90-$I$76)*MIN(J$3-$O$2,$Q$2)/$Q$2))</f>
        <v>7006.07286079293</v>
      </c>
      <c r="K90" s="15" t="n">
        <f aca="false">J90*(1+IF(K$3&lt;=$O$2,$D90,$D90-($D90-$I$76)*MIN(K$3-$O$2,$Q$2)/$Q$2))</f>
        <v>7020.8251597978</v>
      </c>
      <c r="L90" s="15" t="n">
        <f aca="false">K90*(1+IF(L$3&lt;=$O$2,$D90,$D90-($D90-$I$76)*MIN(L$3-$O$2,$Q$2)/$Q$2))</f>
        <v>7085.20914327395</v>
      </c>
      <c r="M90" s="15" t="n">
        <f aca="false">L90*(1+IF(M$3&lt;=$O$2,$D90,$D90-($D90-$I$76)*MIN(M$3-$O$2,$Q$2)/$Q$2))</f>
        <v>7200.23903592791</v>
      </c>
      <c r="N90" s="15" t="n">
        <f aca="false">M90*(1+IF(N$3&lt;=$O$2,$D90,$D90-($D90-$I$76)*MIN(N$3-$O$2,$Q$2)/$Q$2))</f>
        <v>7368.00460546503</v>
      </c>
      <c r="O90" s="15" t="n">
        <f aca="false">SUMPRODUCT(E90:N90,1/(1+$F$76)^$E$3:$N$3)*$E$2</f>
        <v>8589.4721937921</v>
      </c>
      <c r="P90" s="15" t="n">
        <f aca="false">N90*$E$2*(1+$I$76)/($F$76-$I$76)/(1+$F$76)^$N$3</f>
        <v>13570.0100804413</v>
      </c>
      <c r="Q90" s="15" t="n">
        <f aca="false">O90+P90</f>
        <v>22159.4822742334</v>
      </c>
      <c r="R90" s="15" t="n">
        <f aca="false">Q90-$G$2+$I$2</f>
        <v>19043.2822742334</v>
      </c>
      <c r="S90" s="42" t="n">
        <f aca="false">R90/$K$2</f>
        <v>168.673890825805</v>
      </c>
      <c r="T90" s="43" t="n">
        <f aca="false">S90-$M$2</f>
        <v>0.206220320933625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-0.01220703125</v>
      </c>
      <c r="C91" s="25" t="n">
        <f aca="false">IF(T90&gt;0,D90,C90)</f>
        <v>-0.01202392578125</v>
      </c>
      <c r="D91" s="41" t="n">
        <f aca="false">(B91+C91)/2</f>
        <v>-0.012115478515625</v>
      </c>
      <c r="E91" s="15" t="n">
        <f aca="false">$C$2*(1+IF(E$3&lt;=$O$2,$D91,$D91-($D91-$I$76)*MIN(E$3-$O$2,$Q$2)/$Q$2))</f>
        <v>7389.37622070313</v>
      </c>
      <c r="F91" s="15" t="n">
        <f aca="false">E91*(1+IF(F$3&lt;=$O$2,$D91,$D91-($D91-$I$76)*MIN(F$3-$O$2,$Q$2)/$Q$2))</f>
        <v>7299.85039185733</v>
      </c>
      <c r="G91" s="15" t="n">
        <f aca="false">F91*(1+IF(G$3&lt;=$O$2,$D91,$D91-($D91-$I$76)*MIN(G$3-$O$2,$Q$2)/$Q$2))</f>
        <v>7211.4092112675</v>
      </c>
      <c r="H91" s="15" t="n">
        <f aca="false">G91*(1+IF(H$3&lt;=$O$2,$D91,$D91-($D91-$I$76)*MIN(H$3-$O$2,$Q$2)/$Q$2))</f>
        <v>7124.03953790101</v>
      </c>
      <c r="I91" s="15" t="n">
        <f aca="false">H91*(1+IF(I$3&lt;=$O$2,$D91,$D91-($D91-$I$76)*MIN(I$3-$O$2,$Q$2)/$Q$2))</f>
        <v>7037.72838993511</v>
      </c>
      <c r="J91" s="15" t="n">
        <f aca="false">I91*(1+IF(J$3&lt;=$O$2,$D91,$D91-($D91-$I$76)*MIN(J$3-$O$2,$Q$2)/$Q$2))</f>
        <v>7002.31184654655</v>
      </c>
      <c r="K91" s="15" t="n">
        <f aca="false">J91*(1+IF(K$3&lt;=$O$2,$D91,$D91-($D91-$I$76)*MIN(K$3-$O$2,$Q$2)/$Q$2))</f>
        <v>7016.67157771444</v>
      </c>
      <c r="L91" s="15" t="n">
        <f aca="false">K91*(1+IF(L$3&lt;=$O$2,$D91,$D91-($D91-$I$76)*MIN(L$3-$O$2,$Q$2)/$Q$2))</f>
        <v>7080.76051287049</v>
      </c>
      <c r="M91" s="15" t="n">
        <f aca="false">L91*(1+IF(M$3&lt;=$O$2,$D91,$D91-($D91-$I$76)*MIN(M$3-$O$2,$Q$2)/$Q$2))</f>
        <v>7195.58852845681</v>
      </c>
      <c r="N91" s="15" t="n">
        <f aca="false">M91*(1+IF(N$3&lt;=$O$2,$D91,$D91-($D91-$I$76)*MIN(N$3-$O$2,$Q$2)/$Q$2))</f>
        <v>7363.24574116985</v>
      </c>
      <c r="O91" s="15" t="n">
        <f aca="false">SUMPRODUCT(E91:N91,1/(1+$F$76)^$E$3:$N$3)*$E$2</f>
        <v>8585.99921349937</v>
      </c>
      <c r="P91" s="15" t="n">
        <f aca="false">N91*$E$2*(1+$I$76)/($F$76-$I$76)/(1+$F$76)^$N$3</f>
        <v>13561.2454501357</v>
      </c>
      <c r="Q91" s="15" t="n">
        <f aca="false">O91+P91</f>
        <v>22147.2446636351</v>
      </c>
      <c r="R91" s="15" t="n">
        <f aca="false">Q91-$G$2+$I$2</f>
        <v>19031.0446636351</v>
      </c>
      <c r="S91" s="42" t="n">
        <f aca="false">R91/$K$2</f>
        <v>168.565497463552</v>
      </c>
      <c r="T91" s="43" t="n">
        <f aca="false">S91-$M$2</f>
        <v>0.0978269586806562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-0.01220703125</v>
      </c>
      <c r="C92" s="25" t="n">
        <f aca="false">IF(T91&gt;0,D91,C91)</f>
        <v>-0.012115478515625</v>
      </c>
      <c r="D92" s="41" t="n">
        <f aca="false">(B92+C92)/2</f>
        <v>-0.0121612548828125</v>
      </c>
      <c r="E92" s="15" t="n">
        <f aca="false">$C$2*(1+IF(E$3&lt;=$O$2,$D92,$D92-($D92-$I$76)*MIN(E$3-$O$2,$Q$2)/$Q$2))</f>
        <v>7389.03381347656</v>
      </c>
      <c r="F92" s="15" t="n">
        <f aca="false">E92*(1+IF(F$3&lt;=$O$2,$D92,$D92-($D92-$I$76)*MIN(F$3-$O$2,$Q$2)/$Q$2))</f>
        <v>7299.17388993315</v>
      </c>
      <c r="G92" s="15" t="n">
        <f aca="false">F92*(1+IF(G$3&lt;=$O$2,$D92,$D92-($D92-$I$76)*MIN(G$3-$O$2,$Q$2)/$Q$2))</f>
        <v>7210.40677582371</v>
      </c>
      <c r="H92" s="15" t="n">
        <f aca="false">G92*(1+IF(H$3&lt;=$O$2,$D92,$D92-($D92-$I$76)*MIN(H$3-$O$2,$Q$2)/$Q$2))</f>
        <v>7122.71918121416</v>
      </c>
      <c r="I92" s="15" t="n">
        <f aca="false">H92*(1+IF(I$3&lt;=$O$2,$D92,$D92-($D92-$I$76)*MIN(I$3-$O$2,$Q$2)/$Q$2))</f>
        <v>7036.09797779271</v>
      </c>
      <c r="J92" s="15" t="n">
        <f aca="false">I92*(1+IF(J$3&lt;=$O$2,$D92,$D92-($D92-$I$76)*MIN(J$3-$O$2,$Q$2)/$Q$2))</f>
        <v>7000.43196965852</v>
      </c>
      <c r="K92" s="15" t="n">
        <f aca="false">J92*(1+IF(K$3&lt;=$O$2,$D92,$D92-($D92-$I$76)*MIN(K$3-$O$2,$Q$2)/$Q$2))</f>
        <v>7014.59557313206</v>
      </c>
      <c r="L92" s="15" t="n">
        <f aca="false">K92*(1+IF(L$3&lt;=$O$2,$D92,$D92-($D92-$I$76)*MIN(L$3-$O$2,$Q$2)/$Q$2))</f>
        <v>7078.53710537856</v>
      </c>
      <c r="M92" s="15" t="n">
        <f aca="false">L92*(1+IF(M$3&lt;=$O$2,$D92,$D92-($D92-$I$76)*MIN(M$3-$O$2,$Q$2)/$Q$2))</f>
        <v>7193.26425823563</v>
      </c>
      <c r="N92" s="15" t="n">
        <f aca="false">M92*(1+IF(N$3&lt;=$O$2,$D92,$D92-($D92-$I$76)*MIN(N$3-$O$2,$Q$2)/$Q$2))</f>
        <v>7360.86731545252</v>
      </c>
      <c r="O92" s="15" t="n">
        <f aca="false">SUMPRODUCT(E92:N92,1/(1+$F$76)^$E$3:$N$3)*$E$2</f>
        <v>8584.2632621574</v>
      </c>
      <c r="P92" s="15" t="n">
        <f aca="false">N92*$E$2*(1+$I$76)/($F$76-$I$76)/(1+$F$76)^$N$3</f>
        <v>13556.8649885741</v>
      </c>
      <c r="Q92" s="15" t="n">
        <f aca="false">O92+P92</f>
        <v>22141.1282507315</v>
      </c>
      <c r="R92" s="15" t="n">
        <f aca="false">Q92-$G$2+$I$2</f>
        <v>19024.9282507315</v>
      </c>
      <c r="S92" s="42" t="n">
        <f aca="false">R92/$K$2</f>
        <v>168.511321972821</v>
      </c>
      <c r="T92" s="43" t="n">
        <f aca="false">S92-$M$2</f>
        <v>0.0436514679495019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-0.01220703125</v>
      </c>
      <c r="C93" s="25" t="n">
        <f aca="false">IF(T92&gt;0,D92,C92)</f>
        <v>-0.0121612548828125</v>
      </c>
      <c r="D93" s="41" t="n">
        <f aca="false">(B93+C93)/2</f>
        <v>-0.0121841430664063</v>
      </c>
      <c r="E93" s="15" t="n">
        <f aca="false">$C$2*(1+IF(E$3&lt;=$O$2,$D93,$D93-($D93-$I$76)*MIN(E$3-$O$2,$Q$2)/$Q$2))</f>
        <v>7388.86260986328</v>
      </c>
      <c r="F93" s="15" t="n">
        <f aca="false">E93*(1+IF(F$3&lt;=$O$2,$D93,$D93-($D93-$I$76)*MIN(F$3-$O$2,$Q$2)/$Q$2))</f>
        <v>7298.83565072669</v>
      </c>
      <c r="G93" s="15" t="n">
        <f aca="false">F93*(1+IF(G$3&lt;=$O$2,$D93,$D93-($D93-$I$76)*MIN(G$3-$O$2,$Q$2)/$Q$2))</f>
        <v>7209.90559294005</v>
      </c>
      <c r="H93" s="15" t="n">
        <f aca="false">G93*(1+IF(H$3&lt;=$O$2,$D93,$D93-($D93-$I$76)*MIN(H$3-$O$2,$Q$2)/$Q$2))</f>
        <v>7122.05907170038</v>
      </c>
      <c r="I93" s="15" t="n">
        <f aca="false">H93*(1+IF(I$3&lt;=$O$2,$D93,$D93-($D93-$I$76)*MIN(I$3-$O$2,$Q$2)/$Q$2))</f>
        <v>7035.28288504339</v>
      </c>
      <c r="J93" s="15" t="n">
        <f aca="false">I93*(1+IF(J$3&lt;=$O$2,$D93,$D93-($D93-$I$76)*MIN(J$3-$O$2,$Q$2)/$Q$2))</f>
        <v>6999.49218874048</v>
      </c>
      <c r="K93" s="15" t="n">
        <f aca="false">J93*(1+IF(K$3&lt;=$O$2,$D93,$D93-($D93-$I$76)*MIN(K$3-$O$2,$Q$2)/$Q$2))</f>
        <v>7013.55776740766</v>
      </c>
      <c r="L93" s="15" t="n">
        <f aca="false">K93*(1+IF(L$3&lt;=$O$2,$D93,$D93-($D93-$I$76)*MIN(L$3-$O$2,$Q$2)/$Q$2))</f>
        <v>7077.42562849898</v>
      </c>
      <c r="M93" s="15" t="n">
        <f aca="false">L93*(1+IF(M$3&lt;=$O$2,$D93,$D93-($D93-$I$76)*MIN(M$3-$O$2,$Q$2)/$Q$2))</f>
        <v>7192.10236893431</v>
      </c>
      <c r="N93" s="15" t="n">
        <f aca="false">M93*(1+IF(N$3&lt;=$O$2,$D93,$D93-($D93-$I$76)*MIN(N$3-$O$2,$Q$2)/$Q$2))</f>
        <v>7359.67835413048</v>
      </c>
      <c r="O93" s="15" t="n">
        <f aca="false">SUMPRODUCT(E93:N93,1/(1+$F$76)^$E$3:$N$3)*$E$2</f>
        <v>8583.39542115672</v>
      </c>
      <c r="P93" s="15" t="n">
        <f aca="false">N93*$E$2*(1+$I$76)/($F$76-$I$76)/(1+$F$76)^$N$3</f>
        <v>13554.6752210605</v>
      </c>
      <c r="Q93" s="15" t="n">
        <f aca="false">O93+P93</f>
        <v>22138.0706422172</v>
      </c>
      <c r="R93" s="15" t="n">
        <f aca="false">Q93-$G$2+$I$2</f>
        <v>19021.8706422172</v>
      </c>
      <c r="S93" s="42" t="n">
        <f aca="false">R93/$K$2</f>
        <v>168.484239523624</v>
      </c>
      <c r="T93" s="43" t="n">
        <f aca="false">S93-$M$2</f>
        <v>0.0165690187527048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-0.01220703125</v>
      </c>
      <c r="C94" s="25" t="n">
        <f aca="false">IF(T93&gt;0,D93,C93)</f>
        <v>-0.0121841430664063</v>
      </c>
      <c r="D94" s="41" t="n">
        <f aca="false">(B94+C94)/2</f>
        <v>-0.0121955871582031</v>
      </c>
      <c r="E94" s="15" t="n">
        <f aca="false">$C$2*(1+IF(E$3&lt;=$O$2,$D94,$D94-($D94-$I$76)*MIN(E$3-$O$2,$Q$2)/$Q$2))</f>
        <v>7388.77700805664</v>
      </c>
      <c r="F94" s="15" t="n">
        <f aca="false">E94*(1+IF(F$3&lt;=$O$2,$D94,$D94-($D94-$I$76)*MIN(F$3-$O$2,$Q$2)/$Q$2))</f>
        <v>7298.66653406236</v>
      </c>
      <c r="G94" s="15" t="n">
        <f aca="false">F94*(1+IF(G$3&lt;=$O$2,$D94,$D94-($D94-$I$76)*MIN(G$3-$O$2,$Q$2)/$Q$2))</f>
        <v>7209.65501020754</v>
      </c>
      <c r="H94" s="15" t="n">
        <f aca="false">G94*(1+IF(H$3&lt;=$O$2,$D94,$D94-($D94-$I$76)*MIN(H$3-$O$2,$Q$2)/$Q$2))</f>
        <v>7121.72903414998</v>
      </c>
      <c r="I94" s="15" t="n">
        <f aca="false">H94*(1+IF(I$3&lt;=$O$2,$D94,$D94-($D94-$I$76)*MIN(I$3-$O$2,$Q$2)/$Q$2))</f>
        <v>7034.8753669969</v>
      </c>
      <c r="J94" s="15" t="n">
        <f aca="false">I94*(1+IF(J$3&lt;=$O$2,$D94,$D94-($D94-$I$76)*MIN(J$3-$O$2,$Q$2)/$Q$2))</f>
        <v>6999.02233765886</v>
      </c>
      <c r="K94" s="15" t="n">
        <f aca="false">J94*(1+IF(K$3&lt;=$O$2,$D94,$D94-($D94-$I$76)*MIN(K$3-$O$2,$Q$2)/$Q$2))</f>
        <v>7013.03891368116</v>
      </c>
      <c r="L94" s="15" t="n">
        <f aca="false">K94*(1+IF(L$3&lt;=$O$2,$D94,$D94-($D94-$I$76)*MIN(L$3-$O$2,$Q$2)/$Q$2))</f>
        <v>7076.86994676815</v>
      </c>
      <c r="M94" s="15" t="n">
        <f aca="false">L94*(1+IF(M$3&lt;=$O$2,$D94,$D94-($D94-$I$76)*MIN(M$3-$O$2,$Q$2)/$Q$2))</f>
        <v>7191.5214857273</v>
      </c>
      <c r="N94" s="15" t="n">
        <f aca="false">M94*(1+IF(N$3&lt;=$O$2,$D94,$D94-($D94-$I$76)*MIN(N$3-$O$2,$Q$2)/$Q$2))</f>
        <v>7359.08393634474</v>
      </c>
      <c r="O94" s="15" t="n">
        <f aca="false">SUMPRODUCT(E94:N94,1/(1+$F$76)^$E$3:$N$3)*$E$2</f>
        <v>8582.96153432011</v>
      </c>
      <c r="P94" s="15" t="n">
        <f aca="false">N94*$E$2*(1+$I$76)/($F$76-$I$76)/(1+$F$76)^$N$3</f>
        <v>13553.5804531041</v>
      </c>
      <c r="Q94" s="15" t="n">
        <f aca="false">O94+P94</f>
        <v>22136.5419874242</v>
      </c>
      <c r="R94" s="15" t="n">
        <f aca="false">Q94-$G$2+$I$2</f>
        <v>19020.3419874242</v>
      </c>
      <c r="S94" s="42" t="n">
        <f aca="false">R94/$K$2</f>
        <v>168.470699622889</v>
      </c>
      <c r="T94" s="43" t="n">
        <f aca="false">S94-$M$2</f>
        <v>0.00302911801776418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-0.01220703125</v>
      </c>
      <c r="C95" s="25" t="n">
        <f aca="false">IF(T94&gt;0,D94,C94)</f>
        <v>-0.0121955871582031</v>
      </c>
      <c r="D95" s="41" t="n">
        <f aca="false">(B95+C95)/2</f>
        <v>-0.0122013092041016</v>
      </c>
      <c r="E95" s="15" t="n">
        <f aca="false">$C$2*(1+IF(E$3&lt;=$O$2,$D95,$D95-($D95-$I$76)*MIN(E$3-$O$2,$Q$2)/$Q$2))</f>
        <v>7388.73420715332</v>
      </c>
      <c r="F95" s="15" t="n">
        <f aca="false">E95*(1+IF(F$3&lt;=$O$2,$D95,$D95-($D95-$I$76)*MIN(F$3-$O$2,$Q$2)/$Q$2))</f>
        <v>7298.58197646492</v>
      </c>
      <c r="G95" s="15" t="n">
        <f aca="false">F95*(1+IF(G$3&lt;=$O$2,$D95,$D95-($D95-$I$76)*MIN(G$3-$O$2,$Q$2)/$Q$2))</f>
        <v>7209.52972101859</v>
      </c>
      <c r="H95" s="15" t="n">
        <f aca="false">G95*(1+IF(H$3&lt;=$O$2,$D95,$D95-($D95-$I$76)*MIN(H$3-$O$2,$Q$2)/$Q$2))</f>
        <v>7121.56401967628</v>
      </c>
      <c r="I95" s="15" t="n">
        <f aca="false">H95*(1+IF(I$3&lt;=$O$2,$D95,$D95-($D95-$I$76)*MIN(I$3-$O$2,$Q$2)/$Q$2))</f>
        <v>7034.67161505541</v>
      </c>
      <c r="J95" s="15" t="n">
        <f aca="false">I95*(1+IF(J$3&lt;=$O$2,$D95,$D95-($D95-$I$76)*MIN(J$3-$O$2,$Q$2)/$Q$2))</f>
        <v>6998.78742196188</v>
      </c>
      <c r="K95" s="15" t="n">
        <f aca="false">J95*(1+IF(K$3&lt;=$O$2,$D95,$D95-($D95-$I$76)*MIN(K$3-$O$2,$Q$2)/$Q$2))</f>
        <v>7012.77949910108</v>
      </c>
      <c r="L95" s="15" t="n">
        <f aca="false">K95*(1+IF(L$3&lt;=$O$2,$D95,$D95-($D95-$I$76)*MIN(L$3-$O$2,$Q$2)/$Q$2))</f>
        <v>7076.59212007903</v>
      </c>
      <c r="M95" s="15" t="n">
        <f aca="false">L95*(1+IF(M$3&lt;=$O$2,$D95,$D95-($D95-$I$76)*MIN(M$3-$O$2,$Q$2)/$Q$2))</f>
        <v>7191.23105948363</v>
      </c>
      <c r="N95" s="15" t="n">
        <f aca="false">M95*(1+IF(N$3&lt;=$O$2,$D95,$D95-($D95-$I$76)*MIN(N$3-$O$2,$Q$2)/$Q$2))</f>
        <v>7358.7867431696</v>
      </c>
      <c r="O95" s="15" t="n">
        <f aca="false">SUMPRODUCT(E95:N95,1/(1+$F$76)^$E$3:$N$3)*$E$2</f>
        <v>8582.74459931725</v>
      </c>
      <c r="P95" s="15" t="n">
        <f aca="false">N95*$E$2*(1+$I$76)/($F$76-$I$76)/(1+$F$76)^$N$3</f>
        <v>13553.033098074</v>
      </c>
      <c r="Q95" s="15" t="n">
        <f aca="false">O95+P95</f>
        <v>22135.7776973913</v>
      </c>
      <c r="R95" s="15" t="n">
        <f aca="false">Q95-$G$2+$I$2</f>
        <v>19019.5776973913</v>
      </c>
      <c r="S95" s="42" t="n">
        <f aca="false">R95/$K$2</f>
        <v>168.463930003466</v>
      </c>
      <c r="T95" s="43" t="n">
        <f aca="false">S95-$M$2</f>
        <v>-0.00374050140607096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-0.0122013092041016</v>
      </c>
      <c r="C96" s="25" t="n">
        <f aca="false">IF(T95&gt;0,D95,C95)</f>
        <v>-0.0121955871582031</v>
      </c>
      <c r="D96" s="41" t="n">
        <f aca="false">(B96+C96)/2</f>
        <v>-0.0121984481811523</v>
      </c>
      <c r="E96" s="15" t="n">
        <f aca="false">$C$2*(1+IF(E$3&lt;=$O$2,$D96,$D96-($D96-$I$76)*MIN(E$3-$O$2,$Q$2)/$Q$2))</f>
        <v>7388.75560760498</v>
      </c>
      <c r="F96" s="15" t="n">
        <f aca="false">E96*(1+IF(F$3&lt;=$O$2,$D96,$D96-($D96-$I$76)*MIN(F$3-$O$2,$Q$2)/$Q$2))</f>
        <v>7298.62425520241</v>
      </c>
      <c r="G96" s="15" t="n">
        <f aca="false">F96*(1+IF(G$3&lt;=$O$2,$D96,$D96-($D96-$I$76)*MIN(G$3-$O$2,$Q$2)/$Q$2))</f>
        <v>7209.59236543162</v>
      </c>
      <c r="H96" s="15" t="n">
        <f aca="false">G96*(1+IF(H$3&lt;=$O$2,$D96,$D96-($D96-$I$76)*MIN(H$3-$O$2,$Q$2)/$Q$2))</f>
        <v>7121.64652655468</v>
      </c>
      <c r="I96" s="15" t="n">
        <f aca="false">H96*(1+IF(I$3&lt;=$O$2,$D96,$D96-($D96-$I$76)*MIN(I$3-$O$2,$Q$2)/$Q$2))</f>
        <v>7034.77349043601</v>
      </c>
      <c r="J96" s="15" t="n">
        <f aca="false">I96*(1+IF(J$3&lt;=$O$2,$D96,$D96-($D96-$I$76)*MIN(J$3-$O$2,$Q$2)/$Q$2))</f>
        <v>6998.90487899006</v>
      </c>
      <c r="K96" s="15" t="n">
        <f aca="false">J96*(1+IF(K$3&lt;=$O$2,$D96,$D96-($D96-$I$76)*MIN(K$3-$O$2,$Q$2)/$Q$2))</f>
        <v>7012.90920536755</v>
      </c>
      <c r="L96" s="15" t="n">
        <f aca="false">K96*(1+IF(L$3&lt;=$O$2,$D96,$D96-($D96-$I$76)*MIN(L$3-$O$2,$Q$2)/$Q$2))</f>
        <v>7076.73103224226</v>
      </c>
      <c r="M96" s="15" t="n">
        <f aca="false">L96*(1+IF(M$3&lt;=$O$2,$D96,$D96-($D96-$I$76)*MIN(M$3-$O$2,$Q$2)/$Q$2))</f>
        <v>7191.37627132551</v>
      </c>
      <c r="N96" s="15" t="n">
        <f aca="false">M96*(1+IF(N$3&lt;=$O$2,$D96,$D96-($D96-$I$76)*MIN(N$3-$O$2,$Q$2)/$Q$2))</f>
        <v>7358.93533844739</v>
      </c>
      <c r="O96" s="15" t="n">
        <f aca="false">SUMPRODUCT(E96:N96,1/(1+$F$76)^$E$3:$N$3)*$E$2</f>
        <v>8582.85306611741</v>
      </c>
      <c r="P96" s="15" t="n">
        <f aca="false">N96*$E$2*(1+$I$76)/($F$76-$I$76)/(1+$F$76)^$N$3</f>
        <v>13553.3067731768</v>
      </c>
      <c r="Q96" s="15" t="n">
        <f aca="false">O96+P96</f>
        <v>22136.1598392942</v>
      </c>
      <c r="R96" s="15" t="n">
        <f aca="false">Q96-$G$2+$I$2</f>
        <v>19019.9598392942</v>
      </c>
      <c r="S96" s="42" t="n">
        <f aca="false">R96/$K$2</f>
        <v>168.467314785599</v>
      </c>
      <c r="T96" s="43" t="n">
        <f aca="false">S96-$M$2</f>
        <v>-0.000355719272135957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-0.0121984481811523</v>
      </c>
      <c r="C97" s="25" t="n">
        <f aca="false">IF(T96&gt;0,D96,C96)</f>
        <v>-0.0121955871582031</v>
      </c>
      <c r="D97" s="41" t="n">
        <f aca="false">(B97+C97)/2</f>
        <v>-0.0121970176696777</v>
      </c>
      <c r="E97" s="15" t="n">
        <f aca="false">$C$2*(1+IF(E$3&lt;=$O$2,$D97,$D97-($D97-$I$76)*MIN(E$3-$O$2,$Q$2)/$Q$2))</f>
        <v>7388.76630783081</v>
      </c>
      <c r="F97" s="15" t="n">
        <f aca="false">E97*(1+IF(F$3&lt;=$O$2,$D97,$D97-($D97-$I$76)*MIN(F$3-$O$2,$Q$2)/$Q$2))</f>
        <v>7298.64539461708</v>
      </c>
      <c r="G97" s="15" t="n">
        <f aca="false">F97*(1+IF(G$3&lt;=$O$2,$D97,$D97-($D97-$I$76)*MIN(G$3-$O$2,$Q$2)/$Q$2))</f>
        <v>7209.62368777422</v>
      </c>
      <c r="H97" s="15" t="n">
        <f aca="false">G97*(1+IF(H$3&lt;=$O$2,$D97,$D97-($D97-$I$76)*MIN(H$3-$O$2,$Q$2)/$Q$2))</f>
        <v>7121.68778026271</v>
      </c>
      <c r="I97" s="15" t="n">
        <f aca="false">H97*(1+IF(I$3&lt;=$O$2,$D97,$D97-($D97-$I$76)*MIN(I$3-$O$2,$Q$2)/$Q$2))</f>
        <v>7034.82442856892</v>
      </c>
      <c r="J97" s="15" t="n">
        <f aca="false">I97*(1+IF(J$3&lt;=$O$2,$D97,$D97-($D97-$I$76)*MIN(J$3-$O$2,$Q$2)/$Q$2))</f>
        <v>6998.96360811938</v>
      </c>
      <c r="K97" s="15" t="n">
        <f aca="false">J97*(1+IF(K$3&lt;=$O$2,$D97,$D97-($D97-$I$76)*MIN(K$3-$O$2,$Q$2)/$Q$2))</f>
        <v>7012.97405926846</v>
      </c>
      <c r="L97" s="15" t="n">
        <f aca="false">K97*(1+IF(L$3&lt;=$O$2,$D97,$D97-($D97-$I$76)*MIN(L$3-$O$2,$Q$2)/$Q$2))</f>
        <v>7076.80048920988</v>
      </c>
      <c r="M97" s="15" t="n">
        <f aca="false">L97*(1+IF(M$3&lt;=$O$2,$D97,$D97-($D97-$I$76)*MIN(M$3-$O$2,$Q$2)/$Q$2))</f>
        <v>7191.44887820641</v>
      </c>
      <c r="N97" s="15" t="n">
        <f aca="false">M97*(1+IF(N$3&lt;=$O$2,$D97,$D97-($D97-$I$76)*MIN(N$3-$O$2,$Q$2)/$Q$2))</f>
        <v>7359.00963706862</v>
      </c>
      <c r="O97" s="15" t="n">
        <f aca="false">SUMPRODUCT(E97:N97,1/(1+$F$76)^$E$3:$N$3)*$E$2</f>
        <v>8582.90730004344</v>
      </c>
      <c r="P97" s="15" t="n">
        <f aca="false">N97*$E$2*(1+$I$76)/($F$76-$I$76)/(1+$F$76)^$N$3</f>
        <v>13553.4436125374</v>
      </c>
      <c r="Q97" s="15" t="n">
        <f aca="false">O97+P97</f>
        <v>22136.3509125808</v>
      </c>
      <c r="R97" s="15" t="n">
        <f aca="false">Q97-$G$2+$I$2</f>
        <v>19020.1509125808</v>
      </c>
      <c r="S97" s="42" t="n">
        <f aca="false">R97/$K$2</f>
        <v>168.46900719735</v>
      </c>
      <c r="T97" s="43" t="n">
        <f aca="false">S97-$M$2</f>
        <v>0.00133669247833268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-0.0121984481811523</v>
      </c>
      <c r="C98" s="25" t="n">
        <f aca="false">IF(T97&gt;0,D97,C97)</f>
        <v>-0.0121970176696777</v>
      </c>
      <c r="D98" s="41" t="n">
        <f aca="false">(B98+C98)/2</f>
        <v>-0.012197732925415</v>
      </c>
      <c r="E98" s="15" t="n">
        <f aca="false">$C$2*(1+IF(E$3&lt;=$O$2,$D98,$D98-($D98-$I$76)*MIN(E$3-$O$2,$Q$2)/$Q$2))</f>
        <v>7388.7609577179</v>
      </c>
      <c r="F98" s="15" t="n">
        <f aca="false">E98*(1+IF(F$3&lt;=$O$2,$D98,$D98-($D98-$I$76)*MIN(F$3-$O$2,$Q$2)/$Q$2))</f>
        <v>7298.63482490592</v>
      </c>
      <c r="G98" s="15" t="n">
        <f aca="false">F98*(1+IF(G$3&lt;=$O$2,$D98,$D98-($D98-$I$76)*MIN(G$3-$O$2,$Q$2)/$Q$2))</f>
        <v>7209.60802659158</v>
      </c>
      <c r="H98" s="15" t="n">
        <f aca="false">G98*(1+IF(H$3&lt;=$O$2,$D98,$D98-($D98-$I$76)*MIN(H$3-$O$2,$Q$2)/$Q$2))</f>
        <v>7121.66715338629</v>
      </c>
      <c r="I98" s="15" t="n">
        <f aca="false">H98*(1+IF(I$3&lt;=$O$2,$D98,$D98-($D98-$I$76)*MIN(I$3-$O$2,$Q$2)/$Q$2))</f>
        <v>7034.79895946558</v>
      </c>
      <c r="J98" s="15" t="n">
        <f aca="false">I98*(1+IF(J$3&lt;=$O$2,$D98,$D98-($D98-$I$76)*MIN(J$3-$O$2,$Q$2)/$Q$2))</f>
        <v>6998.93424350346</v>
      </c>
      <c r="K98" s="15" t="n">
        <f aca="false">J98*(1+IF(K$3&lt;=$O$2,$D98,$D98-($D98-$I$76)*MIN(K$3-$O$2,$Q$2)/$Q$2))</f>
        <v>7012.94163225403</v>
      </c>
      <c r="L98" s="15" t="n">
        <f aca="false">K98*(1+IF(L$3&lt;=$O$2,$D98,$D98-($D98-$I$76)*MIN(L$3-$O$2,$Q$2)/$Q$2))</f>
        <v>7076.76576065224</v>
      </c>
      <c r="M98" s="15" t="n">
        <f aca="false">L98*(1+IF(M$3&lt;=$O$2,$D98,$D98-($D98-$I$76)*MIN(M$3-$O$2,$Q$2)/$Q$2))</f>
        <v>7191.41257468596</v>
      </c>
      <c r="N98" s="15" t="n">
        <f aca="false">M98*(1+IF(N$3&lt;=$O$2,$D98,$D98-($D98-$I$76)*MIN(N$3-$O$2,$Q$2)/$Q$2))</f>
        <v>7358.97248767615</v>
      </c>
      <c r="O98" s="15" t="n">
        <f aca="false">SUMPRODUCT(E98:N98,1/(1+$F$76)^$E$3:$N$3)*$E$2</f>
        <v>8582.88018303659</v>
      </c>
      <c r="P98" s="15" t="n">
        <f aca="false">N98*$E$2*(1+$I$76)/($F$76-$I$76)/(1+$F$76)^$N$3</f>
        <v>13553.3751927063</v>
      </c>
      <c r="Q98" s="15" t="n">
        <f aca="false">O98+P98</f>
        <v>22136.2553757429</v>
      </c>
      <c r="R98" s="15" t="n">
        <f aca="false">Q98-$G$2+$I$2</f>
        <v>19020.0553757429</v>
      </c>
      <c r="S98" s="42" t="n">
        <f aca="false">R98/$K$2</f>
        <v>168.468160989751</v>
      </c>
      <c r="T98" s="43" t="n">
        <f aca="false">S98-$M$2</f>
        <v>0.000490484879549058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-0.0121984481811523</v>
      </c>
      <c r="C99" s="25" t="n">
        <f aca="false">IF(T98&gt;0,D98,C98)</f>
        <v>-0.012197732925415</v>
      </c>
      <c r="D99" s="41" t="n">
        <f aca="false">(B99+C99)/2</f>
        <v>-0.0121980905532837</v>
      </c>
      <c r="E99" s="15" t="n">
        <f aca="false">$C$2*(1+IF(E$3&lt;=$O$2,$D99,$D99-($D99-$I$76)*MIN(E$3-$O$2,$Q$2)/$Q$2))</f>
        <v>7388.75828266144</v>
      </c>
      <c r="F99" s="15" t="n">
        <f aca="false">E99*(1+IF(F$3&lt;=$O$2,$D99,$D99-($D99-$I$76)*MIN(F$3-$O$2,$Q$2)/$Q$2))</f>
        <v>7298.62954005321</v>
      </c>
      <c r="G99" s="15" t="n">
        <f aca="false">F99*(1+IF(G$3&lt;=$O$2,$D99,$D99-($D99-$I$76)*MIN(G$3-$O$2,$Q$2)/$Q$2))</f>
        <v>7209.60019600877</v>
      </c>
      <c r="H99" s="15" t="n">
        <f aca="false">G99*(1+IF(H$3&lt;=$O$2,$D99,$D99-($D99-$I$76)*MIN(H$3-$O$2,$Q$2)/$Q$2))</f>
        <v>7121.65683996488</v>
      </c>
      <c r="I99" s="15" t="n">
        <f aca="false">H99*(1+IF(I$3&lt;=$O$2,$D99,$D99-($D99-$I$76)*MIN(I$3-$O$2,$Q$2)/$Q$2))</f>
        <v>7034.78622494158</v>
      </c>
      <c r="J99" s="15" t="n">
        <f aca="false">I99*(1+IF(J$3&lt;=$O$2,$D99,$D99-($D99-$I$76)*MIN(J$3-$O$2,$Q$2)/$Q$2))</f>
        <v>6998.91956123394</v>
      </c>
      <c r="K99" s="15" t="n">
        <f aca="false">J99*(1+IF(K$3&lt;=$O$2,$D99,$D99-($D99-$I$76)*MIN(K$3-$O$2,$Q$2)/$Q$2))</f>
        <v>7012.92541879479</v>
      </c>
      <c r="L99" s="15" t="n">
        <f aca="false">K99*(1+IF(L$3&lt;=$O$2,$D99,$D99-($D99-$I$76)*MIN(L$3-$O$2,$Q$2)/$Q$2))</f>
        <v>7076.74839642879</v>
      </c>
      <c r="M99" s="15" t="n">
        <f aca="false">L99*(1+IF(M$3&lt;=$O$2,$D99,$D99-($D99-$I$76)*MIN(M$3-$O$2,$Q$2)/$Q$2))</f>
        <v>7191.39442298574</v>
      </c>
      <c r="N99" s="15" t="n">
        <f aca="false">M99*(1+IF(N$3&lt;=$O$2,$D99,$D99-($D99-$I$76)*MIN(N$3-$O$2,$Q$2)/$Q$2))</f>
        <v>7358.9539130413</v>
      </c>
      <c r="O99" s="15" t="n">
        <f aca="false">SUMPRODUCT(E99:N99,1/(1+$F$76)^$E$3:$N$3)*$E$2</f>
        <v>8582.86662456604</v>
      </c>
      <c r="P99" s="15" t="n">
        <f aca="false">N99*$E$2*(1+$I$76)/($F$76-$I$76)/(1+$F$76)^$N$3</f>
        <v>13553.3409829039</v>
      </c>
      <c r="Q99" s="15" t="n">
        <f aca="false">O99+P99</f>
        <v>22136.2076074699</v>
      </c>
      <c r="R99" s="15" t="n">
        <f aca="false">Q99-$G$2+$I$2</f>
        <v>19020.0076074699</v>
      </c>
      <c r="S99" s="42" t="n">
        <f aca="false">R99/$K$2</f>
        <v>168.467737887244</v>
      </c>
      <c r="T99" s="43" t="n">
        <f aca="false">S99-$M$2</f>
        <v>6.73823728050138E-005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-0.0121984481811523</v>
      </c>
      <c r="C100" s="25" t="n">
        <f aca="false">IF(T99&gt;0,D99,C99)</f>
        <v>-0.0121980905532837</v>
      </c>
      <c r="D100" s="41" t="n">
        <f aca="false">(B100+C100)/2</f>
        <v>-0.012198269367218</v>
      </c>
      <c r="E100" s="15" t="n">
        <f aca="false">$C$2*(1+IF(E$3&lt;=$O$2,$D100,$D100-($D100-$I$76)*MIN(E$3-$O$2,$Q$2)/$Q$2))</f>
        <v>7388.75694513321</v>
      </c>
      <c r="F100" s="15" t="n">
        <f aca="false">E100*(1+IF(F$3&lt;=$O$2,$D100,$D100-($D100-$I$76)*MIN(F$3-$O$2,$Q$2)/$Q$2))</f>
        <v>7298.62689762757</v>
      </c>
      <c r="G100" s="15" t="n">
        <f aca="false">F100*(1+IF(G$3&lt;=$O$2,$D100,$D100-($D100-$I$76)*MIN(G$3-$O$2,$Q$2)/$Q$2))</f>
        <v>7209.59628071949</v>
      </c>
      <c r="H100" s="15" t="n">
        <f aca="false">G100*(1+IF(H$3&lt;=$O$2,$D100,$D100-($D100-$I$76)*MIN(H$3-$O$2,$Q$2)/$Q$2))</f>
        <v>7121.65168325838</v>
      </c>
      <c r="I100" s="15" t="n">
        <f aca="false">H100*(1+IF(I$3&lt;=$O$2,$D100,$D100-($D100-$I$76)*MIN(I$3-$O$2,$Q$2)/$Q$2))</f>
        <v>7034.77985768649</v>
      </c>
      <c r="J100" s="15" t="n">
        <f aca="false">I100*(1+IF(J$3&lt;=$O$2,$D100,$D100-($D100-$I$76)*MIN(J$3-$O$2,$Q$2)/$Q$2))</f>
        <v>6998.9122201088</v>
      </c>
      <c r="K100" s="15" t="n">
        <f aca="false">J100*(1+IF(K$3&lt;=$O$2,$D100,$D100-($D100-$I$76)*MIN(K$3-$O$2,$Q$2)/$Q$2))</f>
        <v>7012.91731207717</v>
      </c>
      <c r="L100" s="15" t="n">
        <f aca="false">K100*(1+IF(L$3&lt;=$O$2,$D100,$D100-($D100-$I$76)*MIN(L$3-$O$2,$Q$2)/$Q$2))</f>
        <v>7076.73971433091</v>
      </c>
      <c r="M100" s="15" t="n">
        <f aca="false">L100*(1+IF(M$3&lt;=$O$2,$D100,$D100-($D100-$I$76)*MIN(M$3-$O$2,$Q$2)/$Q$2))</f>
        <v>7191.38534715062</v>
      </c>
      <c r="N100" s="15" t="n">
        <f aca="false">M100*(1+IF(N$3&lt;=$O$2,$D100,$D100-($D100-$I$76)*MIN(N$3-$O$2,$Q$2)/$Q$2))</f>
        <v>7358.94462573923</v>
      </c>
      <c r="O100" s="15" t="n">
        <f aca="false">SUMPRODUCT(E100:N100,1/(1+$F$76)^$E$3:$N$3)*$E$2</f>
        <v>8582.85984533898</v>
      </c>
      <c r="P100" s="15" t="n">
        <f aca="false">N100*$E$2*(1+$I$76)/($F$76-$I$76)/(1+$F$76)^$N$3</f>
        <v>13553.3238780309</v>
      </c>
      <c r="Q100" s="15" t="n">
        <f aca="false">O100+P100</f>
        <v>22136.1837233699</v>
      </c>
      <c r="R100" s="15" t="n">
        <f aca="false">Q100-$G$2+$I$2</f>
        <v>19019.9837233699</v>
      </c>
      <c r="S100" s="42" t="n">
        <f aca="false">R100/$K$2</f>
        <v>168.467526336314</v>
      </c>
      <c r="T100" s="43" t="n">
        <f aca="false">S100-$M$2</f>
        <v>-0.000144168557454805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-0.012198269367218</v>
      </c>
      <c r="C101" s="25" t="n">
        <f aca="false">IF(T100&gt;0,D100,C100)</f>
        <v>-0.0121980905532837</v>
      </c>
      <c r="D101" s="41" t="n">
        <f aca="false">(B101+C101)/2</f>
        <v>-0.0121981799602509</v>
      </c>
      <c r="E101" s="15" t="n">
        <f aca="false">$C$2*(1+IF(E$3&lt;=$O$2,$D101,$D101-($D101-$I$76)*MIN(E$3-$O$2,$Q$2)/$Q$2))</f>
        <v>7388.75761389732</v>
      </c>
      <c r="F101" s="15" t="n">
        <f aca="false">E101*(1+IF(F$3&lt;=$O$2,$D101,$D101-($D101-$I$76)*MIN(F$3-$O$2,$Q$2)/$Q$2))</f>
        <v>7298.62821884033</v>
      </c>
      <c r="G101" s="15" t="n">
        <f aca="false">F101*(1+IF(G$3&lt;=$O$2,$D101,$D101-($D101-$I$76)*MIN(G$3-$O$2,$Q$2)/$Q$2))</f>
        <v>7209.59823836395</v>
      </c>
      <c r="H101" s="15" t="n">
        <f aca="false">G101*(1+IF(H$3&lt;=$O$2,$D101,$D101-($D101-$I$76)*MIN(H$3-$O$2,$Q$2)/$Q$2))</f>
        <v>7121.65426161128</v>
      </c>
      <c r="I101" s="15" t="n">
        <f aca="false">H101*(1+IF(I$3&lt;=$O$2,$D101,$D101-($D101-$I$76)*MIN(I$3-$O$2,$Q$2)/$Q$2))</f>
        <v>7034.78304131346</v>
      </c>
      <c r="J101" s="15" t="n">
        <f aca="false">I101*(1+IF(J$3&lt;=$O$2,$D101,$D101-($D101-$I$76)*MIN(J$3-$O$2,$Q$2)/$Q$2))</f>
        <v>6998.91589067057</v>
      </c>
      <c r="K101" s="15" t="n">
        <f aca="false">J101*(1+IF(K$3&lt;=$O$2,$D101,$D101-($D101-$I$76)*MIN(K$3-$O$2,$Q$2)/$Q$2))</f>
        <v>7012.92136543498</v>
      </c>
      <c r="L101" s="15" t="n">
        <f aca="false">K101*(1+IF(L$3&lt;=$O$2,$D101,$D101-($D101-$I$76)*MIN(L$3-$O$2,$Q$2)/$Q$2))</f>
        <v>7076.7440553787</v>
      </c>
      <c r="M101" s="15" t="n">
        <f aca="false">L101*(1+IF(M$3&lt;=$O$2,$D101,$D101-($D101-$I$76)*MIN(M$3-$O$2,$Q$2)/$Q$2))</f>
        <v>7191.38988506693</v>
      </c>
      <c r="N101" s="15" t="n">
        <f aca="false">M101*(1+IF(N$3&lt;=$O$2,$D101,$D101-($D101-$I$76)*MIN(N$3-$O$2,$Q$2)/$Q$2))</f>
        <v>7358.94926938899</v>
      </c>
      <c r="O101" s="15" t="n">
        <f aca="false">SUMPRODUCT(E101:N101,1/(1+$F$76)^$E$3:$N$3)*$E$2</f>
        <v>8582.86323495183</v>
      </c>
      <c r="P101" s="15" t="n">
        <f aca="false">N101*$E$2*(1+$I$76)/($F$76-$I$76)/(1+$F$76)^$N$3</f>
        <v>13553.332430465</v>
      </c>
      <c r="Q101" s="15" t="n">
        <f aca="false">O101+P101</f>
        <v>22136.1956654168</v>
      </c>
      <c r="R101" s="15" t="n">
        <f aca="false">Q101-$G$2+$I$2</f>
        <v>19019.9956654168</v>
      </c>
      <c r="S101" s="42" t="n">
        <f aca="false">R101/$K$2</f>
        <v>168.467632111752</v>
      </c>
      <c r="T101" s="43" t="n">
        <f aca="false">S101-$M$2</f>
        <v>-3.83931192118325E-005</v>
      </c>
    </row>
    <row r="103" customFormat="false" ht="15" hidden="false" customHeight="false" outlineLevel="0" collapsed="false">
      <c r="A103" s="38" t="s">
        <v>187</v>
      </c>
      <c r="E103" s="5" t="s">
        <v>11</v>
      </c>
      <c r="F103" s="12" t="n">
        <f aca="false">Sensitivity!$B$10</f>
        <v>0.0711268672746673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165</v>
      </c>
      <c r="B104" s="28" t="s">
        <v>166</v>
      </c>
      <c r="C104" s="28" t="s">
        <v>167</v>
      </c>
      <c r="D104" s="28" t="s">
        <v>168</v>
      </c>
      <c r="E104" s="28" t="s">
        <v>169</v>
      </c>
      <c r="F104" s="28" t="s">
        <v>170</v>
      </c>
      <c r="G104" s="28" t="s">
        <v>171</v>
      </c>
      <c r="H104" s="28" t="s">
        <v>172</v>
      </c>
      <c r="I104" s="28" t="s">
        <v>173</v>
      </c>
      <c r="J104" s="28" t="s">
        <v>174</v>
      </c>
      <c r="K104" s="28" t="s">
        <v>175</v>
      </c>
      <c r="L104" s="28" t="s">
        <v>176</v>
      </c>
      <c r="M104" s="28" t="s">
        <v>177</v>
      </c>
      <c r="N104" s="28" t="s">
        <v>178</v>
      </c>
      <c r="O104" s="28" t="s">
        <v>179</v>
      </c>
      <c r="P104" s="28" t="s">
        <v>180</v>
      </c>
      <c r="Q104" s="28" t="s">
        <v>181</v>
      </c>
      <c r="R104" s="28" t="s">
        <v>182</v>
      </c>
      <c r="S104" s="28" t="s">
        <v>183</v>
      </c>
      <c r="T104" s="28" t="s">
        <v>184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9350</v>
      </c>
      <c r="F105" s="15" t="n">
        <f aca="false">E105*(1+IF(F$3&lt;=$O$2,$D105,$D105-($D105-$I$103)*MIN(F$3-$O$2,$Q$2)/$Q$2))</f>
        <v>11687.5</v>
      </c>
      <c r="G105" s="15" t="n">
        <f aca="false">F105*(1+IF(G$3&lt;=$O$2,$D105,$D105-($D105-$I$103)*MIN(G$3-$O$2,$Q$2)/$Q$2))</f>
        <v>14609.375</v>
      </c>
      <c r="H105" s="15" t="n">
        <f aca="false">G105*(1+IF(H$3&lt;=$O$2,$D105,$D105-($D105-$I$103)*MIN(H$3-$O$2,$Q$2)/$Q$2))</f>
        <v>18261.71875</v>
      </c>
      <c r="I105" s="15" t="n">
        <f aca="false">H105*(1+IF(I$3&lt;=$O$2,$D105,$D105-($D105-$I$103)*MIN(I$3-$O$2,$Q$2)/$Q$2))</f>
        <v>22827.1484375</v>
      </c>
      <c r="J105" s="15" t="n">
        <f aca="false">I105*(1+IF(J$3&lt;=$O$2,$D105,$D105-($D105-$I$103)*MIN(J$3-$O$2,$Q$2)/$Q$2))</f>
        <v>27521.7797851563</v>
      </c>
      <c r="K105" s="15" t="n">
        <f aca="false">J105*(1+IF(K$3&lt;=$O$2,$D105,$D105-($D105-$I$103)*MIN(K$3-$O$2,$Q$2)/$Q$2))</f>
        <v>31961.5933000977</v>
      </c>
      <c r="L105" s="15" t="n">
        <f aca="false">K105*(1+IF(L$3&lt;=$O$2,$D105,$D105-($D105-$I$103)*MIN(L$3-$O$2,$Q$2)/$Q$2))</f>
        <v>35700.4604843431</v>
      </c>
      <c r="M105" s="15" t="n">
        <f aca="false">L105*(1+IF(M$3&lt;=$O$2,$D105,$D105-($D105-$I$103)*MIN(M$3-$O$2,$Q$2)/$Q$2))</f>
        <v>38293.7419339258</v>
      </c>
      <c r="N105" s="15" t="n">
        <f aca="false">M105*(1+IF(N$3&lt;=$O$2,$D105,$D105-($D105-$I$103)*MIN(N$3-$O$2,$Q$2)/$Q$2))</f>
        <v>39377.4548306559</v>
      </c>
      <c r="O105" s="15" t="n">
        <f aca="false">SUMPRODUCT(E105:N105,1/(1+$F$103)^$E$3:$N$3)*$E$2</f>
        <v>27361.4006454932</v>
      </c>
      <c r="P105" s="15" t="n">
        <f aca="false">N105*$E$2*(1+$I$103)/($F$103-$I$103)/(1+$F$103)^$N$3</f>
        <v>81386.1327933805</v>
      </c>
      <c r="Q105" s="15" t="n">
        <f aca="false">O105+P105</f>
        <v>108747.533438874</v>
      </c>
      <c r="R105" s="15" t="n">
        <f aca="false">Q105-$G$2+$I$2</f>
        <v>105631.333438874</v>
      </c>
      <c r="S105" s="42" t="n">
        <f aca="false">R105/$K$2</f>
        <v>935.61854241695</v>
      </c>
      <c r="T105" s="43" t="n">
        <f aca="false">S105-$M$2</f>
        <v>767.150871912079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6545</v>
      </c>
      <c r="F106" s="15" t="n">
        <f aca="false">E106*(1+IF(F$3&lt;=$O$2,$D106,$D106-($D106-$I$103)*MIN(F$3-$O$2,$Q$2)/$Q$2))</f>
        <v>5726.875</v>
      </c>
      <c r="G106" s="15" t="n">
        <f aca="false">F106*(1+IF(G$3&lt;=$O$2,$D106,$D106-($D106-$I$103)*MIN(G$3-$O$2,$Q$2)/$Q$2))</f>
        <v>5011.015625</v>
      </c>
      <c r="H106" s="15" t="n">
        <f aca="false">G106*(1+IF(H$3&lt;=$O$2,$D106,$D106-($D106-$I$103)*MIN(H$3-$O$2,$Q$2)/$Q$2))</f>
        <v>4384.638671875</v>
      </c>
      <c r="I106" s="15" t="n">
        <f aca="false">H106*(1+IF(I$3&lt;=$O$2,$D106,$D106-($D106-$I$103)*MIN(I$3-$O$2,$Q$2)/$Q$2))</f>
        <v>3836.55883789063</v>
      </c>
      <c r="J106" s="15" t="n">
        <f aca="false">I106*(1+IF(J$3&lt;=$O$2,$D106,$D106-($D106-$I$103)*MIN(J$3-$O$2,$Q$2)/$Q$2))</f>
        <v>3474.61787712402</v>
      </c>
      <c r="K106" s="15" t="n">
        <f aca="false">J106*(1+IF(K$3&lt;=$O$2,$D106,$D106-($D106-$I$103)*MIN(K$3-$O$2,$Q$2)/$Q$2))</f>
        <v>3253.35421070877</v>
      </c>
      <c r="L106" s="15" t="n">
        <f aca="false">K106*(1+IF(L$3&lt;=$O$2,$D106,$D106-($D106-$I$103)*MIN(L$3-$O$2,$Q$2)/$Q$2))</f>
        <v>3145.92845467116</v>
      </c>
      <c r="M106" s="15" t="n">
        <f aca="false">L106*(1+IF(M$3&lt;=$O$2,$D106,$D106-($D106-$I$103)*MIN(M$3-$O$2,$Q$2)/$Q$2))</f>
        <v>3138.50406351814</v>
      </c>
      <c r="N106" s="15" t="n">
        <f aca="false">M106*(1+IF(N$3&lt;=$O$2,$D106,$D106-($D106-$I$103)*MIN(N$3-$O$2,$Q$2)/$Q$2))</f>
        <v>3227.3237285157</v>
      </c>
      <c r="O106" s="15" t="n">
        <f aca="false">SUMPRODUCT(E106:N106,1/(1+$F$103)^$E$3:$N$3)*$E$2</f>
        <v>5248.9387927122</v>
      </c>
      <c r="P106" s="15" t="n">
        <f aca="false">N106*$E$2*(1+$I$103)/($F$103-$I$103)/(1+$F$103)^$N$3</f>
        <v>6670.29899890135</v>
      </c>
      <c r="Q106" s="15" t="n">
        <f aca="false">O106+P106</f>
        <v>11919.2377916136</v>
      </c>
      <c r="R106" s="15" t="n">
        <f aca="false">Q106-$G$2+$I$2</f>
        <v>8803.03779161355</v>
      </c>
      <c r="S106" s="42" t="n">
        <f aca="false">R106/$K$2</f>
        <v>77.971991068322</v>
      </c>
      <c r="T106" s="43" t="n">
        <f aca="false">S106-$M$2</f>
        <v>-90.4956794365496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7947.5</v>
      </c>
      <c r="F107" s="15" t="n">
        <f aca="false">E107*(1+IF(F$3&lt;=$O$2,$D107,$D107-($D107-$I$103)*MIN(F$3-$O$2,$Q$2)/$Q$2))</f>
        <v>8444.21875</v>
      </c>
      <c r="G107" s="15" t="n">
        <f aca="false">F107*(1+IF(G$3&lt;=$O$2,$D107,$D107-($D107-$I$103)*MIN(G$3-$O$2,$Q$2)/$Q$2))</f>
        <v>8971.982421875</v>
      </c>
      <c r="H107" s="15" t="n">
        <f aca="false">G107*(1+IF(H$3&lt;=$O$2,$D107,$D107-($D107-$I$103)*MIN(H$3-$O$2,$Q$2)/$Q$2))</f>
        <v>9532.73132324219</v>
      </c>
      <c r="I107" s="15" t="n">
        <f aca="false">H107*(1+IF(I$3&lt;=$O$2,$D107,$D107-($D107-$I$103)*MIN(I$3-$O$2,$Q$2)/$Q$2))</f>
        <v>10128.5270309448</v>
      </c>
      <c r="J107" s="15" t="n">
        <f aca="false">I107*(1+IF(J$3&lt;=$O$2,$D107,$D107-($D107-$I$103)*MIN(J$3-$O$2,$Q$2)/$Q$2))</f>
        <v>10692.2808454872</v>
      </c>
      <c r="K107" s="15" t="n">
        <f aca="false">J107*(1+IF(K$3&lt;=$O$2,$D107,$D107-($D107-$I$103)*MIN(K$3-$O$2,$Q$2)/$Q$2))</f>
        <v>11214.2779963639</v>
      </c>
      <c r="L107" s="15" t="n">
        <f aca="false">K107*(1+IF(L$3&lt;=$O$2,$D107,$D107-($D107-$I$103)*MIN(L$3-$O$2,$Q$2)/$Q$2))</f>
        <v>11685.0533866513</v>
      </c>
      <c r="M107" s="15" t="n">
        <f aca="false">L107*(1+IF(M$3&lt;=$O$2,$D107,$D107-($D107-$I$103)*MIN(M$3-$O$2,$Q$2)/$Q$2))</f>
        <v>12095.6661626582</v>
      </c>
      <c r="N107" s="15" t="n">
        <f aca="false">M107*(1+IF(N$3&lt;=$O$2,$D107,$D107-($D107-$I$103)*MIN(N$3-$O$2,$Q$2)/$Q$2))</f>
        <v>12437.9735150614</v>
      </c>
      <c r="O107" s="15" t="n">
        <f aca="false">SUMPRODUCT(E107:N107,1/(1+$F$103)^$E$3:$N$3)*$E$2</f>
        <v>11984.7509565871</v>
      </c>
      <c r="P107" s="15" t="n">
        <f aca="false">N107*$E$2*(1+$I$103)/($F$103-$I$103)/(1+$F$103)^$N$3</f>
        <v>25707.0592431806</v>
      </c>
      <c r="Q107" s="15" t="n">
        <f aca="false">O107+P107</f>
        <v>37691.8101997677</v>
      </c>
      <c r="R107" s="15" t="n">
        <f aca="false">Q107-$G$2+$I$2</f>
        <v>34575.6101997677</v>
      </c>
      <c r="S107" s="42" t="n">
        <f aca="false">R107/$K$2</f>
        <v>306.249868908483</v>
      </c>
      <c r="T107" s="43" t="n">
        <f aca="false">S107-$M$2</f>
        <v>137.782198403611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7246.25</v>
      </c>
      <c r="F108" s="15" t="n">
        <f aca="false">E108*(1+IF(F$3&lt;=$O$2,$D108,$D108-($D108-$I$103)*MIN(F$3-$O$2,$Q$2)/$Q$2))</f>
        <v>7019.8046875</v>
      </c>
      <c r="G108" s="15" t="n">
        <f aca="false">F108*(1+IF(G$3&lt;=$O$2,$D108,$D108-($D108-$I$103)*MIN(G$3-$O$2,$Q$2)/$Q$2))</f>
        <v>6800.43579101563</v>
      </c>
      <c r="H108" s="15" t="n">
        <f aca="false">G108*(1+IF(H$3&lt;=$O$2,$D108,$D108-($D108-$I$103)*MIN(H$3-$O$2,$Q$2)/$Q$2))</f>
        <v>6587.92217254639</v>
      </c>
      <c r="I108" s="15" t="n">
        <f aca="false">H108*(1+IF(I$3&lt;=$O$2,$D108,$D108-($D108-$I$103)*MIN(I$3-$O$2,$Q$2)/$Q$2))</f>
        <v>6382.04960465431</v>
      </c>
      <c r="J108" s="15" t="n">
        <f aca="false">I108*(1+IF(J$3&lt;=$O$2,$D108,$D108-($D108-$I$103)*MIN(J$3-$O$2,$Q$2)/$Q$2))</f>
        <v>6258.6207653003</v>
      </c>
      <c r="K108" s="15" t="n">
        <f aca="false">J108*(1+IF(K$3&lt;=$O$2,$D108,$D108-($D108-$I$103)*MIN(K$3-$O$2,$Q$2)/$Q$2))</f>
        <v>6212.11921301412</v>
      </c>
      <c r="L108" s="15" t="n">
        <f aca="false">K108*(1+IF(L$3&lt;=$O$2,$D108,$D108-($D108-$I$103)*MIN(L$3-$O$2,$Q$2)/$Q$2))</f>
        <v>6239.94950708842</v>
      </c>
      <c r="M108" s="15" t="n">
        <f aca="false">L108*(1+IF(M$3&lt;=$O$2,$D108,$D108-($D108-$I$103)*MIN(M$3-$O$2,$Q$2)/$Q$2))</f>
        <v>6342.2222795096</v>
      </c>
      <c r="N108" s="15" t="n">
        <f aca="false">M108*(1+IF(N$3&lt;=$O$2,$D108,$D108-($D108-$I$103)*MIN(N$3-$O$2,$Q$2)/$Q$2))</f>
        <v>6521.70717001972</v>
      </c>
      <c r="O108" s="15" t="n">
        <f aca="false">SUMPRODUCT(E108:N108,1/(1+$F$103)^$E$3:$N$3)*$E$2</f>
        <v>7911.32822183662</v>
      </c>
      <c r="P108" s="15" t="n">
        <f aca="false">N108*$E$2*(1+$I$103)/($F$103-$I$103)/(1+$F$103)^$N$3</f>
        <v>13479.1983905864</v>
      </c>
      <c r="Q108" s="15" t="n">
        <f aca="false">O108+P108</f>
        <v>21390.5266124231</v>
      </c>
      <c r="R108" s="15" t="n">
        <f aca="false">Q108-$G$2+$I$2</f>
        <v>18274.3266124231</v>
      </c>
      <c r="S108" s="42" t="n">
        <f aca="false">R108/$K$2</f>
        <v>161.862946079921</v>
      </c>
      <c r="T108" s="43" t="n">
        <f aca="false">S108-$M$2</f>
        <v>-6.60472442495077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41" t="n">
        <f aca="false">(B109+C109)/2</f>
        <v>0.015625</v>
      </c>
      <c r="E109" s="15" t="n">
        <f aca="false">$C$2*(1+IF(E$3&lt;=$O$2,$D109,$D109-($D109-$I$103)*MIN(E$3-$O$2,$Q$2)/$Q$2))</f>
        <v>7596.875</v>
      </c>
      <c r="F109" s="15" t="n">
        <f aca="false">E109*(1+IF(F$3&lt;=$O$2,$D109,$D109-($D109-$I$103)*MIN(F$3-$O$2,$Q$2)/$Q$2))</f>
        <v>7715.576171875</v>
      </c>
      <c r="G109" s="15" t="n">
        <f aca="false">F109*(1+IF(G$3&lt;=$O$2,$D109,$D109-($D109-$I$103)*MIN(G$3-$O$2,$Q$2)/$Q$2))</f>
        <v>7836.13204956055</v>
      </c>
      <c r="H109" s="15" t="n">
        <f aca="false">G109*(1+IF(H$3&lt;=$O$2,$D109,$D109-($D109-$I$103)*MIN(H$3-$O$2,$Q$2)/$Q$2))</f>
        <v>7958.57161283493</v>
      </c>
      <c r="I109" s="15" t="n">
        <f aca="false">H109*(1+IF(I$3&lt;=$O$2,$D109,$D109-($D109-$I$103)*MIN(I$3-$O$2,$Q$2)/$Q$2))</f>
        <v>8082.92429428548</v>
      </c>
      <c r="J109" s="15" t="n">
        <f aca="false">I109*(1+IF(J$3&lt;=$O$2,$D109,$D109-($D109-$I$103)*MIN(J$3-$O$2,$Q$2)/$Q$2))</f>
        <v>8229.7101994697</v>
      </c>
      <c r="K109" s="15" t="n">
        <f aca="false">J109*(1+IF(K$3&lt;=$O$2,$D109,$D109-($D109-$I$103)*MIN(K$3-$O$2,$Q$2)/$Q$2))</f>
        <v>8400.02405204773</v>
      </c>
      <c r="L109" s="15" t="n">
        <f aca="false">K109*(1+IF(L$3&lt;=$O$2,$D109,$D109-($D109-$I$103)*MIN(L$3-$O$2,$Q$2)/$Q$2))</f>
        <v>8595.15661077679</v>
      </c>
      <c r="M109" s="15" t="n">
        <f aca="false">L109*(1+IF(M$3&lt;=$O$2,$D109,$D109-($D109-$I$103)*MIN(M$3-$O$2,$Q$2)/$Q$2))</f>
        <v>8816.61082085346</v>
      </c>
      <c r="N109" s="15" t="n">
        <f aca="false">M109*(1+IF(N$3&lt;=$O$2,$D109,$D109-($D109-$I$103)*MIN(N$3-$O$2,$Q$2)/$Q$2))</f>
        <v>9066.12090708361</v>
      </c>
      <c r="O109" s="15" t="n">
        <f aca="false">SUMPRODUCT(E109:N109,1/(1+$F$103)^$E$3:$N$3)*$E$2</f>
        <v>9734.50630563784</v>
      </c>
      <c r="P109" s="15" t="n">
        <f aca="false">N109*$E$2*(1+$I$103)/($F$103-$I$103)/(1+$F$103)^$N$3</f>
        <v>18738.0449863489</v>
      </c>
      <c r="Q109" s="15" t="n">
        <f aca="false">O109+P109</f>
        <v>28472.5512919867</v>
      </c>
      <c r="R109" s="15" t="n">
        <f aca="false">Q109-$G$2+$I$2</f>
        <v>25356.3512919867</v>
      </c>
      <c r="S109" s="42" t="n">
        <f aca="false">R109/$K$2</f>
        <v>224.591242621672</v>
      </c>
      <c r="T109" s="43" t="n">
        <f aca="false">S109-$M$2</f>
        <v>56.1235721167999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-0.03125</v>
      </c>
      <c r="C110" s="25" t="n">
        <f aca="false">IF(T109&gt;0,D109,C109)</f>
        <v>0.015625</v>
      </c>
      <c r="D110" s="41" t="n">
        <f aca="false">(B110+C110)/2</f>
        <v>-0.0078125</v>
      </c>
      <c r="E110" s="15" t="n">
        <f aca="false">$C$2*(1+IF(E$3&lt;=$O$2,$D110,$D110-($D110-$I$103)*MIN(E$3-$O$2,$Q$2)/$Q$2))</f>
        <v>7421.5625</v>
      </c>
      <c r="F110" s="15" t="n">
        <f aca="false">E110*(1+IF(F$3&lt;=$O$2,$D110,$D110-($D110-$I$103)*MIN(F$3-$O$2,$Q$2)/$Q$2))</f>
        <v>7363.58154296875</v>
      </c>
      <c r="G110" s="15" t="n">
        <f aca="false">F110*(1+IF(G$3&lt;=$O$2,$D110,$D110-($D110-$I$103)*MIN(G$3-$O$2,$Q$2)/$Q$2))</f>
        <v>7306.05356216431</v>
      </c>
      <c r="H110" s="15" t="n">
        <f aca="false">G110*(1+IF(H$3&lt;=$O$2,$D110,$D110-($D110-$I$103)*MIN(H$3-$O$2,$Q$2)/$Q$2))</f>
        <v>7248.9750187099</v>
      </c>
      <c r="I110" s="15" t="n">
        <f aca="false">H110*(1+IF(I$3&lt;=$O$2,$D110,$D110-($D110-$I$103)*MIN(I$3-$O$2,$Q$2)/$Q$2))</f>
        <v>7192.34240137623</v>
      </c>
      <c r="J110" s="15" t="n">
        <f aca="false">I110*(1+IF(J$3&lt;=$O$2,$D110,$D110-($D110-$I$103)*MIN(J$3-$O$2,$Q$2)/$Q$2))</f>
        <v>7188.09891935942</v>
      </c>
      <c r="K110" s="15" t="n">
        <f aca="false">J110*(1+IF(K$3&lt;=$O$2,$D110,$D110-($D110-$I$103)*MIN(K$3-$O$2,$Q$2)/$Q$2))</f>
        <v>7235.77398544207</v>
      </c>
      <c r="L110" s="15" t="n">
        <f aca="false">K110*(1+IF(L$3&lt;=$O$2,$D110,$D110-($D110-$I$103)*MIN(L$3-$O$2,$Q$2)/$Q$2))</f>
        <v>7336.02563401037</v>
      </c>
      <c r="M110" s="15" t="n">
        <f aca="false">L110*(1+IF(M$3&lt;=$O$2,$D110,$D110-($D110-$I$103)*MIN(M$3-$O$2,$Q$2)/$Q$2))</f>
        <v>7490.65071431122</v>
      </c>
      <c r="N110" s="15" t="n">
        <f aca="false">M110*(1+IF(N$3&lt;=$O$2,$D110,$D110-($D110-$I$103)*MIN(N$3-$O$2,$Q$2)/$Q$2))</f>
        <v>7702.63612952623</v>
      </c>
      <c r="O110" s="15" t="n">
        <f aca="false">SUMPRODUCT(E110:N110,1/(1+$F$103)^$E$3:$N$3)*$E$2</f>
        <v>8774.69136136903</v>
      </c>
      <c r="P110" s="15" t="n">
        <f aca="false">N110*$E$2*(1+$I$103)/($F$103-$I$103)/(1+$F$103)^$N$3</f>
        <v>15919.9666304657</v>
      </c>
      <c r="Q110" s="15" t="n">
        <f aca="false">O110+P110</f>
        <v>24694.6579918347</v>
      </c>
      <c r="R110" s="15" t="n">
        <f aca="false">Q110-$G$2+$I$2</f>
        <v>21578.4579918347</v>
      </c>
      <c r="S110" s="42" t="n">
        <f aca="false">R110/$K$2</f>
        <v>191.128945897562</v>
      </c>
      <c r="T110" s="43" t="n">
        <f aca="false">S110-$M$2</f>
        <v>22.6612753926904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-0.03125</v>
      </c>
      <c r="C111" s="25" t="n">
        <f aca="false">IF(T110&gt;0,D110,C110)</f>
        <v>-0.0078125</v>
      </c>
      <c r="D111" s="41" t="n">
        <f aca="false">(B111+C111)/2</f>
        <v>-0.01953125</v>
      </c>
      <c r="E111" s="15" t="n">
        <f aca="false">$C$2*(1+IF(E$3&lt;=$O$2,$D111,$D111-($D111-$I$103)*MIN(E$3-$O$2,$Q$2)/$Q$2))</f>
        <v>7333.90625</v>
      </c>
      <c r="F111" s="15" t="n">
        <f aca="false">E111*(1+IF(F$3&lt;=$O$2,$D111,$D111-($D111-$I$103)*MIN(F$3-$O$2,$Q$2)/$Q$2))</f>
        <v>7190.66589355469</v>
      </c>
      <c r="G111" s="15" t="n">
        <f aca="false">F111*(1+IF(G$3&lt;=$O$2,$D111,$D111-($D111-$I$103)*MIN(G$3-$O$2,$Q$2)/$Q$2))</f>
        <v>7050.2232003212</v>
      </c>
      <c r="H111" s="15" t="n">
        <f aca="false">G111*(1+IF(H$3&lt;=$O$2,$D111,$D111-($D111-$I$103)*MIN(H$3-$O$2,$Q$2)/$Q$2))</f>
        <v>6912.52352843992</v>
      </c>
      <c r="I111" s="15" t="n">
        <f aca="false">H111*(1+IF(I$3&lt;=$O$2,$D111,$D111-($D111-$I$103)*MIN(I$3-$O$2,$Q$2)/$Q$2))</f>
        <v>6777.51330327508</v>
      </c>
      <c r="J111" s="15" t="n">
        <f aca="false">I111*(1+IF(J$3&lt;=$O$2,$D111,$D111-($D111-$I$103)*MIN(J$3-$O$2,$Q$2)/$Q$2))</f>
        <v>6709.97538320795</v>
      </c>
      <c r="K111" s="15" t="n">
        <f aca="false">J111*(1+IF(K$3&lt;=$O$2,$D111,$D111-($D111-$I$103)*MIN(K$3-$O$2,$Q$2)/$Q$2))</f>
        <v>6707.29978052389</v>
      </c>
      <c r="L111" s="15" t="n">
        <f aca="false">K111*(1+IF(L$3&lt;=$O$2,$D111,$D111-($D111-$I$103)*MIN(L$3-$O$2,$Q$2)/$Q$2))</f>
        <v>6768.78895126185</v>
      </c>
      <c r="M111" s="15" t="n">
        <f aca="false">L111*(1+IF(M$3&lt;=$O$2,$D111,$D111-($D111-$I$103)*MIN(M$3-$O$2,$Q$2)/$Q$2))</f>
        <v>6895.59375127755</v>
      </c>
      <c r="N111" s="15" t="n">
        <f aca="false">M111*(1+IF(N$3&lt;=$O$2,$D111,$D111-($D111-$I$103)*MIN(N$3-$O$2,$Q$2)/$Q$2))</f>
        <v>7090.7390544387</v>
      </c>
      <c r="O111" s="15" t="n">
        <f aca="false">SUMPRODUCT(E111:N111,1/(1+$F$103)^$E$3:$N$3)*$E$2</f>
        <v>8331.55016687082</v>
      </c>
      <c r="P111" s="15" t="n">
        <f aca="false">N111*$E$2*(1+$I$103)/($F$103-$I$103)/(1+$F$103)^$N$3</f>
        <v>14655.2851820806</v>
      </c>
      <c r="Q111" s="15" t="n">
        <f aca="false">O111+P111</f>
        <v>22986.8353489514</v>
      </c>
      <c r="R111" s="15" t="n">
        <f aca="false">Q111-$G$2+$I$2</f>
        <v>19870.6353489514</v>
      </c>
      <c r="S111" s="42" t="n">
        <f aca="false">R111/$K$2</f>
        <v>176.002084578843</v>
      </c>
      <c r="T111" s="43" t="n">
        <f aca="false">S111-$M$2</f>
        <v>7.53441407397153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-0.03125</v>
      </c>
      <c r="C112" s="25" t="n">
        <f aca="false">IF(T111&gt;0,D111,C111)</f>
        <v>-0.01953125</v>
      </c>
      <c r="D112" s="41" t="n">
        <f aca="false">(B112+C112)/2</f>
        <v>-0.025390625</v>
      </c>
      <c r="E112" s="15" t="n">
        <f aca="false">$C$2*(1+IF(E$3&lt;=$O$2,$D112,$D112-($D112-$I$103)*MIN(E$3-$O$2,$Q$2)/$Q$2))</f>
        <v>7290.078125</v>
      </c>
      <c r="F112" s="15" t="n">
        <f aca="false">E112*(1+IF(F$3&lt;=$O$2,$D112,$D112-($D112-$I$103)*MIN(F$3-$O$2,$Q$2)/$Q$2))</f>
        <v>7104.97848510742</v>
      </c>
      <c r="G112" s="15" t="n">
        <f aca="false">F112*(1+IF(G$3&lt;=$O$2,$D112,$D112-($D112-$I$103)*MIN(G$3-$O$2,$Q$2)/$Q$2))</f>
        <v>6924.57864075899</v>
      </c>
      <c r="H112" s="15" t="n">
        <f aca="false">G112*(1+IF(H$3&lt;=$O$2,$D112,$D112-($D112-$I$103)*MIN(H$3-$O$2,$Q$2)/$Q$2))</f>
        <v>6748.75926120847</v>
      </c>
      <c r="I112" s="15" t="n">
        <f aca="false">H112*(1+IF(I$3&lt;=$O$2,$D112,$D112-($D112-$I$103)*MIN(I$3-$O$2,$Q$2)/$Q$2))</f>
        <v>6577.40404559185</v>
      </c>
      <c r="J112" s="15" t="n">
        <f aca="false">I112*(1+IF(J$3&lt;=$O$2,$D112,$D112-($D112-$I$103)*MIN(J$3-$O$2,$Q$2)/$Q$2))</f>
        <v>6481.02863281381</v>
      </c>
      <c r="K112" s="15" t="n">
        <f aca="false">J112*(1+IF(K$3&lt;=$O$2,$D112,$D112-($D112-$I$103)*MIN(K$3-$O$2,$Q$2)/$Q$2))</f>
        <v>6455.65945635924</v>
      </c>
      <c r="L112" s="15" t="n">
        <f aca="false">K112*(1+IF(L$3&lt;=$O$2,$D112,$D112-($D112-$I$103)*MIN(L$3-$O$2,$Q$2)/$Q$2))</f>
        <v>6499.71126257457</v>
      </c>
      <c r="M112" s="15" t="n">
        <f aca="false">L112*(1+IF(M$3&lt;=$O$2,$D112,$D112-($D112-$I$103)*MIN(M$3-$O$2,$Q$2)/$Q$2))</f>
        <v>6613.858379304</v>
      </c>
      <c r="N112" s="15" t="n">
        <f aca="false">M112*(1+IF(N$3&lt;=$O$2,$D112,$D112-($D112-$I$103)*MIN(N$3-$O$2,$Q$2)/$Q$2))</f>
        <v>6801.0305714383</v>
      </c>
      <c r="O112" s="15" t="n">
        <f aca="false">SUMPRODUCT(E112:N112,1/(1+$F$103)^$E$3:$N$3)*$E$2</f>
        <v>8118.64606382964</v>
      </c>
      <c r="P112" s="15" t="n">
        <f aca="false">N112*$E$2*(1+$I$103)/($F$103-$I$103)/(1+$F$103)^$N$3</f>
        <v>14056.5097363277</v>
      </c>
      <c r="Q112" s="15" t="n">
        <f aca="false">O112+P112</f>
        <v>22175.1558001573</v>
      </c>
      <c r="R112" s="15" t="n">
        <f aca="false">Q112-$G$2+$I$2</f>
        <v>19058.9558001573</v>
      </c>
      <c r="S112" s="42" t="n">
        <f aca="false">R112/$K$2</f>
        <v>168.812717450464</v>
      </c>
      <c r="T112" s="43" t="n">
        <f aca="false">S112-$M$2</f>
        <v>0.345046945592003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-0.03125</v>
      </c>
      <c r="C113" s="25" t="n">
        <f aca="false">IF(T112&gt;0,D112,C112)</f>
        <v>-0.025390625</v>
      </c>
      <c r="D113" s="41" t="n">
        <f aca="false">(B113+C113)/2</f>
        <v>-0.0283203125</v>
      </c>
      <c r="E113" s="15" t="n">
        <f aca="false">$C$2*(1+IF(E$3&lt;=$O$2,$D113,$D113-($D113-$I$103)*MIN(E$3-$O$2,$Q$2)/$Q$2))</f>
        <v>7268.1640625</v>
      </c>
      <c r="F113" s="15" t="n">
        <f aca="false">E113*(1+IF(F$3&lt;=$O$2,$D113,$D113-($D113-$I$103)*MIN(F$3-$O$2,$Q$2)/$Q$2))</f>
        <v>7062.32738494873</v>
      </c>
      <c r="G113" s="15" t="n">
        <f aca="false">F113*(1+IF(G$3&lt;=$O$2,$D113,$D113-($D113-$I$103)*MIN(G$3-$O$2,$Q$2)/$Q$2))</f>
        <v>6862.32006642968</v>
      </c>
      <c r="H113" s="15" t="n">
        <f aca="false">G113*(1+IF(H$3&lt;=$O$2,$D113,$D113-($D113-$I$103)*MIN(H$3-$O$2,$Q$2)/$Q$2))</f>
        <v>6667.97701767337</v>
      </c>
      <c r="I113" s="15" t="n">
        <f aca="false">H113*(1+IF(I$3&lt;=$O$2,$D113,$D113-($D113-$I$103)*MIN(I$3-$O$2,$Q$2)/$Q$2))</f>
        <v>6479.13782479004</v>
      </c>
      <c r="J113" s="15" t="n">
        <f aca="false">I113*(1+IF(J$3&lt;=$O$2,$D113,$D113-($D113-$I$103)*MIN(J$3-$O$2,$Q$2)/$Q$2))</f>
        <v>6369.01677853545</v>
      </c>
      <c r="K113" s="15" t="n">
        <f aca="false">J113*(1+IF(K$3&lt;=$O$2,$D113,$D113-($D113-$I$103)*MIN(K$3-$O$2,$Q$2)/$Q$2))</f>
        <v>6332.89052117695</v>
      </c>
      <c r="L113" s="15" t="n">
        <f aca="false">K113*(1+IF(L$3&lt;=$O$2,$D113,$D113-($D113-$I$103)*MIN(L$3-$O$2,$Q$2)/$Q$2))</f>
        <v>6368.68322679133</v>
      </c>
      <c r="M113" s="15" t="n">
        <f aca="false">L113*(1+IF(M$3&lt;=$O$2,$D113,$D113-($D113-$I$103)*MIN(M$3-$O$2,$Q$2)/$Q$2))</f>
        <v>6476.79759520664</v>
      </c>
      <c r="N113" s="15" t="n">
        <f aca="false">M113*(1+IF(N$3&lt;=$O$2,$D113,$D113-($D113-$I$103)*MIN(N$3-$O$2,$Q$2)/$Q$2))</f>
        <v>6660.09096715098</v>
      </c>
      <c r="O113" s="15" t="n">
        <f aca="false">SUMPRODUCT(E113:N113,1/(1+$F$103)^$E$3:$N$3)*$E$2</f>
        <v>8014.29766001505</v>
      </c>
      <c r="P113" s="15" t="n">
        <f aca="false">N113*$E$2*(1+$I$103)/($F$103-$I$103)/(1+$F$103)^$N$3</f>
        <v>13765.212866083</v>
      </c>
      <c r="Q113" s="15" t="n">
        <f aca="false">O113+P113</f>
        <v>21779.510526098</v>
      </c>
      <c r="R113" s="15" t="n">
        <f aca="false">Q113-$G$2+$I$2</f>
        <v>18663.310526098</v>
      </c>
      <c r="S113" s="42" t="n">
        <f aca="false">R113/$K$2</f>
        <v>165.308330612028</v>
      </c>
      <c r="T113" s="43" t="n">
        <f aca="false">S113-$M$2</f>
        <v>-3.15933989284329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-0.0283203125</v>
      </c>
      <c r="C114" s="25" t="n">
        <f aca="false">IF(T113&gt;0,D113,C113)</f>
        <v>-0.025390625</v>
      </c>
      <c r="D114" s="41" t="n">
        <f aca="false">(B114+C114)/2</f>
        <v>-0.02685546875</v>
      </c>
      <c r="E114" s="15" t="n">
        <f aca="false">$C$2*(1+IF(E$3&lt;=$O$2,$D114,$D114-($D114-$I$103)*MIN(E$3-$O$2,$Q$2)/$Q$2))</f>
        <v>7279.12109375</v>
      </c>
      <c r="F114" s="15" t="n">
        <f aca="false">E114*(1+IF(F$3&lt;=$O$2,$D114,$D114-($D114-$I$103)*MIN(F$3-$O$2,$Q$2)/$Q$2))</f>
        <v>7083.63688468933</v>
      </c>
      <c r="G114" s="15" t="n">
        <f aca="false">F114*(1+IF(G$3&lt;=$O$2,$D114,$D114-($D114-$I$103)*MIN(G$3-$O$2,$Q$2)/$Q$2))</f>
        <v>6893.40249569621</v>
      </c>
      <c r="H114" s="15" t="n">
        <f aca="false">G114*(1+IF(H$3&lt;=$O$2,$D114,$D114-($D114-$I$103)*MIN(H$3-$O$2,$Q$2)/$Q$2))</f>
        <v>6708.27694039187</v>
      </c>
      <c r="I114" s="15" t="n">
        <f aca="false">H114*(1+IF(I$3&lt;=$O$2,$D114,$D114-($D114-$I$103)*MIN(I$3-$O$2,$Q$2)/$Q$2))</f>
        <v>6528.12301865283</v>
      </c>
      <c r="J114" s="15" t="n">
        <f aca="false">I114*(1+IF(J$3&lt;=$O$2,$D114,$D114-($D114-$I$103)*MIN(J$3-$O$2,$Q$2)/$Q$2))</f>
        <v>6424.81955195954</v>
      </c>
      <c r="K114" s="15" t="n">
        <f aca="false">J114*(1+IF(K$3&lt;=$O$2,$D114,$D114-($D114-$I$103)*MIN(K$3-$O$2,$Q$2)/$Q$2))</f>
        <v>6394.02358486649</v>
      </c>
      <c r="L114" s="15" t="n">
        <f aca="false">K114*(1+IF(L$3&lt;=$O$2,$D114,$D114-($D114-$I$103)*MIN(L$3-$O$2,$Q$2)/$Q$2))</f>
        <v>6433.90830510947</v>
      </c>
      <c r="M114" s="15" t="n">
        <f aca="false">L114*(1+IF(M$3&lt;=$O$2,$D114,$D114-($D114-$I$103)*MIN(M$3-$O$2,$Q$2)/$Q$2))</f>
        <v>6545.0148644515</v>
      </c>
      <c r="N114" s="15" t="n">
        <f aca="false">M114*(1+IF(N$3&lt;=$O$2,$D114,$D114-($D114-$I$103)*MIN(N$3-$O$2,$Q$2)/$Q$2))</f>
        <v>6730.23878511548</v>
      </c>
      <c r="O114" s="15" t="n">
        <f aca="false">SUMPRODUCT(E114:N114,1/(1+$F$103)^$E$3:$N$3)*$E$2</f>
        <v>8066.29839883544</v>
      </c>
      <c r="P114" s="15" t="n">
        <f aca="false">N114*$E$2*(1+$I$103)/($F$103-$I$103)/(1+$F$103)^$N$3</f>
        <v>13910.1958176875</v>
      </c>
      <c r="Q114" s="15" t="n">
        <f aca="false">O114+P114</f>
        <v>21976.494216523</v>
      </c>
      <c r="R114" s="15" t="n">
        <f aca="false">Q114-$G$2+$I$2</f>
        <v>18860.294216523</v>
      </c>
      <c r="S114" s="42" t="n">
        <f aca="false">R114/$K$2</f>
        <v>167.053093149008</v>
      </c>
      <c r="T114" s="43" t="n">
        <f aca="false">S114-$M$2</f>
        <v>-1.414577355864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-0.02685546875</v>
      </c>
      <c r="C115" s="25" t="n">
        <f aca="false">IF(T114&gt;0,D114,C114)</f>
        <v>-0.025390625</v>
      </c>
      <c r="D115" s="41" t="n">
        <f aca="false">(B115+C115)/2</f>
        <v>-0.026123046875</v>
      </c>
      <c r="E115" s="15" t="n">
        <f aca="false">$C$2*(1+IF(E$3&lt;=$O$2,$D115,$D115-($D115-$I$103)*MIN(E$3-$O$2,$Q$2)/$Q$2))</f>
        <v>7284.599609375</v>
      </c>
      <c r="F115" s="15" t="n">
        <f aca="false">E115*(1+IF(F$3&lt;=$O$2,$D115,$D115-($D115-$I$103)*MIN(F$3-$O$2,$Q$2)/$Q$2))</f>
        <v>7094.30367231369</v>
      </c>
      <c r="G115" s="15" t="n">
        <f aca="false">F115*(1+IF(G$3&lt;=$O$2,$D115,$D115-($D115-$I$103)*MIN(G$3-$O$2,$Q$2)/$Q$2))</f>
        <v>6908.97884493636</v>
      </c>
      <c r="H115" s="15" t="n">
        <f aca="false">G115*(1+IF(H$3&lt;=$O$2,$D115,$D115-($D115-$I$103)*MIN(H$3-$O$2,$Q$2)/$Q$2))</f>
        <v>6728.4952667117</v>
      </c>
      <c r="I115" s="15" t="n">
        <f aca="false">H115*(1+IF(I$3&lt;=$O$2,$D115,$D115-($D115-$I$103)*MIN(I$3-$O$2,$Q$2)/$Q$2))</f>
        <v>6552.72646946117</v>
      </c>
      <c r="J115" s="15" t="n">
        <f aca="false">I115*(1+IF(J$3&lt;=$O$2,$D115,$D115-($D115-$I$103)*MIN(J$3-$O$2,$Q$2)/$Q$2))</f>
        <v>6452.8731567017</v>
      </c>
      <c r="K115" s="15" t="n">
        <f aca="false">J115*(1+IF(K$3&lt;=$O$2,$D115,$D115-($D115-$I$103)*MIN(K$3-$O$2,$Q$2)/$Q$2))</f>
        <v>6424.77845606499</v>
      </c>
      <c r="L115" s="15" t="n">
        <f aca="false">K115*(1+IF(L$3&lt;=$O$2,$D115,$D115-($D115-$I$103)*MIN(L$3-$O$2,$Q$2)/$Q$2))</f>
        <v>6466.73727874126</v>
      </c>
      <c r="M115" s="15" t="n">
        <f aca="false">L115*(1+IF(M$3&lt;=$O$2,$D115,$D115-($D115-$I$103)*MIN(M$3-$O$2,$Q$2)/$Q$2))</f>
        <v>6579.35803451979</v>
      </c>
      <c r="N115" s="15" t="n">
        <f aca="false">M115*(1+IF(N$3&lt;=$O$2,$D115,$D115-($D115-$I$103)*MIN(N$3-$O$2,$Q$2)/$Q$2))</f>
        <v>6765.5538668967</v>
      </c>
      <c r="O115" s="15" t="n">
        <f aca="false">SUMPRODUCT(E115:N115,1/(1+$F$103)^$E$3:$N$3)*$E$2</f>
        <v>8092.42872835125</v>
      </c>
      <c r="P115" s="15" t="n">
        <f aca="false">N115*$E$2*(1+$I$103)/($F$103-$I$103)/(1+$F$103)^$N$3</f>
        <v>13983.1857543865</v>
      </c>
      <c r="Q115" s="15" t="n">
        <f aca="false">O115+P115</f>
        <v>22075.6144827377</v>
      </c>
      <c r="R115" s="15" t="n">
        <f aca="false">Q115-$G$2+$I$2</f>
        <v>18959.4144827377</v>
      </c>
      <c r="S115" s="42" t="n">
        <f aca="false">R115/$K$2</f>
        <v>167.931040591123</v>
      </c>
      <c r="T115" s="43" t="n">
        <f aca="false">S115-$M$2</f>
        <v>-0.536629913749096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-0.026123046875</v>
      </c>
      <c r="C116" s="25" t="n">
        <f aca="false">IF(T115&gt;0,D115,C115)</f>
        <v>-0.025390625</v>
      </c>
      <c r="D116" s="41" t="n">
        <f aca="false">(B116+C116)/2</f>
        <v>-0.0257568359375</v>
      </c>
      <c r="E116" s="15" t="n">
        <f aca="false">$C$2*(1+IF(E$3&lt;=$O$2,$D116,$D116-($D116-$I$103)*MIN(E$3-$O$2,$Q$2)/$Q$2))</f>
        <v>7287.3388671875</v>
      </c>
      <c r="F116" s="15" t="n">
        <f aca="false">E116*(1+IF(F$3&lt;=$O$2,$D116,$D116-($D116-$I$103)*MIN(F$3-$O$2,$Q$2)/$Q$2))</f>
        <v>7099.64007556438</v>
      </c>
      <c r="G116" s="15" t="n">
        <f aca="false">F116*(1+IF(G$3&lt;=$O$2,$D116,$D116-($D116-$I$103)*MIN(G$3-$O$2,$Q$2)/$Q$2))</f>
        <v>6916.77581092277</v>
      </c>
      <c r="H116" s="15" t="n">
        <f aca="false">G116*(1+IF(H$3&lt;=$O$2,$D116,$D116-($D116-$I$103)*MIN(H$3-$O$2,$Q$2)/$Q$2))</f>
        <v>6738.62155114437</v>
      </c>
      <c r="I116" s="15" t="n">
        <f aca="false">H116*(1+IF(I$3&lt;=$O$2,$D116,$D116-($D116-$I$103)*MIN(I$3-$O$2,$Q$2)/$Q$2))</f>
        <v>6565.05598140664</v>
      </c>
      <c r="J116" s="15" t="n">
        <f aca="false">I116*(1+IF(J$3&lt;=$O$2,$D116,$D116-($D116-$I$103)*MIN(J$3-$O$2,$Q$2)/$Q$2))</f>
        <v>6466.93814239453</v>
      </c>
      <c r="K116" s="15" t="n">
        <f aca="false">J116*(1+IF(K$3&lt;=$O$2,$D116,$D116-($D116-$I$103)*MIN(K$3-$O$2,$Q$2)/$Q$2))</f>
        <v>6440.20316331546</v>
      </c>
      <c r="L116" s="15" t="n">
        <f aca="false">K116*(1+IF(L$3&lt;=$O$2,$D116,$D116-($D116-$I$103)*MIN(L$3-$O$2,$Q$2)/$Q$2))</f>
        <v>6483.20611051588</v>
      </c>
      <c r="M116" s="15" t="n">
        <f aca="false">L116*(1+IF(M$3&lt;=$O$2,$D116,$D116-($D116-$I$103)*MIN(M$3-$O$2,$Q$2)/$Q$2))</f>
        <v>6596.58852163045</v>
      </c>
      <c r="N116" s="15" t="n">
        <f aca="false">M116*(1+IF(N$3&lt;=$O$2,$D116,$D116-($D116-$I$103)*MIN(N$3-$O$2,$Q$2)/$Q$2))</f>
        <v>6783.27197679259</v>
      </c>
      <c r="O116" s="15" t="n">
        <f aca="false">SUMPRODUCT(E116:N116,1/(1+$F$103)^$E$3:$N$3)*$E$2</f>
        <v>8105.52650315243</v>
      </c>
      <c r="P116" s="15" t="n">
        <f aca="false">N116*$E$2*(1+$I$103)/($F$103-$I$103)/(1+$F$103)^$N$3</f>
        <v>14019.8059080007</v>
      </c>
      <c r="Q116" s="15" t="n">
        <f aca="false">O116+P116</f>
        <v>22125.3324111531</v>
      </c>
      <c r="R116" s="15" t="n">
        <f aca="false">Q116-$G$2+$I$2</f>
        <v>19009.1324111531</v>
      </c>
      <c r="S116" s="42" t="n">
        <f aca="false">R116/$K$2</f>
        <v>168.371411967698</v>
      </c>
      <c r="T116" s="43" t="n">
        <f aca="false">S116-$M$2</f>
        <v>-0.0962585371736111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-0.0257568359375</v>
      </c>
      <c r="C117" s="25" t="n">
        <f aca="false">IF(T116&gt;0,D116,C116)</f>
        <v>-0.025390625</v>
      </c>
      <c r="D117" s="41" t="n">
        <f aca="false">(B117+C117)/2</f>
        <v>-0.02557373046875</v>
      </c>
      <c r="E117" s="15" t="n">
        <f aca="false">$C$2*(1+IF(E$3&lt;=$O$2,$D117,$D117-($D117-$I$103)*MIN(E$3-$O$2,$Q$2)/$Q$2))</f>
        <v>7288.70849609375</v>
      </c>
      <c r="F117" s="15" t="n">
        <f aca="false">E117*(1+IF(F$3&lt;=$O$2,$D117,$D117-($D117-$I$103)*MIN(F$3-$O$2,$Q$2)/$Q$2))</f>
        <v>7102.30902954936</v>
      </c>
      <c r="G117" s="15" t="n">
        <f aca="false">F117*(1+IF(G$3&lt;=$O$2,$D117,$D117-($D117-$I$103)*MIN(G$3-$O$2,$Q$2)/$Q$2))</f>
        <v>6920.6764927219</v>
      </c>
      <c r="H117" s="15" t="n">
        <f aca="false">G117*(1+IF(H$3&lt;=$O$2,$D117,$D117-($D117-$I$103)*MIN(H$3-$O$2,$Q$2)/$Q$2))</f>
        <v>6743.68897743561</v>
      </c>
      <c r="I117" s="15" t="n">
        <f aca="false">H117*(1+IF(I$3&lt;=$O$2,$D117,$D117-($D117-$I$103)*MIN(I$3-$O$2,$Q$2)/$Q$2))</f>
        <v>6571.22769316159</v>
      </c>
      <c r="J117" s="15" t="n">
        <f aca="false">I117*(1+IF(J$3&lt;=$O$2,$D117,$D117-($D117-$I$103)*MIN(J$3-$O$2,$Q$2)/$Q$2))</f>
        <v>6473.98019720593</v>
      </c>
      <c r="K117" s="15" t="n">
        <f aca="false">J117*(1+IF(K$3&lt;=$O$2,$D117,$D117-($D117-$I$103)*MIN(K$3-$O$2,$Q$2)/$Q$2))</f>
        <v>6447.92735826428</v>
      </c>
      <c r="L117" s="15" t="n">
        <f aca="false">K117*(1+IF(L$3&lt;=$O$2,$D117,$D117-($D117-$I$103)*MIN(L$3-$O$2,$Q$2)/$Q$2))</f>
        <v>6491.45414227067</v>
      </c>
      <c r="M117" s="15" t="n">
        <f aca="false">L117*(1+IF(M$3&lt;=$O$2,$D117,$D117-($D117-$I$103)*MIN(M$3-$O$2,$Q$2)/$Q$2))</f>
        <v>6605.21852433475</v>
      </c>
      <c r="N117" s="15" t="n">
        <f aca="false">M117*(1+IF(N$3&lt;=$O$2,$D117,$D117-($D117-$I$103)*MIN(N$3-$O$2,$Q$2)/$Q$2))</f>
        <v>6792.14620857342</v>
      </c>
      <c r="O117" s="15" t="n">
        <f aca="false">SUMPRODUCT(E117:N117,1/(1+$F$103)^$E$3:$N$3)*$E$2</f>
        <v>8112.08355810484</v>
      </c>
      <c r="P117" s="15" t="n">
        <f aca="false">N117*$E$2*(1+$I$103)/($F$103-$I$103)/(1+$F$103)^$N$3</f>
        <v>14038.1473525978</v>
      </c>
      <c r="Q117" s="15" t="n">
        <f aca="false">O117+P117</f>
        <v>22150.2309107027</v>
      </c>
      <c r="R117" s="15" t="n">
        <f aca="false">Q117-$G$2+$I$2</f>
        <v>19034.0309107027</v>
      </c>
      <c r="S117" s="42" t="n">
        <f aca="false">R117/$K$2</f>
        <v>168.591947836162</v>
      </c>
      <c r="T117" s="43" t="n">
        <f aca="false">S117-$M$2</f>
        <v>0.124277331290273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-0.0257568359375</v>
      </c>
      <c r="C118" s="25" t="n">
        <f aca="false">IF(T117&gt;0,D117,C117)</f>
        <v>-0.02557373046875</v>
      </c>
      <c r="D118" s="41" t="n">
        <f aca="false">(B118+C118)/2</f>
        <v>-0.025665283203125</v>
      </c>
      <c r="E118" s="15" t="n">
        <f aca="false">$C$2*(1+IF(E$3&lt;=$O$2,$D118,$D118-($D118-$I$103)*MIN(E$3-$O$2,$Q$2)/$Q$2))</f>
        <v>7288.02368164063</v>
      </c>
      <c r="F118" s="15" t="n">
        <f aca="false">E118*(1+IF(F$3&lt;=$O$2,$D118,$D118-($D118-$I$103)*MIN(F$3-$O$2,$Q$2)/$Q$2))</f>
        <v>7100.97448986024</v>
      </c>
      <c r="G118" s="15" t="n">
        <f aca="false">F118*(1+IF(G$3&lt;=$O$2,$D118,$D118-($D118-$I$103)*MIN(G$3-$O$2,$Q$2)/$Q$2))</f>
        <v>6918.72596855981</v>
      </c>
      <c r="H118" s="15" t="n">
        <f aca="false">G118*(1+IF(H$3&lt;=$O$2,$D118,$D118-($D118-$I$103)*MIN(H$3-$O$2,$Q$2)/$Q$2))</f>
        <v>6741.15490717191</v>
      </c>
      <c r="I118" s="15" t="n">
        <f aca="false">H118*(1+IF(I$3&lt;=$O$2,$D118,$D118-($D118-$I$103)*MIN(I$3-$O$2,$Q$2)/$Q$2))</f>
        <v>6568.1412573632</v>
      </c>
      <c r="J118" s="15" t="n">
        <f aca="false">I118*(1+IF(J$3&lt;=$O$2,$D118,$D118-($D118-$I$103)*MIN(J$3-$O$2,$Q$2)/$Q$2))</f>
        <v>6470.45837248919</v>
      </c>
      <c r="K118" s="15" t="n">
        <f aca="false">J118*(1+IF(K$3&lt;=$O$2,$D118,$D118-($D118-$I$103)*MIN(K$3-$O$2,$Q$2)/$Q$2))</f>
        <v>6444.06427331539</v>
      </c>
      <c r="L118" s="15" t="n">
        <f aca="false">K118*(1+IF(L$3&lt;=$O$2,$D118,$D118-($D118-$I$103)*MIN(L$3-$O$2,$Q$2)/$Q$2))</f>
        <v>6487.32899085477</v>
      </c>
      <c r="M118" s="15" t="n">
        <f aca="false">L118*(1+IF(M$3&lt;=$O$2,$D118,$D118-($D118-$I$103)*MIN(M$3-$O$2,$Q$2)/$Q$2))</f>
        <v>6600.9022920513</v>
      </c>
      <c r="N118" s="15" t="n">
        <f aca="false">M118*(1+IF(N$3&lt;=$O$2,$D118,$D118-($D118-$I$103)*MIN(N$3-$O$2,$Q$2)/$Q$2))</f>
        <v>6787.70782691635</v>
      </c>
      <c r="O118" s="15" t="n">
        <f aca="false">SUMPRODUCT(E118:N118,1/(1+$F$103)^$E$3:$N$3)*$E$2</f>
        <v>8108.80434955116</v>
      </c>
      <c r="P118" s="15" t="n">
        <f aca="false">N118*$E$2*(1+$I$103)/($F$103-$I$103)/(1+$F$103)^$N$3</f>
        <v>14028.9740141867</v>
      </c>
      <c r="Q118" s="15" t="n">
        <f aca="false">O118+P118</f>
        <v>22137.7783637379</v>
      </c>
      <c r="R118" s="15" t="n">
        <f aca="false">Q118-$G$2+$I$2</f>
        <v>19021.5783637379</v>
      </c>
      <c r="S118" s="42" t="n">
        <f aca="false">R118/$K$2</f>
        <v>168.481650697413</v>
      </c>
      <c r="T118" s="43" t="n">
        <f aca="false">S118-$M$2</f>
        <v>0.0139801925410836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-0.0257568359375</v>
      </c>
      <c r="C119" s="25" t="n">
        <f aca="false">IF(T118&gt;0,D118,C118)</f>
        <v>-0.025665283203125</v>
      </c>
      <c r="D119" s="41" t="n">
        <f aca="false">(B119+C119)/2</f>
        <v>-0.0257110595703125</v>
      </c>
      <c r="E119" s="15" t="n">
        <f aca="false">$C$2*(1+IF(E$3&lt;=$O$2,$D119,$D119-($D119-$I$103)*MIN(E$3-$O$2,$Q$2)/$Q$2))</f>
        <v>7287.68127441406</v>
      </c>
      <c r="F119" s="15" t="n">
        <f aca="false">E119*(1+IF(F$3&lt;=$O$2,$D119,$D119-($D119-$I$103)*MIN(F$3-$O$2,$Q$2)/$Q$2))</f>
        <v>7100.30726703815</v>
      </c>
      <c r="G119" s="15" t="n">
        <f aca="false">F119*(1+IF(G$3&lt;=$O$2,$D119,$D119-($D119-$I$103)*MIN(G$3-$O$2,$Q$2)/$Q$2))</f>
        <v>6917.75084392781</v>
      </c>
      <c r="H119" s="15" t="n">
        <f aca="false">G119*(1+IF(H$3&lt;=$O$2,$D119,$D119-($D119-$I$103)*MIN(H$3-$O$2,$Q$2)/$Q$2))</f>
        <v>6739.888139887</v>
      </c>
      <c r="I119" s="15" t="n">
        <f aca="false">H119*(1+IF(I$3&lt;=$O$2,$D119,$D119-($D119-$I$103)*MIN(I$3-$O$2,$Q$2)/$Q$2))</f>
        <v>6566.59847442513</v>
      </c>
      <c r="J119" s="15" t="n">
        <f aca="false">I119*(1+IF(J$3&lt;=$O$2,$D119,$D119-($D119-$I$103)*MIN(J$3-$O$2,$Q$2)/$Q$2))</f>
        <v>6468.69805815016</v>
      </c>
      <c r="K119" s="15" t="n">
        <f aca="false">J119*(1+IF(K$3&lt;=$O$2,$D119,$D119-($D119-$I$103)*MIN(K$3-$O$2,$Q$2)/$Q$2))</f>
        <v>6442.13347149914</v>
      </c>
      <c r="L119" s="15" t="n">
        <f aca="false">K119*(1+IF(L$3&lt;=$O$2,$D119,$D119-($D119-$I$103)*MIN(L$3-$O$2,$Q$2)/$Q$2))</f>
        <v>6485.26726686695</v>
      </c>
      <c r="M119" s="15" t="n">
        <f aca="false">L119*(1+IF(M$3&lt;=$O$2,$D119,$D119-($D119-$I$103)*MIN(M$3-$O$2,$Q$2)/$Q$2))</f>
        <v>6598.74509918325</v>
      </c>
      <c r="N119" s="15" t="n">
        <f aca="false">M119*(1+IF(N$3&lt;=$O$2,$D119,$D119-($D119-$I$103)*MIN(N$3-$O$2,$Q$2)/$Q$2))</f>
        <v>6785.48958549014</v>
      </c>
      <c r="O119" s="15" t="n">
        <f aca="false">SUMPRODUCT(E119:N119,1/(1+$F$103)^$E$3:$N$3)*$E$2</f>
        <v>8107.16525611605</v>
      </c>
      <c r="P119" s="15" t="n">
        <f aca="false">N119*$E$2*(1+$I$103)/($F$103-$I$103)/(1+$F$103)^$N$3</f>
        <v>14024.3893072254</v>
      </c>
      <c r="Q119" s="15" t="n">
        <f aca="false">O119+P119</f>
        <v>22131.5545633414</v>
      </c>
      <c r="R119" s="15" t="n">
        <f aca="false">Q119-$G$2+$I$2</f>
        <v>19015.3545633414</v>
      </c>
      <c r="S119" s="42" t="n">
        <f aca="false">R119/$K$2</f>
        <v>168.426524033139</v>
      </c>
      <c r="T119" s="43" t="n">
        <f aca="false">S119-$M$2</f>
        <v>-0.0411464717321621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-0.0257110595703125</v>
      </c>
      <c r="C120" s="25" t="n">
        <f aca="false">IF(T119&gt;0,D119,C119)</f>
        <v>-0.025665283203125</v>
      </c>
      <c r="D120" s="41" t="n">
        <f aca="false">(B120+C120)/2</f>
        <v>-0.0256881713867188</v>
      </c>
      <c r="E120" s="15" t="n">
        <f aca="false">$C$2*(1+IF(E$3&lt;=$O$2,$D120,$D120-($D120-$I$103)*MIN(E$3-$O$2,$Q$2)/$Q$2))</f>
        <v>7287.85247802734</v>
      </c>
      <c r="F120" s="15" t="n">
        <f aca="false">E120*(1+IF(F$3&lt;=$O$2,$D120,$D120-($D120-$I$103)*MIN(F$3-$O$2,$Q$2)/$Q$2))</f>
        <v>7100.64087453065</v>
      </c>
      <c r="G120" s="15" t="n">
        <f aca="false">F120*(1+IF(G$3&lt;=$O$2,$D120,$D120-($D120-$I$103)*MIN(G$3-$O$2,$Q$2)/$Q$2))</f>
        <v>6918.23839479017</v>
      </c>
      <c r="H120" s="15" t="n">
        <f aca="false">G120*(1+IF(H$3&lt;=$O$2,$D120,$D120-($D120-$I$103)*MIN(H$3-$O$2,$Q$2)/$Q$2))</f>
        <v>6740.52150121062</v>
      </c>
      <c r="I120" s="15" t="n">
        <f aca="false">H120*(1+IF(I$3&lt;=$O$2,$D120,$D120-($D120-$I$103)*MIN(I$3-$O$2,$Q$2)/$Q$2))</f>
        <v>6567.36982965166</v>
      </c>
      <c r="J120" s="15" t="n">
        <f aca="false">I120*(1+IF(J$3&lt;=$O$2,$D120,$D120-($D120-$I$103)*MIN(J$3-$O$2,$Q$2)/$Q$2))</f>
        <v>6469.57816549224</v>
      </c>
      <c r="K120" s="15" t="n">
        <f aca="false">J120*(1+IF(K$3&lt;=$O$2,$D120,$D120-($D120-$I$103)*MIN(K$3-$O$2,$Q$2)/$Q$2))</f>
        <v>6443.09881069665</v>
      </c>
      <c r="L120" s="15" t="n">
        <f aca="false">K120*(1+IF(L$3&lt;=$O$2,$D120,$D120-($D120-$I$103)*MIN(L$3-$O$2,$Q$2)/$Q$2))</f>
        <v>6486.29805789799</v>
      </c>
      <c r="M120" s="15" t="n">
        <f aca="false">L120*(1+IF(M$3&lt;=$O$2,$D120,$D120-($D120-$I$103)*MIN(M$3-$O$2,$Q$2)/$Q$2))</f>
        <v>6599.82361869347</v>
      </c>
      <c r="N120" s="15" t="n">
        <f aca="false">M120*(1+IF(N$3&lt;=$O$2,$D120,$D120-($D120-$I$103)*MIN(N$3-$O$2,$Q$2)/$Q$2))</f>
        <v>6786.5986271025</v>
      </c>
      <c r="O120" s="15" t="n">
        <f aca="false">SUMPRODUCT(E120:N120,1/(1+$F$103)^$E$3:$N$3)*$E$2</f>
        <v>8107.98476027047</v>
      </c>
      <c r="P120" s="15" t="n">
        <f aca="false">N120*$E$2*(1+$I$103)/($F$103-$I$103)/(1+$F$103)^$N$3</f>
        <v>14026.681497219</v>
      </c>
      <c r="Q120" s="15" t="n">
        <f aca="false">O120+P120</f>
        <v>22134.6662574895</v>
      </c>
      <c r="R120" s="15" t="n">
        <f aca="false">Q120-$G$2+$I$2</f>
        <v>19018.4662574895</v>
      </c>
      <c r="S120" s="42" t="n">
        <f aca="false">R120/$K$2</f>
        <v>168.454085540208</v>
      </c>
      <c r="T120" s="43" t="n">
        <f aca="false">S120-$M$2</f>
        <v>-0.0135849646636359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-0.0256881713867188</v>
      </c>
      <c r="C121" s="25" t="n">
        <f aca="false">IF(T120&gt;0,D120,C120)</f>
        <v>-0.025665283203125</v>
      </c>
      <c r="D121" s="41" t="n">
        <f aca="false">(B121+C121)/2</f>
        <v>-0.0256767272949219</v>
      </c>
      <c r="E121" s="15" t="n">
        <f aca="false">$C$2*(1+IF(E$3&lt;=$O$2,$D121,$D121-($D121-$I$103)*MIN(E$3-$O$2,$Q$2)/$Q$2))</f>
        <v>7287.93807983398</v>
      </c>
      <c r="F121" s="15" t="n">
        <f aca="false">E121*(1+IF(F$3&lt;=$O$2,$D121,$D121-($D121-$I$103)*MIN(F$3-$O$2,$Q$2)/$Q$2))</f>
        <v>7100.80768121581</v>
      </c>
      <c r="G121" s="15" t="n">
        <f aca="false">F121*(1+IF(G$3&lt;=$O$2,$D121,$D121-($D121-$I$103)*MIN(G$3-$O$2,$Q$2)/$Q$2))</f>
        <v>6918.48217881155</v>
      </c>
      <c r="H121" s="15" t="n">
        <f aca="false">G121*(1+IF(H$3&lt;=$O$2,$D121,$D121-($D121-$I$103)*MIN(H$3-$O$2,$Q$2)/$Q$2))</f>
        <v>6740.83819861143</v>
      </c>
      <c r="I121" s="15" t="n">
        <f aca="false">H121*(1+IF(I$3&lt;=$O$2,$D121,$D121-($D121-$I$103)*MIN(I$3-$O$2,$Q$2)/$Q$2))</f>
        <v>6567.75553444649</v>
      </c>
      <c r="J121" s="15" t="n">
        <f aca="false">I121*(1+IF(J$3&lt;=$O$2,$D121,$D121-($D121-$I$103)*MIN(J$3-$O$2,$Q$2)/$Q$2))</f>
        <v>6470.0182565333</v>
      </c>
      <c r="K121" s="15" t="n">
        <f aca="false">J121*(1+IF(K$3&lt;=$O$2,$D121,$D121-($D121-$I$103)*MIN(K$3-$O$2,$Q$2)/$Q$2))</f>
        <v>6443.58152657755</v>
      </c>
      <c r="L121" s="15" t="n">
        <f aca="false">K121*(1+IF(L$3&lt;=$O$2,$D121,$D121-($D121-$I$103)*MIN(L$3-$O$2,$Q$2)/$Q$2))</f>
        <v>6486.81350663463</v>
      </c>
      <c r="M121" s="15" t="n">
        <f aca="false">L121*(1+IF(M$3&lt;=$O$2,$D121,$D121-($D121-$I$103)*MIN(M$3-$O$2,$Q$2)/$Q$2))</f>
        <v>6600.36293614026</v>
      </c>
      <c r="N121" s="15" t="n">
        <f aca="false">M121*(1+IF(N$3&lt;=$O$2,$D121,$D121-($D121-$I$103)*MIN(N$3-$O$2,$Q$2)/$Q$2))</f>
        <v>6787.15320723303</v>
      </c>
      <c r="O121" s="15" t="n">
        <f aca="false">SUMPRODUCT(E121:N121,1/(1+$F$103)^$E$3:$N$3)*$E$2</f>
        <v>8108.39454426951</v>
      </c>
      <c r="P121" s="15" t="n">
        <f aca="false">N121*$E$2*(1+$I$103)/($F$103-$I$103)/(1+$F$103)^$N$3</f>
        <v>14027.8277148286</v>
      </c>
      <c r="Q121" s="15" t="n">
        <f aca="false">O121+P121</f>
        <v>22136.2222590981</v>
      </c>
      <c r="R121" s="15" t="n">
        <f aca="false">Q121-$G$2+$I$2</f>
        <v>19020.0222590981</v>
      </c>
      <c r="S121" s="42" t="n">
        <f aca="false">R121/$K$2</f>
        <v>168.467867662516</v>
      </c>
      <c r="T121" s="43" t="n">
        <f aca="false">S121-$M$2</f>
        <v>0.0001971576448625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-0.0256881713867188</v>
      </c>
      <c r="C122" s="25" t="n">
        <f aca="false">IF(T121&gt;0,D121,C121)</f>
        <v>-0.0256767272949219</v>
      </c>
      <c r="D122" s="41" t="n">
        <f aca="false">(B122+C122)/2</f>
        <v>-0.0256824493408203</v>
      </c>
      <c r="E122" s="15" t="n">
        <f aca="false">$C$2*(1+IF(E$3&lt;=$O$2,$D122,$D122-($D122-$I$103)*MIN(E$3-$O$2,$Q$2)/$Q$2))</f>
        <v>7287.89527893066</v>
      </c>
      <c r="F122" s="15" t="n">
        <f aca="false">E122*(1+IF(F$3&lt;=$O$2,$D122,$D122-($D122-$I$103)*MIN(F$3-$O$2,$Q$2)/$Q$2))</f>
        <v>7100.72427762832</v>
      </c>
      <c r="G122" s="15" t="n">
        <f aca="false">F122*(1+IF(G$3&lt;=$O$2,$D122,$D122-($D122-$I$103)*MIN(G$3-$O$2,$Q$2)/$Q$2))</f>
        <v>6918.360286085</v>
      </c>
      <c r="H122" s="15" t="n">
        <f aca="false">G122*(1+IF(H$3&lt;=$O$2,$D122,$D122-($D122-$I$103)*MIN(H$3-$O$2,$Q$2)/$Q$2))</f>
        <v>6740.67984851608</v>
      </c>
      <c r="I122" s="15" t="n">
        <f aca="false">H122*(1+IF(I$3&lt;=$O$2,$D122,$D122-($D122-$I$103)*MIN(I$3-$O$2,$Q$2)/$Q$2))</f>
        <v>6567.56267978388</v>
      </c>
      <c r="J122" s="15" t="n">
        <f aca="false">I122*(1+IF(J$3&lt;=$O$2,$D122,$D122-($D122-$I$103)*MIN(J$3-$O$2,$Q$2)/$Q$2))</f>
        <v>6469.79820789849</v>
      </c>
      <c r="K122" s="15" t="n">
        <f aca="false">J122*(1+IF(K$3&lt;=$O$2,$D122,$D122-($D122-$I$103)*MIN(K$3-$O$2,$Q$2)/$Q$2))</f>
        <v>6443.34016478009</v>
      </c>
      <c r="L122" s="15" t="n">
        <f aca="false">K122*(1+IF(L$3&lt;=$O$2,$D122,$D122-($D122-$I$103)*MIN(L$3-$O$2,$Q$2)/$Q$2))</f>
        <v>6486.555777831</v>
      </c>
      <c r="M122" s="15" t="n">
        <f aca="false">L122*(1+IF(M$3&lt;=$O$2,$D122,$D122-($D122-$I$103)*MIN(M$3-$O$2,$Q$2)/$Q$2))</f>
        <v>6600.09327260898</v>
      </c>
      <c r="N122" s="15" t="n">
        <f aca="false">M122*(1+IF(N$3&lt;=$O$2,$D122,$D122-($D122-$I$103)*MIN(N$3-$O$2,$Q$2)/$Q$2))</f>
        <v>6786.87591222382</v>
      </c>
      <c r="O122" s="15" t="n">
        <f aca="false">SUMPRODUCT(E122:N122,1/(1+$F$103)^$E$3:$N$3)*$E$2</f>
        <v>8108.18964960973</v>
      </c>
      <c r="P122" s="15" t="n">
        <f aca="false">N122*$E$2*(1+$I$103)/($F$103-$I$103)/(1+$F$103)^$N$3</f>
        <v>14027.2545958056</v>
      </c>
      <c r="Q122" s="15" t="n">
        <f aca="false">O122+P122</f>
        <v>22135.4442454153</v>
      </c>
      <c r="R122" s="15" t="n">
        <f aca="false">Q122-$G$2+$I$2</f>
        <v>19019.2442454153</v>
      </c>
      <c r="S122" s="42" t="n">
        <f aca="false">R122/$K$2</f>
        <v>168.460976487292</v>
      </c>
      <c r="T122" s="43" t="n">
        <f aca="false">S122-$M$2</f>
        <v>-0.0066940175795196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-0.0256824493408203</v>
      </c>
      <c r="C123" s="25" t="n">
        <f aca="false">IF(T122&gt;0,D122,C122)</f>
        <v>-0.0256767272949219</v>
      </c>
      <c r="D123" s="41" t="n">
        <f aca="false">(B123+C123)/2</f>
        <v>-0.0256795883178711</v>
      </c>
      <c r="E123" s="15" t="n">
        <f aca="false">$C$2*(1+IF(E$3&lt;=$O$2,$D123,$D123-($D123-$I$103)*MIN(E$3-$O$2,$Q$2)/$Q$2))</f>
        <v>7287.91667938232</v>
      </c>
      <c r="F123" s="15" t="n">
        <f aca="false">E123*(1+IF(F$3&lt;=$O$2,$D123,$D123-($D123-$I$103)*MIN(F$3-$O$2,$Q$2)/$Q$2))</f>
        <v>7100.76597936084</v>
      </c>
      <c r="G123" s="15" t="n">
        <f aca="false">F123*(1+IF(G$3&lt;=$O$2,$D123,$D123-($D123-$I$103)*MIN(G$3-$O$2,$Q$2)/$Q$2))</f>
        <v>6918.42123226931</v>
      </c>
      <c r="H123" s="15" t="n">
        <f aca="false">G123*(1+IF(H$3&lt;=$O$2,$D123,$D123-($D123-$I$103)*MIN(H$3-$O$2,$Q$2)/$Q$2))</f>
        <v>6740.75902321502</v>
      </c>
      <c r="I123" s="15" t="n">
        <f aca="false">H123*(1+IF(I$3&lt;=$O$2,$D123,$D123-($D123-$I$103)*MIN(I$3-$O$2,$Q$2)/$Q$2))</f>
        <v>6567.65910654888</v>
      </c>
      <c r="J123" s="15" t="n">
        <f aca="false">I123*(1+IF(J$3&lt;=$O$2,$D123,$D123-($D123-$I$103)*MIN(J$3-$O$2,$Q$2)/$Q$2))</f>
        <v>6469.90823143731</v>
      </c>
      <c r="K123" s="15" t="n">
        <f aca="false">J123*(1+IF(K$3&lt;=$O$2,$D123,$D123-($D123-$I$103)*MIN(K$3-$O$2,$Q$2)/$Q$2))</f>
        <v>6443.46084471455</v>
      </c>
      <c r="L123" s="15" t="n">
        <f aca="false">K123*(1+IF(L$3&lt;=$O$2,$D123,$D123-($D123-$I$103)*MIN(L$3-$O$2,$Q$2)/$Q$2))</f>
        <v>6486.68464112397</v>
      </c>
      <c r="M123" s="15" t="n">
        <f aca="false">L123*(1+IF(M$3&lt;=$O$2,$D123,$D123-($D123-$I$103)*MIN(M$3-$O$2,$Q$2)/$Q$2))</f>
        <v>6600.22810317263</v>
      </c>
      <c r="N123" s="15" t="n">
        <f aca="false">M123*(1+IF(N$3&lt;=$O$2,$D123,$D123-($D123-$I$103)*MIN(N$3-$O$2,$Q$2)/$Q$2))</f>
        <v>6787.01455849242</v>
      </c>
      <c r="O123" s="15" t="n">
        <f aca="false">SUMPRODUCT(E123:N123,1/(1+$F$103)^$E$3:$N$3)*$E$2</f>
        <v>8108.29209627454</v>
      </c>
      <c r="P123" s="15" t="n">
        <f aca="false">N123*$E$2*(1+$I$103)/($F$103-$I$103)/(1+$F$103)^$N$3</f>
        <v>14027.5411527625</v>
      </c>
      <c r="Q123" s="15" t="n">
        <f aca="false">O123+P123</f>
        <v>22135.833249037</v>
      </c>
      <c r="R123" s="15" t="n">
        <f aca="false">Q123-$G$2+$I$2</f>
        <v>19019.633249037</v>
      </c>
      <c r="S123" s="42" t="n">
        <f aca="false">R123/$K$2</f>
        <v>168.464422046386</v>
      </c>
      <c r="T123" s="43" t="n">
        <f aca="false">S123-$M$2</f>
        <v>-0.00324845848521704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-0.0256795883178711</v>
      </c>
      <c r="C124" s="25" t="n">
        <f aca="false">IF(T123&gt;0,D123,C123)</f>
        <v>-0.0256767272949219</v>
      </c>
      <c r="D124" s="41" t="n">
        <f aca="false">(B124+C124)/2</f>
        <v>-0.0256781578063965</v>
      </c>
      <c r="E124" s="15" t="n">
        <f aca="false">$C$2*(1+IF(E$3&lt;=$O$2,$D124,$D124-($D124-$I$103)*MIN(E$3-$O$2,$Q$2)/$Q$2))</f>
        <v>7287.92737960815</v>
      </c>
      <c r="F124" s="15" t="n">
        <f aca="false">E124*(1+IF(F$3&lt;=$O$2,$D124,$D124-($D124-$I$103)*MIN(F$3-$O$2,$Q$2)/$Q$2))</f>
        <v>7100.78683027302</v>
      </c>
      <c r="G124" s="15" t="n">
        <f aca="false">F124*(1+IF(G$3&lt;=$O$2,$D124,$D124-($D124-$I$103)*MIN(G$3-$O$2,$Q$2)/$Q$2))</f>
        <v>6918.45170549569</v>
      </c>
      <c r="H124" s="15" t="n">
        <f aca="false">G124*(1+IF(H$3&lt;=$O$2,$D124,$D124-($D124-$I$103)*MIN(H$3-$O$2,$Q$2)/$Q$2))</f>
        <v>6740.79861082604</v>
      </c>
      <c r="I124" s="15" t="n">
        <f aca="false">H124*(1+IF(I$3&lt;=$O$2,$D124,$D124-($D124-$I$103)*MIN(I$3-$O$2,$Q$2)/$Q$2))</f>
        <v>6567.70732035611</v>
      </c>
      <c r="J124" s="15" t="n">
        <f aca="false">I124*(1+IF(J$3&lt;=$O$2,$D124,$D124-($D124-$I$103)*MIN(J$3-$O$2,$Q$2)/$Q$2))</f>
        <v>6469.96324379066</v>
      </c>
      <c r="K124" s="15" t="n">
        <f aca="false">J124*(1+IF(K$3&lt;=$O$2,$D124,$D124-($D124-$I$103)*MIN(K$3-$O$2,$Q$2)/$Q$2))</f>
        <v>6443.52118540498</v>
      </c>
      <c r="L124" s="15" t="n">
        <f aca="false">K124*(1+IF(L$3&lt;=$O$2,$D124,$D124-($D124-$I$103)*MIN(L$3-$O$2,$Q$2)/$Q$2))</f>
        <v>6486.74907360208</v>
      </c>
      <c r="M124" s="15" t="n">
        <f aca="false">L124*(1+IF(M$3&lt;=$O$2,$D124,$D124-($D124-$I$103)*MIN(M$3-$O$2,$Q$2)/$Q$2))</f>
        <v>6600.29551935595</v>
      </c>
      <c r="N124" s="15" t="n">
        <f aca="false">M124*(1+IF(N$3&lt;=$O$2,$D124,$D124-($D124-$I$103)*MIN(N$3-$O$2,$Q$2)/$Q$2))</f>
        <v>6787.08388255372</v>
      </c>
      <c r="O124" s="15" t="n">
        <f aca="false">SUMPRODUCT(E124:N124,1/(1+$F$103)^$E$3:$N$3)*$E$2</f>
        <v>8108.34332010576</v>
      </c>
      <c r="P124" s="15" t="n">
        <f aca="false">N124*$E$2*(1+$I$103)/($F$103-$I$103)/(1+$F$103)^$N$3</f>
        <v>14027.6844331569</v>
      </c>
      <c r="Q124" s="15" t="n">
        <f aca="false">O124+P124</f>
        <v>22136.0277532626</v>
      </c>
      <c r="R124" s="15" t="n">
        <f aca="false">Q124-$G$2+$I$2</f>
        <v>19019.8277532626</v>
      </c>
      <c r="S124" s="42" t="n">
        <f aca="false">R124/$K$2</f>
        <v>168.466144847322</v>
      </c>
      <c r="T124" s="43" t="n">
        <f aca="false">S124-$M$2</f>
        <v>-0.00152565754973466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-0.0256781578063965</v>
      </c>
      <c r="C125" s="25" t="n">
        <f aca="false">IF(T124&gt;0,D124,C124)</f>
        <v>-0.0256767272949219</v>
      </c>
      <c r="D125" s="41" t="n">
        <f aca="false">(B125+C125)/2</f>
        <v>-0.0256774425506592</v>
      </c>
      <c r="E125" s="15" t="n">
        <f aca="false">$C$2*(1+IF(E$3&lt;=$O$2,$D125,$D125-($D125-$I$103)*MIN(E$3-$O$2,$Q$2)/$Q$2))</f>
        <v>7287.93272972107</v>
      </c>
      <c r="F125" s="15" t="n">
        <f aca="false">E125*(1+IF(F$3&lt;=$O$2,$D125,$D125-($D125-$I$103)*MIN(F$3-$O$2,$Q$2)/$Q$2))</f>
        <v>7100.79725574059</v>
      </c>
      <c r="G125" s="15" t="n">
        <f aca="false">F125*(1+IF(G$3&lt;=$O$2,$D125,$D125-($D125-$I$103)*MIN(G$3-$O$2,$Q$2)/$Q$2))</f>
        <v>6918.46694214243</v>
      </c>
      <c r="H125" s="15" t="n">
        <f aca="false">G125*(1+IF(H$3&lt;=$O$2,$D125,$D125-($D125-$I$103)*MIN(H$3-$O$2,$Q$2)/$Q$2))</f>
        <v>6740.81840469693</v>
      </c>
      <c r="I125" s="15" t="n">
        <f aca="false">H125*(1+IF(I$3&lt;=$O$2,$D125,$D125-($D125-$I$103)*MIN(I$3-$O$2,$Q$2)/$Q$2))</f>
        <v>6567.7314273659</v>
      </c>
      <c r="J125" s="15" t="n">
        <f aca="false">I125*(1+IF(J$3&lt;=$O$2,$D125,$D125-($D125-$I$103)*MIN(J$3-$O$2,$Q$2)/$Q$2))</f>
        <v>6469.99075011332</v>
      </c>
      <c r="K125" s="15" t="n">
        <f aca="false">J125*(1+IF(K$3&lt;=$O$2,$D125,$D125-($D125-$I$103)*MIN(K$3-$O$2,$Q$2)/$Q$2))</f>
        <v>6443.551355931</v>
      </c>
      <c r="L125" s="15" t="n">
        <f aca="false">K125*(1+IF(L$3&lt;=$O$2,$D125,$D125-($D125-$I$103)*MIN(L$3-$O$2,$Q$2)/$Q$2))</f>
        <v>6486.78129004905</v>
      </c>
      <c r="M125" s="15" t="n">
        <f aca="false">L125*(1+IF(M$3&lt;=$O$2,$D125,$D125-($D125-$I$103)*MIN(M$3-$O$2,$Q$2)/$Q$2))</f>
        <v>6600.32922767298</v>
      </c>
      <c r="N125" s="15" t="n">
        <f aca="false">M125*(1+IF(N$3&lt;=$O$2,$D125,$D125-($D125-$I$103)*MIN(N$3-$O$2,$Q$2)/$Q$2))</f>
        <v>6787.11854481612</v>
      </c>
      <c r="O125" s="15" t="n">
        <f aca="false">SUMPRODUCT(E125:N125,1/(1+$F$103)^$E$3:$N$3)*$E$2</f>
        <v>8108.36893214606</v>
      </c>
      <c r="P125" s="15" t="n">
        <f aca="false">N125*$E$2*(1+$I$103)/($F$103-$I$103)/(1+$F$103)^$N$3</f>
        <v>14027.7560738331</v>
      </c>
      <c r="Q125" s="15" t="n">
        <f aca="false">O125+P125</f>
        <v>22136.1250059792</v>
      </c>
      <c r="R125" s="15" t="n">
        <f aca="false">Q125-$G$2+$I$2</f>
        <v>19019.9250059792</v>
      </c>
      <c r="S125" s="42" t="n">
        <f aca="false">R125/$K$2</f>
        <v>168.467006253137</v>
      </c>
      <c r="T125" s="43" t="n">
        <f aca="false">S125-$M$2</f>
        <v>-0.000664251734775689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-0.0256774425506592</v>
      </c>
      <c r="C126" s="25" t="n">
        <f aca="false">IF(T125&gt;0,D125,C125)</f>
        <v>-0.0256767272949219</v>
      </c>
      <c r="D126" s="41" t="n">
        <f aca="false">(B126+C126)/2</f>
        <v>-0.0256770849227905</v>
      </c>
      <c r="E126" s="15" t="n">
        <f aca="false">$C$2*(1+IF(E$3&lt;=$O$2,$D126,$D126-($D126-$I$103)*MIN(E$3-$O$2,$Q$2)/$Q$2))</f>
        <v>7287.93540477753</v>
      </c>
      <c r="F126" s="15" t="n">
        <f aca="false">E126*(1+IF(F$3&lt;=$O$2,$D126,$D126-($D126-$I$103)*MIN(F$3-$O$2,$Q$2)/$Q$2))</f>
        <v>7100.80246847724</v>
      </c>
      <c r="G126" s="15" t="n">
        <f aca="false">F126*(1+IF(G$3&lt;=$O$2,$D126,$D126-($D126-$I$103)*MIN(G$3-$O$2,$Q$2)/$Q$2))</f>
        <v>6918.47456047419</v>
      </c>
      <c r="H126" s="15" t="n">
        <f aca="false">G126*(1+IF(H$3&lt;=$O$2,$D126,$D126-($D126-$I$103)*MIN(H$3-$O$2,$Q$2)/$Q$2))</f>
        <v>6740.82830164873</v>
      </c>
      <c r="I126" s="15" t="n">
        <f aca="false">H126*(1+IF(I$3&lt;=$O$2,$D126,$D126-($D126-$I$103)*MIN(I$3-$O$2,$Q$2)/$Q$2))</f>
        <v>6567.74348089735</v>
      </c>
      <c r="J126" s="15" t="n">
        <f aca="false">I126*(1+IF(J$3&lt;=$O$2,$D126,$D126-($D126-$I$103)*MIN(J$3-$O$2,$Q$2)/$Q$2))</f>
        <v>6470.00450331114</v>
      </c>
      <c r="K126" s="15" t="n">
        <f aca="false">J126*(1+IF(K$3&lt;=$O$2,$D126,$D126-($D126-$I$103)*MIN(K$3-$O$2,$Q$2)/$Q$2))</f>
        <v>6443.56644123921</v>
      </c>
      <c r="L126" s="15" t="n">
        <f aca="false">K126*(1+IF(L$3&lt;=$O$2,$D126,$D126-($D126-$I$103)*MIN(L$3-$O$2,$Q$2)/$Q$2))</f>
        <v>6486.79739832451</v>
      </c>
      <c r="M126" s="15" t="n">
        <f aca="false">L126*(1+IF(M$3&lt;=$O$2,$D126,$D126-($D126-$I$103)*MIN(M$3-$O$2,$Q$2)/$Q$2))</f>
        <v>6600.34608188784</v>
      </c>
      <c r="N126" s="15" t="n">
        <f aca="false">M126*(1+IF(N$3&lt;=$O$2,$D126,$D126-($D126-$I$103)*MIN(N$3-$O$2,$Q$2)/$Q$2))</f>
        <v>6787.13587600526</v>
      </c>
      <c r="O126" s="15" t="n">
        <f aca="false">SUMPRODUCT(E126:N126,1/(1+$F$103)^$E$3:$N$3)*$E$2</f>
        <v>8108.38173819739</v>
      </c>
      <c r="P126" s="15" t="n">
        <f aca="false">N126*$E$2*(1+$I$103)/($F$103-$I$103)/(1+$F$103)^$N$3</f>
        <v>14027.7918942909</v>
      </c>
      <c r="Q126" s="15" t="n">
        <f aca="false">O126+P126</f>
        <v>22136.1736324883</v>
      </c>
      <c r="R126" s="15" t="n">
        <f aca="false">Q126-$G$2+$I$2</f>
        <v>19019.9736324883</v>
      </c>
      <c r="S126" s="42" t="n">
        <f aca="false">R126/$K$2</f>
        <v>168.467436957381</v>
      </c>
      <c r="T126" s="43" t="n">
        <f aca="false">S126-$M$2</f>
        <v>-0.000233547490523733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-0.0256770849227905</v>
      </c>
      <c r="C127" s="25" t="n">
        <f aca="false">IF(T126&gt;0,D126,C126)</f>
        <v>-0.0256767272949219</v>
      </c>
      <c r="D127" s="41" t="n">
        <f aca="false">(B127+C127)/2</f>
        <v>-0.0256769061088562</v>
      </c>
      <c r="E127" s="15" t="n">
        <f aca="false">$C$2*(1+IF(E$3&lt;=$O$2,$D127,$D127-($D127-$I$103)*MIN(E$3-$O$2,$Q$2)/$Q$2))</f>
        <v>7287.93674230576</v>
      </c>
      <c r="F127" s="15" t="n">
        <f aca="false">E127*(1+IF(F$3&lt;=$O$2,$D127,$D127-($D127-$I$103)*MIN(F$3-$O$2,$Q$2)/$Q$2))</f>
        <v>7100.80507484629</v>
      </c>
      <c r="G127" s="15" t="n">
        <f aca="false">F127*(1+IF(G$3&lt;=$O$2,$D127,$D127-($D127-$I$103)*MIN(G$3-$O$2,$Q$2)/$Q$2))</f>
        <v>6918.47836964217</v>
      </c>
      <c r="H127" s="15" t="n">
        <f aca="false">G127*(1+IF(H$3&lt;=$O$2,$D127,$D127-($D127-$I$103)*MIN(H$3-$O$2,$Q$2)/$Q$2))</f>
        <v>6740.83325012872</v>
      </c>
      <c r="I127" s="15" t="n">
        <f aca="false">H127*(1+IF(I$3&lt;=$O$2,$D127,$D127-($D127-$I$103)*MIN(I$3-$O$2,$Q$2)/$Q$2))</f>
        <v>6567.74950766971</v>
      </c>
      <c r="J127" s="15" t="n">
        <f aca="false">I127*(1+IF(J$3&lt;=$O$2,$D127,$D127-($D127-$I$103)*MIN(J$3-$O$2,$Q$2)/$Q$2))</f>
        <v>6470.01137991918</v>
      </c>
      <c r="K127" s="15" t="n">
        <f aca="false">J127*(1+IF(K$3&lt;=$O$2,$D127,$D127-($D127-$I$103)*MIN(K$3-$O$2,$Q$2)/$Q$2))</f>
        <v>6443.57398390462</v>
      </c>
      <c r="L127" s="15" t="n">
        <f aca="false">K127*(1+IF(L$3&lt;=$O$2,$D127,$D127-($D127-$I$103)*MIN(L$3-$O$2,$Q$2)/$Q$2))</f>
        <v>6486.80545247524</v>
      </c>
      <c r="M127" s="15" t="n">
        <f aca="false">L127*(1+IF(M$3&lt;=$O$2,$D127,$D127-($D127-$I$103)*MIN(M$3-$O$2,$Q$2)/$Q$2))</f>
        <v>6600.35450900936</v>
      </c>
      <c r="N127" s="15" t="n">
        <f aca="false">M127*(1+IF(N$3&lt;=$O$2,$D127,$D127-($D127-$I$103)*MIN(N$3-$O$2,$Q$2)/$Q$2))</f>
        <v>6787.14454161432</v>
      </c>
      <c r="O127" s="15" t="n">
        <f aca="false">SUMPRODUCT(E127:N127,1/(1+$F$103)^$E$3:$N$3)*$E$2</f>
        <v>8108.38814123085</v>
      </c>
      <c r="P127" s="15" t="n">
        <f aca="false">N127*$E$2*(1+$I$103)/($F$103-$I$103)/(1+$F$103)^$N$3</f>
        <v>14027.8098045498</v>
      </c>
      <c r="Q127" s="15" t="n">
        <f aca="false">O127+P127</f>
        <v>22136.1979457806</v>
      </c>
      <c r="R127" s="15" t="n">
        <f aca="false">Q127-$G$2+$I$2</f>
        <v>19019.9979457806</v>
      </c>
      <c r="S127" s="42" t="n">
        <f aca="false">R127/$K$2</f>
        <v>168.467652309837</v>
      </c>
      <c r="T127" s="43" t="n">
        <f aca="false">S127-$M$2</f>
        <v>-1.81950341868742E-005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-0.0256769061088562</v>
      </c>
      <c r="C128" s="25" t="n">
        <f aca="false">IF(T127&gt;0,D127,C127)</f>
        <v>-0.0256767272949219</v>
      </c>
      <c r="D128" s="41" t="n">
        <f aca="false">(B128+C128)/2</f>
        <v>-0.025676816701889</v>
      </c>
      <c r="E128" s="15" t="n">
        <f aca="false">$C$2*(1+IF(E$3&lt;=$O$2,$D128,$D128-($D128-$I$103)*MIN(E$3-$O$2,$Q$2)/$Q$2))</f>
        <v>7287.93741106987</v>
      </c>
      <c r="F128" s="15" t="n">
        <f aca="false">E128*(1+IF(F$3&lt;=$O$2,$D128,$D128-($D128-$I$103)*MIN(F$3-$O$2,$Q$2)/$Q$2))</f>
        <v>7100.80637803099</v>
      </c>
      <c r="G128" s="15" t="n">
        <f aca="false">F128*(1+IF(G$3&lt;=$O$2,$D128,$D128-($D128-$I$103)*MIN(G$3-$O$2,$Q$2)/$Q$2))</f>
        <v>6918.48027422668</v>
      </c>
      <c r="H128" s="15" t="n">
        <f aca="false">G128*(1+IF(H$3&lt;=$O$2,$D128,$D128-($D128-$I$103)*MIN(H$3-$O$2,$Q$2)/$Q$2))</f>
        <v>6740.83572436973</v>
      </c>
      <c r="I128" s="15" t="n">
        <f aca="false">H128*(1+IF(I$3&lt;=$O$2,$D128,$D128-($D128-$I$103)*MIN(I$3-$O$2,$Q$2)/$Q$2))</f>
        <v>6567.75252105754</v>
      </c>
      <c r="J128" s="15" t="n">
        <f aca="false">I128*(1+IF(J$3&lt;=$O$2,$D128,$D128-($D128-$I$103)*MIN(J$3-$O$2,$Q$2)/$Q$2))</f>
        <v>6470.01481822548</v>
      </c>
      <c r="K128" s="15" t="n">
        <f aca="false">J128*(1+IF(K$3&lt;=$O$2,$D128,$D128-($D128-$I$103)*MIN(K$3-$O$2,$Q$2)/$Q$2))</f>
        <v>6443.57775524014</v>
      </c>
      <c r="L128" s="15" t="n">
        <f aca="false">K128*(1+IF(L$3&lt;=$O$2,$D128,$D128-($D128-$I$103)*MIN(L$3-$O$2,$Q$2)/$Q$2))</f>
        <v>6486.80947955385</v>
      </c>
      <c r="M128" s="15" t="n">
        <f aca="false">L128*(1+IF(M$3&lt;=$O$2,$D128,$D128-($D128-$I$103)*MIN(M$3-$O$2,$Q$2)/$Q$2))</f>
        <v>6600.35872257363</v>
      </c>
      <c r="N128" s="15" t="n">
        <f aca="false">M128*(1+IF(N$3&lt;=$O$2,$D128,$D128-($D128-$I$103)*MIN(N$3-$O$2,$Q$2)/$Q$2))</f>
        <v>6787.14887442247</v>
      </c>
      <c r="O128" s="15" t="n">
        <f aca="false">SUMPRODUCT(E128:N128,1/(1+$F$103)^$E$3:$N$3)*$E$2</f>
        <v>8108.39134274953</v>
      </c>
      <c r="P128" s="15" t="n">
        <f aca="false">N128*$E$2*(1+$I$103)/($F$103-$I$103)/(1+$F$103)^$N$3</f>
        <v>14027.8187596867</v>
      </c>
      <c r="Q128" s="15" t="n">
        <f aca="false">O128+P128</f>
        <v>22136.2101024362</v>
      </c>
      <c r="R128" s="15" t="n">
        <f aca="false">Q128-$G$2+$I$2</f>
        <v>19020.0101024362</v>
      </c>
      <c r="S128" s="42" t="n">
        <f aca="false">R128/$K$2</f>
        <v>168.467759986149</v>
      </c>
      <c r="T128" s="43" t="n">
        <f aca="false">S128-$M$2</f>
        <v>8.94812774276943E-005</v>
      </c>
    </row>
    <row r="130" customFormat="false" ht="15" hidden="false" customHeight="false" outlineLevel="0" collapsed="false">
      <c r="A130" s="38" t="s">
        <v>188</v>
      </c>
      <c r="E130" s="5" t="s">
        <v>11</v>
      </c>
      <c r="F130" s="12" t="n">
        <f aca="false">Sensitivity!$B$10</f>
        <v>0.0711268672746673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165</v>
      </c>
      <c r="B131" s="28" t="s">
        <v>166</v>
      </c>
      <c r="C131" s="28" t="s">
        <v>167</v>
      </c>
      <c r="D131" s="28" t="s">
        <v>168</v>
      </c>
      <c r="E131" s="28" t="s">
        <v>169</v>
      </c>
      <c r="F131" s="28" t="s">
        <v>170</v>
      </c>
      <c r="G131" s="28" t="s">
        <v>171</v>
      </c>
      <c r="H131" s="28" t="s">
        <v>172</v>
      </c>
      <c r="I131" s="28" t="s">
        <v>173</v>
      </c>
      <c r="J131" s="28" t="s">
        <v>174</v>
      </c>
      <c r="K131" s="28" t="s">
        <v>175</v>
      </c>
      <c r="L131" s="28" t="s">
        <v>176</v>
      </c>
      <c r="M131" s="28" t="s">
        <v>177</v>
      </c>
      <c r="N131" s="28" t="s">
        <v>178</v>
      </c>
      <c r="O131" s="28" t="s">
        <v>179</v>
      </c>
      <c r="P131" s="28" t="s">
        <v>180</v>
      </c>
      <c r="Q131" s="28" t="s">
        <v>181</v>
      </c>
      <c r="R131" s="28" t="s">
        <v>182</v>
      </c>
      <c r="S131" s="28" t="s">
        <v>183</v>
      </c>
      <c r="T131" s="28" t="s">
        <v>184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9350</v>
      </c>
      <c r="F132" s="15" t="n">
        <f aca="false">E132*(1+IF(F$3&lt;=$O$2,$D132,$D132-($D132-$I$130)*MIN(F$3-$O$2,$Q$2)/$Q$2))</f>
        <v>11687.5</v>
      </c>
      <c r="G132" s="15" t="n">
        <f aca="false">F132*(1+IF(G$3&lt;=$O$2,$D132,$D132-($D132-$I$130)*MIN(G$3-$O$2,$Q$2)/$Q$2))</f>
        <v>14609.375</v>
      </c>
      <c r="H132" s="15" t="n">
        <f aca="false">G132*(1+IF(H$3&lt;=$O$2,$D132,$D132-($D132-$I$130)*MIN(H$3-$O$2,$Q$2)/$Q$2))</f>
        <v>18261.71875</v>
      </c>
      <c r="I132" s="15" t="n">
        <f aca="false">H132*(1+IF(I$3&lt;=$O$2,$D132,$D132-($D132-$I$130)*MIN(I$3-$O$2,$Q$2)/$Q$2))</f>
        <v>22827.1484375</v>
      </c>
      <c r="J132" s="15" t="n">
        <f aca="false">I132*(1+IF(J$3&lt;=$O$2,$D132,$D132-($D132-$I$130)*MIN(J$3-$O$2,$Q$2)/$Q$2))</f>
        <v>27544.6069335938</v>
      </c>
      <c r="K132" s="15" t="n">
        <f aca="false">J132*(1+IF(K$3&lt;=$O$2,$D132,$D132-($D132-$I$130)*MIN(K$3-$O$2,$Q$2)/$Q$2))</f>
        <v>32043.1921379883</v>
      </c>
      <c r="L132" s="15" t="n">
        <f aca="false">K132*(1+IF(L$3&lt;=$O$2,$D132,$D132-($D132-$I$130)*MIN(L$3-$O$2,$Q$2)/$Q$2))</f>
        <v>35887.7343307041</v>
      </c>
      <c r="M132" s="15" t="n">
        <f aca="false">L132*(1+IF(M$3&lt;=$O$2,$D132,$D132-($D132-$I$130)*MIN(M$3-$O$2,$Q$2)/$Q$2))</f>
        <v>38638.1702898093</v>
      </c>
      <c r="N132" s="15" t="n">
        <f aca="false">M132*(1+IF(N$3&lt;=$O$2,$D132,$D132-($D132-$I$130)*MIN(N$3-$O$2,$Q$2)/$Q$2))</f>
        <v>39924.8213604599</v>
      </c>
      <c r="O132" s="15" t="n">
        <f aca="false">SUMPRODUCT(E132:N132,1/(1+$F$130)^$E$3:$N$3)*$E$2</f>
        <v>27469.9881668389</v>
      </c>
      <c r="P132" s="15" t="n">
        <f aca="false">N132*$E$2*(1+$I$130)/($F$130-$I$130)/(1+$F$130)^$N$3</f>
        <v>93878.9617301335</v>
      </c>
      <c r="Q132" s="15" t="n">
        <f aca="false">O132+P132</f>
        <v>121348.949896972</v>
      </c>
      <c r="R132" s="15" t="n">
        <f aca="false">Q132-$G$2+$I$2</f>
        <v>118232.749896972</v>
      </c>
      <c r="S132" s="42" t="n">
        <f aca="false">R132/$K$2</f>
        <v>1047.23427720968</v>
      </c>
      <c r="T132" s="43" t="n">
        <f aca="false">S132-$M$2</f>
        <v>878.766606704803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6545</v>
      </c>
      <c r="F133" s="15" t="n">
        <f aca="false">E133*(1+IF(F$3&lt;=$O$2,$D133,$D133-($D133-$I$130)*MIN(F$3-$O$2,$Q$2)/$Q$2))</f>
        <v>5726.875</v>
      </c>
      <c r="G133" s="15" t="n">
        <f aca="false">F133*(1+IF(G$3&lt;=$O$2,$D133,$D133-($D133-$I$130)*MIN(G$3-$O$2,$Q$2)/$Q$2))</f>
        <v>5011.015625</v>
      </c>
      <c r="H133" s="15" t="n">
        <f aca="false">G133*(1+IF(H$3&lt;=$O$2,$D133,$D133-($D133-$I$130)*MIN(H$3-$O$2,$Q$2)/$Q$2))</f>
        <v>4384.638671875</v>
      </c>
      <c r="I133" s="15" t="n">
        <f aca="false">H133*(1+IF(I$3&lt;=$O$2,$D133,$D133-($D133-$I$130)*MIN(I$3-$O$2,$Q$2)/$Q$2))</f>
        <v>3836.55883789063</v>
      </c>
      <c r="J133" s="15" t="n">
        <f aca="false">I133*(1+IF(J$3&lt;=$O$2,$D133,$D133-($D133-$I$130)*MIN(J$3-$O$2,$Q$2)/$Q$2))</f>
        <v>3478.45443596191</v>
      </c>
      <c r="K133" s="15" t="n">
        <f aca="false">J133*(1+IF(K$3&lt;=$O$2,$D133,$D133-($D133-$I$130)*MIN(K$3-$O$2,$Q$2)/$Q$2))</f>
        <v>3263.90336635178</v>
      </c>
      <c r="L133" s="15" t="n">
        <f aca="false">K133*(1+IF(L$3&lt;=$O$2,$D133,$D133-($D133-$I$130)*MIN(L$3-$O$2,$Q$2)/$Q$2))</f>
        <v>3165.9209872939</v>
      </c>
      <c r="M133" s="15" t="n">
        <f aca="false">L133*(1+IF(M$3&lt;=$O$2,$D133,$D133-($D133-$I$130)*MIN(M$3-$O$2,$Q$2)/$Q$2))</f>
        <v>3171.11309771307</v>
      </c>
      <c r="N133" s="15" t="n">
        <f aca="false">M133*(1+IF(N$3&lt;=$O$2,$D133,$D133-($D133-$I$130)*MIN(N$3-$O$2,$Q$2)/$Q$2))</f>
        <v>3276.71116386691</v>
      </c>
      <c r="O133" s="15" t="n">
        <f aca="false">SUMPRODUCT(E133:N133,1/(1+$F$130)^$E$3:$N$3)*$E$2</f>
        <v>5259.72176511026</v>
      </c>
      <c r="P133" s="15" t="n">
        <f aca="false">N133*$E$2*(1+$I$130)/($F$130-$I$130)/(1+$F$130)^$N$3</f>
        <v>7704.8370279751</v>
      </c>
      <c r="Q133" s="15" t="n">
        <f aca="false">O133+P133</f>
        <v>12964.5587930854</v>
      </c>
      <c r="R133" s="15" t="n">
        <f aca="false">Q133-$G$2+$I$2</f>
        <v>9848.35879308536</v>
      </c>
      <c r="S133" s="42" t="n">
        <f aca="false">R133/$K$2</f>
        <v>87.2308130477002</v>
      </c>
      <c r="T133" s="43" t="n">
        <f aca="false">S133-$M$2</f>
        <v>-81.2368574571714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7947.5</v>
      </c>
      <c r="F134" s="15" t="n">
        <f aca="false">E134*(1+IF(F$3&lt;=$O$2,$D134,$D134-($D134-$I$130)*MIN(F$3-$O$2,$Q$2)/$Q$2))</f>
        <v>8444.21875</v>
      </c>
      <c r="G134" s="15" t="n">
        <f aca="false">F134*(1+IF(G$3&lt;=$O$2,$D134,$D134-($D134-$I$130)*MIN(G$3-$O$2,$Q$2)/$Q$2))</f>
        <v>8971.982421875</v>
      </c>
      <c r="H134" s="15" t="n">
        <f aca="false">G134*(1+IF(H$3&lt;=$O$2,$D134,$D134-($D134-$I$130)*MIN(H$3-$O$2,$Q$2)/$Q$2))</f>
        <v>9532.73132324219</v>
      </c>
      <c r="I134" s="15" t="n">
        <f aca="false">H134*(1+IF(I$3&lt;=$O$2,$D134,$D134-($D134-$I$130)*MIN(I$3-$O$2,$Q$2)/$Q$2))</f>
        <v>10128.5270309448</v>
      </c>
      <c r="J134" s="15" t="n">
        <f aca="false">I134*(1+IF(J$3&lt;=$O$2,$D134,$D134-($D134-$I$130)*MIN(J$3-$O$2,$Q$2)/$Q$2))</f>
        <v>10702.4093725182</v>
      </c>
      <c r="K134" s="15" t="n">
        <f aca="false">J134*(1+IF(K$3&lt;=$O$2,$D134,$D134-($D134-$I$130)*MIN(K$3-$O$2,$Q$2)/$Q$2))</f>
        <v>11246.3058168295</v>
      </c>
      <c r="L134" s="15" t="n">
        <f aca="false">K134*(1+IF(L$3&lt;=$O$2,$D134,$D134-($D134-$I$130)*MIN(L$3-$O$2,$Q$2)/$Q$2))</f>
        <v>11752.1646524705</v>
      </c>
      <c r="M134" s="15" t="n">
        <f aca="false">L134*(1+IF(M$3&lt;=$O$2,$D134,$D134-($D134-$I$130)*MIN(M$3-$O$2,$Q$2)/$Q$2))</f>
        <v>12212.1443769682</v>
      </c>
      <c r="N134" s="15" t="n">
        <f aca="false">M134*(1+IF(N$3&lt;=$O$2,$D134,$D134-($D134-$I$130)*MIN(N$3-$O$2,$Q$2)/$Q$2))</f>
        <v>12618.8087847213</v>
      </c>
      <c r="O134" s="15" t="n">
        <f aca="false">SUMPRODUCT(E134:N134,1/(1+$F$130)^$E$3:$N$3)*$E$2</f>
        <v>12022.2202724308</v>
      </c>
      <c r="P134" s="15" t="n">
        <f aca="false">N134*$E$2*(1+$I$130)/($F$130-$I$130)/(1+$F$130)^$N$3</f>
        <v>29671.7837829562</v>
      </c>
      <c r="Q134" s="15" t="n">
        <f aca="false">O134+P134</f>
        <v>41694.004055387</v>
      </c>
      <c r="R134" s="15" t="n">
        <f aca="false">Q134-$G$2+$I$2</f>
        <v>38577.804055387</v>
      </c>
      <c r="S134" s="42" t="n">
        <f aca="false">R134/$K$2</f>
        <v>341.698884458698</v>
      </c>
      <c r="T134" s="43" t="n">
        <f aca="false">S134-$M$2</f>
        <v>173.231213953827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7246.25</v>
      </c>
      <c r="F135" s="15" t="n">
        <f aca="false">E135*(1+IF(F$3&lt;=$O$2,$D135,$D135-($D135-$I$130)*MIN(F$3-$O$2,$Q$2)/$Q$2))</f>
        <v>7019.8046875</v>
      </c>
      <c r="G135" s="15" t="n">
        <f aca="false">F135*(1+IF(G$3&lt;=$O$2,$D135,$D135-($D135-$I$130)*MIN(G$3-$O$2,$Q$2)/$Q$2))</f>
        <v>6800.43579101563</v>
      </c>
      <c r="H135" s="15" t="n">
        <f aca="false">G135*(1+IF(H$3&lt;=$O$2,$D135,$D135-($D135-$I$130)*MIN(H$3-$O$2,$Q$2)/$Q$2))</f>
        <v>6587.92217254639</v>
      </c>
      <c r="I135" s="15" t="n">
        <f aca="false">H135*(1+IF(I$3&lt;=$O$2,$D135,$D135-($D135-$I$130)*MIN(I$3-$O$2,$Q$2)/$Q$2))</f>
        <v>6382.04960465431</v>
      </c>
      <c r="J135" s="15" t="n">
        <f aca="false">I135*(1+IF(J$3&lt;=$O$2,$D135,$D135-($D135-$I$130)*MIN(J$3-$O$2,$Q$2)/$Q$2))</f>
        <v>6265.00281490495</v>
      </c>
      <c r="K135" s="15" t="n">
        <f aca="false">J135*(1+IF(K$3&lt;=$O$2,$D135,$D135-($D135-$I$130)*MIN(K$3-$O$2,$Q$2)/$Q$2))</f>
        <v>6230.98384962002</v>
      </c>
      <c r="L135" s="15" t="n">
        <f aca="false">K135*(1+IF(L$3&lt;=$O$2,$D135,$D135-($D135-$I$130)*MIN(L$3-$O$2,$Q$2)/$Q$2))</f>
        <v>6277.59160881518</v>
      </c>
      <c r="M135" s="15" t="n">
        <f aca="false">L135*(1+IF(M$3&lt;=$O$2,$D135,$D135-($D135-$I$130)*MIN(M$3-$O$2,$Q$2)/$Q$2))</f>
        <v>6405.59170171892</v>
      </c>
      <c r="N135" s="15" t="n">
        <f aca="false">M135*(1+IF(N$3&lt;=$O$2,$D135,$D135-($D135-$I$130)*MIN(N$3-$O$2,$Q$2)/$Q$2))</f>
        <v>6618.89790538616</v>
      </c>
      <c r="O135" s="15" t="n">
        <f aca="false">SUMPRODUCT(E135:N135,1/(1+$F$130)^$E$3:$N$3)*$E$2</f>
        <v>7931.97338808667</v>
      </c>
      <c r="P135" s="15" t="n">
        <f aca="false">N135*$E$2*(1+$I$130)/($F$130-$I$130)/(1+$F$130)^$N$3</f>
        <v>15563.6328975737</v>
      </c>
      <c r="Q135" s="15" t="n">
        <f aca="false">O135+P135</f>
        <v>23495.6062856604</v>
      </c>
      <c r="R135" s="15" t="n">
        <f aca="false">Q135-$G$2+$I$2</f>
        <v>20379.4062856604</v>
      </c>
      <c r="S135" s="42" t="n">
        <f aca="false">R135/$K$2</f>
        <v>180.508470200712</v>
      </c>
      <c r="T135" s="43" t="n">
        <f aca="false">S135-$M$2</f>
        <v>12.0407996958404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-0.125</v>
      </c>
      <c r="C136" s="25" t="n">
        <f aca="false">IF(T135&gt;0,D135,C135)</f>
        <v>-0.03125</v>
      </c>
      <c r="D136" s="41" t="n">
        <f aca="false">(B136+C136)/2</f>
        <v>-0.078125</v>
      </c>
      <c r="E136" s="15" t="n">
        <f aca="false">$C$2*(1+IF(E$3&lt;=$O$2,$D136,$D136-($D136-$I$130)*MIN(E$3-$O$2,$Q$2)/$Q$2))</f>
        <v>6895.625</v>
      </c>
      <c r="F136" s="15" t="n">
        <f aca="false">E136*(1+IF(F$3&lt;=$O$2,$D136,$D136-($D136-$I$130)*MIN(F$3-$O$2,$Q$2)/$Q$2))</f>
        <v>6356.904296875</v>
      </c>
      <c r="G136" s="15" t="n">
        <f aca="false">F136*(1+IF(G$3&lt;=$O$2,$D136,$D136-($D136-$I$130)*MIN(G$3-$O$2,$Q$2)/$Q$2))</f>
        <v>5860.27114868164</v>
      </c>
      <c r="H136" s="15" t="n">
        <f aca="false">G136*(1+IF(H$3&lt;=$O$2,$D136,$D136-($D136-$I$130)*MIN(H$3-$O$2,$Q$2)/$Q$2))</f>
        <v>5402.43746519089</v>
      </c>
      <c r="I136" s="15" t="n">
        <f aca="false">H136*(1+IF(I$3&lt;=$O$2,$D136,$D136-($D136-$I$130)*MIN(I$3-$O$2,$Q$2)/$Q$2))</f>
        <v>4980.37203822285</v>
      </c>
      <c r="J136" s="15" t="n">
        <f aca="false">I136*(1+IF(J$3&lt;=$O$2,$D136,$D136-($D136-$I$130)*MIN(J$3-$O$2,$Q$2)/$Q$2))</f>
        <v>4702.26806360849</v>
      </c>
      <c r="K136" s="15" t="n">
        <f aca="false">J136*(1+IF(K$3&lt;=$O$2,$D136,$D136-($D136-$I$130)*MIN(K$3-$O$2,$Q$2)/$Q$2))</f>
        <v>4544.4834587341</v>
      </c>
      <c r="L136" s="15" t="n">
        <f aca="false">K136*(1+IF(L$3&lt;=$O$2,$D136,$D136-($D136-$I$130)*MIN(L$3-$O$2,$Q$2)/$Q$2))</f>
        <v>4493.26713015417</v>
      </c>
      <c r="M136" s="15" t="n">
        <f aca="false">L136*(1+IF(M$3&lt;=$O$2,$D136,$D136-($D136-$I$130)*MIN(M$3-$O$2,$Q$2)/$Q$2))</f>
        <v>4542.76046759282</v>
      </c>
      <c r="N136" s="15" t="n">
        <f aca="false">M136*(1+IF(N$3&lt;=$O$2,$D136,$D136-($D136-$I$130)*MIN(N$3-$O$2,$Q$2)/$Q$2))</f>
        <v>4694.03439116366</v>
      </c>
      <c r="O136" s="15" t="n">
        <f aca="false">SUMPRODUCT(E136:N136,1/(1+$F$130)^$E$3:$N$3)*$E$2</f>
        <v>6452.79353792451</v>
      </c>
      <c r="P136" s="15" t="n">
        <f aca="false">N136*$E$2*(1+$I$130)/($F$130-$I$130)/(1+$F$130)^$N$3</f>
        <v>11037.5215204947</v>
      </c>
      <c r="Q136" s="15" t="n">
        <f aca="false">O136+P136</f>
        <v>17490.3150584192</v>
      </c>
      <c r="R136" s="15" t="n">
        <f aca="false">Q136-$G$2+$I$2</f>
        <v>14374.1150584192</v>
      </c>
      <c r="S136" s="42" t="n">
        <f aca="false">R136/$K$2</f>
        <v>127.317228152517</v>
      </c>
      <c r="T136" s="43" t="n">
        <f aca="false">S136-$M$2</f>
        <v>-41.1504423523541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-0.078125</v>
      </c>
      <c r="C137" s="25" t="n">
        <f aca="false">IF(T136&gt;0,D136,C136)</f>
        <v>-0.03125</v>
      </c>
      <c r="D137" s="41" t="n">
        <f aca="false">(B137+C137)/2</f>
        <v>-0.0546875</v>
      </c>
      <c r="E137" s="15" t="n">
        <f aca="false">$C$2*(1+IF(E$3&lt;=$O$2,$D137,$D137-($D137-$I$130)*MIN(E$3-$O$2,$Q$2)/$Q$2))</f>
        <v>7070.9375</v>
      </c>
      <c r="F137" s="15" t="n">
        <f aca="false">E137*(1+IF(F$3&lt;=$O$2,$D137,$D137-($D137-$I$130)*MIN(F$3-$O$2,$Q$2)/$Q$2))</f>
        <v>6684.24560546875</v>
      </c>
      <c r="G137" s="15" t="n">
        <f aca="false">F137*(1+IF(G$3&lt;=$O$2,$D137,$D137-($D137-$I$130)*MIN(G$3-$O$2,$Q$2)/$Q$2))</f>
        <v>6318.70092391968</v>
      </c>
      <c r="H137" s="15" t="n">
        <f aca="false">G137*(1+IF(H$3&lt;=$O$2,$D137,$D137-($D137-$I$130)*MIN(H$3-$O$2,$Q$2)/$Q$2))</f>
        <v>5973.14696714282</v>
      </c>
      <c r="I137" s="15" t="n">
        <f aca="false">H137*(1+IF(I$3&lt;=$O$2,$D137,$D137-($D137-$I$130)*MIN(I$3-$O$2,$Q$2)/$Q$2))</f>
        <v>5646.4904923772</v>
      </c>
      <c r="J137" s="15" t="n">
        <f aca="false">I137*(1+IF(J$3&lt;=$O$2,$D137,$D137-($D137-$I$130)*MIN(J$3-$O$2,$Q$2)/$Q$2))</f>
        <v>5437.06216001493</v>
      </c>
      <c r="K137" s="15" t="n">
        <f aca="false">J137*(1+IF(K$3&lt;=$O$2,$D137,$D137-($D137-$I$130)*MIN(K$3-$O$2,$Q$2)/$Q$2))</f>
        <v>5331.08022586084</v>
      </c>
      <c r="L137" s="15" t="n">
        <f aca="false">K137*(1+IF(L$3&lt;=$O$2,$D137,$D137-($D137-$I$130)*MIN(L$3-$O$2,$Q$2)/$Q$2))</f>
        <v>5320.97782883283</v>
      </c>
      <c r="M137" s="15" t="n">
        <f aca="false">L137*(1+IF(M$3&lt;=$O$2,$D137,$D137-($D137-$I$130)*MIN(M$3-$O$2,$Q$2)/$Q$2))</f>
        <v>5404.53048319008</v>
      </c>
      <c r="N137" s="15" t="n">
        <f aca="false">M137*(1+IF(N$3&lt;=$O$2,$D137,$D137-($D137-$I$130)*MIN(N$3-$O$2,$Q$2)/$Q$2))</f>
        <v>5584.50134828031</v>
      </c>
      <c r="O137" s="15" t="n">
        <f aca="false">SUMPRODUCT(E137:N137,1/(1+$F$130)^$E$3:$N$3)*$E$2</f>
        <v>7152.81823472534</v>
      </c>
      <c r="P137" s="15" t="n">
        <f aca="false">N137*$E$2*(1+$I$130)/($F$130-$I$130)/(1+$F$130)^$N$3</f>
        <v>13131.3596527773</v>
      </c>
      <c r="Q137" s="15" t="n">
        <f aca="false">O137+P137</f>
        <v>20284.1778875027</v>
      </c>
      <c r="R137" s="15" t="n">
        <f aca="false">Q137-$G$2+$I$2</f>
        <v>17167.9778875027</v>
      </c>
      <c r="S137" s="42" t="n">
        <f aca="false">R137/$K$2</f>
        <v>152.06357739152</v>
      </c>
      <c r="T137" s="43" t="n">
        <f aca="false">S137-$M$2</f>
        <v>-16.4040931133511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-0.0546875</v>
      </c>
      <c r="C138" s="25" t="n">
        <f aca="false">IF(T137&gt;0,D137,C137)</f>
        <v>-0.03125</v>
      </c>
      <c r="D138" s="41" t="n">
        <f aca="false">(B138+C138)/2</f>
        <v>-0.04296875</v>
      </c>
      <c r="E138" s="15" t="n">
        <f aca="false">$C$2*(1+IF(E$3&lt;=$O$2,$D138,$D138-($D138-$I$130)*MIN(E$3-$O$2,$Q$2)/$Q$2))</f>
        <v>7158.59375</v>
      </c>
      <c r="F138" s="15" t="n">
        <f aca="false">E138*(1+IF(F$3&lt;=$O$2,$D138,$D138-($D138-$I$130)*MIN(F$3-$O$2,$Q$2)/$Q$2))</f>
        <v>6850.99792480469</v>
      </c>
      <c r="G138" s="15" t="n">
        <f aca="false">F138*(1+IF(G$3&lt;=$O$2,$D138,$D138-($D138-$I$130)*MIN(G$3-$O$2,$Q$2)/$Q$2))</f>
        <v>6556.61910772324</v>
      </c>
      <c r="H138" s="15" t="n">
        <f aca="false">G138*(1+IF(H$3&lt;=$O$2,$D138,$D138-($D138-$I$130)*MIN(H$3-$O$2,$Q$2)/$Q$2))</f>
        <v>6274.88938043825</v>
      </c>
      <c r="I138" s="15" t="n">
        <f aca="false">H138*(1+IF(I$3&lt;=$O$2,$D138,$D138-($D138-$I$130)*MIN(I$3-$O$2,$Q$2)/$Q$2))</f>
        <v>6005.26522737255</v>
      </c>
      <c r="J138" s="15" t="n">
        <f aca="false">I138*(1+IF(J$3&lt;=$O$2,$D138,$D138-($D138-$I$130)*MIN(J$3-$O$2,$Q$2)/$Q$2))</f>
        <v>5838.82930159592</v>
      </c>
      <c r="K138" s="15" t="n">
        <f aca="false">J138*(1+IF(K$3&lt;=$O$2,$D138,$D138-($D138-$I$130)*MIN(K$3-$O$2,$Q$2)/$Q$2))</f>
        <v>5766.07018996141</v>
      </c>
      <c r="L138" s="15" t="n">
        <f aca="false">K138*(1+IF(L$3&lt;=$O$2,$D138,$D138-($D138-$I$130)*MIN(L$3-$O$2,$Q$2)/$Q$2))</f>
        <v>5782.17194096687</v>
      </c>
      <c r="M138" s="15" t="n">
        <f aca="false">L138*(1+IF(M$3&lt;=$O$2,$D138,$D138-($D138-$I$130)*MIN(M$3-$O$2,$Q$2)/$Q$2))</f>
        <v>5886.51846135655</v>
      </c>
      <c r="N138" s="15" t="n">
        <f aca="false">M138*(1+IF(N$3&lt;=$O$2,$D138,$D138-($D138-$I$130)*MIN(N$3-$O$2,$Q$2)/$Q$2))</f>
        <v>6082.53952611972</v>
      </c>
      <c r="O138" s="15" t="n">
        <f aca="false">SUMPRODUCT(E138:N138,1/(1+$F$130)^$E$3:$N$3)*$E$2</f>
        <v>7531.99068086861</v>
      </c>
      <c r="P138" s="15" t="n">
        <f aca="false">N138*$E$2*(1+$I$130)/($F$130-$I$130)/(1+$F$130)^$N$3</f>
        <v>14302.4433406767</v>
      </c>
      <c r="Q138" s="15" t="n">
        <f aca="false">O138+P138</f>
        <v>21834.4340215453</v>
      </c>
      <c r="R138" s="15" t="n">
        <f aca="false">Q138-$G$2+$I$2</f>
        <v>18718.2340215453</v>
      </c>
      <c r="S138" s="42" t="n">
        <f aca="false">R138/$K$2</f>
        <v>165.794809756823</v>
      </c>
      <c r="T138" s="43" t="n">
        <f aca="false">S138-$M$2</f>
        <v>-2.67286074804858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-0.04296875</v>
      </c>
      <c r="C139" s="25" t="n">
        <f aca="false">IF(T138&gt;0,D138,C138)</f>
        <v>-0.03125</v>
      </c>
      <c r="D139" s="41" t="n">
        <f aca="false">(B139+C139)/2</f>
        <v>-0.037109375</v>
      </c>
      <c r="E139" s="15" t="n">
        <f aca="false">$C$2*(1+IF(E$3&lt;=$O$2,$D139,$D139-($D139-$I$130)*MIN(E$3-$O$2,$Q$2)/$Q$2))</f>
        <v>7202.421875</v>
      </c>
      <c r="F139" s="15" t="n">
        <f aca="false">E139*(1+IF(F$3&lt;=$O$2,$D139,$D139-($D139-$I$130)*MIN(F$3-$O$2,$Q$2)/$Q$2))</f>
        <v>6935.14450073242</v>
      </c>
      <c r="G139" s="15" t="n">
        <f aca="false">F139*(1+IF(G$3&lt;=$O$2,$D139,$D139-($D139-$I$130)*MIN(G$3-$O$2,$Q$2)/$Q$2))</f>
        <v>6677.78562277556</v>
      </c>
      <c r="H139" s="15" t="n">
        <f aca="false">G139*(1+IF(H$3&lt;=$O$2,$D139,$D139-($D139-$I$130)*MIN(H$3-$O$2,$Q$2)/$Q$2))</f>
        <v>6429.97717193037</v>
      </c>
      <c r="I139" s="15" t="n">
        <f aca="false">H139*(1+IF(I$3&lt;=$O$2,$D139,$D139-($D139-$I$130)*MIN(I$3-$O$2,$Q$2)/$Q$2))</f>
        <v>6191.36473781577</v>
      </c>
      <c r="J139" s="15" t="n">
        <f aca="false">I139*(1+IF(J$3&lt;=$O$2,$D139,$D139-($D139-$I$130)*MIN(J$3-$O$2,$Q$2)/$Q$2))</f>
        <v>6048.79308631571</v>
      </c>
      <c r="K139" s="15" t="n">
        <f aca="false">J139*(1+IF(K$3&lt;=$O$2,$D139,$D139-($D139-$I$130)*MIN(K$3-$O$2,$Q$2)/$Q$2))</f>
        <v>5994.68285166294</v>
      </c>
      <c r="L139" s="15" t="n">
        <f aca="false">K139*(1+IF(L$3&lt;=$O$2,$D139,$D139-($D139-$I$130)*MIN(L$3-$O$2,$Q$2)/$Q$2))</f>
        <v>6025.47304145979</v>
      </c>
      <c r="M139" s="15" t="n">
        <f aca="false">L139*(1+IF(M$3&lt;=$O$2,$D139,$D139-($D139-$I$130)*MIN(M$3-$O$2,$Q$2)/$Q$2))</f>
        <v>6141.2713355547</v>
      </c>
      <c r="N139" s="15" t="n">
        <f aca="false">M139*(1+IF(N$3&lt;=$O$2,$D139,$D139-($D139-$I$130)*MIN(N$3-$O$2,$Q$2)/$Q$2))</f>
        <v>6345.77567102867</v>
      </c>
      <c r="O139" s="15" t="n">
        <f aca="false">SUMPRODUCT(E139:N139,1/(1+$F$130)^$E$3:$N$3)*$E$2</f>
        <v>7729.3139733472</v>
      </c>
      <c r="P139" s="15" t="n">
        <f aca="false">N139*$E$2*(1+$I$130)/($F$130-$I$130)/(1+$F$130)^$N$3</f>
        <v>14921.4150763491</v>
      </c>
      <c r="Q139" s="15" t="n">
        <f aca="false">O139+P139</f>
        <v>22650.7290496963</v>
      </c>
      <c r="R139" s="15" t="n">
        <f aca="false">Q139-$G$2+$I$2</f>
        <v>19534.5290496963</v>
      </c>
      <c r="S139" s="42" t="n">
        <f aca="false">R139/$K$2</f>
        <v>173.025058013254</v>
      </c>
      <c r="T139" s="43" t="n">
        <f aca="false">S139-$M$2</f>
        <v>4.55738750838202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-0.04296875</v>
      </c>
      <c r="C140" s="25" t="n">
        <f aca="false">IF(T139&gt;0,D139,C139)</f>
        <v>-0.037109375</v>
      </c>
      <c r="D140" s="41" t="n">
        <f aca="false">(B140+C140)/2</f>
        <v>-0.0400390625</v>
      </c>
      <c r="E140" s="15" t="n">
        <f aca="false">$C$2*(1+IF(E$3&lt;=$O$2,$D140,$D140-($D140-$I$130)*MIN(E$3-$O$2,$Q$2)/$Q$2))</f>
        <v>7180.5078125</v>
      </c>
      <c r="F140" s="15" t="n">
        <f aca="false">E140*(1+IF(F$3&lt;=$O$2,$D140,$D140-($D140-$I$130)*MIN(F$3-$O$2,$Q$2)/$Q$2))</f>
        <v>6893.00701141357</v>
      </c>
      <c r="G140" s="15" t="n">
        <f aca="false">F140*(1+IF(G$3&lt;=$O$2,$D140,$D140-($D140-$I$130)*MIN(G$3-$O$2,$Q$2)/$Q$2))</f>
        <v>6617.01747287065</v>
      </c>
      <c r="H140" s="15" t="n">
        <f aca="false">G140*(1+IF(H$3&lt;=$O$2,$D140,$D140-($D140-$I$130)*MIN(H$3-$O$2,$Q$2)/$Q$2))</f>
        <v>6352.07829671079</v>
      </c>
      <c r="I140" s="15" t="n">
        <f aca="false">H140*(1+IF(I$3&lt;=$O$2,$D140,$D140-($D140-$I$130)*MIN(I$3-$O$2,$Q$2)/$Q$2))</f>
        <v>6097.74703678389</v>
      </c>
      <c r="J140" s="15" t="n">
        <f aca="false">I140*(1+IF(J$3&lt;=$O$2,$D140,$D140-($D140-$I$130)*MIN(J$3-$O$2,$Q$2)/$Q$2))</f>
        <v>5943.03957227689</v>
      </c>
      <c r="K140" s="15" t="n">
        <f aca="false">J140*(1+IF(K$3&lt;=$O$2,$D140,$D140-($D140-$I$130)*MIN(K$3-$O$2,$Q$2)/$Q$2))</f>
        <v>5879.428619655</v>
      </c>
      <c r="L140" s="15" t="n">
        <f aca="false">K140*(1+IF(L$3&lt;=$O$2,$D140,$D140-($D140-$I$130)*MIN(L$3-$O$2,$Q$2)/$Q$2))</f>
        <v>5902.73687948904</v>
      </c>
      <c r="M140" s="15" t="n">
        <f aca="false">L140*(1+IF(M$3&lt;=$O$2,$D140,$D140-($D140-$I$130)*MIN(M$3-$O$2,$Q$2)/$Q$2))</f>
        <v>6012.71777979085</v>
      </c>
      <c r="N140" s="15" t="n">
        <f aca="false">M140*(1+IF(N$3&lt;=$O$2,$D140,$D140-($D140-$I$130)*MIN(N$3-$O$2,$Q$2)/$Q$2))</f>
        <v>6212.94128185788</v>
      </c>
      <c r="O140" s="15" t="n">
        <f aca="false">SUMPRODUCT(E140:N140,1/(1+$F$130)^$E$3:$N$3)*$E$2</f>
        <v>7629.99377575622</v>
      </c>
      <c r="P140" s="15" t="n">
        <f aca="false">N140*$E$2*(1+$I$130)/($F$130-$I$130)/(1+$F$130)^$N$3</f>
        <v>14609.0691694051</v>
      </c>
      <c r="Q140" s="15" t="n">
        <f aca="false">O140+P140</f>
        <v>22239.0629451613</v>
      </c>
      <c r="R140" s="15" t="n">
        <f aca="false">Q140-$G$2+$I$2</f>
        <v>19122.8629451613</v>
      </c>
      <c r="S140" s="42" t="n">
        <f aca="false">R140/$K$2</f>
        <v>169.378768336239</v>
      </c>
      <c r="T140" s="43" t="n">
        <f aca="false">S140-$M$2</f>
        <v>0.911097831367044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-0.04296875</v>
      </c>
      <c r="C141" s="25" t="n">
        <f aca="false">IF(T140&gt;0,D140,C140)</f>
        <v>-0.0400390625</v>
      </c>
      <c r="D141" s="41" t="n">
        <f aca="false">(B141+C141)/2</f>
        <v>-0.04150390625</v>
      </c>
      <c r="E141" s="15" t="n">
        <f aca="false">$C$2*(1+IF(E$3&lt;=$O$2,$D141,$D141-($D141-$I$130)*MIN(E$3-$O$2,$Q$2)/$Q$2))</f>
        <v>7169.55078125</v>
      </c>
      <c r="F141" s="15" t="n">
        <f aca="false">E141*(1+IF(F$3&lt;=$O$2,$D141,$D141-($D141-$I$130)*MIN(F$3-$O$2,$Q$2)/$Q$2))</f>
        <v>6871.98641777039</v>
      </c>
      <c r="G141" s="15" t="n">
        <f aca="false">F141*(1+IF(G$3&lt;=$O$2,$D141,$D141-($D141-$I$130)*MIN(G$3-$O$2,$Q$2)/$Q$2))</f>
        <v>6586.77213773597</v>
      </c>
      <c r="H141" s="15" t="n">
        <f aca="false">G141*(1+IF(H$3&lt;=$O$2,$D141,$D141-($D141-$I$130)*MIN(H$3-$O$2,$Q$2)/$Q$2))</f>
        <v>6313.39536444127</v>
      </c>
      <c r="I141" s="15" t="n">
        <f aca="false">H141*(1+IF(I$3&lt;=$O$2,$D141,$D141-($D141-$I$130)*MIN(I$3-$O$2,$Q$2)/$Q$2))</f>
        <v>6051.36479511631</v>
      </c>
      <c r="J141" s="15" t="n">
        <f aca="false">I141*(1+IF(J$3&lt;=$O$2,$D141,$D141-($D141-$I$130)*MIN(J$3-$O$2,$Q$2)/$Q$2))</f>
        <v>5890.74266293894</v>
      </c>
      <c r="K141" s="15" t="n">
        <f aca="false">J141*(1+IF(K$3&lt;=$O$2,$D141,$D141-($D141-$I$130)*MIN(K$3-$O$2,$Q$2)/$Q$2))</f>
        <v>5822.51405647399</v>
      </c>
      <c r="L141" s="15" t="n">
        <f aca="false">K141*(1+IF(L$3&lt;=$O$2,$D141,$D141-($D141-$I$130)*MIN(L$3-$O$2,$Q$2)/$Q$2))</f>
        <v>5842.18505630666</v>
      </c>
      <c r="M141" s="15" t="n">
        <f aca="false">L141*(1+IF(M$3&lt;=$O$2,$D141,$D141-($D141-$I$130)*MIN(M$3-$O$2,$Q$2)/$Q$2))</f>
        <v>5949.32616603225</v>
      </c>
      <c r="N141" s="15" t="n">
        <f aca="false">M141*(1+IF(N$3&lt;=$O$2,$D141,$D141-($D141-$I$130)*MIN(N$3-$O$2,$Q$2)/$Q$2))</f>
        <v>6147.43872736112</v>
      </c>
      <c r="O141" s="15" t="n">
        <f aca="false">SUMPRODUCT(E141:N141,1/(1+$F$130)^$E$3:$N$3)*$E$2</f>
        <v>7580.82863817702</v>
      </c>
      <c r="P141" s="15" t="n">
        <f aca="false">N141*$E$2*(1+$I$130)/($F$130-$I$130)/(1+$F$130)^$N$3</f>
        <v>14455.0468946075</v>
      </c>
      <c r="Q141" s="15" t="n">
        <f aca="false">O141+P141</f>
        <v>22035.8755327845</v>
      </c>
      <c r="R141" s="15" t="n">
        <f aca="false">Q141-$G$2+$I$2</f>
        <v>18919.6755327845</v>
      </c>
      <c r="S141" s="42" t="n">
        <f aca="false">R141/$K$2</f>
        <v>167.579056977719</v>
      </c>
      <c r="T141" s="43" t="n">
        <f aca="false">S141-$M$2</f>
        <v>-0.88861352715233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-0.04150390625</v>
      </c>
      <c r="C142" s="25" t="n">
        <f aca="false">IF(T141&gt;0,D141,C141)</f>
        <v>-0.0400390625</v>
      </c>
      <c r="D142" s="41" t="n">
        <f aca="false">(B142+C142)/2</f>
        <v>-0.040771484375</v>
      </c>
      <c r="E142" s="15" t="n">
        <f aca="false">$C$2*(1+IF(E$3&lt;=$O$2,$D142,$D142-($D142-$I$130)*MIN(E$3-$O$2,$Q$2)/$Q$2))</f>
        <v>7175.029296875</v>
      </c>
      <c r="F142" s="15" t="n">
        <f aca="false">E142*(1+IF(F$3&lt;=$O$2,$D142,$D142-($D142-$I$130)*MIN(F$3-$O$2,$Q$2)/$Q$2))</f>
        <v>6882.49270200729</v>
      </c>
      <c r="G142" s="15" t="n">
        <f aca="false">F142*(1+IF(G$3&lt;=$O$2,$D142,$D142-($D142-$I$130)*MIN(G$3-$O$2,$Q$2)/$Q$2))</f>
        <v>6601.88325834635</v>
      </c>
      <c r="H142" s="15" t="n">
        <f aca="false">G142*(1+IF(H$3&lt;=$O$2,$D142,$D142-($D142-$I$130)*MIN(H$3-$O$2,$Q$2)/$Q$2))</f>
        <v>6332.71467823311</v>
      </c>
      <c r="I142" s="15" t="n">
        <f aca="false">H142*(1+IF(I$3&lt;=$O$2,$D142,$D142-($D142-$I$130)*MIN(I$3-$O$2,$Q$2)/$Q$2))</f>
        <v>6074.5205006782</v>
      </c>
      <c r="J142" s="15" t="n">
        <f aca="false">I142*(1+IF(J$3&lt;=$O$2,$D142,$D142-($D142-$I$130)*MIN(J$3-$O$2,$Q$2)/$Q$2))</f>
        <v>5916.8430330695</v>
      </c>
      <c r="K142" s="15" t="n">
        <f aca="false">J142*(1+IF(K$3&lt;=$O$2,$D142,$D142-($D142-$I$130)*MIN(K$3-$O$2,$Q$2)/$Q$2))</f>
        <v>5850.91229830671</v>
      </c>
      <c r="L142" s="15" t="n">
        <f aca="false">K142*(1+IF(L$3&lt;=$O$2,$D142,$D142-($D142-$I$130)*MIN(L$3-$O$2,$Q$2)/$Q$2))</f>
        <v>5872.39337428692</v>
      </c>
      <c r="M142" s="15" t="n">
        <f aca="false">L142*(1+IF(M$3&lt;=$O$2,$D142,$D142-($D142-$I$130)*MIN(M$3-$O$2,$Q$2)/$Q$2))</f>
        <v>5980.9486948372</v>
      </c>
      <c r="N142" s="15" t="n">
        <f aca="false">M142*(1+IF(N$3&lt;=$O$2,$D142,$D142-($D142-$I$130)*MIN(N$3-$O$2,$Q$2)/$Q$2))</f>
        <v>6180.11428637528</v>
      </c>
      <c r="O142" s="15" t="n">
        <f aca="false">SUMPRODUCT(E142:N142,1/(1+$F$130)^$E$3:$N$3)*$E$2</f>
        <v>7605.37017892653</v>
      </c>
      <c r="P142" s="15" t="n">
        <f aca="false">N142*$E$2*(1+$I$130)/($F$130-$I$130)/(1+$F$130)^$N$3</f>
        <v>14531.8799886496</v>
      </c>
      <c r="Q142" s="15" t="n">
        <f aca="false">O142+P142</f>
        <v>22137.2501675761</v>
      </c>
      <c r="R142" s="15" t="n">
        <f aca="false">Q142-$G$2+$I$2</f>
        <v>19021.0501675761</v>
      </c>
      <c r="S142" s="42" t="n">
        <f aca="false">R142/$K$2</f>
        <v>168.476972254881</v>
      </c>
      <c r="T142" s="43" t="n">
        <f aca="false">S142-$M$2</f>
        <v>0.00930175000965505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-0.04150390625</v>
      </c>
      <c r="C143" s="25" t="n">
        <f aca="false">IF(T142&gt;0,D142,C142)</f>
        <v>-0.040771484375</v>
      </c>
      <c r="D143" s="41" t="n">
        <f aca="false">(B143+C143)/2</f>
        <v>-0.0411376953125</v>
      </c>
      <c r="E143" s="15" t="n">
        <f aca="false">$C$2*(1+IF(E$3&lt;=$O$2,$D143,$D143-($D143-$I$130)*MIN(E$3-$O$2,$Q$2)/$Q$2))</f>
        <v>7172.2900390625</v>
      </c>
      <c r="F143" s="15" t="n">
        <f aca="false">E143*(1+IF(F$3&lt;=$O$2,$D143,$D143-($D143-$I$130)*MIN(F$3-$O$2,$Q$2)/$Q$2))</f>
        <v>6877.23855674267</v>
      </c>
      <c r="G143" s="15" t="n">
        <f aca="false">F143*(1+IF(G$3&lt;=$O$2,$D143,$D143-($D143-$I$130)*MIN(G$3-$O$2,$Q$2)/$Q$2))</f>
        <v>6594.32481240401</v>
      </c>
      <c r="H143" s="15" t="n">
        <f aca="false">G143*(1+IF(H$3&lt;=$O$2,$D143,$D143-($D143-$I$130)*MIN(H$3-$O$2,$Q$2)/$Q$2))</f>
        <v>6323.04948747968</v>
      </c>
      <c r="I143" s="15" t="n">
        <f aca="false">H143*(1+IF(I$3&lt;=$O$2,$D143,$D143-($D143-$I$130)*MIN(I$3-$O$2,$Q$2)/$Q$2))</f>
        <v>6062.93380421788</v>
      </c>
      <c r="J143" s="15" t="n">
        <f aca="false">I143*(1+IF(J$3&lt;=$O$2,$D143,$D143-($D143-$I$130)*MIN(J$3-$O$2,$Q$2)/$Q$2))</f>
        <v>5903.78084452375</v>
      </c>
      <c r="K143" s="15" t="n">
        <f aca="false">J143*(1+IF(K$3&lt;=$O$2,$D143,$D143-($D143-$I$130)*MIN(K$3-$O$2,$Q$2)/$Q$2))</f>
        <v>5836.69844282853</v>
      </c>
      <c r="L143" s="15" t="n">
        <f aca="false">K143*(1+IF(L$3&lt;=$O$2,$D143,$D143-($D143-$I$130)*MIN(L$3-$O$2,$Q$2)/$Q$2))</f>
        <v>5857.27234884744</v>
      </c>
      <c r="M143" s="15" t="n">
        <f aca="false">L143*(1+IF(M$3&lt;=$O$2,$D143,$D143-($D143-$I$130)*MIN(M$3-$O$2,$Q$2)/$Q$2))</f>
        <v>5965.11914717089</v>
      </c>
      <c r="N143" s="15" t="n">
        <f aca="false">M143*(1+IF(N$3&lt;=$O$2,$D143,$D143-($D143-$I$130)*MIN(N$3-$O$2,$Q$2)/$Q$2))</f>
        <v>6163.75761477168</v>
      </c>
      <c r="O143" s="15" t="n">
        <f aca="false">SUMPRODUCT(E143:N143,1/(1+$F$130)^$E$3:$N$3)*$E$2</f>
        <v>7593.0891678835</v>
      </c>
      <c r="P143" s="15" t="n">
        <f aca="false">N143*$E$2*(1+$I$130)/($F$130-$I$130)/(1+$F$130)^$N$3</f>
        <v>14493.4190188773</v>
      </c>
      <c r="Q143" s="15" t="n">
        <f aca="false">O143+P143</f>
        <v>22086.5081867608</v>
      </c>
      <c r="R143" s="15" t="n">
        <f aca="false">Q143-$G$2+$I$2</f>
        <v>18970.3081867608</v>
      </c>
      <c r="S143" s="42" t="n">
        <f aca="false">R143/$K$2</f>
        <v>168.027530440751</v>
      </c>
      <c r="T143" s="43" t="n">
        <f aca="false">S143-$M$2</f>
        <v>-0.440140064120357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-0.0411376953125</v>
      </c>
      <c r="C144" s="25" t="n">
        <f aca="false">IF(T143&gt;0,D143,C143)</f>
        <v>-0.040771484375</v>
      </c>
      <c r="D144" s="41" t="n">
        <f aca="false">(B144+C144)/2</f>
        <v>-0.04095458984375</v>
      </c>
      <c r="E144" s="15" t="n">
        <f aca="false">$C$2*(1+IF(E$3&lt;=$O$2,$D144,$D144-($D144-$I$130)*MIN(E$3-$O$2,$Q$2)/$Q$2))</f>
        <v>7173.65966796875</v>
      </c>
      <c r="F144" s="15" t="n">
        <f aca="false">E144*(1+IF(F$3&lt;=$O$2,$D144,$D144-($D144-$I$130)*MIN(F$3-$O$2,$Q$2)/$Q$2))</f>
        <v>6879.86537858844</v>
      </c>
      <c r="G144" s="15" t="n">
        <f aca="false">F144*(1+IF(G$3&lt;=$O$2,$D144,$D144-($D144-$I$130)*MIN(G$3-$O$2,$Q$2)/$Q$2))</f>
        <v>6598.10331382813</v>
      </c>
      <c r="H144" s="15" t="n">
        <f aca="false">G144*(1+IF(H$3&lt;=$O$2,$D144,$D144-($D144-$I$130)*MIN(H$3-$O$2,$Q$2)/$Q$2))</f>
        <v>6327.88069886361</v>
      </c>
      <c r="I144" s="15" t="n">
        <f aca="false">H144*(1+IF(I$3&lt;=$O$2,$D144,$D144-($D144-$I$130)*MIN(I$3-$O$2,$Q$2)/$Q$2))</f>
        <v>6068.72494026147</v>
      </c>
      <c r="J144" s="15" t="n">
        <f aca="false">I144*(1+IF(J$3&lt;=$O$2,$D144,$D144-($D144-$I$130)*MIN(J$3-$O$2,$Q$2)/$Q$2))</f>
        <v>5910.30893572126</v>
      </c>
      <c r="K144" s="15" t="n">
        <f aca="false">J144*(1+IF(K$3&lt;=$O$2,$D144,$D144-($D144-$I$130)*MIN(K$3-$O$2,$Q$2)/$Q$2))</f>
        <v>5843.80168375768</v>
      </c>
      <c r="L144" s="15" t="n">
        <f aca="false">K144*(1+IF(L$3&lt;=$O$2,$D144,$D144-($D144-$I$130)*MIN(L$3-$O$2,$Q$2)/$Q$2))</f>
        <v>5864.82864096455</v>
      </c>
      <c r="M144" s="15" t="n">
        <f aca="false">L144*(1+IF(M$3&lt;=$O$2,$D144,$D144-($D144-$I$130)*MIN(M$3-$O$2,$Q$2)/$Q$2))</f>
        <v>5973.02934566093</v>
      </c>
      <c r="N144" s="15" t="n">
        <f aca="false">M144*(1+IF(N$3&lt;=$O$2,$D144,$D144-($D144-$I$130)*MIN(N$3-$O$2,$Q$2)/$Q$2))</f>
        <v>6171.93122287144</v>
      </c>
      <c r="O144" s="15" t="n">
        <f aca="false">SUMPRODUCT(E144:N144,1/(1+$F$130)^$E$3:$N$3)*$E$2</f>
        <v>7599.22711119701</v>
      </c>
      <c r="P144" s="15" t="n">
        <f aca="false">N144*$E$2*(1+$I$130)/($F$130-$I$130)/(1+$F$130)^$N$3</f>
        <v>14512.638387076</v>
      </c>
      <c r="Q144" s="15" t="n">
        <f aca="false">O144+P144</f>
        <v>22111.865498273</v>
      </c>
      <c r="R144" s="15" t="n">
        <f aca="false">Q144-$G$2+$I$2</f>
        <v>18995.665498273</v>
      </c>
      <c r="S144" s="42" t="n">
        <f aca="false">R144/$K$2</f>
        <v>168.252130188424</v>
      </c>
      <c r="T144" s="43" t="n">
        <f aca="false">S144-$M$2</f>
        <v>-0.215540316447971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-0.04095458984375</v>
      </c>
      <c r="C145" s="25" t="n">
        <f aca="false">IF(T144&gt;0,D144,C144)</f>
        <v>-0.040771484375</v>
      </c>
      <c r="D145" s="41" t="n">
        <f aca="false">(B145+C145)/2</f>
        <v>-0.040863037109375</v>
      </c>
      <c r="E145" s="15" t="n">
        <f aca="false">$C$2*(1+IF(E$3&lt;=$O$2,$D145,$D145-($D145-$I$130)*MIN(E$3-$O$2,$Q$2)/$Q$2))</f>
        <v>7174.34448242188</v>
      </c>
      <c r="F145" s="15" t="n">
        <f aca="false">E145*(1+IF(F$3&lt;=$O$2,$D145,$D145-($D145-$I$130)*MIN(F$3-$O$2,$Q$2)/$Q$2))</f>
        <v>6881.17897760123</v>
      </c>
      <c r="G145" s="15" t="n">
        <f aca="false">F145*(1+IF(G$3&lt;=$O$2,$D145,$D145-($D145-$I$130)*MIN(G$3-$O$2,$Q$2)/$Q$2))</f>
        <v>6599.99310568326</v>
      </c>
      <c r="H145" s="15" t="n">
        <f aca="false">G145*(1+IF(H$3&lt;=$O$2,$D145,$D145-($D145-$I$130)*MIN(H$3-$O$2,$Q$2)/$Q$2))</f>
        <v>6330.29734248411</v>
      </c>
      <c r="I145" s="15" t="n">
        <f aca="false">H145*(1+IF(I$3&lt;=$O$2,$D145,$D145-($D145-$I$130)*MIN(I$3-$O$2,$Q$2)/$Q$2))</f>
        <v>6071.6221672648</v>
      </c>
      <c r="J145" s="15" t="n">
        <f aca="false">I145*(1+IF(J$3&lt;=$O$2,$D145,$D145-($D145-$I$130)*MIN(J$3-$O$2,$Q$2)/$Q$2))</f>
        <v>5913.57523335075</v>
      </c>
      <c r="K145" s="15" t="n">
        <f aca="false">J145*(1+IF(K$3&lt;=$O$2,$D145,$D145-($D145-$I$130)*MIN(K$3-$O$2,$Q$2)/$Q$2))</f>
        <v>5847.35606893328</v>
      </c>
      <c r="L145" s="15" t="n">
        <f aca="false">K145*(1+IF(L$3&lt;=$O$2,$D145,$D145-($D145-$I$130)*MIN(L$3-$O$2,$Q$2)/$Q$2))</f>
        <v>5868.60995197595</v>
      </c>
      <c r="M145" s="15" t="n">
        <f aca="false">L145*(1+IF(M$3&lt;=$O$2,$D145,$D145-($D145-$I$130)*MIN(M$3-$O$2,$Q$2)/$Q$2))</f>
        <v>5976.98787584698</v>
      </c>
      <c r="N145" s="15" t="n">
        <f aca="false">M145*(1+IF(N$3&lt;=$O$2,$D145,$D145-($D145-$I$130)*MIN(N$3-$O$2,$Q$2)/$Q$2))</f>
        <v>6176.02157211269</v>
      </c>
      <c r="O145" s="15" t="n">
        <f aca="false">SUMPRODUCT(E145:N145,1/(1+$F$130)^$E$3:$N$3)*$E$2</f>
        <v>7602.29800425449</v>
      </c>
      <c r="P145" s="15" t="n">
        <f aca="false">N145*$E$2*(1+$I$130)/($F$130-$I$130)/(1+$F$130)^$N$3</f>
        <v>14522.256407315</v>
      </c>
      <c r="Q145" s="15" t="n">
        <f aca="false">O145+P145</f>
        <v>22124.5544115695</v>
      </c>
      <c r="R145" s="15" t="n">
        <f aca="false">Q145-$G$2+$I$2</f>
        <v>19008.3544115695</v>
      </c>
      <c r="S145" s="42" t="n">
        <f aca="false">R145/$K$2</f>
        <v>168.364520917356</v>
      </c>
      <c r="T145" s="43" t="n">
        <f aca="false">S145-$M$2</f>
        <v>-0.103149587515702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-0.040863037109375</v>
      </c>
      <c r="C146" s="25" t="n">
        <f aca="false">IF(T145&gt;0,D145,C145)</f>
        <v>-0.040771484375</v>
      </c>
      <c r="D146" s="41" t="n">
        <f aca="false">(B146+C146)/2</f>
        <v>-0.0408172607421875</v>
      </c>
      <c r="E146" s="15" t="n">
        <f aca="false">$C$2*(1+IF(E$3&lt;=$O$2,$D146,$D146-($D146-$I$130)*MIN(E$3-$O$2,$Q$2)/$Q$2))</f>
        <v>7174.68688964844</v>
      </c>
      <c r="F146" s="15" t="n">
        <f aca="false">E146*(1+IF(F$3&lt;=$O$2,$D146,$D146-($D146-$I$130)*MIN(F$3-$O$2,$Q$2)/$Q$2))</f>
        <v>6881.8358241301</v>
      </c>
      <c r="G146" s="15" t="n">
        <f aca="false">F146*(1+IF(G$3&lt;=$O$2,$D146,$D146-($D146-$I$130)*MIN(G$3-$O$2,$Q$2)/$Q$2))</f>
        <v>6600.93813691166</v>
      </c>
      <c r="H146" s="15" t="n">
        <f aca="false">G146*(1+IF(H$3&lt;=$O$2,$D146,$D146-($D146-$I$130)*MIN(H$3-$O$2,$Q$2)/$Q$2))</f>
        <v>6331.50592383429</v>
      </c>
      <c r="I146" s="15" t="n">
        <f aca="false">H146*(1+IF(I$3&lt;=$O$2,$D146,$D146-($D146-$I$130)*MIN(I$3-$O$2,$Q$2)/$Q$2))</f>
        <v>6073.07119565044</v>
      </c>
      <c r="J146" s="15" t="n">
        <f aca="false">I146*(1+IF(J$3&lt;=$O$2,$D146,$D146-($D146-$I$130)*MIN(J$3-$O$2,$Q$2)/$Q$2))</f>
        <v>5915.20894541448</v>
      </c>
      <c r="K146" s="15" t="n">
        <f aca="false">J146*(1+IF(K$3&lt;=$O$2,$D146,$D146-($D146-$I$130)*MIN(K$3-$O$2,$Q$2)/$Q$2))</f>
        <v>5849.1339530457</v>
      </c>
      <c r="L146" s="15" t="n">
        <f aca="false">K146*(1+IF(L$3&lt;=$O$2,$D146,$D146-($D146-$I$130)*MIN(L$3-$O$2,$Q$2)/$Q$2))</f>
        <v>5870.50139915658</v>
      </c>
      <c r="M146" s="15" t="n">
        <f aca="false">L146*(1+IF(M$3&lt;=$O$2,$D146,$D146-($D146-$I$130)*MIN(M$3-$O$2,$Q$2)/$Q$2))</f>
        <v>5978.96799917076</v>
      </c>
      <c r="N146" s="15" t="n">
        <f aca="false">M146*(1+IF(N$3&lt;=$O$2,$D146,$D146-($D146-$I$130)*MIN(N$3-$O$2,$Q$2)/$Q$2))</f>
        <v>6178.06763354314</v>
      </c>
      <c r="O146" s="15" t="n">
        <f aca="false">SUMPRODUCT(E146:N146,1/(1+$F$130)^$E$3:$N$3)*$E$2</f>
        <v>7603.83393135678</v>
      </c>
      <c r="P146" s="15" t="n">
        <f aca="false">N146*$E$2*(1+$I$130)/($F$130-$I$130)/(1+$F$130)^$N$3</f>
        <v>14527.0675026733</v>
      </c>
      <c r="Q146" s="15" t="n">
        <f aca="false">O146+P146</f>
        <v>22130.90143403</v>
      </c>
      <c r="R146" s="15" t="n">
        <f aca="false">Q146-$G$2+$I$2</f>
        <v>19014.70143403</v>
      </c>
      <c r="S146" s="42" t="n">
        <f aca="false">R146/$K$2</f>
        <v>168.420739008238</v>
      </c>
      <c r="T146" s="43" t="n">
        <f aca="false">S146-$M$2</f>
        <v>-0.0469314966338459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-0.0408172607421875</v>
      </c>
      <c r="C147" s="25" t="n">
        <f aca="false">IF(T146&gt;0,D146,C146)</f>
        <v>-0.040771484375</v>
      </c>
      <c r="D147" s="41" t="n">
        <f aca="false">(B147+C147)/2</f>
        <v>-0.0407943725585938</v>
      </c>
      <c r="E147" s="15" t="n">
        <f aca="false">$C$2*(1+IF(E$3&lt;=$O$2,$D147,$D147-($D147-$I$130)*MIN(E$3-$O$2,$Q$2)/$Q$2))</f>
        <v>7174.85809326172</v>
      </c>
      <c r="F147" s="15" t="n">
        <f aca="false">E147*(1+IF(F$3&lt;=$O$2,$D147,$D147-($D147-$I$130)*MIN(F$3-$O$2,$Q$2)/$Q$2))</f>
        <v>6882.16425915016</v>
      </c>
      <c r="G147" s="15" t="n">
        <f aca="false">F147*(1+IF(G$3&lt;=$O$2,$D147,$D147-($D147-$I$130)*MIN(G$3-$O$2,$Q$2)/$Q$2))</f>
        <v>6601.41068635295</v>
      </c>
      <c r="H147" s="15" t="n">
        <f aca="false">G147*(1+IF(H$3&lt;=$O$2,$D147,$D147-($D147-$I$130)*MIN(H$3-$O$2,$Q$2)/$Q$2))</f>
        <v>6332.11027940158</v>
      </c>
      <c r="I147" s="15" t="n">
        <f aca="false">H147*(1+IF(I$3&lt;=$O$2,$D147,$D147-($D147-$I$130)*MIN(I$3-$O$2,$Q$2)/$Q$2))</f>
        <v>6073.79581358158</v>
      </c>
      <c r="J147" s="15" t="n">
        <f aca="false">I147*(1+IF(J$3&lt;=$O$2,$D147,$D147-($D147-$I$130)*MIN(J$3-$O$2,$Q$2)/$Q$2))</f>
        <v>5916.02594228877</v>
      </c>
      <c r="K147" s="15" t="n">
        <f aca="false">J147*(1+IF(K$3&lt;=$O$2,$D147,$D147-($D147-$I$130)*MIN(K$3-$O$2,$Q$2)/$Q$2))</f>
        <v>5850.02306802644</v>
      </c>
      <c r="L147" s="15" t="n">
        <f aca="false">K147*(1+IF(L$3&lt;=$O$2,$D147,$D147-($D147-$I$130)*MIN(L$3-$O$2,$Q$2)/$Q$2))</f>
        <v>5871.44732072023</v>
      </c>
      <c r="M147" s="15" t="n">
        <f aca="false">L147*(1+IF(M$3&lt;=$O$2,$D147,$D147-($D147-$I$130)*MIN(M$3-$O$2,$Q$2)/$Q$2))</f>
        <v>5979.95827545229</v>
      </c>
      <c r="N147" s="15" t="n">
        <f aca="false">M147*(1+IF(N$3&lt;=$O$2,$D147,$D147-($D147-$I$130)*MIN(N$3-$O$2,$Q$2)/$Q$2))</f>
        <v>6179.09088602486</v>
      </c>
      <c r="O147" s="15" t="n">
        <f aca="false">SUMPRODUCT(E147:N147,1/(1+$F$130)^$E$3:$N$3)*$E$2</f>
        <v>7604.60201507923</v>
      </c>
      <c r="P147" s="15" t="n">
        <f aca="false">N147*$E$2*(1+$I$130)/($F$130-$I$130)/(1+$F$130)^$N$3</f>
        <v>14529.4735718127</v>
      </c>
      <c r="Q147" s="15" t="n">
        <f aca="false">O147+P147</f>
        <v>22134.0755868919</v>
      </c>
      <c r="R147" s="15" t="n">
        <f aca="false">Q147-$G$2+$I$2</f>
        <v>19017.8755868919</v>
      </c>
      <c r="S147" s="42" t="n">
        <f aca="false">R147/$K$2</f>
        <v>168.448853736863</v>
      </c>
      <c r="T147" s="43" t="n">
        <f aca="false">S147-$M$2</f>
        <v>-0.0188167680082074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-0.0407943725585938</v>
      </c>
      <c r="C148" s="25" t="n">
        <f aca="false">IF(T147&gt;0,D147,C147)</f>
        <v>-0.040771484375</v>
      </c>
      <c r="D148" s="41" t="n">
        <f aca="false">(B148+C148)/2</f>
        <v>-0.0407829284667969</v>
      </c>
      <c r="E148" s="15" t="n">
        <f aca="false">$C$2*(1+IF(E$3&lt;=$O$2,$D148,$D148-($D148-$I$130)*MIN(E$3-$O$2,$Q$2)/$Q$2))</f>
        <v>7174.94369506836</v>
      </c>
      <c r="F148" s="15" t="n">
        <f aca="false">E148*(1+IF(F$3&lt;=$O$2,$D148,$D148-($D148-$I$130)*MIN(F$3-$O$2,$Q$2)/$Q$2))</f>
        <v>6882.32847959909</v>
      </c>
      <c r="G148" s="15" t="n">
        <f aca="false">F148*(1+IF(G$3&lt;=$O$2,$D148,$D148-($D148-$I$130)*MIN(G$3-$O$2,$Q$2)/$Q$2))</f>
        <v>6601.6469695306</v>
      </c>
      <c r="H148" s="15" t="n">
        <f aca="false">G148*(1+IF(H$3&lt;=$O$2,$D148,$D148-($D148-$I$130)*MIN(H$3-$O$2,$Q$2)/$Q$2))</f>
        <v>6332.41247340919</v>
      </c>
      <c r="I148" s="15" t="n">
        <f aca="false">H148*(1+IF(I$3&lt;=$O$2,$D148,$D148-($D148-$I$130)*MIN(I$3-$O$2,$Q$2)/$Q$2))</f>
        <v>6074.15814848389</v>
      </c>
      <c r="J148" s="15" t="n">
        <f aca="false">I148*(1+IF(J$3&lt;=$O$2,$D148,$D148-($D148-$I$130)*MIN(J$3-$O$2,$Q$2)/$Q$2))</f>
        <v>5916.43447594029</v>
      </c>
      <c r="K148" s="15" t="n">
        <f aca="false">J148*(1+IF(K$3&lt;=$O$2,$D148,$D148-($D148-$I$130)*MIN(K$3-$O$2,$Q$2)/$Q$2))</f>
        <v>5850.46766875336</v>
      </c>
      <c r="L148" s="15" t="n">
        <f aca="false">K148*(1+IF(L$3&lt;=$O$2,$D148,$D148-($D148-$I$130)*MIN(L$3-$O$2,$Q$2)/$Q$2))</f>
        <v>5871.92033100222</v>
      </c>
      <c r="M148" s="15" t="n">
        <f aca="false">L148*(1+IF(M$3&lt;=$O$2,$D148,$D148-($D148-$I$130)*MIN(M$3-$O$2,$Q$2)/$Q$2))</f>
        <v>5980.45346725572</v>
      </c>
      <c r="N148" s="15" t="n">
        <f aca="false">M148*(1+IF(N$3&lt;=$O$2,$D148,$D148-($D148-$I$130)*MIN(N$3-$O$2,$Q$2)/$Q$2))</f>
        <v>6179.60256771533</v>
      </c>
      <c r="O148" s="15" t="n">
        <f aca="false">SUMPRODUCT(E148:N148,1/(1+$F$130)^$E$3:$N$3)*$E$2</f>
        <v>7604.98608698677</v>
      </c>
      <c r="P148" s="15" t="n">
        <f aca="false">N148*$E$2*(1+$I$130)/($F$130-$I$130)/(1+$F$130)^$N$3</f>
        <v>14530.6767367662</v>
      </c>
      <c r="Q148" s="15" t="n">
        <f aca="false">O148+P148</f>
        <v>22135.662823753</v>
      </c>
      <c r="R148" s="15" t="n">
        <f aca="false">Q148-$G$2+$I$2</f>
        <v>19019.462823753</v>
      </c>
      <c r="S148" s="42" t="n">
        <f aca="false">R148/$K$2</f>
        <v>168.46291252217</v>
      </c>
      <c r="T148" s="43" t="n">
        <f aca="false">S148-$M$2</f>
        <v>-0.00475798270156247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-0.0407829284667969</v>
      </c>
      <c r="C149" s="25" t="n">
        <f aca="false">IF(T148&gt;0,D148,C148)</f>
        <v>-0.040771484375</v>
      </c>
      <c r="D149" s="41" t="n">
        <f aca="false">(B149+C149)/2</f>
        <v>-0.0407772064208984</v>
      </c>
      <c r="E149" s="15" t="n">
        <f aca="false">$C$2*(1+IF(E$3&lt;=$O$2,$D149,$D149-($D149-$I$130)*MIN(E$3-$O$2,$Q$2)/$Q$2))</f>
        <v>7174.98649597168</v>
      </c>
      <c r="F149" s="15" t="n">
        <f aca="false">E149*(1+IF(F$3&lt;=$O$2,$D149,$D149-($D149-$I$130)*MIN(F$3-$O$2,$Q$2)/$Q$2))</f>
        <v>6882.41059055828</v>
      </c>
      <c r="G149" s="15" t="n">
        <f aca="false">F149*(1+IF(G$3&lt;=$O$2,$D149,$D149-($D149-$I$130)*MIN(G$3-$O$2,$Q$2)/$Q$2))</f>
        <v>6601.76511323371</v>
      </c>
      <c r="H149" s="15" t="n">
        <f aca="false">G149*(1+IF(H$3&lt;=$O$2,$D149,$D149-($D149-$I$130)*MIN(H$3-$O$2,$Q$2)/$Q$2))</f>
        <v>6332.56357446909</v>
      </c>
      <c r="I149" s="15" t="n">
        <f aca="false">H149*(1+IF(I$3&lt;=$O$2,$D149,$D149-($D149-$I$130)*MIN(I$3-$O$2,$Q$2)/$Q$2))</f>
        <v>6074.33932241951</v>
      </c>
      <c r="J149" s="15" t="n">
        <f aca="false">I149*(1+IF(J$3&lt;=$O$2,$D149,$D149-($D149-$I$130)*MIN(J$3-$O$2,$Q$2)/$Q$2))</f>
        <v>5916.63875157012</v>
      </c>
      <c r="K149" s="15" t="n">
        <f aca="false">J149*(1+IF(K$3&lt;=$O$2,$D149,$D149-($D149-$I$130)*MIN(K$3-$O$2,$Q$2)/$Q$2))</f>
        <v>5850.68997992663</v>
      </c>
      <c r="L149" s="15" t="n">
        <f aca="false">K149*(1+IF(L$3&lt;=$O$2,$D149,$D149-($D149-$I$130)*MIN(L$3-$O$2,$Q$2)/$Q$2))</f>
        <v>5872.15684851911</v>
      </c>
      <c r="M149" s="15" t="n">
        <f aca="false">L149*(1+IF(M$3&lt;=$O$2,$D149,$D149-($D149-$I$130)*MIN(M$3-$O$2,$Q$2)/$Q$2))</f>
        <v>5980.70107657406</v>
      </c>
      <c r="N149" s="15" t="n">
        <f aca="false">M149*(1+IF(N$3&lt;=$O$2,$D149,$D149-($D149-$I$130)*MIN(N$3-$O$2,$Q$2)/$Q$2))</f>
        <v>6179.85842242398</v>
      </c>
      <c r="O149" s="15" t="n">
        <f aca="false">SUMPRODUCT(E149:N149,1/(1+$F$130)^$E$3:$N$3)*$E$2</f>
        <v>7605.17813045256</v>
      </c>
      <c r="P149" s="15" t="n">
        <f aca="false">N149*$E$2*(1+$I$130)/($F$130-$I$130)/(1+$F$130)^$N$3</f>
        <v>14531.2783518413</v>
      </c>
      <c r="Q149" s="15" t="n">
        <f aca="false">O149+P149</f>
        <v>22136.4564822939</v>
      </c>
      <c r="R149" s="15" t="n">
        <f aca="false">Q149-$G$2+$I$2</f>
        <v>19020.2564822939</v>
      </c>
      <c r="S149" s="42" t="n">
        <f aca="false">R149/$K$2</f>
        <v>168.469942270096</v>
      </c>
      <c r="T149" s="43" t="n">
        <f aca="false">S149-$M$2</f>
        <v>0.00227176522489003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-0.0407829284667969</v>
      </c>
      <c r="C150" s="25" t="n">
        <f aca="false">IF(T149&gt;0,D149,C149)</f>
        <v>-0.0407772064208984</v>
      </c>
      <c r="D150" s="41" t="n">
        <f aca="false">(B150+C150)/2</f>
        <v>-0.0407800674438477</v>
      </c>
      <c r="E150" s="15" t="n">
        <f aca="false">$C$2*(1+IF(E$3&lt;=$O$2,$D150,$D150-($D150-$I$130)*MIN(E$3-$O$2,$Q$2)/$Q$2))</f>
        <v>7174.96509552002</v>
      </c>
      <c r="F150" s="15" t="n">
        <f aca="false">E150*(1+IF(F$3&lt;=$O$2,$D150,$D150-($D150-$I$130)*MIN(F$3-$O$2,$Q$2)/$Q$2))</f>
        <v>6882.36953501746</v>
      </c>
      <c r="G150" s="15" t="n">
        <f aca="false">F150*(1+IF(G$3&lt;=$O$2,$D150,$D150-($D150-$I$130)*MIN(G$3-$O$2,$Q$2)/$Q$2))</f>
        <v>6601.70604120597</v>
      </c>
      <c r="H150" s="15" t="n">
        <f aca="false">G150*(1+IF(H$3&lt;=$O$2,$D150,$D150-($D150-$I$130)*MIN(H$3-$O$2,$Q$2)/$Q$2))</f>
        <v>6332.48802360113</v>
      </c>
      <c r="I150" s="15" t="n">
        <f aca="false">H150*(1+IF(I$3&lt;=$O$2,$D150,$D150-($D150-$I$130)*MIN(I$3-$O$2,$Q$2)/$Q$2))</f>
        <v>6074.24873491132</v>
      </c>
      <c r="J150" s="15" t="n">
        <f aca="false">I150*(1+IF(J$3&lt;=$O$2,$D150,$D150-($D150-$I$130)*MIN(J$3-$O$2,$Q$2)/$Q$2))</f>
        <v>5916.53661302152</v>
      </c>
      <c r="K150" s="15" t="n">
        <f aca="false">J150*(1+IF(K$3&lt;=$O$2,$D150,$D150-($D150-$I$130)*MIN(K$3-$O$2,$Q$2)/$Q$2))</f>
        <v>5850.57882343916</v>
      </c>
      <c r="L150" s="15" t="n">
        <f aca="false">K150*(1+IF(L$3&lt;=$O$2,$D150,$D150-($D150-$I$130)*MIN(L$3-$O$2,$Q$2)/$Q$2))</f>
        <v>5872.03858872931</v>
      </c>
      <c r="M150" s="15" t="n">
        <f aca="false">L150*(1+IF(M$3&lt;=$O$2,$D150,$D150-($D150-$I$130)*MIN(M$3-$O$2,$Q$2)/$Q$2))</f>
        <v>5980.57727079681</v>
      </c>
      <c r="N150" s="15" t="n">
        <f aca="false">M150*(1+IF(N$3&lt;=$O$2,$D150,$D150-($D150-$I$130)*MIN(N$3-$O$2,$Q$2)/$Q$2))</f>
        <v>6179.73049391434</v>
      </c>
      <c r="O150" s="15" t="n">
        <f aca="false">SUMPRODUCT(E150:N150,1/(1+$F$130)^$E$3:$N$3)*$E$2</f>
        <v>7605.08210809365</v>
      </c>
      <c r="P150" s="15" t="n">
        <f aca="false">N150*$E$2*(1+$I$130)/($F$130-$I$130)/(1+$F$130)^$N$3</f>
        <v>14530.9775415872</v>
      </c>
      <c r="Q150" s="15" t="n">
        <f aca="false">O150+P150</f>
        <v>22136.0596496808</v>
      </c>
      <c r="R150" s="15" t="n">
        <f aca="false">Q150-$G$2+$I$2</f>
        <v>19019.8596496808</v>
      </c>
      <c r="S150" s="42" t="n">
        <f aca="false">R150/$K$2</f>
        <v>168.466427366526</v>
      </c>
      <c r="T150" s="43" t="n">
        <f aca="false">S150-$M$2</f>
        <v>-0.00124313834515988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-0.0407800674438477</v>
      </c>
      <c r="C151" s="25" t="n">
        <f aca="false">IF(T150&gt;0,D150,C150)</f>
        <v>-0.0407772064208984</v>
      </c>
      <c r="D151" s="41" t="n">
        <f aca="false">(B151+C151)/2</f>
        <v>-0.0407786369323731</v>
      </c>
      <c r="E151" s="15" t="n">
        <f aca="false">$C$2*(1+IF(E$3&lt;=$O$2,$D151,$D151-($D151-$I$130)*MIN(E$3-$O$2,$Q$2)/$Q$2))</f>
        <v>7174.97579574585</v>
      </c>
      <c r="F151" s="15" t="n">
        <f aca="false">E151*(1+IF(F$3&lt;=$O$2,$D151,$D151-($D151-$I$130)*MIN(F$3-$O$2,$Q$2)/$Q$2))</f>
        <v>6882.39006277257</v>
      </c>
      <c r="G151" s="15" t="n">
        <f aca="false">F151*(1+IF(G$3&lt;=$O$2,$D151,$D151-($D151-$I$130)*MIN(G$3-$O$2,$Q$2)/$Q$2))</f>
        <v>6601.73557717579</v>
      </c>
      <c r="H151" s="15" t="n">
        <f aca="false">G151*(1+IF(H$3&lt;=$O$2,$D151,$D151-($D151-$I$130)*MIN(H$3-$O$2,$Q$2)/$Q$2))</f>
        <v>6332.52579895061</v>
      </c>
      <c r="I151" s="15" t="n">
        <f aca="false">H151*(1+IF(I$3&lt;=$O$2,$D151,$D151-($D151-$I$130)*MIN(I$3-$O$2,$Q$2)/$Q$2))</f>
        <v>6074.29402853032</v>
      </c>
      <c r="J151" s="15" t="n">
        <f aca="false">I151*(1+IF(J$3&lt;=$O$2,$D151,$D151-($D151-$I$130)*MIN(J$3-$O$2,$Q$2)/$Q$2))</f>
        <v>5916.58768211239</v>
      </c>
      <c r="K151" s="15" t="n">
        <f aca="false">J151*(1+IF(K$3&lt;=$O$2,$D151,$D151-($D151-$I$130)*MIN(K$3-$O$2,$Q$2)/$Q$2))</f>
        <v>5850.63440145768</v>
      </c>
      <c r="L151" s="15" t="n">
        <f aca="false">K151*(1+IF(L$3&lt;=$O$2,$D151,$D151-($D151-$I$130)*MIN(L$3-$O$2,$Q$2)/$Q$2))</f>
        <v>5872.09771836637</v>
      </c>
      <c r="M151" s="15" t="n">
        <f aca="false">L151*(1+IF(M$3&lt;=$O$2,$D151,$D151-($D151-$I$130)*MIN(M$3-$O$2,$Q$2)/$Q$2))</f>
        <v>5980.63917340592</v>
      </c>
      <c r="N151" s="15" t="n">
        <f aca="false">M151*(1+IF(N$3&lt;=$O$2,$D151,$D151-($D151-$I$130)*MIN(N$3-$O$2,$Q$2)/$Q$2))</f>
        <v>6179.79445788033</v>
      </c>
      <c r="O151" s="15" t="n">
        <f aca="false">SUMPRODUCT(E151:N151,1/(1+$F$130)^$E$3:$N$3)*$E$2</f>
        <v>7605.1301191166</v>
      </c>
      <c r="P151" s="15" t="n">
        <f aca="false">N151*$E$2*(1+$I$130)/($F$130-$I$130)/(1+$F$130)^$N$3</f>
        <v>14531.1279460351</v>
      </c>
      <c r="Q151" s="15" t="n">
        <f aca="false">O151+P151</f>
        <v>22136.2580651517</v>
      </c>
      <c r="R151" s="15" t="n">
        <f aca="false">Q151-$G$2+$I$2</f>
        <v>19020.0580651517</v>
      </c>
      <c r="S151" s="42" t="n">
        <f aca="false">R151/$K$2</f>
        <v>168.46818481091</v>
      </c>
      <c r="T151" s="43" t="n">
        <f aca="false">S151-$M$2</f>
        <v>0.00051430603815561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-0.0407800674438477</v>
      </c>
      <c r="C152" s="25" t="n">
        <f aca="false">IF(T151&gt;0,D151,C151)</f>
        <v>-0.0407786369323731</v>
      </c>
      <c r="D152" s="41" t="n">
        <f aca="false">(B152+C152)/2</f>
        <v>-0.0407793521881104</v>
      </c>
      <c r="E152" s="15" t="n">
        <f aca="false">$C$2*(1+IF(E$3&lt;=$O$2,$D152,$D152-($D152-$I$130)*MIN(E$3-$O$2,$Q$2)/$Q$2))</f>
        <v>7174.97044563294</v>
      </c>
      <c r="F152" s="15" t="n">
        <f aca="false">E152*(1+IF(F$3&lt;=$O$2,$D152,$D152-($D152-$I$130)*MIN(F$3-$O$2,$Q$2)/$Q$2))</f>
        <v>6882.37979889119</v>
      </c>
      <c r="G152" s="15" t="n">
        <f aca="false">F152*(1+IF(G$3&lt;=$O$2,$D152,$D152-($D152-$I$130)*MIN(G$3-$O$2,$Q$2)/$Q$2))</f>
        <v>6601.72080917987</v>
      </c>
      <c r="H152" s="15" t="n">
        <f aca="false">G152*(1+IF(H$3&lt;=$O$2,$D152,$D152-($D152-$I$130)*MIN(H$3-$O$2,$Q$2)/$Q$2))</f>
        <v>6332.50691125474</v>
      </c>
      <c r="I152" s="15" t="n">
        <f aca="false">H152*(1+IF(I$3&lt;=$O$2,$D152,$D152-($D152-$I$130)*MIN(I$3-$O$2,$Q$2)/$Q$2))</f>
        <v>6074.27138168705</v>
      </c>
      <c r="J152" s="15" t="n">
        <f aca="false">I152*(1+IF(J$3&lt;=$O$2,$D152,$D152-($D152-$I$130)*MIN(J$3-$O$2,$Q$2)/$Q$2))</f>
        <v>5916.5621475211</v>
      </c>
      <c r="K152" s="15" t="n">
        <f aca="false">J152*(1+IF(K$3&lt;=$O$2,$D152,$D152-($D152-$I$130)*MIN(K$3-$O$2,$Q$2)/$Q$2))</f>
        <v>5850.60661239212</v>
      </c>
      <c r="L152" s="15" t="n">
        <f aca="false">K152*(1+IF(L$3&lt;=$O$2,$D152,$D152-($D152-$I$130)*MIN(L$3-$O$2,$Q$2)/$Q$2))</f>
        <v>5872.06815348338</v>
      </c>
      <c r="M152" s="15" t="n">
        <f aca="false">L152*(1+IF(M$3&lt;=$O$2,$D152,$D152-($D152-$I$130)*MIN(M$3-$O$2,$Q$2)/$Q$2))</f>
        <v>5980.60822203148</v>
      </c>
      <c r="N152" s="15" t="n">
        <f aca="false">M152*(1+IF(N$3&lt;=$O$2,$D152,$D152-($D152-$I$130)*MIN(N$3-$O$2,$Q$2)/$Q$2))</f>
        <v>6179.76247582513</v>
      </c>
      <c r="O152" s="15" t="n">
        <f aca="false">SUMPRODUCT(E152:N152,1/(1+$F$130)^$E$3:$N$3)*$E$2</f>
        <v>7605.10611356601</v>
      </c>
      <c r="P152" s="15" t="n">
        <f aca="false">N152*$E$2*(1+$I$130)/($F$130-$I$130)/(1+$F$130)^$N$3</f>
        <v>14531.0527436414</v>
      </c>
      <c r="Q152" s="15" t="n">
        <f aca="false">O152+P152</f>
        <v>22136.1588572074</v>
      </c>
      <c r="R152" s="15" t="n">
        <f aca="false">Q152-$G$2+$I$2</f>
        <v>19019.9588572074</v>
      </c>
      <c r="S152" s="42" t="n">
        <f aca="false">R152/$K$2</f>
        <v>168.467306086868</v>
      </c>
      <c r="T152" s="43" t="n">
        <f aca="false">S152-$M$2</f>
        <v>-0.000364418003869105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-0.0407793521881104</v>
      </c>
      <c r="C153" s="25" t="n">
        <f aca="false">IF(T152&gt;0,D152,C152)</f>
        <v>-0.0407786369323731</v>
      </c>
      <c r="D153" s="41" t="n">
        <f aca="false">(B153+C153)/2</f>
        <v>-0.0407789945602417</v>
      </c>
      <c r="E153" s="15" t="n">
        <f aca="false">$C$2*(1+IF(E$3&lt;=$O$2,$D153,$D153-($D153-$I$130)*MIN(E$3-$O$2,$Q$2)/$Q$2))</f>
        <v>7174.97312068939</v>
      </c>
      <c r="F153" s="15" t="n">
        <f aca="false">E153*(1+IF(F$3&lt;=$O$2,$D153,$D153-($D153-$I$130)*MIN(F$3-$O$2,$Q$2)/$Q$2))</f>
        <v>6882.38493083092</v>
      </c>
      <c r="G153" s="15" t="n">
        <f aca="false">F153*(1+IF(G$3&lt;=$O$2,$D153,$D153-($D153-$I$130)*MIN(G$3-$O$2,$Q$2)/$Q$2))</f>
        <v>6601.72819317508</v>
      </c>
      <c r="H153" s="15" t="n">
        <f aca="false">G153*(1+IF(H$3&lt;=$O$2,$D153,$D153-($D153-$I$130)*MIN(H$3-$O$2,$Q$2)/$Q$2))</f>
        <v>6332.5163550974</v>
      </c>
      <c r="I153" s="15" t="n">
        <f aca="false">H153*(1+IF(I$3&lt;=$O$2,$D153,$D153-($D153-$I$130)*MIN(I$3-$O$2,$Q$2)/$Q$2))</f>
        <v>6074.28270510024</v>
      </c>
      <c r="J153" s="15" t="n">
        <f aca="false">I153*(1+IF(J$3&lt;=$O$2,$D153,$D153-($D153-$I$130)*MIN(J$3-$O$2,$Q$2)/$Q$2))</f>
        <v>5916.57491480528</v>
      </c>
      <c r="K153" s="15" t="n">
        <f aca="false">J153*(1+IF(K$3&lt;=$O$2,$D153,$D153-($D153-$I$130)*MIN(K$3-$O$2,$Q$2)/$Q$2))</f>
        <v>5850.62050691082</v>
      </c>
      <c r="L153" s="15" t="n">
        <f aca="false">K153*(1+IF(L$3&lt;=$O$2,$D153,$D153-($D153-$I$130)*MIN(L$3-$O$2,$Q$2)/$Q$2))</f>
        <v>5872.08293590876</v>
      </c>
      <c r="M153" s="15" t="n">
        <f aca="false">L153*(1+IF(M$3&lt;=$O$2,$D153,$D153-($D153-$I$130)*MIN(M$3-$O$2,$Q$2)/$Q$2))</f>
        <v>5980.62369770123</v>
      </c>
      <c r="N153" s="15" t="n">
        <f aca="false">M153*(1+IF(N$3&lt;=$O$2,$D153,$D153-($D153-$I$130)*MIN(N$3-$O$2,$Q$2)/$Q$2))</f>
        <v>6179.77846683468</v>
      </c>
      <c r="O153" s="15" t="n">
        <f aca="false">SUMPRODUCT(E153:N153,1/(1+$F$130)^$E$3:$N$3)*$E$2</f>
        <v>7605.11811633152</v>
      </c>
      <c r="P153" s="15" t="n">
        <f aca="false">N153*$E$2*(1+$I$130)/($F$130-$I$130)/(1+$F$130)^$N$3</f>
        <v>14531.0903447958</v>
      </c>
      <c r="Q153" s="15" t="n">
        <f aca="false">O153+P153</f>
        <v>22136.2084611273</v>
      </c>
      <c r="R153" s="15" t="n">
        <f aca="false">Q153-$G$2+$I$2</f>
        <v>19020.0084611273</v>
      </c>
      <c r="S153" s="42" t="n">
        <f aca="false">R153/$K$2</f>
        <v>168.467745448426</v>
      </c>
      <c r="T153" s="43" t="n">
        <f aca="false">S153-$M$2</f>
        <v>7.49435544094013E-005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-0.0407793521881104</v>
      </c>
      <c r="C154" s="25" t="n">
        <f aca="false">IF(T153&gt;0,D153,C153)</f>
        <v>-0.0407789945602417</v>
      </c>
      <c r="D154" s="41" t="n">
        <f aca="false">(B154+C154)/2</f>
        <v>-0.040779173374176</v>
      </c>
      <c r="E154" s="15" t="n">
        <f aca="false">$C$2*(1+IF(E$3&lt;=$O$2,$D154,$D154-($D154-$I$130)*MIN(E$3-$O$2,$Q$2)/$Q$2))</f>
        <v>7174.97178316116</v>
      </c>
      <c r="F154" s="15" t="n">
        <f aca="false">E154*(1+IF(F$3&lt;=$O$2,$D154,$D154-($D154-$I$130)*MIN(F$3-$O$2,$Q$2)/$Q$2))</f>
        <v>6882.38236486081</v>
      </c>
      <c r="G154" s="15" t="n">
        <f aca="false">F154*(1+IF(G$3&lt;=$O$2,$D154,$D154-($D154-$I$130)*MIN(G$3-$O$2,$Q$2)/$Q$2))</f>
        <v>6601.72450117678</v>
      </c>
      <c r="H154" s="15" t="n">
        <f aca="false">G154*(1+IF(H$3&lt;=$O$2,$D154,$D154-($D154-$I$130)*MIN(H$3-$O$2,$Q$2)/$Q$2))</f>
        <v>6332.51163317475</v>
      </c>
      <c r="I154" s="15" t="n">
        <f aca="false">H154*(1+IF(I$3&lt;=$O$2,$D154,$D154-($D154-$I$130)*MIN(I$3-$O$2,$Q$2)/$Q$2))</f>
        <v>6074.27704339153</v>
      </c>
      <c r="J154" s="15" t="n">
        <f aca="false">I154*(1+IF(J$3&lt;=$O$2,$D154,$D154-($D154-$I$130)*MIN(J$3-$O$2,$Q$2)/$Q$2))</f>
        <v>5916.56853116032</v>
      </c>
      <c r="K154" s="15" t="n">
        <f aca="false">J154*(1+IF(K$3&lt;=$O$2,$D154,$D154-($D154-$I$130)*MIN(K$3-$O$2,$Q$2)/$Q$2))</f>
        <v>5850.61355964795</v>
      </c>
      <c r="L154" s="15" t="n">
        <f aca="false">K154*(1+IF(L$3&lt;=$O$2,$D154,$D154-($D154-$I$130)*MIN(L$3-$O$2,$Q$2)/$Q$2))</f>
        <v>5872.07554469204</v>
      </c>
      <c r="M154" s="15" t="n">
        <f aca="false">L154*(1+IF(M$3&lt;=$O$2,$D154,$D154-($D154-$I$130)*MIN(M$3-$O$2,$Q$2)/$Q$2))</f>
        <v>5980.61595986199</v>
      </c>
      <c r="N154" s="15" t="n">
        <f aca="false">M154*(1+IF(N$3&lt;=$O$2,$D154,$D154-($D154-$I$130)*MIN(N$3-$O$2,$Q$2)/$Q$2))</f>
        <v>6179.77047132539</v>
      </c>
      <c r="O154" s="15" t="n">
        <f aca="false">SUMPRODUCT(E154:N154,1/(1+$F$130)^$E$3:$N$3)*$E$2</f>
        <v>7605.11211494632</v>
      </c>
      <c r="P154" s="15" t="n">
        <f aca="false">N154*$E$2*(1+$I$130)/($F$130-$I$130)/(1+$F$130)^$N$3</f>
        <v>14531.071544208</v>
      </c>
      <c r="Q154" s="15" t="n">
        <f aca="false">O154+P154</f>
        <v>22136.1836591543</v>
      </c>
      <c r="R154" s="15" t="n">
        <f aca="false">Q154-$G$2+$I$2</f>
        <v>19019.9836591543</v>
      </c>
      <c r="S154" s="42" t="n">
        <f aca="false">R154/$K$2</f>
        <v>168.467525767531</v>
      </c>
      <c r="T154" s="43" t="n">
        <f aca="false">S154-$M$2</f>
        <v>-0.000144737340377787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-0.040779173374176</v>
      </c>
      <c r="C155" s="25" t="n">
        <f aca="false">IF(T154&gt;0,D154,C154)</f>
        <v>-0.0407789945602417</v>
      </c>
      <c r="D155" s="41" t="n">
        <f aca="false">(B155+C155)/2</f>
        <v>-0.0407790839672089</v>
      </c>
      <c r="E155" s="15" t="n">
        <f aca="false">$C$2*(1+IF(E$3&lt;=$O$2,$D155,$D155-($D155-$I$130)*MIN(E$3-$O$2,$Q$2)/$Q$2))</f>
        <v>7174.97245192528</v>
      </c>
      <c r="F155" s="15" t="n">
        <f aca="false">E155*(1+IF(F$3&lt;=$O$2,$D155,$D155-($D155-$I$130)*MIN(F$3-$O$2,$Q$2)/$Q$2))</f>
        <v>6882.38364784581</v>
      </c>
      <c r="G155" s="15" t="n">
        <f aca="false">F155*(1+IF(G$3&lt;=$O$2,$D155,$D155-($D155-$I$130)*MIN(G$3-$O$2,$Q$2)/$Q$2))</f>
        <v>6601.72634717576</v>
      </c>
      <c r="H155" s="15" t="n">
        <f aca="false">G155*(1+IF(H$3&lt;=$O$2,$D155,$D155-($D155-$I$130)*MIN(H$3-$O$2,$Q$2)/$Q$2))</f>
        <v>6332.51399413574</v>
      </c>
      <c r="I155" s="15" t="n">
        <f aca="false">H155*(1+IF(I$3&lt;=$O$2,$D155,$D155-($D155-$I$130)*MIN(I$3-$O$2,$Q$2)/$Q$2))</f>
        <v>6074.27987424536</v>
      </c>
      <c r="J155" s="15" t="n">
        <f aca="false">I155*(1+IF(J$3&lt;=$O$2,$D155,$D155-($D155-$I$130)*MIN(J$3-$O$2,$Q$2)/$Q$2))</f>
        <v>5916.57172298209</v>
      </c>
      <c r="K155" s="15" t="n">
        <f aca="false">J155*(1+IF(K$3&lt;=$O$2,$D155,$D155-($D155-$I$130)*MIN(K$3-$O$2,$Q$2)/$Q$2))</f>
        <v>5850.61703327851</v>
      </c>
      <c r="L155" s="15" t="n">
        <f aca="false">K155*(1+IF(L$3&lt;=$O$2,$D155,$D155-($D155-$I$130)*MIN(L$3-$O$2,$Q$2)/$Q$2))</f>
        <v>5872.07924029939</v>
      </c>
      <c r="M155" s="15" t="n">
        <f aca="false">L155*(1+IF(M$3&lt;=$O$2,$D155,$D155-($D155-$I$130)*MIN(M$3-$O$2,$Q$2)/$Q$2))</f>
        <v>5980.61982878052</v>
      </c>
      <c r="N155" s="15" t="n">
        <f aca="false">M155*(1+IF(N$3&lt;=$O$2,$D155,$D155-($D155-$I$130)*MIN(N$3-$O$2,$Q$2)/$Q$2))</f>
        <v>6179.77446907891</v>
      </c>
      <c r="O155" s="15" t="n">
        <f aca="false">SUMPRODUCT(E155:N155,1/(1+$F$130)^$E$3:$N$3)*$E$2</f>
        <v>7605.11511563831</v>
      </c>
      <c r="P155" s="15" t="n">
        <f aca="false">N155*$E$2*(1+$I$130)/($F$130-$I$130)/(1+$F$130)^$N$3</f>
        <v>14531.0809444992</v>
      </c>
      <c r="Q155" s="15" t="n">
        <f aca="false">O155+P155</f>
        <v>22136.1960601375</v>
      </c>
      <c r="R155" s="15" t="n">
        <f aca="false">Q155-$G$2+$I$2</f>
        <v>19019.9960601375</v>
      </c>
      <c r="S155" s="42" t="n">
        <f aca="false">R155/$K$2</f>
        <v>168.46763560795</v>
      </c>
      <c r="T155" s="43" t="n">
        <f aca="false">S155-$M$2</f>
        <v>-3.4896921846439E-005</v>
      </c>
    </row>
    <row r="157" customFormat="false" ht="15" hidden="false" customHeight="false" outlineLevel="0" collapsed="false">
      <c r="A157" s="38" t="s">
        <v>189</v>
      </c>
      <c r="E157" s="5" t="s">
        <v>11</v>
      </c>
      <c r="F157" s="12" t="n">
        <f aca="false">Sensitivity!$B$10</f>
        <v>0.0711268672746673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165</v>
      </c>
      <c r="B158" s="28" t="s">
        <v>166</v>
      </c>
      <c r="C158" s="28" t="s">
        <v>167</v>
      </c>
      <c r="D158" s="28" t="s">
        <v>168</v>
      </c>
      <c r="E158" s="28" t="s">
        <v>169</v>
      </c>
      <c r="F158" s="28" t="s">
        <v>170</v>
      </c>
      <c r="G158" s="28" t="s">
        <v>171</v>
      </c>
      <c r="H158" s="28" t="s">
        <v>172</v>
      </c>
      <c r="I158" s="28" t="s">
        <v>173</v>
      </c>
      <c r="J158" s="28" t="s">
        <v>174</v>
      </c>
      <c r="K158" s="28" t="s">
        <v>175</v>
      </c>
      <c r="L158" s="28" t="s">
        <v>176</v>
      </c>
      <c r="M158" s="28" t="s">
        <v>177</v>
      </c>
      <c r="N158" s="28" t="s">
        <v>178</v>
      </c>
      <c r="O158" s="28" t="s">
        <v>179</v>
      </c>
      <c r="P158" s="28" t="s">
        <v>180</v>
      </c>
      <c r="Q158" s="28" t="s">
        <v>181</v>
      </c>
      <c r="R158" s="28" t="s">
        <v>182</v>
      </c>
      <c r="S158" s="28" t="s">
        <v>183</v>
      </c>
      <c r="T158" s="28" t="s">
        <v>184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9350</v>
      </c>
      <c r="F159" s="15" t="n">
        <f aca="false">E159*(1+IF(F$3&lt;=$O$2,$D159,$D159-($D159-$I$157)*MIN(F$3-$O$2,$Q$2)/$Q$2))</f>
        <v>11687.5</v>
      </c>
      <c r="G159" s="15" t="n">
        <f aca="false">F159*(1+IF(G$3&lt;=$O$2,$D159,$D159-($D159-$I$157)*MIN(G$3-$O$2,$Q$2)/$Q$2))</f>
        <v>14609.375</v>
      </c>
      <c r="H159" s="15" t="n">
        <f aca="false">G159*(1+IF(H$3&lt;=$O$2,$D159,$D159-($D159-$I$157)*MIN(H$3-$O$2,$Q$2)/$Q$2))</f>
        <v>18261.71875</v>
      </c>
      <c r="I159" s="15" t="n">
        <f aca="false">H159*(1+IF(I$3&lt;=$O$2,$D159,$D159-($D159-$I$157)*MIN(I$3-$O$2,$Q$2)/$Q$2))</f>
        <v>22827.1484375</v>
      </c>
      <c r="J159" s="15" t="n">
        <f aca="false">I159*(1+IF(J$3&lt;=$O$2,$D159,$D159-($D159-$I$157)*MIN(J$3-$O$2,$Q$2)/$Q$2))</f>
        <v>27567.4340820313</v>
      </c>
      <c r="K159" s="15" t="n">
        <f aca="false">J159*(1+IF(K$3&lt;=$O$2,$D159,$D159-($D159-$I$157)*MIN(K$3-$O$2,$Q$2)/$Q$2))</f>
        <v>32124.8822844727</v>
      </c>
      <c r="L159" s="15" t="n">
        <f aca="false">K159*(1+IF(L$3&lt;=$O$2,$D159,$D159-($D159-$I$157)*MIN(L$3-$O$2,$Q$2)/$Q$2))</f>
        <v>36075.6003078171</v>
      </c>
      <c r="M159" s="15" t="n">
        <f aca="false">L159*(1+IF(M$3&lt;=$O$2,$D159,$D159-($D159-$I$157)*MIN(M$3-$O$2,$Q$2)/$Q$2))</f>
        <v>38984.7367166395</v>
      </c>
      <c r="N159" s="15" t="n">
        <f aca="false">M159*(1+IF(N$3&lt;=$O$2,$D159,$D159-($D159-$I$157)*MIN(N$3-$O$2,$Q$2)/$Q$2))</f>
        <v>40477.8521328868</v>
      </c>
      <c r="O159" s="15" t="n">
        <f aca="false">SUMPRODUCT(E159:N159,1/(1+$F$157)^$E$3:$N$3)*$E$2</f>
        <v>27579.3285350005</v>
      </c>
      <c r="P159" s="15" t="n">
        <f aca="false">N159*$E$2*(1+$I$157)/($F$157-$I$157)/(1+$F$157)^$N$3</f>
        <v>110207.23761581</v>
      </c>
      <c r="Q159" s="15" t="n">
        <f aca="false">O159+P159</f>
        <v>137786.566150811</v>
      </c>
      <c r="R159" s="15" t="n">
        <f aca="false">Q159-$G$2+$I$2</f>
        <v>134670.366150811</v>
      </c>
      <c r="S159" s="42" t="n">
        <f aca="false">R159/$K$2</f>
        <v>1192.82875244297</v>
      </c>
      <c r="T159" s="43" t="n">
        <f aca="false">S159-$M$2</f>
        <v>1024.36108193809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6545</v>
      </c>
      <c r="F160" s="15" t="n">
        <f aca="false">E160*(1+IF(F$3&lt;=$O$2,$D160,$D160-($D160-$I$157)*MIN(F$3-$O$2,$Q$2)/$Q$2))</f>
        <v>5726.875</v>
      </c>
      <c r="G160" s="15" t="n">
        <f aca="false">F160*(1+IF(G$3&lt;=$O$2,$D160,$D160-($D160-$I$157)*MIN(G$3-$O$2,$Q$2)/$Q$2))</f>
        <v>5011.015625</v>
      </c>
      <c r="H160" s="15" t="n">
        <f aca="false">G160*(1+IF(H$3&lt;=$O$2,$D160,$D160-($D160-$I$157)*MIN(H$3-$O$2,$Q$2)/$Q$2))</f>
        <v>4384.638671875</v>
      </c>
      <c r="I160" s="15" t="n">
        <f aca="false">H160*(1+IF(I$3&lt;=$O$2,$D160,$D160-($D160-$I$157)*MIN(I$3-$O$2,$Q$2)/$Q$2))</f>
        <v>3836.55883789063</v>
      </c>
      <c r="J160" s="15" t="n">
        <f aca="false">I160*(1+IF(J$3&lt;=$O$2,$D160,$D160-($D160-$I$157)*MIN(J$3-$O$2,$Q$2)/$Q$2))</f>
        <v>3482.2909947998</v>
      </c>
      <c r="K160" s="15" t="n">
        <f aca="false">J160*(1+IF(K$3&lt;=$O$2,$D160,$D160-($D160-$I$157)*MIN(K$3-$O$2,$Q$2)/$Q$2))</f>
        <v>3274.46786823015</v>
      </c>
      <c r="L160" s="15" t="n">
        <f aca="false">K160*(1+IF(L$3&lt;=$O$2,$D160,$D160-($D160-$I$157)*MIN(L$3-$O$2,$Q$2)/$Q$2))</f>
        <v>3185.99174643057</v>
      </c>
      <c r="M160" s="15" t="n">
        <f aca="false">L160*(1+IF(M$3&lt;=$O$2,$D160,$D160-($D160-$I$157)*MIN(M$3-$O$2,$Q$2)/$Q$2))</f>
        <v>3203.96073988044</v>
      </c>
      <c r="N160" s="15" t="n">
        <f aca="false">M160*(1+IF(N$3&lt;=$O$2,$D160,$D160-($D160-$I$157)*MIN(N$3-$O$2,$Q$2)/$Q$2))</f>
        <v>3326.67243621786</v>
      </c>
      <c r="O160" s="15" t="n">
        <f aca="false">SUMPRODUCT(E160:N160,1/(1+$F$157)^$E$3:$N$3)*$E$2</f>
        <v>5270.58548222098</v>
      </c>
      <c r="P160" s="15" t="n">
        <f aca="false">N160*$E$2*(1+$I$157)/($F$157-$I$157)/(1+$F$157)^$N$3</f>
        <v>9057.38225547696</v>
      </c>
      <c r="Q160" s="15" t="n">
        <f aca="false">O160+P160</f>
        <v>14327.9677376979</v>
      </c>
      <c r="R160" s="15" t="n">
        <f aca="false">Q160-$G$2+$I$2</f>
        <v>11211.7677376979</v>
      </c>
      <c r="S160" s="42" t="n">
        <f aca="false">R160/$K$2</f>
        <v>99.3070658786354</v>
      </c>
      <c r="T160" s="43" t="n">
        <f aca="false">S160-$M$2</f>
        <v>-69.1606046262362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7947.5</v>
      </c>
      <c r="F161" s="15" t="n">
        <f aca="false">E161*(1+IF(F$3&lt;=$O$2,$D161,$D161-($D161-$I$157)*MIN(F$3-$O$2,$Q$2)/$Q$2))</f>
        <v>8444.21875</v>
      </c>
      <c r="G161" s="15" t="n">
        <f aca="false">F161*(1+IF(G$3&lt;=$O$2,$D161,$D161-($D161-$I$157)*MIN(G$3-$O$2,$Q$2)/$Q$2))</f>
        <v>8971.982421875</v>
      </c>
      <c r="H161" s="15" t="n">
        <f aca="false">G161*(1+IF(H$3&lt;=$O$2,$D161,$D161-($D161-$I$157)*MIN(H$3-$O$2,$Q$2)/$Q$2))</f>
        <v>9532.73132324219</v>
      </c>
      <c r="I161" s="15" t="n">
        <f aca="false">H161*(1+IF(I$3&lt;=$O$2,$D161,$D161-($D161-$I$157)*MIN(I$3-$O$2,$Q$2)/$Q$2))</f>
        <v>10128.5270309448</v>
      </c>
      <c r="J161" s="15" t="n">
        <f aca="false">I161*(1+IF(J$3&lt;=$O$2,$D161,$D161-($D161-$I$157)*MIN(J$3-$O$2,$Q$2)/$Q$2))</f>
        <v>10712.5378995491</v>
      </c>
      <c r="K161" s="15" t="n">
        <f aca="false">J161*(1+IF(K$3&lt;=$O$2,$D161,$D161-($D161-$I$157)*MIN(K$3-$O$2,$Q$2)/$Q$2))</f>
        <v>11278.3741514033</v>
      </c>
      <c r="L161" s="15" t="n">
        <f aca="false">K161*(1+IF(L$3&lt;=$O$2,$D161,$D161-($D161-$I$157)*MIN(L$3-$O$2,$Q$2)/$Q$2))</f>
        <v>11819.5105431876</v>
      </c>
      <c r="M161" s="15" t="n">
        <f aca="false">L161*(1+IF(M$3&lt;=$O$2,$D161,$D161-($D161-$I$157)*MIN(M$3-$O$2,$Q$2)/$Q$2))</f>
        <v>12329.4042280207</v>
      </c>
      <c r="N161" s="15" t="n">
        <f aca="false">M161*(1+IF(N$3&lt;=$O$2,$D161,$D161-($D161-$I$157)*MIN(N$3-$O$2,$Q$2)/$Q$2))</f>
        <v>12801.6204099539</v>
      </c>
      <c r="O161" s="15" t="n">
        <f aca="false">SUMPRODUCT(E161:N161,1/(1+$F$157)^$E$3:$N$3)*$E$2</f>
        <v>12059.9592375391</v>
      </c>
      <c r="P161" s="15" t="n">
        <f aca="false">N161*$E$2*(1+$I$157)/($F$157-$I$157)/(1+$F$157)^$N$3</f>
        <v>34854.3993331344</v>
      </c>
      <c r="Q161" s="15" t="n">
        <f aca="false">O161+P161</f>
        <v>46914.3585706734</v>
      </c>
      <c r="R161" s="15" t="n">
        <f aca="false">Q161-$G$2+$I$2</f>
        <v>43798.1585706734</v>
      </c>
      <c r="S161" s="42" t="n">
        <f aca="false">R161/$K$2</f>
        <v>387.937631272572</v>
      </c>
      <c r="T161" s="43" t="n">
        <f aca="false">S161-$M$2</f>
        <v>219.469960767701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7246.25</v>
      </c>
      <c r="F162" s="15" t="n">
        <f aca="false">E162*(1+IF(F$3&lt;=$O$2,$D162,$D162-($D162-$I$157)*MIN(F$3-$O$2,$Q$2)/$Q$2))</f>
        <v>7019.8046875</v>
      </c>
      <c r="G162" s="15" t="n">
        <f aca="false">F162*(1+IF(G$3&lt;=$O$2,$D162,$D162-($D162-$I$157)*MIN(G$3-$O$2,$Q$2)/$Q$2))</f>
        <v>6800.43579101563</v>
      </c>
      <c r="H162" s="15" t="n">
        <f aca="false">G162*(1+IF(H$3&lt;=$O$2,$D162,$D162-($D162-$I$157)*MIN(H$3-$O$2,$Q$2)/$Q$2))</f>
        <v>6587.92217254639</v>
      </c>
      <c r="I162" s="15" t="n">
        <f aca="false">H162*(1+IF(I$3&lt;=$O$2,$D162,$D162-($D162-$I$157)*MIN(I$3-$O$2,$Q$2)/$Q$2))</f>
        <v>6382.04960465431</v>
      </c>
      <c r="J162" s="15" t="n">
        <f aca="false">I162*(1+IF(J$3&lt;=$O$2,$D162,$D162-($D162-$I$157)*MIN(J$3-$O$2,$Q$2)/$Q$2))</f>
        <v>6271.38486450961</v>
      </c>
      <c r="K162" s="15" t="n">
        <f aca="false">J162*(1+IF(K$3&lt;=$O$2,$D162,$D162-($D162-$I$157)*MIN(K$3-$O$2,$Q$2)/$Q$2))</f>
        <v>6249.87401442434</v>
      </c>
      <c r="L162" s="15" t="n">
        <f aca="false">K162*(1+IF(L$3&lt;=$O$2,$D162,$D162-($D162-$I$157)*MIN(L$3-$O$2,$Q$2)/$Q$2))</f>
        <v>6315.37269409551</v>
      </c>
      <c r="M162" s="15" t="n">
        <f aca="false">L162*(1+IF(M$3&lt;=$O$2,$D162,$D162-($D162-$I$157)*MIN(M$3-$O$2,$Q$2)/$Q$2))</f>
        <v>6469.40463410449</v>
      </c>
      <c r="N162" s="15" t="n">
        <f aca="false">M162*(1+IF(N$3&lt;=$O$2,$D162,$D162-($D162-$I$157)*MIN(N$3-$O$2,$Q$2)/$Q$2))</f>
        <v>6717.1828315907</v>
      </c>
      <c r="O162" s="15" t="n">
        <f aca="false">SUMPRODUCT(E162:N162,1/(1+$F$157)^$E$3:$N$3)*$E$2</f>
        <v>7952.77006064042</v>
      </c>
      <c r="P162" s="15" t="n">
        <f aca="false">N162*$E$2*(1+$I$157)/($F$157-$I$157)/(1+$F$157)^$N$3</f>
        <v>18288.5732671696</v>
      </c>
      <c r="Q162" s="15" t="n">
        <f aca="false">O162+P162</f>
        <v>26241.34332781</v>
      </c>
      <c r="R162" s="15" t="n">
        <f aca="false">Q162-$G$2+$I$2</f>
        <v>23125.14332781</v>
      </c>
      <c r="S162" s="42" t="n">
        <f aca="false">R162/$K$2</f>
        <v>204.828550290611</v>
      </c>
      <c r="T162" s="43" t="n">
        <f aca="false">S162-$M$2</f>
        <v>36.3608797857399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-0.125</v>
      </c>
      <c r="C163" s="25" t="n">
        <f aca="false">IF(T162&gt;0,D162,C162)</f>
        <v>-0.03125</v>
      </c>
      <c r="D163" s="41" t="n">
        <f aca="false">(B163+C163)/2</f>
        <v>-0.078125</v>
      </c>
      <c r="E163" s="15" t="n">
        <f aca="false">$C$2*(1+IF(E$3&lt;=$O$2,$D163,$D163-($D163-$I$157)*MIN(E$3-$O$2,$Q$2)/$Q$2))</f>
        <v>6895.625</v>
      </c>
      <c r="F163" s="15" t="n">
        <f aca="false">E163*(1+IF(F$3&lt;=$O$2,$D163,$D163-($D163-$I$157)*MIN(F$3-$O$2,$Q$2)/$Q$2))</f>
        <v>6356.904296875</v>
      </c>
      <c r="G163" s="15" t="n">
        <f aca="false">F163*(1+IF(G$3&lt;=$O$2,$D163,$D163-($D163-$I$157)*MIN(G$3-$O$2,$Q$2)/$Q$2))</f>
        <v>5860.27114868164</v>
      </c>
      <c r="H163" s="15" t="n">
        <f aca="false">G163*(1+IF(H$3&lt;=$O$2,$D163,$D163-($D163-$I$157)*MIN(H$3-$O$2,$Q$2)/$Q$2))</f>
        <v>5402.43746519089</v>
      </c>
      <c r="I163" s="15" t="n">
        <f aca="false">H163*(1+IF(I$3&lt;=$O$2,$D163,$D163-($D163-$I$157)*MIN(I$3-$O$2,$Q$2)/$Q$2))</f>
        <v>4980.37203822285</v>
      </c>
      <c r="J163" s="15" t="n">
        <f aca="false">I163*(1+IF(J$3&lt;=$O$2,$D163,$D163-($D163-$I$157)*MIN(J$3-$O$2,$Q$2)/$Q$2))</f>
        <v>4707.24843564671</v>
      </c>
      <c r="K163" s="15" t="n">
        <f aca="false">J163*(1+IF(K$3&lt;=$O$2,$D163,$D163-($D163-$I$157)*MIN(K$3-$O$2,$Q$2)/$Q$2))</f>
        <v>4558.71121125988</v>
      </c>
      <c r="L163" s="15" t="n">
        <f aca="false">K163*(1+IF(L$3&lt;=$O$2,$D163,$D163-($D163-$I$157)*MIN(L$3-$O$2,$Q$2)/$Q$2))</f>
        <v>4521.01066954276</v>
      </c>
      <c r="M163" s="15" t="n">
        <f aca="false">L163*(1+IF(M$3&lt;=$O$2,$D163,$D163-($D163-$I$157)*MIN(M$3-$O$2,$Q$2)/$Q$2))</f>
        <v>4588.89364474594</v>
      </c>
      <c r="N163" s="15" t="n">
        <f aca="false">M163*(1+IF(N$3&lt;=$O$2,$D163,$D163-($D163-$I$157)*MIN(N$3-$O$2,$Q$2)/$Q$2))</f>
        <v>4764.64827133971</v>
      </c>
      <c r="O163" s="15" t="n">
        <f aca="false">SUMPRODUCT(E163:N163,1/(1+$F$157)^$E$3:$N$3)*$E$2</f>
        <v>6467.93485426391</v>
      </c>
      <c r="P163" s="15" t="n">
        <f aca="false">N163*$E$2*(1+$I$157)/($F$157-$I$157)/(1+$F$157)^$N$3</f>
        <v>12972.4947477802</v>
      </c>
      <c r="Q163" s="15" t="n">
        <f aca="false">O163+P163</f>
        <v>19440.4296020441</v>
      </c>
      <c r="R163" s="15" t="n">
        <f aca="false">Q163-$G$2+$I$2</f>
        <v>16324.2296020441</v>
      </c>
      <c r="S163" s="42" t="n">
        <f aca="false">R163/$K$2</f>
        <v>144.590164765669</v>
      </c>
      <c r="T163" s="43" t="n">
        <f aca="false">S163-$M$2</f>
        <v>-23.8775057392022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-0.078125</v>
      </c>
      <c r="C164" s="25" t="n">
        <f aca="false">IF(T163&gt;0,D163,C163)</f>
        <v>-0.03125</v>
      </c>
      <c r="D164" s="41" t="n">
        <f aca="false">(B164+C164)/2</f>
        <v>-0.0546875</v>
      </c>
      <c r="E164" s="15" t="n">
        <f aca="false">$C$2*(1+IF(E$3&lt;=$O$2,$D164,$D164-($D164-$I$157)*MIN(E$3-$O$2,$Q$2)/$Q$2))</f>
        <v>7070.9375</v>
      </c>
      <c r="F164" s="15" t="n">
        <f aca="false">E164*(1+IF(F$3&lt;=$O$2,$D164,$D164-($D164-$I$157)*MIN(F$3-$O$2,$Q$2)/$Q$2))</f>
        <v>6684.24560546875</v>
      </c>
      <c r="G164" s="15" t="n">
        <f aca="false">F164*(1+IF(G$3&lt;=$O$2,$D164,$D164-($D164-$I$157)*MIN(G$3-$O$2,$Q$2)/$Q$2))</f>
        <v>6318.70092391968</v>
      </c>
      <c r="H164" s="15" t="n">
        <f aca="false">G164*(1+IF(H$3&lt;=$O$2,$D164,$D164-($D164-$I$157)*MIN(H$3-$O$2,$Q$2)/$Q$2))</f>
        <v>5973.14696714282</v>
      </c>
      <c r="I164" s="15" t="n">
        <f aca="false">H164*(1+IF(I$3&lt;=$O$2,$D164,$D164-($D164-$I$157)*MIN(I$3-$O$2,$Q$2)/$Q$2))</f>
        <v>5646.4904923772</v>
      </c>
      <c r="J164" s="15" t="n">
        <f aca="false">I164*(1+IF(J$3&lt;=$O$2,$D164,$D164-($D164-$I$157)*MIN(J$3-$O$2,$Q$2)/$Q$2))</f>
        <v>5442.70865050731</v>
      </c>
      <c r="K164" s="15" t="n">
        <f aca="false">J164*(1+IF(K$3&lt;=$O$2,$D164,$D164-($D164-$I$157)*MIN(K$3-$O$2,$Q$2)/$Q$2))</f>
        <v>5347.50206943831</v>
      </c>
      <c r="L164" s="15" t="n">
        <f aca="false">K164*(1+IF(L$3&lt;=$O$2,$D164,$D164-($D164-$I$157)*MIN(L$3-$O$2,$Q$2)/$Q$2))</f>
        <v>5353.41105922503</v>
      </c>
      <c r="M164" s="15" t="n">
        <f aca="false">L164*(1+IF(M$3&lt;=$O$2,$D164,$D164-($D164-$I$157)*MIN(M$3-$O$2,$Q$2)/$Q$2))</f>
        <v>5458.88664061942</v>
      </c>
      <c r="N164" s="15" t="n">
        <f aca="false">M164*(1+IF(N$3&lt;=$O$2,$D164,$D164-($D164-$I$157)*MIN(N$3-$O$2,$Q$2)/$Q$2))</f>
        <v>5667.96199895514</v>
      </c>
      <c r="O164" s="15" t="n">
        <f aca="false">SUMPRODUCT(E164:N164,1/(1+$F$157)^$E$3:$N$3)*$E$2</f>
        <v>7170.59429990948</v>
      </c>
      <c r="P164" s="15" t="n">
        <f aca="false">N164*$E$2*(1+$I$157)/($F$157-$I$157)/(1+$F$157)^$N$3</f>
        <v>15431.9066329294</v>
      </c>
      <c r="Q164" s="15" t="n">
        <f aca="false">O164+P164</f>
        <v>22602.5009328389</v>
      </c>
      <c r="R164" s="15" t="n">
        <f aca="false">Q164-$G$2+$I$2</f>
        <v>19486.3009328389</v>
      </c>
      <c r="S164" s="42" t="n">
        <f aca="false">R164/$K$2</f>
        <v>172.597882487502</v>
      </c>
      <c r="T164" s="43" t="n">
        <f aca="false">S164-$M$2</f>
        <v>4.1302119826299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-0.078125</v>
      </c>
      <c r="C165" s="25" t="n">
        <f aca="false">IF(T164&gt;0,D164,C164)</f>
        <v>-0.0546875</v>
      </c>
      <c r="D165" s="41" t="n">
        <f aca="false">(B165+C165)/2</f>
        <v>-0.06640625</v>
      </c>
      <c r="E165" s="15" t="n">
        <f aca="false">$C$2*(1+IF(E$3&lt;=$O$2,$D165,$D165-($D165-$I$157)*MIN(E$3-$O$2,$Q$2)/$Q$2))</f>
        <v>6983.28125</v>
      </c>
      <c r="F165" s="15" t="n">
        <f aca="false">E165*(1+IF(F$3&lt;=$O$2,$D165,$D165-($D165-$I$157)*MIN(F$3-$O$2,$Q$2)/$Q$2))</f>
        <v>6519.54772949219</v>
      </c>
      <c r="G165" s="15" t="n">
        <f aca="false">F165*(1+IF(G$3&lt;=$O$2,$D165,$D165-($D165-$I$157)*MIN(G$3-$O$2,$Q$2)/$Q$2))</f>
        <v>6086.6090130806</v>
      </c>
      <c r="H165" s="15" t="n">
        <f aca="false">G165*(1+IF(H$3&lt;=$O$2,$D165,$D165-($D165-$I$157)*MIN(H$3-$O$2,$Q$2)/$Q$2))</f>
        <v>5682.42013330571</v>
      </c>
      <c r="I165" s="15" t="n">
        <f aca="false">H165*(1+IF(I$3&lt;=$O$2,$D165,$D165-($D165-$I$157)*MIN(I$3-$O$2,$Q$2)/$Q$2))</f>
        <v>5305.07192132838</v>
      </c>
      <c r="J165" s="15" t="n">
        <f aca="false">I165*(1+IF(J$3&lt;=$O$2,$D165,$D165-($D165-$I$157)*MIN(J$3-$O$2,$Q$2)/$Q$2))</f>
        <v>5063.87682642519</v>
      </c>
      <c r="K165" s="15" t="n">
        <f aca="false">J165*(1+IF(K$3&lt;=$O$2,$D165,$D165-($D165-$I$157)*MIN(K$3-$O$2,$Q$2)/$Q$2))</f>
        <v>4939.69157710314</v>
      </c>
      <c r="L165" s="15" t="n">
        <f aca="false">K165*(1+IF(L$3&lt;=$O$2,$D165,$D165-($D165-$I$157)*MIN(L$3-$O$2,$Q$2)/$Q$2))</f>
        <v>4921.99513202817</v>
      </c>
      <c r="M165" s="15" t="n">
        <f aca="false">L165*(1+IF(M$3&lt;=$O$2,$D165,$D165-($D165-$I$157)*MIN(M$3-$O$2,$Q$2)/$Q$2))</f>
        <v>5007.43481502627</v>
      </c>
      <c r="N165" s="15" t="n">
        <f aca="false">M165*(1+IF(N$3&lt;=$O$2,$D165,$D165-($D165-$I$157)*MIN(N$3-$O$2,$Q$2)/$Q$2))</f>
        <v>5199.21956844177</v>
      </c>
      <c r="O165" s="15" t="n">
        <f aca="false">SUMPRODUCT(E165:N165,1/(1+$F$157)^$E$3:$N$3)*$E$2</f>
        <v>6809.83016010943</v>
      </c>
      <c r="P165" s="15" t="n">
        <f aca="false">N165*$E$2*(1+$I$157)/($F$157-$I$157)/(1+$F$157)^$N$3</f>
        <v>14155.6825820434</v>
      </c>
      <c r="Q165" s="15" t="n">
        <f aca="false">O165+P165</f>
        <v>20965.5127421528</v>
      </c>
      <c r="R165" s="15" t="n">
        <f aca="false">Q165-$G$2+$I$2</f>
        <v>17849.3127421528</v>
      </c>
      <c r="S165" s="42" t="n">
        <f aca="false">R165/$K$2</f>
        <v>158.098429957067</v>
      </c>
      <c r="T165" s="43" t="n">
        <f aca="false">S165-$M$2</f>
        <v>-10.3692405478049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-0.06640625</v>
      </c>
      <c r="C166" s="25" t="n">
        <f aca="false">IF(T165&gt;0,D165,C165)</f>
        <v>-0.0546875</v>
      </c>
      <c r="D166" s="41" t="n">
        <f aca="false">(B166+C166)/2</f>
        <v>-0.060546875</v>
      </c>
      <c r="E166" s="15" t="n">
        <f aca="false">$C$2*(1+IF(E$3&lt;=$O$2,$D166,$D166-($D166-$I$157)*MIN(E$3-$O$2,$Q$2)/$Q$2))</f>
        <v>7027.109375</v>
      </c>
      <c r="F166" s="15" t="n">
        <f aca="false">E166*(1+IF(F$3&lt;=$O$2,$D166,$D166-($D166-$I$157)*MIN(F$3-$O$2,$Q$2)/$Q$2))</f>
        <v>6601.63986206055</v>
      </c>
      <c r="G166" s="15" t="n">
        <f aca="false">F166*(1+IF(G$3&lt;=$O$2,$D166,$D166-($D166-$I$157)*MIN(G$3-$O$2,$Q$2)/$Q$2))</f>
        <v>6201.93119853735</v>
      </c>
      <c r="H166" s="15" t="n">
        <f aca="false">G166*(1+IF(H$3&lt;=$O$2,$D166,$D166-($D166-$I$157)*MIN(H$3-$O$2,$Q$2)/$Q$2))</f>
        <v>5826.42364550091</v>
      </c>
      <c r="I166" s="15" t="n">
        <f aca="false">H166*(1+IF(I$3&lt;=$O$2,$D166,$D166-($D166-$I$157)*MIN(I$3-$O$2,$Q$2)/$Q$2))</f>
        <v>5473.65190133972</v>
      </c>
      <c r="J166" s="15" t="n">
        <f aca="false">I166*(1+IF(J$3&lt;=$O$2,$D166,$D166-($D166-$I$157)*MIN(J$3-$O$2,$Q$2)/$Q$2))</f>
        <v>5250.45006093284</v>
      </c>
      <c r="K166" s="15" t="n">
        <f aca="false">J166*(1+IF(K$3&lt;=$O$2,$D166,$D166-($D166-$I$157)*MIN(K$3-$O$2,$Q$2)/$Q$2))</f>
        <v>5140.14794974651</v>
      </c>
      <c r="L166" s="15" t="n">
        <f aca="false">K166*(1+IF(L$3&lt;=$O$2,$D166,$D166-($D166-$I$157)*MIN(L$3-$O$2,$Q$2)/$Q$2))</f>
        <v>5133.78059147376</v>
      </c>
      <c r="M166" s="15" t="n">
        <f aca="false">L166*(1+IF(M$3&lt;=$O$2,$D166,$D166-($D166-$I$157)*MIN(M$3-$O$2,$Q$2)/$Q$2))</f>
        <v>5228.91275444664</v>
      </c>
      <c r="N166" s="15" t="n">
        <f aca="false">M166*(1+IF(N$3&lt;=$O$2,$D166,$D166-($D166-$I$157)*MIN(N$3-$O$2,$Q$2)/$Q$2))</f>
        <v>5429.18011294194</v>
      </c>
      <c r="O166" s="15" t="n">
        <f aca="false">SUMPRODUCT(E166:N166,1/(1+$F$157)^$E$3:$N$3)*$E$2</f>
        <v>6987.79226393886</v>
      </c>
      <c r="P166" s="15" t="n">
        <f aca="false">N166*$E$2*(1+$I$157)/($F$157-$I$157)/(1+$F$157)^$N$3</f>
        <v>14781.7858714865</v>
      </c>
      <c r="Q166" s="15" t="n">
        <f aca="false">O166+P166</f>
        <v>21769.5781354253</v>
      </c>
      <c r="R166" s="15" t="n">
        <f aca="false">Q166-$G$2+$I$2</f>
        <v>18653.3781354253</v>
      </c>
      <c r="S166" s="42" t="n">
        <f aca="false">R166/$K$2</f>
        <v>165.220355495353</v>
      </c>
      <c r="T166" s="43" t="n">
        <f aca="false">S166-$M$2</f>
        <v>-3.24731500951873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-0.060546875</v>
      </c>
      <c r="C167" s="25" t="n">
        <f aca="false">IF(T166&gt;0,D166,C166)</f>
        <v>-0.0546875</v>
      </c>
      <c r="D167" s="41" t="n">
        <f aca="false">(B167+C167)/2</f>
        <v>-0.0576171875</v>
      </c>
      <c r="E167" s="15" t="n">
        <f aca="false">$C$2*(1+IF(E$3&lt;=$O$2,$D167,$D167-($D167-$I$157)*MIN(E$3-$O$2,$Q$2)/$Q$2))</f>
        <v>7049.0234375</v>
      </c>
      <c r="F167" s="15" t="n">
        <f aca="false">E167*(1+IF(F$3&lt;=$O$2,$D167,$D167-($D167-$I$157)*MIN(F$3-$O$2,$Q$2)/$Q$2))</f>
        <v>6642.87853240967</v>
      </c>
      <c r="G167" s="15" t="n">
        <f aca="false">F167*(1+IF(G$3&lt;=$O$2,$D167,$D167-($D167-$I$157)*MIN(G$3-$O$2,$Q$2)/$Q$2))</f>
        <v>6260.1345544681</v>
      </c>
      <c r="H167" s="15" t="n">
        <f aca="false">G167*(1+IF(H$3&lt;=$O$2,$D167,$D167-($D167-$I$157)*MIN(H$3-$O$2,$Q$2)/$Q$2))</f>
        <v>5899.44320806808</v>
      </c>
      <c r="I167" s="15" t="n">
        <f aca="false">H167*(1+IF(I$3&lt;=$O$2,$D167,$D167-($D167-$I$157)*MIN(I$3-$O$2,$Q$2)/$Q$2))</f>
        <v>5559.53388260322</v>
      </c>
      <c r="J167" s="15" t="n">
        <f aca="false">I167*(1+IF(J$3&lt;=$O$2,$D167,$D167-($D167-$I$157)*MIN(J$3-$O$2,$Q$2)/$Q$2))</f>
        <v>5345.86014724272</v>
      </c>
      <c r="K167" s="15" t="n">
        <f aca="false">J167*(1+IF(K$3&lt;=$O$2,$D167,$D167-($D167-$I$157)*MIN(K$3-$O$2,$Q$2)/$Q$2))</f>
        <v>5242.950668827</v>
      </c>
      <c r="L167" s="15" t="n">
        <f aca="false">K167*(1+IF(L$3&lt;=$O$2,$D167,$D167-($D167-$I$157)*MIN(L$3-$O$2,$Q$2)/$Q$2))</f>
        <v>5242.60004650102</v>
      </c>
      <c r="M167" s="15" t="n">
        <f aca="false">L167*(1+IF(M$3&lt;=$O$2,$D167,$D167-($D167-$I$157)*MIN(M$3-$O$2,$Q$2)/$Q$2))</f>
        <v>5342.82053795246</v>
      </c>
      <c r="N167" s="15" t="n">
        <f aca="false">M167*(1+IF(N$3&lt;=$O$2,$D167,$D167-($D167-$I$157)*MIN(N$3-$O$2,$Q$2)/$Q$2))</f>
        <v>5547.45056455604</v>
      </c>
      <c r="O167" s="15" t="n">
        <f aca="false">SUMPRODUCT(E167:N167,1/(1+$F$157)^$E$3:$N$3)*$E$2</f>
        <v>7078.58046717632</v>
      </c>
      <c r="P167" s="15" t="n">
        <f aca="false">N167*$E$2*(1+$I$157)/($F$157-$I$157)/(1+$F$157)^$N$3</f>
        <v>15103.795540408</v>
      </c>
      <c r="Q167" s="15" t="n">
        <f aca="false">O167+P167</f>
        <v>22182.3760075843</v>
      </c>
      <c r="R167" s="15" t="n">
        <f aca="false">Q167-$G$2+$I$2</f>
        <v>19066.1760075843</v>
      </c>
      <c r="S167" s="42" t="n">
        <f aca="false">R167/$K$2</f>
        <v>168.876669686309</v>
      </c>
      <c r="T167" s="43" t="n">
        <f aca="false">S167-$M$2</f>
        <v>0.408999181437508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-0.060546875</v>
      </c>
      <c r="C168" s="25" t="n">
        <f aca="false">IF(T167&gt;0,D167,C167)</f>
        <v>-0.0576171875</v>
      </c>
      <c r="D168" s="41" t="n">
        <f aca="false">(B168+C168)/2</f>
        <v>-0.05908203125</v>
      </c>
      <c r="E168" s="15" t="n">
        <f aca="false">$C$2*(1+IF(E$3&lt;=$O$2,$D168,$D168-($D168-$I$157)*MIN(E$3-$O$2,$Q$2)/$Q$2))</f>
        <v>7038.06640625</v>
      </c>
      <c r="F168" s="15" t="n">
        <f aca="false">E168*(1+IF(F$3&lt;=$O$2,$D168,$D168-($D168-$I$157)*MIN(F$3-$O$2,$Q$2)/$Q$2))</f>
        <v>6622.24314689636</v>
      </c>
      <c r="G168" s="15" t="n">
        <f aca="false">F168*(1+IF(G$3&lt;=$O$2,$D168,$D168-($D168-$I$157)*MIN(G$3-$O$2,$Q$2)/$Q$2))</f>
        <v>6230.98757034633</v>
      </c>
      <c r="H168" s="15" t="n">
        <f aca="false">G168*(1+IF(H$3&lt;=$O$2,$D168,$D168-($D168-$I$157)*MIN(H$3-$O$2,$Q$2)/$Q$2))</f>
        <v>5862.84816799677</v>
      </c>
      <c r="I168" s="15" t="n">
        <f aca="false">H168*(1+IF(I$3&lt;=$O$2,$D168,$D168-($D168-$I$157)*MIN(I$3-$O$2,$Q$2)/$Q$2))</f>
        <v>5516.45918932118</v>
      </c>
      <c r="J168" s="15" t="n">
        <f aca="false">I168*(1+IF(J$3&lt;=$O$2,$D168,$D168-($D168-$I$157)*MIN(J$3-$O$2,$Q$2)/$Q$2))</f>
        <v>5297.97637534112</v>
      </c>
      <c r="K168" s="15" t="n">
        <f aca="false">J168*(1+IF(K$3&lt;=$O$2,$D168,$D168-($D168-$I$157)*MIN(K$3-$O$2,$Q$2)/$Q$2))</f>
        <v>5191.33224994955</v>
      </c>
      <c r="L168" s="15" t="n">
        <f aca="false">K168*(1+IF(L$3&lt;=$O$2,$D168,$D168-($D168-$I$157)*MIN(L$3-$O$2,$Q$2)/$Q$2))</f>
        <v>5187.94328336513</v>
      </c>
      <c r="M168" s="15" t="n">
        <f aca="false">L168*(1+IF(M$3&lt;=$O$2,$D168,$D168-($D168-$I$157)*MIN(M$3-$O$2,$Q$2)/$Q$2))</f>
        <v>5285.59902012923</v>
      </c>
      <c r="N168" s="15" t="n">
        <f aca="false">M168*(1+IF(N$3&lt;=$O$2,$D168,$D168-($D168-$I$157)*MIN(N$3-$O$2,$Q$2)/$Q$2))</f>
        <v>5488.03746260018</v>
      </c>
      <c r="O168" s="15" t="n">
        <f aca="false">SUMPRODUCT(E168:N168,1/(1+$F$157)^$E$3:$N$3)*$E$2</f>
        <v>7033.03414668818</v>
      </c>
      <c r="P168" s="15" t="n">
        <f aca="false">N168*$E$2*(1+$I$157)/($F$157-$I$157)/(1+$F$157)^$N$3</f>
        <v>14942.034144985</v>
      </c>
      <c r="Q168" s="15" t="n">
        <f aca="false">O168+P168</f>
        <v>21975.0682916732</v>
      </c>
      <c r="R168" s="15" t="n">
        <f aca="false">Q168-$G$2+$I$2</f>
        <v>18858.8682916732</v>
      </c>
      <c r="S168" s="42" t="n">
        <f aca="false">R168/$K$2</f>
        <v>167.040463168053</v>
      </c>
      <c r="T168" s="43" t="n">
        <f aca="false">S168-$M$2</f>
        <v>-1.42720733681884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-0.05908203125</v>
      </c>
      <c r="C169" s="25" t="n">
        <f aca="false">IF(T168&gt;0,D168,C168)</f>
        <v>-0.0576171875</v>
      </c>
      <c r="D169" s="41" t="n">
        <f aca="false">(B169+C169)/2</f>
        <v>-0.058349609375</v>
      </c>
      <c r="E169" s="15" t="n">
        <f aca="false">$C$2*(1+IF(E$3&lt;=$O$2,$D169,$D169-($D169-$I$157)*MIN(E$3-$O$2,$Q$2)/$Q$2))</f>
        <v>7043.544921875</v>
      </c>
      <c r="F169" s="15" t="n">
        <f aca="false">E169*(1+IF(F$3&lt;=$O$2,$D169,$D169-($D169-$I$157)*MIN(F$3-$O$2,$Q$2)/$Q$2))</f>
        <v>6632.55682706833</v>
      </c>
      <c r="G169" s="15" t="n">
        <f aca="false">F169*(1+IF(G$3&lt;=$O$2,$D169,$D169-($D169-$I$157)*MIN(G$3-$O$2,$Q$2)/$Q$2))</f>
        <v>6245.5497270514</v>
      </c>
      <c r="H169" s="15" t="n">
        <f aca="false">G169*(1+IF(H$3&lt;=$O$2,$D169,$D169-($D169-$I$157)*MIN(H$3-$O$2,$Q$2)/$Q$2))</f>
        <v>5881.12434014582</v>
      </c>
      <c r="I169" s="15" t="n">
        <f aca="false">H169*(1+IF(I$3&lt;=$O$2,$D169,$D169-($D169-$I$157)*MIN(I$3-$O$2,$Q$2)/$Q$2))</f>
        <v>5537.9630322125</v>
      </c>
      <c r="J169" s="15" t="n">
        <f aca="false">I169*(1+IF(J$3&lt;=$O$2,$D169,$D169-($D169-$I$157)*MIN(J$3-$O$2,$Q$2)/$Q$2))</f>
        <v>5321.87344530902</v>
      </c>
      <c r="K169" s="15" t="n">
        <f aca="false">J169*(1+IF(K$3&lt;=$O$2,$D169,$D169-($D169-$I$157)*MIN(K$3-$O$2,$Q$2)/$Q$2))</f>
        <v>5217.08700448497</v>
      </c>
      <c r="L169" s="15" t="n">
        <f aca="false">K169*(1+IF(L$3&lt;=$O$2,$D169,$D169-($D169-$I$157)*MIN(L$3-$O$2,$Q$2)/$Q$2))</f>
        <v>5215.2096683332</v>
      </c>
      <c r="M169" s="15" t="n">
        <f aca="false">L169*(1+IF(M$3&lt;=$O$2,$D169,$D169-($D169-$I$157)*MIN(M$3-$O$2,$Q$2)/$Q$2))</f>
        <v>5314.14260317974</v>
      </c>
      <c r="N169" s="15" t="n">
        <f aca="false">M169*(1+IF(N$3&lt;=$O$2,$D169,$D169-($D169-$I$157)*MIN(N$3-$O$2,$Q$2)/$Q$2))</f>
        <v>5517.67426488152</v>
      </c>
      <c r="O169" s="15" t="n">
        <f aca="false">SUMPRODUCT(E169:N169,1/(1+$F$157)^$E$3:$N$3)*$E$2</f>
        <v>7055.76912954703</v>
      </c>
      <c r="P169" s="15" t="n">
        <f aca="false">N169*$E$2*(1+$I$157)/($F$157-$I$157)/(1+$F$157)^$N$3</f>
        <v>15022.7249410398</v>
      </c>
      <c r="Q169" s="15" t="n">
        <f aca="false">O169+P169</f>
        <v>22078.4940705868</v>
      </c>
      <c r="R169" s="15" t="n">
        <f aca="false">Q169-$G$2+$I$2</f>
        <v>18962.2940705868</v>
      </c>
      <c r="S169" s="42" t="n">
        <f aca="false">R169/$K$2</f>
        <v>167.956546240805</v>
      </c>
      <c r="T169" s="43" t="n">
        <f aca="false">S169-$M$2</f>
        <v>-0.51112426406695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-0.058349609375</v>
      </c>
      <c r="C170" s="25" t="n">
        <f aca="false">IF(T169&gt;0,D169,C169)</f>
        <v>-0.0576171875</v>
      </c>
      <c r="D170" s="41" t="n">
        <f aca="false">(B170+C170)/2</f>
        <v>-0.0579833984375</v>
      </c>
      <c r="E170" s="15" t="n">
        <f aca="false">$C$2*(1+IF(E$3&lt;=$O$2,$D170,$D170-($D170-$I$157)*MIN(E$3-$O$2,$Q$2)/$Q$2))</f>
        <v>7046.2841796875</v>
      </c>
      <c r="F170" s="15" t="n">
        <f aca="false">E170*(1+IF(F$3&lt;=$O$2,$D170,$D170-($D170-$I$157)*MIN(F$3-$O$2,$Q$2)/$Q$2))</f>
        <v>6637.71667659283</v>
      </c>
      <c r="G170" s="15" t="n">
        <f aca="false">F170*(1+IF(G$3&lt;=$O$2,$D170,$D170-($D170-$I$157)*MIN(G$3-$O$2,$Q$2)/$Q$2))</f>
        <v>6252.83930581871</v>
      </c>
      <c r="H170" s="15" t="n">
        <f aca="false">G170*(1+IF(H$3&lt;=$O$2,$D170,$D170-($D170-$I$157)*MIN(H$3-$O$2,$Q$2)/$Q$2))</f>
        <v>5890.27843298376</v>
      </c>
      <c r="I170" s="15" t="n">
        <f aca="false">H170*(1+IF(I$3&lt;=$O$2,$D170,$D170-($D170-$I$157)*MIN(I$3-$O$2,$Q$2)/$Q$2))</f>
        <v>5548.74007169625</v>
      </c>
      <c r="J170" s="15" t="n">
        <f aca="false">I170*(1+IF(J$3&lt;=$O$2,$D170,$D170-($D170-$I$157)*MIN(J$3-$O$2,$Q$2)/$Q$2))</f>
        <v>5333.85557552281</v>
      </c>
      <c r="K170" s="15" t="n">
        <f aca="false">J170*(1+IF(K$3&lt;=$O$2,$D170,$D170-($D170-$I$157)*MIN(K$3-$O$2,$Q$2)/$Q$2))</f>
        <v>5230.00519911365</v>
      </c>
      <c r="L170" s="15" t="n">
        <f aca="false">K170*(1+IF(L$3&lt;=$O$2,$D170,$D170-($D170-$I$157)*MIN(L$3-$O$2,$Q$2)/$Q$2))</f>
        <v>5228.88932847312</v>
      </c>
      <c r="M170" s="15" t="n">
        <f aca="false">L170*(1+IF(M$3&lt;=$O$2,$D170,$D170-($D170-$I$157)*MIN(M$3-$O$2,$Q$2)/$Q$2))</f>
        <v>5328.46474283385</v>
      </c>
      <c r="N170" s="15" t="n">
        <f aca="false">M170*(1+IF(N$3&lt;=$O$2,$D170,$D170-($D170-$I$157)*MIN(N$3-$O$2,$Q$2)/$Q$2))</f>
        <v>5532.54494248438</v>
      </c>
      <c r="O170" s="15" t="n">
        <f aca="false">SUMPRODUCT(E170:N170,1/(1+$F$157)^$E$3:$N$3)*$E$2</f>
        <v>7067.16523864396</v>
      </c>
      <c r="P170" s="15" t="n">
        <f aca="false">N170*$E$2*(1+$I$157)/($F$157-$I$157)/(1+$F$157)^$N$3</f>
        <v>15063.2126698528</v>
      </c>
      <c r="Q170" s="15" t="n">
        <f aca="false">O170+P170</f>
        <v>22130.3779084967</v>
      </c>
      <c r="R170" s="15" t="n">
        <f aca="false">Q170-$G$2+$I$2</f>
        <v>19014.1779084967</v>
      </c>
      <c r="S170" s="42" t="n">
        <f aca="false">R170/$K$2</f>
        <v>168.416101935312</v>
      </c>
      <c r="T170" s="43" t="n">
        <f aca="false">S170-$M$2</f>
        <v>-0.0515685695596631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-0.0579833984375</v>
      </c>
      <c r="C171" s="25" t="n">
        <f aca="false">IF(T170&gt;0,D170,C170)</f>
        <v>-0.0576171875</v>
      </c>
      <c r="D171" s="41" t="n">
        <f aca="false">(B171+C171)/2</f>
        <v>-0.05780029296875</v>
      </c>
      <c r="E171" s="15" t="n">
        <f aca="false">$C$2*(1+IF(E$3&lt;=$O$2,$D171,$D171-($D171-$I$157)*MIN(E$3-$O$2,$Q$2)/$Q$2))</f>
        <v>7047.65380859375</v>
      </c>
      <c r="F171" s="15" t="n">
        <f aca="false">E171*(1+IF(F$3&lt;=$O$2,$D171,$D171-($D171-$I$157)*MIN(F$3-$O$2,$Q$2)/$Q$2))</f>
        <v>6640.2973537147</v>
      </c>
      <c r="G171" s="15" t="n">
        <f aca="false">F171*(1+IF(G$3&lt;=$O$2,$D171,$D171-($D171-$I$157)*MIN(G$3-$O$2,$Q$2)/$Q$2))</f>
        <v>6256.48622127038</v>
      </c>
      <c r="H171" s="15" t="n">
        <f aca="false">G171*(1+IF(H$3&lt;=$O$2,$D171,$D171-($D171-$I$157)*MIN(H$3-$O$2,$Q$2)/$Q$2))</f>
        <v>5894.859484726</v>
      </c>
      <c r="I171" s="15" t="n">
        <f aca="false">H171*(1+IF(I$3&lt;=$O$2,$D171,$D171-($D171-$I$157)*MIN(I$3-$O$2,$Q$2)/$Q$2))</f>
        <v>5554.13487949923</v>
      </c>
      <c r="J171" s="15" t="n">
        <f aca="false">I171*(1+IF(J$3&lt;=$O$2,$D171,$D171-($D171-$I$157)*MIN(J$3-$O$2,$Q$2)/$Q$2))</f>
        <v>5339.85505409778</v>
      </c>
      <c r="K171" s="15" t="n">
        <f aca="false">J171*(1+IF(K$3&lt;=$O$2,$D171,$D171-($D171-$I$157)*MIN(K$3-$O$2,$Q$2)/$Q$2))</f>
        <v>5236.47452160406</v>
      </c>
      <c r="L171" s="15" t="n">
        <f aca="false">K171*(1+IF(L$3&lt;=$O$2,$D171,$D171-($D171-$I$157)*MIN(L$3-$O$2,$Q$2)/$Q$2))</f>
        <v>5235.74080152167</v>
      </c>
      <c r="M171" s="15" t="n">
        <f aca="false">L171*(1+IF(M$3&lt;=$O$2,$D171,$D171-($D171-$I$157)*MIN(M$3-$O$2,$Q$2)/$Q$2))</f>
        <v>5335.63842923302</v>
      </c>
      <c r="N171" s="15" t="n">
        <f aca="false">M171*(1+IF(N$3&lt;=$O$2,$D171,$D171-($D171-$I$157)*MIN(N$3-$O$2,$Q$2)/$Q$2))</f>
        <v>5539.99338107264</v>
      </c>
      <c r="O171" s="15" t="n">
        <f aca="false">SUMPRODUCT(E171:N171,1/(1+$F$157)^$E$3:$N$3)*$E$2</f>
        <v>7072.87046105691</v>
      </c>
      <c r="P171" s="15" t="n">
        <f aca="false">N171*$E$2*(1+$I$157)/($F$157-$I$157)/(1+$F$157)^$N$3</f>
        <v>15083.4922004629</v>
      </c>
      <c r="Q171" s="15" t="n">
        <f aca="false">O171+P171</f>
        <v>22156.3626615198</v>
      </c>
      <c r="R171" s="15" t="n">
        <f aca="false">Q171-$G$2+$I$2</f>
        <v>19040.1626615198</v>
      </c>
      <c r="S171" s="42" t="n">
        <f aca="false">R171/$K$2</f>
        <v>168.646259180867</v>
      </c>
      <c r="T171" s="43" t="n">
        <f aca="false">S171-$M$2</f>
        <v>0.178588675995002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-0.0579833984375</v>
      </c>
      <c r="C172" s="25" t="n">
        <f aca="false">IF(T171&gt;0,D171,C171)</f>
        <v>-0.05780029296875</v>
      </c>
      <c r="D172" s="41" t="n">
        <f aca="false">(B172+C172)/2</f>
        <v>-0.057891845703125</v>
      </c>
      <c r="E172" s="15" t="n">
        <f aca="false">$C$2*(1+IF(E$3&lt;=$O$2,$D172,$D172-($D172-$I$157)*MIN(E$3-$O$2,$Q$2)/$Q$2))</f>
        <v>7046.96899414063</v>
      </c>
      <c r="F172" s="15" t="n">
        <f aca="false">E172*(1+IF(F$3&lt;=$O$2,$D172,$D172-($D172-$I$157)*MIN(F$3-$O$2,$Q$2)/$Q$2))</f>
        <v>6639.00695245713</v>
      </c>
      <c r="G172" s="15" t="n">
        <f aca="false">F172*(1+IF(G$3&lt;=$O$2,$D172,$D172-($D172-$I$157)*MIN(G$3-$O$2,$Q$2)/$Q$2))</f>
        <v>6254.66258634351</v>
      </c>
      <c r="H172" s="15" t="n">
        <f aca="false">G172*(1+IF(H$3&lt;=$O$2,$D172,$D172-($D172-$I$157)*MIN(H$3-$O$2,$Q$2)/$Q$2))</f>
        <v>5892.5686249698</v>
      </c>
      <c r="I172" s="15" t="n">
        <f aca="false">H172*(1+IF(I$3&lt;=$O$2,$D172,$D172-($D172-$I$157)*MIN(I$3-$O$2,$Q$2)/$Q$2))</f>
        <v>5551.43695133797</v>
      </c>
      <c r="J172" s="15" t="n">
        <f aca="false">I172*(1+IF(J$3&lt;=$O$2,$D172,$D172-($D172-$I$157)*MIN(J$3-$O$2,$Q$2)/$Q$2))</f>
        <v>5336.85461325124</v>
      </c>
      <c r="K172" s="15" t="n">
        <f aca="false">J172*(1+IF(K$3&lt;=$O$2,$D172,$D172-($D172-$I$157)*MIN(K$3-$O$2,$Q$2)/$Q$2))</f>
        <v>5233.23900764003</v>
      </c>
      <c r="L172" s="15" t="n">
        <f aca="false">K172*(1+IF(L$3&lt;=$O$2,$D172,$D172-($D172-$I$157)*MIN(L$3-$O$2,$Q$2)/$Q$2))</f>
        <v>5232.31409397245</v>
      </c>
      <c r="M172" s="15" t="n">
        <f aca="false">L172*(1+IF(M$3&lt;=$O$2,$D172,$D172-($D172-$I$157)*MIN(M$3-$O$2,$Q$2)/$Q$2))</f>
        <v>5332.05053377206</v>
      </c>
      <c r="N172" s="15" t="n">
        <f aca="false">M172*(1+IF(N$3&lt;=$O$2,$D172,$D172-($D172-$I$157)*MIN(N$3-$O$2,$Q$2)/$Q$2))</f>
        <v>5536.26806921553</v>
      </c>
      <c r="O172" s="15" t="n">
        <f aca="false">SUMPRODUCT(E172:N172,1/(1+$F$157)^$E$3:$N$3)*$E$2</f>
        <v>7070.01725212771</v>
      </c>
      <c r="P172" s="15" t="n">
        <f aca="false">N172*$E$2*(1+$I$157)/($F$157-$I$157)/(1+$F$157)^$N$3</f>
        <v>15073.3494604855</v>
      </c>
      <c r="Q172" s="15" t="n">
        <f aca="false">O172+P172</f>
        <v>22143.3667126132</v>
      </c>
      <c r="R172" s="15" t="n">
        <f aca="false">Q172-$G$2+$I$2</f>
        <v>19027.1667126132</v>
      </c>
      <c r="S172" s="42" t="n">
        <f aca="false">R172/$K$2</f>
        <v>168.531148915972</v>
      </c>
      <c r="T172" s="43" t="n">
        <f aca="false">S172-$M$2</f>
        <v>0.0634784110999078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-0.0579833984375</v>
      </c>
      <c r="C173" s="25" t="n">
        <f aca="false">IF(T172&gt;0,D172,C172)</f>
        <v>-0.057891845703125</v>
      </c>
      <c r="D173" s="41" t="n">
        <f aca="false">(B173+C173)/2</f>
        <v>-0.0579376220703125</v>
      </c>
      <c r="E173" s="15" t="n">
        <f aca="false">$C$2*(1+IF(E$3&lt;=$O$2,$D173,$D173-($D173-$I$157)*MIN(E$3-$O$2,$Q$2)/$Q$2))</f>
        <v>7046.62658691406</v>
      </c>
      <c r="F173" s="15" t="n">
        <f aca="false">E173*(1+IF(F$3&lt;=$O$2,$D173,$D173-($D173-$I$157)*MIN(F$3-$O$2,$Q$2)/$Q$2))</f>
        <v>6638.36179885082</v>
      </c>
      <c r="G173" s="15" t="n">
        <f aca="false">F173*(1+IF(G$3&lt;=$O$2,$D173,$D173-($D173-$I$157)*MIN(G$3-$O$2,$Q$2)/$Q$2))</f>
        <v>6253.750901783</v>
      </c>
      <c r="H173" s="15" t="n">
        <f aca="false">G173*(1+IF(H$3&lt;=$O$2,$D173,$D173-($D173-$I$157)*MIN(H$3-$O$2,$Q$2)/$Q$2))</f>
        <v>5891.42344551362</v>
      </c>
      <c r="I173" s="15" t="n">
        <f aca="false">H173*(1+IF(I$3&lt;=$O$2,$D173,$D173-($D173-$I$157)*MIN(I$3-$O$2,$Q$2)/$Q$2))</f>
        <v>5550.08838047128</v>
      </c>
      <c r="J173" s="15" t="n">
        <f aca="false">I173*(1+IF(J$3&lt;=$O$2,$D173,$D173-($D173-$I$157)*MIN(J$3-$O$2,$Q$2)/$Q$2))</f>
        <v>5335.35491903002</v>
      </c>
      <c r="K173" s="15" t="n">
        <f aca="false">J173*(1+IF(K$3&lt;=$O$2,$D173,$D173-($D173-$I$157)*MIN(K$3-$O$2,$Q$2)/$Q$2))</f>
        <v>5231.62189024372</v>
      </c>
      <c r="L173" s="15" t="n">
        <f aca="false">K173*(1+IF(L$3&lt;=$O$2,$D173,$D173-($D173-$I$157)*MIN(L$3-$O$2,$Q$2)/$Q$2))</f>
        <v>5230.60146852483</v>
      </c>
      <c r="M173" s="15" t="n">
        <f aca="false">L173*(1+IF(M$3&lt;=$O$2,$D173,$D173-($D173-$I$157)*MIN(M$3-$O$2,$Q$2)/$Q$2))</f>
        <v>5330.25737530367</v>
      </c>
      <c r="N173" s="15" t="n">
        <f aca="false">M173*(1+IF(N$3&lt;=$O$2,$D173,$D173-($D173-$I$157)*MIN(N$3-$O$2,$Q$2)/$Q$2))</f>
        <v>5534.4062327778</v>
      </c>
      <c r="O173" s="15" t="n">
        <f aca="false">SUMPRODUCT(E173:N173,1/(1+$F$157)^$E$3:$N$3)*$E$2</f>
        <v>7068.59109598522</v>
      </c>
      <c r="P173" s="15" t="n">
        <f aca="false">N173*$E$2*(1+$I$157)/($F$157-$I$157)/(1+$F$157)^$N$3</f>
        <v>15068.2803216878</v>
      </c>
      <c r="Q173" s="15" t="n">
        <f aca="false">O173+P173</f>
        <v>22136.871417673</v>
      </c>
      <c r="R173" s="15" t="n">
        <f aca="false">Q173-$G$2+$I$2</f>
        <v>19020.671417673</v>
      </c>
      <c r="S173" s="42" t="n">
        <f aca="false">R173/$K$2</f>
        <v>168.473617517033</v>
      </c>
      <c r="T173" s="43" t="n">
        <f aca="false">S173-$M$2</f>
        <v>0.00594701216101612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-0.0579833984375</v>
      </c>
      <c r="C174" s="25" t="n">
        <f aca="false">IF(T173&gt;0,D173,C173)</f>
        <v>-0.0579376220703125</v>
      </c>
      <c r="D174" s="41" t="n">
        <f aca="false">(B174+C174)/2</f>
        <v>-0.0579605102539063</v>
      </c>
      <c r="E174" s="15" t="n">
        <f aca="false">$C$2*(1+IF(E$3&lt;=$O$2,$D174,$D174-($D174-$I$157)*MIN(E$3-$O$2,$Q$2)/$Q$2))</f>
        <v>7046.45538330078</v>
      </c>
      <c r="F174" s="15" t="n">
        <f aca="false">E174*(1+IF(F$3&lt;=$O$2,$D174,$D174-($D174-$I$157)*MIN(F$3-$O$2,$Q$2)/$Q$2))</f>
        <v>6638.03923380328</v>
      </c>
      <c r="G174" s="15" t="n">
        <f aca="false">F174*(1+IF(G$3&lt;=$O$2,$D174,$D174-($D174-$I$157)*MIN(G$3-$O$2,$Q$2)/$Q$2))</f>
        <v>6253.2950927266</v>
      </c>
      <c r="H174" s="15" t="n">
        <f aca="false">G174*(1+IF(H$3&lt;=$O$2,$D174,$D174-($D174-$I$157)*MIN(H$3-$O$2,$Q$2)/$Q$2))</f>
        <v>5890.85091838392</v>
      </c>
      <c r="I174" s="15" t="n">
        <f aca="false">H174*(1+IF(I$3&lt;=$O$2,$D174,$D174-($D174-$I$157)*MIN(I$3-$O$2,$Q$2)/$Q$2))</f>
        <v>5549.41419332469</v>
      </c>
      <c r="J174" s="15" t="n">
        <f aca="false">I174*(1+IF(J$3&lt;=$O$2,$D174,$D174-($D174-$I$157)*MIN(J$3-$O$2,$Q$2)/$Q$2))</f>
        <v>5334.60520344126</v>
      </c>
      <c r="K174" s="15" t="n">
        <f aca="false">J174*(1+IF(K$3&lt;=$O$2,$D174,$D174-($D174-$I$157)*MIN(K$3-$O$2,$Q$2)/$Q$2))</f>
        <v>5230.81349140122</v>
      </c>
      <c r="L174" s="15" t="n">
        <f aca="false">K174*(1+IF(L$3&lt;=$O$2,$D174,$D174-($D174-$I$157)*MIN(L$3-$O$2,$Q$2)/$Q$2))</f>
        <v>5229.74533783177</v>
      </c>
      <c r="M174" s="15" t="n">
        <f aca="false">L174*(1+IF(M$3&lt;=$O$2,$D174,$D174-($D174-$I$157)*MIN(M$3-$O$2,$Q$2)/$Q$2))</f>
        <v>5329.36099332719</v>
      </c>
      <c r="N174" s="15" t="n">
        <f aca="false">M174*(1+IF(N$3&lt;=$O$2,$D174,$D174-($D174-$I$157)*MIN(N$3-$O$2,$Q$2)/$Q$2))</f>
        <v>5533.47551937163</v>
      </c>
      <c r="O174" s="15" t="n">
        <f aca="false">SUMPRODUCT(E174:N174,1/(1+$F$157)^$E$3:$N$3)*$E$2</f>
        <v>7067.87812996819</v>
      </c>
      <c r="P174" s="15" t="n">
        <f aca="false">N174*$E$2*(1+$I$157)/($F$157-$I$157)/(1+$F$157)^$N$3</f>
        <v>15065.7463099233</v>
      </c>
      <c r="Q174" s="15" t="n">
        <f aca="false">O174+P174</f>
        <v>22133.6244398915</v>
      </c>
      <c r="R174" s="15" t="n">
        <f aca="false">Q174-$G$2+$I$2</f>
        <v>19017.4244398915</v>
      </c>
      <c r="S174" s="42" t="n">
        <f aca="false">R174/$K$2</f>
        <v>168.44485774926</v>
      </c>
      <c r="T174" s="43" t="n">
        <f aca="false">S174-$M$2</f>
        <v>-0.022812755611568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-0.0579605102539063</v>
      </c>
      <c r="C175" s="25" t="n">
        <f aca="false">IF(T174&gt;0,D174,C174)</f>
        <v>-0.0579376220703125</v>
      </c>
      <c r="D175" s="41" t="n">
        <f aca="false">(B175+C175)/2</f>
        <v>-0.0579490661621094</v>
      </c>
      <c r="E175" s="15" t="n">
        <f aca="false">$C$2*(1+IF(E$3&lt;=$O$2,$D175,$D175-($D175-$I$157)*MIN(E$3-$O$2,$Q$2)/$Q$2))</f>
        <v>7046.54098510742</v>
      </c>
      <c r="F175" s="15" t="n">
        <f aca="false">E175*(1+IF(F$3&lt;=$O$2,$D175,$D175-($D175-$I$157)*MIN(F$3-$O$2,$Q$2)/$Q$2))</f>
        <v>6638.20051534742</v>
      </c>
      <c r="G175" s="15" t="n">
        <f aca="false">F175*(1+IF(G$3&lt;=$O$2,$D175,$D175-($D175-$I$157)*MIN(G$3-$O$2,$Q$2)/$Q$2))</f>
        <v>6253.5229944862</v>
      </c>
      <c r="H175" s="15" t="n">
        <f aca="false">G175*(1+IF(H$3&lt;=$O$2,$D175,$D175-($D175-$I$157)*MIN(H$3-$O$2,$Q$2)/$Q$2))</f>
        <v>5891.13717673245</v>
      </c>
      <c r="I175" s="15" t="n">
        <f aca="false">H175*(1+IF(I$3&lt;=$O$2,$D175,$D175-($D175-$I$157)*MIN(I$3-$O$2,$Q$2)/$Q$2))</f>
        <v>5549.75127870792</v>
      </c>
      <c r="J175" s="15" t="n">
        <f aca="false">I175*(1+IF(J$3&lt;=$O$2,$D175,$D175-($D175-$I$157)*MIN(J$3-$O$2,$Q$2)/$Q$2))</f>
        <v>5334.98005027634</v>
      </c>
      <c r="K175" s="15" t="n">
        <f aca="false">J175*(1+IF(K$3&lt;=$O$2,$D175,$D175-($D175-$I$157)*MIN(K$3-$O$2,$Q$2)/$Q$2))</f>
        <v>5231.21767750238</v>
      </c>
      <c r="L175" s="15" t="n">
        <f aca="false">K175*(1+IF(L$3&lt;=$O$2,$D175,$D175-($D175-$I$157)*MIN(L$3-$O$2,$Q$2)/$Q$2))</f>
        <v>5230.17338801059</v>
      </c>
      <c r="M175" s="15" t="n">
        <f aca="false">L175*(1+IF(M$3&lt;=$O$2,$D175,$D175-($D175-$I$157)*MIN(M$3-$O$2,$Q$2)/$Q$2))</f>
        <v>5329.80916787901</v>
      </c>
      <c r="N175" s="15" t="n">
        <f aca="false">M175*(1+IF(N$3&lt;=$O$2,$D175,$D175-($D175-$I$157)*MIN(N$3-$O$2,$Q$2)/$Q$2))</f>
        <v>5533.94085900878</v>
      </c>
      <c r="O175" s="15" t="n">
        <f aca="false">SUMPRODUCT(E175:N175,1/(1+$F$157)^$E$3:$N$3)*$E$2</f>
        <v>7068.23460363964</v>
      </c>
      <c r="P175" s="15" t="n">
        <f aca="false">N175*$E$2*(1+$I$157)/($F$157-$I$157)/(1+$F$157)^$N$3</f>
        <v>15067.0132693408</v>
      </c>
      <c r="Q175" s="15" t="n">
        <f aca="false">O175+P175</f>
        <v>22135.2478729805</v>
      </c>
      <c r="R175" s="15" t="n">
        <f aca="false">Q175-$G$2+$I$2</f>
        <v>19019.0478729805</v>
      </c>
      <c r="S175" s="42" t="n">
        <f aca="false">R175/$K$2</f>
        <v>168.459237138888</v>
      </c>
      <c r="T175" s="43" t="n">
        <f aca="false">S175-$M$2</f>
        <v>-0.00843336598333622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-0.0579490661621094</v>
      </c>
      <c r="C176" s="25" t="n">
        <f aca="false">IF(T175&gt;0,D175,C175)</f>
        <v>-0.0579376220703125</v>
      </c>
      <c r="D176" s="41" t="n">
        <f aca="false">(B176+C176)/2</f>
        <v>-0.0579433441162109</v>
      </c>
      <c r="E176" s="15" t="n">
        <f aca="false">$C$2*(1+IF(E$3&lt;=$O$2,$D176,$D176-($D176-$I$157)*MIN(E$3-$O$2,$Q$2)/$Q$2))</f>
        <v>7046.58378601074</v>
      </c>
      <c r="F176" s="15" t="n">
        <f aca="false">E176*(1+IF(F$3&lt;=$O$2,$D176,$D176-($D176-$I$157)*MIN(F$3-$O$2,$Q$2)/$Q$2))</f>
        <v>6638.28115685421</v>
      </c>
      <c r="G176" s="15" t="n">
        <f aca="false">F176*(1+IF(G$3&lt;=$O$2,$D176,$D176-($D176-$I$157)*MIN(G$3-$O$2,$Q$2)/$Q$2))</f>
        <v>6253.63694744245</v>
      </c>
      <c r="H176" s="15" t="n">
        <f aca="false">G176*(1+IF(H$3&lt;=$O$2,$D176,$D176-($D176-$I$157)*MIN(H$3-$O$2,$Q$2)/$Q$2))</f>
        <v>5891.28030981894</v>
      </c>
      <c r="I176" s="15" t="n">
        <f aca="false">H176*(1+IF(I$3&lt;=$O$2,$D176,$D176-($D176-$I$157)*MIN(I$3-$O$2,$Q$2)/$Q$2))</f>
        <v>5549.91982754204</v>
      </c>
      <c r="J176" s="15" t="n">
        <f aca="false">I176*(1+IF(J$3&lt;=$O$2,$D176,$D176-($D176-$I$157)*MIN(J$3-$O$2,$Q$2)/$Q$2))</f>
        <v>5335.16748191329</v>
      </c>
      <c r="K176" s="15" t="n">
        <f aca="false">J176*(1+IF(K$3&lt;=$O$2,$D176,$D176-($D176-$I$157)*MIN(K$3-$O$2,$Q$2)/$Q$2))</f>
        <v>5231.41978054293</v>
      </c>
      <c r="L176" s="15" t="n">
        <f aca="false">K176*(1+IF(L$3&lt;=$O$2,$D176,$D176-($D176-$I$157)*MIN(L$3-$O$2,$Q$2)/$Q$2))</f>
        <v>5230.38742447567</v>
      </c>
      <c r="M176" s="15" t="n">
        <f aca="false">L176*(1+IF(M$3&lt;=$O$2,$D176,$D176-($D176-$I$157)*MIN(M$3-$O$2,$Q$2)/$Q$2))</f>
        <v>5330.0332674821</v>
      </c>
      <c r="N176" s="15" t="n">
        <f aca="false">M176*(1+IF(N$3&lt;=$O$2,$D176,$D176-($D176-$I$157)*MIN(N$3-$O$2,$Q$2)/$Q$2))</f>
        <v>5534.17354162667</v>
      </c>
      <c r="O176" s="15" t="n">
        <f aca="false">SUMPRODUCT(E176:N176,1/(1+$F$157)^$E$3:$N$3)*$E$2</f>
        <v>7068.4128474781</v>
      </c>
      <c r="P176" s="15" t="n">
        <f aca="false">N176*$E$2*(1+$I$157)/($F$157-$I$157)/(1+$F$157)^$N$3</f>
        <v>15067.6467838978</v>
      </c>
      <c r="Q176" s="15" t="n">
        <f aca="false">O176+P176</f>
        <v>22136.0596313759</v>
      </c>
      <c r="R176" s="15" t="n">
        <f aca="false">Q176-$G$2+$I$2</f>
        <v>19019.8596313759</v>
      </c>
      <c r="S176" s="42" t="n">
        <f aca="false">R176/$K$2</f>
        <v>168.466427204392</v>
      </c>
      <c r="T176" s="43" t="n">
        <f aca="false">S176-$M$2</f>
        <v>-0.00124330047941612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-0.0579433441162109</v>
      </c>
      <c r="C177" s="25" t="n">
        <f aca="false">IF(T176&gt;0,D176,C176)</f>
        <v>-0.0579376220703125</v>
      </c>
      <c r="D177" s="41" t="n">
        <f aca="false">(B177+C177)/2</f>
        <v>-0.0579404830932617</v>
      </c>
      <c r="E177" s="15" t="n">
        <f aca="false">$C$2*(1+IF(E$3&lt;=$O$2,$D177,$D177-($D177-$I$157)*MIN(E$3-$O$2,$Q$2)/$Q$2))</f>
        <v>7046.6051864624</v>
      </c>
      <c r="F177" s="15" t="n">
        <f aca="false">E177*(1+IF(F$3&lt;=$O$2,$D177,$D177-($D177-$I$157)*MIN(F$3-$O$2,$Q$2)/$Q$2))</f>
        <v>6638.32147779129</v>
      </c>
      <c r="G177" s="15" t="n">
        <f aca="false">F177*(1+IF(G$3&lt;=$O$2,$D177,$D177-($D177-$I$157)*MIN(G$3-$O$2,$Q$2)/$Q$2))</f>
        <v>6253.69392443969</v>
      </c>
      <c r="H177" s="15" t="n">
        <f aca="false">G177*(1+IF(H$3&lt;=$O$2,$D177,$D177-($D177-$I$157)*MIN(H$3-$O$2,$Q$2)/$Q$2))</f>
        <v>5891.35187734025</v>
      </c>
      <c r="I177" s="15" t="n">
        <f aca="false">H177*(1+IF(I$3&lt;=$O$2,$D177,$D177-($D177-$I$157)*MIN(I$3-$O$2,$Q$2)/$Q$2))</f>
        <v>5550.00410349477</v>
      </c>
      <c r="J177" s="15" t="n">
        <f aca="false">I177*(1+IF(J$3&lt;=$O$2,$D177,$D177-($D177-$I$157)*MIN(J$3-$O$2,$Q$2)/$Q$2))</f>
        <v>5335.26119978668</v>
      </c>
      <c r="K177" s="15" t="n">
        <f aca="false">J177*(1+IF(K$3&lt;=$O$2,$D177,$D177-($D177-$I$157)*MIN(K$3-$O$2,$Q$2)/$Q$2))</f>
        <v>5231.52083456078</v>
      </c>
      <c r="L177" s="15" t="n">
        <f aca="false">K177*(1+IF(L$3&lt;=$O$2,$D177,$D177-($D177-$I$157)*MIN(L$3-$O$2,$Q$2)/$Q$2))</f>
        <v>5230.49444555222</v>
      </c>
      <c r="M177" s="15" t="n">
        <f aca="false">L177*(1+IF(M$3&lt;=$O$2,$D177,$D177-($D177-$I$157)*MIN(M$3-$O$2,$Q$2)/$Q$2))</f>
        <v>5330.14532036556</v>
      </c>
      <c r="N177" s="15" t="n">
        <f aca="false">M177*(1+IF(N$3&lt;=$O$2,$D177,$D177-($D177-$I$157)*MIN(N$3-$O$2,$Q$2)/$Q$2))</f>
        <v>5534.28988613556</v>
      </c>
      <c r="O177" s="15" t="n">
        <f aca="false">SUMPRODUCT(E177:N177,1/(1+$F$157)^$E$3:$N$3)*$E$2</f>
        <v>7068.50197114807</v>
      </c>
      <c r="P177" s="15" t="n">
        <f aca="false">N177*$E$2*(1+$I$157)/($F$157-$I$157)/(1+$F$157)^$N$3</f>
        <v>15067.9635498886</v>
      </c>
      <c r="Q177" s="15" t="n">
        <f aca="false">O177+P177</f>
        <v>22136.4655210367</v>
      </c>
      <c r="R177" s="15" t="n">
        <f aca="false">Q177-$G$2+$I$2</f>
        <v>19020.2655210367</v>
      </c>
      <c r="S177" s="42" t="n">
        <f aca="false">R177/$K$2</f>
        <v>168.47002232982</v>
      </c>
      <c r="T177" s="43" t="n">
        <f aca="false">S177-$M$2</f>
        <v>0.00235182494822084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-0.0579433441162109</v>
      </c>
      <c r="C178" s="25" t="n">
        <f aca="false">IF(T177&gt;0,D177,C177)</f>
        <v>-0.0579404830932617</v>
      </c>
      <c r="D178" s="41" t="n">
        <f aca="false">(B178+C178)/2</f>
        <v>-0.0579419136047363</v>
      </c>
      <c r="E178" s="15" t="n">
        <f aca="false">$C$2*(1+IF(E$3&lt;=$O$2,$D178,$D178-($D178-$I$157)*MIN(E$3-$O$2,$Q$2)/$Q$2))</f>
        <v>7046.59448623657</v>
      </c>
      <c r="F178" s="15" t="n">
        <f aca="false">E178*(1+IF(F$3&lt;=$O$2,$D178,$D178-($D178-$I$157)*MIN(F$3-$O$2,$Q$2)/$Q$2))</f>
        <v>6638.30131730744</v>
      </c>
      <c r="G178" s="15" t="n">
        <f aca="false">F178*(1+IF(G$3&lt;=$O$2,$D178,$D178-($D178-$I$157)*MIN(G$3-$O$2,$Q$2)/$Q$2))</f>
        <v>6253.66543589781</v>
      </c>
      <c r="H178" s="15" t="n">
        <f aca="false">G178*(1+IF(H$3&lt;=$O$2,$D178,$D178-($D178-$I$157)*MIN(H$3-$O$2,$Q$2)/$Q$2))</f>
        <v>5891.31609349809</v>
      </c>
      <c r="I178" s="15" t="n">
        <f aca="false">H178*(1+IF(I$3&lt;=$O$2,$D178,$D178-($D178-$I$157)*MIN(I$3-$O$2,$Q$2)/$Q$2))</f>
        <v>5549.96196539043</v>
      </c>
      <c r="J178" s="15" t="n">
        <f aca="false">I178*(1+IF(J$3&lt;=$O$2,$D178,$D178-($D178-$I$157)*MIN(J$3-$O$2,$Q$2)/$Q$2))</f>
        <v>5335.21434067874</v>
      </c>
      <c r="K178" s="15" t="n">
        <f aca="false">J178*(1+IF(K$3&lt;=$O$2,$D178,$D178-($D178-$I$157)*MIN(K$3-$O$2,$Q$2)/$Q$2))</f>
        <v>5231.47030734373</v>
      </c>
      <c r="L178" s="15" t="n">
        <f aca="false">K178*(1+IF(L$3&lt;=$O$2,$D178,$D178-($D178-$I$157)*MIN(L$3-$O$2,$Q$2)/$Q$2))</f>
        <v>5230.44093477694</v>
      </c>
      <c r="M178" s="15" t="n">
        <f aca="false">L178*(1+IF(M$3&lt;=$O$2,$D178,$D178-($D178-$I$157)*MIN(M$3-$O$2,$Q$2)/$Q$2))</f>
        <v>5330.089293667</v>
      </c>
      <c r="N178" s="15" t="n">
        <f aca="false">M178*(1+IF(N$3&lt;=$O$2,$D178,$D178-($D178-$I$157)*MIN(N$3-$O$2,$Q$2)/$Q$2))</f>
        <v>5534.23171361445</v>
      </c>
      <c r="O178" s="15" t="n">
        <f aca="false">SUMPRODUCT(E178:N178,1/(1+$F$157)^$E$3:$N$3)*$E$2</f>
        <v>7068.45740916719</v>
      </c>
      <c r="P178" s="15" t="n">
        <f aca="false">N178*$E$2*(1+$I$157)/($F$157-$I$157)/(1+$F$157)^$N$3</f>
        <v>15067.8051661671</v>
      </c>
      <c r="Q178" s="15" t="n">
        <f aca="false">O178+P178</f>
        <v>22136.2625753343</v>
      </c>
      <c r="R178" s="15" t="n">
        <f aca="false">Q178-$G$2+$I$2</f>
        <v>19020.0625753343</v>
      </c>
      <c r="S178" s="42" t="n">
        <f aca="false">R178/$K$2</f>
        <v>168.468224759383</v>
      </c>
      <c r="T178" s="43" t="n">
        <f aca="false">S178-$M$2</f>
        <v>0.000554254511314412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-0.0579433441162109</v>
      </c>
      <c r="C179" s="25" t="n">
        <f aca="false">IF(T178&gt;0,D178,C178)</f>
        <v>-0.0579419136047363</v>
      </c>
      <c r="D179" s="41" t="n">
        <f aca="false">(B179+C179)/2</f>
        <v>-0.0579426288604736</v>
      </c>
      <c r="E179" s="15" t="n">
        <f aca="false">$C$2*(1+IF(E$3&lt;=$O$2,$D179,$D179-($D179-$I$157)*MIN(E$3-$O$2,$Q$2)/$Q$2))</f>
        <v>7046.58913612366</v>
      </c>
      <c r="F179" s="15" t="n">
        <f aca="false">E179*(1+IF(F$3&lt;=$O$2,$D179,$D179-($D179-$I$157)*MIN(F$3-$O$2,$Q$2)/$Q$2))</f>
        <v>6638.291237077</v>
      </c>
      <c r="G179" s="15" t="n">
        <f aca="false">F179*(1+IF(G$3&lt;=$O$2,$D179,$D179-($D179-$I$157)*MIN(G$3-$O$2,$Q$2)/$Q$2))</f>
        <v>6253.65119165931</v>
      </c>
      <c r="H179" s="15" t="n">
        <f aca="false">G179*(1+IF(H$3&lt;=$O$2,$D179,$D179-($D179-$I$157)*MIN(H$3-$O$2,$Q$2)/$Q$2))</f>
        <v>5891.29820163814</v>
      </c>
      <c r="I179" s="15" t="n">
        <f aca="false">H179*(1+IF(I$3&lt;=$O$2,$D179,$D179-($D179-$I$157)*MIN(I$3-$O$2,$Q$2)/$Q$2))</f>
        <v>5549.94089643424</v>
      </c>
      <c r="J179" s="15" t="n">
        <f aca="false">I179*(1+IF(J$3&lt;=$O$2,$D179,$D179-($D179-$I$157)*MIN(J$3-$O$2,$Q$2)/$Q$2))</f>
        <v>5335.19091125321</v>
      </c>
      <c r="K179" s="15" t="n">
        <f aca="false">J179*(1+IF(K$3&lt;=$O$2,$D179,$D179-($D179-$I$157)*MIN(K$3-$O$2,$Q$2)/$Q$2))</f>
        <v>5231.4450438913</v>
      </c>
      <c r="L179" s="15" t="n">
        <f aca="false">K179*(1+IF(L$3&lt;=$O$2,$D179,$D179-($D179-$I$157)*MIN(L$3-$O$2,$Q$2)/$Q$2))</f>
        <v>5230.41417956705</v>
      </c>
      <c r="M179" s="15" t="n">
        <f aca="false">L179*(1+IF(M$3&lt;=$O$2,$D179,$D179-($D179-$I$157)*MIN(M$3-$O$2,$Q$2)/$Q$2))</f>
        <v>5330.06128051035</v>
      </c>
      <c r="N179" s="15" t="n">
        <f aca="false">M179*(1+IF(N$3&lt;=$O$2,$D179,$D179-($D179-$I$157)*MIN(N$3-$O$2,$Q$2)/$Q$2))</f>
        <v>5534.20262755389</v>
      </c>
      <c r="O179" s="15" t="n">
        <f aca="false">SUMPRODUCT(E179:N179,1/(1+$F$157)^$E$3:$N$3)*$E$2</f>
        <v>7068.43512828617</v>
      </c>
      <c r="P179" s="15" t="n">
        <f aca="false">N179*$E$2*(1+$I$157)/($F$157-$I$157)/(1+$F$157)^$N$3</f>
        <v>15067.725974851</v>
      </c>
      <c r="Q179" s="15" t="n">
        <f aca="false">O179+P179</f>
        <v>22136.1611031371</v>
      </c>
      <c r="R179" s="15" t="n">
        <f aca="false">Q179-$G$2+$I$2</f>
        <v>19019.9611031371</v>
      </c>
      <c r="S179" s="42" t="n">
        <f aca="false">R179/$K$2</f>
        <v>168.467325979957</v>
      </c>
      <c r="T179" s="43" t="n">
        <f aca="false">S179-$M$2</f>
        <v>-0.000344524914822841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-0.0579426288604736</v>
      </c>
      <c r="C180" s="25" t="n">
        <f aca="false">IF(T179&gt;0,D179,C179)</f>
        <v>-0.0579419136047363</v>
      </c>
      <c r="D180" s="41" t="n">
        <f aca="false">(B180+C180)/2</f>
        <v>-0.057942271232605</v>
      </c>
      <c r="E180" s="15" t="n">
        <f aca="false">$C$2*(1+IF(E$3&lt;=$O$2,$D180,$D180-($D180-$I$157)*MIN(E$3-$O$2,$Q$2)/$Q$2))</f>
        <v>7046.59181118012</v>
      </c>
      <c r="F180" s="15" t="n">
        <f aca="false">E180*(1+IF(F$3&lt;=$O$2,$D180,$D180-($D180-$I$157)*MIN(F$3-$O$2,$Q$2)/$Q$2))</f>
        <v>6638.29627719126</v>
      </c>
      <c r="G180" s="15" t="n">
        <f aca="false">F180*(1+IF(G$3&lt;=$O$2,$D180,$D180-($D180-$I$157)*MIN(G$3-$O$2,$Q$2)/$Q$2))</f>
        <v>6253.65831377586</v>
      </c>
      <c r="H180" s="15" t="n">
        <f aca="false">G180*(1+IF(H$3&lt;=$O$2,$D180,$D180-($D180-$I$157)*MIN(H$3-$O$2,$Q$2)/$Q$2))</f>
        <v>5891.30714756302</v>
      </c>
      <c r="I180" s="15" t="n">
        <f aca="false">H180*(1+IF(I$3&lt;=$O$2,$D180,$D180-($D180-$I$157)*MIN(I$3-$O$2,$Q$2)/$Q$2))</f>
        <v>5549.95143090434</v>
      </c>
      <c r="J180" s="15" t="n">
        <f aca="false">I180*(1+IF(J$3&lt;=$O$2,$D180,$D180-($D180-$I$157)*MIN(J$3-$O$2,$Q$2)/$Q$2))</f>
        <v>5335.20262595527</v>
      </c>
      <c r="K180" s="15" t="n">
        <f aca="false">J180*(1+IF(K$3&lt;=$O$2,$D180,$D180-($D180-$I$157)*MIN(K$3-$O$2,$Q$2)/$Q$2))</f>
        <v>5231.4576756045</v>
      </c>
      <c r="L180" s="15" t="n">
        <f aca="false">K180*(1+IF(L$3&lt;=$O$2,$D180,$D180-($D180-$I$157)*MIN(L$3-$O$2,$Q$2)/$Q$2))</f>
        <v>5230.42755715719</v>
      </c>
      <c r="M180" s="15" t="n">
        <f aca="false">L180*(1+IF(M$3&lt;=$O$2,$D180,$D180-($D180-$I$157)*MIN(M$3-$O$2,$Q$2)/$Q$2))</f>
        <v>5330.07528707262</v>
      </c>
      <c r="N180" s="15" t="n">
        <f aca="false">M180*(1+IF(N$3&lt;=$O$2,$D180,$D180-($D180-$I$157)*MIN(N$3-$O$2,$Q$2)/$Q$2))</f>
        <v>5534.21717056751</v>
      </c>
      <c r="O180" s="15" t="n">
        <f aca="false">SUMPRODUCT(E180:N180,1/(1+$F$157)^$E$3:$N$3)*$E$2</f>
        <v>7068.44626871756</v>
      </c>
      <c r="P180" s="15" t="n">
        <f aca="false">N180*$E$2*(1+$I$157)/($F$157-$I$157)/(1+$F$157)^$N$3</f>
        <v>15067.7655704637</v>
      </c>
      <c r="Q180" s="15" t="n">
        <f aca="false">O180+P180</f>
        <v>22136.2118391812</v>
      </c>
      <c r="R180" s="15" t="n">
        <f aca="false">Q180-$G$2+$I$2</f>
        <v>19020.0118391812</v>
      </c>
      <c r="S180" s="42" t="n">
        <f aca="false">R180/$K$2</f>
        <v>168.467775369187</v>
      </c>
      <c r="T180" s="43" t="n">
        <f aca="false">S180-$M$2</f>
        <v>0.000104864315545683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-0.0579426288604736</v>
      </c>
      <c r="C181" s="25" t="n">
        <f aca="false">IF(T180&gt;0,D180,C180)</f>
        <v>-0.057942271232605</v>
      </c>
      <c r="D181" s="41" t="n">
        <f aca="false">(B181+C181)/2</f>
        <v>-0.0579424500465393</v>
      </c>
      <c r="E181" s="15" t="n">
        <f aca="false">$C$2*(1+IF(E$3&lt;=$O$2,$D181,$D181-($D181-$I$157)*MIN(E$3-$O$2,$Q$2)/$Q$2))</f>
        <v>7046.59047365189</v>
      </c>
      <c r="F181" s="15" t="n">
        <f aca="false">E181*(1+IF(F$3&lt;=$O$2,$D181,$D181-($D181-$I$157)*MIN(F$3-$O$2,$Q$2)/$Q$2))</f>
        <v>6638.29375713389</v>
      </c>
      <c r="G181" s="15" t="n">
        <f aca="false">F181*(1+IF(G$3&lt;=$O$2,$D181,$D181-($D181-$I$157)*MIN(G$3-$O$2,$Q$2)/$Q$2))</f>
        <v>6253.65475271691</v>
      </c>
      <c r="H181" s="15" t="n">
        <f aca="false">G181*(1+IF(H$3&lt;=$O$2,$D181,$D181-($D181-$I$157)*MIN(H$3-$O$2,$Q$2)/$Q$2))</f>
        <v>5891.30267459931</v>
      </c>
      <c r="I181" s="15" t="n">
        <f aca="false">H181*(1+IF(I$3&lt;=$O$2,$D181,$D181-($D181-$I$157)*MIN(I$3-$O$2,$Q$2)/$Q$2))</f>
        <v>5549.94616366729</v>
      </c>
      <c r="J181" s="15" t="n">
        <f aca="false">I181*(1+IF(J$3&lt;=$O$2,$D181,$D181-($D181-$I$157)*MIN(J$3-$O$2,$Q$2)/$Q$2))</f>
        <v>5335.19676860156</v>
      </c>
      <c r="K181" s="15" t="n">
        <f aca="false">J181*(1+IF(K$3&lt;=$O$2,$D181,$D181-($D181-$I$157)*MIN(K$3-$O$2,$Q$2)/$Q$2))</f>
        <v>5231.45135974465</v>
      </c>
      <c r="L181" s="15" t="n">
        <f aca="false">K181*(1+IF(L$3&lt;=$O$2,$D181,$D181-($D181-$I$157)*MIN(L$3-$O$2,$Q$2)/$Q$2))</f>
        <v>5230.42086835842</v>
      </c>
      <c r="M181" s="15" t="n">
        <f aca="false">L181*(1+IF(M$3&lt;=$O$2,$D181,$D181-($D181-$I$157)*MIN(M$3-$O$2,$Q$2)/$Q$2))</f>
        <v>5330.06828378747</v>
      </c>
      <c r="N181" s="15" t="n">
        <f aca="false">M181*(1+IF(N$3&lt;=$O$2,$D181,$D181-($D181-$I$157)*MIN(N$3-$O$2,$Q$2)/$Q$2))</f>
        <v>5534.20989905653</v>
      </c>
      <c r="O181" s="15" t="n">
        <f aca="false">SUMPRODUCT(E181:N181,1/(1+$F$157)^$E$3:$N$3)*$E$2</f>
        <v>7068.44069849959</v>
      </c>
      <c r="P181" s="15" t="n">
        <f aca="false">N181*$E$2*(1+$I$157)/($F$157-$I$157)/(1+$F$157)^$N$3</f>
        <v>15067.745772646</v>
      </c>
      <c r="Q181" s="15" t="n">
        <f aca="false">O181+P181</f>
        <v>22136.1864711456</v>
      </c>
      <c r="R181" s="15" t="n">
        <f aca="false">Q181-$G$2+$I$2</f>
        <v>19019.9864711456</v>
      </c>
      <c r="S181" s="42" t="n">
        <f aca="false">R181/$K$2</f>
        <v>168.467550674451</v>
      </c>
      <c r="T181" s="43" t="n">
        <f aca="false">S181-$M$2</f>
        <v>-0.000119830420260314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-0.0579424500465393</v>
      </c>
      <c r="C182" s="25" t="n">
        <f aca="false">IF(T181&gt;0,D181,C181)</f>
        <v>-0.057942271232605</v>
      </c>
      <c r="D182" s="41" t="n">
        <f aca="false">(B182+C182)/2</f>
        <v>-0.0579423606395721</v>
      </c>
      <c r="E182" s="15" t="n">
        <f aca="false">$C$2*(1+IF(E$3&lt;=$O$2,$D182,$D182-($D182-$I$157)*MIN(E$3-$O$2,$Q$2)/$Q$2))</f>
        <v>7046.591142416</v>
      </c>
      <c r="F182" s="15" t="n">
        <f aca="false">E182*(1+IF(F$3&lt;=$O$2,$D182,$D182-($D182-$I$157)*MIN(F$3-$O$2,$Q$2)/$Q$2))</f>
        <v>6638.29501716252</v>
      </c>
      <c r="G182" s="15" t="n">
        <f aca="false">F182*(1+IF(G$3&lt;=$O$2,$D182,$D182-($D182-$I$157)*MIN(G$3-$O$2,$Q$2)/$Q$2))</f>
        <v>6253.65653324621</v>
      </c>
      <c r="H182" s="15" t="n">
        <f aca="false">G182*(1+IF(H$3&lt;=$O$2,$D182,$D182-($D182-$I$157)*MIN(H$3-$O$2,$Q$2)/$Q$2))</f>
        <v>5891.30491108084</v>
      </c>
      <c r="I182" s="15" t="n">
        <f aca="false">H182*(1+IF(I$3&lt;=$O$2,$D182,$D182-($D182-$I$157)*MIN(I$3-$O$2,$Q$2)/$Q$2))</f>
        <v>5549.94879728532</v>
      </c>
      <c r="J182" s="15" t="n">
        <f aca="false">I182*(1+IF(J$3&lt;=$O$2,$D182,$D182-($D182-$I$157)*MIN(J$3-$O$2,$Q$2)/$Q$2))</f>
        <v>5335.19969727775</v>
      </c>
      <c r="K182" s="15" t="n">
        <f aca="false">J182*(1+IF(K$3&lt;=$O$2,$D182,$D182-($D182-$I$157)*MIN(K$3-$O$2,$Q$2)/$Q$2))</f>
        <v>5231.45451767376</v>
      </c>
      <c r="L182" s="15" t="n">
        <f aca="false">K182*(1+IF(L$3&lt;=$O$2,$D182,$D182-($D182-$I$157)*MIN(L$3-$O$2,$Q$2)/$Q$2))</f>
        <v>5230.42421275688</v>
      </c>
      <c r="M182" s="15" t="n">
        <f aca="false">L182*(1+IF(M$3&lt;=$O$2,$D182,$D182-($D182-$I$157)*MIN(M$3-$O$2,$Q$2)/$Q$2))</f>
        <v>5330.07178542904</v>
      </c>
      <c r="N182" s="15" t="n">
        <f aca="false">M182*(1+IF(N$3&lt;=$O$2,$D182,$D182-($D182-$I$157)*MIN(N$3-$O$2,$Q$2)/$Q$2))</f>
        <v>5534.21353481098</v>
      </c>
      <c r="O182" s="15" t="n">
        <f aca="false">SUMPRODUCT(E182:N182,1/(1+$F$157)^$E$3:$N$3)*$E$2</f>
        <v>7068.44348360801</v>
      </c>
      <c r="P182" s="15" t="n">
        <f aca="false">N182*$E$2*(1+$I$157)/($F$157-$I$157)/(1+$F$157)^$N$3</f>
        <v>15067.755671552</v>
      </c>
      <c r="Q182" s="15" t="n">
        <f aca="false">O182+P182</f>
        <v>22136.19915516</v>
      </c>
      <c r="R182" s="15" t="n">
        <f aca="false">Q182-$G$2+$I$2</f>
        <v>19019.99915516</v>
      </c>
      <c r="S182" s="42" t="n">
        <f aca="false">R182/$K$2</f>
        <v>168.467663021789</v>
      </c>
      <c r="T182" s="43" t="n">
        <f aca="false">S182-$M$2</f>
        <v>-7.48308249853835E-006</v>
      </c>
    </row>
    <row r="184" customFormat="false" ht="15" hidden="false" customHeight="false" outlineLevel="0" collapsed="false">
      <c r="A184" s="38" t="s">
        <v>190</v>
      </c>
      <c r="E184" s="5" t="s">
        <v>11</v>
      </c>
      <c r="F184" s="12" t="n">
        <f aca="false">Sensitivity!$B$11</f>
        <v>0.0761268672746673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165</v>
      </c>
      <c r="B185" s="28" t="s">
        <v>166</v>
      </c>
      <c r="C185" s="28" t="s">
        <v>167</v>
      </c>
      <c r="D185" s="28" t="s">
        <v>168</v>
      </c>
      <c r="E185" s="28" t="s">
        <v>169</v>
      </c>
      <c r="F185" s="28" t="s">
        <v>170</v>
      </c>
      <c r="G185" s="28" t="s">
        <v>171</v>
      </c>
      <c r="H185" s="28" t="s">
        <v>172</v>
      </c>
      <c r="I185" s="28" t="s">
        <v>173</v>
      </c>
      <c r="J185" s="28" t="s">
        <v>174</v>
      </c>
      <c r="K185" s="28" t="s">
        <v>175</v>
      </c>
      <c r="L185" s="28" t="s">
        <v>176</v>
      </c>
      <c r="M185" s="28" t="s">
        <v>177</v>
      </c>
      <c r="N185" s="28" t="s">
        <v>178</v>
      </c>
      <c r="O185" s="28" t="s">
        <v>179</v>
      </c>
      <c r="P185" s="28" t="s">
        <v>180</v>
      </c>
      <c r="Q185" s="28" t="s">
        <v>181</v>
      </c>
      <c r="R185" s="28" t="s">
        <v>182</v>
      </c>
      <c r="S185" s="28" t="s">
        <v>183</v>
      </c>
      <c r="T185" s="28" t="s">
        <v>184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9350</v>
      </c>
      <c r="F186" s="15" t="n">
        <f aca="false">E186*(1+IF(F$3&lt;=$O$2,$D186,$D186-($D186-$I$184)*MIN(F$3-$O$2,$Q$2)/$Q$2))</f>
        <v>11687.5</v>
      </c>
      <c r="G186" s="15" t="n">
        <f aca="false">F186*(1+IF(G$3&lt;=$O$2,$D186,$D186-($D186-$I$184)*MIN(G$3-$O$2,$Q$2)/$Q$2))</f>
        <v>14609.375</v>
      </c>
      <c r="H186" s="15" t="n">
        <f aca="false">G186*(1+IF(H$3&lt;=$O$2,$D186,$D186-($D186-$I$184)*MIN(H$3-$O$2,$Q$2)/$Q$2))</f>
        <v>18261.71875</v>
      </c>
      <c r="I186" s="15" t="n">
        <f aca="false">H186*(1+IF(I$3&lt;=$O$2,$D186,$D186-($D186-$I$184)*MIN(I$3-$O$2,$Q$2)/$Q$2))</f>
        <v>22827.1484375</v>
      </c>
      <c r="J186" s="15" t="n">
        <f aca="false">I186*(1+IF(J$3&lt;=$O$2,$D186,$D186-($D186-$I$184)*MIN(J$3-$O$2,$Q$2)/$Q$2))</f>
        <v>27476.1254882813</v>
      </c>
      <c r="K186" s="15" t="n">
        <f aca="false">J186*(1+IF(K$3&lt;=$O$2,$D186,$D186-($D186-$I$184)*MIN(K$3-$O$2,$Q$2)/$Q$2))</f>
        <v>31798.6695500977</v>
      </c>
      <c r="L186" s="15" t="n">
        <f aca="false">K186*(1+IF(L$3&lt;=$O$2,$D186,$D186-($D186-$I$184)*MIN(L$3-$O$2,$Q$2)/$Q$2))</f>
        <v>35327.6858967675</v>
      </c>
      <c r="M186" s="15" t="n">
        <f aca="false">L186*(1+IF(M$3&lt;=$O$2,$D186,$D186-($D186-$I$184)*MIN(M$3-$O$2,$Q$2)/$Q$2))</f>
        <v>37611.2675131345</v>
      </c>
      <c r="N186" s="15" t="n">
        <f aca="false">M186*(1+IF(N$3&lt;=$O$2,$D186,$D186-($D186-$I$184)*MIN(N$3-$O$2,$Q$2)/$Q$2))</f>
        <v>38299.5537086249</v>
      </c>
      <c r="O186" s="15" t="n">
        <f aca="false">SUMPRODUCT(E186:N186,1/(1+$F$184)^$E$3:$N$3)*$E$2</f>
        <v>26373.9187627894</v>
      </c>
      <c r="P186" s="15" t="n">
        <f aca="false">N186*$E$2*(1+$I$184)/($F$184-$I$184)/(1+$F$184)^$N$3</f>
        <v>55413.224104917</v>
      </c>
      <c r="Q186" s="15" t="n">
        <f aca="false">O186+P186</f>
        <v>81787.1428677064</v>
      </c>
      <c r="R186" s="15" t="n">
        <f aca="false">Q186-$G$2+$I$2</f>
        <v>78670.9428677064</v>
      </c>
      <c r="S186" s="42" t="n">
        <f aca="false">R186/$K$2</f>
        <v>696.819688819366</v>
      </c>
      <c r="T186" s="43" t="n">
        <f aca="false">S186-$M$2</f>
        <v>528.352018314494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6545</v>
      </c>
      <c r="F187" s="15" t="n">
        <f aca="false">E187*(1+IF(F$3&lt;=$O$2,$D187,$D187-($D187-$I$184)*MIN(F$3-$O$2,$Q$2)/$Q$2))</f>
        <v>5726.875</v>
      </c>
      <c r="G187" s="15" t="n">
        <f aca="false">F187*(1+IF(G$3&lt;=$O$2,$D187,$D187-($D187-$I$184)*MIN(G$3-$O$2,$Q$2)/$Q$2))</f>
        <v>5011.015625</v>
      </c>
      <c r="H187" s="15" t="n">
        <f aca="false">G187*(1+IF(H$3&lt;=$O$2,$D187,$D187-($D187-$I$184)*MIN(H$3-$O$2,$Q$2)/$Q$2))</f>
        <v>4384.638671875</v>
      </c>
      <c r="I187" s="15" t="n">
        <f aca="false">H187*(1+IF(I$3&lt;=$O$2,$D187,$D187-($D187-$I$184)*MIN(I$3-$O$2,$Q$2)/$Q$2))</f>
        <v>3836.55883789063</v>
      </c>
      <c r="J187" s="15" t="n">
        <f aca="false">I187*(1+IF(J$3&lt;=$O$2,$D187,$D187-($D187-$I$184)*MIN(J$3-$O$2,$Q$2)/$Q$2))</f>
        <v>3466.94475944824</v>
      </c>
      <c r="K187" s="15" t="n">
        <f aca="false">J187*(1+IF(K$3&lt;=$O$2,$D187,$D187-($D187-$I$184)*MIN(K$3-$O$2,$Q$2)/$Q$2))</f>
        <v>3232.30193812879</v>
      </c>
      <c r="L187" s="15" t="n">
        <f aca="false">K187*(1+IF(L$3&lt;=$O$2,$D187,$D187-($D187-$I$184)*MIN(L$3-$O$2,$Q$2)/$Q$2))</f>
        <v>3106.177516503</v>
      </c>
      <c r="M187" s="15" t="n">
        <f aca="false">L187*(1+IF(M$3&lt;=$O$2,$D187,$D187-($D187-$I$184)*MIN(M$3-$O$2,$Q$2)/$Q$2))</f>
        <v>3073.99751743203</v>
      </c>
      <c r="N187" s="15" t="n">
        <f aca="false">M187*(1+IF(N$3&lt;=$O$2,$D187,$D187-($D187-$I$184)*MIN(N$3-$O$2,$Q$2)/$Q$2))</f>
        <v>3130.25167200104</v>
      </c>
      <c r="O187" s="15" t="n">
        <f aca="false">SUMPRODUCT(E187:N187,1/(1+$F$184)^$E$3:$N$3)*$E$2</f>
        <v>5127.01149071406</v>
      </c>
      <c r="P187" s="15" t="n">
        <f aca="false">N187*$E$2*(1+$I$184)/($F$184-$I$184)/(1+$F$184)^$N$3</f>
        <v>4528.96497763426</v>
      </c>
      <c r="Q187" s="15" t="n">
        <f aca="false">O187+P187</f>
        <v>9655.97646834831</v>
      </c>
      <c r="R187" s="15" t="n">
        <f aca="false">Q187-$G$2+$I$2</f>
        <v>6539.77646834831</v>
      </c>
      <c r="S187" s="42" t="n">
        <f aca="false">R187/$K$2</f>
        <v>57.9253894450692</v>
      </c>
      <c r="T187" s="43" t="n">
        <f aca="false">S187-$M$2</f>
        <v>-110.542281059802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7947.5</v>
      </c>
      <c r="F188" s="15" t="n">
        <f aca="false">E188*(1+IF(F$3&lt;=$O$2,$D188,$D188-($D188-$I$184)*MIN(F$3-$O$2,$Q$2)/$Q$2))</f>
        <v>8444.21875</v>
      </c>
      <c r="G188" s="15" t="n">
        <f aca="false">F188*(1+IF(G$3&lt;=$O$2,$D188,$D188-($D188-$I$184)*MIN(G$3-$O$2,$Q$2)/$Q$2))</f>
        <v>8971.982421875</v>
      </c>
      <c r="H188" s="15" t="n">
        <f aca="false">G188*(1+IF(H$3&lt;=$O$2,$D188,$D188-($D188-$I$184)*MIN(H$3-$O$2,$Q$2)/$Q$2))</f>
        <v>9532.73132324219</v>
      </c>
      <c r="I188" s="15" t="n">
        <f aca="false">H188*(1+IF(I$3&lt;=$O$2,$D188,$D188-($D188-$I$184)*MIN(I$3-$O$2,$Q$2)/$Q$2))</f>
        <v>10128.5270309448</v>
      </c>
      <c r="J188" s="15" t="n">
        <f aca="false">I188*(1+IF(J$3&lt;=$O$2,$D188,$D188-($D188-$I$184)*MIN(J$3-$O$2,$Q$2)/$Q$2))</f>
        <v>10672.0237914253</v>
      </c>
      <c r="K188" s="15" t="n">
        <f aca="false">J188*(1+IF(K$3&lt;=$O$2,$D188,$D188-($D188-$I$184)*MIN(K$3-$O$2,$Q$2)/$Q$2))</f>
        <v>11150.343897757</v>
      </c>
      <c r="L188" s="15" t="n">
        <f aca="false">K188*(1+IF(L$3&lt;=$O$2,$D188,$D188-($D188-$I$184)*MIN(L$3-$O$2,$Q$2)/$Q$2))</f>
        <v>11551.5332711983</v>
      </c>
      <c r="M188" s="15" t="n">
        <f aca="false">L188*(1+IF(M$3&lt;=$O$2,$D188,$D188-($D188-$I$184)*MIN(M$3-$O$2,$Q$2)/$Q$2))</f>
        <v>11865.0418841786</v>
      </c>
      <c r="N188" s="15" t="n">
        <f aca="false">M188*(1+IF(N$3&lt;=$O$2,$D188,$D188-($D188-$I$184)*MIN(N$3-$O$2,$Q$2)/$Q$2))</f>
        <v>12082.1721506591</v>
      </c>
      <c r="O188" s="15" t="n">
        <f aca="false">SUMPRODUCT(E188:N188,1/(1+$F$184)^$E$3:$N$3)*$E$2</f>
        <v>11619.4338791874</v>
      </c>
      <c r="P188" s="15" t="n">
        <f aca="false">N188*$E$2*(1+$I$184)/($F$184-$I$184)/(1+$F$184)^$N$3</f>
        <v>17480.9377193314</v>
      </c>
      <c r="Q188" s="15" t="n">
        <f aca="false">O188+P188</f>
        <v>29100.3715985188</v>
      </c>
      <c r="R188" s="15" t="n">
        <f aca="false">Q188-$G$2+$I$2</f>
        <v>25984.1715985188</v>
      </c>
      <c r="S188" s="42" t="n">
        <f aca="false">R188/$K$2</f>
        <v>230.152095646756</v>
      </c>
      <c r="T188" s="43" t="n">
        <f aca="false">S188-$M$2</f>
        <v>61.6844251418844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41" t="n">
        <f aca="false">(B189+C189)/2</f>
        <v>-0.03125</v>
      </c>
      <c r="E189" s="15" t="n">
        <f aca="false">$C$2*(1+IF(E$3&lt;=$O$2,$D189,$D189-($D189-$I$184)*MIN(E$3-$O$2,$Q$2)/$Q$2))</f>
        <v>7246.25</v>
      </c>
      <c r="F189" s="15" t="n">
        <f aca="false">E189*(1+IF(F$3&lt;=$O$2,$D189,$D189-($D189-$I$184)*MIN(F$3-$O$2,$Q$2)/$Q$2))</f>
        <v>7019.8046875</v>
      </c>
      <c r="G189" s="15" t="n">
        <f aca="false">F189*(1+IF(G$3&lt;=$O$2,$D189,$D189-($D189-$I$184)*MIN(G$3-$O$2,$Q$2)/$Q$2))</f>
        <v>6800.43579101563</v>
      </c>
      <c r="H189" s="15" t="n">
        <f aca="false">G189*(1+IF(H$3&lt;=$O$2,$D189,$D189-($D189-$I$184)*MIN(H$3-$O$2,$Q$2)/$Q$2))</f>
        <v>6587.92217254639</v>
      </c>
      <c r="I189" s="15" t="n">
        <f aca="false">H189*(1+IF(I$3&lt;=$O$2,$D189,$D189-($D189-$I$184)*MIN(I$3-$O$2,$Q$2)/$Q$2))</f>
        <v>6382.04960465431</v>
      </c>
      <c r="J189" s="15" t="n">
        <f aca="false">I189*(1+IF(J$3&lt;=$O$2,$D189,$D189-($D189-$I$184)*MIN(J$3-$O$2,$Q$2)/$Q$2))</f>
        <v>6245.85666609099</v>
      </c>
      <c r="K189" s="15" t="n">
        <f aca="false">J189*(1+IF(K$3&lt;=$O$2,$D189,$D189-($D189-$I$184)*MIN(K$3-$O$2,$Q$2)/$Q$2))</f>
        <v>6174.46652439757</v>
      </c>
      <c r="L189" s="15" t="n">
        <f aca="false">K189*(1+IF(L$3&lt;=$O$2,$D189,$D189-($D189-$I$184)*MIN(L$3-$O$2,$Q$2)/$Q$2))</f>
        <v>6165.08133528048</v>
      </c>
      <c r="M189" s="15" t="n">
        <f aca="false">L189*(1+IF(M$3&lt;=$O$2,$D189,$D189-($D189-$I$184)*MIN(M$3-$O$2,$Q$2)/$Q$2))</f>
        <v>6216.80636768349</v>
      </c>
      <c r="N189" s="15" t="n">
        <f aca="false">M189*(1+IF(N$3&lt;=$O$2,$D189,$D189-($D189-$I$184)*MIN(N$3-$O$2,$Q$2)/$Q$2))</f>
        <v>6330.5739242121</v>
      </c>
      <c r="O189" s="15" t="n">
        <f aca="false">SUMPRODUCT(E189:N189,1/(1+$F$184)^$E$3:$N$3)*$E$2</f>
        <v>7697.58727594335</v>
      </c>
      <c r="P189" s="15" t="n">
        <f aca="false">N189*$E$2*(1+$I$184)/($F$184-$I$184)/(1+$F$184)^$N$3</f>
        <v>9159.3106865919</v>
      </c>
      <c r="Q189" s="15" t="n">
        <f aca="false">O189+P189</f>
        <v>16856.8979625352</v>
      </c>
      <c r="R189" s="15" t="n">
        <f aca="false">Q189-$G$2+$I$2</f>
        <v>13740.6979625352</v>
      </c>
      <c r="S189" s="42" t="n">
        <f aca="false">R189/$K$2</f>
        <v>121.706802148231</v>
      </c>
      <c r="T189" s="43" t="n">
        <f aca="false">S189-$M$2</f>
        <v>-46.7608683566409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41" t="n">
        <f aca="false">(B190+C190)/2</f>
        <v>0.015625</v>
      </c>
      <c r="E190" s="15" t="n">
        <f aca="false">$C$2*(1+IF(E$3&lt;=$O$2,$D190,$D190-($D190-$I$184)*MIN(E$3-$O$2,$Q$2)/$Q$2))</f>
        <v>7596.875</v>
      </c>
      <c r="F190" s="15" t="n">
        <f aca="false">E190*(1+IF(F$3&lt;=$O$2,$D190,$D190-($D190-$I$184)*MIN(F$3-$O$2,$Q$2)/$Q$2))</f>
        <v>7715.576171875</v>
      </c>
      <c r="G190" s="15" t="n">
        <f aca="false">F190*(1+IF(G$3&lt;=$O$2,$D190,$D190-($D190-$I$184)*MIN(G$3-$O$2,$Q$2)/$Q$2))</f>
        <v>7836.13204956055</v>
      </c>
      <c r="H190" s="15" t="n">
        <f aca="false">G190*(1+IF(H$3&lt;=$O$2,$D190,$D190-($D190-$I$184)*MIN(H$3-$O$2,$Q$2)/$Q$2))</f>
        <v>7958.57161283493</v>
      </c>
      <c r="I190" s="15" t="n">
        <f aca="false">H190*(1+IF(I$3&lt;=$O$2,$D190,$D190-($D190-$I$184)*MIN(I$3-$O$2,$Q$2)/$Q$2))</f>
        <v>8082.92429428548</v>
      </c>
      <c r="J190" s="15" t="n">
        <f aca="false">I190*(1+IF(J$3&lt;=$O$2,$D190,$D190-($D190-$I$184)*MIN(J$3-$O$2,$Q$2)/$Q$2))</f>
        <v>8213.54435088113</v>
      </c>
      <c r="K190" s="15" t="n">
        <f aca="false">J190*(1+IF(K$3&lt;=$O$2,$D190,$D190-($D190-$I$184)*MIN(K$3-$O$2,$Q$2)/$Q$2))</f>
        <v>8350.66947381909</v>
      </c>
      <c r="L190" s="15" t="n">
        <f aca="false">K190*(1+IF(L$3&lt;=$O$2,$D190,$D190-($D190-$I$184)*MIN(L$3-$O$2,$Q$2)/$Q$2))</f>
        <v>8494.55150885299</v>
      </c>
      <c r="M190" s="15" t="n">
        <f aca="false">L190*(1+IF(M$3&lt;=$O$2,$D190,$D190-($D190-$I$184)*MIN(M$3-$O$2,$Q$2)/$Q$2))</f>
        <v>8645.45721640777</v>
      </c>
      <c r="N190" s="15" t="n">
        <f aca="false">M190*(1+IF(N$3&lt;=$O$2,$D190,$D190-($D190-$I$184)*MIN(N$3-$O$2,$Q$2)/$Q$2))</f>
        <v>8803.66908346803</v>
      </c>
      <c r="O190" s="15" t="n">
        <f aca="false">SUMPRODUCT(E190:N190,1/(1+$F$184)^$E$3:$N$3)*$E$2</f>
        <v>9454.16122532932</v>
      </c>
      <c r="P190" s="15" t="n">
        <f aca="false">N190*$E$2*(1+$I$184)/($F$184-$I$184)/(1+$F$184)^$N$3</f>
        <v>12737.4770886138</v>
      </c>
      <c r="Q190" s="15" t="n">
        <f aca="false">O190+P190</f>
        <v>22191.6383139431</v>
      </c>
      <c r="R190" s="15" t="n">
        <f aca="false">Q190-$G$2+$I$2</f>
        <v>19075.4383139431</v>
      </c>
      <c r="S190" s="42" t="n">
        <f aca="false">R190/$K$2</f>
        <v>168.958709600913</v>
      </c>
      <c r="T190" s="43" t="n">
        <f aca="false">S190-$M$2</f>
        <v>0.491039096041561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-0.03125</v>
      </c>
      <c r="C191" s="25" t="n">
        <f aca="false">IF(T190&gt;0,D190,C190)</f>
        <v>0.015625</v>
      </c>
      <c r="D191" s="41" t="n">
        <f aca="false">(B191+C191)/2</f>
        <v>-0.0078125</v>
      </c>
      <c r="E191" s="15" t="n">
        <f aca="false">$C$2*(1+IF(E$3&lt;=$O$2,$D191,$D191-($D191-$I$184)*MIN(E$3-$O$2,$Q$2)/$Q$2))</f>
        <v>7421.5625</v>
      </c>
      <c r="F191" s="15" t="n">
        <f aca="false">E191*(1+IF(F$3&lt;=$O$2,$D191,$D191-($D191-$I$184)*MIN(F$3-$O$2,$Q$2)/$Q$2))</f>
        <v>7363.58154296875</v>
      </c>
      <c r="G191" s="15" t="n">
        <f aca="false">F191*(1+IF(G$3&lt;=$O$2,$D191,$D191-($D191-$I$184)*MIN(G$3-$O$2,$Q$2)/$Q$2))</f>
        <v>7306.05356216431</v>
      </c>
      <c r="H191" s="15" t="n">
        <f aca="false">G191*(1+IF(H$3&lt;=$O$2,$D191,$D191-($D191-$I$184)*MIN(H$3-$O$2,$Q$2)/$Q$2))</f>
        <v>7248.9750187099</v>
      </c>
      <c r="I191" s="15" t="n">
        <f aca="false">H191*(1+IF(I$3&lt;=$O$2,$D191,$D191-($D191-$I$184)*MIN(I$3-$O$2,$Q$2)/$Q$2))</f>
        <v>7192.34240137623</v>
      </c>
      <c r="J191" s="15" t="n">
        <f aca="false">I191*(1+IF(J$3&lt;=$O$2,$D191,$D191-($D191-$I$184)*MIN(J$3-$O$2,$Q$2)/$Q$2))</f>
        <v>7173.71423455666</v>
      </c>
      <c r="K191" s="15" t="n">
        <f aca="false">J191*(1+IF(K$3&lt;=$O$2,$D191,$D191-($D191-$I$184)*MIN(K$3-$O$2,$Q$2)/$Q$2))</f>
        <v>7192.59903727913</v>
      </c>
      <c r="L191" s="15" t="n">
        <f aca="false">K191*(1+IF(L$3&lt;=$O$2,$D191,$D191-($D191-$I$184)*MIN(L$3-$O$2,$Q$2)/$Q$2))</f>
        <v>7249.09690271696</v>
      </c>
      <c r="M191" s="15" t="n">
        <f aca="false">L191*(1+IF(M$3&lt;=$O$2,$D191,$D191-($D191-$I$184)*MIN(M$3-$O$2,$Q$2)/$Q$2))</f>
        <v>7343.89696746224</v>
      </c>
      <c r="N191" s="15" t="n">
        <f aca="false">M191*(1+IF(N$3&lt;=$O$2,$D191,$D191-($D191-$I$184)*MIN(N$3-$O$2,$Q$2)/$Q$2))</f>
        <v>7478.2902819668</v>
      </c>
      <c r="O191" s="15" t="n">
        <f aca="false">SUMPRODUCT(E191:N191,1/(1+$F$184)^$E$3:$N$3)*$E$2</f>
        <v>8529.7053154409</v>
      </c>
      <c r="P191" s="15" t="n">
        <f aca="false">N191*$E$2*(1+$I$184)/($F$184-$I$184)/(1+$F$184)^$N$3</f>
        <v>10819.8695595486</v>
      </c>
      <c r="Q191" s="15" t="n">
        <f aca="false">O191+P191</f>
        <v>19349.5748749895</v>
      </c>
      <c r="R191" s="15" t="n">
        <f aca="false">Q191-$G$2+$I$2</f>
        <v>16233.3748749895</v>
      </c>
      <c r="S191" s="42" t="n">
        <f aca="false">R191/$K$2</f>
        <v>143.785428476435</v>
      </c>
      <c r="T191" s="43" t="n">
        <f aca="false">S191-$M$2</f>
        <v>-24.6822420284363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-0.0078125</v>
      </c>
      <c r="C192" s="25" t="n">
        <f aca="false">IF(T191&gt;0,D191,C191)</f>
        <v>0.015625</v>
      </c>
      <c r="D192" s="41" t="n">
        <f aca="false">(B192+C192)/2</f>
        <v>0.00390625</v>
      </c>
      <c r="E192" s="15" t="n">
        <f aca="false">$C$2*(1+IF(E$3&lt;=$O$2,$D192,$D192-($D192-$I$184)*MIN(E$3-$O$2,$Q$2)/$Q$2))</f>
        <v>7509.21875</v>
      </c>
      <c r="F192" s="15" t="n">
        <f aca="false">E192*(1+IF(F$3&lt;=$O$2,$D192,$D192-($D192-$I$184)*MIN(F$3-$O$2,$Q$2)/$Q$2))</f>
        <v>7538.55163574219</v>
      </c>
      <c r="G192" s="15" t="n">
        <f aca="false">F192*(1+IF(G$3&lt;=$O$2,$D192,$D192-($D192-$I$184)*MIN(G$3-$O$2,$Q$2)/$Q$2))</f>
        <v>7567.99910306931</v>
      </c>
      <c r="H192" s="15" t="n">
        <f aca="false">G192*(1+IF(H$3&lt;=$O$2,$D192,$D192-($D192-$I$184)*MIN(H$3-$O$2,$Q$2)/$Q$2))</f>
        <v>7597.56159956567</v>
      </c>
      <c r="I192" s="15" t="n">
        <f aca="false">H192*(1+IF(I$3&lt;=$O$2,$D192,$D192-($D192-$I$184)*MIN(I$3-$O$2,$Q$2)/$Q$2))</f>
        <v>7627.23957456397</v>
      </c>
      <c r="J192" s="15" t="n">
        <f aca="false">I192*(1+IF(J$3&lt;=$O$2,$D192,$D192-($D192-$I$184)*MIN(J$3-$O$2,$Q$2)/$Q$2))</f>
        <v>7678.99039507739</v>
      </c>
      <c r="K192" s="15" t="n">
        <f aca="false">J192*(1+IF(K$3&lt;=$O$2,$D192,$D192-($D192-$I$184)*MIN(K$3-$O$2,$Q$2)/$Q$2))</f>
        <v>7753.19823850782</v>
      </c>
      <c r="L192" s="15" t="n">
        <f aca="false">K192*(1+IF(L$3&lt;=$O$2,$D192,$D192-($D192-$I$184)*MIN(L$3-$O$2,$Q$2)/$Q$2))</f>
        <v>7850.4427274143</v>
      </c>
      <c r="M192" s="15" t="n">
        <f aca="false">L192*(1+IF(M$3&lt;=$O$2,$D192,$D192-($D192-$I$184)*MIN(M$3-$O$2,$Q$2)/$Q$2))</f>
        <v>7971.50636732444</v>
      </c>
      <c r="N192" s="15" t="n">
        <f aca="false">M192*(1+IF(N$3&lt;=$O$2,$D192,$D192-($D192-$I$184)*MIN(N$3-$O$2,$Q$2)/$Q$2))</f>
        <v>8117.38493384648</v>
      </c>
      <c r="O192" s="15" t="n">
        <f aca="false">SUMPRODUCT(E192:N192,1/(1+$F$184)^$E$3:$N$3)*$E$2</f>
        <v>8979.80920759778</v>
      </c>
      <c r="P192" s="15" t="n">
        <f aca="false">N192*$E$2*(1+$I$184)/($F$184-$I$184)/(1+$F$184)^$N$3</f>
        <v>11744.5355605754</v>
      </c>
      <c r="Q192" s="15" t="n">
        <f aca="false">O192+P192</f>
        <v>20724.3447681732</v>
      </c>
      <c r="R192" s="15" t="n">
        <f aca="false">Q192-$G$2+$I$2</f>
        <v>17608.1447681731</v>
      </c>
      <c r="S192" s="42" t="n">
        <f aca="false">R192/$K$2</f>
        <v>155.962309726954</v>
      </c>
      <c r="T192" s="43" t="n">
        <f aca="false">S192-$M$2</f>
        <v>-12.5053607779172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0.00390625</v>
      </c>
      <c r="C193" s="25" t="n">
        <f aca="false">IF(T192&gt;0,D192,C192)</f>
        <v>0.015625</v>
      </c>
      <c r="D193" s="41" t="n">
        <f aca="false">(B193+C193)/2</f>
        <v>0.009765625</v>
      </c>
      <c r="E193" s="15" t="n">
        <f aca="false">$C$2*(1+IF(E$3&lt;=$O$2,$D193,$D193-($D193-$I$184)*MIN(E$3-$O$2,$Q$2)/$Q$2))</f>
        <v>7553.046875</v>
      </c>
      <c r="F193" s="15" t="n">
        <f aca="false">E193*(1+IF(F$3&lt;=$O$2,$D193,$D193-($D193-$I$184)*MIN(F$3-$O$2,$Q$2)/$Q$2))</f>
        <v>7626.80709838867</v>
      </c>
      <c r="G193" s="15" t="n">
        <f aca="false">F193*(1+IF(G$3&lt;=$O$2,$D193,$D193-($D193-$I$184)*MIN(G$3-$O$2,$Q$2)/$Q$2))</f>
        <v>7701.28763645887</v>
      </c>
      <c r="H193" s="15" t="n">
        <f aca="false">G193*(1+IF(H$3&lt;=$O$2,$D193,$D193-($D193-$I$184)*MIN(H$3-$O$2,$Q$2)/$Q$2))</f>
        <v>7776.49552353367</v>
      </c>
      <c r="I193" s="15" t="n">
        <f aca="false">H193*(1+IF(I$3&lt;=$O$2,$D193,$D193-($D193-$I$184)*MIN(I$3-$O$2,$Q$2)/$Q$2))</f>
        <v>7852.43786263068</v>
      </c>
      <c r="J193" s="15" t="n">
        <f aca="false">I193*(1+IF(J$3&lt;=$O$2,$D193,$D193-($D193-$I$184)*MIN(J$3-$O$2,$Q$2)/$Q$2))</f>
        <v>7942.52495600971</v>
      </c>
      <c r="K193" s="15" t="n">
        <f aca="false">J193*(1+IF(K$3&lt;=$O$2,$D193,$D193-($D193-$I$184)*MIN(K$3-$O$2,$Q$2)/$Q$2))</f>
        <v>8047.20247085182</v>
      </c>
      <c r="L193" s="15" t="n">
        <f aca="false">K193*(1+IF(L$3&lt;=$O$2,$D193,$D193-($D193-$I$184)*MIN(L$3-$O$2,$Q$2)/$Q$2))</f>
        <v>8166.99513863353</v>
      </c>
      <c r="M193" s="15" t="n">
        <f aca="false">L193*(1+IF(M$3&lt;=$O$2,$D193,$D193-($D193-$I$184)*MIN(M$3-$O$2,$Q$2)/$Q$2))</f>
        <v>8302.51110984327</v>
      </c>
      <c r="N193" s="15" t="n">
        <f aca="false">M193*(1+IF(N$3&lt;=$O$2,$D193,$D193-($D193-$I$184)*MIN(N$3-$O$2,$Q$2)/$Q$2))</f>
        <v>8454.44706315341</v>
      </c>
      <c r="O193" s="15" t="n">
        <f aca="false">SUMPRODUCT(E193:N193,1/(1+$F$184)^$E$3:$N$3)*$E$2</f>
        <v>9213.8786796092</v>
      </c>
      <c r="P193" s="15" t="n">
        <f aca="false">N193*$E$2*(1+$I$184)/($F$184-$I$184)/(1+$F$184)^$N$3</f>
        <v>12232.209632463</v>
      </c>
      <c r="Q193" s="15" t="n">
        <f aca="false">O193+P193</f>
        <v>21446.0883120722</v>
      </c>
      <c r="R193" s="15" t="n">
        <f aca="false">Q193-$G$2+$I$2</f>
        <v>18329.8883120722</v>
      </c>
      <c r="S193" s="42" t="n">
        <f aca="false">R193/$K$2</f>
        <v>162.355078052013</v>
      </c>
      <c r="T193" s="43" t="n">
        <f aca="false">S193-$M$2</f>
        <v>-6.11259245285893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0.009765625</v>
      </c>
      <c r="C194" s="25" t="n">
        <f aca="false">IF(T193&gt;0,D193,C193)</f>
        <v>0.015625</v>
      </c>
      <c r="D194" s="41" t="n">
        <f aca="false">(B194+C194)/2</f>
        <v>0.0126953125</v>
      </c>
      <c r="E194" s="15" t="n">
        <f aca="false">$C$2*(1+IF(E$3&lt;=$O$2,$D194,$D194-($D194-$I$184)*MIN(E$3-$O$2,$Q$2)/$Q$2))</f>
        <v>7574.9609375</v>
      </c>
      <c r="F194" s="15" t="n">
        <f aca="false">E194*(1+IF(F$3&lt;=$O$2,$D194,$D194-($D194-$I$184)*MIN(F$3-$O$2,$Q$2)/$Q$2))</f>
        <v>7671.12743377686</v>
      </c>
      <c r="G194" s="15" t="n">
        <f aca="false">F194*(1+IF(G$3&lt;=$O$2,$D194,$D194-($D194-$I$184)*MIN(G$3-$O$2,$Q$2)/$Q$2))</f>
        <v>7768.51479377598</v>
      </c>
      <c r="H194" s="15" t="n">
        <f aca="false">G194*(1+IF(H$3&lt;=$O$2,$D194,$D194-($D194-$I$184)*MIN(H$3-$O$2,$Q$2)/$Q$2))</f>
        <v>7867.13851674384</v>
      </c>
      <c r="I194" s="15" t="n">
        <f aca="false">H194*(1+IF(I$3&lt;=$O$2,$D194,$D194-($D194-$I$184)*MIN(I$3-$O$2,$Q$2)/$Q$2))</f>
        <v>7967.01429869468</v>
      </c>
      <c r="J194" s="15" t="n">
        <f aca="false">I194*(1+IF(J$3&lt;=$O$2,$D194,$D194-($D194-$I$184)*MIN(J$3-$O$2,$Q$2)/$Q$2))</f>
        <v>8077.08855999903</v>
      </c>
      <c r="K194" s="15" t="n">
        <f aca="false">J194*(1+IF(K$3&lt;=$O$2,$D194,$D194-($D194-$I$184)*MIN(K$3-$O$2,$Q$2)/$Q$2))</f>
        <v>8197.73754627384</v>
      </c>
      <c r="L194" s="15" t="n">
        <f aca="false">K194*(1+IF(L$3&lt;=$O$2,$D194,$D194-($D194-$I$184)*MIN(L$3-$O$2,$Q$2)/$Q$2))</f>
        <v>8329.37784050909</v>
      </c>
      <c r="M194" s="15" t="n">
        <f aca="false">L194*(1+IF(M$3&lt;=$O$2,$D194,$D194-($D194-$I$184)*MIN(M$3-$O$2,$Q$2)/$Q$2))</f>
        <v>8472.46874301731</v>
      </c>
      <c r="N194" s="15" t="n">
        <f aca="false">M194*(1+IF(N$3&lt;=$O$2,$D194,$D194-($D194-$I$184)*MIN(N$3-$O$2,$Q$2)/$Q$2))</f>
        <v>8627.51492101453</v>
      </c>
      <c r="O194" s="15" t="n">
        <f aca="false">SUMPRODUCT(E194:N194,1/(1+$F$184)^$E$3:$N$3)*$E$2</f>
        <v>9333.23369885665</v>
      </c>
      <c r="P194" s="15" t="n">
        <f aca="false">N194*$E$2*(1+$I$184)/($F$184-$I$184)/(1+$F$184)^$N$3</f>
        <v>12482.6106701873</v>
      </c>
      <c r="Q194" s="15" t="n">
        <f aca="false">O194+P194</f>
        <v>21815.844369044</v>
      </c>
      <c r="R194" s="15" t="n">
        <f aca="false">Q194-$G$2+$I$2</f>
        <v>18699.644369044</v>
      </c>
      <c r="S194" s="42" t="n">
        <f aca="false">R194/$K$2</f>
        <v>165.630153844499</v>
      </c>
      <c r="T194" s="43" t="n">
        <f aca="false">S194-$M$2</f>
        <v>-2.83751666037242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0.0126953125</v>
      </c>
      <c r="C195" s="25" t="n">
        <f aca="false">IF(T194&gt;0,D194,C194)</f>
        <v>0.015625</v>
      </c>
      <c r="D195" s="41" t="n">
        <f aca="false">(B195+C195)/2</f>
        <v>0.01416015625</v>
      </c>
      <c r="E195" s="15" t="n">
        <f aca="false">$C$2*(1+IF(E$3&lt;=$O$2,$D195,$D195-($D195-$I$184)*MIN(E$3-$O$2,$Q$2)/$Q$2))</f>
        <v>7585.91796875</v>
      </c>
      <c r="F195" s="15" t="n">
        <f aca="false">E195*(1+IF(F$3&lt;=$O$2,$D195,$D195-($D195-$I$184)*MIN(F$3-$O$2,$Q$2)/$Q$2))</f>
        <v>7693.33575248718</v>
      </c>
      <c r="G195" s="15" t="n">
        <f aca="false">F195*(1+IF(G$3&lt;=$O$2,$D195,$D195-($D195-$I$184)*MIN(G$3-$O$2,$Q$2)/$Q$2))</f>
        <v>7802.27458882611</v>
      </c>
      <c r="H195" s="15" t="n">
        <f aca="false">G195*(1+IF(H$3&lt;=$O$2,$D195,$D195-($D195-$I$184)*MIN(H$3-$O$2,$Q$2)/$Q$2))</f>
        <v>7912.7560161093</v>
      </c>
      <c r="I195" s="15" t="n">
        <f aca="false">H195*(1+IF(I$3&lt;=$O$2,$D195,$D195-($D195-$I$184)*MIN(I$3-$O$2,$Q$2)/$Q$2))</f>
        <v>8024.80187766553</v>
      </c>
      <c r="J195" s="15" t="n">
        <f aca="false">I195*(1+IF(J$3&lt;=$O$2,$D195,$D195-($D195-$I$184)*MIN(J$3-$O$2,$Q$2)/$Q$2))</f>
        <v>8145.07861130822</v>
      </c>
      <c r="K195" s="15" t="n">
        <f aca="false">J195*(1+IF(K$3&lt;=$O$2,$D195,$D195-($D195-$I$184)*MIN(K$3-$O$2,$Q$2)/$Q$2))</f>
        <v>8273.90193822579</v>
      </c>
      <c r="L195" s="15" t="n">
        <f aca="false">K195*(1+IF(L$3&lt;=$O$2,$D195,$D195-($D195-$I$184)*MIN(L$3-$O$2,$Q$2)/$Q$2))</f>
        <v>8411.61327920449</v>
      </c>
      <c r="M195" s="15" t="n">
        <f aca="false">L195*(1+IF(M$3&lt;=$O$2,$D195,$D195-($D195-$I$184)*MIN(M$3-$O$2,$Q$2)/$Q$2))</f>
        <v>8558.58124928166</v>
      </c>
      <c r="N195" s="15" t="n">
        <f aca="false">M195*(1+IF(N$3&lt;=$O$2,$D195,$D195-($D195-$I$184)*MIN(N$3-$O$2,$Q$2)/$Q$2))</f>
        <v>8715.20328614352</v>
      </c>
      <c r="O195" s="15" t="n">
        <f aca="false">SUMPRODUCT(E195:N195,1/(1+$F$184)^$E$3:$N$3)*$E$2</f>
        <v>9393.49968491136</v>
      </c>
      <c r="P195" s="15" t="n">
        <f aca="false">N195*$E$2*(1+$I$184)/($F$184-$I$184)/(1+$F$184)^$N$3</f>
        <v>12609.4814704388</v>
      </c>
      <c r="Q195" s="15" t="n">
        <f aca="false">O195+P195</f>
        <v>22002.9811553501</v>
      </c>
      <c r="R195" s="15" t="n">
        <f aca="false">Q195-$G$2+$I$2</f>
        <v>18886.7811553501</v>
      </c>
      <c r="S195" s="42" t="n">
        <f aca="false">R195/$K$2</f>
        <v>167.287698453057</v>
      </c>
      <c r="T195" s="43" t="n">
        <f aca="false">S195-$M$2</f>
        <v>-1.17997205181484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0.01416015625</v>
      </c>
      <c r="C196" s="25" t="n">
        <f aca="false">IF(T195&gt;0,D195,C195)</f>
        <v>0.015625</v>
      </c>
      <c r="D196" s="41" t="n">
        <f aca="false">(B196+C196)/2</f>
        <v>0.014892578125</v>
      </c>
      <c r="E196" s="15" t="n">
        <f aca="false">$C$2*(1+IF(E$3&lt;=$O$2,$D196,$D196-($D196-$I$184)*MIN(E$3-$O$2,$Q$2)/$Q$2))</f>
        <v>7591.396484375</v>
      </c>
      <c r="F196" s="15" t="n">
        <f aca="false">E196*(1+IF(F$3&lt;=$O$2,$D196,$D196-($D196-$I$184)*MIN(F$3-$O$2,$Q$2)/$Q$2))</f>
        <v>7704.45194959641</v>
      </c>
      <c r="G196" s="15" t="n">
        <f aca="false">F196*(1+IF(G$3&lt;=$O$2,$D196,$D196-($D196-$I$184)*MIN(G$3-$O$2,$Q$2)/$Q$2))</f>
        <v>7819.19110216608</v>
      </c>
      <c r="H196" s="15" t="n">
        <f aca="false">G196*(1+IF(H$3&lt;=$O$2,$D196,$D196-($D196-$I$184)*MIN(H$3-$O$2,$Q$2)/$Q$2))</f>
        <v>7935.63901652939</v>
      </c>
      <c r="I196" s="15" t="n">
        <f aca="false">H196*(1+IF(I$3&lt;=$O$2,$D196,$D196-($D196-$I$184)*MIN(I$3-$O$2,$Q$2)/$Q$2))</f>
        <v>8053.82114055485</v>
      </c>
      <c r="J196" s="15" t="n">
        <f aca="false">I196*(1+IF(J$3&lt;=$O$2,$D196,$D196-($D196-$I$184)*MIN(J$3-$O$2,$Q$2)/$Q$2))</f>
        <v>8179.25185436168</v>
      </c>
      <c r="K196" s="15" t="n">
        <f aca="false">J196*(1+IF(K$3&lt;=$O$2,$D196,$D196-($D196-$I$184)*MIN(K$3-$O$2,$Q$2)/$Q$2))</f>
        <v>8312.21006628268</v>
      </c>
      <c r="L196" s="15" t="n">
        <f aca="false">K196*(1+IF(L$3&lt;=$O$2,$D196,$D196-($D196-$I$184)*MIN(L$3-$O$2,$Q$2)/$Q$2))</f>
        <v>8452.99422793188</v>
      </c>
      <c r="M196" s="15" t="n">
        <f aca="false">L196*(1+IF(M$3&lt;=$O$2,$D196,$D196-($D196-$I$184)*MIN(M$3-$O$2,$Q$2)/$Q$2))</f>
        <v>8601.92343881473</v>
      </c>
      <c r="N196" s="15" t="n">
        <f aca="false">M196*(1+IF(N$3&lt;=$O$2,$D196,$D196-($D196-$I$184)*MIN(N$3-$O$2,$Q$2)/$Q$2))</f>
        <v>8759.33863774504</v>
      </c>
      <c r="O196" s="15" t="n">
        <f aca="false">SUMPRODUCT(E196:N196,1/(1+$F$184)^$E$3:$N$3)*$E$2</f>
        <v>9423.78085838829</v>
      </c>
      <c r="P196" s="15" t="n">
        <f aca="false">N196*$E$2*(1+$I$184)/($F$184-$I$184)/(1+$F$184)^$N$3</f>
        <v>12673.3381447972</v>
      </c>
      <c r="Q196" s="15" t="n">
        <f aca="false">O196+P196</f>
        <v>22097.1190031855</v>
      </c>
      <c r="R196" s="15" t="n">
        <f aca="false">Q196-$G$2+$I$2</f>
        <v>18980.9190031855</v>
      </c>
      <c r="S196" s="42" t="n">
        <f aca="false">R196/$K$2</f>
        <v>168.121514642918</v>
      </c>
      <c r="T196" s="43" t="n">
        <f aca="false">S196-$M$2</f>
        <v>-0.346155861953491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0.014892578125</v>
      </c>
      <c r="C197" s="25" t="n">
        <f aca="false">IF(T196&gt;0,D196,C196)</f>
        <v>0.015625</v>
      </c>
      <c r="D197" s="41" t="n">
        <f aca="false">(B197+C197)/2</f>
        <v>0.0152587890625</v>
      </c>
      <c r="E197" s="15" t="n">
        <f aca="false">$C$2*(1+IF(E$3&lt;=$O$2,$D197,$D197-($D197-$I$184)*MIN(E$3-$O$2,$Q$2)/$Q$2))</f>
        <v>7594.1357421875</v>
      </c>
      <c r="F197" s="15" t="n">
        <f aca="false">E197*(1+IF(F$3&lt;=$O$2,$D197,$D197-($D197-$I$184)*MIN(F$3-$O$2,$Q$2)/$Q$2))</f>
        <v>7710.01305758953</v>
      </c>
      <c r="G197" s="15" t="n">
        <f aca="false">F197*(1+IF(G$3&lt;=$O$2,$D197,$D197-($D197-$I$184)*MIN(G$3-$O$2,$Q$2)/$Q$2))</f>
        <v>7827.65852050441</v>
      </c>
      <c r="H197" s="15" t="n">
        <f aca="false">G197*(1+IF(H$3&lt;=$O$2,$D197,$D197-($D197-$I$184)*MIN(H$3-$O$2,$Q$2)/$Q$2))</f>
        <v>7947.09911072207</v>
      </c>
      <c r="I197" s="15" t="n">
        <f aca="false">H197*(1+IF(I$3&lt;=$O$2,$D197,$D197-($D197-$I$184)*MIN(I$3-$O$2,$Q$2)/$Q$2))</f>
        <v>8068.36221971136</v>
      </c>
      <c r="J197" s="15" t="n">
        <f aca="false">I197*(1+IF(J$3&lt;=$O$2,$D197,$D197-($D197-$I$184)*MIN(J$3-$O$2,$Q$2)/$Q$2))</f>
        <v>8196.38317518784</v>
      </c>
      <c r="K197" s="15" t="n">
        <f aca="false">J197*(1+IF(K$3&lt;=$O$2,$D197,$D197-($D197-$I$184)*MIN(K$3-$O$2,$Q$2)/$Q$2))</f>
        <v>8331.42082919758</v>
      </c>
      <c r="L197" s="15" t="n">
        <f aca="false">K197*(1+IF(L$3&lt;=$O$2,$D197,$D197-($D197-$I$184)*MIN(L$3-$O$2,$Q$2)/$Q$2))</f>
        <v>8473.75078711163</v>
      </c>
      <c r="M197" s="15" t="n">
        <f aca="false">L197*(1+IF(M$3&lt;=$O$2,$D197,$D197-($D197-$I$184)*MIN(M$3-$O$2,$Q$2)/$Q$2))</f>
        <v>8623.66633380069</v>
      </c>
      <c r="N197" s="15" t="n">
        <f aca="false">M197*(1+IF(N$3&lt;=$O$2,$D197,$D197-($D197-$I$184)*MIN(N$3-$O$2,$Q$2)/$Q$2))</f>
        <v>8781.47942770924</v>
      </c>
      <c r="O197" s="15" t="n">
        <f aca="false">SUMPRODUCT(E197:N197,1/(1+$F$184)^$E$3:$N$3)*$E$2</f>
        <v>9438.95862357642</v>
      </c>
      <c r="P197" s="15" t="n">
        <f aca="false">N197*$E$2*(1+$I$184)/($F$184-$I$184)/(1+$F$184)^$N$3</f>
        <v>12705.3722662775</v>
      </c>
      <c r="Q197" s="15" t="n">
        <f aca="false">O197+P197</f>
        <v>22144.330889854</v>
      </c>
      <c r="R197" s="15" t="n">
        <f aca="false">Q197-$G$2+$I$2</f>
        <v>19028.130889854</v>
      </c>
      <c r="S197" s="42" t="n">
        <f aca="false">R197/$K$2</f>
        <v>168.539689015536</v>
      </c>
      <c r="T197" s="43" t="n">
        <f aca="false">S197-$M$2</f>
        <v>0.0720185106639235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0.014892578125</v>
      </c>
      <c r="C198" s="25" t="n">
        <f aca="false">IF(T197&gt;0,D197,C197)</f>
        <v>0.0152587890625</v>
      </c>
      <c r="D198" s="41" t="n">
        <f aca="false">(B198+C198)/2</f>
        <v>0.01507568359375</v>
      </c>
      <c r="E198" s="15" t="n">
        <f aca="false">$C$2*(1+IF(E$3&lt;=$O$2,$D198,$D198-($D198-$I$184)*MIN(E$3-$O$2,$Q$2)/$Q$2))</f>
        <v>7592.76611328125</v>
      </c>
      <c r="F198" s="15" t="n">
        <f aca="false">E198*(1+IF(F$3&lt;=$O$2,$D198,$D198-($D198-$I$184)*MIN(F$3-$O$2,$Q$2)/$Q$2))</f>
        <v>7707.23225280643</v>
      </c>
      <c r="G198" s="15" t="n">
        <f aca="false">F198*(1+IF(G$3&lt;=$O$2,$D198,$D198-($D198-$I$184)*MIN(G$3-$O$2,$Q$2)/$Q$2))</f>
        <v>7823.42404763328</v>
      </c>
      <c r="H198" s="15" t="n">
        <f aca="false">G198*(1+IF(H$3&lt;=$O$2,$D198,$D198-($D198-$I$184)*MIN(H$3-$O$2,$Q$2)/$Q$2))</f>
        <v>7941.36751319513</v>
      </c>
      <c r="I198" s="15" t="n">
        <f aca="false">H198*(1+IF(I$3&lt;=$O$2,$D198,$D198-($D198-$I$184)*MIN(I$3-$O$2,$Q$2)/$Q$2))</f>
        <v>8061.08905712575</v>
      </c>
      <c r="J198" s="15" t="n">
        <f aca="false">I198*(1+IF(J$3&lt;=$O$2,$D198,$D198-($D198-$I$184)*MIN(J$3-$O$2,$Q$2)/$Q$2))</f>
        <v>8187.81378551184</v>
      </c>
      <c r="K198" s="15" t="n">
        <f aca="false">J198*(1+IF(K$3&lt;=$O$2,$D198,$D198-($D198-$I$184)*MIN(K$3-$O$2,$Q$2)/$Q$2))</f>
        <v>8321.81071639474</v>
      </c>
      <c r="L198" s="15" t="n">
        <f aca="false">K198*(1+IF(L$3&lt;=$O$2,$D198,$D198-($D198-$I$184)*MIN(L$3-$O$2,$Q$2)/$Q$2))</f>
        <v>8463.36699217574</v>
      </c>
      <c r="M198" s="15" t="n">
        <f aca="false">L198*(1+IF(M$3&lt;=$O$2,$D198,$D198-($D198-$I$184)*MIN(M$3-$O$2,$Q$2)/$Q$2))</f>
        <v>8612.78889352356</v>
      </c>
      <c r="N198" s="15" t="n">
        <f aca="false">M198*(1+IF(N$3&lt;=$O$2,$D198,$D198-($D198-$I$184)*MIN(N$3-$O$2,$Q$2)/$Q$2))</f>
        <v>8770.40293027504</v>
      </c>
      <c r="O198" s="15" t="n">
        <f aca="false">SUMPRODUCT(E198:N198,1/(1+$F$184)^$E$3:$N$3)*$E$2</f>
        <v>9431.36663880118</v>
      </c>
      <c r="P198" s="15" t="n">
        <f aca="false">N198*$E$2*(1+$I$184)/($F$184-$I$184)/(1+$F$184)^$N$3</f>
        <v>12689.3463762818</v>
      </c>
      <c r="Q198" s="15" t="n">
        <f aca="false">O198+P198</f>
        <v>22120.713015083</v>
      </c>
      <c r="R198" s="15" t="n">
        <f aca="false">Q198-$G$2+$I$2</f>
        <v>19004.513015083</v>
      </c>
      <c r="S198" s="42" t="n">
        <f aca="false">R198/$K$2</f>
        <v>168.330496147768</v>
      </c>
      <c r="T198" s="43" t="n">
        <f aca="false">S198-$M$2</f>
        <v>-0.137174357103532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0.01507568359375</v>
      </c>
      <c r="C199" s="25" t="n">
        <f aca="false">IF(T198&gt;0,D198,C198)</f>
        <v>0.0152587890625</v>
      </c>
      <c r="D199" s="41" t="n">
        <f aca="false">(B199+C199)/2</f>
        <v>0.015167236328125</v>
      </c>
      <c r="E199" s="15" t="n">
        <f aca="false">$C$2*(1+IF(E$3&lt;=$O$2,$D199,$D199-($D199-$I$184)*MIN(E$3-$O$2,$Q$2)/$Q$2))</f>
        <v>7593.45092773438</v>
      </c>
      <c r="F199" s="15" t="n">
        <f aca="false">E199*(1+IF(F$3&lt;=$O$2,$D199,$D199-($D199-$I$184)*MIN(F$3-$O$2,$Q$2)/$Q$2))</f>
        <v>7708.62259250134</v>
      </c>
      <c r="G199" s="15" t="n">
        <f aca="false">F199*(1+IF(G$3&lt;=$O$2,$D199,$D199-($D199-$I$184)*MIN(G$3-$O$2,$Q$2)/$Q$2))</f>
        <v>7825.54109312613</v>
      </c>
      <c r="H199" s="15" t="n">
        <f aca="false">G199*(1+IF(H$3&lt;=$O$2,$D199,$D199-($D199-$I$184)*MIN(H$3-$O$2,$Q$2)/$Q$2))</f>
        <v>7944.23292428103</v>
      </c>
      <c r="I199" s="15" t="n">
        <f aca="false">H199*(1+IF(I$3&lt;=$O$2,$D199,$D199-($D199-$I$184)*MIN(I$3-$O$2,$Q$2)/$Q$2))</f>
        <v>8064.72498248927</v>
      </c>
      <c r="J199" s="15" t="n">
        <f aca="false">I199*(1+IF(J$3&lt;=$O$2,$D199,$D199-($D199-$I$184)*MIN(J$3-$O$2,$Q$2)/$Q$2))</f>
        <v>8192.09754770978</v>
      </c>
      <c r="K199" s="15" t="n">
        <f aca="false">J199*(1+IF(K$3&lt;=$O$2,$D199,$D199-($D199-$I$184)*MIN(K$3-$O$2,$Q$2)/$Q$2))</f>
        <v>8326.61458947652</v>
      </c>
      <c r="L199" s="15" t="n">
        <f aca="false">K199*(1+IF(L$3&lt;=$O$2,$D199,$D199-($D199-$I$184)*MIN(L$3-$O$2,$Q$2)/$Q$2))</f>
        <v>8468.55751018569</v>
      </c>
      <c r="M199" s="15" t="n">
        <f aca="false">L199*(1+IF(M$3&lt;=$O$2,$D199,$D199-($D199-$I$184)*MIN(M$3-$O$2,$Q$2)/$Q$2))</f>
        <v>8618.22611475787</v>
      </c>
      <c r="N199" s="15" t="n">
        <f aca="false">M199*(1+IF(N$3&lt;=$O$2,$D199,$D199-($D199-$I$184)*MIN(N$3-$O$2,$Q$2)/$Q$2))</f>
        <v>8775.93965265794</v>
      </c>
      <c r="O199" s="15" t="n">
        <f aca="false">SUMPRODUCT(E199:N199,1/(1+$F$184)^$E$3:$N$3)*$E$2</f>
        <v>9435.16185534495</v>
      </c>
      <c r="P199" s="15" t="n">
        <f aca="false">N199*$E$2*(1+$I$184)/($F$184-$I$184)/(1+$F$184)^$N$3</f>
        <v>12697.3571129224</v>
      </c>
      <c r="Q199" s="15" t="n">
        <f aca="false">O199+P199</f>
        <v>22132.5189682673</v>
      </c>
      <c r="R199" s="15" t="n">
        <f aca="false">Q199-$G$2+$I$2</f>
        <v>19016.3189682673</v>
      </c>
      <c r="S199" s="42" t="n">
        <f aca="false">R199/$K$2</f>
        <v>168.435066149401</v>
      </c>
      <c r="T199" s="43" t="n">
        <f aca="false">S199-$M$2</f>
        <v>-0.0326043554708519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0.015167236328125</v>
      </c>
      <c r="C200" s="25" t="n">
        <f aca="false">IF(T199&gt;0,D199,C199)</f>
        <v>0.0152587890625</v>
      </c>
      <c r="D200" s="41" t="n">
        <f aca="false">(B200+C200)/2</f>
        <v>0.0152130126953125</v>
      </c>
      <c r="E200" s="15" t="n">
        <f aca="false">$C$2*(1+IF(E$3&lt;=$O$2,$D200,$D200-($D200-$I$184)*MIN(E$3-$O$2,$Q$2)/$Q$2))</f>
        <v>7593.79333496094</v>
      </c>
      <c r="F200" s="15" t="n">
        <f aca="false">E200*(1+IF(F$3&lt;=$O$2,$D200,$D200-($D200-$I$184)*MIN(F$3-$O$2,$Q$2)/$Q$2))</f>
        <v>7709.31780937128</v>
      </c>
      <c r="G200" s="15" t="n">
        <f aca="false">F200*(1+IF(G$3&lt;=$O$2,$D200,$D200-($D200-$I$184)*MIN(G$3-$O$2,$Q$2)/$Q$2))</f>
        <v>7826.59975907744</v>
      </c>
      <c r="H200" s="15" t="n">
        <f aca="false">G200*(1+IF(H$3&lt;=$O$2,$D200,$D200-($D200-$I$184)*MIN(H$3-$O$2,$Q$2)/$Q$2))</f>
        <v>7945.66592057342</v>
      </c>
      <c r="I200" s="15" t="n">
        <f aca="false">H200*(1+IF(I$3&lt;=$O$2,$D200,$D200-($D200-$I$184)*MIN(I$3-$O$2,$Q$2)/$Q$2))</f>
        <v>8066.54343709581</v>
      </c>
      <c r="J200" s="15" t="n">
        <f aca="false">I200*(1+IF(J$3&lt;=$O$2,$D200,$D200-($D200-$I$184)*MIN(J$3-$O$2,$Q$2)/$Q$2))</f>
        <v>8194.24012824824</v>
      </c>
      <c r="K200" s="15" t="n">
        <f aca="false">J200*(1+IF(K$3&lt;=$O$2,$D200,$D200-($D200-$I$184)*MIN(K$3-$O$2,$Q$2)/$Q$2))</f>
        <v>8329.01741344671</v>
      </c>
      <c r="L200" s="15" t="n">
        <f aca="false">K200*(1+IF(L$3&lt;=$O$2,$D200,$D200-($D200-$I$184)*MIN(L$3-$O$2,$Q$2)/$Q$2))</f>
        <v>8471.15380370645</v>
      </c>
      <c r="M200" s="15" t="n">
        <f aca="false">L200*(1+IF(M$3&lt;=$O$2,$D200,$D200-($D200-$I$184)*MIN(M$3-$O$2,$Q$2)/$Q$2))</f>
        <v>8620.94584946466</v>
      </c>
      <c r="N200" s="15" t="n">
        <f aca="false">M200*(1+IF(N$3&lt;=$O$2,$D200,$D200-($D200-$I$184)*MIN(N$3-$O$2,$Q$2)/$Q$2))</f>
        <v>8778.70915850986</v>
      </c>
      <c r="O200" s="15" t="n">
        <f aca="false">SUMPRODUCT(E200:N200,1/(1+$F$184)^$E$3:$N$3)*$E$2</f>
        <v>9437.06004546239</v>
      </c>
      <c r="P200" s="15" t="n">
        <f aca="false">N200*$E$2*(1+$I$184)/($F$184-$I$184)/(1+$F$184)^$N$3</f>
        <v>12701.3641373802</v>
      </c>
      <c r="Q200" s="15" t="n">
        <f aca="false">O200+P200</f>
        <v>22138.4241828426</v>
      </c>
      <c r="R200" s="15" t="n">
        <f aca="false">Q200-$G$2+$I$2</f>
        <v>19022.2241828426</v>
      </c>
      <c r="S200" s="42" t="n">
        <f aca="false">R200/$K$2</f>
        <v>168.487370972919</v>
      </c>
      <c r="T200" s="43" t="n">
        <f aca="false">S200-$M$2</f>
        <v>0.0197004680474322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0.015167236328125</v>
      </c>
      <c r="C201" s="25" t="n">
        <f aca="false">IF(T200&gt;0,D200,C200)</f>
        <v>0.0152130126953125</v>
      </c>
      <c r="D201" s="41" t="n">
        <f aca="false">(B201+C201)/2</f>
        <v>0.0151901245117188</v>
      </c>
      <c r="E201" s="15" t="n">
        <f aca="false">$C$2*(1+IF(E$3&lt;=$O$2,$D201,$D201-($D201-$I$184)*MIN(E$3-$O$2,$Q$2)/$Q$2))</f>
        <v>7593.62213134766</v>
      </c>
      <c r="F201" s="15" t="n">
        <f aca="false">E201*(1+IF(F$3&lt;=$O$2,$D201,$D201-($D201-$I$184)*MIN(F$3-$O$2,$Q$2)/$Q$2))</f>
        <v>7708.97019701777</v>
      </c>
      <c r="G201" s="15" t="n">
        <f aca="false">F201*(1+IF(G$3&lt;=$O$2,$D201,$D201-($D201-$I$184)*MIN(G$3-$O$2,$Q$2)/$Q$2))</f>
        <v>7826.0704141676</v>
      </c>
      <c r="H201" s="15" t="n">
        <f aca="false">G201*(1+IF(H$3&lt;=$O$2,$D201,$D201-($D201-$I$184)*MIN(H$3-$O$2,$Q$2)/$Q$2))</f>
        <v>7944.94939819628</v>
      </c>
      <c r="I201" s="15" t="n">
        <f aca="false">H201*(1+IF(I$3&lt;=$O$2,$D201,$D201-($D201-$I$184)*MIN(I$3-$O$2,$Q$2)/$Q$2))</f>
        <v>8065.63416879419</v>
      </c>
      <c r="J201" s="15" t="n">
        <f aca="false">I201*(1+IF(J$3&lt;=$O$2,$D201,$D201-($D201-$I$184)*MIN(J$3-$O$2,$Q$2)/$Q$2))</f>
        <v>8193.16877968394</v>
      </c>
      <c r="K201" s="15" t="n">
        <f aca="false">J201*(1+IF(K$3&lt;=$O$2,$D201,$D201-($D201-$I$184)*MIN(K$3-$O$2,$Q$2)/$Q$2))</f>
        <v>8327.81592749658</v>
      </c>
      <c r="L201" s="15" t="n">
        <f aca="false">K201*(1+IF(L$3&lt;=$O$2,$D201,$D201-($D201-$I$184)*MIN(L$3-$O$2,$Q$2)/$Q$2))</f>
        <v>8469.85557072023</v>
      </c>
      <c r="M201" s="15" t="n">
        <f aca="false">L201*(1+IF(M$3&lt;=$O$2,$D201,$D201-($D201-$I$184)*MIN(M$3-$O$2,$Q$2)/$Q$2))</f>
        <v>8619.58588841868</v>
      </c>
      <c r="N201" s="15" t="n">
        <f aca="false">M201*(1+IF(N$3&lt;=$O$2,$D201,$D201-($D201-$I$184)*MIN(N$3-$O$2,$Q$2)/$Q$2))</f>
        <v>8777.32431017674</v>
      </c>
      <c r="O201" s="15" t="n">
        <f aca="false">SUMPRODUCT(E201:N201,1/(1+$F$184)^$E$3:$N$3)*$E$2</f>
        <v>9436.11090190876</v>
      </c>
      <c r="P201" s="15" t="n">
        <f aca="false">N201*$E$2*(1+$I$184)/($F$184-$I$184)/(1+$F$184)^$N$3</f>
        <v>12699.3604871126</v>
      </c>
      <c r="Q201" s="15" t="n">
        <f aca="false">O201+P201</f>
        <v>22135.4713890214</v>
      </c>
      <c r="R201" s="15" t="n">
        <f aca="false">Q201-$G$2+$I$2</f>
        <v>19019.2713890214</v>
      </c>
      <c r="S201" s="42" t="n">
        <f aca="false">R201/$K$2</f>
        <v>168.461216908958</v>
      </c>
      <c r="T201" s="43" t="n">
        <f aca="false">S201-$M$2</f>
        <v>-0.00645359591320016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0.0151901245117188</v>
      </c>
      <c r="C202" s="25" t="n">
        <f aca="false">IF(T201&gt;0,D201,C201)</f>
        <v>0.0152130126953125</v>
      </c>
      <c r="D202" s="41" t="n">
        <f aca="false">(B202+C202)/2</f>
        <v>0.0152015686035156</v>
      </c>
      <c r="E202" s="15" t="n">
        <f aca="false">$C$2*(1+IF(E$3&lt;=$O$2,$D202,$D202-($D202-$I$184)*MIN(E$3-$O$2,$Q$2)/$Q$2))</f>
        <v>7593.7077331543</v>
      </c>
      <c r="F202" s="15" t="n">
        <f aca="false">E202*(1+IF(F$3&lt;=$O$2,$D202,$D202-($D202-$I$184)*MIN(F$3-$O$2,$Q$2)/$Q$2))</f>
        <v>7709.14400221489</v>
      </c>
      <c r="G202" s="15" t="n">
        <f aca="false">F202*(1+IF(G$3&lt;=$O$2,$D202,$D202-($D202-$I$184)*MIN(G$3-$O$2,$Q$2)/$Q$2))</f>
        <v>7826.33508363894</v>
      </c>
      <c r="H202" s="15" t="n">
        <f aca="false">G202*(1+IF(H$3&lt;=$O$2,$D202,$D202-($D202-$I$184)*MIN(H$3-$O$2,$Q$2)/$Q$2))</f>
        <v>7945.30765332698</v>
      </c>
      <c r="I202" s="15" t="n">
        <f aca="false">H202*(1+IF(I$3&lt;=$O$2,$D202,$D202-($D202-$I$184)*MIN(I$3-$O$2,$Q$2)/$Q$2))</f>
        <v>8066.08879269507</v>
      </c>
      <c r="J202" s="15" t="n">
        <f aca="false">I202*(1+IF(J$3&lt;=$O$2,$D202,$D202-($D202-$I$184)*MIN(J$3-$O$2,$Q$2)/$Q$2))</f>
        <v>8193.70443939169</v>
      </c>
      <c r="K202" s="15" t="n">
        <f aca="false">J202*(1+IF(K$3&lt;=$O$2,$D202,$D202-($D202-$I$184)*MIN(K$3-$O$2,$Q$2)/$Q$2))</f>
        <v>8328.41665197945</v>
      </c>
      <c r="L202" s="15" t="n">
        <f aca="false">K202*(1+IF(L$3&lt;=$O$2,$D202,$D202-($D202-$I$184)*MIN(L$3-$O$2,$Q$2)/$Q$2))</f>
        <v>8470.50466565567</v>
      </c>
      <c r="M202" s="15" t="n">
        <f aca="false">L202*(1+IF(M$3&lt;=$O$2,$D202,$D202-($D202-$I$184)*MIN(M$3-$O$2,$Q$2)/$Q$2))</f>
        <v>8620.26584551714</v>
      </c>
      <c r="N202" s="15" t="n">
        <f aca="false">M202*(1+IF(N$3&lt;=$O$2,$D202,$D202-($D202-$I$184)*MIN(N$3-$O$2,$Q$2)/$Q$2))</f>
        <v>8778.01671049011</v>
      </c>
      <c r="O202" s="15" t="n">
        <f aca="false">SUMPRODUCT(E202:N202,1/(1+$F$184)^$E$3:$N$3)*$E$2</f>
        <v>9436.58546156127</v>
      </c>
      <c r="P202" s="15" t="n">
        <f aca="false">N202*$E$2*(1+$I$184)/($F$184-$I$184)/(1+$F$184)^$N$3</f>
        <v>12700.3622777347</v>
      </c>
      <c r="Q202" s="15" t="n">
        <f aca="false">O202+P202</f>
        <v>22136.947739296</v>
      </c>
      <c r="R202" s="15" t="n">
        <f aca="false">Q202-$G$2+$I$2</f>
        <v>19020.747739296</v>
      </c>
      <c r="S202" s="42" t="n">
        <f aca="false">R202/$K$2</f>
        <v>168.474293527865</v>
      </c>
      <c r="T202" s="43" t="n">
        <f aca="false">S202-$M$2</f>
        <v>0.00662302299360817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0.0151901245117188</v>
      </c>
      <c r="C203" s="25" t="n">
        <f aca="false">IF(T202&gt;0,D202,C202)</f>
        <v>0.0152015686035156</v>
      </c>
      <c r="D203" s="41" t="n">
        <f aca="false">(B203+C203)/2</f>
        <v>0.0151958465576172</v>
      </c>
      <c r="E203" s="15" t="n">
        <f aca="false">$C$2*(1+IF(E$3&lt;=$O$2,$D203,$D203-($D203-$I$184)*MIN(E$3-$O$2,$Q$2)/$Q$2))</f>
        <v>7593.66493225098</v>
      </c>
      <c r="F203" s="15" t="n">
        <f aca="false">E203*(1+IF(F$3&lt;=$O$2,$D203,$D203-($D203-$I$184)*MIN(F$3-$O$2,$Q$2)/$Q$2))</f>
        <v>7709.05709937142</v>
      </c>
      <c r="G203" s="15" t="n">
        <f aca="false">F203*(1+IF(G$3&lt;=$O$2,$D203,$D203-($D203-$I$184)*MIN(G$3-$O$2,$Q$2)/$Q$2))</f>
        <v>7826.20274815738</v>
      </c>
      <c r="H203" s="15" t="n">
        <f aca="false">G203*(1+IF(H$3&lt;=$O$2,$D203,$D203-($D203-$I$184)*MIN(H$3-$O$2,$Q$2)/$Q$2))</f>
        <v>7945.12852424718</v>
      </c>
      <c r="I203" s="15" t="n">
        <f aca="false">H203*(1+IF(I$3&lt;=$O$2,$D203,$D203-($D203-$I$184)*MIN(I$3-$O$2,$Q$2)/$Q$2))</f>
        <v>8065.86147818219</v>
      </c>
      <c r="J203" s="15" t="n">
        <f aca="false">I203*(1+IF(J$3&lt;=$O$2,$D203,$D203-($D203-$I$184)*MIN(J$3-$O$2,$Q$2)/$Q$2))</f>
        <v>8193.4366058943</v>
      </c>
      <c r="K203" s="15" t="n">
        <f aca="false">J203*(1+IF(K$3&lt;=$O$2,$D203,$D203-($D203-$I$184)*MIN(K$3-$O$2,$Q$2)/$Q$2))</f>
        <v>8328.11628511508</v>
      </c>
      <c r="L203" s="15" t="n">
        <f aca="false">K203*(1+IF(L$3&lt;=$O$2,$D203,$D203-($D203-$I$184)*MIN(L$3-$O$2,$Q$2)/$Q$2))</f>
        <v>8470.18011279869</v>
      </c>
      <c r="M203" s="15" t="n">
        <f aca="false">L203*(1+IF(M$3&lt;=$O$2,$D203,$D203-($D203-$I$184)*MIN(M$3-$O$2,$Q$2)/$Q$2))</f>
        <v>8619.92586111196</v>
      </c>
      <c r="N203" s="15" t="n">
        <f aca="false">M203*(1+IF(N$3&lt;=$O$2,$D203,$D203-($D203-$I$184)*MIN(N$3-$O$2,$Q$2)/$Q$2))</f>
        <v>8777.6705043703</v>
      </c>
      <c r="O203" s="15" t="n">
        <f aca="false">SUMPRODUCT(E203:N203,1/(1+$F$184)^$E$3:$N$3)*$E$2</f>
        <v>9436.34817870401</v>
      </c>
      <c r="P203" s="15" t="n">
        <f aca="false">N203*$E$2*(1+$I$184)/($F$184-$I$184)/(1+$F$184)^$N$3</f>
        <v>12699.861373796</v>
      </c>
      <c r="Q203" s="15" t="n">
        <f aca="false">O203+P203</f>
        <v>22136.2095525</v>
      </c>
      <c r="R203" s="15" t="n">
        <f aca="false">Q203-$G$2+$I$2</f>
        <v>19020.0095525</v>
      </c>
      <c r="S203" s="42" t="n">
        <f aca="false">R203/$K$2</f>
        <v>168.467755115146</v>
      </c>
      <c r="T203" s="43" t="n">
        <f aca="false">S203-$M$2</f>
        <v>8.46102747686928E-005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0.0151901245117188</v>
      </c>
      <c r="C204" s="25" t="n">
        <f aca="false">IF(T203&gt;0,D203,C203)</f>
        <v>0.0151958465576172</v>
      </c>
      <c r="D204" s="41" t="n">
        <f aca="false">(B204+C204)/2</f>
        <v>0.015192985534668</v>
      </c>
      <c r="E204" s="15" t="n">
        <f aca="false">$C$2*(1+IF(E$3&lt;=$O$2,$D204,$D204-($D204-$I$184)*MIN(E$3-$O$2,$Q$2)/$Q$2))</f>
        <v>7593.64353179932</v>
      </c>
      <c r="F204" s="15" t="n">
        <f aca="false">E204*(1+IF(F$3&lt;=$O$2,$D204,$D204-($D204-$I$184)*MIN(F$3-$O$2,$Q$2)/$Q$2))</f>
        <v>7709.01364813337</v>
      </c>
      <c r="G204" s="15" t="n">
        <f aca="false">F204*(1+IF(G$3&lt;=$O$2,$D204,$D204-($D204-$I$184)*MIN(G$3-$O$2,$Q$2)/$Q$2))</f>
        <v>7826.13658097602</v>
      </c>
      <c r="H204" s="15" t="n">
        <f aca="false">G204*(1+IF(H$3&lt;=$O$2,$D204,$D204-($D204-$I$184)*MIN(H$3-$O$2,$Q$2)/$Q$2))</f>
        <v>7945.03896084312</v>
      </c>
      <c r="I204" s="15" t="n">
        <f aca="false">H204*(1+IF(I$3&lt;=$O$2,$D204,$D204-($D204-$I$184)*MIN(I$3-$O$2,$Q$2)/$Q$2))</f>
        <v>8065.74782284758</v>
      </c>
      <c r="J204" s="15" t="n">
        <f aca="false">I204*(1+IF(J$3&lt;=$O$2,$D204,$D204-($D204-$I$184)*MIN(J$3-$O$2,$Q$2)/$Q$2))</f>
        <v>8193.30269187825</v>
      </c>
      <c r="K204" s="15" t="n">
        <f aca="false">J204*(1+IF(K$3&lt;=$O$2,$D204,$D204-($D204-$I$184)*MIN(K$3-$O$2,$Q$2)/$Q$2))</f>
        <v>8327.96610515012</v>
      </c>
      <c r="L204" s="15" t="n">
        <f aca="false">K204*(1+IF(L$3&lt;=$O$2,$D204,$D204-($D204-$I$184)*MIN(L$3-$O$2,$Q$2)/$Q$2))</f>
        <v>8470.01784041216</v>
      </c>
      <c r="M204" s="15" t="n">
        <f aca="false">L204*(1+IF(M$3&lt;=$O$2,$D204,$D204-($D204-$I$184)*MIN(M$3-$O$2,$Q$2)/$Q$2))</f>
        <v>8619.75587330135</v>
      </c>
      <c r="N204" s="15" t="n">
        <f aca="false">M204*(1+IF(N$3&lt;=$O$2,$D204,$D204-($D204-$I$184)*MIN(N$3-$O$2,$Q$2)/$Q$2))</f>
        <v>8777.49740578276</v>
      </c>
      <c r="O204" s="15" t="n">
        <f aca="false">SUMPRODUCT(E204:N204,1/(1+$F$184)^$E$3:$N$3)*$E$2</f>
        <v>9436.22953954865</v>
      </c>
      <c r="P204" s="15" t="n">
        <f aca="false">N204*$E$2*(1+$I$184)/($F$184-$I$184)/(1+$F$184)^$N$3</f>
        <v>12699.6109282974</v>
      </c>
      <c r="Q204" s="15" t="n">
        <f aca="false">O204+P204</f>
        <v>22135.8404678461</v>
      </c>
      <c r="R204" s="15" t="n">
        <f aca="false">Q204-$G$2+$I$2</f>
        <v>19019.6404678461</v>
      </c>
      <c r="S204" s="42" t="n">
        <f aca="false">R204/$K$2</f>
        <v>168.464485986236</v>
      </c>
      <c r="T204" s="43" t="n">
        <f aca="false">S204-$M$2</f>
        <v>-0.00318451863523705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0.015192985534668</v>
      </c>
      <c r="C205" s="25" t="n">
        <f aca="false">IF(T204&gt;0,D204,C204)</f>
        <v>0.0151958465576172</v>
      </c>
      <c r="D205" s="41" t="n">
        <f aca="false">(B205+C205)/2</f>
        <v>0.0151944160461426</v>
      </c>
      <c r="E205" s="15" t="n">
        <f aca="false">$C$2*(1+IF(E$3&lt;=$O$2,$D205,$D205-($D205-$I$184)*MIN(E$3-$O$2,$Q$2)/$Q$2))</f>
        <v>7593.65423202515</v>
      </c>
      <c r="F205" s="15" t="n">
        <f aca="false">E205*(1+IF(F$3&lt;=$O$2,$D205,$D205-($D205-$I$184)*MIN(F$3-$O$2,$Q$2)/$Q$2))</f>
        <v>7709.03537373709</v>
      </c>
      <c r="G205" s="15" t="n">
        <f aca="false">F205*(1+IF(G$3&lt;=$O$2,$D205,$D205-($D205-$I$184)*MIN(G$3-$O$2,$Q$2)/$Q$2))</f>
        <v>7826.16966452008</v>
      </c>
      <c r="H205" s="15" t="n">
        <f aca="false">G205*(1+IF(H$3&lt;=$O$2,$D205,$D205-($D205-$I$184)*MIN(H$3-$O$2,$Q$2)/$Q$2))</f>
        <v>7945.0837424505</v>
      </c>
      <c r="I205" s="15" t="n">
        <f aca="false">H205*(1+IF(I$3&lt;=$O$2,$D205,$D205-($D205-$I$184)*MIN(I$3-$O$2,$Q$2)/$Q$2))</f>
        <v>8065.80465035473</v>
      </c>
      <c r="J205" s="15" t="n">
        <f aca="false">I205*(1+IF(J$3&lt;=$O$2,$D205,$D205-($D205-$I$184)*MIN(J$3-$O$2,$Q$2)/$Q$2))</f>
        <v>8193.36964865855</v>
      </c>
      <c r="K205" s="15" t="n">
        <f aca="false">J205*(1+IF(K$3&lt;=$O$2,$D205,$D205-($D205-$I$184)*MIN(K$3-$O$2,$Q$2)/$Q$2))</f>
        <v>8328.04119484367</v>
      </c>
      <c r="L205" s="15" t="n">
        <f aca="false">K205*(1+IF(L$3&lt;=$O$2,$D205,$D205-($D205-$I$184)*MIN(L$3-$O$2,$Q$2)/$Q$2))</f>
        <v>8470.0989762686</v>
      </c>
      <c r="M205" s="15" t="n">
        <f aca="false">L205*(1+IF(M$3&lt;=$O$2,$D205,$D205-($D205-$I$184)*MIN(M$3-$O$2,$Q$2)/$Q$2))</f>
        <v>8619.84086684066</v>
      </c>
      <c r="N205" s="15" t="n">
        <f aca="false">M205*(1+IF(N$3&lt;=$O$2,$D205,$D205-($D205-$I$184)*MIN(N$3-$O$2,$Q$2)/$Q$2))</f>
        <v>8777.58395470384</v>
      </c>
      <c r="O205" s="15" t="n">
        <f aca="false">SUMPRODUCT(E205:N205,1/(1+$F$184)^$E$3:$N$3)*$E$2</f>
        <v>9436.28885893689</v>
      </c>
      <c r="P205" s="15" t="n">
        <f aca="false">N205*$E$2*(1+$I$184)/($F$184-$I$184)/(1+$F$184)^$N$3</f>
        <v>12699.7361505075</v>
      </c>
      <c r="Q205" s="15" t="n">
        <f aca="false">O205+P205</f>
        <v>22136.0250094444</v>
      </c>
      <c r="R205" s="15" t="n">
        <f aca="false">Q205-$G$2+$I$2</f>
        <v>19019.8250094444</v>
      </c>
      <c r="S205" s="42" t="n">
        <f aca="false">R205/$K$2</f>
        <v>168.466120544237</v>
      </c>
      <c r="T205" s="43" t="n">
        <f aca="false">S205-$M$2</f>
        <v>-0.00154996063426438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0.0151944160461426</v>
      </c>
      <c r="C206" s="25" t="n">
        <f aca="false">IF(T205&gt;0,D205,C205)</f>
        <v>0.0151958465576172</v>
      </c>
      <c r="D206" s="41" t="n">
        <f aca="false">(B206+C206)/2</f>
        <v>0.0151951313018799</v>
      </c>
      <c r="E206" s="15" t="n">
        <f aca="false">$C$2*(1+IF(E$3&lt;=$O$2,$D206,$D206-($D206-$I$184)*MIN(E$3-$O$2,$Q$2)/$Q$2))</f>
        <v>7593.65958213806</v>
      </c>
      <c r="F206" s="15" t="n">
        <f aca="false">E206*(1+IF(F$3&lt;=$O$2,$D206,$D206-($D206-$I$184)*MIN(F$3-$O$2,$Q$2)/$Q$2))</f>
        <v>7709.04623655043</v>
      </c>
      <c r="G206" s="15" t="n">
        <f aca="false">F206*(1+IF(G$3&lt;=$O$2,$D206,$D206-($D206-$I$184)*MIN(G$3-$O$2,$Q$2)/$Q$2))</f>
        <v>7826.18620632708</v>
      </c>
      <c r="H206" s="15" t="n">
        <f aca="false">G206*(1+IF(H$3&lt;=$O$2,$D206,$D206-($D206-$I$184)*MIN(H$3-$O$2,$Q$2)/$Q$2))</f>
        <v>7945.10613332518</v>
      </c>
      <c r="I206" s="15" t="n">
        <f aca="false">H206*(1+IF(I$3&lt;=$O$2,$D206,$D206-($D206-$I$184)*MIN(I$3-$O$2,$Q$2)/$Q$2))</f>
        <v>8065.83306422842</v>
      </c>
      <c r="J206" s="15" t="n">
        <f aca="false">I206*(1+IF(J$3&lt;=$O$2,$D206,$D206-($D206-$I$184)*MIN(J$3-$O$2,$Q$2)/$Q$2))</f>
        <v>8193.4031272195</v>
      </c>
      <c r="K206" s="15" t="n">
        <f aca="false">J206*(1+IF(K$3&lt;=$O$2,$D206,$D206-($D206-$I$184)*MIN(K$3-$O$2,$Q$2)/$Q$2))</f>
        <v>8328.07873990714</v>
      </c>
      <c r="L206" s="15" t="n">
        <f aca="false">K206*(1+IF(L$3&lt;=$O$2,$D206,$D206-($D206-$I$184)*MIN(L$3-$O$2,$Q$2)/$Q$2))</f>
        <v>8470.13954444944</v>
      </c>
      <c r="M206" s="15" t="n">
        <f aca="false">L206*(1+IF(M$3&lt;=$O$2,$D206,$D206-($D206-$I$184)*MIN(M$3-$O$2,$Q$2)/$Q$2))</f>
        <v>8619.88336388481</v>
      </c>
      <c r="N206" s="15" t="n">
        <f aca="false">M206*(1+IF(N$3&lt;=$O$2,$D206,$D206-($D206-$I$184)*MIN(N$3-$O$2,$Q$2)/$Q$2))</f>
        <v>8777.6272294439</v>
      </c>
      <c r="O206" s="15" t="n">
        <f aca="false">SUMPRODUCT(E206:N206,1/(1+$F$184)^$E$3:$N$3)*$E$2</f>
        <v>9436.31851877309</v>
      </c>
      <c r="P206" s="15" t="n">
        <f aca="false">N206*$E$2*(1+$I$184)/($F$184-$I$184)/(1+$F$184)^$N$3</f>
        <v>12699.7987620169</v>
      </c>
      <c r="Q206" s="15" t="n">
        <f aca="false">O206+P206</f>
        <v>22136.11728079</v>
      </c>
      <c r="R206" s="15" t="n">
        <f aca="false">Q206-$G$2+$I$2</f>
        <v>19019.91728079</v>
      </c>
      <c r="S206" s="42" t="n">
        <f aca="false">R206/$K$2</f>
        <v>168.466937828078</v>
      </c>
      <c r="T206" s="43" t="n">
        <f aca="false">S206-$M$2</f>
        <v>-0.000732676793347764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0.0151951313018799</v>
      </c>
      <c r="C207" s="25" t="n">
        <f aca="false">IF(T206&gt;0,D206,C206)</f>
        <v>0.0151958465576172</v>
      </c>
      <c r="D207" s="41" t="n">
        <f aca="false">(B207+C207)/2</f>
        <v>0.0151954889297485</v>
      </c>
      <c r="E207" s="15" t="n">
        <f aca="false">$C$2*(1+IF(E$3&lt;=$O$2,$D207,$D207-($D207-$I$184)*MIN(E$3-$O$2,$Q$2)/$Q$2))</f>
        <v>7593.66225719452</v>
      </c>
      <c r="F207" s="15" t="n">
        <f aca="false">E207*(1+IF(F$3&lt;=$O$2,$D207,$D207-($D207-$I$184)*MIN(F$3-$O$2,$Q$2)/$Q$2))</f>
        <v>7709.05166795997</v>
      </c>
      <c r="G207" s="15" t="n">
        <f aca="false">F207*(1+IF(G$3&lt;=$O$2,$D207,$D207-($D207-$I$184)*MIN(G$3-$O$2,$Q$2)/$Q$2))</f>
        <v>7826.19447723931</v>
      </c>
      <c r="H207" s="15" t="n">
        <f aca="false">G207*(1+IF(H$3&lt;=$O$2,$D207,$D207-($D207-$I$184)*MIN(H$3-$O$2,$Q$2)/$Q$2))</f>
        <v>7945.11732878026</v>
      </c>
      <c r="I207" s="15" t="n">
        <f aca="false">H207*(1+IF(I$3&lt;=$O$2,$D207,$D207-($D207-$I$184)*MIN(I$3-$O$2,$Q$2)/$Q$2))</f>
        <v>8065.8472711953</v>
      </c>
      <c r="J207" s="15" t="n">
        <f aca="false">I207*(1+IF(J$3&lt;=$O$2,$D207,$D207-($D207-$I$184)*MIN(J$3-$O$2,$Q$2)/$Q$2))</f>
        <v>8193.41986654266</v>
      </c>
      <c r="K207" s="15" t="n">
        <f aca="false">J207*(1+IF(K$3&lt;=$O$2,$D207,$D207-($D207-$I$184)*MIN(K$3-$O$2,$Q$2)/$Q$2))</f>
        <v>8328.09751249305</v>
      </c>
      <c r="L207" s="15" t="n">
        <f aca="false">K207*(1+IF(L$3&lt;=$O$2,$D207,$D207-($D207-$I$184)*MIN(L$3-$O$2,$Q$2)/$Q$2))</f>
        <v>8470.15982860301</v>
      </c>
      <c r="M207" s="15" t="n">
        <f aca="false">L207*(1+IF(M$3&lt;=$O$2,$D207,$D207-($D207-$I$184)*MIN(M$3-$O$2,$Q$2)/$Q$2))</f>
        <v>8619.9046124755</v>
      </c>
      <c r="N207" s="15" t="n">
        <f aca="false">M207*(1+IF(N$3&lt;=$O$2,$D207,$D207-($D207-$I$184)*MIN(N$3-$O$2,$Q$2)/$Q$2))</f>
        <v>8777.64886688381</v>
      </c>
      <c r="O207" s="15" t="n">
        <f aca="false">SUMPRODUCT(E207:N207,1/(1+$F$184)^$E$3:$N$3)*$E$2</f>
        <v>9436.33334872671</v>
      </c>
      <c r="P207" s="15" t="n">
        <f aca="false">N207*$E$2*(1+$I$184)/($F$184-$I$184)/(1+$F$184)^$N$3</f>
        <v>12699.8300678728</v>
      </c>
      <c r="Q207" s="15" t="n">
        <f aca="false">O207+P207</f>
        <v>22136.1634165995</v>
      </c>
      <c r="R207" s="15" t="n">
        <f aca="false">Q207-$G$2+$I$2</f>
        <v>19019.9634165995</v>
      </c>
      <c r="S207" s="42" t="n">
        <f aca="false">R207/$K$2</f>
        <v>168.467346471209</v>
      </c>
      <c r="T207" s="43" t="n">
        <f aca="false">S207-$M$2</f>
        <v>-0.000324033662678858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0.0151954889297485</v>
      </c>
      <c r="C208" s="25" t="n">
        <f aca="false">IF(T207&gt;0,D207,C207)</f>
        <v>0.0151958465576172</v>
      </c>
      <c r="D208" s="41" t="n">
        <f aca="false">(B208+C208)/2</f>
        <v>0.0151956677436829</v>
      </c>
      <c r="E208" s="15" t="n">
        <f aca="false">$C$2*(1+IF(E$3&lt;=$O$2,$D208,$D208-($D208-$I$184)*MIN(E$3-$O$2,$Q$2)/$Q$2))</f>
        <v>7593.66359472275</v>
      </c>
      <c r="F208" s="15" t="n">
        <f aca="false">E208*(1+IF(F$3&lt;=$O$2,$D208,$D208-($D208-$I$184)*MIN(F$3-$O$2,$Q$2)/$Q$2))</f>
        <v>7709.05438366546</v>
      </c>
      <c r="G208" s="15" t="n">
        <f aca="false">F208*(1+IF(G$3&lt;=$O$2,$D208,$D208-($D208-$I$184)*MIN(G$3-$O$2,$Q$2)/$Q$2))</f>
        <v>7826.19861269762</v>
      </c>
      <c r="H208" s="15" t="n">
        <f aca="false">G208*(1+IF(H$3&lt;=$O$2,$D208,$D208-($D208-$I$184)*MIN(H$3-$O$2,$Q$2)/$Q$2))</f>
        <v>7945.12292651224</v>
      </c>
      <c r="I208" s="15" t="n">
        <f aca="false">H208*(1+IF(I$3&lt;=$O$2,$D208,$D208-($D208-$I$184)*MIN(I$3-$O$2,$Q$2)/$Q$2))</f>
        <v>8065.85437468624</v>
      </c>
      <c r="J208" s="15" t="n">
        <f aca="false">I208*(1+IF(J$3&lt;=$O$2,$D208,$D208-($D208-$I$184)*MIN(J$3-$O$2,$Q$2)/$Q$2))</f>
        <v>8193.42823621492</v>
      </c>
      <c r="K208" s="15" t="n">
        <f aca="false">J208*(1+IF(K$3&lt;=$O$2,$D208,$D208-($D208-$I$184)*MIN(K$3-$O$2,$Q$2)/$Q$2))</f>
        <v>8328.10689879956</v>
      </c>
      <c r="L208" s="15" t="n">
        <f aca="false">K208*(1+IF(L$3&lt;=$O$2,$D208,$D208-($D208-$I$184)*MIN(L$3-$O$2,$Q$2)/$Q$2))</f>
        <v>8470.16997069559</v>
      </c>
      <c r="M208" s="15" t="n">
        <f aca="false">L208*(1+IF(M$3&lt;=$O$2,$D208,$D208-($D208-$I$184)*MIN(M$3-$O$2,$Q$2)/$Q$2))</f>
        <v>8619.91523678801</v>
      </c>
      <c r="N208" s="15" t="n">
        <f aca="false">M208*(1+IF(N$3&lt;=$O$2,$D208,$D208-($D208-$I$184)*MIN(N$3-$O$2,$Q$2)/$Q$2))</f>
        <v>8777.65968562123</v>
      </c>
      <c r="O208" s="15" t="n">
        <f aca="false">SUMPRODUCT(E208:N208,1/(1+$F$184)^$E$3:$N$3)*$E$2</f>
        <v>9436.3407637124</v>
      </c>
      <c r="P208" s="15" t="n">
        <f aca="false">N208*$E$2*(1+$I$184)/($F$184-$I$184)/(1+$F$184)^$N$3</f>
        <v>12699.845720826</v>
      </c>
      <c r="Q208" s="15" t="n">
        <f aca="false">O208+P208</f>
        <v>22136.1864845384</v>
      </c>
      <c r="R208" s="15" t="n">
        <f aca="false">Q208-$G$2+$I$2</f>
        <v>19019.9864845384</v>
      </c>
      <c r="S208" s="42" t="n">
        <f aca="false">R208/$K$2</f>
        <v>168.467550793077</v>
      </c>
      <c r="T208" s="43" t="n">
        <f aca="false">S208-$M$2</f>
        <v>-0.00011971179483794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0.0151956677436829</v>
      </c>
      <c r="C209" s="25" t="n">
        <f aca="false">IF(T208&gt;0,D208,C208)</f>
        <v>0.0151958465576172</v>
      </c>
      <c r="D209" s="41" t="n">
        <f aca="false">(B209+C209)/2</f>
        <v>0.01519575715065</v>
      </c>
      <c r="E209" s="15" t="n">
        <f aca="false">$C$2*(1+IF(E$3&lt;=$O$2,$D209,$D209-($D209-$I$184)*MIN(E$3-$O$2,$Q$2)/$Q$2))</f>
        <v>7593.66426348686</v>
      </c>
      <c r="F209" s="15" t="n">
        <f aca="false">E209*(1+IF(F$3&lt;=$O$2,$D209,$D209-($D209-$I$184)*MIN(F$3-$O$2,$Q$2)/$Q$2))</f>
        <v>7709.05574151838</v>
      </c>
      <c r="G209" s="15" t="n">
        <f aca="false">F209*(1+IF(G$3&lt;=$O$2,$D209,$D209-($D209-$I$184)*MIN(G$3-$O$2,$Q$2)/$Q$2))</f>
        <v>7826.20068042732</v>
      </c>
      <c r="H209" s="15" t="n">
        <f aca="false">G209*(1+IF(H$3&lt;=$O$2,$D209,$D209-($D209-$I$184)*MIN(H$3-$O$2,$Q$2)/$Q$2))</f>
        <v>7945.12572537934</v>
      </c>
      <c r="I209" s="15" t="n">
        <f aca="false">H209*(1+IF(I$3&lt;=$O$2,$D209,$D209-($D209-$I$184)*MIN(I$3-$O$2,$Q$2)/$Q$2))</f>
        <v>8065.85792643359</v>
      </c>
      <c r="J209" s="15" t="n">
        <f aca="false">I209*(1+IF(J$3&lt;=$O$2,$D209,$D209-($D209-$I$184)*MIN(J$3-$O$2,$Q$2)/$Q$2))</f>
        <v>8193.43242105372</v>
      </c>
      <c r="K209" s="15" t="n">
        <f aca="false">J209*(1+IF(K$3&lt;=$O$2,$D209,$D209-($D209-$I$184)*MIN(K$3-$O$2,$Q$2)/$Q$2))</f>
        <v>8328.11159195619</v>
      </c>
      <c r="L209" s="15" t="n">
        <f aca="false">K209*(1+IF(L$3&lt;=$O$2,$D209,$D209-($D209-$I$184)*MIN(L$3-$O$2,$Q$2)/$Q$2))</f>
        <v>8470.17504174582</v>
      </c>
      <c r="M209" s="15" t="n">
        <f aca="false">L209*(1+IF(M$3&lt;=$O$2,$D209,$D209-($D209-$I$184)*MIN(M$3-$O$2,$Q$2)/$Q$2))</f>
        <v>8619.92054894855</v>
      </c>
      <c r="N209" s="15" t="n">
        <f aca="false">M209*(1+IF(N$3&lt;=$O$2,$D209,$D209-($D209-$I$184)*MIN(N$3-$O$2,$Q$2)/$Q$2))</f>
        <v>8777.66509499431</v>
      </c>
      <c r="O209" s="15" t="n">
        <f aca="false">SUMPRODUCT(E209:N209,1/(1+$F$184)^$E$3:$N$3)*$E$2</f>
        <v>9436.34447120747</v>
      </c>
      <c r="P209" s="15" t="n">
        <f aca="false">N209*$E$2*(1+$I$184)/($F$184-$I$184)/(1+$F$184)^$N$3</f>
        <v>12699.8535473089</v>
      </c>
      <c r="Q209" s="15" t="n">
        <f aca="false">O209+P209</f>
        <v>22136.1980185164</v>
      </c>
      <c r="R209" s="15" t="n">
        <f aca="false">Q209-$G$2+$I$2</f>
        <v>19019.9980185163</v>
      </c>
      <c r="S209" s="42" t="n">
        <f aca="false">R209/$K$2</f>
        <v>168.467652954086</v>
      </c>
      <c r="T209" s="43" t="n">
        <f aca="false">S209-$M$2</f>
        <v>-1.75507852588908E-005</v>
      </c>
    </row>
    <row r="211" customFormat="false" ht="15" hidden="false" customHeight="false" outlineLevel="0" collapsed="false">
      <c r="A211" s="38" t="s">
        <v>191</v>
      </c>
      <c r="E211" s="5" t="s">
        <v>11</v>
      </c>
      <c r="F211" s="12" t="n">
        <f aca="false">Sensitivity!$B$11</f>
        <v>0.0761268672746673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165</v>
      </c>
      <c r="B212" s="28" t="s">
        <v>166</v>
      </c>
      <c r="C212" s="28" t="s">
        <v>167</v>
      </c>
      <c r="D212" s="28" t="s">
        <v>168</v>
      </c>
      <c r="E212" s="28" t="s">
        <v>169</v>
      </c>
      <c r="F212" s="28" t="s">
        <v>170</v>
      </c>
      <c r="G212" s="28" t="s">
        <v>171</v>
      </c>
      <c r="H212" s="28" t="s">
        <v>172</v>
      </c>
      <c r="I212" s="28" t="s">
        <v>173</v>
      </c>
      <c r="J212" s="28" t="s">
        <v>174</v>
      </c>
      <c r="K212" s="28" t="s">
        <v>175</v>
      </c>
      <c r="L212" s="28" t="s">
        <v>176</v>
      </c>
      <c r="M212" s="28" t="s">
        <v>177</v>
      </c>
      <c r="N212" s="28" t="s">
        <v>178</v>
      </c>
      <c r="O212" s="28" t="s">
        <v>179</v>
      </c>
      <c r="P212" s="28" t="s">
        <v>180</v>
      </c>
      <c r="Q212" s="28" t="s">
        <v>181</v>
      </c>
      <c r="R212" s="28" t="s">
        <v>182</v>
      </c>
      <c r="S212" s="28" t="s">
        <v>183</v>
      </c>
      <c r="T212" s="28" t="s">
        <v>184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9350</v>
      </c>
      <c r="F213" s="15" t="n">
        <f aca="false">E213*(1+IF(F$3&lt;=$O$2,$D213,$D213-($D213-$I$211)*MIN(F$3-$O$2,$Q$2)/$Q$2))</f>
        <v>11687.5</v>
      </c>
      <c r="G213" s="15" t="n">
        <f aca="false">F213*(1+IF(G$3&lt;=$O$2,$D213,$D213-($D213-$I$211)*MIN(G$3-$O$2,$Q$2)/$Q$2))</f>
        <v>14609.375</v>
      </c>
      <c r="H213" s="15" t="n">
        <f aca="false">G213*(1+IF(H$3&lt;=$O$2,$D213,$D213-($D213-$I$211)*MIN(H$3-$O$2,$Q$2)/$Q$2))</f>
        <v>18261.71875</v>
      </c>
      <c r="I213" s="15" t="n">
        <f aca="false">H213*(1+IF(I$3&lt;=$O$2,$D213,$D213-($D213-$I$211)*MIN(I$3-$O$2,$Q$2)/$Q$2))</f>
        <v>22827.1484375</v>
      </c>
      <c r="J213" s="15" t="n">
        <f aca="false">I213*(1+IF(J$3&lt;=$O$2,$D213,$D213-($D213-$I$211)*MIN(J$3-$O$2,$Q$2)/$Q$2))</f>
        <v>27498.9526367188</v>
      </c>
      <c r="K213" s="15" t="n">
        <f aca="false">J213*(1+IF(K$3&lt;=$O$2,$D213,$D213-($D213-$I$211)*MIN(K$3-$O$2,$Q$2)/$Q$2))</f>
        <v>31880.0857708008</v>
      </c>
      <c r="L213" s="15" t="n">
        <f aca="false">K213*(1+IF(L$3&lt;=$O$2,$D213,$D213-($D213-$I$211)*MIN(L$3-$O$2,$Q$2)/$Q$2))</f>
        <v>35513.7779469567</v>
      </c>
      <c r="M213" s="15" t="n">
        <f aca="false">L213*(1+IF(M$3&lt;=$O$2,$D213,$D213-($D213-$I$211)*MIN(M$3-$O$2,$Q$2)/$Q$2))</f>
        <v>37951.4436652358</v>
      </c>
      <c r="N213" s="15" t="n">
        <f aca="false">M213*(1+IF(N$3&lt;=$O$2,$D213,$D213-($D213-$I$211)*MIN(N$3-$O$2,$Q$2)/$Q$2))</f>
        <v>38835.7123026357</v>
      </c>
      <c r="O213" s="15" t="n">
        <f aca="false">SUMPRODUCT(E213:N213,1/(1+$F$211)^$E$3:$N$3)*$E$2</f>
        <v>26476.6062321806</v>
      </c>
      <c r="P213" s="15" t="n">
        <f aca="false">N213*$E$2*(1+$I$211)/($F$211-$I$211)/(1+$F$211)^$N$3</f>
        <v>61809.1854031099</v>
      </c>
      <c r="Q213" s="15" t="n">
        <f aca="false">O213+P213</f>
        <v>88285.7916352905</v>
      </c>
      <c r="R213" s="15" t="n">
        <f aca="false">Q213-$G$2+$I$2</f>
        <v>85169.5916352905</v>
      </c>
      <c r="S213" s="42" t="n">
        <f aca="false">R213/$K$2</f>
        <v>754.380793935257</v>
      </c>
      <c r="T213" s="43" t="n">
        <f aca="false">S213-$M$2</f>
        <v>585.913123430385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6545</v>
      </c>
      <c r="F214" s="15" t="n">
        <f aca="false">E214*(1+IF(F$3&lt;=$O$2,$D214,$D214-($D214-$I$211)*MIN(F$3-$O$2,$Q$2)/$Q$2))</f>
        <v>5726.875</v>
      </c>
      <c r="G214" s="15" t="n">
        <f aca="false">F214*(1+IF(G$3&lt;=$O$2,$D214,$D214-($D214-$I$211)*MIN(G$3-$O$2,$Q$2)/$Q$2))</f>
        <v>5011.015625</v>
      </c>
      <c r="H214" s="15" t="n">
        <f aca="false">G214*(1+IF(H$3&lt;=$O$2,$D214,$D214-($D214-$I$211)*MIN(H$3-$O$2,$Q$2)/$Q$2))</f>
        <v>4384.638671875</v>
      </c>
      <c r="I214" s="15" t="n">
        <f aca="false">H214*(1+IF(I$3&lt;=$O$2,$D214,$D214-($D214-$I$211)*MIN(I$3-$O$2,$Q$2)/$Q$2))</f>
        <v>3836.55883789063</v>
      </c>
      <c r="J214" s="15" t="n">
        <f aca="false">I214*(1+IF(J$3&lt;=$O$2,$D214,$D214-($D214-$I$211)*MIN(J$3-$O$2,$Q$2)/$Q$2))</f>
        <v>3470.78131828613</v>
      </c>
      <c r="K214" s="15" t="n">
        <f aca="false">J214*(1+IF(K$3&lt;=$O$2,$D214,$D214-($D214-$I$211)*MIN(K$3-$O$2,$Q$2)/$Q$2))</f>
        <v>3242.8204013011</v>
      </c>
      <c r="L214" s="15" t="n">
        <f aca="false">K214*(1+IF(L$3&lt;=$O$2,$D214,$D214-($D214-$I$211)*MIN(L$3-$O$2,$Q$2)/$Q$2))</f>
        <v>3126.01401044623</v>
      </c>
      <c r="M214" s="15" t="n">
        <f aca="false">L214*(1+IF(M$3&lt;=$O$2,$D214,$D214-($D214-$I$211)*MIN(M$3-$O$2,$Q$2)/$Q$2))</f>
        <v>3106.1325613398</v>
      </c>
      <c r="N214" s="15" t="n">
        <f aca="false">M214*(1+IF(N$3&lt;=$O$2,$D214,$D214-($D214-$I$211)*MIN(N$3-$O$2,$Q$2)/$Q$2))</f>
        <v>3178.50545001901</v>
      </c>
      <c r="O214" s="15" t="n">
        <f aca="false">SUMPRODUCT(E214:N214,1/(1+$F$211)^$E$3:$N$3)*$E$2</f>
        <v>5137.20457887428</v>
      </c>
      <c r="P214" s="15" t="n">
        <f aca="false">N214*$E$2*(1+$I$211)/($F$211-$I$211)/(1+$F$211)^$N$3</f>
        <v>5058.76733080255</v>
      </c>
      <c r="Q214" s="15" t="n">
        <f aca="false">O214+P214</f>
        <v>10195.9719096768</v>
      </c>
      <c r="R214" s="15" t="n">
        <f aca="false">Q214-$G$2+$I$2</f>
        <v>7079.77190967684</v>
      </c>
      <c r="S214" s="42" t="n">
        <f aca="false">R214/$K$2</f>
        <v>62.7083428669339</v>
      </c>
      <c r="T214" s="43" t="n">
        <f aca="false">S214-$M$2</f>
        <v>-105.759327637938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7947.5</v>
      </c>
      <c r="F215" s="15" t="n">
        <f aca="false">E215*(1+IF(F$3&lt;=$O$2,$D215,$D215-($D215-$I$211)*MIN(F$3-$O$2,$Q$2)/$Q$2))</f>
        <v>8444.21875</v>
      </c>
      <c r="G215" s="15" t="n">
        <f aca="false">F215*(1+IF(G$3&lt;=$O$2,$D215,$D215-($D215-$I$211)*MIN(G$3-$O$2,$Q$2)/$Q$2))</f>
        <v>8971.982421875</v>
      </c>
      <c r="H215" s="15" t="n">
        <f aca="false">G215*(1+IF(H$3&lt;=$O$2,$D215,$D215-($D215-$I$211)*MIN(H$3-$O$2,$Q$2)/$Q$2))</f>
        <v>9532.73132324219</v>
      </c>
      <c r="I215" s="15" t="n">
        <f aca="false">H215*(1+IF(I$3&lt;=$O$2,$D215,$D215-($D215-$I$211)*MIN(I$3-$O$2,$Q$2)/$Q$2))</f>
        <v>10128.5270309448</v>
      </c>
      <c r="J215" s="15" t="n">
        <f aca="false">I215*(1+IF(J$3&lt;=$O$2,$D215,$D215-($D215-$I$211)*MIN(J$3-$O$2,$Q$2)/$Q$2))</f>
        <v>10682.1523184563</v>
      </c>
      <c r="K215" s="15" t="n">
        <f aca="false">J215*(1+IF(K$3&lt;=$O$2,$D215,$D215-($D215-$I$211)*MIN(K$3-$O$2,$Q$2)/$Q$2))</f>
        <v>11182.2906900064</v>
      </c>
      <c r="L215" s="15" t="n">
        <f aca="false">K215*(1+IF(L$3&lt;=$O$2,$D215,$D215-($D215-$I$211)*MIN(L$3-$O$2,$Q$2)/$Q$2))</f>
        <v>11618.1763811028</v>
      </c>
      <c r="M215" s="15" t="n">
        <f aca="false">L215*(1+IF(M$3&lt;=$O$2,$D215,$D215-($D215-$I$211)*MIN(M$3-$O$2,$Q$2)/$Q$2))</f>
        <v>11979.9663936104</v>
      </c>
      <c r="N215" s="15" t="n">
        <f aca="false">M215*(1+IF(N$3&lt;=$O$2,$D215,$D215-($D215-$I$211)*MIN(N$3-$O$2,$Q$2)/$Q$2))</f>
        <v>12259.0996105815</v>
      </c>
      <c r="O215" s="15" t="n">
        <f aca="false">SUMPRODUCT(E215:N215,1/(1+$F$211)^$E$3:$N$3)*$E$2</f>
        <v>11654.8600701714</v>
      </c>
      <c r="P215" s="15" t="n">
        <f aca="false">N215*$E$2*(1+$I$211)/($F$211-$I$211)/(1+$F$211)^$N$3</f>
        <v>19511.035482004</v>
      </c>
      <c r="Q215" s="15" t="n">
        <f aca="false">O215+P215</f>
        <v>31165.8955521754</v>
      </c>
      <c r="R215" s="15" t="n">
        <f aca="false">Q215-$G$2+$I$2</f>
        <v>28049.6955521754</v>
      </c>
      <c r="S215" s="42" t="n">
        <f aca="false">R215/$K$2</f>
        <v>248.447259098099</v>
      </c>
      <c r="T215" s="43" t="n">
        <f aca="false">S215-$M$2</f>
        <v>79.9795885932276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41" t="n">
        <f aca="false">(B216+C216)/2</f>
        <v>-0.03125</v>
      </c>
      <c r="E216" s="15" t="n">
        <f aca="false">$C$2*(1+IF(E$3&lt;=$O$2,$D216,$D216-($D216-$I$211)*MIN(E$3-$O$2,$Q$2)/$Q$2))</f>
        <v>7246.25</v>
      </c>
      <c r="F216" s="15" t="n">
        <f aca="false">E216*(1+IF(F$3&lt;=$O$2,$D216,$D216-($D216-$I$211)*MIN(F$3-$O$2,$Q$2)/$Q$2))</f>
        <v>7019.8046875</v>
      </c>
      <c r="G216" s="15" t="n">
        <f aca="false">F216*(1+IF(G$3&lt;=$O$2,$D216,$D216-($D216-$I$211)*MIN(G$3-$O$2,$Q$2)/$Q$2))</f>
        <v>6800.43579101563</v>
      </c>
      <c r="H216" s="15" t="n">
        <f aca="false">G216*(1+IF(H$3&lt;=$O$2,$D216,$D216-($D216-$I$211)*MIN(H$3-$O$2,$Q$2)/$Q$2))</f>
        <v>6587.92217254639</v>
      </c>
      <c r="I216" s="15" t="n">
        <f aca="false">H216*(1+IF(I$3&lt;=$O$2,$D216,$D216-($D216-$I$211)*MIN(I$3-$O$2,$Q$2)/$Q$2))</f>
        <v>6382.04960465431</v>
      </c>
      <c r="J216" s="15" t="n">
        <f aca="false">I216*(1+IF(J$3&lt;=$O$2,$D216,$D216-($D216-$I$211)*MIN(J$3-$O$2,$Q$2)/$Q$2))</f>
        <v>6252.23871569564</v>
      </c>
      <c r="K216" s="15" t="n">
        <f aca="false">J216*(1+IF(K$3&lt;=$O$2,$D216,$D216-($D216-$I$211)*MIN(K$3-$O$2,$Q$2)/$Q$2))</f>
        <v>6193.28010460663</v>
      </c>
      <c r="L216" s="15" t="n">
        <f aca="false">K216*(1+IF(L$3&lt;=$O$2,$D216,$D216-($D216-$I$211)*MIN(L$3-$O$2,$Q$2)/$Q$2))</f>
        <v>6202.44615916145</v>
      </c>
      <c r="M216" s="15" t="n">
        <f aca="false">L216*(1+IF(M$3&lt;=$O$2,$D216,$D216-($D216-$I$211)*MIN(M$3-$O$2,$Q$2)/$Q$2))</f>
        <v>6279.29446707346</v>
      </c>
      <c r="N216" s="15" t="n">
        <f aca="false">M216*(1+IF(N$3&lt;=$O$2,$D216,$D216-($D216-$I$211)*MIN(N$3-$O$2,$Q$2)/$Q$2))</f>
        <v>6425.60202815627</v>
      </c>
      <c r="O216" s="15" t="n">
        <f aca="false">SUMPRODUCT(E216:N216,1/(1+$F$211)^$E$3:$N$3)*$E$2</f>
        <v>7717.10481077233</v>
      </c>
      <c r="P216" s="15" t="n">
        <f aca="false">N216*$E$2*(1+$I$211)/($F$211-$I$211)/(1+$F$211)^$N$3</f>
        <v>10226.701238024</v>
      </c>
      <c r="Q216" s="15" t="n">
        <f aca="false">O216+P216</f>
        <v>17943.8060487964</v>
      </c>
      <c r="R216" s="15" t="n">
        <f aca="false">Q216-$G$2+$I$2</f>
        <v>14827.6060487964</v>
      </c>
      <c r="S216" s="42" t="n">
        <f aca="false">R216/$K$2</f>
        <v>131.333977402979</v>
      </c>
      <c r="T216" s="43" t="n">
        <f aca="false">S216-$M$2</f>
        <v>-37.1336931018923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41" t="n">
        <f aca="false">(B217+C217)/2</f>
        <v>0.015625</v>
      </c>
      <c r="E217" s="15" t="n">
        <f aca="false">$C$2*(1+IF(E$3&lt;=$O$2,$D217,$D217-($D217-$I$211)*MIN(E$3-$O$2,$Q$2)/$Q$2))</f>
        <v>7596.875</v>
      </c>
      <c r="F217" s="15" t="n">
        <f aca="false">E217*(1+IF(F$3&lt;=$O$2,$D217,$D217-($D217-$I$211)*MIN(F$3-$O$2,$Q$2)/$Q$2))</f>
        <v>7715.576171875</v>
      </c>
      <c r="G217" s="15" t="n">
        <f aca="false">F217*(1+IF(G$3&lt;=$O$2,$D217,$D217-($D217-$I$211)*MIN(G$3-$O$2,$Q$2)/$Q$2))</f>
        <v>7836.13204956055</v>
      </c>
      <c r="H217" s="15" t="n">
        <f aca="false">G217*(1+IF(H$3&lt;=$O$2,$D217,$D217-($D217-$I$211)*MIN(H$3-$O$2,$Q$2)/$Q$2))</f>
        <v>7958.57161283493</v>
      </c>
      <c r="I217" s="15" t="n">
        <f aca="false">H217*(1+IF(I$3&lt;=$O$2,$D217,$D217-($D217-$I$211)*MIN(I$3-$O$2,$Q$2)/$Q$2))</f>
        <v>8082.92429428548</v>
      </c>
      <c r="J217" s="15" t="n">
        <f aca="false">I217*(1+IF(J$3&lt;=$O$2,$D217,$D217-($D217-$I$211)*MIN(J$3-$O$2,$Q$2)/$Q$2))</f>
        <v>8221.62727517542</v>
      </c>
      <c r="K217" s="15" t="n">
        <f aca="false">J217*(1+IF(K$3&lt;=$O$2,$D217,$D217-($D217-$I$211)*MIN(K$3-$O$2,$Q$2)/$Q$2))</f>
        <v>8375.33059708482</v>
      </c>
      <c r="L217" s="15" t="n">
        <f aca="false">K217*(1+IF(L$3&lt;=$O$2,$D217,$D217-($D217-$I$211)*MIN(L$3-$O$2,$Q$2)/$Q$2))</f>
        <v>8544.76353506384</v>
      </c>
      <c r="M217" s="15" t="n">
        <f aca="false">L217*(1+IF(M$3&lt;=$O$2,$D217,$D217-($D217-$I$211)*MIN(M$3-$O$2,$Q$2)/$Q$2))</f>
        <v>8730.74031340451</v>
      </c>
      <c r="N217" s="15" t="n">
        <f aca="false">M217*(1+IF(N$3&lt;=$O$2,$D217,$D217-($D217-$I$211)*MIN(N$3-$O$2,$Q$2)/$Q$2))</f>
        <v>8934.16656270683</v>
      </c>
      <c r="O217" s="15" t="n">
        <f aca="false">SUMPRODUCT(E217:N217,1/(1+$F$211)^$E$3:$N$3)*$E$2</f>
        <v>9480.61702418802</v>
      </c>
      <c r="P217" s="15" t="n">
        <f aca="false">N217*$E$2*(1+$I$211)/($F$211-$I$211)/(1+$F$211)^$N$3</f>
        <v>14219.2205255144</v>
      </c>
      <c r="Q217" s="15" t="n">
        <f aca="false">O217+P217</f>
        <v>23699.8375497025</v>
      </c>
      <c r="R217" s="15" t="n">
        <f aca="false">Q217-$G$2+$I$2</f>
        <v>20583.6375497025</v>
      </c>
      <c r="S217" s="42" t="n">
        <f aca="false">R217/$K$2</f>
        <v>182.317427366718</v>
      </c>
      <c r="T217" s="43" t="n">
        <f aca="false">S217-$M$2</f>
        <v>13.8497568618463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-0.03125</v>
      </c>
      <c r="C218" s="25" t="n">
        <f aca="false">IF(T217&gt;0,D217,C217)</f>
        <v>0.015625</v>
      </c>
      <c r="D218" s="41" t="n">
        <f aca="false">(B218+C218)/2</f>
        <v>-0.0078125</v>
      </c>
      <c r="E218" s="15" t="n">
        <f aca="false">$C$2*(1+IF(E$3&lt;=$O$2,$D218,$D218-($D218-$I$211)*MIN(E$3-$O$2,$Q$2)/$Q$2))</f>
        <v>7421.5625</v>
      </c>
      <c r="F218" s="15" t="n">
        <f aca="false">E218*(1+IF(F$3&lt;=$O$2,$D218,$D218-($D218-$I$211)*MIN(F$3-$O$2,$Q$2)/$Q$2))</f>
        <v>7363.58154296875</v>
      </c>
      <c r="G218" s="15" t="n">
        <f aca="false">F218*(1+IF(G$3&lt;=$O$2,$D218,$D218-($D218-$I$211)*MIN(G$3-$O$2,$Q$2)/$Q$2))</f>
        <v>7306.05356216431</v>
      </c>
      <c r="H218" s="15" t="n">
        <f aca="false">G218*(1+IF(H$3&lt;=$O$2,$D218,$D218-($D218-$I$211)*MIN(H$3-$O$2,$Q$2)/$Q$2))</f>
        <v>7248.9750187099</v>
      </c>
      <c r="I218" s="15" t="n">
        <f aca="false">H218*(1+IF(I$3&lt;=$O$2,$D218,$D218-($D218-$I$211)*MIN(I$3-$O$2,$Q$2)/$Q$2))</f>
        <v>7192.34240137623</v>
      </c>
      <c r="J218" s="15" t="n">
        <f aca="false">I218*(1+IF(J$3&lt;=$O$2,$D218,$D218-($D218-$I$211)*MIN(J$3-$O$2,$Q$2)/$Q$2))</f>
        <v>7180.90657695804</v>
      </c>
      <c r="K218" s="15" t="n">
        <f aca="false">J218*(1+IF(K$3&lt;=$O$2,$D218,$D218-($D218-$I$211)*MIN(K$3-$O$2,$Q$2)/$Q$2))</f>
        <v>7214.1721266758</v>
      </c>
      <c r="L218" s="15" t="n">
        <f aca="false">K218*(1+IF(L$3&lt;=$O$2,$D218,$D218-($D218-$I$211)*MIN(L$3-$O$2,$Q$2)/$Q$2))</f>
        <v>7292.48196511086</v>
      </c>
      <c r="M218" s="15" t="n">
        <f aca="false">L218*(1+IF(M$3&lt;=$O$2,$D218,$D218-($D218-$I$211)*MIN(M$3-$O$2,$Q$2)/$Q$2))</f>
        <v>7417.01932587005</v>
      </c>
      <c r="N218" s="15" t="n">
        <f aca="false">M218*(1+IF(N$3&lt;=$O$2,$D218,$D218-($D218-$I$211)*MIN(N$3-$O$2,$Q$2)/$Q$2))</f>
        <v>7589.83587616282</v>
      </c>
      <c r="O218" s="15" t="n">
        <f aca="false">SUMPRODUCT(E218:N218,1/(1+$F$211)^$E$3:$N$3)*$E$2</f>
        <v>8552.46486904765</v>
      </c>
      <c r="P218" s="15" t="n">
        <f aca="false">N218*$E$2*(1+$I$211)/($F$211-$I$211)/(1+$F$211)^$N$3</f>
        <v>12079.6438389797</v>
      </c>
      <c r="Q218" s="15" t="n">
        <f aca="false">O218+P218</f>
        <v>20632.1087080274</v>
      </c>
      <c r="R218" s="15" t="n">
        <f aca="false">Q218-$G$2+$I$2</f>
        <v>17515.9087080274</v>
      </c>
      <c r="S218" s="42" t="n">
        <f aca="false">R218/$K$2</f>
        <v>155.145338423626</v>
      </c>
      <c r="T218" s="43" t="n">
        <f aca="false">S218-$M$2</f>
        <v>-13.3223320812457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-0.0078125</v>
      </c>
      <c r="C219" s="25" t="n">
        <f aca="false">IF(T218&gt;0,D218,C218)</f>
        <v>0.015625</v>
      </c>
      <c r="D219" s="41" t="n">
        <f aca="false">(B219+C219)/2</f>
        <v>0.00390625</v>
      </c>
      <c r="E219" s="15" t="n">
        <f aca="false">$C$2*(1+IF(E$3&lt;=$O$2,$D219,$D219-($D219-$I$211)*MIN(E$3-$O$2,$Q$2)/$Q$2))</f>
        <v>7509.21875</v>
      </c>
      <c r="F219" s="15" t="n">
        <f aca="false">E219*(1+IF(F$3&lt;=$O$2,$D219,$D219-($D219-$I$211)*MIN(F$3-$O$2,$Q$2)/$Q$2))</f>
        <v>7538.55163574219</v>
      </c>
      <c r="G219" s="15" t="n">
        <f aca="false">F219*(1+IF(G$3&lt;=$O$2,$D219,$D219-($D219-$I$211)*MIN(G$3-$O$2,$Q$2)/$Q$2))</f>
        <v>7567.99910306931</v>
      </c>
      <c r="H219" s="15" t="n">
        <f aca="false">G219*(1+IF(H$3&lt;=$O$2,$D219,$D219-($D219-$I$211)*MIN(H$3-$O$2,$Q$2)/$Q$2))</f>
        <v>7597.56159956567</v>
      </c>
      <c r="I219" s="15" t="n">
        <f aca="false">H219*(1+IF(I$3&lt;=$O$2,$D219,$D219-($D219-$I$211)*MIN(I$3-$O$2,$Q$2)/$Q$2))</f>
        <v>7627.23957456397</v>
      </c>
      <c r="J219" s="15" t="n">
        <f aca="false">I219*(1+IF(J$3&lt;=$O$2,$D219,$D219-($D219-$I$211)*MIN(J$3-$O$2,$Q$2)/$Q$2))</f>
        <v>7686.61763465195</v>
      </c>
      <c r="K219" s="15" t="n">
        <f aca="false">J219*(1+IF(K$3&lt;=$O$2,$D219,$D219-($D219-$I$211)*MIN(K$3-$O$2,$Q$2)/$Q$2))</f>
        <v>7776.27242108813</v>
      </c>
      <c r="L219" s="15" t="n">
        <f aca="false">K219*(1+IF(L$3&lt;=$O$2,$D219,$D219-($D219-$I$211)*MIN(L$3-$O$2,$Q$2)/$Q$2))</f>
        <v>7897.13513519289</v>
      </c>
      <c r="M219" s="15" t="n">
        <f aca="false">L219*(1+IF(M$3&lt;=$O$2,$D219,$D219-($D219-$I$211)*MIN(M$3-$O$2,$Q$2)/$Q$2))</f>
        <v>8050.50737093725</v>
      </c>
      <c r="N219" s="15" t="n">
        <f aca="false">M219*(1+IF(N$3&lt;=$O$2,$D219,$D219-($D219-$I$211)*MIN(N$3-$O$2,$Q$2)/$Q$2))</f>
        <v>8238.08419268009</v>
      </c>
      <c r="O219" s="15" t="n">
        <f aca="false">SUMPRODUCT(E219:N219,1/(1+$F$211)^$E$3:$N$3)*$E$2</f>
        <v>9004.35692980251</v>
      </c>
      <c r="P219" s="15" t="n">
        <f aca="false">N219*$E$2*(1+$I$211)/($F$211-$I$211)/(1+$F$211)^$N$3</f>
        <v>13111.3669105339</v>
      </c>
      <c r="Q219" s="15" t="n">
        <f aca="false">O219+P219</f>
        <v>22115.7238403364</v>
      </c>
      <c r="R219" s="15" t="n">
        <f aca="false">Q219-$G$2+$I$2</f>
        <v>18999.5238403364</v>
      </c>
      <c r="S219" s="42" t="n">
        <f aca="false">R219/$K$2</f>
        <v>168.286305051695</v>
      </c>
      <c r="T219" s="43" t="n">
        <f aca="false">S219-$M$2</f>
        <v>-0.181365453176142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0.00390625</v>
      </c>
      <c r="C220" s="25" t="n">
        <f aca="false">IF(T219&gt;0,D219,C219)</f>
        <v>0.015625</v>
      </c>
      <c r="D220" s="41" t="n">
        <f aca="false">(B220+C220)/2</f>
        <v>0.009765625</v>
      </c>
      <c r="E220" s="15" t="n">
        <f aca="false">$C$2*(1+IF(E$3&lt;=$O$2,$D220,$D220-($D220-$I$211)*MIN(E$3-$O$2,$Q$2)/$Q$2))</f>
        <v>7553.046875</v>
      </c>
      <c r="F220" s="15" t="n">
        <f aca="false">E220*(1+IF(F$3&lt;=$O$2,$D220,$D220-($D220-$I$211)*MIN(F$3-$O$2,$Q$2)/$Q$2))</f>
        <v>7626.80709838867</v>
      </c>
      <c r="G220" s="15" t="n">
        <f aca="false">F220*(1+IF(G$3&lt;=$O$2,$D220,$D220-($D220-$I$211)*MIN(G$3-$O$2,$Q$2)/$Q$2))</f>
        <v>7701.28763645887</v>
      </c>
      <c r="H220" s="15" t="n">
        <f aca="false">G220*(1+IF(H$3&lt;=$O$2,$D220,$D220-($D220-$I$211)*MIN(H$3-$O$2,$Q$2)/$Q$2))</f>
        <v>7776.49552353367</v>
      </c>
      <c r="I220" s="15" t="n">
        <f aca="false">H220*(1+IF(I$3&lt;=$O$2,$D220,$D220-($D220-$I$211)*MIN(I$3-$O$2,$Q$2)/$Q$2))</f>
        <v>7852.43786263068</v>
      </c>
      <c r="J220" s="15" t="n">
        <f aca="false">I220*(1+IF(J$3&lt;=$O$2,$D220,$D220-($D220-$I$211)*MIN(J$3-$O$2,$Q$2)/$Q$2))</f>
        <v>7950.37739387234</v>
      </c>
      <c r="K220" s="15" t="n">
        <f aca="false">J220*(1+IF(K$3&lt;=$O$2,$D220,$D220-($D220-$I$211)*MIN(K$3-$O$2,$Q$2)/$Q$2))</f>
        <v>8071.05915372545</v>
      </c>
      <c r="L220" s="15" t="n">
        <f aca="false">K220*(1+IF(L$3&lt;=$O$2,$D220,$D220-($D220-$I$211)*MIN(L$3-$O$2,$Q$2)/$Q$2))</f>
        <v>8215.42013551377</v>
      </c>
      <c r="M220" s="15" t="n">
        <f aca="false">L220*(1+IF(M$3&lt;=$O$2,$D220,$D220-($D220-$I$211)*MIN(M$3-$O$2,$Q$2)/$Q$2))</f>
        <v>8384.60130929192</v>
      </c>
      <c r="N220" s="15" t="n">
        <f aca="false">M220*(1+IF(N$3&lt;=$O$2,$D220,$D220-($D220-$I$211)*MIN(N$3-$O$2,$Q$2)/$Q$2))</f>
        <v>8579.96251979843</v>
      </c>
      <c r="O220" s="15" t="n">
        <f aca="false">SUMPRODUCT(E220:N220,1/(1+$F$211)^$E$3:$N$3)*$E$2</f>
        <v>9239.36503881518</v>
      </c>
      <c r="P220" s="15" t="n">
        <f aca="false">N220*$E$2*(1+$I$211)/($F$211-$I$211)/(1+$F$211)^$N$3</f>
        <v>13655.485188615</v>
      </c>
      <c r="Q220" s="15" t="n">
        <f aca="false">O220+P220</f>
        <v>22894.8502274302</v>
      </c>
      <c r="R220" s="15" t="n">
        <f aca="false">Q220-$G$2+$I$2</f>
        <v>19778.6502274302</v>
      </c>
      <c r="S220" s="42" t="n">
        <f aca="false">R220/$K$2</f>
        <v>175.187335938265</v>
      </c>
      <c r="T220" s="43" t="n">
        <f aca="false">S220-$M$2</f>
        <v>6.71966543339374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0.00390625</v>
      </c>
      <c r="C221" s="25" t="n">
        <f aca="false">IF(T220&gt;0,D220,C220)</f>
        <v>0.009765625</v>
      </c>
      <c r="D221" s="41" t="n">
        <f aca="false">(B221+C221)/2</f>
        <v>0.0068359375</v>
      </c>
      <c r="E221" s="15" t="n">
        <f aca="false">$C$2*(1+IF(E$3&lt;=$O$2,$D221,$D221-($D221-$I$211)*MIN(E$3-$O$2,$Q$2)/$Q$2))</f>
        <v>7531.1328125</v>
      </c>
      <c r="F221" s="15" t="n">
        <f aca="false">E221*(1+IF(F$3&lt;=$O$2,$D221,$D221-($D221-$I$211)*MIN(F$3-$O$2,$Q$2)/$Q$2))</f>
        <v>7582.61516571045</v>
      </c>
      <c r="G221" s="15" t="n">
        <f aca="false">F221*(1+IF(G$3&lt;=$O$2,$D221,$D221-($D221-$I$211)*MIN(G$3-$O$2,$Q$2)/$Q$2))</f>
        <v>7634.4494490698</v>
      </c>
      <c r="H221" s="15" t="n">
        <f aca="false">G221*(1+IF(H$3&lt;=$O$2,$D221,$D221-($D221-$I$211)*MIN(H$3-$O$2,$Q$2)/$Q$2))</f>
        <v>7686.63806835055</v>
      </c>
      <c r="I221" s="15" t="n">
        <f aca="false">H221*(1+IF(I$3&lt;=$O$2,$D221,$D221-($D221-$I$211)*MIN(I$3-$O$2,$Q$2)/$Q$2))</f>
        <v>7739.18344577091</v>
      </c>
      <c r="J221" s="15" t="n">
        <f aca="false">I221*(1+IF(J$3&lt;=$O$2,$D221,$D221-($D221-$I$211)*MIN(J$3-$O$2,$Q$2)/$Q$2))</f>
        <v>7817.57170009727</v>
      </c>
      <c r="K221" s="15" t="n">
        <f aca="false">J221*(1+IF(K$3&lt;=$O$2,$D221,$D221-($D221-$I$211)*MIN(K$3-$O$2,$Q$2)/$Q$2))</f>
        <v>7922.49572726835</v>
      </c>
      <c r="L221" s="15" t="n">
        <f aca="false">K221*(1+IF(L$3&lt;=$O$2,$D221,$D221-($D221-$I$211)*MIN(L$3-$O$2,$Q$2)/$Q$2))</f>
        <v>8054.91529178982</v>
      </c>
      <c r="M221" s="15" t="n">
        <f aca="false">L221*(1+IF(M$3&lt;=$O$2,$D221,$D221-($D221-$I$211)*MIN(M$3-$O$2,$Q$2)/$Q$2))</f>
        <v>8216.07149232927</v>
      </c>
      <c r="N221" s="15" t="n">
        <f aca="false">M221*(1+IF(N$3&lt;=$O$2,$D221,$D221-($D221-$I$211)*MIN(N$3-$O$2,$Q$2)/$Q$2))</f>
        <v>8407.50595810054</v>
      </c>
      <c r="O221" s="15" t="n">
        <f aca="false">SUMPRODUCT(E221:N221,1/(1+$F$211)^$E$3:$N$3)*$E$2</f>
        <v>9121.09011981742</v>
      </c>
      <c r="P221" s="15" t="n">
        <f aca="false">N221*$E$2*(1+$I$211)/($F$211-$I$211)/(1+$F$211)^$N$3</f>
        <v>13381.0110264598</v>
      </c>
      <c r="Q221" s="15" t="n">
        <f aca="false">O221+P221</f>
        <v>22502.1011462772</v>
      </c>
      <c r="R221" s="15" t="n">
        <f aca="false">Q221-$G$2+$I$2</f>
        <v>19385.9011462772</v>
      </c>
      <c r="S221" s="42" t="n">
        <f aca="false">R221/$K$2</f>
        <v>171.708601827079</v>
      </c>
      <c r="T221" s="43" t="n">
        <f aca="false">S221-$M$2</f>
        <v>3.24093132220696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0.00390625</v>
      </c>
      <c r="C222" s="25" t="n">
        <f aca="false">IF(T221&gt;0,D221,C221)</f>
        <v>0.0068359375</v>
      </c>
      <c r="D222" s="41" t="n">
        <f aca="false">(B222+C222)/2</f>
        <v>0.00537109375</v>
      </c>
      <c r="E222" s="15" t="n">
        <f aca="false">$C$2*(1+IF(E$3&lt;=$O$2,$D222,$D222-($D222-$I$211)*MIN(E$3-$O$2,$Q$2)/$Q$2))</f>
        <v>7520.17578125</v>
      </c>
      <c r="F222" s="15" t="n">
        <f aca="false">E222*(1+IF(F$3&lt;=$O$2,$D222,$D222-($D222-$I$211)*MIN(F$3-$O$2,$Q$2)/$Q$2))</f>
        <v>7560.56735038757</v>
      </c>
      <c r="G222" s="15" t="n">
        <f aca="false">F222*(1+IF(G$3&lt;=$O$2,$D222,$D222-($D222-$I$211)*MIN(G$3-$O$2,$Q$2)/$Q$2))</f>
        <v>7601.17586642969</v>
      </c>
      <c r="H222" s="15" t="n">
        <f aca="false">G222*(1+IF(H$3&lt;=$O$2,$D222,$D222-($D222-$I$211)*MIN(H$3-$O$2,$Q$2)/$Q$2))</f>
        <v>7642.00249461853</v>
      </c>
      <c r="I222" s="15" t="n">
        <f aca="false">H222*(1+IF(I$3&lt;=$O$2,$D222,$D222-($D222-$I$211)*MIN(I$3-$O$2,$Q$2)/$Q$2))</f>
        <v>7683.04840645486</v>
      </c>
      <c r="J222" s="15" t="n">
        <f aca="false">I222*(1+IF(J$3&lt;=$O$2,$D222,$D222-($D222-$I$211)*MIN(J$3-$O$2,$Q$2)/$Q$2))</f>
        <v>7751.86451065042</v>
      </c>
      <c r="K222" s="15" t="n">
        <f aca="false">J222*(1+IF(K$3&lt;=$O$2,$D222,$D222-($D222-$I$211)*MIN(K$3-$O$2,$Q$2)/$Q$2))</f>
        <v>7849.09348250408</v>
      </c>
      <c r="L222" s="15" t="n">
        <f aca="false">K222*(1+IF(L$3&lt;=$O$2,$D222,$D222-($D222-$I$211)*MIN(L$3-$O$2,$Q$2)/$Q$2))</f>
        <v>7975.68709616831</v>
      </c>
      <c r="M222" s="15" t="n">
        <f aca="false">L222*(1+IF(M$3&lt;=$O$2,$D222,$D222-($D222-$I$211)*MIN(M$3-$O$2,$Q$2)/$Q$2))</f>
        <v>8132.92153626372</v>
      </c>
      <c r="N222" s="15" t="n">
        <f aca="false">M222*(1+IF(N$3&lt;=$O$2,$D222,$D222-($D222-$I$211)*MIN(N$3-$O$2,$Q$2)/$Q$2))</f>
        <v>8322.41860805867</v>
      </c>
      <c r="O222" s="15" t="n">
        <f aca="false">SUMPRODUCT(E222:N222,1/(1+$F$211)^$E$3:$N$3)*$E$2</f>
        <v>9062.53199987688</v>
      </c>
      <c r="P222" s="15" t="n">
        <f aca="false">N222*$E$2*(1+$I$211)/($F$211-$I$211)/(1+$F$211)^$N$3</f>
        <v>13245.5897999038</v>
      </c>
      <c r="Q222" s="15" t="n">
        <f aca="false">O222+P222</f>
        <v>22308.1217997807</v>
      </c>
      <c r="R222" s="15" t="n">
        <f aca="false">Q222-$G$2+$I$2</f>
        <v>19191.9217997807</v>
      </c>
      <c r="S222" s="42" t="n">
        <f aca="false">R222/$K$2</f>
        <v>169.99044995377</v>
      </c>
      <c r="T222" s="43" t="n">
        <f aca="false">S222-$M$2</f>
        <v>1.52277944889863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0.00390625</v>
      </c>
      <c r="C223" s="25" t="n">
        <f aca="false">IF(T222&gt;0,D222,C222)</f>
        <v>0.00537109375</v>
      </c>
      <c r="D223" s="41" t="n">
        <f aca="false">(B223+C223)/2</f>
        <v>0.004638671875</v>
      </c>
      <c r="E223" s="15" t="n">
        <f aca="false">$C$2*(1+IF(E$3&lt;=$O$2,$D223,$D223-($D223-$I$211)*MIN(E$3-$O$2,$Q$2)/$Q$2))</f>
        <v>7514.697265625</v>
      </c>
      <c r="F223" s="15" t="n">
        <f aca="false">E223*(1+IF(F$3&lt;=$O$2,$D223,$D223-($D223-$I$211)*MIN(F$3-$O$2,$Q$2)/$Q$2))</f>
        <v>7549.55548048019</v>
      </c>
      <c r="G223" s="15" t="n">
        <f aca="false">F223*(1+IF(G$3&lt;=$O$2,$D223,$D223-($D223-$I$211)*MIN(G$3-$O$2,$Q$2)/$Q$2))</f>
        <v>7584.57539115625</v>
      </c>
      <c r="H223" s="15" t="n">
        <f aca="false">G223*(1+IF(H$3&lt;=$O$2,$D223,$D223-($D223-$I$211)*MIN(H$3-$O$2,$Q$2)/$Q$2))</f>
        <v>7619.75774770702</v>
      </c>
      <c r="I223" s="15" t="n">
        <f aca="false">H223*(1+IF(I$3&lt;=$O$2,$D223,$D223-($D223-$I$211)*MIN(I$3-$O$2,$Q$2)/$Q$2))</f>
        <v>7655.10330366563</v>
      </c>
      <c r="J223" s="15" t="n">
        <f aca="false">I223*(1+IF(J$3&lt;=$O$2,$D223,$D223-($D223-$I$211)*MIN(J$3-$O$2,$Q$2)/$Q$2))</f>
        <v>7719.18369497666</v>
      </c>
      <c r="K223" s="15" t="n">
        <f aca="false">J223*(1+IF(K$3&lt;=$O$2,$D223,$D223-($D223-$I$211)*MIN(K$3-$O$2,$Q$2)/$Q$2))</f>
        <v>7812.61054319614</v>
      </c>
      <c r="L223" s="15" t="n">
        <f aca="false">K223*(1+IF(L$3&lt;=$O$2,$D223,$D223-($D223-$I$211)*MIN(L$3-$O$2,$Q$2)/$Q$2))</f>
        <v>7936.32689330885</v>
      </c>
      <c r="M223" s="15" t="n">
        <f aca="false">L223*(1+IF(M$3&lt;=$O$2,$D223,$D223-($D223-$I$211)*MIN(M$3-$O$2,$Q$2)/$Q$2))</f>
        <v>8091.62282987028</v>
      </c>
      <c r="N223" s="15" t="n">
        <f aca="false">M223*(1+IF(N$3&lt;=$O$2,$D223,$D223-($D223-$I$211)*MIN(N$3-$O$2,$Q$2)/$Q$2))</f>
        <v>8280.15764180626</v>
      </c>
      <c r="O223" s="15" t="n">
        <f aca="false">SUMPRODUCT(E223:N223,1/(1+$F$211)^$E$3:$N$3)*$E$2</f>
        <v>9033.39673180256</v>
      </c>
      <c r="P223" s="15" t="n">
        <f aca="false">N223*$E$2*(1+$I$211)/($F$211-$I$211)/(1+$F$211)^$N$3</f>
        <v>13178.3291332768</v>
      </c>
      <c r="Q223" s="15" t="n">
        <f aca="false">O223+P223</f>
        <v>22211.7258650793</v>
      </c>
      <c r="R223" s="15" t="n">
        <f aca="false">Q223-$G$2+$I$2</f>
        <v>19095.5258650793</v>
      </c>
      <c r="S223" s="42" t="n">
        <f aca="false">R223/$K$2</f>
        <v>169.136632994503</v>
      </c>
      <c r="T223" s="43" t="n">
        <f aca="false">S223-$M$2</f>
        <v>0.668962489631014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0.00390625</v>
      </c>
      <c r="C224" s="25" t="n">
        <f aca="false">IF(T223&gt;0,D223,C223)</f>
        <v>0.004638671875</v>
      </c>
      <c r="D224" s="41" t="n">
        <f aca="false">(B224+C224)/2</f>
        <v>0.0042724609375</v>
      </c>
      <c r="E224" s="15" t="n">
        <f aca="false">$C$2*(1+IF(E$3&lt;=$O$2,$D224,$D224-($D224-$I$211)*MIN(E$3-$O$2,$Q$2)/$Q$2))</f>
        <v>7511.9580078125</v>
      </c>
      <c r="F224" s="15" t="n">
        <f aca="false">E224*(1+IF(F$3&lt;=$O$2,$D224,$D224-($D224-$I$211)*MIN(F$3-$O$2,$Q$2)/$Q$2))</f>
        <v>7544.05255496502</v>
      </c>
      <c r="G224" s="15" t="n">
        <f aca="false">F224*(1+IF(G$3&lt;=$O$2,$D224,$D224-($D224-$I$211)*MIN(G$3-$O$2,$Q$2)/$Q$2))</f>
        <v>7576.28422481655</v>
      </c>
      <c r="H224" s="15" t="n">
        <f aca="false">G224*(1+IF(H$3&lt;=$O$2,$D224,$D224-($D224-$I$211)*MIN(H$3-$O$2,$Q$2)/$Q$2))</f>
        <v>7608.65360321848</v>
      </c>
      <c r="I224" s="15" t="n">
        <f aca="false">H224*(1+IF(I$3&lt;=$O$2,$D224,$D224-($D224-$I$211)*MIN(I$3-$O$2,$Q$2)/$Q$2))</f>
        <v>7641.1612785252</v>
      </c>
      <c r="J224" s="15" t="n">
        <f aca="false">I224*(1+IF(J$3&lt;=$O$2,$D224,$D224-($D224-$I$211)*MIN(J$3-$O$2,$Q$2)/$Q$2))</f>
        <v>7702.88634054684</v>
      </c>
      <c r="K224" s="15" t="n">
        <f aca="false">J224*(1+IF(K$3&lt;=$O$2,$D224,$D224-($D224-$I$211)*MIN(K$3-$O$2,$Q$2)/$Q$2))</f>
        <v>7794.42340983833</v>
      </c>
      <c r="L224" s="15" t="n">
        <f aca="false">K224*(1+IF(L$3&lt;=$O$2,$D224,$D224-($D224-$I$211)*MIN(L$3-$O$2,$Q$2)/$Q$2))</f>
        <v>7916.70999692742</v>
      </c>
      <c r="M224" s="15" t="n">
        <f aca="false">L224*(1+IF(M$3&lt;=$O$2,$D224,$D224-($D224-$I$211)*MIN(M$3-$O$2,$Q$2)/$Q$2))</f>
        <v>8071.04223811322</v>
      </c>
      <c r="N224" s="15" t="n">
        <f aca="false">M224*(1+IF(N$3&lt;=$O$2,$D224,$D224-($D224-$I$211)*MIN(N$3-$O$2,$Q$2)/$Q$2))</f>
        <v>8259.09752226126</v>
      </c>
      <c r="O224" s="15" t="n">
        <f aca="false">SUMPRODUCT(E224:N224,1/(1+$F$211)^$E$3:$N$3)*$E$2</f>
        <v>9018.864916024</v>
      </c>
      <c r="P224" s="15" t="n">
        <f aca="false">N224*$E$2*(1+$I$211)/($F$211-$I$211)/(1+$F$211)^$N$3</f>
        <v>13144.8107874969</v>
      </c>
      <c r="Q224" s="15" t="n">
        <f aca="false">O224+P224</f>
        <v>22163.6757035209</v>
      </c>
      <c r="R224" s="15" t="n">
        <f aca="false">Q224-$G$2+$I$2</f>
        <v>19047.4757035209</v>
      </c>
      <c r="S224" s="42" t="n">
        <f aca="false">R224/$K$2</f>
        <v>168.71103368929</v>
      </c>
      <c r="T224" s="43" t="n">
        <f aca="false">S224-$M$2</f>
        <v>0.24336318441874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0.00390625</v>
      </c>
      <c r="C225" s="25" t="n">
        <f aca="false">IF(T224&gt;0,D224,C224)</f>
        <v>0.0042724609375</v>
      </c>
      <c r="D225" s="41" t="n">
        <f aca="false">(B225+C225)/2</f>
        <v>0.00408935546875</v>
      </c>
      <c r="E225" s="15" t="n">
        <f aca="false">$C$2*(1+IF(E$3&lt;=$O$2,$D225,$D225-($D225-$I$211)*MIN(E$3-$O$2,$Q$2)/$Q$2))</f>
        <v>7510.58837890625</v>
      </c>
      <c r="F225" s="15" t="n">
        <f aca="false">E225*(1+IF(F$3&lt;=$O$2,$D225,$D225-($D225-$I$211)*MIN(F$3-$O$2,$Q$2)/$Q$2))</f>
        <v>7541.30184456706</v>
      </c>
      <c r="G225" s="15" t="n">
        <f aca="false">F225*(1+IF(G$3&lt;=$O$2,$D225,$D225-($D225-$I$211)*MIN(G$3-$O$2,$Q$2)/$Q$2))</f>
        <v>7572.14090850664</v>
      </c>
      <c r="H225" s="15" t="n">
        <f aca="false">G225*(1+IF(H$3&lt;=$O$2,$D225,$D225-($D225-$I$211)*MIN(H$3-$O$2,$Q$2)/$Q$2))</f>
        <v>7603.10608434098</v>
      </c>
      <c r="I225" s="15" t="n">
        <f aca="false">H225*(1+IF(I$3&lt;=$O$2,$D225,$D225-($D225-$I$211)*MIN(I$3-$O$2,$Q$2)/$Q$2))</f>
        <v>7634.19788778647</v>
      </c>
      <c r="J225" s="15" t="n">
        <f aca="false">I225*(1+IF(J$3&lt;=$O$2,$D225,$D225-($D225-$I$211)*MIN(J$3-$O$2,$Q$2)/$Q$2))</f>
        <v>7694.74840904911</v>
      </c>
      <c r="K225" s="15" t="n">
        <f aca="false">J225*(1+IF(K$3&lt;=$O$2,$D225,$D225-($D225-$I$211)*MIN(K$3-$O$2,$Q$2)/$Q$2))</f>
        <v>7785.34340111376</v>
      </c>
      <c r="L225" s="15" t="n">
        <f aca="false">K225*(1+IF(L$3&lt;=$O$2,$D225,$D225-($D225-$I$211)*MIN(L$3-$O$2,$Q$2)/$Q$2))</f>
        <v>7906.91731650671</v>
      </c>
      <c r="M225" s="15" t="n">
        <f aca="false">L225*(1+IF(M$3&lt;=$O$2,$D225,$D225-($D225-$I$211)*MIN(M$3-$O$2,$Q$2)/$Q$2))</f>
        <v>8060.76909440024</v>
      </c>
      <c r="N225" s="15" t="n">
        <f aca="false">M225*(1+IF(N$3&lt;=$O$2,$D225,$D225-($D225-$I$211)*MIN(N$3-$O$2,$Q$2)/$Q$2))</f>
        <v>8248.58501429976</v>
      </c>
      <c r="O225" s="15" t="n">
        <f aca="false">SUMPRODUCT(E225:N225,1/(1+$F$211)^$E$3:$N$3)*$E$2</f>
        <v>9011.60794652598</v>
      </c>
      <c r="P225" s="15" t="n">
        <f aca="false">N225*$E$2*(1+$I$211)/($F$211-$I$211)/(1+$F$211)^$N$3</f>
        <v>13128.0795492855</v>
      </c>
      <c r="Q225" s="15" t="n">
        <f aca="false">O225+P225</f>
        <v>22139.6874958115</v>
      </c>
      <c r="R225" s="15" t="n">
        <f aca="false">Q225-$G$2+$I$2</f>
        <v>19023.4874958115</v>
      </c>
      <c r="S225" s="42" t="n">
        <f aca="false">R225/$K$2</f>
        <v>168.498560636063</v>
      </c>
      <c r="T225" s="43" t="n">
        <f aca="false">S225-$M$2</f>
        <v>0.030890131191228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0.00390625</v>
      </c>
      <c r="C226" s="25" t="n">
        <f aca="false">IF(T225&gt;0,D225,C225)</f>
        <v>0.00408935546875</v>
      </c>
      <c r="D226" s="41" t="n">
        <f aca="false">(B226+C226)/2</f>
        <v>0.003997802734375</v>
      </c>
      <c r="E226" s="15" t="n">
        <f aca="false">$C$2*(1+IF(E$3&lt;=$O$2,$D226,$D226-($D226-$I$211)*MIN(E$3-$O$2,$Q$2)/$Q$2))</f>
        <v>7509.90356445313</v>
      </c>
      <c r="F226" s="15" t="n">
        <f aca="false">E226*(1+IF(F$3&lt;=$O$2,$D226,$D226-($D226-$I$211)*MIN(F$3-$O$2,$Q$2)/$Q$2))</f>
        <v>7539.92667745799</v>
      </c>
      <c r="G226" s="15" t="n">
        <f aca="false">F226*(1+IF(G$3&lt;=$O$2,$D226,$D226-($D226-$I$211)*MIN(G$3-$O$2,$Q$2)/$Q$2))</f>
        <v>7570.06981694612</v>
      </c>
      <c r="H226" s="15" t="n">
        <f aca="false">G226*(1+IF(H$3&lt;=$O$2,$D226,$D226-($D226-$I$211)*MIN(H$3-$O$2,$Q$2)/$Q$2))</f>
        <v>7600.33346275971</v>
      </c>
      <c r="I226" s="15" t="n">
        <f aca="false">H226*(1+IF(I$3&lt;=$O$2,$D226,$D226-($D226-$I$211)*MIN(I$3-$O$2,$Q$2)/$Q$2))</f>
        <v>7630.7180966593</v>
      </c>
      <c r="J226" s="15" t="n">
        <f aca="false">I226*(1+IF(J$3&lt;=$O$2,$D226,$D226-($D226-$I$211)*MIN(J$3-$O$2,$Q$2)/$Q$2))</f>
        <v>7690.68212752738</v>
      </c>
      <c r="K226" s="15" t="n">
        <f aca="false">J226*(1+IF(K$3&lt;=$O$2,$D226,$D226-($D226-$I$211)*MIN(K$3-$O$2,$Q$2)/$Q$2))</f>
        <v>7780.80678297912</v>
      </c>
      <c r="L226" s="15" t="n">
        <f aca="false">K226*(1+IF(L$3&lt;=$O$2,$D226,$D226-($D226-$I$211)*MIN(L$3-$O$2,$Q$2)/$Q$2))</f>
        <v>7902.02491405822</v>
      </c>
      <c r="M226" s="15" t="n">
        <f aca="false">L226*(1+IF(M$3&lt;=$O$2,$D226,$D226-($D226-$I$211)*MIN(M$3-$O$2,$Q$2)/$Q$2))</f>
        <v>8055.63680581797</v>
      </c>
      <c r="N226" s="15" t="n">
        <f aca="false">M226*(1+IF(N$3&lt;=$O$2,$D226,$D226-($D226-$I$211)*MIN(N$3-$O$2,$Q$2)/$Q$2))</f>
        <v>8243.33314339353</v>
      </c>
      <c r="O226" s="15" t="n">
        <f aca="false">SUMPRODUCT(E226:N226,1/(1+$F$211)^$E$3:$N$3)*$E$2</f>
        <v>9007.98169435568</v>
      </c>
      <c r="P226" s="15" t="n">
        <f aca="false">N226*$E$2*(1+$I$211)/($F$211-$I$211)/(1+$F$211)^$N$3</f>
        <v>13119.7209060855</v>
      </c>
      <c r="Q226" s="15" t="n">
        <f aca="false">O226+P226</f>
        <v>22127.7026004412</v>
      </c>
      <c r="R226" s="15" t="n">
        <f aca="false">Q226-$G$2+$I$2</f>
        <v>19011.5026004412</v>
      </c>
      <c r="S226" s="42" t="n">
        <f aca="false">R226/$K$2</f>
        <v>168.392405672641</v>
      </c>
      <c r="T226" s="43" t="n">
        <f aca="false">S226-$M$2</f>
        <v>-0.0752648322306584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0.003997802734375</v>
      </c>
      <c r="C227" s="25" t="n">
        <f aca="false">IF(T226&gt;0,D226,C226)</f>
        <v>0.00408935546875</v>
      </c>
      <c r="D227" s="41" t="n">
        <f aca="false">(B227+C227)/2</f>
        <v>0.0040435791015625</v>
      </c>
      <c r="E227" s="15" t="n">
        <f aca="false">$C$2*(1+IF(E$3&lt;=$O$2,$D227,$D227-($D227-$I$211)*MIN(E$3-$O$2,$Q$2)/$Q$2))</f>
        <v>7510.24597167969</v>
      </c>
      <c r="F227" s="15" t="n">
        <f aca="false">E227*(1+IF(F$3&lt;=$O$2,$D227,$D227-($D227-$I$211)*MIN(F$3-$O$2,$Q$2)/$Q$2))</f>
        <v>7540.61424533837</v>
      </c>
      <c r="G227" s="15" t="n">
        <f aca="false">F227*(1+IF(G$3&lt;=$O$2,$D227,$D227-($D227-$I$211)*MIN(G$3-$O$2,$Q$2)/$Q$2))</f>
        <v>7571.10531551376</v>
      </c>
      <c r="H227" s="15" t="n">
        <f aca="false">G227*(1+IF(H$3&lt;=$O$2,$D227,$D227-($D227-$I$211)*MIN(H$3-$O$2,$Q$2)/$Q$2))</f>
        <v>7601.7196787433</v>
      </c>
      <c r="I227" s="15" t="n">
        <f aca="false">H227*(1+IF(I$3&lt;=$O$2,$D227,$D227-($D227-$I$211)*MIN(I$3-$O$2,$Q$2)/$Q$2))</f>
        <v>7632.4578335722</v>
      </c>
      <c r="J227" s="15" t="n">
        <f aca="false">I227*(1+IF(J$3&lt;=$O$2,$D227,$D227-($D227-$I$211)*MIN(J$3-$O$2,$Q$2)/$Q$2))</f>
        <v>7692.71504466816</v>
      </c>
      <c r="K227" s="15" t="n">
        <f aca="false">J227*(1+IF(K$3&lt;=$O$2,$D227,$D227-($D227-$I$211)*MIN(K$3-$O$2,$Q$2)/$Q$2))</f>
        <v>7783.07480995781</v>
      </c>
      <c r="L227" s="15" t="n">
        <f aca="false">K227*(1+IF(L$3&lt;=$O$2,$D227,$D227-($D227-$I$211)*MIN(L$3-$O$2,$Q$2)/$Q$2))</f>
        <v>7904.47078725999</v>
      </c>
      <c r="M227" s="15" t="n">
        <f aca="false">L227*(1+IF(M$3&lt;=$O$2,$D227,$D227-($D227-$I$211)*MIN(M$3-$O$2,$Q$2)/$Q$2))</f>
        <v>8058.20259331138</v>
      </c>
      <c r="N227" s="15" t="n">
        <f aca="false">M227*(1+IF(N$3&lt;=$O$2,$D227,$D227-($D227-$I$211)*MIN(N$3-$O$2,$Q$2)/$Q$2))</f>
        <v>8245.95871373553</v>
      </c>
      <c r="O227" s="15" t="n">
        <f aca="false">SUMPRODUCT(E227:N227,1/(1+$F$211)^$E$3:$N$3)*$E$2</f>
        <v>9009.79463445266</v>
      </c>
      <c r="P227" s="15" t="n">
        <f aca="false">N227*$E$2*(1+$I$211)/($F$211-$I$211)/(1+$F$211)^$N$3</f>
        <v>13123.899646591</v>
      </c>
      <c r="Q227" s="15" t="n">
        <f aca="false">O227+P227</f>
        <v>22133.6942810436</v>
      </c>
      <c r="R227" s="15" t="n">
        <f aca="false">Q227-$G$2+$I$2</f>
        <v>19017.4942810436</v>
      </c>
      <c r="S227" s="42" t="n">
        <f aca="false">R227/$K$2</f>
        <v>168.445476359997</v>
      </c>
      <c r="T227" s="43" t="n">
        <f aca="false">S227-$M$2</f>
        <v>-0.0221941448750158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0.0040435791015625</v>
      </c>
      <c r="C228" s="25" t="n">
        <f aca="false">IF(T227&gt;0,D227,C227)</f>
        <v>0.00408935546875</v>
      </c>
      <c r="D228" s="41" t="n">
        <f aca="false">(B228+C228)/2</f>
        <v>0.00406646728515625</v>
      </c>
      <c r="E228" s="15" t="n">
        <f aca="false">$C$2*(1+IF(E$3&lt;=$O$2,$D228,$D228-($D228-$I$211)*MIN(E$3-$O$2,$Q$2)/$Q$2))</f>
        <v>7510.41717529297</v>
      </c>
      <c r="F228" s="15" t="n">
        <f aca="false">E228*(1+IF(F$3&lt;=$O$2,$D228,$D228-($D228-$I$211)*MIN(F$3-$O$2,$Q$2)/$Q$2))</f>
        <v>7540.95804103417</v>
      </c>
      <c r="G228" s="15" t="n">
        <f aca="false">F228*(1+IF(G$3&lt;=$O$2,$D228,$D228-($D228-$I$211)*MIN(G$3-$O$2,$Q$2)/$Q$2))</f>
        <v>7571.62310020677</v>
      </c>
      <c r="H228" s="15" t="n">
        <f aca="false">G228*(1+IF(H$3&lt;=$O$2,$D228,$D228-($D228-$I$211)*MIN(H$3-$O$2,$Q$2)/$Q$2))</f>
        <v>7602.4128578393</v>
      </c>
      <c r="I228" s="15" t="n">
        <f aca="false">H228*(1+IF(I$3&lt;=$O$2,$D228,$D228-($D228-$I$211)*MIN(I$3-$O$2,$Q$2)/$Q$2))</f>
        <v>7633.32782101395</v>
      </c>
      <c r="J228" s="15" t="n">
        <f aca="false">I228*(1+IF(J$3&lt;=$O$2,$D228,$D228-($D228-$I$211)*MIN(J$3-$O$2,$Q$2)/$Q$2))</f>
        <v>7693.7316709487</v>
      </c>
      <c r="K228" s="15" t="n">
        <f aca="false">J228*(1+IF(K$3&lt;=$O$2,$D228,$D228-($D228-$I$211)*MIN(K$3-$O$2,$Q$2)/$Q$2))</f>
        <v>7784.20903500635</v>
      </c>
      <c r="L228" s="15" t="n">
        <f aca="false">K228*(1+IF(L$3&lt;=$O$2,$D228,$D228-($D228-$I$211)*MIN(L$3-$O$2,$Q$2)/$Q$2))</f>
        <v>7905.69396986841</v>
      </c>
      <c r="M228" s="15" t="n">
        <f aca="false">L228*(1+IF(M$3&lt;=$O$2,$D228,$D228-($D228-$I$211)*MIN(M$3-$O$2,$Q$2)/$Q$2))</f>
        <v>8059.48575464574</v>
      </c>
      <c r="N228" s="15" t="n">
        <f aca="false">M228*(1+IF(N$3&lt;=$O$2,$D228,$D228-($D228-$I$211)*MIN(N$3-$O$2,$Q$2)/$Q$2))</f>
        <v>8247.27177272899</v>
      </c>
      <c r="O228" s="15" t="n">
        <f aca="false">SUMPRODUCT(E228:N228,1/(1+$F$211)^$E$3:$N$3)*$E$2</f>
        <v>9010.70124398778</v>
      </c>
      <c r="P228" s="15" t="n">
        <f aca="false">N228*$E$2*(1+$I$211)/($F$211-$I$211)/(1+$F$211)^$N$3</f>
        <v>13125.9894526473</v>
      </c>
      <c r="Q228" s="15" t="n">
        <f aca="false">O228+P228</f>
        <v>22136.6906966351</v>
      </c>
      <c r="R228" s="15" t="n">
        <f aca="false">Q228-$G$2+$I$2</f>
        <v>19020.4906966351</v>
      </c>
      <c r="S228" s="42" t="n">
        <f aca="false">R228/$K$2</f>
        <v>168.472016799248</v>
      </c>
      <c r="T228" s="43" t="n">
        <f aca="false">S228-$M$2</f>
        <v>0.00434629437597778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0.0040435791015625</v>
      </c>
      <c r="C229" s="25" t="n">
        <f aca="false">IF(T228&gt;0,D228,C228)</f>
        <v>0.00406646728515625</v>
      </c>
      <c r="D229" s="41" t="n">
        <f aca="false">(B229+C229)/2</f>
        <v>0.00405502319335938</v>
      </c>
      <c r="E229" s="15" t="n">
        <f aca="false">$C$2*(1+IF(E$3&lt;=$O$2,$D229,$D229-($D229-$I$211)*MIN(E$3-$O$2,$Q$2)/$Q$2))</f>
        <v>7510.33157348633</v>
      </c>
      <c r="F229" s="15" t="n">
        <f aca="false">E229*(1+IF(F$3&lt;=$O$2,$D229,$D229-($D229-$I$211)*MIN(F$3-$O$2,$Q$2)/$Q$2))</f>
        <v>7540.78614220663</v>
      </c>
      <c r="G229" s="15" t="n">
        <f aca="false">F229*(1+IF(G$3&lt;=$O$2,$D229,$D229-($D229-$I$211)*MIN(G$3-$O$2,$Q$2)/$Q$2))</f>
        <v>7571.36420490945</v>
      </c>
      <c r="H229" s="15" t="n">
        <f aca="false">G229*(1+IF(H$3&lt;=$O$2,$D229,$D229-($D229-$I$211)*MIN(H$3-$O$2,$Q$2)/$Q$2))</f>
        <v>7602.06626236572</v>
      </c>
      <c r="I229" s="15" t="n">
        <f aca="false">H229*(1+IF(I$3&lt;=$O$2,$D229,$D229-($D229-$I$211)*MIN(I$3-$O$2,$Q$2)/$Q$2))</f>
        <v>7632.89281737707</v>
      </c>
      <c r="J229" s="15" t="n">
        <f aca="false">I229*(1+IF(J$3&lt;=$O$2,$D229,$D229-($D229-$I$211)*MIN(J$3-$O$2,$Q$2)/$Q$2))</f>
        <v>7693.22334383156</v>
      </c>
      <c r="K229" s="15" t="n">
        <f aca="false">J229*(1+IF(K$3&lt;=$O$2,$D229,$D229-($D229-$I$211)*MIN(K$3-$O$2,$Q$2)/$Q$2))</f>
        <v>7783.64190485063</v>
      </c>
      <c r="L229" s="15" t="n">
        <f aca="false">K229*(1+IF(L$3&lt;=$O$2,$D229,$D229-($D229-$I$211)*MIN(L$3-$O$2,$Q$2)/$Q$2))</f>
        <v>7905.08235806163</v>
      </c>
      <c r="M229" s="15" t="n">
        <f aca="false">L229*(1+IF(M$3&lt;=$O$2,$D229,$D229-($D229-$I$211)*MIN(M$3-$O$2,$Q$2)/$Q$2))</f>
        <v>8058.84415167737</v>
      </c>
      <c r="N229" s="15" t="n">
        <f aca="false">M229*(1+IF(N$3&lt;=$O$2,$D229,$D229-($D229-$I$211)*MIN(N$3-$O$2,$Q$2)/$Q$2))</f>
        <v>8246.61522041145</v>
      </c>
      <c r="O229" s="15" t="n">
        <f aca="false">SUMPRODUCT(E229:N229,1/(1+$F$211)^$E$3:$N$3)*$E$2</f>
        <v>9010.2479275954</v>
      </c>
      <c r="P229" s="15" t="n">
        <f aca="false">N229*$E$2*(1+$I$211)/($F$211-$I$211)/(1+$F$211)^$N$3</f>
        <v>13124.9445132985</v>
      </c>
      <c r="Q229" s="15" t="n">
        <f aca="false">O229+P229</f>
        <v>22135.1924408939</v>
      </c>
      <c r="R229" s="15" t="n">
        <f aca="false">Q229-$G$2+$I$2</f>
        <v>19018.9924408939</v>
      </c>
      <c r="S229" s="42" t="n">
        <f aca="false">R229/$K$2</f>
        <v>168.458746154951</v>
      </c>
      <c r="T229" s="43" t="n">
        <f aca="false">S229-$M$2</f>
        <v>-0.00892434992093172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0.00405502319335938</v>
      </c>
      <c r="C230" s="25" t="n">
        <f aca="false">IF(T229&gt;0,D229,C229)</f>
        <v>0.00406646728515625</v>
      </c>
      <c r="D230" s="41" t="n">
        <f aca="false">(B230+C230)/2</f>
        <v>0.00406074523925781</v>
      </c>
      <c r="E230" s="15" t="n">
        <f aca="false">$C$2*(1+IF(E$3&lt;=$O$2,$D230,$D230-($D230-$I$211)*MIN(E$3-$O$2,$Q$2)/$Q$2))</f>
        <v>7510.37437438965</v>
      </c>
      <c r="F230" s="15" t="n">
        <f aca="false">E230*(1+IF(F$3&lt;=$O$2,$D230,$D230-($D230-$I$211)*MIN(F$3-$O$2,$Q$2)/$Q$2))</f>
        <v>7540.8720913755</v>
      </c>
      <c r="G230" s="15" t="n">
        <f aca="false">F230*(1+IF(G$3&lt;=$O$2,$D230,$D230-($D230-$I$211)*MIN(G$3-$O$2,$Q$2)/$Q$2))</f>
        <v>7571.4936518204</v>
      </c>
      <c r="H230" s="15" t="n">
        <f aca="false">G230*(1+IF(H$3&lt;=$O$2,$D230,$D230-($D230-$I$211)*MIN(H$3-$O$2,$Q$2)/$Q$2))</f>
        <v>7602.2395586211</v>
      </c>
      <c r="I230" s="15" t="n">
        <f aca="false">H230*(1+IF(I$3&lt;=$O$2,$D230,$D230-($D230-$I$211)*MIN(I$3-$O$2,$Q$2)/$Q$2))</f>
        <v>7633.11031671647</v>
      </c>
      <c r="J230" s="15" t="n">
        <f aca="false">I230*(1+IF(J$3&lt;=$O$2,$D230,$D230-($D230-$I$211)*MIN(J$3-$O$2,$Q$2)/$Q$2))</f>
        <v>7693.47750389584</v>
      </c>
      <c r="K230" s="15" t="n">
        <f aca="false">J230*(1+IF(K$3&lt;=$O$2,$D230,$D230-($D230-$I$211)*MIN(K$3-$O$2,$Q$2)/$Q$2))</f>
        <v>7783.92546552052</v>
      </c>
      <c r="L230" s="15" t="n">
        <f aca="false">K230*(1+IF(L$3&lt;=$O$2,$D230,$D230-($D230-$I$211)*MIN(L$3-$O$2,$Q$2)/$Q$2))</f>
        <v>7905.38815883923</v>
      </c>
      <c r="M230" s="15" t="n">
        <f aca="false">L230*(1+IF(M$3&lt;=$O$2,$D230,$D230-($D230-$I$211)*MIN(M$3-$O$2,$Q$2)/$Q$2))</f>
        <v>8059.1649475861</v>
      </c>
      <c r="N230" s="15" t="n">
        <f aca="false">M230*(1+IF(N$3&lt;=$O$2,$D230,$D230-($D230-$I$211)*MIN(N$3-$O$2,$Q$2)/$Q$2))</f>
        <v>8246.94349086485</v>
      </c>
      <c r="O230" s="15" t="n">
        <f aca="false">SUMPRODUCT(E230:N230,1/(1+$F$211)^$E$3:$N$3)*$E$2</f>
        <v>9010.47458288531</v>
      </c>
      <c r="P230" s="15" t="n">
        <f aca="false">N230*$E$2*(1+$I$211)/($F$211-$I$211)/(1+$F$211)^$N$3</f>
        <v>13125.4669738925</v>
      </c>
      <c r="Q230" s="15" t="n">
        <f aca="false">O230+P230</f>
        <v>22135.9415567778</v>
      </c>
      <c r="R230" s="15" t="n">
        <f aca="false">Q230-$G$2+$I$2</f>
        <v>19019.7415567778</v>
      </c>
      <c r="S230" s="42" t="n">
        <f aca="false">R230/$K$2</f>
        <v>168.465381370928</v>
      </c>
      <c r="T230" s="43" t="n">
        <f aca="false">S230-$M$2</f>
        <v>-0.00228913394329311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0.00406074523925781</v>
      </c>
      <c r="C231" s="25" t="n">
        <f aca="false">IF(T230&gt;0,D230,C230)</f>
        <v>0.00406646728515625</v>
      </c>
      <c r="D231" s="41" t="n">
        <f aca="false">(B231+C231)/2</f>
        <v>0.00406360626220703</v>
      </c>
      <c r="E231" s="15" t="n">
        <f aca="false">$C$2*(1+IF(E$3&lt;=$O$2,$D231,$D231-($D231-$I$211)*MIN(E$3-$O$2,$Q$2)/$Q$2))</f>
        <v>7510.39577484131</v>
      </c>
      <c r="F231" s="15" t="n">
        <f aca="false">E231*(1+IF(F$3&lt;=$O$2,$D231,$D231-($D231-$I$211)*MIN(F$3-$O$2,$Q$2)/$Q$2))</f>
        <v>7540.91506614361</v>
      </c>
      <c r="G231" s="15" t="n">
        <f aca="false">F231*(1+IF(G$3&lt;=$O$2,$D231,$D231-($D231-$I$211)*MIN(G$3-$O$2,$Q$2)/$Q$2))</f>
        <v>7571.55837582916</v>
      </c>
      <c r="H231" s="15" t="n">
        <f aca="false">G231*(1+IF(H$3&lt;=$O$2,$D231,$D231-($D231-$I$211)*MIN(H$3-$O$2,$Q$2)/$Q$2))</f>
        <v>7602.32620785985</v>
      </c>
      <c r="I231" s="15" t="n">
        <f aca="false">H231*(1+IF(I$3&lt;=$O$2,$D231,$D231-($D231-$I$211)*MIN(I$3-$O$2,$Q$2)/$Q$2))</f>
        <v>7633.21906824545</v>
      </c>
      <c r="J231" s="15" t="n">
        <f aca="false">I231*(1+IF(J$3&lt;=$O$2,$D231,$D231-($D231-$I$211)*MIN(J$3-$O$2,$Q$2)/$Q$2))</f>
        <v>7693.60458654869</v>
      </c>
      <c r="K231" s="15" t="n">
        <f aca="false">J231*(1+IF(K$3&lt;=$O$2,$D231,$D231-($D231-$I$211)*MIN(K$3-$O$2,$Q$2)/$Q$2))</f>
        <v>7784.06724916143</v>
      </c>
      <c r="L231" s="15" t="n">
        <f aca="false">K231*(1+IF(L$3&lt;=$O$2,$D231,$D231-($D231-$I$211)*MIN(L$3-$O$2,$Q$2)/$Q$2))</f>
        <v>7905.54106307236</v>
      </c>
      <c r="M231" s="15" t="n">
        <f aca="false">L231*(1+IF(M$3&lt;=$O$2,$D231,$D231-($D231-$I$211)*MIN(M$3-$O$2,$Q$2)/$Q$2))</f>
        <v>8059.32534972203</v>
      </c>
      <c r="N231" s="15" t="n">
        <f aca="false">M231*(1+IF(N$3&lt;=$O$2,$D231,$D231-($D231-$I$211)*MIN(N$3-$O$2,$Q$2)/$Q$2))</f>
        <v>8247.10763037056</v>
      </c>
      <c r="O231" s="15" t="n">
        <f aca="false">SUMPRODUCT(E231:N231,1/(1+$F$211)^$E$3:$N$3)*$E$2</f>
        <v>9010.58791270997</v>
      </c>
      <c r="P231" s="15" t="n">
        <f aca="false">N231*$E$2*(1+$I$211)/($F$211-$I$211)/(1+$F$211)^$N$3</f>
        <v>13125.7282109997</v>
      </c>
      <c r="Q231" s="15" t="n">
        <f aca="false">O231+P231</f>
        <v>22136.3161237097</v>
      </c>
      <c r="R231" s="15" t="n">
        <f aca="false">Q231-$G$2+$I$2</f>
        <v>19020.1161237097</v>
      </c>
      <c r="S231" s="42" t="n">
        <f aca="false">R231/$K$2</f>
        <v>168.468699058545</v>
      </c>
      <c r="T231" s="43" t="n">
        <f aca="false">S231-$M$2</f>
        <v>0.00102855367325105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0.00406074523925781</v>
      </c>
      <c r="C232" s="25" t="n">
        <f aca="false">IF(T231&gt;0,D231,C231)</f>
        <v>0.00406360626220703</v>
      </c>
      <c r="D232" s="41" t="n">
        <f aca="false">(B232+C232)/2</f>
        <v>0.00406217575073242</v>
      </c>
      <c r="E232" s="15" t="n">
        <f aca="false">$C$2*(1+IF(E$3&lt;=$O$2,$D232,$D232-($D232-$I$211)*MIN(E$3-$O$2,$Q$2)/$Q$2))</f>
        <v>7510.38507461548</v>
      </c>
      <c r="F232" s="15" t="n">
        <f aca="false">E232*(1+IF(F$3&lt;=$O$2,$D232,$D232-($D232-$I$211)*MIN(F$3-$O$2,$Q$2)/$Q$2))</f>
        <v>7540.89357874424</v>
      </c>
      <c r="G232" s="15" t="n">
        <f aca="false">F232*(1+IF(G$3&lt;=$O$2,$D232,$D232-($D232-$I$211)*MIN(G$3-$O$2,$Q$2)/$Q$2))</f>
        <v>7571.52601377867</v>
      </c>
      <c r="H232" s="15" t="n">
        <f aca="false">G232*(1+IF(H$3&lt;=$O$2,$D232,$D232-($D232-$I$211)*MIN(H$3-$O$2,$Q$2)/$Q$2))</f>
        <v>7602.28288314788</v>
      </c>
      <c r="I232" s="15" t="n">
        <f aca="false">H232*(1+IF(I$3&lt;=$O$2,$D232,$D232-($D232-$I$211)*MIN(I$3-$O$2,$Q$2)/$Q$2))</f>
        <v>7633.16469232602</v>
      </c>
      <c r="J232" s="15" t="n">
        <f aca="false">I232*(1+IF(J$3&lt;=$O$2,$D232,$D232-($D232-$I$211)*MIN(J$3-$O$2,$Q$2)/$Q$2))</f>
        <v>7693.54104500387</v>
      </c>
      <c r="K232" s="15" t="n">
        <f aca="false">J232*(1+IF(K$3&lt;=$O$2,$D232,$D232-($D232-$I$211)*MIN(K$3-$O$2,$Q$2)/$Q$2))</f>
        <v>7783.99635706547</v>
      </c>
      <c r="L232" s="15" t="n">
        <f aca="false">K232*(1+IF(L$3&lt;=$O$2,$D232,$D232-($D232-$I$211)*MIN(L$3-$O$2,$Q$2)/$Q$2))</f>
        <v>7905.46461063543</v>
      </c>
      <c r="M232" s="15" t="n">
        <f aca="false">L232*(1+IF(M$3&lt;=$O$2,$D232,$D232-($D232-$I$211)*MIN(M$3-$O$2,$Q$2)/$Q$2))</f>
        <v>8059.24514830559</v>
      </c>
      <c r="N232" s="15" t="n">
        <f aca="false">M232*(1+IF(N$3&lt;=$O$2,$D232,$D232-($D232-$I$211)*MIN(N$3-$O$2,$Q$2)/$Q$2))</f>
        <v>8247.02556026111</v>
      </c>
      <c r="O232" s="15" t="n">
        <f aca="false">SUMPRODUCT(E232:N232,1/(1+$F$211)^$E$3:$N$3)*$E$2</f>
        <v>9010.531247616</v>
      </c>
      <c r="P232" s="15" t="n">
        <f aca="false">N232*$E$2*(1+$I$211)/($F$211-$I$211)/(1+$F$211)^$N$3</f>
        <v>13125.5975918786</v>
      </c>
      <c r="Q232" s="15" t="n">
        <f aca="false">O232+P232</f>
        <v>22136.1288394946</v>
      </c>
      <c r="R232" s="15" t="n">
        <f aca="false">Q232-$G$2+$I$2</f>
        <v>19019.9288394946</v>
      </c>
      <c r="S232" s="42" t="n">
        <f aca="false">R232/$K$2</f>
        <v>168.467040208101</v>
      </c>
      <c r="T232" s="43" t="n">
        <f aca="false">S232-$M$2</f>
        <v>-0.000630296770793848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0.00406217575073242</v>
      </c>
      <c r="C233" s="25" t="n">
        <f aca="false">IF(T232&gt;0,D232,C232)</f>
        <v>0.00406360626220703</v>
      </c>
      <c r="D233" s="41" t="n">
        <f aca="false">(B233+C233)/2</f>
        <v>0.00406289100646973</v>
      </c>
      <c r="E233" s="15" t="n">
        <f aca="false">$C$2*(1+IF(E$3&lt;=$O$2,$D233,$D233-($D233-$I$211)*MIN(E$3-$O$2,$Q$2)/$Q$2))</f>
        <v>7510.39042472839</v>
      </c>
      <c r="F233" s="15" t="n">
        <f aca="false">E233*(1+IF(F$3&lt;=$O$2,$D233,$D233-($D233-$I$211)*MIN(F$3-$O$2,$Q$2)/$Q$2))</f>
        <v>7540.9043224401</v>
      </c>
      <c r="G233" s="15" t="n">
        <f aca="false">F233*(1+IF(G$3&lt;=$O$2,$D233,$D233-($D233-$I$211)*MIN(G$3-$O$2,$Q$2)/$Q$2))</f>
        <v>7571.54219479239</v>
      </c>
      <c r="H233" s="15" t="n">
        <f aca="false">G233*(1+IF(H$3&lt;=$O$2,$D233,$D233-($D233-$I$211)*MIN(H$3-$O$2,$Q$2)/$Q$2))</f>
        <v>7602.30454548072</v>
      </c>
      <c r="I233" s="15" t="n">
        <f aca="false">H233*(1+IF(I$3&lt;=$O$2,$D233,$D233-($D233-$I$211)*MIN(I$3-$O$2,$Q$2)/$Q$2))</f>
        <v>7633.191880247</v>
      </c>
      <c r="J233" s="15" t="n">
        <f aca="false">I233*(1+IF(J$3&lt;=$O$2,$D233,$D233-($D233-$I$211)*MIN(J$3-$O$2,$Q$2)/$Q$2))</f>
        <v>7693.57281572168</v>
      </c>
      <c r="K233" s="15" t="n">
        <f aca="false">J233*(1+IF(K$3&lt;=$O$2,$D233,$D233-($D233-$I$211)*MIN(K$3-$O$2,$Q$2)/$Q$2))</f>
        <v>7784.03180304457</v>
      </c>
      <c r="L233" s="15" t="n">
        <f aca="false">K233*(1+IF(L$3&lt;=$O$2,$D233,$D233-($D233-$I$211)*MIN(L$3-$O$2,$Q$2)/$Q$2))</f>
        <v>7905.5028367738</v>
      </c>
      <c r="M233" s="15" t="n">
        <f aca="false">L233*(1+IF(M$3&lt;=$O$2,$D233,$D233-($D233-$I$211)*MIN(M$3-$O$2,$Q$2)/$Q$2))</f>
        <v>8059.28524892669</v>
      </c>
      <c r="N233" s="15" t="n">
        <f aca="false">M233*(1+IF(N$3&lt;=$O$2,$D233,$D233-($D233-$I$211)*MIN(N$3-$O$2,$Q$2)/$Q$2))</f>
        <v>8247.06659522669</v>
      </c>
      <c r="O233" s="15" t="n">
        <f aca="false">SUMPRODUCT(E233:N233,1/(1+$F$211)^$E$3:$N$3)*$E$2</f>
        <v>9010.55958011757</v>
      </c>
      <c r="P233" s="15" t="n">
        <f aca="false">N233*$E$2*(1+$I$211)/($F$211-$I$211)/(1+$F$211)^$N$3</f>
        <v>13125.6629012973</v>
      </c>
      <c r="Q233" s="15" t="n">
        <f aca="false">O233+P233</f>
        <v>22136.2224814149</v>
      </c>
      <c r="R233" s="15" t="n">
        <f aca="false">Q233-$G$2+$I$2</f>
        <v>19020.0224814149</v>
      </c>
      <c r="S233" s="42" t="n">
        <f aca="false">R233/$K$2</f>
        <v>168.467869631664</v>
      </c>
      <c r="T233" s="43" t="n">
        <f aca="false">S233-$M$2</f>
        <v>0.000199126792296056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0.00406217575073242</v>
      </c>
      <c r="C234" s="25" t="n">
        <f aca="false">IF(T233&gt;0,D233,C233)</f>
        <v>0.00406289100646973</v>
      </c>
      <c r="D234" s="41" t="n">
        <f aca="false">(B234+C234)/2</f>
        <v>0.00406253337860107</v>
      </c>
      <c r="E234" s="15" t="n">
        <f aca="false">$C$2*(1+IF(E$3&lt;=$O$2,$D234,$D234-($D234-$I$211)*MIN(E$3-$O$2,$Q$2)/$Q$2))</f>
        <v>7510.38774967194</v>
      </c>
      <c r="F234" s="15" t="n">
        <f aca="false">E234*(1+IF(F$3&lt;=$O$2,$D234,$D234-($D234-$I$211)*MIN(F$3-$O$2,$Q$2)/$Q$2))</f>
        <v>7540.89895059122</v>
      </c>
      <c r="G234" s="15" t="n">
        <f aca="false">F234*(1+IF(G$3&lt;=$O$2,$D234,$D234-($D234-$I$211)*MIN(G$3-$O$2,$Q$2)/$Q$2))</f>
        <v>7571.53410428265</v>
      </c>
      <c r="H234" s="15" t="n">
        <f aca="false">G234*(1+IF(H$3&lt;=$O$2,$D234,$D234-($D234-$I$211)*MIN(H$3-$O$2,$Q$2)/$Q$2))</f>
        <v>7602.29371430851</v>
      </c>
      <c r="I234" s="15" t="n">
        <f aca="false">H234*(1+IF(I$3&lt;=$O$2,$D234,$D234-($D234-$I$211)*MIN(I$3-$O$2,$Q$2)/$Q$2))</f>
        <v>7633.17828627682</v>
      </c>
      <c r="J234" s="15" t="n">
        <f aca="false">I234*(1+IF(J$3&lt;=$O$2,$D234,$D234-($D234-$I$211)*MIN(J$3-$O$2,$Q$2)/$Q$2))</f>
        <v>7693.55693034912</v>
      </c>
      <c r="K234" s="15" t="n">
        <f aca="false">J234*(1+IF(K$3&lt;=$O$2,$D234,$D234-($D234-$I$211)*MIN(K$3-$O$2,$Q$2)/$Q$2))</f>
        <v>7784.0140800378</v>
      </c>
      <c r="L234" s="15" t="n">
        <f aca="false">K234*(1+IF(L$3&lt;=$O$2,$D234,$D234-($D234-$I$211)*MIN(L$3-$O$2,$Q$2)/$Q$2))</f>
        <v>7905.48372368459</v>
      </c>
      <c r="M234" s="15" t="n">
        <f aca="false">L234*(1+IF(M$3&lt;=$O$2,$D234,$D234-($D234-$I$211)*MIN(M$3-$O$2,$Q$2)/$Q$2))</f>
        <v>8059.26519859437</v>
      </c>
      <c r="N234" s="15" t="n">
        <f aca="false">M234*(1+IF(N$3&lt;=$O$2,$D234,$D234-($D234-$I$211)*MIN(N$3-$O$2,$Q$2)/$Q$2))</f>
        <v>8247.04607772161</v>
      </c>
      <c r="O234" s="15" t="n">
        <f aca="false">SUMPRODUCT(E234:N234,1/(1+$F$211)^$E$3:$N$3)*$E$2</f>
        <v>9010.54541385543</v>
      </c>
      <c r="P234" s="15" t="n">
        <f aca="false">N234*$E$2*(1+$I$211)/($F$211-$I$211)/(1+$F$211)^$N$3</f>
        <v>13125.6302465525</v>
      </c>
      <c r="Q234" s="15" t="n">
        <f aca="false">O234+P234</f>
        <v>22136.1756604079</v>
      </c>
      <c r="R234" s="15" t="n">
        <f aca="false">Q234-$G$2+$I$2</f>
        <v>19019.9756604079</v>
      </c>
      <c r="S234" s="42" t="n">
        <f aca="false">R234/$K$2</f>
        <v>168.467454919468</v>
      </c>
      <c r="T234" s="43" t="n">
        <f aca="false">S234-$M$2</f>
        <v>-0.000215585403964269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0.00406253337860107</v>
      </c>
      <c r="C235" s="25" t="n">
        <f aca="false">IF(T234&gt;0,D234,C234)</f>
        <v>0.00406289100646973</v>
      </c>
      <c r="D235" s="41" t="n">
        <f aca="false">(B235+C235)/2</f>
        <v>0.0040627121925354</v>
      </c>
      <c r="E235" s="15" t="n">
        <f aca="false">$C$2*(1+IF(E$3&lt;=$O$2,$D235,$D235-($D235-$I$211)*MIN(E$3-$O$2,$Q$2)/$Q$2))</f>
        <v>7510.38908720017</v>
      </c>
      <c r="F235" s="15" t="n">
        <f aca="false">E235*(1+IF(F$3&lt;=$O$2,$D235,$D235-($D235-$I$211)*MIN(F$3-$O$2,$Q$2)/$Q$2))</f>
        <v>7540.90163651542</v>
      </c>
      <c r="G235" s="15" t="n">
        <f aca="false">F235*(1+IF(G$3&lt;=$O$2,$D235,$D235-($D235-$I$211)*MIN(G$3-$O$2,$Q$2)/$Q$2))</f>
        <v>7571.5381495368</v>
      </c>
      <c r="H235" s="15" t="n">
        <f aca="false">G235*(1+IF(H$3&lt;=$O$2,$D235,$D235-($D235-$I$211)*MIN(H$3-$O$2,$Q$2)/$Q$2))</f>
        <v>7602.29912989317</v>
      </c>
      <c r="I235" s="15" t="n">
        <f aca="false">H235*(1+IF(I$3&lt;=$O$2,$D235,$D235-($D235-$I$211)*MIN(I$3-$O$2,$Q$2)/$Q$2))</f>
        <v>7633.18508325949</v>
      </c>
      <c r="J235" s="15" t="n">
        <f aca="false">I235*(1+IF(J$3&lt;=$O$2,$D235,$D235-($D235-$I$211)*MIN(J$3-$O$2,$Q$2)/$Q$2))</f>
        <v>7693.56487303199</v>
      </c>
      <c r="K235" s="15" t="n">
        <f aca="false">J235*(1+IF(K$3&lt;=$O$2,$D235,$D235-($D235-$I$211)*MIN(K$3-$O$2,$Q$2)/$Q$2))</f>
        <v>7784.02294153688</v>
      </c>
      <c r="L235" s="15" t="n">
        <f aca="false">K235*(1+IF(L$3&lt;=$O$2,$D235,$D235-($D235-$I$211)*MIN(L$3-$O$2,$Q$2)/$Q$2))</f>
        <v>7905.49328022419</v>
      </c>
      <c r="M235" s="15" t="n">
        <f aca="false">L235*(1+IF(M$3&lt;=$O$2,$D235,$D235-($D235-$I$211)*MIN(M$3-$O$2,$Q$2)/$Q$2))</f>
        <v>8059.27522375508</v>
      </c>
      <c r="N235" s="15" t="n">
        <f aca="false">M235*(1+IF(N$3&lt;=$O$2,$D235,$D235-($D235-$I$211)*MIN(N$3-$O$2,$Q$2)/$Q$2))</f>
        <v>8247.05633646858</v>
      </c>
      <c r="O235" s="15" t="n">
        <f aca="false">SUMPRODUCT(E235:N235,1/(1+$F$211)^$E$3:$N$3)*$E$2</f>
        <v>9010.55249698366</v>
      </c>
      <c r="P235" s="15" t="n">
        <f aca="false">N235*$E$2*(1+$I$211)/($F$211-$I$211)/(1+$F$211)^$N$3</f>
        <v>13125.646573916</v>
      </c>
      <c r="Q235" s="15" t="n">
        <f aca="false">O235+P235</f>
        <v>22136.1990708997</v>
      </c>
      <c r="R235" s="15" t="n">
        <f aca="false">Q235-$G$2+$I$2</f>
        <v>19019.9990708997</v>
      </c>
      <c r="S235" s="42" t="n">
        <f aca="false">R235/$K$2</f>
        <v>168.467662275462</v>
      </c>
      <c r="T235" s="43" t="n">
        <f aca="false">S235-$M$2</f>
        <v>-8.22940950229167E-006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0.0040627121925354</v>
      </c>
      <c r="C236" s="25" t="n">
        <f aca="false">IF(T235&gt;0,D235,C235)</f>
        <v>0.00406289100646973</v>
      </c>
      <c r="D236" s="41" t="n">
        <f aca="false">(B236+C236)/2</f>
        <v>0.00406280159950256</v>
      </c>
      <c r="E236" s="15" t="n">
        <f aca="false">$C$2*(1+IF(E$3&lt;=$O$2,$D236,$D236-($D236-$I$211)*MIN(E$3-$O$2,$Q$2)/$Q$2))</f>
        <v>7510.38975596428</v>
      </c>
      <c r="F236" s="15" t="n">
        <f aca="false">E236*(1+IF(F$3&lt;=$O$2,$D236,$D236-($D236-$I$211)*MIN(F$3-$O$2,$Q$2)/$Q$2))</f>
        <v>7540.9029794777</v>
      </c>
      <c r="G236" s="15" t="n">
        <f aca="false">F236*(1+IF(G$3&lt;=$O$2,$D236,$D236-($D236-$I$211)*MIN(G$3-$O$2,$Q$2)/$Q$2))</f>
        <v>7571.54017216442</v>
      </c>
      <c r="H236" s="15" t="n">
        <f aca="false">G236*(1+IF(H$3&lt;=$O$2,$D236,$D236-($D236-$I$211)*MIN(H$3-$O$2,$Q$2)/$Q$2))</f>
        <v>7602.30183768658</v>
      </c>
      <c r="I236" s="15" t="n">
        <f aca="false">H236*(1+IF(I$3&lt;=$O$2,$D236,$D236-($D236-$I$211)*MIN(I$3-$O$2,$Q$2)/$Q$2))</f>
        <v>7633.18848175264</v>
      </c>
      <c r="J236" s="15" t="n">
        <f aca="false">I236*(1+IF(J$3&lt;=$O$2,$D236,$D236-($D236-$I$211)*MIN(J$3-$O$2,$Q$2)/$Q$2))</f>
        <v>7693.56884437598</v>
      </c>
      <c r="K236" s="15" t="n">
        <f aca="false">J236*(1+IF(K$3&lt;=$O$2,$D236,$D236-($D236-$I$211)*MIN(K$3-$O$2,$Q$2)/$Q$2))</f>
        <v>7784.02737228965</v>
      </c>
      <c r="L236" s="15" t="n">
        <f aca="false">K236*(1+IF(L$3&lt;=$O$2,$D236,$D236-($D236-$I$211)*MIN(L$3-$O$2,$Q$2)/$Q$2))</f>
        <v>7905.49805849775</v>
      </c>
      <c r="M236" s="15" t="n">
        <f aca="false">L236*(1+IF(M$3&lt;=$O$2,$D236,$D236-($D236-$I$211)*MIN(M$3-$O$2,$Q$2)/$Q$2))</f>
        <v>8059.28023633953</v>
      </c>
      <c r="N236" s="15" t="n">
        <f aca="false">M236*(1+IF(N$3&lt;=$O$2,$D236,$D236-($D236-$I$211)*MIN(N$3-$O$2,$Q$2)/$Q$2))</f>
        <v>8247.06146584624</v>
      </c>
      <c r="O236" s="15" t="n">
        <f aca="false">SUMPRODUCT(E236:N236,1/(1+$F$211)^$E$3:$N$3)*$E$2</f>
        <v>9010.55603854991</v>
      </c>
      <c r="P236" s="15" t="n">
        <f aca="false">N236*$E$2*(1+$I$211)/($F$211-$I$211)/(1+$F$211)^$N$3</f>
        <v>13125.6547376044</v>
      </c>
      <c r="Q236" s="15" t="n">
        <f aca="false">O236+P236</f>
        <v>22136.2107761543</v>
      </c>
      <c r="R236" s="15" t="n">
        <f aca="false">Q236-$G$2+$I$2</f>
        <v>19020.0107761543</v>
      </c>
      <c r="S236" s="42" t="n">
        <f aca="false">R236/$K$2</f>
        <v>168.467765953537</v>
      </c>
      <c r="T236" s="43" t="n">
        <f aca="false">S236-$M$2</f>
        <v>9.5448665490494E-005</v>
      </c>
    </row>
    <row r="238" customFormat="false" ht="15" hidden="false" customHeight="false" outlineLevel="0" collapsed="false">
      <c r="A238" s="38" t="s">
        <v>192</v>
      </c>
      <c r="E238" s="5" t="s">
        <v>11</v>
      </c>
      <c r="F238" s="12" t="n">
        <f aca="false">Sensitivity!$B$11</f>
        <v>0.0761268672746673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165</v>
      </c>
      <c r="B239" s="28" t="s">
        <v>166</v>
      </c>
      <c r="C239" s="28" t="s">
        <v>167</v>
      </c>
      <c r="D239" s="28" t="s">
        <v>168</v>
      </c>
      <c r="E239" s="28" t="s">
        <v>169</v>
      </c>
      <c r="F239" s="28" t="s">
        <v>170</v>
      </c>
      <c r="G239" s="28" t="s">
        <v>171</v>
      </c>
      <c r="H239" s="28" t="s">
        <v>172</v>
      </c>
      <c r="I239" s="28" t="s">
        <v>173</v>
      </c>
      <c r="J239" s="28" t="s">
        <v>174</v>
      </c>
      <c r="K239" s="28" t="s">
        <v>175</v>
      </c>
      <c r="L239" s="28" t="s">
        <v>176</v>
      </c>
      <c r="M239" s="28" t="s">
        <v>177</v>
      </c>
      <c r="N239" s="28" t="s">
        <v>178</v>
      </c>
      <c r="O239" s="28" t="s">
        <v>179</v>
      </c>
      <c r="P239" s="28" t="s">
        <v>180</v>
      </c>
      <c r="Q239" s="28" t="s">
        <v>181</v>
      </c>
      <c r="R239" s="28" t="s">
        <v>182</v>
      </c>
      <c r="S239" s="28" t="s">
        <v>183</v>
      </c>
      <c r="T239" s="28" t="s">
        <v>184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9350</v>
      </c>
      <c r="F240" s="15" t="n">
        <f aca="false">E240*(1+IF(F$3&lt;=$O$2,$D240,$D240-($D240-$I$238)*MIN(F$3-$O$2,$Q$2)/$Q$2))</f>
        <v>11687.5</v>
      </c>
      <c r="G240" s="15" t="n">
        <f aca="false">F240*(1+IF(G$3&lt;=$O$2,$D240,$D240-($D240-$I$238)*MIN(G$3-$O$2,$Q$2)/$Q$2))</f>
        <v>14609.375</v>
      </c>
      <c r="H240" s="15" t="n">
        <f aca="false">G240*(1+IF(H$3&lt;=$O$2,$D240,$D240-($D240-$I$238)*MIN(H$3-$O$2,$Q$2)/$Q$2))</f>
        <v>18261.71875</v>
      </c>
      <c r="I240" s="15" t="n">
        <f aca="false">H240*(1+IF(I$3&lt;=$O$2,$D240,$D240-($D240-$I$238)*MIN(I$3-$O$2,$Q$2)/$Q$2))</f>
        <v>22827.1484375</v>
      </c>
      <c r="J240" s="15" t="n">
        <f aca="false">I240*(1+IF(J$3&lt;=$O$2,$D240,$D240-($D240-$I$238)*MIN(J$3-$O$2,$Q$2)/$Q$2))</f>
        <v>27521.7797851563</v>
      </c>
      <c r="K240" s="15" t="n">
        <f aca="false">J240*(1+IF(K$3&lt;=$O$2,$D240,$D240-($D240-$I$238)*MIN(K$3-$O$2,$Q$2)/$Q$2))</f>
        <v>31961.5933000977</v>
      </c>
      <c r="L240" s="15" t="n">
        <f aca="false">K240*(1+IF(L$3&lt;=$O$2,$D240,$D240-($D240-$I$238)*MIN(L$3-$O$2,$Q$2)/$Q$2))</f>
        <v>35700.4604843431</v>
      </c>
      <c r="M240" s="15" t="n">
        <f aca="false">L240*(1+IF(M$3&lt;=$O$2,$D240,$D240-($D240-$I$238)*MIN(M$3-$O$2,$Q$2)/$Q$2))</f>
        <v>38293.7419339258</v>
      </c>
      <c r="N240" s="15" t="n">
        <f aca="false">M240*(1+IF(N$3&lt;=$O$2,$D240,$D240-($D240-$I$238)*MIN(N$3-$O$2,$Q$2)/$Q$2))</f>
        <v>39377.4548306559</v>
      </c>
      <c r="O240" s="15" t="n">
        <f aca="false">SUMPRODUCT(E240:N240,1/(1+$F$238)^$E$3:$N$3)*$E$2</f>
        <v>26580.005656308</v>
      </c>
      <c r="P240" s="15" t="n">
        <f aca="false">N240*$E$2*(1+$I$238)/($F$238-$I$238)/(1+$F$238)^$N$3</f>
        <v>69561.537192273</v>
      </c>
      <c r="Q240" s="15" t="n">
        <f aca="false">O240+P240</f>
        <v>96141.5428485809</v>
      </c>
      <c r="R240" s="15" t="n">
        <f aca="false">Q240-$G$2+$I$2</f>
        <v>93025.3428485809</v>
      </c>
      <c r="S240" s="42" t="n">
        <f aca="false">R240/$K$2</f>
        <v>823.962292724366</v>
      </c>
      <c r="T240" s="43" t="n">
        <f aca="false">S240-$M$2</f>
        <v>655.494622219495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6545</v>
      </c>
      <c r="F241" s="15" t="n">
        <f aca="false">E241*(1+IF(F$3&lt;=$O$2,$D241,$D241-($D241-$I$238)*MIN(F$3-$O$2,$Q$2)/$Q$2))</f>
        <v>5726.875</v>
      </c>
      <c r="G241" s="15" t="n">
        <f aca="false">F241*(1+IF(G$3&lt;=$O$2,$D241,$D241-($D241-$I$238)*MIN(G$3-$O$2,$Q$2)/$Q$2))</f>
        <v>5011.015625</v>
      </c>
      <c r="H241" s="15" t="n">
        <f aca="false">G241*(1+IF(H$3&lt;=$O$2,$D241,$D241-($D241-$I$238)*MIN(H$3-$O$2,$Q$2)/$Q$2))</f>
        <v>4384.638671875</v>
      </c>
      <c r="I241" s="15" t="n">
        <f aca="false">H241*(1+IF(I$3&lt;=$O$2,$D241,$D241-($D241-$I$238)*MIN(I$3-$O$2,$Q$2)/$Q$2))</f>
        <v>3836.55883789063</v>
      </c>
      <c r="J241" s="15" t="n">
        <f aca="false">I241*(1+IF(J$3&lt;=$O$2,$D241,$D241-($D241-$I$238)*MIN(J$3-$O$2,$Q$2)/$Q$2))</f>
        <v>3474.61787712402</v>
      </c>
      <c r="K241" s="15" t="n">
        <f aca="false">J241*(1+IF(K$3&lt;=$O$2,$D241,$D241-($D241-$I$238)*MIN(K$3-$O$2,$Q$2)/$Q$2))</f>
        <v>3253.35421070877</v>
      </c>
      <c r="L241" s="15" t="n">
        <f aca="false">K241*(1+IF(L$3&lt;=$O$2,$D241,$D241-($D241-$I$238)*MIN(L$3-$O$2,$Q$2)/$Q$2))</f>
        <v>3145.92845467116</v>
      </c>
      <c r="M241" s="15" t="n">
        <f aca="false">L241*(1+IF(M$3&lt;=$O$2,$D241,$D241-($D241-$I$238)*MIN(M$3-$O$2,$Q$2)/$Q$2))</f>
        <v>3138.50406351814</v>
      </c>
      <c r="N241" s="15" t="n">
        <f aca="false">M241*(1+IF(N$3&lt;=$O$2,$D241,$D241-($D241-$I$238)*MIN(N$3-$O$2,$Q$2)/$Q$2))</f>
        <v>3227.3237285157</v>
      </c>
      <c r="O241" s="15" t="n">
        <f aca="false">SUMPRODUCT(E241:N241,1/(1+$F$238)^$E$3:$N$3)*$E$2</f>
        <v>5147.47394295158</v>
      </c>
      <c r="P241" s="15" t="n">
        <f aca="false">N241*$E$2*(1+$I$238)/($F$238-$I$238)/(1+$F$238)^$N$3</f>
        <v>5701.1708993918</v>
      </c>
      <c r="Q241" s="15" t="n">
        <f aca="false">O241+P241</f>
        <v>10848.6448423434</v>
      </c>
      <c r="R241" s="15" t="n">
        <f aca="false">Q241-$G$2+$I$2</f>
        <v>7732.44484234338</v>
      </c>
      <c r="S241" s="42" t="n">
        <f aca="false">R241/$K$2</f>
        <v>68.4893254414825</v>
      </c>
      <c r="T241" s="43" t="n">
        <f aca="false">S241-$M$2</f>
        <v>-99.9783450633891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7947.5</v>
      </c>
      <c r="F242" s="15" t="n">
        <f aca="false">E242*(1+IF(F$3&lt;=$O$2,$D242,$D242-($D242-$I$238)*MIN(F$3-$O$2,$Q$2)/$Q$2))</f>
        <v>8444.21875</v>
      </c>
      <c r="G242" s="15" t="n">
        <f aca="false">F242*(1+IF(G$3&lt;=$O$2,$D242,$D242-($D242-$I$238)*MIN(G$3-$O$2,$Q$2)/$Q$2))</f>
        <v>8971.982421875</v>
      </c>
      <c r="H242" s="15" t="n">
        <f aca="false">G242*(1+IF(H$3&lt;=$O$2,$D242,$D242-($D242-$I$238)*MIN(H$3-$O$2,$Q$2)/$Q$2))</f>
        <v>9532.73132324219</v>
      </c>
      <c r="I242" s="15" t="n">
        <f aca="false">H242*(1+IF(I$3&lt;=$O$2,$D242,$D242-($D242-$I$238)*MIN(I$3-$O$2,$Q$2)/$Q$2))</f>
        <v>10128.5270309448</v>
      </c>
      <c r="J242" s="15" t="n">
        <f aca="false">I242*(1+IF(J$3&lt;=$O$2,$D242,$D242-($D242-$I$238)*MIN(J$3-$O$2,$Q$2)/$Q$2))</f>
        <v>10692.2808454872</v>
      </c>
      <c r="K242" s="15" t="n">
        <f aca="false">J242*(1+IF(K$3&lt;=$O$2,$D242,$D242-($D242-$I$238)*MIN(K$3-$O$2,$Q$2)/$Q$2))</f>
        <v>11214.2779963639</v>
      </c>
      <c r="L242" s="15" t="n">
        <f aca="false">K242*(1+IF(L$3&lt;=$O$2,$D242,$D242-($D242-$I$238)*MIN(L$3-$O$2,$Q$2)/$Q$2))</f>
        <v>11685.0533866513</v>
      </c>
      <c r="M242" s="15" t="n">
        <f aca="false">L242*(1+IF(M$3&lt;=$O$2,$D242,$D242-($D242-$I$238)*MIN(M$3-$O$2,$Q$2)/$Q$2))</f>
        <v>12095.6661626582</v>
      </c>
      <c r="N242" s="15" t="n">
        <f aca="false">M242*(1+IF(N$3&lt;=$O$2,$D242,$D242-($D242-$I$238)*MIN(N$3-$O$2,$Q$2)/$Q$2))</f>
        <v>12437.9735150614</v>
      </c>
      <c r="O242" s="15" t="n">
        <f aca="false">SUMPRODUCT(E242:N242,1/(1+$F$238)^$E$3:$N$3)*$E$2</f>
        <v>11690.5411352901</v>
      </c>
      <c r="P242" s="15" t="n">
        <f aca="false">N242*$E$2*(1+$I$238)/($F$238-$I$238)/(1+$F$238)^$N$3</f>
        <v>21972.0792261789</v>
      </c>
      <c r="Q242" s="15" t="n">
        <f aca="false">O242+P242</f>
        <v>33662.6203614689</v>
      </c>
      <c r="R242" s="15" t="n">
        <f aca="false">Q242-$G$2+$I$2</f>
        <v>30546.4203614689</v>
      </c>
      <c r="S242" s="42" t="n">
        <f aca="false">R242/$K$2</f>
        <v>270.561739251275</v>
      </c>
      <c r="T242" s="43" t="n">
        <f aca="false">S242-$M$2</f>
        <v>102.094068746403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7246.25</v>
      </c>
      <c r="F243" s="15" t="n">
        <f aca="false">E243*(1+IF(F$3&lt;=$O$2,$D243,$D243-($D243-$I$238)*MIN(F$3-$O$2,$Q$2)/$Q$2))</f>
        <v>7019.8046875</v>
      </c>
      <c r="G243" s="15" t="n">
        <f aca="false">F243*(1+IF(G$3&lt;=$O$2,$D243,$D243-($D243-$I$238)*MIN(G$3-$O$2,$Q$2)/$Q$2))</f>
        <v>6800.43579101563</v>
      </c>
      <c r="H243" s="15" t="n">
        <f aca="false">G243*(1+IF(H$3&lt;=$O$2,$D243,$D243-($D243-$I$238)*MIN(H$3-$O$2,$Q$2)/$Q$2))</f>
        <v>6587.92217254639</v>
      </c>
      <c r="I243" s="15" t="n">
        <f aca="false">H243*(1+IF(I$3&lt;=$O$2,$D243,$D243-($D243-$I$238)*MIN(I$3-$O$2,$Q$2)/$Q$2))</f>
        <v>6382.04960465431</v>
      </c>
      <c r="J243" s="15" t="n">
        <f aca="false">I243*(1+IF(J$3&lt;=$O$2,$D243,$D243-($D243-$I$238)*MIN(J$3-$O$2,$Q$2)/$Q$2))</f>
        <v>6258.6207653003</v>
      </c>
      <c r="K243" s="15" t="n">
        <f aca="false">J243*(1+IF(K$3&lt;=$O$2,$D243,$D243-($D243-$I$238)*MIN(K$3-$O$2,$Q$2)/$Q$2))</f>
        <v>6212.11921301412</v>
      </c>
      <c r="L243" s="15" t="n">
        <f aca="false">K243*(1+IF(L$3&lt;=$O$2,$D243,$D243-($D243-$I$238)*MIN(L$3-$O$2,$Q$2)/$Q$2))</f>
        <v>6239.94950708842</v>
      </c>
      <c r="M243" s="15" t="n">
        <f aca="false">L243*(1+IF(M$3&lt;=$O$2,$D243,$D243-($D243-$I$238)*MIN(M$3-$O$2,$Q$2)/$Q$2))</f>
        <v>6342.2222795096</v>
      </c>
      <c r="N243" s="15" t="n">
        <f aca="false">M243*(1+IF(N$3&lt;=$O$2,$D243,$D243-($D243-$I$238)*MIN(N$3-$O$2,$Q$2)/$Q$2))</f>
        <v>6521.70717001972</v>
      </c>
      <c r="O243" s="15" t="n">
        <f aca="false">SUMPRODUCT(E243:N243,1/(1+$F$238)^$E$3:$N$3)*$E$2</f>
        <v>7736.765510138</v>
      </c>
      <c r="P243" s="15" t="n">
        <f aca="false">N243*$E$2*(1+$I$238)/($F$238-$I$238)/(1+$F$238)^$N$3</f>
        <v>11520.8049330618</v>
      </c>
      <c r="Q243" s="15" t="n">
        <f aca="false">O243+P243</f>
        <v>19257.5704431999</v>
      </c>
      <c r="R243" s="15" t="n">
        <f aca="false">Q243-$G$2+$I$2</f>
        <v>16141.3704431998</v>
      </c>
      <c r="S243" s="42" t="n">
        <f aca="false">R243/$K$2</f>
        <v>142.970508797164</v>
      </c>
      <c r="T243" s="43" t="n">
        <f aca="false">S243-$M$2</f>
        <v>-25.4971617077073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41" t="n">
        <f aca="false">(B244+C244)/2</f>
        <v>0.015625</v>
      </c>
      <c r="E244" s="15" t="n">
        <f aca="false">$C$2*(1+IF(E$3&lt;=$O$2,$D244,$D244-($D244-$I$238)*MIN(E$3-$O$2,$Q$2)/$Q$2))</f>
        <v>7596.875</v>
      </c>
      <c r="F244" s="15" t="n">
        <f aca="false">E244*(1+IF(F$3&lt;=$O$2,$D244,$D244-($D244-$I$238)*MIN(F$3-$O$2,$Q$2)/$Q$2))</f>
        <v>7715.576171875</v>
      </c>
      <c r="G244" s="15" t="n">
        <f aca="false">F244*(1+IF(G$3&lt;=$O$2,$D244,$D244-($D244-$I$238)*MIN(G$3-$O$2,$Q$2)/$Q$2))</f>
        <v>7836.13204956055</v>
      </c>
      <c r="H244" s="15" t="n">
        <f aca="false">G244*(1+IF(H$3&lt;=$O$2,$D244,$D244-($D244-$I$238)*MIN(H$3-$O$2,$Q$2)/$Q$2))</f>
        <v>7958.57161283493</v>
      </c>
      <c r="I244" s="15" t="n">
        <f aca="false">H244*(1+IF(I$3&lt;=$O$2,$D244,$D244-($D244-$I$238)*MIN(I$3-$O$2,$Q$2)/$Q$2))</f>
        <v>8082.92429428548</v>
      </c>
      <c r="J244" s="15" t="n">
        <f aca="false">I244*(1+IF(J$3&lt;=$O$2,$D244,$D244-($D244-$I$238)*MIN(J$3-$O$2,$Q$2)/$Q$2))</f>
        <v>8229.7101994697</v>
      </c>
      <c r="K244" s="15" t="n">
        <f aca="false">J244*(1+IF(K$3&lt;=$O$2,$D244,$D244-($D244-$I$238)*MIN(K$3-$O$2,$Q$2)/$Q$2))</f>
        <v>8400.02405204773</v>
      </c>
      <c r="L244" s="15" t="n">
        <f aca="false">K244*(1+IF(L$3&lt;=$O$2,$D244,$D244-($D244-$I$238)*MIN(L$3-$O$2,$Q$2)/$Q$2))</f>
        <v>8595.15661077679</v>
      </c>
      <c r="M244" s="15" t="n">
        <f aca="false">L244*(1+IF(M$3&lt;=$O$2,$D244,$D244-($D244-$I$238)*MIN(M$3-$O$2,$Q$2)/$Q$2))</f>
        <v>8816.61082085346</v>
      </c>
      <c r="N244" s="15" t="n">
        <f aca="false">M244*(1+IF(N$3&lt;=$O$2,$D244,$D244-($D244-$I$238)*MIN(N$3-$O$2,$Q$2)/$Q$2))</f>
        <v>9066.12090708361</v>
      </c>
      <c r="O244" s="15" t="n">
        <f aca="false">SUMPRODUCT(E244:N244,1/(1+$F$238)^$E$3:$N$3)*$E$2</f>
        <v>9507.26499697873</v>
      </c>
      <c r="P244" s="15" t="n">
        <f aca="false">N244*$E$2*(1+$I$238)/($F$238-$I$238)/(1+$F$238)^$N$3</f>
        <v>16015.5934247119</v>
      </c>
      <c r="Q244" s="15" t="n">
        <f aca="false">O244+P244</f>
        <v>25522.8584216906</v>
      </c>
      <c r="R244" s="15" t="n">
        <f aca="false">Q244-$G$2+$I$2</f>
        <v>22406.6584216906</v>
      </c>
      <c r="S244" s="42" t="n">
        <f aca="false">R244/$K$2</f>
        <v>198.464645010546</v>
      </c>
      <c r="T244" s="43" t="n">
        <f aca="false">S244-$M$2</f>
        <v>29.996974505674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-0.03125</v>
      </c>
      <c r="C245" s="25" t="n">
        <f aca="false">IF(T244&gt;0,D244,C244)</f>
        <v>0.015625</v>
      </c>
      <c r="D245" s="41" t="n">
        <f aca="false">(B245+C245)/2</f>
        <v>-0.0078125</v>
      </c>
      <c r="E245" s="15" t="n">
        <f aca="false">$C$2*(1+IF(E$3&lt;=$O$2,$D245,$D245-($D245-$I$238)*MIN(E$3-$O$2,$Q$2)/$Q$2))</f>
        <v>7421.5625</v>
      </c>
      <c r="F245" s="15" t="n">
        <f aca="false">E245*(1+IF(F$3&lt;=$O$2,$D245,$D245-($D245-$I$238)*MIN(F$3-$O$2,$Q$2)/$Q$2))</f>
        <v>7363.58154296875</v>
      </c>
      <c r="G245" s="15" t="n">
        <f aca="false">F245*(1+IF(G$3&lt;=$O$2,$D245,$D245-($D245-$I$238)*MIN(G$3-$O$2,$Q$2)/$Q$2))</f>
        <v>7306.05356216431</v>
      </c>
      <c r="H245" s="15" t="n">
        <f aca="false">G245*(1+IF(H$3&lt;=$O$2,$D245,$D245-($D245-$I$238)*MIN(H$3-$O$2,$Q$2)/$Q$2))</f>
        <v>7248.9750187099</v>
      </c>
      <c r="I245" s="15" t="n">
        <f aca="false">H245*(1+IF(I$3&lt;=$O$2,$D245,$D245-($D245-$I$238)*MIN(I$3-$O$2,$Q$2)/$Q$2))</f>
        <v>7192.34240137623</v>
      </c>
      <c r="J245" s="15" t="n">
        <f aca="false">I245*(1+IF(J$3&lt;=$O$2,$D245,$D245-($D245-$I$238)*MIN(J$3-$O$2,$Q$2)/$Q$2))</f>
        <v>7188.09891935942</v>
      </c>
      <c r="K245" s="15" t="n">
        <f aca="false">J245*(1+IF(K$3&lt;=$O$2,$D245,$D245-($D245-$I$238)*MIN(K$3-$O$2,$Q$2)/$Q$2))</f>
        <v>7235.77398544207</v>
      </c>
      <c r="L245" s="15" t="n">
        <f aca="false">K245*(1+IF(L$3&lt;=$O$2,$D245,$D245-($D245-$I$238)*MIN(L$3-$O$2,$Q$2)/$Q$2))</f>
        <v>7336.02563401037</v>
      </c>
      <c r="M245" s="15" t="n">
        <f aca="false">L245*(1+IF(M$3&lt;=$O$2,$D245,$D245-($D245-$I$238)*MIN(M$3-$O$2,$Q$2)/$Q$2))</f>
        <v>7490.65071431122</v>
      </c>
      <c r="N245" s="15" t="n">
        <f aca="false">M245*(1+IF(N$3&lt;=$O$2,$D245,$D245-($D245-$I$238)*MIN(N$3-$O$2,$Q$2)/$Q$2))</f>
        <v>7702.63612952623</v>
      </c>
      <c r="O245" s="15" t="n">
        <f aca="false">SUMPRODUCT(E245:N245,1/(1+$F$238)^$E$3:$N$3)*$E$2</f>
        <v>8575.39055249344</v>
      </c>
      <c r="P245" s="15" t="n">
        <f aca="false">N245*$E$2*(1+$I$238)/($F$238-$I$238)/(1+$F$238)^$N$3</f>
        <v>13606.9538243861</v>
      </c>
      <c r="Q245" s="15" t="n">
        <f aca="false">O245+P245</f>
        <v>22182.3443768796</v>
      </c>
      <c r="R245" s="15" t="n">
        <f aca="false">Q245-$G$2+$I$2</f>
        <v>19066.1443768796</v>
      </c>
      <c r="S245" s="42" t="n">
        <f aca="false">R245/$K$2</f>
        <v>168.876389520634</v>
      </c>
      <c r="T245" s="43" t="n">
        <f aca="false">S245-$M$2</f>
        <v>0.408719015762216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-0.03125</v>
      </c>
      <c r="C246" s="25" t="n">
        <f aca="false">IF(T245&gt;0,D245,C245)</f>
        <v>-0.0078125</v>
      </c>
      <c r="D246" s="41" t="n">
        <f aca="false">(B246+C246)/2</f>
        <v>-0.01953125</v>
      </c>
      <c r="E246" s="15" t="n">
        <f aca="false">$C$2*(1+IF(E$3&lt;=$O$2,$D246,$D246-($D246-$I$238)*MIN(E$3-$O$2,$Q$2)/$Q$2))</f>
        <v>7333.90625</v>
      </c>
      <c r="F246" s="15" t="n">
        <f aca="false">E246*(1+IF(F$3&lt;=$O$2,$D246,$D246-($D246-$I$238)*MIN(F$3-$O$2,$Q$2)/$Q$2))</f>
        <v>7190.66589355469</v>
      </c>
      <c r="G246" s="15" t="n">
        <f aca="false">F246*(1+IF(G$3&lt;=$O$2,$D246,$D246-($D246-$I$238)*MIN(G$3-$O$2,$Q$2)/$Q$2))</f>
        <v>7050.2232003212</v>
      </c>
      <c r="H246" s="15" t="n">
        <f aca="false">G246*(1+IF(H$3&lt;=$O$2,$D246,$D246-($D246-$I$238)*MIN(H$3-$O$2,$Q$2)/$Q$2))</f>
        <v>6912.52352843992</v>
      </c>
      <c r="I246" s="15" t="n">
        <f aca="false">H246*(1+IF(I$3&lt;=$O$2,$D246,$D246-($D246-$I$238)*MIN(I$3-$O$2,$Q$2)/$Q$2))</f>
        <v>6777.51330327508</v>
      </c>
      <c r="J246" s="15" t="n">
        <f aca="false">I246*(1+IF(J$3&lt;=$O$2,$D246,$D246-($D246-$I$238)*MIN(J$3-$O$2,$Q$2)/$Q$2))</f>
        <v>6709.97538320795</v>
      </c>
      <c r="K246" s="15" t="n">
        <f aca="false">J246*(1+IF(K$3&lt;=$O$2,$D246,$D246-($D246-$I$238)*MIN(K$3-$O$2,$Q$2)/$Q$2))</f>
        <v>6707.29978052389</v>
      </c>
      <c r="L246" s="15" t="n">
        <f aca="false">K246*(1+IF(L$3&lt;=$O$2,$D246,$D246-($D246-$I$238)*MIN(L$3-$O$2,$Q$2)/$Q$2))</f>
        <v>6768.78895126185</v>
      </c>
      <c r="M246" s="15" t="n">
        <f aca="false">L246*(1+IF(M$3&lt;=$O$2,$D246,$D246-($D246-$I$238)*MIN(M$3-$O$2,$Q$2)/$Q$2))</f>
        <v>6895.59375127755</v>
      </c>
      <c r="N246" s="15" t="n">
        <f aca="false">M246*(1+IF(N$3&lt;=$O$2,$D246,$D246-($D246-$I$238)*MIN(N$3-$O$2,$Q$2)/$Q$2))</f>
        <v>7090.7390544387</v>
      </c>
      <c r="O246" s="15" t="n">
        <f aca="false">SUMPRODUCT(E246:N246,1/(1+$F$238)^$E$3:$N$3)*$E$2</f>
        <v>8144.99737544657</v>
      </c>
      <c r="P246" s="15" t="n">
        <f aca="false">N246*$E$2*(1+$I$238)/($F$238-$I$238)/(1+$F$238)^$N$3</f>
        <v>12526.0180115055</v>
      </c>
      <c r="Q246" s="15" t="n">
        <f aca="false">O246+P246</f>
        <v>20671.0153869521</v>
      </c>
      <c r="R246" s="15" t="n">
        <f aca="false">Q246-$G$2+$I$2</f>
        <v>17554.8153869521</v>
      </c>
      <c r="S246" s="42" t="n">
        <f aca="false">R246/$K$2</f>
        <v>155.489950283012</v>
      </c>
      <c r="T246" s="43" t="n">
        <f aca="false">S246-$M$2</f>
        <v>-12.9777202218593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-0.01953125</v>
      </c>
      <c r="C247" s="25" t="n">
        <f aca="false">IF(T246&gt;0,D246,C246)</f>
        <v>-0.0078125</v>
      </c>
      <c r="D247" s="41" t="n">
        <f aca="false">(B247+C247)/2</f>
        <v>-0.013671875</v>
      </c>
      <c r="E247" s="15" t="n">
        <f aca="false">$C$2*(1+IF(E$3&lt;=$O$2,$D247,$D247-($D247-$I$238)*MIN(E$3-$O$2,$Q$2)/$Q$2))</f>
        <v>7377.734375</v>
      </c>
      <c r="F247" s="15" t="n">
        <f aca="false">E247*(1+IF(F$3&lt;=$O$2,$D247,$D247-($D247-$I$238)*MIN(F$3-$O$2,$Q$2)/$Q$2))</f>
        <v>7276.8669128418</v>
      </c>
      <c r="G247" s="15" t="n">
        <f aca="false">F247*(1+IF(G$3&lt;=$O$2,$D247,$D247-($D247-$I$238)*MIN(G$3-$O$2,$Q$2)/$Q$2))</f>
        <v>7177.37849801779</v>
      </c>
      <c r="H247" s="15" t="n">
        <f aca="false">G247*(1+IF(H$3&lt;=$O$2,$D247,$D247-($D247-$I$238)*MIN(H$3-$O$2,$Q$2)/$Q$2))</f>
        <v>7079.2502763652</v>
      </c>
      <c r="I247" s="15" t="n">
        <f aca="false">H247*(1+IF(I$3&lt;=$O$2,$D247,$D247-($D247-$I$238)*MIN(I$3-$O$2,$Q$2)/$Q$2))</f>
        <v>6982.46365149302</v>
      </c>
      <c r="J247" s="15" t="n">
        <f aca="false">I247*(1+IF(J$3&lt;=$O$2,$D247,$D247-($D247-$I$238)*MIN(J$3-$O$2,$Q$2)/$Q$2))</f>
        <v>6945.61369957227</v>
      </c>
      <c r="K247" s="15" t="n">
        <f aca="false">J247*(1+IF(K$3&lt;=$O$2,$D247,$D247-($D247-$I$238)*MIN(K$3-$O$2,$Q$2)/$Q$2))</f>
        <v>6967.26230927212</v>
      </c>
      <c r="L247" s="15" t="n">
        <f aca="false">K247*(1+IF(L$3&lt;=$O$2,$D247,$D247-($D247-$I$238)*MIN(L$3-$O$2,$Q$2)/$Q$2))</f>
        <v>7047.46420752973</v>
      </c>
      <c r="M247" s="15" t="n">
        <f aca="false">L247*(1+IF(M$3&lt;=$O$2,$D247,$D247-($D247-$I$238)*MIN(M$3-$O$2,$Q$2)/$Q$2))</f>
        <v>7187.74838724574</v>
      </c>
      <c r="N247" s="15" t="n">
        <f aca="false">M247*(1+IF(N$3&lt;=$O$2,$D247,$D247-($D247-$I$238)*MIN(N$3-$O$2,$Q$2)/$Q$2))</f>
        <v>7391.16166660479</v>
      </c>
      <c r="O247" s="15" t="n">
        <f aca="false">SUMPRODUCT(E247:N247,1/(1+$F$238)^$E$3:$N$3)*$E$2</f>
        <v>8357.35382020139</v>
      </c>
      <c r="P247" s="15" t="n">
        <f aca="false">N247*$E$2*(1+$I$238)/($F$238-$I$238)/(1+$F$238)^$N$3</f>
        <v>13056.7241934937</v>
      </c>
      <c r="Q247" s="15" t="n">
        <f aca="false">O247+P247</f>
        <v>21414.0780136951</v>
      </c>
      <c r="R247" s="15" t="n">
        <f aca="false">Q247-$G$2+$I$2</f>
        <v>18297.8780136951</v>
      </c>
      <c r="S247" s="42" t="n">
        <f aca="false">R247/$K$2</f>
        <v>162.07155016559</v>
      </c>
      <c r="T247" s="43" t="n">
        <f aca="false">S247-$M$2</f>
        <v>-6.39612033928131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-0.013671875</v>
      </c>
      <c r="C248" s="25" t="n">
        <f aca="false">IF(T247&gt;0,D247,C247)</f>
        <v>-0.0078125</v>
      </c>
      <c r="D248" s="41" t="n">
        <f aca="false">(B248+C248)/2</f>
        <v>-0.0107421875</v>
      </c>
      <c r="E248" s="15" t="n">
        <f aca="false">$C$2*(1+IF(E$3&lt;=$O$2,$D248,$D248-($D248-$I$238)*MIN(E$3-$O$2,$Q$2)/$Q$2))</f>
        <v>7399.6484375</v>
      </c>
      <c r="F248" s="15" t="n">
        <f aca="false">E248*(1+IF(F$3&lt;=$O$2,$D248,$D248-($D248-$I$238)*MIN(F$3-$O$2,$Q$2)/$Q$2))</f>
        <v>7320.16002655029</v>
      </c>
      <c r="G248" s="15" t="n">
        <f aca="false">F248*(1+IF(G$3&lt;=$O$2,$D248,$D248-($D248-$I$238)*MIN(G$3-$O$2,$Q$2)/$Q$2))</f>
        <v>7241.52549501509</v>
      </c>
      <c r="H248" s="15" t="n">
        <f aca="false">G248*(1+IF(H$3&lt;=$O$2,$D248,$D248-($D248-$I$238)*MIN(H$3-$O$2,$Q$2)/$Q$2))</f>
        <v>7163.7356703616</v>
      </c>
      <c r="I248" s="15" t="n">
        <f aca="false">H248*(1+IF(I$3&lt;=$O$2,$D248,$D248-($D248-$I$238)*MIN(I$3-$O$2,$Q$2)/$Q$2))</f>
        <v>7086.78147859014</v>
      </c>
      <c r="J248" s="15" t="n">
        <f aca="false">I248*(1+IF(J$3&lt;=$O$2,$D248,$D248-($D248-$I$238)*MIN(J$3-$O$2,$Q$2)/$Q$2))</f>
        <v>7065.99063342733</v>
      </c>
      <c r="K248" s="15" t="n">
        <f aca="false">J248*(1+IF(K$3&lt;=$O$2,$D248,$D248-($D248-$I$238)*MIN(K$3-$O$2,$Q$2)/$Q$2))</f>
        <v>7100.43512964321</v>
      </c>
      <c r="L248" s="15" t="n">
        <f aca="false">K248*(1+IF(L$3&lt;=$O$2,$D248,$D248-($D248-$I$238)*MIN(L$3-$O$2,$Q$2)/$Q$2))</f>
        <v>7190.49083594687</v>
      </c>
      <c r="M248" s="15" t="n">
        <f aca="false">L248*(1+IF(M$3&lt;=$O$2,$D248,$D248-($D248-$I$238)*MIN(M$3-$O$2,$Q$2)/$Q$2))</f>
        <v>7337.83522831735</v>
      </c>
      <c r="N248" s="15" t="n">
        <f aca="false">M248*(1+IF(N$3&lt;=$O$2,$D248,$D248-($D248-$I$238)*MIN(N$3-$O$2,$Q$2)/$Q$2))</f>
        <v>7545.49596527873</v>
      </c>
      <c r="O248" s="15" t="n">
        <f aca="false">SUMPRODUCT(E248:N248,1/(1+$F$238)^$E$3:$N$3)*$E$2</f>
        <v>8465.65323420475</v>
      </c>
      <c r="P248" s="15" t="n">
        <f aca="false">N248*$E$2*(1+$I$238)/($F$238-$I$238)/(1+$F$238)^$N$3</f>
        <v>13329.3606831658</v>
      </c>
      <c r="Q248" s="15" t="n">
        <f aca="false">O248+P248</f>
        <v>21795.0139173706</v>
      </c>
      <c r="R248" s="15" t="n">
        <f aca="false">Q248-$G$2+$I$2</f>
        <v>18678.8139173706</v>
      </c>
      <c r="S248" s="42" t="n">
        <f aca="false">R248/$K$2</f>
        <v>165.445650286719</v>
      </c>
      <c r="T248" s="43" t="n">
        <f aca="false">S248-$M$2</f>
        <v>-3.02202021815268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-0.0107421875</v>
      </c>
      <c r="C249" s="25" t="n">
        <f aca="false">IF(T248&gt;0,D248,C248)</f>
        <v>-0.0078125</v>
      </c>
      <c r="D249" s="41" t="n">
        <f aca="false">(B249+C249)/2</f>
        <v>-0.00927734375</v>
      </c>
      <c r="E249" s="15" t="n">
        <f aca="false">$C$2*(1+IF(E$3&lt;=$O$2,$D249,$D249-($D249-$I$238)*MIN(E$3-$O$2,$Q$2)/$Q$2))</f>
        <v>7410.60546875</v>
      </c>
      <c r="F249" s="15" t="n">
        <f aca="false">E249*(1+IF(F$3&lt;=$O$2,$D249,$D249-($D249-$I$238)*MIN(F$3-$O$2,$Q$2)/$Q$2))</f>
        <v>7341.85473442078</v>
      </c>
      <c r="G249" s="15" t="n">
        <f aca="false">F249*(1+IF(G$3&lt;=$O$2,$D249,$D249-($D249-$I$238)*MIN(G$3-$O$2,$Q$2)/$Q$2))</f>
        <v>7273.74182428699</v>
      </c>
      <c r="H249" s="15" t="n">
        <f aca="false">G249*(1+IF(H$3&lt;=$O$2,$D249,$D249-($D249-$I$238)*MIN(H$3-$O$2,$Q$2)/$Q$2))</f>
        <v>7206.26082103433</v>
      </c>
      <c r="I249" s="15" t="n">
        <f aca="false">H249*(1+IF(I$3&lt;=$O$2,$D249,$D249-($D249-$I$238)*MIN(I$3-$O$2,$Q$2)/$Q$2))</f>
        <v>7139.40586224544</v>
      </c>
      <c r="J249" s="15" t="n">
        <f aca="false">I249*(1+IF(J$3&lt;=$O$2,$D249,$D249-($D249-$I$238)*MIN(J$3-$O$2,$Q$2)/$Q$2))</f>
        <v>7126.82712154189</v>
      </c>
      <c r="K249" s="15" t="n">
        <f aca="false">J249*(1+IF(K$3&lt;=$O$2,$D249,$D249-($D249-$I$238)*MIN(K$3-$O$2,$Q$2)/$Q$2))</f>
        <v>7167.83198952573</v>
      </c>
      <c r="L249" s="15" t="n">
        <f aca="false">K249*(1+IF(L$3&lt;=$O$2,$D249,$D249-($D249-$I$238)*MIN(L$3-$O$2,$Q$2)/$Q$2))</f>
        <v>7262.94240018424</v>
      </c>
      <c r="M249" s="15" t="n">
        <f aca="false">L249*(1+IF(M$3&lt;=$O$2,$D249,$D249-($D249-$I$238)*MIN(M$3-$O$2,$Q$2)/$Q$2))</f>
        <v>7413.89925346782</v>
      </c>
      <c r="N249" s="15" t="n">
        <f aca="false">M249*(1+IF(N$3&lt;=$O$2,$D249,$D249-($D249-$I$238)*MIN(N$3-$O$2,$Q$2)/$Q$2))</f>
        <v>7623.71260234096</v>
      </c>
      <c r="O249" s="15" t="n">
        <f aca="false">SUMPRODUCT(E249:N249,1/(1+$F$238)^$E$3:$N$3)*$E$2</f>
        <v>8520.3410300994</v>
      </c>
      <c r="P249" s="15" t="n">
        <f aca="false">N249*$E$2*(1+$I$238)/($F$238-$I$238)/(1+$F$238)^$N$3</f>
        <v>13467.5328817362</v>
      </c>
      <c r="Q249" s="15" t="n">
        <f aca="false">O249+P249</f>
        <v>21987.8739118356</v>
      </c>
      <c r="R249" s="15" t="n">
        <f aca="false">Q249-$G$2+$I$2</f>
        <v>18871.6739118356</v>
      </c>
      <c r="S249" s="42" t="n">
        <f aca="false">R249/$K$2</f>
        <v>167.153887615905</v>
      </c>
      <c r="T249" s="43" t="n">
        <f aca="false">S249-$M$2</f>
        <v>-1.31378288896704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-0.00927734375</v>
      </c>
      <c r="C250" s="25" t="n">
        <f aca="false">IF(T249&gt;0,D249,C249)</f>
        <v>-0.0078125</v>
      </c>
      <c r="D250" s="41" t="n">
        <f aca="false">(B250+C250)/2</f>
        <v>-0.008544921875</v>
      </c>
      <c r="E250" s="15" t="n">
        <f aca="false">$C$2*(1+IF(E$3&lt;=$O$2,$D250,$D250-($D250-$I$238)*MIN(E$3-$O$2,$Q$2)/$Q$2))</f>
        <v>7416.083984375</v>
      </c>
      <c r="F250" s="15" t="n">
        <f aca="false">E250*(1+IF(F$3&lt;=$O$2,$D250,$D250-($D250-$I$238)*MIN(F$3-$O$2,$Q$2)/$Q$2))</f>
        <v>7352.71412611008</v>
      </c>
      <c r="G250" s="15" t="n">
        <f aca="false">F250*(1+IF(G$3&lt;=$O$2,$D250,$D250-($D250-$I$238)*MIN(G$3-$O$2,$Q$2)/$Q$2))</f>
        <v>7289.88575833326</v>
      </c>
      <c r="H250" s="15" t="n">
        <f aca="false">G250*(1+IF(H$3&lt;=$O$2,$D250,$D250-($D250-$I$238)*MIN(H$3-$O$2,$Q$2)/$Q$2))</f>
        <v>7227.59425405063</v>
      </c>
      <c r="I250" s="15" t="n">
        <f aca="false">H250*(1+IF(I$3&lt;=$O$2,$D250,$D250-($D250-$I$238)*MIN(I$3-$O$2,$Q$2)/$Q$2))</f>
        <v>7165.83502580556</v>
      </c>
      <c r="J250" s="15" t="n">
        <f aca="false">I250*(1+IF(J$3&lt;=$O$2,$D250,$D250-($D250-$I$238)*MIN(J$3-$O$2,$Q$2)/$Q$2))</f>
        <v>7157.40845167991</v>
      </c>
      <c r="K250" s="15" t="n">
        <f aca="false">J250*(1+IF(K$3&lt;=$O$2,$D250,$D250-($D250-$I$238)*MIN(K$3-$O$2,$Q$2)/$Q$2))</f>
        <v>7201.73461772468</v>
      </c>
      <c r="L250" s="15" t="n">
        <f aca="false">K250*(1+IF(L$3&lt;=$O$2,$D250,$D250-($D250-$I$238)*MIN(L$3-$O$2,$Q$2)/$Q$2))</f>
        <v>7299.40476766447</v>
      </c>
      <c r="M250" s="15" t="n">
        <f aca="false">L250*(1+IF(M$3&lt;=$O$2,$D250,$D250-($D250-$I$238)*MIN(M$3-$O$2,$Q$2)/$Q$2))</f>
        <v>7452.18872290965</v>
      </c>
      <c r="N250" s="15" t="n">
        <f aca="false">M250*(1+IF(N$3&lt;=$O$2,$D250,$D250-($D250-$I$238)*MIN(N$3-$O$2,$Q$2)/$Q$2))</f>
        <v>7663.085663768</v>
      </c>
      <c r="O250" s="15" t="n">
        <f aca="false">SUMPRODUCT(E250:N250,1/(1+$F$238)^$E$3:$N$3)*$E$2</f>
        <v>8547.82043415966</v>
      </c>
      <c r="P250" s="15" t="n">
        <f aca="false">N250*$E$2*(1+$I$238)/($F$238-$I$238)/(1+$F$238)^$N$3</f>
        <v>13537.0866578401</v>
      </c>
      <c r="Q250" s="15" t="n">
        <f aca="false">O250+P250</f>
        <v>22084.9070919997</v>
      </c>
      <c r="R250" s="15" t="n">
        <f aca="false">Q250-$G$2+$I$2</f>
        <v>18968.7070919997</v>
      </c>
      <c r="S250" s="42" t="n">
        <f aca="false">R250/$K$2</f>
        <v>168.013348910538</v>
      </c>
      <c r="T250" s="43" t="n">
        <f aca="false">S250-$M$2</f>
        <v>-0.454321594333749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-0.008544921875</v>
      </c>
      <c r="C251" s="25" t="n">
        <f aca="false">IF(T250&gt;0,D250,C250)</f>
        <v>-0.0078125</v>
      </c>
      <c r="D251" s="41" t="n">
        <f aca="false">(B251+C251)/2</f>
        <v>-0.0081787109375</v>
      </c>
      <c r="E251" s="15" t="n">
        <f aca="false">$C$2*(1+IF(E$3&lt;=$O$2,$D251,$D251-($D251-$I$238)*MIN(E$3-$O$2,$Q$2)/$Q$2))</f>
        <v>7418.8232421875</v>
      </c>
      <c r="F251" s="15" t="n">
        <f aca="false">E251*(1+IF(F$3&lt;=$O$2,$D251,$D251-($D251-$I$238)*MIN(F$3-$O$2,$Q$2)/$Q$2))</f>
        <v>7358.14683139324</v>
      </c>
      <c r="G251" s="15" t="n">
        <f aca="false">F251*(1+IF(G$3&lt;=$O$2,$D251,$D251-($D251-$I$238)*MIN(G$3-$O$2,$Q$2)/$Q$2))</f>
        <v>7297.9666754236</v>
      </c>
      <c r="H251" s="15" t="n">
        <f aca="false">G251*(1+IF(H$3&lt;=$O$2,$D251,$D251-($D251-$I$238)*MIN(H$3-$O$2,$Q$2)/$Q$2))</f>
        <v>7238.2787155538</v>
      </c>
      <c r="I251" s="15" t="n">
        <f aca="false">H251*(1+IF(I$3&lt;=$O$2,$D251,$D251-($D251-$I$238)*MIN(I$3-$O$2,$Q$2)/$Q$2))</f>
        <v>7179.07892625422</v>
      </c>
      <c r="J251" s="15" t="n">
        <f aca="false">I251*(1+IF(J$3&lt;=$O$2,$D251,$D251-($D251-$I$238)*MIN(J$3-$O$2,$Q$2)/$Q$2))</f>
        <v>7172.74002390856</v>
      </c>
      <c r="K251" s="15" t="n">
        <f aca="false">J251*(1+IF(K$3&lt;=$O$2,$D251,$D251-($D251-$I$238)*MIN(K$3-$O$2,$Q$2)/$Q$2))</f>
        <v>7218.73718060797</v>
      </c>
      <c r="L251" s="15" t="n">
        <f aca="false">K251*(1+IF(L$3&lt;=$O$2,$D251,$D251-($D251-$I$238)*MIN(L$3-$O$2,$Q$2)/$Q$2))</f>
        <v>7317.6953520411</v>
      </c>
      <c r="M251" s="15" t="n">
        <f aca="false">L251*(1+IF(M$3&lt;=$O$2,$D251,$D251-($D251-$I$238)*MIN(M$3-$O$2,$Q$2)/$Q$2))</f>
        <v>7471.39811180871</v>
      </c>
      <c r="N251" s="15" t="n">
        <f aca="false">M251*(1+IF(N$3&lt;=$O$2,$D251,$D251-($D251-$I$238)*MIN(N$3-$O$2,$Q$2)/$Q$2))</f>
        <v>7682.8386783729</v>
      </c>
      <c r="O251" s="15" t="n">
        <f aca="false">SUMPRODUCT(E251:N251,1/(1+$F$238)^$E$3:$N$3)*$E$2</f>
        <v>8561.59413633464</v>
      </c>
      <c r="P251" s="15" t="n">
        <f aca="false">N251*$E$2*(1+$I$238)/($F$238-$I$238)/(1+$F$238)^$N$3</f>
        <v>13571.9809918189</v>
      </c>
      <c r="Q251" s="15" t="n">
        <f aca="false">O251+P251</f>
        <v>22133.5751281536</v>
      </c>
      <c r="R251" s="15" t="n">
        <f aca="false">Q251-$G$2+$I$2</f>
        <v>19017.3751281536</v>
      </c>
      <c r="S251" s="42" t="n">
        <f aca="false">R251/$K$2</f>
        <v>168.444420975674</v>
      </c>
      <c r="T251" s="43" t="n">
        <f aca="false">S251-$M$2</f>
        <v>-0.0232495291979262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-0.0081787109375</v>
      </c>
      <c r="C252" s="25" t="n">
        <f aca="false">IF(T251&gt;0,D251,C251)</f>
        <v>-0.0078125</v>
      </c>
      <c r="D252" s="41" t="n">
        <f aca="false">(B252+C252)/2</f>
        <v>-0.00799560546875</v>
      </c>
      <c r="E252" s="15" t="n">
        <f aca="false">$C$2*(1+IF(E$3&lt;=$O$2,$D252,$D252-($D252-$I$238)*MIN(E$3-$O$2,$Q$2)/$Q$2))</f>
        <v>7420.19287109375</v>
      </c>
      <c r="F252" s="15" t="n">
        <f aca="false">E252*(1+IF(F$3&lt;=$O$2,$D252,$D252-($D252-$I$238)*MIN(F$3-$O$2,$Q$2)/$Q$2))</f>
        <v>7360.86393639445</v>
      </c>
      <c r="G252" s="15" t="n">
        <f aca="false">F252*(1+IF(G$3&lt;=$O$2,$D252,$D252-($D252-$I$238)*MIN(G$3-$O$2,$Q$2)/$Q$2))</f>
        <v>7302.00937244989</v>
      </c>
      <c r="H252" s="15" t="n">
        <f aca="false">G252*(1+IF(H$3&lt;=$O$2,$D252,$D252-($D252-$I$238)*MIN(H$3-$O$2,$Q$2)/$Q$2))</f>
        <v>7243.62538637867</v>
      </c>
      <c r="I252" s="15" t="n">
        <f aca="false">H252*(1+IF(I$3&lt;=$O$2,$D252,$D252-($D252-$I$238)*MIN(I$3-$O$2,$Q$2)/$Q$2))</f>
        <v>7185.70821562576</v>
      </c>
      <c r="J252" s="15" t="n">
        <f aca="false">I252*(1+IF(J$3&lt;=$O$2,$D252,$D252-($D252-$I$238)*MIN(J$3-$O$2,$Q$2)/$Q$2))</f>
        <v>7180.41605380165</v>
      </c>
      <c r="K252" s="15" t="n">
        <f aca="false">J252*(1+IF(K$3&lt;=$O$2,$D252,$D252-($D252-$I$238)*MIN(K$3-$O$2,$Q$2)/$Q$2))</f>
        <v>7227.25129921008</v>
      </c>
      <c r="L252" s="15" t="n">
        <f aca="false">K252*(1+IF(L$3&lt;=$O$2,$D252,$D252-($D252-$I$238)*MIN(L$3-$O$2,$Q$2)/$Q$2))</f>
        <v>7326.85552626586</v>
      </c>
      <c r="M252" s="15" t="n">
        <f aca="false">L252*(1+IF(M$3&lt;=$O$2,$D252,$D252-($D252-$I$238)*MIN(M$3-$O$2,$Q$2)/$Q$2))</f>
        <v>7481.01900615761</v>
      </c>
      <c r="N252" s="15" t="n">
        <f aca="false">M252*(1+IF(N$3&lt;=$O$2,$D252,$D252-($D252-$I$238)*MIN(N$3-$O$2,$Q$2)/$Q$2))</f>
        <v>7692.73184403187</v>
      </c>
      <c r="O252" s="15" t="n">
        <f aca="false">SUMPRODUCT(E252:N252,1/(1+$F$238)^$E$3:$N$3)*$E$2</f>
        <v>8568.48950294996</v>
      </c>
      <c r="P252" s="15" t="n">
        <f aca="false">N252*$E$2*(1+$I$238)/($F$238-$I$238)/(1+$F$238)^$N$3</f>
        <v>13589.4575863296</v>
      </c>
      <c r="Q252" s="15" t="n">
        <f aca="false">O252+P252</f>
        <v>22157.9470892795</v>
      </c>
      <c r="R252" s="15" t="n">
        <f aca="false">Q252-$G$2+$I$2</f>
        <v>19041.7470892795</v>
      </c>
      <c r="S252" s="42" t="n">
        <f aca="false">R252/$K$2</f>
        <v>168.66029308485</v>
      </c>
      <c r="T252" s="43" t="n">
        <f aca="false">S252-$M$2</f>
        <v>0.19262257997795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-0.0081787109375</v>
      </c>
      <c r="C253" s="25" t="n">
        <f aca="false">IF(T252&gt;0,D252,C252)</f>
        <v>-0.00799560546875</v>
      </c>
      <c r="D253" s="41" t="n">
        <f aca="false">(B253+C253)/2</f>
        <v>-0.008087158203125</v>
      </c>
      <c r="E253" s="15" t="n">
        <f aca="false">$C$2*(1+IF(E$3&lt;=$O$2,$D253,$D253-($D253-$I$238)*MIN(E$3-$O$2,$Q$2)/$Q$2))</f>
        <v>7419.50805664063</v>
      </c>
      <c r="F253" s="15" t="n">
        <f aca="false">E253*(1+IF(F$3&lt;=$O$2,$D253,$D253-($D253-$I$238)*MIN(F$3-$O$2,$Q$2)/$Q$2))</f>
        <v>7359.50532119721</v>
      </c>
      <c r="G253" s="15" t="n">
        <f aca="false">F253*(1+IF(G$3&lt;=$O$2,$D253,$D253-($D253-$I$238)*MIN(G$3-$O$2,$Q$2)/$Q$2))</f>
        <v>7299.98783736795</v>
      </c>
      <c r="H253" s="15" t="n">
        <f aca="false">G253*(1+IF(H$3&lt;=$O$2,$D253,$D253-($D253-$I$238)*MIN(H$3-$O$2,$Q$2)/$Q$2))</f>
        <v>7240.95168084627</v>
      </c>
      <c r="I253" s="15" t="n">
        <f aca="false">H253*(1+IF(I$3&lt;=$O$2,$D253,$D253-($D253-$I$238)*MIN(I$3-$O$2,$Q$2)/$Q$2))</f>
        <v>7182.39295906208</v>
      </c>
      <c r="J253" s="15" t="n">
        <f aca="false">I253*(1+IF(J$3&lt;=$O$2,$D253,$D253-($D253-$I$238)*MIN(J$3-$O$2,$Q$2)/$Q$2))</f>
        <v>7176.57718470081</v>
      </c>
      <c r="K253" s="15" t="n">
        <f aca="false">J253*(1+IF(K$3&lt;=$O$2,$D253,$D253-($D253-$I$238)*MIN(K$3-$O$2,$Q$2)/$Q$2))</f>
        <v>7222.99316940186</v>
      </c>
      <c r="L253" s="15" t="n">
        <f aca="false">K253*(1+IF(L$3&lt;=$O$2,$D253,$D253-($D253-$I$238)*MIN(L$3-$O$2,$Q$2)/$Q$2))</f>
        <v>7322.27419803388</v>
      </c>
      <c r="M253" s="15" t="n">
        <f aca="false">L253*(1+IF(M$3&lt;=$O$2,$D253,$D253-($D253-$I$238)*MIN(M$3-$O$2,$Q$2)/$Q$2))</f>
        <v>7476.20720790814</v>
      </c>
      <c r="N253" s="15" t="n">
        <f aca="false">M253*(1+IF(N$3&lt;=$O$2,$D253,$D253-($D253-$I$238)*MIN(N$3-$O$2,$Q$2)/$Q$2))</f>
        <v>7687.78387189194</v>
      </c>
      <c r="O253" s="15" t="n">
        <f aca="false">SUMPRODUCT(E253:N253,1/(1+$F$238)^$E$3:$N$3)*$E$2</f>
        <v>8565.04110955341</v>
      </c>
      <c r="P253" s="15" t="n">
        <f aca="false">N253*$E$2*(1+$I$238)/($F$238-$I$238)/(1+$F$238)^$N$3</f>
        <v>13580.7168348128</v>
      </c>
      <c r="Q253" s="15" t="n">
        <f aca="false">O253+P253</f>
        <v>22145.7579443662</v>
      </c>
      <c r="R253" s="15" t="n">
        <f aca="false">Q253-$G$2+$I$2</f>
        <v>19029.5579443662</v>
      </c>
      <c r="S253" s="42" t="n">
        <f aca="false">R253/$K$2</f>
        <v>168.552329002358</v>
      </c>
      <c r="T253" s="43" t="n">
        <f aca="false">S253-$M$2</f>
        <v>0.0846584974860036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-0.0081787109375</v>
      </c>
      <c r="C254" s="25" t="n">
        <f aca="false">IF(T253&gt;0,D253,C253)</f>
        <v>-0.008087158203125</v>
      </c>
      <c r="D254" s="41" t="n">
        <f aca="false">(B254+C254)/2</f>
        <v>-0.0081329345703125</v>
      </c>
      <c r="E254" s="15" t="n">
        <f aca="false">$C$2*(1+IF(E$3&lt;=$O$2,$D254,$D254-($D254-$I$238)*MIN(E$3-$O$2,$Q$2)/$Q$2))</f>
        <v>7419.16564941406</v>
      </c>
      <c r="F254" s="15" t="n">
        <f aca="false">E254*(1+IF(F$3&lt;=$O$2,$D254,$D254-($D254-$I$238)*MIN(F$3-$O$2,$Q$2)/$Q$2))</f>
        <v>7358.82606062107</v>
      </c>
      <c r="G254" s="15" t="n">
        <f aca="false">F254*(1+IF(G$3&lt;=$O$2,$D254,$D254-($D254-$I$238)*MIN(G$3-$O$2,$Q$2)/$Q$2))</f>
        <v>7298.97720975573</v>
      </c>
      <c r="H254" s="15" t="n">
        <f aca="false">G254*(1+IF(H$3&lt;=$O$2,$D254,$D254-($D254-$I$238)*MIN(H$3-$O$2,$Q$2)/$Q$2))</f>
        <v>7239.61510567858</v>
      </c>
      <c r="I254" s="15" t="n">
        <f aca="false">H254*(1+IF(I$3&lt;=$O$2,$D254,$D254-($D254-$I$238)*MIN(I$3-$O$2,$Q$2)/$Q$2))</f>
        <v>7180.73578970985</v>
      </c>
      <c r="J254" s="15" t="n">
        <f aca="false">I254*(1+IF(J$3&lt;=$O$2,$D254,$D254-($D254-$I$238)*MIN(J$3-$O$2,$Q$2)/$Q$2))</f>
        <v>7174.65839080408</v>
      </c>
      <c r="K254" s="15" t="n">
        <f aca="false">J254*(1+IF(K$3&lt;=$O$2,$D254,$D254-($D254-$I$238)*MIN(K$3-$O$2,$Q$2)/$Q$2))</f>
        <v>7220.86490743393</v>
      </c>
      <c r="L254" s="15" t="n">
        <f aca="false">K254*(1+IF(L$3&lt;=$O$2,$D254,$D254-($D254-$I$238)*MIN(L$3-$O$2,$Q$2)/$Q$2))</f>
        <v>7319.98446482887</v>
      </c>
      <c r="M254" s="15" t="n">
        <f aca="false">L254*(1+IF(M$3&lt;=$O$2,$D254,$D254-($D254-$I$238)*MIN(M$3-$O$2,$Q$2)/$Q$2))</f>
        <v>7473.80232217096</v>
      </c>
      <c r="N254" s="15" t="n">
        <f aca="false">M254*(1+IF(N$3&lt;=$O$2,$D254,$D254-($D254-$I$238)*MIN(N$3-$O$2,$Q$2)/$Q$2))</f>
        <v>7685.3109278884</v>
      </c>
      <c r="O254" s="15" t="n">
        <f aca="false">SUMPRODUCT(E254:N254,1/(1+$F$238)^$E$3:$N$3)*$E$2</f>
        <v>8563.31744545643</v>
      </c>
      <c r="P254" s="15" t="n">
        <f aca="false">N254*$E$2*(1+$I$238)/($F$238-$I$238)/(1+$F$238)^$N$3</f>
        <v>13576.3482998981</v>
      </c>
      <c r="Q254" s="15" t="n">
        <f aca="false">O254+P254</f>
        <v>22139.6657453546</v>
      </c>
      <c r="R254" s="15" t="n">
        <f aca="false">Q254-$G$2+$I$2</f>
        <v>19023.4657453546</v>
      </c>
      <c r="S254" s="42" t="n">
        <f aca="false">R254/$K$2</f>
        <v>168.498367983654</v>
      </c>
      <c r="T254" s="43" t="n">
        <f aca="false">S254-$M$2</f>
        <v>0.0306974787827699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-0.0081787109375</v>
      </c>
      <c r="C255" s="25" t="n">
        <f aca="false">IF(T254&gt;0,D254,C254)</f>
        <v>-0.0081329345703125</v>
      </c>
      <c r="D255" s="41" t="n">
        <f aca="false">(B255+C255)/2</f>
        <v>-0.00815582275390625</v>
      </c>
      <c r="E255" s="15" t="n">
        <f aca="false">$C$2*(1+IF(E$3&lt;=$O$2,$D255,$D255-($D255-$I$238)*MIN(E$3-$O$2,$Q$2)/$Q$2))</f>
        <v>7418.99444580078</v>
      </c>
      <c r="F255" s="15" t="n">
        <f aca="false">E255*(1+IF(F$3&lt;=$O$2,$D255,$D255-($D255-$I$238)*MIN(F$3-$O$2,$Q$2)/$Q$2))</f>
        <v>7358.48644208862</v>
      </c>
      <c r="G255" s="15" t="n">
        <f aca="false">F255*(1+IF(G$3&lt;=$O$2,$D255,$D255-($D255-$I$238)*MIN(G$3-$O$2,$Q$2)/$Q$2))</f>
        <v>7298.47193092992</v>
      </c>
      <c r="H255" s="15" t="n">
        <f aca="false">G255*(1+IF(H$3&lt;=$O$2,$D255,$D255-($D255-$I$238)*MIN(H$3-$O$2,$Q$2)/$Q$2))</f>
        <v>7238.94688748689</v>
      </c>
      <c r="I255" s="15" t="n">
        <f aca="false">H255*(1+IF(I$3&lt;=$O$2,$D255,$D255-($D255-$I$238)*MIN(I$3-$O$2,$Q$2)/$Q$2))</f>
        <v>7179.90731974761</v>
      </c>
      <c r="J255" s="15" t="n">
        <f aca="false">I255*(1+IF(J$3&lt;=$O$2,$D255,$D255-($D255-$I$238)*MIN(J$3-$O$2,$Q$2)/$Q$2))</f>
        <v>7173.69915398591</v>
      </c>
      <c r="K255" s="15" t="n">
        <f aca="false">J255*(1+IF(K$3&lt;=$O$2,$D255,$D255-($D255-$I$238)*MIN(K$3-$O$2,$Q$2)/$Q$2))</f>
        <v>7219.80097713518</v>
      </c>
      <c r="L255" s="15" t="n">
        <f aca="false">K255*(1+IF(L$3&lt;=$O$2,$D255,$D255-($D255-$I$238)*MIN(L$3-$O$2,$Q$2)/$Q$2))</f>
        <v>7318.83983089174</v>
      </c>
      <c r="M255" s="15" t="n">
        <f aca="false">L255*(1+IF(M$3&lt;=$O$2,$D255,$D255-($D255-$I$238)*MIN(M$3-$O$2,$Q$2)/$Q$2))</f>
        <v>7472.60013257813</v>
      </c>
      <c r="N255" s="15" t="n">
        <f aca="false">M255*(1+IF(N$3&lt;=$O$2,$D255,$D255-($D255-$I$238)*MIN(N$3-$O$2,$Q$2)/$Q$2))</f>
        <v>7684.07471633009</v>
      </c>
      <c r="O255" s="15" t="n">
        <f aca="false">SUMPRODUCT(E255:N255,1/(1+$F$238)^$E$3:$N$3)*$E$2</f>
        <v>8562.45574652796</v>
      </c>
      <c r="P255" s="15" t="n">
        <f aca="false">N255*$E$2*(1+$I$238)/($F$238-$I$238)/(1+$F$238)^$N$3</f>
        <v>13574.1644925226</v>
      </c>
      <c r="Q255" s="15" t="n">
        <f aca="false">O255+P255</f>
        <v>22136.6202390505</v>
      </c>
      <c r="R255" s="15" t="n">
        <f aca="false">Q255-$G$2+$I$2</f>
        <v>19020.4202390505</v>
      </c>
      <c r="S255" s="42" t="n">
        <f aca="false">R255/$K$2</f>
        <v>168.471392728526</v>
      </c>
      <c r="T255" s="43" t="n">
        <f aca="false">S255-$M$2</f>
        <v>0.00372222365393782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-0.0081787109375</v>
      </c>
      <c r="C256" s="25" t="n">
        <f aca="false">IF(T255&gt;0,D255,C255)</f>
        <v>-0.00815582275390625</v>
      </c>
      <c r="D256" s="41" t="n">
        <f aca="false">(B256+C256)/2</f>
        <v>-0.00816726684570313</v>
      </c>
      <c r="E256" s="15" t="n">
        <f aca="false">$C$2*(1+IF(E$3&lt;=$O$2,$D256,$D256-($D256-$I$238)*MIN(E$3-$O$2,$Q$2)/$Q$2))</f>
        <v>7418.90884399414</v>
      </c>
      <c r="F256" s="15" t="n">
        <f aca="false">E256*(1+IF(F$3&lt;=$O$2,$D256,$D256-($D256-$I$238)*MIN(F$3-$O$2,$Q$2)/$Q$2))</f>
        <v>7358.31663576129</v>
      </c>
      <c r="G256" s="15" t="n">
        <f aca="false">F256*(1+IF(G$3&lt;=$O$2,$D256,$D256-($D256-$I$238)*MIN(G$3-$O$2,$Q$2)/$Q$2))</f>
        <v>7298.21930026185</v>
      </c>
      <c r="H256" s="15" t="n">
        <f aca="false">G256*(1+IF(H$3&lt;=$O$2,$D256,$D256-($D256-$I$238)*MIN(H$3-$O$2,$Q$2)/$Q$2))</f>
        <v>7238.61279573816</v>
      </c>
      <c r="I256" s="15" t="n">
        <f aca="false">H256*(1+IF(I$3&lt;=$O$2,$D256,$D256-($D256-$I$238)*MIN(I$3-$O$2,$Q$2)/$Q$2))</f>
        <v>7179.49311344264</v>
      </c>
      <c r="J256" s="15" t="n">
        <f aca="false">I256*(1+IF(J$3&lt;=$O$2,$D256,$D256-($D256-$I$238)*MIN(J$3-$O$2,$Q$2)/$Q$2))</f>
        <v>7173.21957560523</v>
      </c>
      <c r="K256" s="15" t="n">
        <f aca="false">J256*(1+IF(K$3&lt;=$O$2,$D256,$D256-($D256-$I$238)*MIN(K$3-$O$2,$Q$2)/$Q$2))</f>
        <v>7219.26906215101</v>
      </c>
      <c r="L256" s="15" t="n">
        <f aca="false">K256*(1+IF(L$3&lt;=$O$2,$D256,$D256-($D256-$I$238)*MIN(L$3-$O$2,$Q$2)/$Q$2))</f>
        <v>7318.26757208172</v>
      </c>
      <c r="M256" s="15" t="n">
        <f aca="false">L256*(1+IF(M$3&lt;=$O$2,$D256,$D256-($D256-$I$238)*MIN(M$3-$O$2,$Q$2)/$Q$2))</f>
        <v>7471.99910109176</v>
      </c>
      <c r="N256" s="15" t="n">
        <f aca="false">M256*(1+IF(N$3&lt;=$O$2,$D256,$D256-($D256-$I$238)*MIN(N$3-$O$2,$Q$2)/$Q$2))</f>
        <v>7683.45667565266</v>
      </c>
      <c r="O256" s="15" t="n">
        <f aca="false">SUMPRODUCT(E256:N256,1/(1+$F$238)^$E$3:$N$3)*$E$2</f>
        <v>8562.02493033995</v>
      </c>
      <c r="P256" s="15" t="n">
        <f aca="false">N256*$E$2*(1+$I$238)/($F$238-$I$238)/(1+$F$238)^$N$3</f>
        <v>13573.0727038391</v>
      </c>
      <c r="Q256" s="15" t="n">
        <f aca="false">O256+P256</f>
        <v>22135.097634179</v>
      </c>
      <c r="R256" s="15" t="n">
        <f aca="false">Q256-$G$2+$I$2</f>
        <v>19018.897634179</v>
      </c>
      <c r="S256" s="42" t="n">
        <f aca="false">R256/$K$2</f>
        <v>168.45790641434</v>
      </c>
      <c r="T256" s="43" t="n">
        <f aca="false">S256-$M$2</f>
        <v>-0.00976409053137672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-0.00816726684570313</v>
      </c>
      <c r="C257" s="25" t="n">
        <f aca="false">IF(T256&gt;0,D256,C256)</f>
        <v>-0.00815582275390625</v>
      </c>
      <c r="D257" s="41" t="n">
        <f aca="false">(B257+C257)/2</f>
        <v>-0.00816154479980469</v>
      </c>
      <c r="E257" s="15" t="n">
        <f aca="false">$C$2*(1+IF(E$3&lt;=$O$2,$D257,$D257-($D257-$I$238)*MIN(E$3-$O$2,$Q$2)/$Q$2))</f>
        <v>7418.95164489746</v>
      </c>
      <c r="F257" s="15" t="n">
        <f aca="false">E257*(1+IF(F$3&lt;=$O$2,$D257,$D257-($D257-$I$238)*MIN(F$3-$O$2,$Q$2)/$Q$2))</f>
        <v>7358.40153868005</v>
      </c>
      <c r="G257" s="15" t="n">
        <f aca="false">F257*(1+IF(G$3&lt;=$O$2,$D257,$D257-($D257-$I$238)*MIN(G$3-$O$2,$Q$2)/$Q$2))</f>
        <v>7298.34561486716</v>
      </c>
      <c r="H257" s="15" t="n">
        <f aca="false">G257*(1+IF(H$3&lt;=$O$2,$D257,$D257-($D257-$I$238)*MIN(H$3-$O$2,$Q$2)/$Q$2))</f>
        <v>7238.77984016696</v>
      </c>
      <c r="I257" s="15" t="n">
        <f aca="false">H257*(1+IF(I$3&lt;=$O$2,$D257,$D257-($D257-$I$238)*MIN(I$3-$O$2,$Q$2)/$Q$2))</f>
        <v>7179.70021420552</v>
      </c>
      <c r="J257" s="15" t="n">
        <f aca="false">I257*(1+IF(J$3&lt;=$O$2,$D257,$D257-($D257-$I$238)*MIN(J$3-$O$2,$Q$2)/$Q$2))</f>
        <v>7173.45936145999</v>
      </c>
      <c r="K257" s="15" t="n">
        <f aca="false">J257*(1+IF(K$3&lt;=$O$2,$D257,$D257-($D257-$I$238)*MIN(K$3-$O$2,$Q$2)/$Q$2))</f>
        <v>7219.53501546284</v>
      </c>
      <c r="L257" s="15" t="n">
        <f aca="false">K257*(1+IF(L$3&lt;=$O$2,$D257,$D257-($D257-$I$238)*MIN(L$3-$O$2,$Q$2)/$Q$2))</f>
        <v>7318.55369664042</v>
      </c>
      <c r="M257" s="15" t="n">
        <f aca="false">L257*(1+IF(M$3&lt;=$O$2,$D257,$D257-($D257-$I$238)*MIN(M$3-$O$2,$Q$2)/$Q$2))</f>
        <v>7472.29961155937</v>
      </c>
      <c r="N257" s="15" t="n">
        <f aca="false">M257*(1+IF(N$3&lt;=$O$2,$D257,$D257-($D257-$I$238)*MIN(N$3-$O$2,$Q$2)/$Q$2))</f>
        <v>7683.7656905665</v>
      </c>
      <c r="O257" s="15" t="n">
        <f aca="false">SUMPRODUCT(E257:N257,1/(1+$F$238)^$E$3:$N$3)*$E$2</f>
        <v>8562.24033566105</v>
      </c>
      <c r="P257" s="15" t="n">
        <f aca="false">N257*$E$2*(1+$I$238)/($F$238-$I$238)/(1+$F$238)^$N$3</f>
        <v>13573.6185885976</v>
      </c>
      <c r="Q257" s="15" t="n">
        <f aca="false">O257+P257</f>
        <v>22135.8589242587</v>
      </c>
      <c r="R257" s="15" t="n">
        <f aca="false">Q257-$G$2+$I$2</f>
        <v>19019.6589242587</v>
      </c>
      <c r="S257" s="42" t="n">
        <f aca="false">R257/$K$2</f>
        <v>168.46464946199</v>
      </c>
      <c r="T257" s="43" t="n">
        <f aca="false">S257-$M$2</f>
        <v>-0.00302104288175542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-0.00816154479980469</v>
      </c>
      <c r="C258" s="25" t="n">
        <f aca="false">IF(T257&gt;0,D257,C257)</f>
        <v>-0.00815582275390625</v>
      </c>
      <c r="D258" s="41" t="n">
        <f aca="false">(B258+C258)/2</f>
        <v>-0.00815868377685547</v>
      </c>
      <c r="E258" s="15" t="n">
        <f aca="false">$C$2*(1+IF(E$3&lt;=$O$2,$D258,$D258-($D258-$I$238)*MIN(E$3-$O$2,$Q$2)/$Q$2))</f>
        <v>7418.97304534912</v>
      </c>
      <c r="F258" s="15" t="n">
        <f aca="false">E258*(1+IF(F$3&lt;=$O$2,$D258,$D258-($D258-$I$238)*MIN(F$3-$O$2,$Q$2)/$Q$2))</f>
        <v>7358.4439903231</v>
      </c>
      <c r="G258" s="15" t="n">
        <f aca="false">F258*(1+IF(G$3&lt;=$O$2,$D258,$D258-($D258-$I$238)*MIN(G$3-$O$2,$Q$2)/$Q$2))</f>
        <v>7298.40877271635</v>
      </c>
      <c r="H258" s="15" t="n">
        <f aca="false">G258*(1+IF(H$3&lt;=$O$2,$D258,$D258-($D258-$I$238)*MIN(H$3-$O$2,$Q$2)/$Q$2))</f>
        <v>7238.86336346553</v>
      </c>
      <c r="I258" s="15" t="n">
        <f aca="false">H258*(1+IF(I$3&lt;=$O$2,$D258,$D258-($D258-$I$238)*MIN(I$3-$O$2,$Q$2)/$Q$2))</f>
        <v>7179.80376637915</v>
      </c>
      <c r="J258" s="15" t="n">
        <f aca="false">I258*(1+IF(J$3&lt;=$O$2,$D258,$D258-($D258-$I$238)*MIN(J$3-$O$2,$Q$2)/$Q$2))</f>
        <v>7173.57925688905</v>
      </c>
      <c r="K258" s="15" t="n">
        <f aca="false">J258*(1+IF(K$3&lt;=$O$2,$D258,$D258-($D258-$I$238)*MIN(K$3-$O$2,$Q$2)/$Q$2))</f>
        <v>7219.66799525393</v>
      </c>
      <c r="L258" s="15" t="n">
        <f aca="false">K258*(1+IF(L$3&lt;=$O$2,$D258,$D258-($D258-$I$238)*MIN(L$3-$O$2,$Q$2)/$Q$2))</f>
        <v>7318.69676255448</v>
      </c>
      <c r="M258" s="15" t="n">
        <f aca="false">L258*(1+IF(M$3&lt;=$O$2,$D258,$D258-($D258-$I$238)*MIN(M$3-$O$2,$Q$2)/$Q$2))</f>
        <v>7472.44987074984</v>
      </c>
      <c r="N258" s="15" t="n">
        <f aca="false">M258*(1+IF(N$3&lt;=$O$2,$D258,$D258-($D258-$I$238)*MIN(N$3-$O$2,$Q$2)/$Q$2))</f>
        <v>7683.92020209206</v>
      </c>
      <c r="O258" s="15" t="n">
        <f aca="false">SUMPRODUCT(E258:N258,1/(1+$F$238)^$E$3:$N$3)*$E$2</f>
        <v>8562.34804040127</v>
      </c>
      <c r="P258" s="15" t="n">
        <f aca="false">N258*$E$2*(1+$I$238)/($F$238-$I$238)/(1+$F$238)^$N$3</f>
        <v>13573.8915381642</v>
      </c>
      <c r="Q258" s="15" t="n">
        <f aca="false">O258+P258</f>
        <v>22136.2395785655</v>
      </c>
      <c r="R258" s="15" t="n">
        <f aca="false">Q258-$G$2+$I$2</f>
        <v>19020.0395785655</v>
      </c>
      <c r="S258" s="42" t="n">
        <f aca="false">R258/$K$2</f>
        <v>168.468021067897</v>
      </c>
      <c r="T258" s="43" t="n">
        <f aca="false">S258-$M$2</f>
        <v>0.000350563024909434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-0.00816154479980469</v>
      </c>
      <c r="C259" s="25" t="n">
        <f aca="false">IF(T258&gt;0,D258,C258)</f>
        <v>-0.00815868377685547</v>
      </c>
      <c r="D259" s="41" t="n">
        <f aca="false">(B259+C259)/2</f>
        <v>-0.00816011428833008</v>
      </c>
      <c r="E259" s="15" t="n">
        <f aca="false">$C$2*(1+IF(E$3&lt;=$O$2,$D259,$D259-($D259-$I$238)*MIN(E$3-$O$2,$Q$2)/$Q$2))</f>
        <v>7418.96234512329</v>
      </c>
      <c r="F259" s="15" t="n">
        <f aca="false">E259*(1+IF(F$3&lt;=$O$2,$D259,$D259-($D259-$I$238)*MIN(F$3-$O$2,$Q$2)/$Q$2))</f>
        <v>7358.42276448627</v>
      </c>
      <c r="G259" s="15" t="n">
        <f aca="false">F259*(1+IF(G$3&lt;=$O$2,$D259,$D259-($D259-$I$238)*MIN(G$3-$O$2,$Q$2)/$Q$2))</f>
        <v>7298.37719374621</v>
      </c>
      <c r="H259" s="15" t="n">
        <f aca="false">G259*(1+IF(H$3&lt;=$O$2,$D259,$D259-($D259-$I$238)*MIN(H$3-$O$2,$Q$2)/$Q$2))</f>
        <v>7238.8216017259</v>
      </c>
      <c r="I259" s="15" t="n">
        <f aca="false">H259*(1+IF(I$3&lt;=$O$2,$D259,$D259-($D259-$I$238)*MIN(I$3-$O$2,$Q$2)/$Q$2))</f>
        <v>7179.75199014298</v>
      </c>
      <c r="J259" s="15" t="n">
        <f aca="false">I259*(1+IF(J$3&lt;=$O$2,$D259,$D259-($D259-$I$238)*MIN(J$3-$O$2,$Q$2)/$Q$2))</f>
        <v>7173.51930896605</v>
      </c>
      <c r="K259" s="15" t="n">
        <f aca="false">J259*(1+IF(K$3&lt;=$O$2,$D259,$D259-($D259-$I$238)*MIN(K$3-$O$2,$Q$2)/$Q$2))</f>
        <v>7219.60150509712</v>
      </c>
      <c r="L259" s="15" t="n">
        <f aca="false">K259*(1+IF(L$3&lt;=$O$2,$D259,$D259-($D259-$I$238)*MIN(L$3-$O$2,$Q$2)/$Q$2))</f>
        <v>7318.62522929455</v>
      </c>
      <c r="M259" s="15" t="n">
        <f aca="false">L259*(1+IF(M$3&lt;=$O$2,$D259,$D259-($D259-$I$238)*MIN(M$3-$O$2,$Q$2)/$Q$2))</f>
        <v>7472.37474082488</v>
      </c>
      <c r="N259" s="15" t="n">
        <f aca="false">M259*(1+IF(N$3&lt;=$O$2,$D259,$D259-($D259-$I$238)*MIN(N$3-$O$2,$Q$2)/$Q$2))</f>
        <v>7683.84294599022</v>
      </c>
      <c r="O259" s="15" t="n">
        <f aca="false">SUMPRODUCT(E259:N259,1/(1+$F$238)^$E$3:$N$3)*$E$2</f>
        <v>8562.29418785785</v>
      </c>
      <c r="P259" s="15" t="n">
        <f aca="false">N259*$E$2*(1+$I$238)/($F$238-$I$238)/(1+$F$238)^$N$3</f>
        <v>13573.755062782</v>
      </c>
      <c r="Q259" s="15" t="n">
        <f aca="false">O259+P259</f>
        <v>22136.0492506398</v>
      </c>
      <c r="R259" s="15" t="n">
        <f aca="false">Q259-$G$2+$I$2</f>
        <v>19019.8492506398</v>
      </c>
      <c r="S259" s="42" t="n">
        <f aca="false">R259/$K$2</f>
        <v>168.466335258103</v>
      </c>
      <c r="T259" s="43" t="n">
        <f aca="false">S259-$M$2</f>
        <v>-0.00133524676860475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-0.00816011428833008</v>
      </c>
      <c r="C260" s="25" t="n">
        <f aca="false">IF(T259&gt;0,D259,C259)</f>
        <v>-0.00815868377685547</v>
      </c>
      <c r="D260" s="41" t="n">
        <f aca="false">(B260+C260)/2</f>
        <v>-0.00815939903259277</v>
      </c>
      <c r="E260" s="15" t="n">
        <f aca="false">$C$2*(1+IF(E$3&lt;=$O$2,$D260,$D260-($D260-$I$238)*MIN(E$3-$O$2,$Q$2)/$Q$2))</f>
        <v>7418.96769523621</v>
      </c>
      <c r="F260" s="15" t="n">
        <f aca="false">E260*(1+IF(F$3&lt;=$O$2,$D260,$D260-($D260-$I$238)*MIN(F$3-$O$2,$Q$2)/$Q$2))</f>
        <v>7358.43337740086</v>
      </c>
      <c r="G260" s="15" t="n">
        <f aca="false">F260*(1+IF(G$3&lt;=$O$2,$D260,$D260-($D260-$I$238)*MIN(G$3-$O$2,$Q$2)/$Q$2))</f>
        <v>7298.3929832199</v>
      </c>
      <c r="H260" s="15" t="n">
        <f aca="false">G260*(1+IF(H$3&lt;=$O$2,$D260,$D260-($D260-$I$238)*MIN(H$3-$O$2,$Q$2)/$Q$2))</f>
        <v>7238.84248257313</v>
      </c>
      <c r="I260" s="15" t="n">
        <f aca="false">H260*(1+IF(I$3&lt;=$O$2,$D260,$D260-($D260-$I$238)*MIN(I$3-$O$2,$Q$2)/$Q$2))</f>
        <v>7179.77787822373</v>
      </c>
      <c r="J260" s="15" t="n">
        <f aca="false">I260*(1+IF(J$3&lt;=$O$2,$D260,$D260-($D260-$I$238)*MIN(J$3-$O$2,$Q$2)/$Q$2))</f>
        <v>7173.54928287543</v>
      </c>
      <c r="K260" s="15" t="n">
        <f aca="false">J260*(1+IF(K$3&lt;=$O$2,$D260,$D260-($D260-$I$238)*MIN(K$3-$O$2,$Q$2)/$Q$2))</f>
        <v>7219.63475011021</v>
      </c>
      <c r="L260" s="15" t="n">
        <f aca="false">K260*(1+IF(L$3&lt;=$O$2,$D260,$D260-($D260-$I$238)*MIN(L$3-$O$2,$Q$2)/$Q$2))</f>
        <v>7318.66099584879</v>
      </c>
      <c r="M260" s="15" t="n">
        <f aca="false">L260*(1+IF(M$3&lt;=$O$2,$D260,$D260-($D260-$I$238)*MIN(M$3-$O$2,$Q$2)/$Q$2))</f>
        <v>7472.41230570493</v>
      </c>
      <c r="N260" s="15" t="n">
        <f aca="false">M260*(1+IF(N$3&lt;=$O$2,$D260,$D260-($D260-$I$238)*MIN(N$3-$O$2,$Q$2)/$Q$2))</f>
        <v>7683.88157395638</v>
      </c>
      <c r="O260" s="15" t="n">
        <f aca="false">SUMPRODUCT(E260:N260,1/(1+$F$238)^$E$3:$N$3)*$E$2</f>
        <v>8562.32111408624</v>
      </c>
      <c r="P260" s="15" t="n">
        <f aca="false">N260*$E$2*(1+$I$238)/($F$238-$I$238)/(1+$F$238)^$N$3</f>
        <v>13573.8233003234</v>
      </c>
      <c r="Q260" s="15" t="n">
        <f aca="false">O260+P260</f>
        <v>22136.1444144096</v>
      </c>
      <c r="R260" s="15" t="n">
        <f aca="false">Q260-$G$2+$I$2</f>
        <v>19019.9444144096</v>
      </c>
      <c r="S260" s="42" t="n">
        <f aca="false">R260/$K$2</f>
        <v>168.46717816129</v>
      </c>
      <c r="T260" s="43" t="n">
        <f aca="false">S260-$M$2</f>
        <v>-0.000492343581896648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-0.00815939903259277</v>
      </c>
      <c r="C261" s="25" t="n">
        <f aca="false">IF(T260&gt;0,D260,C260)</f>
        <v>-0.00815868377685547</v>
      </c>
      <c r="D261" s="41" t="n">
        <f aca="false">(B261+C261)/2</f>
        <v>-0.00815904140472412</v>
      </c>
      <c r="E261" s="15" t="n">
        <f aca="false">$C$2*(1+IF(E$3&lt;=$O$2,$D261,$D261-($D261-$I$238)*MIN(E$3-$O$2,$Q$2)/$Q$2))</f>
        <v>7418.97037029266</v>
      </c>
      <c r="F261" s="15" t="n">
        <f aca="false">E261*(1+IF(F$3&lt;=$O$2,$D261,$D261-($D261-$I$238)*MIN(F$3-$O$2,$Q$2)/$Q$2))</f>
        <v>7358.43868386102</v>
      </c>
      <c r="G261" s="15" t="n">
        <f aca="false">F261*(1+IF(G$3&lt;=$O$2,$D261,$D261-($D261-$I$238)*MIN(G$3-$O$2,$Q$2)/$Q$2))</f>
        <v>7298.40087796528</v>
      </c>
      <c r="H261" s="15" t="n">
        <f aca="false">G261*(1+IF(H$3&lt;=$O$2,$D261,$D261-($D261-$I$238)*MIN(H$3-$O$2,$Q$2)/$Q$2))</f>
        <v>7238.85292301369</v>
      </c>
      <c r="I261" s="15" t="n">
        <f aca="false">H261*(1+IF(I$3&lt;=$O$2,$D261,$D261-($D261-$I$238)*MIN(I$3-$O$2,$Q$2)/$Q$2))</f>
        <v>7179.79082229211</v>
      </c>
      <c r="J261" s="15" t="n">
        <f aca="false">I261*(1+IF(J$3&lt;=$O$2,$D261,$D261-($D261-$I$238)*MIN(J$3-$O$2,$Q$2)/$Q$2))</f>
        <v>7173.56426986921</v>
      </c>
      <c r="K261" s="15" t="n">
        <f aca="false">J261*(1+IF(K$3&lt;=$O$2,$D261,$D261-($D261-$I$238)*MIN(K$3-$O$2,$Q$2)/$Q$2))</f>
        <v>7219.65137266574</v>
      </c>
      <c r="L261" s="15" t="n">
        <f aca="false">K261*(1+IF(L$3&lt;=$O$2,$D261,$D261-($D261-$I$238)*MIN(L$3-$O$2,$Q$2)/$Q$2))</f>
        <v>7318.6788791827</v>
      </c>
      <c r="M261" s="15" t="n">
        <f aca="false">L261*(1+IF(M$3&lt;=$O$2,$D261,$D261-($D261-$I$238)*MIN(M$3-$O$2,$Q$2)/$Q$2))</f>
        <v>7472.43108820677</v>
      </c>
      <c r="N261" s="15" t="n">
        <f aca="false">M261*(1+IF(N$3&lt;=$O$2,$D261,$D261-($D261-$I$238)*MIN(N$3-$O$2,$Q$2)/$Q$2))</f>
        <v>7683.90088800303</v>
      </c>
      <c r="O261" s="15" t="n">
        <f aca="false">SUMPRODUCT(E261:N261,1/(1+$F$238)^$E$3:$N$3)*$E$2</f>
        <v>8562.33457723292</v>
      </c>
      <c r="P261" s="15" t="n">
        <f aca="false">N261*$E$2*(1+$I$238)/($F$238-$I$238)/(1+$F$238)^$N$3</f>
        <v>13573.8574192064</v>
      </c>
      <c r="Q261" s="15" t="n">
        <f aca="false">O261+P261</f>
        <v>22136.1919964393</v>
      </c>
      <c r="R261" s="15" t="n">
        <f aca="false">Q261-$G$2+$I$2</f>
        <v>19019.9919964393</v>
      </c>
      <c r="S261" s="42" t="n">
        <f aca="false">R261/$K$2</f>
        <v>168.467599614166</v>
      </c>
      <c r="T261" s="43" t="n">
        <f aca="false">S261-$M$2</f>
        <v>-7.08907060129604E-005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-0.00815904140472412</v>
      </c>
      <c r="C262" s="25" t="n">
        <f aca="false">IF(T261&gt;0,D261,C261)</f>
        <v>-0.00815868377685547</v>
      </c>
      <c r="D262" s="41" t="n">
        <f aca="false">(B262+C262)/2</f>
        <v>-0.0081588625907898</v>
      </c>
      <c r="E262" s="15" t="n">
        <f aca="false">$C$2*(1+IF(E$3&lt;=$O$2,$D262,$D262-($D262-$I$238)*MIN(E$3-$O$2,$Q$2)/$Q$2))</f>
        <v>7418.97170782089</v>
      </c>
      <c r="F262" s="15" t="n">
        <f aca="false">E262*(1+IF(F$3&lt;=$O$2,$D262,$D262-($D262-$I$238)*MIN(F$3-$O$2,$Q$2)/$Q$2))</f>
        <v>7358.44133709183</v>
      </c>
      <c r="G262" s="15" t="n">
        <f aca="false">F262*(1+IF(G$3&lt;=$O$2,$D262,$D262-($D262-$I$238)*MIN(G$3-$O$2,$Q$2)/$Q$2))</f>
        <v>7298.40482534011</v>
      </c>
      <c r="H262" s="15" t="n">
        <f aca="false">G262*(1+IF(H$3&lt;=$O$2,$D262,$D262-($D262-$I$238)*MIN(H$3-$O$2,$Q$2)/$Q$2))</f>
        <v>7238.8581432382</v>
      </c>
      <c r="I262" s="15" t="n">
        <f aca="false">H262*(1+IF(I$3&lt;=$O$2,$D262,$D262-($D262-$I$238)*MIN(I$3-$O$2,$Q$2)/$Q$2))</f>
        <v>7179.7972943333</v>
      </c>
      <c r="J262" s="15" t="n">
        <f aca="false">I262*(1+IF(J$3&lt;=$O$2,$D262,$D262-($D262-$I$238)*MIN(J$3-$O$2,$Q$2)/$Q$2))</f>
        <v>7173.57176337587</v>
      </c>
      <c r="K262" s="15" t="n">
        <f aca="false">J262*(1+IF(K$3&lt;=$O$2,$D262,$D262-($D262-$I$238)*MIN(K$3-$O$2,$Q$2)/$Q$2))</f>
        <v>7219.65968395576</v>
      </c>
      <c r="L262" s="15" t="n">
        <f aca="false">K262*(1+IF(L$3&lt;=$O$2,$D262,$D262-($D262-$I$238)*MIN(L$3-$O$2,$Q$2)/$Q$2))</f>
        <v>7318.68782086386</v>
      </c>
      <c r="M262" s="15" t="n">
        <f aca="false">L262*(1+IF(M$3&lt;=$O$2,$D262,$D262-($D262-$I$238)*MIN(M$3-$O$2,$Q$2)/$Q$2))</f>
        <v>7472.44047947315</v>
      </c>
      <c r="N262" s="15" t="n">
        <f aca="false">M262*(1+IF(N$3&lt;=$O$2,$D262,$D262-($D262-$I$238)*MIN(N$3-$O$2,$Q$2)/$Q$2))</f>
        <v>7683.91054504225</v>
      </c>
      <c r="O262" s="15" t="n">
        <f aca="false">SUMPRODUCT(E262:N262,1/(1+$F$238)^$E$3:$N$3)*$E$2</f>
        <v>8562.34130881439</v>
      </c>
      <c r="P262" s="15" t="n">
        <f aca="false">N262*$E$2*(1+$I$238)/($F$238-$I$238)/(1+$F$238)^$N$3</f>
        <v>13573.874478676</v>
      </c>
      <c r="Q262" s="15" t="n">
        <f aca="false">O262+P262</f>
        <v>22136.2157874903</v>
      </c>
      <c r="R262" s="15" t="n">
        <f aca="false">Q262-$G$2+$I$2</f>
        <v>19020.0157874903</v>
      </c>
      <c r="S262" s="42" t="n">
        <f aca="false">R262/$K$2</f>
        <v>168.467810340924</v>
      </c>
      <c r="T262" s="43" t="n">
        <f aca="false">S262-$M$2</f>
        <v>0.00013983605259682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-0.00815904140472412</v>
      </c>
      <c r="C263" s="25" t="n">
        <f aca="false">IF(T262&gt;0,D262,C262)</f>
        <v>-0.0081588625907898</v>
      </c>
      <c r="D263" s="41" t="n">
        <f aca="false">(B263+C263)/2</f>
        <v>-0.00815895199775696</v>
      </c>
      <c r="E263" s="15" t="n">
        <f aca="false">$C$2*(1+IF(E$3&lt;=$O$2,$D263,$D263-($D263-$I$238)*MIN(E$3-$O$2,$Q$2)/$Q$2))</f>
        <v>7418.97103905678</v>
      </c>
      <c r="F263" s="15" t="n">
        <f aca="false">E263*(1+IF(F$3&lt;=$O$2,$D263,$D263-($D263-$I$238)*MIN(F$3-$O$2,$Q$2)/$Q$2))</f>
        <v>7358.44001047636</v>
      </c>
      <c r="G263" s="15" t="n">
        <f aca="false">F263*(1+IF(G$3&lt;=$O$2,$D263,$D263-($D263-$I$238)*MIN(G$3-$O$2,$Q$2)/$Q$2))</f>
        <v>7298.40285165251</v>
      </c>
      <c r="H263" s="15" t="n">
        <f aca="false">G263*(1+IF(H$3&lt;=$O$2,$D263,$D263-($D263-$I$238)*MIN(H$3-$O$2,$Q$2)/$Q$2))</f>
        <v>7238.85553312559</v>
      </c>
      <c r="I263" s="15" t="n">
        <f aca="false">H263*(1+IF(I$3&lt;=$O$2,$D263,$D263-($D263-$I$238)*MIN(I$3-$O$2,$Q$2)/$Q$2))</f>
        <v>7179.79405831212</v>
      </c>
      <c r="J263" s="15" t="n">
        <f aca="false">I263*(1+IF(J$3&lt;=$O$2,$D263,$D263-($D263-$I$238)*MIN(J$3-$O$2,$Q$2)/$Q$2))</f>
        <v>7173.56801662173</v>
      </c>
      <c r="K263" s="15" t="n">
        <f aca="false">J263*(1+IF(K$3&lt;=$O$2,$D263,$D263-($D263-$I$238)*MIN(K$3-$O$2,$Q$2)/$Q$2))</f>
        <v>7219.65552830973</v>
      </c>
      <c r="L263" s="15" t="n">
        <f aca="false">K263*(1+IF(L$3&lt;=$O$2,$D263,$D263-($D263-$I$238)*MIN(L$3-$O$2,$Q$2)/$Q$2))</f>
        <v>7318.6833500221</v>
      </c>
      <c r="M263" s="15" t="n">
        <f aca="false">L263*(1+IF(M$3&lt;=$O$2,$D263,$D263-($D263-$I$238)*MIN(M$3-$O$2,$Q$2)/$Q$2))</f>
        <v>7472.43578383868</v>
      </c>
      <c r="N263" s="15" t="n">
        <f aca="false">M263*(1+IF(N$3&lt;=$O$2,$D263,$D263-($D263-$I$238)*MIN(N$3-$O$2,$Q$2)/$Q$2))</f>
        <v>7683.90571652131</v>
      </c>
      <c r="O263" s="15" t="n">
        <f aca="false">SUMPRODUCT(E263:N263,1/(1+$F$238)^$E$3:$N$3)*$E$2</f>
        <v>8562.33794302298</v>
      </c>
      <c r="P263" s="15" t="n">
        <f aca="false">N263*$E$2*(1+$I$238)/($F$238-$I$238)/(1+$F$238)^$N$3</f>
        <v>13573.8659489388</v>
      </c>
      <c r="Q263" s="15" t="n">
        <f aca="false">O263+P263</f>
        <v>22136.2038919618</v>
      </c>
      <c r="R263" s="15" t="n">
        <f aca="false">Q263-$G$2+$I$2</f>
        <v>19020.0038919618</v>
      </c>
      <c r="S263" s="42" t="n">
        <f aca="false">R263/$K$2</f>
        <v>168.467704977518</v>
      </c>
      <c r="T263" s="43" t="n">
        <f aca="false">S263-$M$2</f>
        <v>3.44726465471013E-005</v>
      </c>
    </row>
    <row r="265" customFormat="false" ht="15" hidden="false" customHeight="false" outlineLevel="0" collapsed="false">
      <c r="A265" s="38" t="s">
        <v>193</v>
      </c>
      <c r="E265" s="5" t="s">
        <v>11</v>
      </c>
      <c r="F265" s="12" t="n">
        <f aca="false">Sensitivity!$B$11</f>
        <v>0.0761268672746673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165</v>
      </c>
      <c r="B266" s="28" t="s">
        <v>166</v>
      </c>
      <c r="C266" s="28" t="s">
        <v>167</v>
      </c>
      <c r="D266" s="28" t="s">
        <v>168</v>
      </c>
      <c r="E266" s="28" t="s">
        <v>169</v>
      </c>
      <c r="F266" s="28" t="s">
        <v>170</v>
      </c>
      <c r="G266" s="28" t="s">
        <v>171</v>
      </c>
      <c r="H266" s="28" t="s">
        <v>172</v>
      </c>
      <c r="I266" s="28" t="s">
        <v>173</v>
      </c>
      <c r="J266" s="28" t="s">
        <v>174</v>
      </c>
      <c r="K266" s="28" t="s">
        <v>175</v>
      </c>
      <c r="L266" s="28" t="s">
        <v>176</v>
      </c>
      <c r="M266" s="28" t="s">
        <v>177</v>
      </c>
      <c r="N266" s="28" t="s">
        <v>178</v>
      </c>
      <c r="O266" s="28" t="s">
        <v>179</v>
      </c>
      <c r="P266" s="28" t="s">
        <v>180</v>
      </c>
      <c r="Q266" s="28" t="s">
        <v>181</v>
      </c>
      <c r="R266" s="28" t="s">
        <v>182</v>
      </c>
      <c r="S266" s="28" t="s">
        <v>183</v>
      </c>
      <c r="T266" s="28" t="s">
        <v>184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9350</v>
      </c>
      <c r="F267" s="15" t="n">
        <f aca="false">E267*(1+IF(F$3&lt;=$O$2,$D267,$D267-($D267-$I$265)*MIN(F$3-$O$2,$Q$2)/$Q$2))</f>
        <v>11687.5</v>
      </c>
      <c r="G267" s="15" t="n">
        <f aca="false">F267*(1+IF(G$3&lt;=$O$2,$D267,$D267-($D267-$I$265)*MIN(G$3-$O$2,$Q$2)/$Q$2))</f>
        <v>14609.375</v>
      </c>
      <c r="H267" s="15" t="n">
        <f aca="false">G267*(1+IF(H$3&lt;=$O$2,$D267,$D267-($D267-$I$265)*MIN(H$3-$O$2,$Q$2)/$Q$2))</f>
        <v>18261.71875</v>
      </c>
      <c r="I267" s="15" t="n">
        <f aca="false">H267*(1+IF(I$3&lt;=$O$2,$D267,$D267-($D267-$I$265)*MIN(I$3-$O$2,$Q$2)/$Q$2))</f>
        <v>22827.1484375</v>
      </c>
      <c r="J267" s="15" t="n">
        <f aca="false">I267*(1+IF(J$3&lt;=$O$2,$D267,$D267-($D267-$I$265)*MIN(J$3-$O$2,$Q$2)/$Q$2))</f>
        <v>27544.6069335938</v>
      </c>
      <c r="K267" s="15" t="n">
        <f aca="false">J267*(1+IF(K$3&lt;=$O$2,$D267,$D267-($D267-$I$265)*MIN(K$3-$O$2,$Q$2)/$Q$2))</f>
        <v>32043.1921379883</v>
      </c>
      <c r="L267" s="15" t="n">
        <f aca="false">K267*(1+IF(L$3&lt;=$O$2,$D267,$D267-($D267-$I$265)*MIN(L$3-$O$2,$Q$2)/$Q$2))</f>
        <v>35887.7343307041</v>
      </c>
      <c r="M267" s="15" t="n">
        <f aca="false">L267*(1+IF(M$3&lt;=$O$2,$D267,$D267-($D267-$I$265)*MIN(M$3-$O$2,$Q$2)/$Q$2))</f>
        <v>38638.1702898093</v>
      </c>
      <c r="N267" s="15" t="n">
        <f aca="false">M267*(1+IF(N$3&lt;=$O$2,$D267,$D267-($D267-$I$265)*MIN(N$3-$O$2,$Q$2)/$Q$2))</f>
        <v>39924.8213604599</v>
      </c>
      <c r="O267" s="15" t="n">
        <f aca="false">SUMPRODUCT(E267:N267,1/(1+$F$265)^$E$3:$N$3)*$E$2</f>
        <v>26684.1211101696</v>
      </c>
      <c r="P267" s="15" t="n">
        <f aca="false">N267*$E$2*(1+$I$265)/($F$265-$I$265)/(1+$F$265)^$N$3</f>
        <v>79145.5918686568</v>
      </c>
      <c r="Q267" s="15" t="n">
        <f aca="false">O267+P267</f>
        <v>105829.712978826</v>
      </c>
      <c r="R267" s="15" t="n">
        <f aca="false">Q267-$G$2+$I$2</f>
        <v>102713.512978826</v>
      </c>
      <c r="S267" s="42" t="n">
        <f aca="false">R267/$K$2</f>
        <v>909.774251362501</v>
      </c>
      <c r="T267" s="43" t="n">
        <f aca="false">S267-$M$2</f>
        <v>741.306580857629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6545</v>
      </c>
      <c r="F268" s="15" t="n">
        <f aca="false">E268*(1+IF(F$3&lt;=$O$2,$D268,$D268-($D268-$I$265)*MIN(F$3-$O$2,$Q$2)/$Q$2))</f>
        <v>5726.875</v>
      </c>
      <c r="G268" s="15" t="n">
        <f aca="false">F268*(1+IF(G$3&lt;=$O$2,$D268,$D268-($D268-$I$265)*MIN(G$3-$O$2,$Q$2)/$Q$2))</f>
        <v>5011.015625</v>
      </c>
      <c r="H268" s="15" t="n">
        <f aca="false">G268*(1+IF(H$3&lt;=$O$2,$D268,$D268-($D268-$I$265)*MIN(H$3-$O$2,$Q$2)/$Q$2))</f>
        <v>4384.638671875</v>
      </c>
      <c r="I268" s="15" t="n">
        <f aca="false">H268*(1+IF(I$3&lt;=$O$2,$D268,$D268-($D268-$I$265)*MIN(I$3-$O$2,$Q$2)/$Q$2))</f>
        <v>3836.55883789063</v>
      </c>
      <c r="J268" s="15" t="n">
        <f aca="false">I268*(1+IF(J$3&lt;=$O$2,$D268,$D268-($D268-$I$265)*MIN(J$3-$O$2,$Q$2)/$Q$2))</f>
        <v>3478.45443596191</v>
      </c>
      <c r="K268" s="15" t="n">
        <f aca="false">J268*(1+IF(K$3&lt;=$O$2,$D268,$D268-($D268-$I$265)*MIN(K$3-$O$2,$Q$2)/$Q$2))</f>
        <v>3263.90336635178</v>
      </c>
      <c r="L268" s="15" t="n">
        <f aca="false">K268*(1+IF(L$3&lt;=$O$2,$D268,$D268-($D268-$I$265)*MIN(L$3-$O$2,$Q$2)/$Q$2))</f>
        <v>3165.9209872939</v>
      </c>
      <c r="M268" s="15" t="n">
        <f aca="false">L268*(1+IF(M$3&lt;=$O$2,$D268,$D268-($D268-$I$265)*MIN(M$3-$O$2,$Q$2)/$Q$2))</f>
        <v>3171.11309771307</v>
      </c>
      <c r="N268" s="15" t="n">
        <f aca="false">M268*(1+IF(N$3&lt;=$O$2,$D268,$D268-($D268-$I$265)*MIN(N$3-$O$2,$Q$2)/$Q$2))</f>
        <v>3276.71116386691</v>
      </c>
      <c r="O268" s="15" t="n">
        <f aca="false">SUMPRODUCT(E268:N268,1/(1+$F$265)^$E$3:$N$3)*$E$2</f>
        <v>5157.8200736046</v>
      </c>
      <c r="P268" s="15" t="n">
        <f aca="false">N268*$E$2*(1+$I$265)/($F$265-$I$265)/(1+$F$265)^$N$3</f>
        <v>6495.63944458171</v>
      </c>
      <c r="Q268" s="15" t="n">
        <f aca="false">O268+P268</f>
        <v>11653.4595181863</v>
      </c>
      <c r="R268" s="15" t="n">
        <f aca="false">Q268-$G$2+$I$2</f>
        <v>8537.25951818631</v>
      </c>
      <c r="S268" s="42" t="n">
        <f aca="false">R268/$K$2</f>
        <v>75.6178876721551</v>
      </c>
      <c r="T268" s="43" t="n">
        <f aca="false">S268-$M$2</f>
        <v>-92.8497828327165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7947.5</v>
      </c>
      <c r="F269" s="15" t="n">
        <f aca="false">E269*(1+IF(F$3&lt;=$O$2,$D269,$D269-($D269-$I$265)*MIN(F$3-$O$2,$Q$2)/$Q$2))</f>
        <v>8444.21875</v>
      </c>
      <c r="G269" s="15" t="n">
        <f aca="false">F269*(1+IF(G$3&lt;=$O$2,$D269,$D269-($D269-$I$265)*MIN(G$3-$O$2,$Q$2)/$Q$2))</f>
        <v>8971.982421875</v>
      </c>
      <c r="H269" s="15" t="n">
        <f aca="false">G269*(1+IF(H$3&lt;=$O$2,$D269,$D269-($D269-$I$265)*MIN(H$3-$O$2,$Q$2)/$Q$2))</f>
        <v>9532.73132324219</v>
      </c>
      <c r="I269" s="15" t="n">
        <f aca="false">H269*(1+IF(I$3&lt;=$O$2,$D269,$D269-($D269-$I$265)*MIN(I$3-$O$2,$Q$2)/$Q$2))</f>
        <v>10128.5270309448</v>
      </c>
      <c r="J269" s="15" t="n">
        <f aca="false">I269*(1+IF(J$3&lt;=$O$2,$D269,$D269-($D269-$I$265)*MIN(J$3-$O$2,$Q$2)/$Q$2))</f>
        <v>10702.4093725182</v>
      </c>
      <c r="K269" s="15" t="n">
        <f aca="false">J269*(1+IF(K$3&lt;=$O$2,$D269,$D269-($D269-$I$265)*MIN(K$3-$O$2,$Q$2)/$Q$2))</f>
        <v>11246.3058168295</v>
      </c>
      <c r="L269" s="15" t="n">
        <f aca="false">K269*(1+IF(L$3&lt;=$O$2,$D269,$D269-($D269-$I$265)*MIN(L$3-$O$2,$Q$2)/$Q$2))</f>
        <v>11752.1646524705</v>
      </c>
      <c r="M269" s="15" t="n">
        <f aca="false">L269*(1+IF(M$3&lt;=$O$2,$D269,$D269-($D269-$I$265)*MIN(M$3-$O$2,$Q$2)/$Q$2))</f>
        <v>12212.1443769682</v>
      </c>
      <c r="N269" s="15" t="n">
        <f aca="false">M269*(1+IF(N$3&lt;=$O$2,$D269,$D269-($D269-$I$265)*MIN(N$3-$O$2,$Q$2)/$Q$2))</f>
        <v>12618.8087847213</v>
      </c>
      <c r="O269" s="15" t="n">
        <f aca="false">SUMPRODUCT(E269:N269,1/(1+$F$265)^$E$3:$N$3)*$E$2</f>
        <v>11726.4786168186</v>
      </c>
      <c r="P269" s="15" t="n">
        <f aca="false">N269*$E$2*(1+$I$265)/($F$265-$I$265)/(1+$F$265)^$N$3</f>
        <v>25015.0922637131</v>
      </c>
      <c r="Q269" s="15" t="n">
        <f aca="false">O269+P269</f>
        <v>36741.5708805318</v>
      </c>
      <c r="R269" s="15" t="n">
        <f aca="false">Q269-$G$2+$I$2</f>
        <v>33625.3708805318</v>
      </c>
      <c r="S269" s="42" t="n">
        <f aca="false">R269/$K$2</f>
        <v>297.833223033939</v>
      </c>
      <c r="T269" s="43" t="n">
        <f aca="false">S269-$M$2</f>
        <v>129.365552529068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7246.25</v>
      </c>
      <c r="F270" s="15" t="n">
        <f aca="false">E270*(1+IF(F$3&lt;=$O$2,$D270,$D270-($D270-$I$265)*MIN(F$3-$O$2,$Q$2)/$Q$2))</f>
        <v>7019.8046875</v>
      </c>
      <c r="G270" s="15" t="n">
        <f aca="false">F270*(1+IF(G$3&lt;=$O$2,$D270,$D270-($D270-$I$265)*MIN(G$3-$O$2,$Q$2)/$Q$2))</f>
        <v>6800.43579101563</v>
      </c>
      <c r="H270" s="15" t="n">
        <f aca="false">G270*(1+IF(H$3&lt;=$O$2,$D270,$D270-($D270-$I$265)*MIN(H$3-$O$2,$Q$2)/$Q$2))</f>
        <v>6587.92217254639</v>
      </c>
      <c r="I270" s="15" t="n">
        <f aca="false">H270*(1+IF(I$3&lt;=$O$2,$D270,$D270-($D270-$I$265)*MIN(I$3-$O$2,$Q$2)/$Q$2))</f>
        <v>6382.04960465431</v>
      </c>
      <c r="J270" s="15" t="n">
        <f aca="false">I270*(1+IF(J$3&lt;=$O$2,$D270,$D270-($D270-$I$265)*MIN(J$3-$O$2,$Q$2)/$Q$2))</f>
        <v>6265.00281490495</v>
      </c>
      <c r="K270" s="15" t="n">
        <f aca="false">J270*(1+IF(K$3&lt;=$O$2,$D270,$D270-($D270-$I$265)*MIN(K$3-$O$2,$Q$2)/$Q$2))</f>
        <v>6230.98384962002</v>
      </c>
      <c r="L270" s="15" t="n">
        <f aca="false">K270*(1+IF(L$3&lt;=$O$2,$D270,$D270-($D270-$I$265)*MIN(L$3-$O$2,$Q$2)/$Q$2))</f>
        <v>6277.59160881518</v>
      </c>
      <c r="M270" s="15" t="n">
        <f aca="false">L270*(1+IF(M$3&lt;=$O$2,$D270,$D270-($D270-$I$265)*MIN(M$3-$O$2,$Q$2)/$Q$2))</f>
        <v>6405.59170171892</v>
      </c>
      <c r="N270" s="15" t="n">
        <f aca="false">M270*(1+IF(N$3&lt;=$O$2,$D270,$D270-($D270-$I$265)*MIN(N$3-$O$2,$Q$2)/$Q$2))</f>
        <v>6618.89790538616</v>
      </c>
      <c r="O270" s="15" t="n">
        <f aca="false">SUMPRODUCT(E270:N270,1/(1+$F$265)^$E$3:$N$3)*$E$2</f>
        <v>7756.57026655256</v>
      </c>
      <c r="P270" s="15" t="n">
        <f aca="false">N270*$E$2*(1+$I$265)/($F$265-$I$265)/(1+$F$265)^$N$3</f>
        <v>13121.0754209863</v>
      </c>
      <c r="Q270" s="15" t="n">
        <f aca="false">O270+P270</f>
        <v>20877.6456875389</v>
      </c>
      <c r="R270" s="15" t="n">
        <f aca="false">Q270-$G$2+$I$2</f>
        <v>17761.4456875389</v>
      </c>
      <c r="S270" s="42" t="n">
        <f aca="false">R270/$K$2</f>
        <v>157.320156665535</v>
      </c>
      <c r="T270" s="43" t="n">
        <f aca="false">S270-$M$2</f>
        <v>-11.1475138393368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41" t="n">
        <f aca="false">(B271+C271)/2</f>
        <v>0.015625</v>
      </c>
      <c r="E271" s="15" t="n">
        <f aca="false">$C$2*(1+IF(E$3&lt;=$O$2,$D271,$D271-($D271-$I$265)*MIN(E$3-$O$2,$Q$2)/$Q$2))</f>
        <v>7596.875</v>
      </c>
      <c r="F271" s="15" t="n">
        <f aca="false">E271*(1+IF(F$3&lt;=$O$2,$D271,$D271-($D271-$I$265)*MIN(F$3-$O$2,$Q$2)/$Q$2))</f>
        <v>7715.576171875</v>
      </c>
      <c r="G271" s="15" t="n">
        <f aca="false">F271*(1+IF(G$3&lt;=$O$2,$D271,$D271-($D271-$I$265)*MIN(G$3-$O$2,$Q$2)/$Q$2))</f>
        <v>7836.13204956055</v>
      </c>
      <c r="H271" s="15" t="n">
        <f aca="false">G271*(1+IF(H$3&lt;=$O$2,$D271,$D271-($D271-$I$265)*MIN(H$3-$O$2,$Q$2)/$Q$2))</f>
        <v>7958.57161283493</v>
      </c>
      <c r="I271" s="15" t="n">
        <f aca="false">H271*(1+IF(I$3&lt;=$O$2,$D271,$D271-($D271-$I$265)*MIN(I$3-$O$2,$Q$2)/$Q$2))</f>
        <v>8082.92429428548</v>
      </c>
      <c r="J271" s="15" t="n">
        <f aca="false">I271*(1+IF(J$3&lt;=$O$2,$D271,$D271-($D271-$I$265)*MIN(J$3-$O$2,$Q$2)/$Q$2))</f>
        <v>8237.79312376399</v>
      </c>
      <c r="K271" s="15" t="n">
        <f aca="false">J271*(1+IF(K$3&lt;=$O$2,$D271,$D271-($D271-$I$265)*MIN(K$3-$O$2,$Q$2)/$Q$2))</f>
        <v>8424.74983870781</v>
      </c>
      <c r="L271" s="15" t="n">
        <f aca="false">K271*(1+IF(L$3&lt;=$O$2,$D271,$D271-($D271-$I$265)*MIN(L$3-$O$2,$Q$2)/$Q$2))</f>
        <v>8645.73102697711</v>
      </c>
      <c r="M271" s="15" t="n">
        <f aca="false">L271*(1+IF(M$3&lt;=$O$2,$D271,$D271-($D271-$I$265)*MIN(M$3-$O$2,$Q$2)/$Q$2))</f>
        <v>8903.07121099509</v>
      </c>
      <c r="N271" s="15" t="n">
        <f aca="false">M271*(1+IF(N$3&lt;=$O$2,$D271,$D271-($D271-$I$265)*MIN(N$3-$O$2,$Q$2)/$Q$2))</f>
        <v>9199.54348232123</v>
      </c>
      <c r="O271" s="15" t="n">
        <f aca="false">SUMPRODUCT(E271:N271,1/(1+$F$265)^$E$3:$N$3)*$E$2</f>
        <v>9534.10632381311</v>
      </c>
      <c r="P271" s="15" t="n">
        <f aca="false">N271*$E$2*(1+$I$265)/($F$265-$I$265)/(1+$F$265)^$N$3</f>
        <v>18236.8584008454</v>
      </c>
      <c r="Q271" s="15" t="n">
        <f aca="false">O271+P271</f>
        <v>27770.9647246586</v>
      </c>
      <c r="R271" s="15" t="n">
        <f aca="false">Q271-$G$2+$I$2</f>
        <v>24654.7647246586</v>
      </c>
      <c r="S271" s="42" t="n">
        <f aca="false">R271/$K$2</f>
        <v>218.377012618765</v>
      </c>
      <c r="T271" s="43" t="n">
        <f aca="false">S271-$M$2</f>
        <v>49.9093421138932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-0.03125</v>
      </c>
      <c r="C272" s="25" t="n">
        <f aca="false">IF(T271&gt;0,D271,C271)</f>
        <v>0.015625</v>
      </c>
      <c r="D272" s="41" t="n">
        <f aca="false">(B272+C272)/2</f>
        <v>-0.0078125</v>
      </c>
      <c r="E272" s="15" t="n">
        <f aca="false">$C$2*(1+IF(E$3&lt;=$O$2,$D272,$D272-($D272-$I$265)*MIN(E$3-$O$2,$Q$2)/$Q$2))</f>
        <v>7421.5625</v>
      </c>
      <c r="F272" s="15" t="n">
        <f aca="false">E272*(1+IF(F$3&lt;=$O$2,$D272,$D272-($D272-$I$265)*MIN(F$3-$O$2,$Q$2)/$Q$2))</f>
        <v>7363.58154296875</v>
      </c>
      <c r="G272" s="15" t="n">
        <f aca="false">F272*(1+IF(G$3&lt;=$O$2,$D272,$D272-($D272-$I$265)*MIN(G$3-$O$2,$Q$2)/$Q$2))</f>
        <v>7306.05356216431</v>
      </c>
      <c r="H272" s="15" t="n">
        <f aca="false">G272*(1+IF(H$3&lt;=$O$2,$D272,$D272-($D272-$I$265)*MIN(H$3-$O$2,$Q$2)/$Q$2))</f>
        <v>7248.9750187099</v>
      </c>
      <c r="I272" s="15" t="n">
        <f aca="false">H272*(1+IF(I$3&lt;=$O$2,$D272,$D272-($D272-$I$265)*MIN(I$3-$O$2,$Q$2)/$Q$2))</f>
        <v>7192.34240137623</v>
      </c>
      <c r="J272" s="15" t="n">
        <f aca="false">I272*(1+IF(J$3&lt;=$O$2,$D272,$D272-($D272-$I$265)*MIN(J$3-$O$2,$Q$2)/$Q$2))</f>
        <v>7195.29126176079</v>
      </c>
      <c r="K272" s="15" t="n">
        <f aca="false">J272*(1+IF(K$3&lt;=$O$2,$D272,$D272-($D272-$I$265)*MIN(K$3-$O$2,$Q$2)/$Q$2))</f>
        <v>7257.40461357794</v>
      </c>
      <c r="L272" s="15" t="n">
        <f aca="false">K272*(1+IF(L$3&lt;=$O$2,$D272,$D272-($D272-$I$265)*MIN(L$3-$O$2,$Q$2)/$Q$2))</f>
        <v>7379.7281683398</v>
      </c>
      <c r="M272" s="15" t="n">
        <f aca="false">L272*(1+IF(M$3&lt;=$O$2,$D272,$D272-($D272-$I$265)*MIN(M$3-$O$2,$Q$2)/$Q$2))</f>
        <v>7564.79330148134</v>
      </c>
      <c r="N272" s="15" t="n">
        <f aca="false">M272*(1+IF(N$3&lt;=$O$2,$D272,$D272-($D272-$I$265)*MIN(N$3-$O$2,$Q$2)/$Q$2))</f>
        <v>7816.70091842067</v>
      </c>
      <c r="O272" s="15" t="n">
        <f aca="false">SUMPRODUCT(E272:N272,1/(1+$F$265)^$E$3:$N$3)*$E$2</f>
        <v>8598.48339363132</v>
      </c>
      <c r="P272" s="15" t="n">
        <f aca="false">N272*$E$2*(1+$I$265)/($F$265-$I$265)/(1+$F$265)^$N$3</f>
        <v>15495.5588921275</v>
      </c>
      <c r="Q272" s="15" t="n">
        <f aca="false">O272+P272</f>
        <v>24094.0422857588</v>
      </c>
      <c r="R272" s="15" t="n">
        <f aca="false">Q272-$G$2+$I$2</f>
        <v>20977.8422857588</v>
      </c>
      <c r="S272" s="42" t="n">
        <f aca="false">R272/$K$2</f>
        <v>185.809054789715</v>
      </c>
      <c r="T272" s="43" t="n">
        <f aca="false">S272-$M$2</f>
        <v>17.3413842848434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-0.03125</v>
      </c>
      <c r="C273" s="25" t="n">
        <f aca="false">IF(T272&gt;0,D272,C272)</f>
        <v>-0.0078125</v>
      </c>
      <c r="D273" s="41" t="n">
        <f aca="false">(B273+C273)/2</f>
        <v>-0.01953125</v>
      </c>
      <c r="E273" s="15" t="n">
        <f aca="false">$C$2*(1+IF(E$3&lt;=$O$2,$D273,$D273-($D273-$I$265)*MIN(E$3-$O$2,$Q$2)/$Q$2))</f>
        <v>7333.90625</v>
      </c>
      <c r="F273" s="15" t="n">
        <f aca="false">E273*(1+IF(F$3&lt;=$O$2,$D273,$D273-($D273-$I$265)*MIN(F$3-$O$2,$Q$2)/$Q$2))</f>
        <v>7190.66589355469</v>
      </c>
      <c r="G273" s="15" t="n">
        <f aca="false">F273*(1+IF(G$3&lt;=$O$2,$D273,$D273-($D273-$I$265)*MIN(G$3-$O$2,$Q$2)/$Q$2))</f>
        <v>7050.2232003212</v>
      </c>
      <c r="H273" s="15" t="n">
        <f aca="false">G273*(1+IF(H$3&lt;=$O$2,$D273,$D273-($D273-$I$265)*MIN(H$3-$O$2,$Q$2)/$Q$2))</f>
        <v>6912.52352843992</v>
      </c>
      <c r="I273" s="15" t="n">
        <f aca="false">H273*(1+IF(I$3&lt;=$O$2,$D273,$D273-($D273-$I$265)*MIN(I$3-$O$2,$Q$2)/$Q$2))</f>
        <v>6777.51330327508</v>
      </c>
      <c r="J273" s="15" t="n">
        <f aca="false">I273*(1+IF(J$3&lt;=$O$2,$D273,$D273-($D273-$I$265)*MIN(J$3-$O$2,$Q$2)/$Q$2))</f>
        <v>6716.75289651122</v>
      </c>
      <c r="K273" s="15" t="n">
        <f aca="false">J273*(1+IF(K$3&lt;=$O$2,$D273,$D273-($D273-$I$265)*MIN(K$3-$O$2,$Q$2)/$Q$2))</f>
        <v>6727.50809708676</v>
      </c>
      <c r="L273" s="15" t="n">
        <f aca="false">K273*(1+IF(L$3&lt;=$O$2,$D273,$D273-($D273-$I$265)*MIN(L$3-$O$2,$Q$2)/$Q$2))</f>
        <v>6809.36505185806</v>
      </c>
      <c r="M273" s="15" t="n">
        <f aca="false">L273*(1+IF(M$3&lt;=$O$2,$D273,$D273-($D273-$I$265)*MIN(M$3-$O$2,$Q$2)/$Q$2))</f>
        <v>6964.16745460574</v>
      </c>
      <c r="N273" s="15" t="n">
        <f aca="false">M273*(1+IF(N$3&lt;=$O$2,$D273,$D273-($D273-$I$265)*MIN(N$3-$O$2,$Q$2)/$Q$2))</f>
        <v>7196.07423084411</v>
      </c>
      <c r="O273" s="15" t="n">
        <f aca="false">SUMPRODUCT(E273:N273,1/(1+$F$265)^$E$3:$N$3)*$E$2</f>
        <v>8166.39176863837</v>
      </c>
      <c r="P273" s="15" t="n">
        <f aca="false">N273*$E$2*(1+$I$265)/($F$265-$I$265)/(1+$F$265)^$N$3</f>
        <v>14265.2499052881</v>
      </c>
      <c r="Q273" s="15" t="n">
        <f aca="false">O273+P273</f>
        <v>22431.6416739265</v>
      </c>
      <c r="R273" s="15" t="n">
        <f aca="false">Q273-$G$2+$I$2</f>
        <v>19315.4416739265</v>
      </c>
      <c r="S273" s="42" t="n">
        <f aca="false">R273/$K$2</f>
        <v>171.08451438376</v>
      </c>
      <c r="T273" s="43" t="n">
        <f aca="false">S273-$M$2</f>
        <v>2.61684387888832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-0.03125</v>
      </c>
      <c r="C274" s="25" t="n">
        <f aca="false">IF(T273&gt;0,D273,C273)</f>
        <v>-0.01953125</v>
      </c>
      <c r="D274" s="41" t="n">
        <f aca="false">(B274+C274)/2</f>
        <v>-0.025390625</v>
      </c>
      <c r="E274" s="15" t="n">
        <f aca="false">$C$2*(1+IF(E$3&lt;=$O$2,$D274,$D274-($D274-$I$265)*MIN(E$3-$O$2,$Q$2)/$Q$2))</f>
        <v>7290.078125</v>
      </c>
      <c r="F274" s="15" t="n">
        <f aca="false">E274*(1+IF(F$3&lt;=$O$2,$D274,$D274-($D274-$I$265)*MIN(F$3-$O$2,$Q$2)/$Q$2))</f>
        <v>7104.97848510742</v>
      </c>
      <c r="G274" s="15" t="n">
        <f aca="false">F274*(1+IF(G$3&lt;=$O$2,$D274,$D274-($D274-$I$265)*MIN(G$3-$O$2,$Q$2)/$Q$2))</f>
        <v>6924.57864075899</v>
      </c>
      <c r="H274" s="15" t="n">
        <f aca="false">G274*(1+IF(H$3&lt;=$O$2,$D274,$D274-($D274-$I$265)*MIN(H$3-$O$2,$Q$2)/$Q$2))</f>
        <v>6748.75926120847</v>
      </c>
      <c r="I274" s="15" t="n">
        <f aca="false">H274*(1+IF(I$3&lt;=$O$2,$D274,$D274-($D274-$I$265)*MIN(I$3-$O$2,$Q$2)/$Q$2))</f>
        <v>6577.40404559185</v>
      </c>
      <c r="J274" s="15" t="n">
        <f aca="false">I274*(1+IF(J$3&lt;=$O$2,$D274,$D274-($D274-$I$265)*MIN(J$3-$O$2,$Q$2)/$Q$2))</f>
        <v>6487.60603685941</v>
      </c>
      <c r="K274" s="15" t="n">
        <f aca="false">J274*(1+IF(K$3&lt;=$O$2,$D274,$D274-($D274-$I$265)*MIN(K$3-$O$2,$Q$2)/$Q$2))</f>
        <v>6475.18632605259</v>
      </c>
      <c r="L274" s="15" t="n">
        <f aca="false">K274*(1+IF(L$3&lt;=$O$2,$D274,$D274-($D274-$I$265)*MIN(L$3-$O$2,$Q$2)/$Q$2))</f>
        <v>6538.79693772315</v>
      </c>
      <c r="M274" s="15" t="n">
        <f aca="false">L274*(1+IF(M$3&lt;=$O$2,$D274,$D274-($D274-$I$265)*MIN(M$3-$O$2,$Q$2)/$Q$2))</f>
        <v>6679.78565994472</v>
      </c>
      <c r="N274" s="15" t="n">
        <f aca="false">M274*(1+IF(N$3&lt;=$O$2,$D274,$D274-($D274-$I$265)*MIN(N$3-$O$2,$Q$2)/$Q$2))</f>
        <v>6902.22252242088</v>
      </c>
      <c r="O274" s="15" t="n">
        <f aca="false">SUMPRODUCT(E274:N274,1/(1+$F$265)^$E$3:$N$3)*$E$2</f>
        <v>7958.76684526212</v>
      </c>
      <c r="P274" s="15" t="n">
        <f aca="false">N274*$E$2*(1+$I$265)/($F$265-$I$265)/(1+$F$265)^$N$3</f>
        <v>13682.7283912957</v>
      </c>
      <c r="Q274" s="15" t="n">
        <f aca="false">O274+P274</f>
        <v>21641.4952365578</v>
      </c>
      <c r="R274" s="15" t="n">
        <f aca="false">Q274-$G$2+$I$2</f>
        <v>18525.2952365578</v>
      </c>
      <c r="S274" s="42" t="n">
        <f aca="false">R274/$K$2</f>
        <v>164.085874548785</v>
      </c>
      <c r="T274" s="43" t="n">
        <f aca="false">S274-$M$2</f>
        <v>-4.38179595608665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-0.025390625</v>
      </c>
      <c r="C275" s="25" t="n">
        <f aca="false">IF(T274&gt;0,D274,C274)</f>
        <v>-0.01953125</v>
      </c>
      <c r="D275" s="41" t="n">
        <f aca="false">(B275+C275)/2</f>
        <v>-0.0224609375</v>
      </c>
      <c r="E275" s="15" t="n">
        <f aca="false">$C$2*(1+IF(E$3&lt;=$O$2,$D275,$D275-($D275-$I$265)*MIN(E$3-$O$2,$Q$2)/$Q$2))</f>
        <v>7311.9921875</v>
      </c>
      <c r="F275" s="15" t="n">
        <f aca="false">E275*(1+IF(F$3&lt;=$O$2,$D275,$D275-($D275-$I$265)*MIN(F$3-$O$2,$Q$2)/$Q$2))</f>
        <v>7147.75798797607</v>
      </c>
      <c r="G275" s="15" t="n">
        <f aca="false">F275*(1+IF(G$3&lt;=$O$2,$D275,$D275-($D275-$I$265)*MIN(G$3-$O$2,$Q$2)/$Q$2))</f>
        <v>6987.21264254302</v>
      </c>
      <c r="H275" s="15" t="n">
        <f aca="false">G275*(1+IF(H$3&lt;=$O$2,$D275,$D275-($D275-$I$265)*MIN(H$3-$O$2,$Q$2)/$Q$2))</f>
        <v>6830.27329607965</v>
      </c>
      <c r="I275" s="15" t="n">
        <f aca="false">H275*(1+IF(I$3&lt;=$O$2,$D275,$D275-($D275-$I$265)*MIN(I$3-$O$2,$Q$2)/$Q$2))</f>
        <v>6676.85895446849</v>
      </c>
      <c r="J275" s="15" t="n">
        <f aca="false">I275*(1+IF(J$3&lt;=$O$2,$D275,$D275-($D275-$I$265)*MIN(J$3-$O$2,$Q$2)/$Q$2))</f>
        <v>6601.35202576714</v>
      </c>
      <c r="K275" s="15" t="n">
        <f aca="false">J275*(1+IF(K$3&lt;=$O$2,$D275,$D275-($D275-$I$265)*MIN(K$3-$O$2,$Q$2)/$Q$2))</f>
        <v>6600.31850159061</v>
      </c>
      <c r="L275" s="15" t="n">
        <f aca="false">K275*(1+IF(L$3&lt;=$O$2,$D275,$D275-($D275-$I$265)*MIN(L$3-$O$2,$Q$2)/$Q$2))</f>
        <v>6672.89312871466</v>
      </c>
      <c r="M275" s="15" t="n">
        <f aca="false">L275*(1+IF(M$3&lt;=$O$2,$D275,$D275-($D275-$I$265)*MIN(M$3-$O$2,$Q$2)/$Q$2))</f>
        <v>6820.68311456197</v>
      </c>
      <c r="N275" s="15" t="n">
        <f aca="false">M275*(1+IF(N$3&lt;=$O$2,$D275,$D275-($D275-$I$265)*MIN(N$3-$O$2,$Q$2)/$Q$2))</f>
        <v>7047.81186227688</v>
      </c>
      <c r="O275" s="15" t="n">
        <f aca="false">SUMPRODUCT(E275:N275,1/(1+$F$265)^$E$3:$N$3)*$E$2</f>
        <v>8061.89218419475</v>
      </c>
      <c r="P275" s="15" t="n">
        <f aca="false">N275*$E$2*(1+$I$265)/($F$265-$I$265)/(1+$F$265)^$N$3</f>
        <v>13971.3396882289</v>
      </c>
      <c r="Q275" s="15" t="n">
        <f aca="false">O275+P275</f>
        <v>22033.2318724237</v>
      </c>
      <c r="R275" s="15" t="n">
        <f aca="false">Q275-$G$2+$I$2</f>
        <v>18917.0318724237</v>
      </c>
      <c r="S275" s="42" t="n">
        <f aca="false">R275/$K$2</f>
        <v>167.555641031211</v>
      </c>
      <c r="T275" s="43" t="n">
        <f aca="false">S275-$M$2</f>
        <v>-0.91202947366088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-0.0224609375</v>
      </c>
      <c r="C276" s="25" t="n">
        <f aca="false">IF(T275&gt;0,D275,C275)</f>
        <v>-0.01953125</v>
      </c>
      <c r="D276" s="41" t="n">
        <f aca="false">(B276+C276)/2</f>
        <v>-0.02099609375</v>
      </c>
      <c r="E276" s="15" t="n">
        <f aca="false">$C$2*(1+IF(E$3&lt;=$O$2,$D276,$D276-($D276-$I$265)*MIN(E$3-$O$2,$Q$2)/$Q$2))</f>
        <v>7322.94921875</v>
      </c>
      <c r="F276" s="15" t="n">
        <f aca="false">E276*(1+IF(F$3&lt;=$O$2,$D276,$D276-($D276-$I$265)*MIN(F$3-$O$2,$Q$2)/$Q$2))</f>
        <v>7169.19589042664</v>
      </c>
      <c r="G276" s="15" t="n">
        <f aca="false">F276*(1+IF(G$3&lt;=$O$2,$D276,$D276-($D276-$I$265)*MIN(G$3-$O$2,$Q$2)/$Q$2))</f>
        <v>7018.67078139912</v>
      </c>
      <c r="H276" s="15" t="n">
        <f aca="false">G276*(1+IF(H$3&lt;=$O$2,$D276,$D276-($D276-$I$265)*MIN(H$3-$O$2,$Q$2)/$Q$2))</f>
        <v>6871.30611167248</v>
      </c>
      <c r="I276" s="15" t="n">
        <f aca="false">H276*(1+IF(I$3&lt;=$O$2,$D276,$D276-($D276-$I$265)*MIN(I$3-$O$2,$Q$2)/$Q$2))</f>
        <v>6727.03552436686</v>
      </c>
      <c r="J276" s="15" t="n">
        <f aca="false">I276*(1+IF(J$3&lt;=$O$2,$D276,$D276-($D276-$I$265)*MIN(J$3-$O$2,$Q$2)/$Q$2))</f>
        <v>6658.84440613579</v>
      </c>
      <c r="K276" s="15" t="n">
        <f aca="false">J276*(1+IF(K$3&lt;=$O$2,$D276,$D276-($D276-$I$265)*MIN(K$3-$O$2,$Q$2)/$Q$2))</f>
        <v>6663.65438077479</v>
      </c>
      <c r="L276" s="15" t="n">
        <f aca="false">K276*(1+IF(L$3&lt;=$O$2,$D276,$D276-($D276-$I$265)*MIN(L$3-$O$2,$Q$2)/$Q$2))</f>
        <v>6740.82991046413</v>
      </c>
      <c r="M276" s="15" t="n">
        <f aca="false">L276*(1+IF(M$3&lt;=$O$2,$D276,$D276-($D276-$I$265)*MIN(M$3-$O$2,$Q$2)/$Q$2))</f>
        <v>6892.09939992831</v>
      </c>
      <c r="N276" s="15" t="n">
        <f aca="false">M276*(1+IF(N$3&lt;=$O$2,$D276,$D276-($D276-$I$265)*MIN(N$3-$O$2,$Q$2)/$Q$2))</f>
        <v>7121.60630994592</v>
      </c>
      <c r="O276" s="15" t="n">
        <f aca="false">SUMPRODUCT(E276:N276,1/(1+$F$265)^$E$3:$N$3)*$E$2</f>
        <v>8113.96911290166</v>
      </c>
      <c r="P276" s="15" t="n">
        <f aca="false">N276*$E$2*(1+$I$265)/($F$265-$I$265)/(1+$F$265)^$N$3</f>
        <v>14117.6272616825</v>
      </c>
      <c r="Q276" s="15" t="n">
        <f aca="false">O276+P276</f>
        <v>22231.5963745841</v>
      </c>
      <c r="R276" s="15" t="n">
        <f aca="false">Q276-$G$2+$I$2</f>
        <v>19115.3963745841</v>
      </c>
      <c r="S276" s="42" t="n">
        <f aca="false">R276/$K$2</f>
        <v>169.31263396443</v>
      </c>
      <c r="T276" s="43" t="n">
        <f aca="false">S276-$M$2</f>
        <v>0.844963459558102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-0.0224609375</v>
      </c>
      <c r="C277" s="25" t="n">
        <f aca="false">IF(T276&gt;0,D276,C276)</f>
        <v>-0.02099609375</v>
      </c>
      <c r="D277" s="41" t="n">
        <f aca="false">(B277+C277)/2</f>
        <v>-0.021728515625</v>
      </c>
      <c r="E277" s="15" t="n">
        <f aca="false">$C$2*(1+IF(E$3&lt;=$O$2,$D277,$D277-($D277-$I$265)*MIN(E$3-$O$2,$Q$2)/$Q$2))</f>
        <v>7317.470703125</v>
      </c>
      <c r="F277" s="15" t="n">
        <f aca="false">E277*(1+IF(F$3&lt;=$O$2,$D277,$D277-($D277-$I$265)*MIN(F$3-$O$2,$Q$2)/$Q$2))</f>
        <v>7158.47292661667</v>
      </c>
      <c r="G277" s="15" t="n">
        <f aca="false">F277*(1+IF(G$3&lt;=$O$2,$D277,$D277-($D277-$I$265)*MIN(G$3-$O$2,$Q$2)/$Q$2))</f>
        <v>7002.92993577954</v>
      </c>
      <c r="H277" s="15" t="n">
        <f aca="false">G277*(1+IF(H$3&lt;=$O$2,$D277,$D277-($D277-$I$265)*MIN(H$3-$O$2,$Q$2)/$Q$2))</f>
        <v>6850.76666324917</v>
      </c>
      <c r="I277" s="15" t="n">
        <f aca="false">H277*(1+IF(I$3&lt;=$O$2,$D277,$D277-($D277-$I$265)*MIN(I$3-$O$2,$Q$2)/$Q$2))</f>
        <v>6701.90967276353</v>
      </c>
      <c r="J277" s="15" t="n">
        <f aca="false">I277*(1+IF(J$3&lt;=$O$2,$D277,$D277-($D277-$I$265)*MIN(J$3-$O$2,$Q$2)/$Q$2))</f>
        <v>6630.04635195056</v>
      </c>
      <c r="K277" s="15" t="n">
        <f aca="false">J277*(1+IF(K$3&lt;=$O$2,$D277,$D277-($D277-$I$265)*MIN(K$3-$O$2,$Q$2)/$Q$2))</f>
        <v>6631.92192990684</v>
      </c>
      <c r="L277" s="15" t="n">
        <f aca="false">K277*(1+IF(L$3&lt;=$O$2,$D277,$D277-($D277-$I$265)*MIN(L$3-$O$2,$Q$2)/$Q$2))</f>
        <v>6706.78700235527</v>
      </c>
      <c r="M277" s="15" t="n">
        <f aca="false">L277*(1+IF(M$3&lt;=$O$2,$D277,$D277-($D277-$I$265)*MIN(M$3-$O$2,$Q$2)/$Q$2))</f>
        <v>6856.31010286317</v>
      </c>
      <c r="N277" s="15" t="n">
        <f aca="false">M277*(1+IF(N$3&lt;=$O$2,$D277,$D277-($D277-$I$265)*MIN(N$3-$O$2,$Q$2)/$Q$2))</f>
        <v>7084.62522928852</v>
      </c>
      <c r="O277" s="15" t="n">
        <f aca="false">SUMPRODUCT(E277:N277,1/(1+$F$265)^$E$3:$N$3)*$E$2</f>
        <v>8087.88756848829</v>
      </c>
      <c r="P277" s="15" t="n">
        <f aca="false">N277*$E$2*(1+$I$265)/($F$265-$I$265)/(1+$F$265)^$N$3</f>
        <v>14044.3172400759</v>
      </c>
      <c r="Q277" s="15" t="n">
        <f aca="false">O277+P277</f>
        <v>22132.2048085642</v>
      </c>
      <c r="R277" s="15" t="n">
        <f aca="false">Q277-$G$2+$I$2</f>
        <v>19016.0048085642</v>
      </c>
      <c r="S277" s="42" t="n">
        <f aca="false">R277/$K$2</f>
        <v>168.432283512526</v>
      </c>
      <c r="T277" s="43" t="n">
        <f aca="false">S277-$M$2</f>
        <v>-0.0353869923455648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-0.021728515625</v>
      </c>
      <c r="C278" s="25" t="n">
        <f aca="false">IF(T277&gt;0,D277,C277)</f>
        <v>-0.02099609375</v>
      </c>
      <c r="D278" s="41" t="n">
        <f aca="false">(B278+C278)/2</f>
        <v>-0.0213623046875</v>
      </c>
      <c r="E278" s="15" t="n">
        <f aca="false">$C$2*(1+IF(E$3&lt;=$O$2,$D278,$D278-($D278-$I$265)*MIN(E$3-$O$2,$Q$2)/$Q$2))</f>
        <v>7320.2099609375</v>
      </c>
      <c r="F278" s="15" t="n">
        <f aca="false">E278*(1+IF(F$3&lt;=$O$2,$D278,$D278-($D278-$I$265)*MIN(F$3-$O$2,$Q$2)/$Q$2))</f>
        <v>7163.83340537548</v>
      </c>
      <c r="G278" s="15" t="n">
        <f aca="false">F278*(1+IF(G$3&lt;=$O$2,$D278,$D278-($D278-$I$265)*MIN(G$3-$O$2,$Q$2)/$Q$2))</f>
        <v>7010.79741343936</v>
      </c>
      <c r="H278" s="15" t="n">
        <f aca="false">G278*(1+IF(H$3&lt;=$O$2,$D278,$D278-($D278-$I$265)*MIN(H$3-$O$2,$Q$2)/$Q$2))</f>
        <v>6861.03062299113</v>
      </c>
      <c r="I278" s="15" t="n">
        <f aca="false">H278*(1+IF(I$3&lt;=$O$2,$D278,$D278-($D278-$I$265)*MIN(I$3-$O$2,$Q$2)/$Q$2))</f>
        <v>6714.46319635253</v>
      </c>
      <c r="J278" s="15" t="n">
        <f aca="false">I278*(1+IF(J$3&lt;=$O$2,$D278,$D278-($D278-$I$265)*MIN(J$3-$O$2,$Q$2)/$Q$2))</f>
        <v>6644.43239434944</v>
      </c>
      <c r="K278" s="15" t="n">
        <f aca="false">J278*(1+IF(K$3&lt;=$O$2,$D278,$D278-($D278-$I$265)*MIN(K$3-$O$2,$Q$2)/$Q$2))</f>
        <v>6647.77200027203</v>
      </c>
      <c r="L278" s="15" t="n">
        <f aca="false">K278*(1+IF(L$3&lt;=$O$2,$D278,$D278-($D278-$I$265)*MIN(L$3-$O$2,$Q$2)/$Q$2))</f>
        <v>6723.78979245232</v>
      </c>
      <c r="M278" s="15" t="n">
        <f aca="false">L278*(1+IF(M$3&lt;=$O$2,$D278,$D278-($D278-$I$265)*MIN(M$3-$O$2,$Q$2)/$Q$2))</f>
        <v>6874.18442328304</v>
      </c>
      <c r="N278" s="15" t="n">
        <f aca="false">M278*(1+IF(N$3&lt;=$O$2,$D278,$D278-($D278-$I$265)*MIN(N$3-$O$2,$Q$2)/$Q$2))</f>
        <v>7103.09476457837</v>
      </c>
      <c r="O278" s="15" t="n">
        <f aca="false">SUMPRODUCT(E278:N278,1/(1+$F$265)^$E$3:$N$3)*$E$2</f>
        <v>8100.91755373182</v>
      </c>
      <c r="P278" s="15" t="n">
        <f aca="false">N278*$E$2*(1+$I$265)/($F$265-$I$265)/(1+$F$265)^$N$3</f>
        <v>14080.930611213</v>
      </c>
      <c r="Q278" s="15" t="n">
        <f aca="false">O278+P278</f>
        <v>22181.8481649449</v>
      </c>
      <c r="R278" s="15" t="n">
        <f aca="false">Q278-$G$2+$I$2</f>
        <v>19065.6481649449</v>
      </c>
      <c r="S278" s="42" t="n">
        <f aca="false">R278/$K$2</f>
        <v>168.871994375065</v>
      </c>
      <c r="T278" s="43" t="n">
        <f aca="false">S278-$M$2</f>
        <v>0.404323870193508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-0.021728515625</v>
      </c>
      <c r="C279" s="25" t="n">
        <f aca="false">IF(T278&gt;0,D278,C278)</f>
        <v>-0.0213623046875</v>
      </c>
      <c r="D279" s="41" t="n">
        <f aca="false">(B279+C279)/2</f>
        <v>-0.02154541015625</v>
      </c>
      <c r="E279" s="15" t="n">
        <f aca="false">$C$2*(1+IF(E$3&lt;=$O$2,$D279,$D279-($D279-$I$265)*MIN(E$3-$O$2,$Q$2)/$Q$2))</f>
        <v>7318.84033203125</v>
      </c>
      <c r="F279" s="15" t="n">
        <f aca="false">E279*(1+IF(F$3&lt;=$O$2,$D279,$D279-($D279-$I$265)*MIN(F$3-$O$2,$Q$2)/$Q$2))</f>
        <v>7161.15291520953</v>
      </c>
      <c r="G279" s="15" t="n">
        <f aca="false">F279*(1+IF(G$3&lt;=$O$2,$D279,$D279-($D279-$I$265)*MIN(G$3-$O$2,$Q$2)/$Q$2))</f>
        <v>7006.86293845972</v>
      </c>
      <c r="H279" s="15" t="n">
        <f aca="false">G279*(1+IF(H$3&lt;=$O$2,$D279,$D279-($D279-$I$265)*MIN(H$3-$O$2,$Q$2)/$Q$2))</f>
        <v>6855.89720254198</v>
      </c>
      <c r="I279" s="15" t="n">
        <f aca="false">H279*(1+IF(I$3&lt;=$O$2,$D279,$D279-($D279-$I$265)*MIN(I$3-$O$2,$Q$2)/$Q$2))</f>
        <v>6708.18408532412</v>
      </c>
      <c r="J279" s="15" t="n">
        <f aca="false">I279*(1+IF(J$3&lt;=$O$2,$D279,$D279-($D279-$I$265)*MIN(J$3-$O$2,$Q$2)/$Q$2))</f>
        <v>6637.23612931483</v>
      </c>
      <c r="K279" s="15" t="n">
        <f aca="false">J279*(1+IF(K$3&lt;=$O$2,$D279,$D279-($D279-$I$265)*MIN(K$3-$O$2,$Q$2)/$Q$2))</f>
        <v>6639.84292973132</v>
      </c>
      <c r="L279" s="15" t="n">
        <f aca="false">K279*(1+IF(L$3&lt;=$O$2,$D279,$D279-($D279-$I$265)*MIN(L$3-$O$2,$Q$2)/$Q$2))</f>
        <v>6715.2837357497</v>
      </c>
      <c r="M279" s="15" t="n">
        <f aca="false">L279*(1+IF(M$3&lt;=$O$2,$D279,$D279-($D279-$I$265)*MIN(M$3-$O$2,$Q$2)/$Q$2))</f>
        <v>6865.24218598961</v>
      </c>
      <c r="N279" s="15" t="n">
        <f aca="false">M279*(1+IF(N$3&lt;=$O$2,$D279,$D279-($D279-$I$265)*MIN(N$3-$O$2,$Q$2)/$Q$2))</f>
        <v>7093.85475078306</v>
      </c>
      <c r="O279" s="15" t="n">
        <f aca="false">SUMPRODUCT(E279:N279,1/(1+$F$265)^$E$3:$N$3)*$E$2</f>
        <v>8094.39986648961</v>
      </c>
      <c r="P279" s="15" t="n">
        <f aca="false">N279*$E$2*(1+$I$265)/($F$265-$I$265)/(1+$F$265)^$N$3</f>
        <v>14062.6135258565</v>
      </c>
      <c r="Q279" s="15" t="n">
        <f aca="false">O279+P279</f>
        <v>22157.0133923461</v>
      </c>
      <c r="R279" s="15" t="n">
        <f aca="false">Q279-$G$2+$I$2</f>
        <v>19040.8133923461</v>
      </c>
      <c r="S279" s="42" t="n">
        <f aca="false">R279/$K$2</f>
        <v>168.652022961436</v>
      </c>
      <c r="T279" s="43" t="n">
        <f aca="false">S279-$M$2</f>
        <v>0.184352456564284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-0.021728515625</v>
      </c>
      <c r="C280" s="25" t="n">
        <f aca="false">IF(T279&gt;0,D279,C279)</f>
        <v>-0.02154541015625</v>
      </c>
      <c r="D280" s="41" t="n">
        <f aca="false">(B280+C280)/2</f>
        <v>-0.021636962890625</v>
      </c>
      <c r="E280" s="15" t="n">
        <f aca="false">$C$2*(1+IF(E$3&lt;=$O$2,$D280,$D280-($D280-$I$265)*MIN(E$3-$O$2,$Q$2)/$Q$2))</f>
        <v>7318.15551757813</v>
      </c>
      <c r="F280" s="15" t="n">
        <f aca="false">E280*(1+IF(F$3&lt;=$O$2,$D280,$D280-($D280-$I$265)*MIN(F$3-$O$2,$Q$2)/$Q$2))</f>
        <v>7159.81285821646</v>
      </c>
      <c r="G280" s="15" t="n">
        <f aca="false">F280*(1+IF(G$3&lt;=$O$2,$D280,$D280-($D280-$I$265)*MIN(G$3-$O$2,$Q$2)/$Q$2))</f>
        <v>7004.89625309942</v>
      </c>
      <c r="H280" s="15" t="n">
        <f aca="false">G280*(1+IF(H$3&lt;=$O$2,$D280,$D280-($D280-$I$265)*MIN(H$3-$O$2,$Q$2)/$Q$2))</f>
        <v>6853.33157281843</v>
      </c>
      <c r="I280" s="15" t="n">
        <f aca="false">H280*(1+IF(I$3&lt;=$O$2,$D280,$D280-($D280-$I$265)*MIN(I$3-$O$2,$Q$2)/$Q$2))</f>
        <v>6705.0462919002</v>
      </c>
      <c r="J280" s="15" t="n">
        <f aca="false">I280*(1+IF(J$3&lt;=$O$2,$D280,$D280-($D280-$I$265)*MIN(J$3-$O$2,$Q$2)/$Q$2))</f>
        <v>6633.64042996605</v>
      </c>
      <c r="K280" s="15" t="n">
        <f aca="false">J280*(1+IF(K$3&lt;=$O$2,$D280,$D280-($D280-$I$265)*MIN(K$3-$O$2,$Q$2)/$Q$2))</f>
        <v>6635.88142140544</v>
      </c>
      <c r="L280" s="15" t="n">
        <f aca="false">K280*(1+IF(L$3&lt;=$O$2,$D280,$D280-($D280-$I$265)*MIN(L$3-$O$2,$Q$2)/$Q$2))</f>
        <v>6711.0342041805</v>
      </c>
      <c r="M280" s="15" t="n">
        <f aca="false">L280*(1+IF(M$3&lt;=$O$2,$D280,$D280-($D280-$I$265)*MIN(M$3-$O$2,$Q$2)/$Q$2))</f>
        <v>6860.77487577316</v>
      </c>
      <c r="N280" s="15" t="n">
        <f aca="false">M280*(1+IF(N$3&lt;=$O$2,$D280,$D280-($D280-$I$265)*MIN(N$3-$O$2,$Q$2)/$Q$2))</f>
        <v>7089.2386791364</v>
      </c>
      <c r="O280" s="15" t="n">
        <f aca="false">SUMPRODUCT(E280:N280,1/(1+$F$265)^$E$3:$N$3)*$E$2</f>
        <v>8091.14304409872</v>
      </c>
      <c r="P280" s="15" t="n">
        <f aca="false">N280*$E$2*(1+$I$265)/($F$265-$I$265)/(1+$F$265)^$N$3</f>
        <v>14053.4627842844</v>
      </c>
      <c r="Q280" s="15" t="n">
        <f aca="false">O280+P280</f>
        <v>22144.6058283831</v>
      </c>
      <c r="R280" s="15" t="n">
        <f aca="false">Q280-$G$2+$I$2</f>
        <v>19028.4058283831</v>
      </c>
      <c r="S280" s="42" t="n">
        <f aca="false">R280/$K$2</f>
        <v>168.542124254943</v>
      </c>
      <c r="T280" s="43" t="n">
        <f aca="false">S280-$M$2</f>
        <v>0.0744537500716547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-0.021728515625</v>
      </c>
      <c r="C281" s="25" t="n">
        <f aca="false">IF(T280&gt;0,D280,C280)</f>
        <v>-0.021636962890625</v>
      </c>
      <c r="D281" s="41" t="n">
        <f aca="false">(B281+C281)/2</f>
        <v>-0.0216827392578125</v>
      </c>
      <c r="E281" s="15" t="n">
        <f aca="false">$C$2*(1+IF(E$3&lt;=$O$2,$D281,$D281-($D281-$I$265)*MIN(E$3-$O$2,$Q$2)/$Q$2))</f>
        <v>7317.81311035156</v>
      </c>
      <c r="F281" s="15" t="n">
        <f aca="false">E281*(1+IF(F$3&lt;=$O$2,$D281,$D281-($D281-$I$265)*MIN(F$3-$O$2,$Q$2)/$Q$2))</f>
        <v>7159.14287674241</v>
      </c>
      <c r="G281" s="15" t="n">
        <f aca="false">F281*(1+IF(G$3&lt;=$O$2,$D281,$D281-($D281-$I$265)*MIN(G$3-$O$2,$Q$2)/$Q$2))</f>
        <v>7003.91304843658</v>
      </c>
      <c r="H281" s="15" t="n">
        <f aca="false">G281*(1+IF(H$3&lt;=$O$2,$D281,$D281-($D281-$I$265)*MIN(H$3-$O$2,$Q$2)/$Q$2))</f>
        <v>6852.04902802294</v>
      </c>
      <c r="I281" s="15" t="n">
        <f aca="false">H281*(1+IF(I$3&lt;=$O$2,$D281,$D281-($D281-$I$265)*MIN(I$3-$O$2,$Q$2)/$Q$2))</f>
        <v>6703.47783556657</v>
      </c>
      <c r="J281" s="15" t="n">
        <f aca="false">I281*(1+IF(J$3&lt;=$O$2,$D281,$D281-($D281-$I$265)*MIN(J$3-$O$2,$Q$2)/$Q$2))</f>
        <v>6631.84318832815</v>
      </c>
      <c r="K281" s="15" t="n">
        <f aca="false">J281*(1+IF(K$3&lt;=$O$2,$D281,$D281-($D281-$I$265)*MIN(K$3-$O$2,$Q$2)/$Q$2))</f>
        <v>6633.90142360595</v>
      </c>
      <c r="L281" s="15" t="n">
        <f aca="false">K281*(1+IF(L$3&lt;=$O$2,$D281,$D281-($D281-$I$265)*MIN(L$3-$O$2,$Q$2)/$Q$2))</f>
        <v>6708.91031211756</v>
      </c>
      <c r="M281" s="15" t="n">
        <f aca="false">L281*(1+IF(M$3&lt;=$O$2,$D281,$D281-($D281-$I$265)*MIN(M$3-$O$2,$Q$2)/$Q$2))</f>
        <v>6858.54217223203</v>
      </c>
      <c r="N281" s="15" t="n">
        <f aca="false">M281*(1+IF(N$3&lt;=$O$2,$D281,$D281-($D281-$I$265)*MIN(N$3-$O$2,$Q$2)/$Q$2))</f>
        <v>7086.93162656736</v>
      </c>
      <c r="O281" s="15" t="n">
        <f aca="false">SUMPRODUCT(E281:N281,1/(1+$F$265)^$E$3:$N$3)*$E$2</f>
        <v>8089.51513797905</v>
      </c>
      <c r="P281" s="15" t="n">
        <f aca="false">N281*$E$2*(1+$I$265)/($F$265-$I$265)/(1+$F$265)^$N$3</f>
        <v>14048.8893626678</v>
      </c>
      <c r="Q281" s="15" t="n">
        <f aca="false">O281+P281</f>
        <v>22138.4045006468</v>
      </c>
      <c r="R281" s="15" t="n">
        <f aca="false">Q281-$G$2+$I$2</f>
        <v>19022.2045006468</v>
      </c>
      <c r="S281" s="42" t="n">
        <f aca="false">R281/$K$2</f>
        <v>168.487196639919</v>
      </c>
      <c r="T281" s="43" t="n">
        <f aca="false">S281-$M$2</f>
        <v>0.0195261350470446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-0.021728515625</v>
      </c>
      <c r="C282" s="25" t="n">
        <f aca="false">IF(T281&gt;0,D281,C281)</f>
        <v>-0.0216827392578125</v>
      </c>
      <c r="D282" s="41" t="n">
        <f aca="false">(B282+C282)/2</f>
        <v>-0.0217056274414063</v>
      </c>
      <c r="E282" s="15" t="n">
        <f aca="false">$C$2*(1+IF(E$3&lt;=$O$2,$D282,$D282-($D282-$I$265)*MIN(E$3-$O$2,$Q$2)/$Q$2))</f>
        <v>7317.64190673828</v>
      </c>
      <c r="F282" s="15" t="n">
        <f aca="false">E282*(1+IF(F$3&lt;=$O$2,$D282,$D282-($D282-$I$265)*MIN(F$3-$O$2,$Q$2)/$Q$2))</f>
        <v>7158.807897761</v>
      </c>
      <c r="G282" s="15" t="n">
        <f aca="false">F282*(1+IF(G$3&lt;=$O$2,$D282,$D282-($D282-$I$265)*MIN(G$3-$O$2,$Q$2)/$Q$2))</f>
        <v>7003.4214806076</v>
      </c>
      <c r="H282" s="15" t="n">
        <f aca="false">G282*(1+IF(H$3&lt;=$O$2,$D282,$D282-($D282-$I$265)*MIN(H$3-$O$2,$Q$2)/$Q$2))</f>
        <v>6851.40782313439</v>
      </c>
      <c r="I282" s="15" t="n">
        <f aca="false">H282*(1+IF(I$3&lt;=$O$2,$D282,$D282-($D282-$I$265)*MIN(I$3-$O$2,$Q$2)/$Q$2))</f>
        <v>6702.6937174763</v>
      </c>
      <c r="J282" s="15" t="n">
        <f aca="false">I282*(1+IF(J$3&lt;=$O$2,$D282,$D282-($D282-$I$265)*MIN(J$3-$O$2,$Q$2)/$Q$2))</f>
        <v>6630.94471948638</v>
      </c>
      <c r="K282" s="15" t="n">
        <f aca="false">J282*(1+IF(K$3&lt;=$O$2,$D282,$D282-($D282-$I$265)*MIN(K$3-$O$2,$Q$2)/$Q$2))</f>
        <v>6632.9116137505</v>
      </c>
      <c r="L282" s="15" t="n">
        <f aca="false">K282*(1+IF(L$3&lt;=$O$2,$D282,$D282-($D282-$I$265)*MIN(L$3-$O$2,$Q$2)/$Q$2))</f>
        <v>6707.84858445729</v>
      </c>
      <c r="M282" s="15" t="n">
        <f aca="false">L282*(1+IF(M$3&lt;=$O$2,$D282,$D282-($D282-$I$265)*MIN(M$3-$O$2,$Q$2)/$Q$2))</f>
        <v>6857.42605828572</v>
      </c>
      <c r="N282" s="15" t="n">
        <f aca="false">M282*(1+IF(N$3&lt;=$O$2,$D282,$D282-($D282-$I$265)*MIN(N$3-$O$2,$Q$2)/$Q$2))</f>
        <v>7085.77834602663</v>
      </c>
      <c r="O282" s="15" t="n">
        <f aca="false">SUMPRODUCT(E282:N282,1/(1+$F$265)^$E$3:$N$3)*$E$2</f>
        <v>8088.70131115919</v>
      </c>
      <c r="P282" s="15" t="n">
        <f aca="false">N282*$E$2*(1+$I$265)/($F$265-$I$265)/(1+$F$265)^$N$3</f>
        <v>14046.6031390135</v>
      </c>
      <c r="Q282" s="15" t="n">
        <f aca="false">O282+P282</f>
        <v>22135.3044501727</v>
      </c>
      <c r="R282" s="15" t="n">
        <f aca="false">Q282-$G$2+$I$2</f>
        <v>19019.1044501727</v>
      </c>
      <c r="S282" s="42" t="n">
        <f aca="false">R282/$K$2</f>
        <v>168.45973826548</v>
      </c>
      <c r="T282" s="43" t="n">
        <f aca="false">S282-$M$2</f>
        <v>-0.00793223939157883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-0.0217056274414063</v>
      </c>
      <c r="C283" s="25" t="n">
        <f aca="false">IF(T282&gt;0,D282,C282)</f>
        <v>-0.0216827392578125</v>
      </c>
      <c r="D283" s="41" t="n">
        <f aca="false">(B283+C283)/2</f>
        <v>-0.0216941833496094</v>
      </c>
      <c r="E283" s="15" t="n">
        <f aca="false">$C$2*(1+IF(E$3&lt;=$O$2,$D283,$D283-($D283-$I$265)*MIN(E$3-$O$2,$Q$2)/$Q$2))</f>
        <v>7317.72750854492</v>
      </c>
      <c r="F283" s="15" t="n">
        <f aca="false">E283*(1+IF(F$3&lt;=$O$2,$D283,$D283-($D283-$I$265)*MIN(F$3-$O$2,$Q$2)/$Q$2))</f>
        <v>7158.97538627207</v>
      </c>
      <c r="G283" s="15" t="n">
        <f aca="false">F283*(1+IF(G$3&lt;=$O$2,$D283,$D283-($D283-$I$265)*MIN(G$3-$O$2,$Q$2)/$Q$2))</f>
        <v>7003.66726164694</v>
      </c>
      <c r="H283" s="15" t="n">
        <f aca="false">G283*(1+IF(H$3&lt;=$O$2,$D283,$D283-($D283-$I$265)*MIN(H$3-$O$2,$Q$2)/$Q$2))</f>
        <v>6851.72841995312</v>
      </c>
      <c r="I283" s="15" t="n">
        <f aca="false">H283*(1+IF(I$3&lt;=$O$2,$D283,$D283-($D283-$I$265)*MIN(I$3-$O$2,$Q$2)/$Q$2))</f>
        <v>6703.08576734892</v>
      </c>
      <c r="J283" s="15" t="n">
        <f aca="false">I283*(1+IF(J$3&lt;=$O$2,$D283,$D283-($D283-$I$265)*MIN(J$3-$O$2,$Q$2)/$Q$2))</f>
        <v>6631.39394124345</v>
      </c>
      <c r="K283" s="15" t="n">
        <f aca="false">J283*(1+IF(K$3&lt;=$O$2,$D283,$D283-($D283-$I$265)*MIN(K$3-$O$2,$Q$2)/$Q$2))</f>
        <v>6633.40650292592</v>
      </c>
      <c r="L283" s="15" t="n">
        <f aca="false">K283*(1+IF(L$3&lt;=$O$2,$D283,$D283-($D283-$I$265)*MIN(L$3-$O$2,$Q$2)/$Q$2))</f>
        <v>6708.37943009159</v>
      </c>
      <c r="M283" s="15" t="n">
        <f aca="false">L283*(1+IF(M$3&lt;=$O$2,$D283,$D283-($D283-$I$265)*MIN(M$3-$O$2,$Q$2)/$Q$2))</f>
        <v>6857.9840954422</v>
      </c>
      <c r="N283" s="15" t="n">
        <f aca="false">M283*(1+IF(N$3&lt;=$O$2,$D283,$D283-($D283-$I$265)*MIN(N$3-$O$2,$Q$2)/$Q$2))</f>
        <v>7086.35496582042</v>
      </c>
      <c r="O283" s="15" t="n">
        <f aca="false">SUMPRODUCT(E283:N283,1/(1+$F$265)^$E$3:$N$3)*$E$2</f>
        <v>8089.10821404998</v>
      </c>
      <c r="P283" s="15" t="n">
        <f aca="false">N283*$E$2*(1+$I$265)/($F$265-$I$265)/(1+$F$265)^$N$3</f>
        <v>14047.7462102486</v>
      </c>
      <c r="Q283" s="15" t="n">
        <f aca="false">O283+P283</f>
        <v>22136.8544242986</v>
      </c>
      <c r="R283" s="15" t="n">
        <f aca="false">Q283-$G$2+$I$2</f>
        <v>19020.6544242986</v>
      </c>
      <c r="S283" s="42" t="n">
        <f aca="false">R283/$K$2</f>
        <v>168.473466999987</v>
      </c>
      <c r="T283" s="43" t="n">
        <f aca="false">S283-$M$2</f>
        <v>0.00579649511570324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-0.0217056274414063</v>
      </c>
      <c r="C284" s="25" t="n">
        <f aca="false">IF(T283&gt;0,D283,C283)</f>
        <v>-0.0216941833496094</v>
      </c>
      <c r="D284" s="41" t="n">
        <f aca="false">(B284+C284)/2</f>
        <v>-0.0216999053955078</v>
      </c>
      <c r="E284" s="15" t="n">
        <f aca="false">$C$2*(1+IF(E$3&lt;=$O$2,$D284,$D284-($D284-$I$265)*MIN(E$3-$O$2,$Q$2)/$Q$2))</f>
        <v>7317.6847076416</v>
      </c>
      <c r="F284" s="15" t="n">
        <f aca="false">E284*(1+IF(F$3&lt;=$O$2,$D284,$D284-($D284-$I$265)*MIN(F$3-$O$2,$Q$2)/$Q$2))</f>
        <v>7158.89164177163</v>
      </c>
      <c r="G284" s="15" t="n">
        <f aca="false">F284*(1+IF(G$3&lt;=$O$2,$D284,$D284-($D284-$I$265)*MIN(G$3-$O$2,$Q$2)/$Q$2))</f>
        <v>7003.54437040849</v>
      </c>
      <c r="H284" s="15" t="n">
        <f aca="false">G284*(1+IF(H$3&lt;=$O$2,$D284,$D284-($D284-$I$265)*MIN(H$3-$O$2,$Q$2)/$Q$2))</f>
        <v>6851.56812013738</v>
      </c>
      <c r="I284" s="15" t="n">
        <f aca="false">H284*(1+IF(I$3&lt;=$O$2,$D284,$D284-($D284-$I$265)*MIN(I$3-$O$2,$Q$2)/$Q$2))</f>
        <v>6702.88974011953</v>
      </c>
      <c r="J284" s="15" t="n">
        <f aca="false">I284*(1+IF(J$3&lt;=$O$2,$D284,$D284-($D284-$I$265)*MIN(J$3-$O$2,$Q$2)/$Q$2))</f>
        <v>6631.16932719903</v>
      </c>
      <c r="K284" s="15" t="n">
        <f aca="false">J284*(1+IF(K$3&lt;=$O$2,$D284,$D284-($D284-$I$265)*MIN(K$3-$O$2,$Q$2)/$Q$2))</f>
        <v>6633.15905440024</v>
      </c>
      <c r="L284" s="15" t="n">
        <f aca="false">K284*(1+IF(L$3&lt;=$O$2,$D284,$D284-($D284-$I$265)*MIN(L$3-$O$2,$Q$2)/$Q$2))</f>
        <v>6708.11400272562</v>
      </c>
      <c r="M284" s="15" t="n">
        <f aca="false">L284*(1+IF(M$3&lt;=$O$2,$D284,$D284-($D284-$I$265)*MIN(M$3-$O$2,$Q$2)/$Q$2))</f>
        <v>6857.70507190994</v>
      </c>
      <c r="N284" s="15" t="n">
        <f aca="false">M284*(1+IF(N$3&lt;=$O$2,$D284,$D284-($D284-$I$265)*MIN(N$3-$O$2,$Q$2)/$Q$2))</f>
        <v>7086.06665080454</v>
      </c>
      <c r="O284" s="15" t="n">
        <f aca="false">SUMPRODUCT(E284:N284,1/(1+$F$265)^$E$3:$N$3)*$E$2</f>
        <v>8088.90475997487</v>
      </c>
      <c r="P284" s="15" t="n">
        <f aca="false">N284*$E$2*(1+$I$265)/($F$265-$I$265)/(1+$F$265)^$N$3</f>
        <v>14047.1746644833</v>
      </c>
      <c r="Q284" s="15" t="n">
        <f aca="false">O284+P284</f>
        <v>22136.0794244582</v>
      </c>
      <c r="R284" s="15" t="n">
        <f aca="false">Q284-$G$2+$I$2</f>
        <v>19019.8794244582</v>
      </c>
      <c r="S284" s="42" t="n">
        <f aca="false">R284/$K$2</f>
        <v>168.466602519559</v>
      </c>
      <c r="T284" s="43" t="n">
        <f aca="false">S284-$M$2</f>
        <v>-0.00106798531265895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-0.0216999053955078</v>
      </c>
      <c r="C285" s="25" t="n">
        <f aca="false">IF(T284&gt;0,D284,C284)</f>
        <v>-0.0216941833496094</v>
      </c>
      <c r="D285" s="41" t="n">
        <f aca="false">(B285+C285)/2</f>
        <v>-0.0216970443725586</v>
      </c>
      <c r="E285" s="15" t="n">
        <f aca="false">$C$2*(1+IF(E$3&lt;=$O$2,$D285,$D285-($D285-$I$265)*MIN(E$3-$O$2,$Q$2)/$Q$2))</f>
        <v>7317.70610809326</v>
      </c>
      <c r="F285" s="15" t="n">
        <f aca="false">E285*(1+IF(F$3&lt;=$O$2,$D285,$D285-($D285-$I$265)*MIN(F$3-$O$2,$Q$2)/$Q$2))</f>
        <v>7158.93351396062</v>
      </c>
      <c r="G285" s="15" t="n">
        <f aca="false">F285*(1+IF(G$3&lt;=$O$2,$D285,$D285-($D285-$I$265)*MIN(G$3-$O$2,$Q$2)/$Q$2))</f>
        <v>7003.60581584802</v>
      </c>
      <c r="H285" s="15" t="n">
        <f aca="false">G285*(1+IF(H$3&lt;=$O$2,$D285,$D285-($D285-$I$265)*MIN(H$3-$O$2,$Q$2)/$Q$2))</f>
        <v>6851.64826969366</v>
      </c>
      <c r="I285" s="15" t="n">
        <f aca="false">H285*(1+IF(I$3&lt;=$O$2,$D285,$D285-($D285-$I$265)*MIN(I$3-$O$2,$Q$2)/$Q$2))</f>
        <v>6702.98775316095</v>
      </c>
      <c r="J285" s="15" t="n">
        <f aca="false">I285*(1+IF(J$3&lt;=$O$2,$D285,$D285-($D285-$I$265)*MIN(J$3-$O$2,$Q$2)/$Q$2))</f>
        <v>6631.28163342976</v>
      </c>
      <c r="K285" s="15" t="n">
        <f aca="false">J285*(1+IF(K$3&lt;=$O$2,$D285,$D285-($D285-$I$265)*MIN(K$3-$O$2,$Q$2)/$Q$2))</f>
        <v>6633.28277767857</v>
      </c>
      <c r="L285" s="15" t="n">
        <f aca="false">K285*(1+IF(L$3&lt;=$O$2,$D285,$D285-($D285-$I$265)*MIN(L$3-$O$2,$Q$2)/$Q$2))</f>
        <v>6708.24671527138</v>
      </c>
      <c r="M285" s="15" t="n">
        <f aca="false">L285*(1+IF(M$3&lt;=$O$2,$D285,$D285-($D285-$I$265)*MIN(M$3-$O$2,$Q$2)/$Q$2))</f>
        <v>6857.84458243754</v>
      </c>
      <c r="N285" s="15" t="n">
        <f aca="false">M285*(1+IF(N$3&lt;=$O$2,$D285,$D285-($D285-$I$265)*MIN(N$3-$O$2,$Q$2)/$Q$2))</f>
        <v>7086.21080703272</v>
      </c>
      <c r="O285" s="15" t="n">
        <f aca="false">SUMPRODUCT(E285:N285,1/(1+$F$265)^$E$3:$N$3)*$E$2</f>
        <v>8089.00648635499</v>
      </c>
      <c r="P285" s="15" t="n">
        <f aca="false">N285*$E$2*(1+$I$265)/($F$265-$I$265)/(1+$F$265)^$N$3</f>
        <v>14047.460434829</v>
      </c>
      <c r="Q285" s="15" t="n">
        <f aca="false">O285+P285</f>
        <v>22136.466921184</v>
      </c>
      <c r="R285" s="15" t="n">
        <f aca="false">Q285-$G$2+$I$2</f>
        <v>19020.266921184</v>
      </c>
      <c r="S285" s="42" t="n">
        <f aca="false">R285/$K$2</f>
        <v>168.470034731479</v>
      </c>
      <c r="T285" s="43" t="n">
        <f aca="false">S285-$M$2</f>
        <v>0.00236422660745461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-0.0216999053955078</v>
      </c>
      <c r="C286" s="25" t="n">
        <f aca="false">IF(T285&gt;0,D285,C285)</f>
        <v>-0.0216970443725586</v>
      </c>
      <c r="D286" s="41" t="n">
        <f aca="false">(B286+C286)/2</f>
        <v>-0.0216984748840332</v>
      </c>
      <c r="E286" s="15" t="n">
        <f aca="false">$C$2*(1+IF(E$3&lt;=$O$2,$D286,$D286-($D286-$I$265)*MIN(E$3-$O$2,$Q$2)/$Q$2))</f>
        <v>7317.69540786743</v>
      </c>
      <c r="F286" s="15" t="n">
        <f aca="false">E286*(1+IF(F$3&lt;=$O$2,$D286,$D286-($D286-$I$265)*MIN(F$3-$O$2,$Q$2)/$Q$2))</f>
        <v>7158.91257785082</v>
      </c>
      <c r="G286" s="15" t="n">
        <f aca="false">F286*(1+IF(G$3&lt;=$O$2,$D286,$D286-($D286-$I$265)*MIN(G$3-$O$2,$Q$2)/$Q$2))</f>
        <v>7003.57509308333</v>
      </c>
      <c r="H286" s="15" t="n">
        <f aca="false">G286*(1+IF(H$3&lt;=$O$2,$D286,$D286-($D286-$I$265)*MIN(H$3-$O$2,$Q$2)/$Q$2))</f>
        <v>6851.60819482762</v>
      </c>
      <c r="I286" s="15" t="n">
        <f aca="false">H286*(1+IF(I$3&lt;=$O$2,$D286,$D286-($D286-$I$265)*MIN(I$3-$O$2,$Q$2)/$Q$2))</f>
        <v>6702.93874649692</v>
      </c>
      <c r="J286" s="15" t="n">
        <f aca="false">I286*(1+IF(J$3&lt;=$O$2,$D286,$D286-($D286-$I$265)*MIN(J$3-$O$2,$Q$2)/$Q$2))</f>
        <v>6631.22548011653</v>
      </c>
      <c r="K286" s="15" t="n">
        <f aca="false">J286*(1+IF(K$3&lt;=$O$2,$D286,$D286-($D286-$I$265)*MIN(K$3-$O$2,$Q$2)/$Q$2))</f>
        <v>6633.22091579328</v>
      </c>
      <c r="L286" s="15" t="n">
        <f aca="false">K286*(1+IF(L$3&lt;=$O$2,$D286,$D286-($D286-$I$265)*MIN(L$3-$O$2,$Q$2)/$Q$2))</f>
        <v>6708.18035871419</v>
      </c>
      <c r="M286" s="15" t="n">
        <f aca="false">L286*(1+IF(M$3&lt;=$O$2,$D286,$D286-($D286-$I$265)*MIN(M$3-$O$2,$Q$2)/$Q$2))</f>
        <v>6857.77482686411</v>
      </c>
      <c r="N286" s="15" t="n">
        <f aca="false">M286*(1+IF(N$3&lt;=$O$2,$D286,$D286-($D286-$I$265)*MIN(N$3-$O$2,$Q$2)/$Q$2))</f>
        <v>7086.13872859869</v>
      </c>
      <c r="O286" s="15" t="n">
        <f aca="false">SUMPRODUCT(E286:N286,1/(1+$F$265)^$E$3:$N$3)*$E$2</f>
        <v>8088.95562300057</v>
      </c>
      <c r="P286" s="15" t="n">
        <f aca="false">N286*$E$2*(1+$I$265)/($F$265-$I$265)/(1+$F$265)^$N$3</f>
        <v>14047.3175490219</v>
      </c>
      <c r="Q286" s="15" t="n">
        <f aca="false">O286+P286</f>
        <v>22136.2731720225</v>
      </c>
      <c r="R286" s="15" t="n">
        <f aca="false">Q286-$G$2+$I$2</f>
        <v>19020.0731720225</v>
      </c>
      <c r="S286" s="42" t="n">
        <f aca="false">R286/$K$2</f>
        <v>168.468318618446</v>
      </c>
      <c r="T286" s="43" t="n">
        <f aca="false">S286-$M$2</f>
        <v>0.000648113573959108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-0.0216999053955078</v>
      </c>
      <c r="C287" s="25" t="n">
        <f aca="false">IF(T286&gt;0,D286,C286)</f>
        <v>-0.0216984748840332</v>
      </c>
      <c r="D287" s="41" t="n">
        <f aca="false">(B287+C287)/2</f>
        <v>-0.0216991901397705</v>
      </c>
      <c r="E287" s="15" t="n">
        <f aca="false">$C$2*(1+IF(E$3&lt;=$O$2,$D287,$D287-($D287-$I$265)*MIN(E$3-$O$2,$Q$2)/$Q$2))</f>
        <v>7317.69005775452</v>
      </c>
      <c r="F287" s="15" t="n">
        <f aca="false">E287*(1+IF(F$3&lt;=$O$2,$D287,$D287-($D287-$I$265)*MIN(F$3-$O$2,$Q$2)/$Q$2))</f>
        <v>7158.90210980739</v>
      </c>
      <c r="G287" s="15" t="n">
        <f aca="false">F287*(1+IF(G$3&lt;=$O$2,$D287,$D287-($D287-$I$265)*MIN(G$3-$O$2,$Q$2)/$Q$2))</f>
        <v>7003.55973173468</v>
      </c>
      <c r="H287" s="15" t="n">
        <f aca="false">G287*(1+IF(H$3&lt;=$O$2,$D287,$D287-($D287-$I$265)*MIN(H$3-$O$2,$Q$2)/$Q$2))</f>
        <v>6851.58815746053</v>
      </c>
      <c r="I287" s="15" t="n">
        <f aca="false">H287*(1+IF(I$3&lt;=$O$2,$D287,$D287-($D287-$I$265)*MIN(I$3-$O$2,$Q$2)/$Q$2))</f>
        <v>6702.91424327239</v>
      </c>
      <c r="J287" s="15" t="n">
        <f aca="false">I287*(1+IF(J$3&lt;=$O$2,$D287,$D287-($D287-$I$265)*MIN(J$3-$O$2,$Q$2)/$Q$2))</f>
        <v>6631.19740360831</v>
      </c>
      <c r="K287" s="15" t="n">
        <f aca="false">J287*(1+IF(K$3&lt;=$O$2,$D287,$D287-($D287-$I$265)*MIN(K$3-$O$2,$Q$2)/$Q$2))</f>
        <v>6633.18998503522</v>
      </c>
      <c r="L287" s="15" t="n">
        <f aca="false">K287*(1+IF(L$3&lt;=$O$2,$D287,$D287-($D287-$I$265)*MIN(L$3-$O$2,$Q$2)/$Q$2))</f>
        <v>6708.14718064883</v>
      </c>
      <c r="M287" s="15" t="n">
        <f aca="false">L287*(1+IF(M$3&lt;=$O$2,$D287,$D287-($D287-$I$265)*MIN(M$3-$O$2,$Q$2)/$Q$2))</f>
        <v>6857.73994930962</v>
      </c>
      <c r="N287" s="15" t="n">
        <f aca="false">M287*(1+IF(N$3&lt;=$O$2,$D287,$D287-($D287-$I$265)*MIN(N$3-$O$2,$Q$2)/$Q$2))</f>
        <v>7086.10268962163</v>
      </c>
      <c r="O287" s="15" t="n">
        <f aca="false">SUMPRODUCT(E287:N287,1/(1+$F$265)^$E$3:$N$3)*$E$2</f>
        <v>8088.93019144663</v>
      </c>
      <c r="P287" s="15" t="n">
        <f aca="false">N287*$E$2*(1+$I$265)/($F$265-$I$265)/(1+$F$265)^$N$3</f>
        <v>14047.2461065941</v>
      </c>
      <c r="Q287" s="15" t="n">
        <f aca="false">O287+P287</f>
        <v>22136.1762980407</v>
      </c>
      <c r="R287" s="15" t="n">
        <f aca="false">Q287-$G$2+$I$2</f>
        <v>19019.9762980407</v>
      </c>
      <c r="S287" s="42" t="n">
        <f aca="false">R287/$K$2</f>
        <v>168.467460567234</v>
      </c>
      <c r="T287" s="43" t="n">
        <f aca="false">S287-$M$2</f>
        <v>-0.000209937637663415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-0.0216991901397705</v>
      </c>
      <c r="C288" s="25" t="n">
        <f aca="false">IF(T287&gt;0,D287,C287)</f>
        <v>-0.0216984748840332</v>
      </c>
      <c r="D288" s="41" t="n">
        <f aca="false">(B288+C288)/2</f>
        <v>-0.0216988325119019</v>
      </c>
      <c r="E288" s="15" t="n">
        <f aca="false">$C$2*(1+IF(E$3&lt;=$O$2,$D288,$D288-($D288-$I$265)*MIN(E$3-$O$2,$Q$2)/$Q$2))</f>
        <v>7317.69273281097</v>
      </c>
      <c r="F288" s="15" t="n">
        <f aca="false">E288*(1+IF(F$3&lt;=$O$2,$D288,$D288-($D288-$I$265)*MIN(F$3-$O$2,$Q$2)/$Q$2))</f>
        <v>7158.90734382815</v>
      </c>
      <c r="G288" s="15" t="n">
        <f aca="false">F288*(1+IF(G$3&lt;=$O$2,$D288,$D288-($D288-$I$265)*MIN(G$3-$O$2,$Q$2)/$Q$2))</f>
        <v>7003.5674124062</v>
      </c>
      <c r="H288" s="15" t="n">
        <f aca="false">G288*(1+IF(H$3&lt;=$O$2,$D288,$D288-($D288-$I$265)*MIN(H$3-$O$2,$Q$2)/$Q$2))</f>
        <v>6851.59817613858</v>
      </c>
      <c r="I288" s="15" t="n">
        <f aca="false">H288*(1+IF(I$3&lt;=$O$2,$D288,$D288-($D288-$I$265)*MIN(I$3-$O$2,$Q$2)/$Q$2))</f>
        <v>6702.9264948757</v>
      </c>
      <c r="J288" s="15" t="n">
        <f aca="false">I288*(1+IF(J$3&lt;=$O$2,$D288,$D288-($D288-$I$265)*MIN(J$3-$O$2,$Q$2)/$Q$2))</f>
        <v>6631.21144185005</v>
      </c>
      <c r="K288" s="15" t="n">
        <f aca="false">J288*(1+IF(K$3&lt;=$O$2,$D288,$D288-($D288-$I$265)*MIN(K$3-$O$2,$Q$2)/$Q$2))</f>
        <v>6633.20545039887</v>
      </c>
      <c r="L288" s="15" t="n">
        <f aca="false">K288*(1+IF(L$3&lt;=$O$2,$D288,$D288-($D288-$I$265)*MIN(L$3-$O$2,$Q$2)/$Q$2))</f>
        <v>6708.16376966374</v>
      </c>
      <c r="M288" s="15" t="n">
        <f aca="false">L288*(1+IF(M$3&lt;=$O$2,$D288,$D288-($D288-$I$265)*MIN(M$3-$O$2,$Q$2)/$Q$2))</f>
        <v>6857.75738806751</v>
      </c>
      <c r="N288" s="15" t="n">
        <f aca="false">M288*(1+IF(N$3&lt;=$O$2,$D288,$D288-($D288-$I$265)*MIN(N$3-$O$2,$Q$2)/$Q$2))</f>
        <v>7086.12070909016</v>
      </c>
      <c r="O288" s="15" t="n">
        <f aca="false">SUMPRODUCT(E288:N288,1/(1+$F$265)^$E$3:$N$3)*$E$2</f>
        <v>8088.94290721333</v>
      </c>
      <c r="P288" s="15" t="n">
        <f aca="false">N288*$E$2*(1+$I$265)/($F$265-$I$265)/(1+$F$265)^$N$3</f>
        <v>14047.2818277684</v>
      </c>
      <c r="Q288" s="15" t="n">
        <f aca="false">O288+P288</f>
        <v>22136.2247349817</v>
      </c>
      <c r="R288" s="15" t="n">
        <f aca="false">Q288-$G$2+$I$2</f>
        <v>19020.0247349817</v>
      </c>
      <c r="S288" s="42" t="n">
        <f aca="false">R288/$K$2</f>
        <v>168.467889592398</v>
      </c>
      <c r="T288" s="43" t="n">
        <f aca="false">S288-$M$2</f>
        <v>0.000219087526005524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-0.0216991901397705</v>
      </c>
      <c r="C289" s="25" t="n">
        <f aca="false">IF(T288&gt;0,D288,C288)</f>
        <v>-0.0216988325119019</v>
      </c>
      <c r="D289" s="41" t="n">
        <f aca="false">(B289+C289)/2</f>
        <v>-0.0216990113258362</v>
      </c>
      <c r="E289" s="15" t="n">
        <f aca="false">$C$2*(1+IF(E$3&lt;=$O$2,$D289,$D289-($D289-$I$265)*MIN(E$3-$O$2,$Q$2)/$Q$2))</f>
        <v>7317.69139528275</v>
      </c>
      <c r="F289" s="15" t="n">
        <f aca="false">E289*(1+IF(F$3&lt;=$O$2,$D289,$D289-($D289-$I$265)*MIN(F$3-$O$2,$Q$2)/$Q$2))</f>
        <v>7158.90472681753</v>
      </c>
      <c r="G289" s="15" t="n">
        <f aca="false">F289*(1+IF(G$3&lt;=$O$2,$D289,$D289-($D289-$I$265)*MIN(G$3-$O$2,$Q$2)/$Q$2))</f>
        <v>7003.56357206974</v>
      </c>
      <c r="H289" s="15" t="n">
        <f aca="false">G289*(1+IF(H$3&lt;=$O$2,$D289,$D289-($D289-$I$265)*MIN(H$3-$O$2,$Q$2)/$Q$2))</f>
        <v>6851.59316679818</v>
      </c>
      <c r="I289" s="15" t="n">
        <f aca="false">H289*(1+IF(I$3&lt;=$O$2,$D289,$D289-($D289-$I$265)*MIN(I$3-$O$2,$Q$2)/$Q$2))</f>
        <v>6702.92036907181</v>
      </c>
      <c r="J289" s="15" t="n">
        <f aca="false">I289*(1+IF(J$3&lt;=$O$2,$D289,$D289-($D289-$I$265)*MIN(J$3-$O$2,$Q$2)/$Q$2))</f>
        <v>6631.20442272609</v>
      </c>
      <c r="K289" s="15" t="n">
        <f aca="false">J289*(1+IF(K$3&lt;=$O$2,$D289,$D289-($D289-$I$265)*MIN(K$3-$O$2,$Q$2)/$Q$2))</f>
        <v>6633.1977177132</v>
      </c>
      <c r="L289" s="15" t="n">
        <f aca="false">K289*(1+IF(L$3&lt;=$O$2,$D289,$D289-($D289-$I$265)*MIN(L$3-$O$2,$Q$2)/$Q$2))</f>
        <v>6708.15547515184</v>
      </c>
      <c r="M289" s="15" t="n">
        <f aca="false">L289*(1+IF(M$3&lt;=$O$2,$D289,$D289-($D289-$I$265)*MIN(M$3-$O$2,$Q$2)/$Q$2))</f>
        <v>6857.74866868373</v>
      </c>
      <c r="N289" s="15" t="n">
        <f aca="false">M289*(1+IF(N$3&lt;=$O$2,$D289,$D289-($D289-$I$265)*MIN(N$3-$O$2,$Q$2)/$Q$2))</f>
        <v>7086.1116993509</v>
      </c>
      <c r="O289" s="15" t="n">
        <f aca="false">SUMPRODUCT(E289:N289,1/(1+$F$265)^$E$3:$N$3)*$E$2</f>
        <v>8088.93654932741</v>
      </c>
      <c r="P289" s="15" t="n">
        <f aca="false">N289*$E$2*(1+$I$265)/($F$265-$I$265)/(1+$F$265)^$N$3</f>
        <v>14047.2639671713</v>
      </c>
      <c r="Q289" s="15" t="n">
        <f aca="false">O289+P289</f>
        <v>22136.2005164987</v>
      </c>
      <c r="R289" s="15" t="n">
        <f aca="false">Q289-$G$2+$I$2</f>
        <v>19020.0005164987</v>
      </c>
      <c r="S289" s="42" t="n">
        <f aca="false">R289/$K$2</f>
        <v>168.467675079705</v>
      </c>
      <c r="T289" s="43" t="n">
        <f aca="false">S289-$M$2</f>
        <v>4.5748336106044E-006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-0.0216991901397705</v>
      </c>
      <c r="C290" s="25" t="n">
        <f aca="false">IF(T289&gt;0,D289,C289)</f>
        <v>-0.0216990113258362</v>
      </c>
      <c r="D290" s="41" t="n">
        <f aca="false">(B290+C290)/2</f>
        <v>-0.0216991007328033</v>
      </c>
      <c r="E290" s="15" t="n">
        <f aca="false">$C$2*(1+IF(E$3&lt;=$O$2,$D290,$D290-($D290-$I$265)*MIN(E$3-$O$2,$Q$2)/$Q$2))</f>
        <v>7317.69072651863</v>
      </c>
      <c r="F290" s="15" t="n">
        <f aca="false">E290*(1+IF(F$3&lt;=$O$2,$D290,$D290-($D290-$I$265)*MIN(F$3-$O$2,$Q$2)/$Q$2))</f>
        <v>7158.9034183124</v>
      </c>
      <c r="G290" s="15" t="n">
        <f aca="false">F290*(1+IF(G$3&lt;=$O$2,$D290,$D290-($D290-$I$265)*MIN(G$3-$O$2,$Q$2)/$Q$2))</f>
        <v>7003.56165190203</v>
      </c>
      <c r="H290" s="15" t="n">
        <f aca="false">G290*(1+IF(H$3&lt;=$O$2,$D290,$D290-($D290-$I$265)*MIN(H$3-$O$2,$Q$2)/$Q$2))</f>
        <v>6851.59066212901</v>
      </c>
      <c r="I290" s="15" t="n">
        <f aca="false">H290*(1+IF(I$3&lt;=$O$2,$D290,$D290-($D290-$I$265)*MIN(I$3-$O$2,$Q$2)/$Q$2))</f>
        <v>6702.91730617154</v>
      </c>
      <c r="J290" s="15" t="n">
        <f aca="false">I290*(1+IF(J$3&lt;=$O$2,$D290,$D290-($D290-$I$265)*MIN(J$3-$O$2,$Q$2)/$Q$2))</f>
        <v>6631.20091316643</v>
      </c>
      <c r="K290" s="15" t="n">
        <f aca="false">J290*(1+IF(K$3&lt;=$O$2,$D290,$D290-($D290-$I$265)*MIN(K$3-$O$2,$Q$2)/$Q$2))</f>
        <v>6633.19385137325</v>
      </c>
      <c r="L290" s="15" t="n">
        <f aca="false">K290*(1+IF(L$3&lt;=$O$2,$D290,$D290-($D290-$I$265)*MIN(L$3-$O$2,$Q$2)/$Q$2))</f>
        <v>6708.15132789922</v>
      </c>
      <c r="M290" s="15" t="n">
        <f aca="false">L290*(1+IF(M$3&lt;=$O$2,$D290,$D290-($D290-$I$265)*MIN(M$3-$O$2,$Q$2)/$Q$2))</f>
        <v>6857.74430899546</v>
      </c>
      <c r="N290" s="15" t="n">
        <f aca="false">M290*(1+IF(N$3&lt;=$O$2,$D290,$D290-($D290-$I$265)*MIN(N$3-$O$2,$Q$2)/$Q$2))</f>
        <v>7086.10719448501</v>
      </c>
      <c r="O290" s="15" t="n">
        <f aca="false">SUMPRODUCT(E290:N290,1/(1+$F$265)^$E$3:$N$3)*$E$2</f>
        <v>8088.93337038638</v>
      </c>
      <c r="P290" s="15" t="n">
        <f aca="false">N290*$E$2*(1+$I$265)/($F$265-$I$265)/(1+$F$265)^$N$3</f>
        <v>14047.2550368802</v>
      </c>
      <c r="Q290" s="15" t="n">
        <f aca="false">O290+P290</f>
        <v>22136.1884072666</v>
      </c>
      <c r="R290" s="15" t="n">
        <f aca="false">Q290-$G$2+$I$2</f>
        <v>19019.9884072666</v>
      </c>
      <c r="S290" s="42" t="n">
        <f aca="false">R290/$K$2</f>
        <v>168.467567823442</v>
      </c>
      <c r="T290" s="43" t="n">
        <f aca="false">S290-$M$2</f>
        <v>-0.000102681429723361</v>
      </c>
    </row>
    <row r="292" customFormat="false" ht="15" hidden="false" customHeight="false" outlineLevel="0" collapsed="false">
      <c r="A292" s="38" t="s">
        <v>194</v>
      </c>
      <c r="E292" s="5" t="s">
        <v>11</v>
      </c>
      <c r="F292" s="12" t="n">
        <f aca="false">Sensitivity!$B$11</f>
        <v>0.0761268672746673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165</v>
      </c>
      <c r="B293" s="28" t="s">
        <v>166</v>
      </c>
      <c r="C293" s="28" t="s">
        <v>167</v>
      </c>
      <c r="D293" s="28" t="s">
        <v>168</v>
      </c>
      <c r="E293" s="28" t="s">
        <v>169</v>
      </c>
      <c r="F293" s="28" t="s">
        <v>170</v>
      </c>
      <c r="G293" s="28" t="s">
        <v>171</v>
      </c>
      <c r="H293" s="28" t="s">
        <v>172</v>
      </c>
      <c r="I293" s="28" t="s">
        <v>173</v>
      </c>
      <c r="J293" s="28" t="s">
        <v>174</v>
      </c>
      <c r="K293" s="28" t="s">
        <v>175</v>
      </c>
      <c r="L293" s="28" t="s">
        <v>176</v>
      </c>
      <c r="M293" s="28" t="s">
        <v>177</v>
      </c>
      <c r="N293" s="28" t="s">
        <v>178</v>
      </c>
      <c r="O293" s="28" t="s">
        <v>179</v>
      </c>
      <c r="P293" s="28" t="s">
        <v>180</v>
      </c>
      <c r="Q293" s="28" t="s">
        <v>181</v>
      </c>
      <c r="R293" s="28" t="s">
        <v>182</v>
      </c>
      <c r="S293" s="28" t="s">
        <v>183</v>
      </c>
      <c r="T293" s="28" t="s">
        <v>184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9350</v>
      </c>
      <c r="F294" s="15" t="n">
        <f aca="false">E294*(1+IF(F$3&lt;=$O$2,$D294,$D294-($D294-$I$292)*MIN(F$3-$O$2,$Q$2)/$Q$2))</f>
        <v>11687.5</v>
      </c>
      <c r="G294" s="15" t="n">
        <f aca="false">F294*(1+IF(G$3&lt;=$O$2,$D294,$D294-($D294-$I$292)*MIN(G$3-$O$2,$Q$2)/$Q$2))</f>
        <v>14609.375</v>
      </c>
      <c r="H294" s="15" t="n">
        <f aca="false">G294*(1+IF(H$3&lt;=$O$2,$D294,$D294-($D294-$I$292)*MIN(H$3-$O$2,$Q$2)/$Q$2))</f>
        <v>18261.71875</v>
      </c>
      <c r="I294" s="15" t="n">
        <f aca="false">H294*(1+IF(I$3&lt;=$O$2,$D294,$D294-($D294-$I$292)*MIN(I$3-$O$2,$Q$2)/$Q$2))</f>
        <v>22827.1484375</v>
      </c>
      <c r="J294" s="15" t="n">
        <f aca="false">I294*(1+IF(J$3&lt;=$O$2,$D294,$D294-($D294-$I$292)*MIN(J$3-$O$2,$Q$2)/$Q$2))</f>
        <v>27567.4340820313</v>
      </c>
      <c r="K294" s="15" t="n">
        <f aca="false">J294*(1+IF(K$3&lt;=$O$2,$D294,$D294-($D294-$I$292)*MIN(K$3-$O$2,$Q$2)/$Q$2))</f>
        <v>32124.8822844727</v>
      </c>
      <c r="L294" s="15" t="n">
        <f aca="false">K294*(1+IF(L$3&lt;=$O$2,$D294,$D294-($D294-$I$292)*MIN(L$3-$O$2,$Q$2)/$Q$2))</f>
        <v>36075.6003078171</v>
      </c>
      <c r="M294" s="15" t="n">
        <f aca="false">L294*(1+IF(M$3&lt;=$O$2,$D294,$D294-($D294-$I$292)*MIN(M$3-$O$2,$Q$2)/$Q$2))</f>
        <v>38984.7367166395</v>
      </c>
      <c r="N294" s="15" t="n">
        <f aca="false">M294*(1+IF(N$3&lt;=$O$2,$D294,$D294-($D294-$I$292)*MIN(N$3-$O$2,$Q$2)/$Q$2))</f>
        <v>40477.8521328868</v>
      </c>
      <c r="O294" s="15" t="n">
        <f aca="false">SUMPRODUCT(E294:N294,1/(1+$F$292)^$E$3:$N$3)*$E$2</f>
        <v>26788.9566841456</v>
      </c>
      <c r="P294" s="15" t="n">
        <f aca="false">N294*$E$2*(1+$I$292)/($F$292-$I$292)/(1+$F$292)^$N$3</f>
        <v>91287.9733754432</v>
      </c>
      <c r="Q294" s="15" t="n">
        <f aca="false">O294+P294</f>
        <v>118076.930059589</v>
      </c>
      <c r="R294" s="15" t="n">
        <f aca="false">Q294-$G$2+$I$2</f>
        <v>114960.730059589</v>
      </c>
      <c r="S294" s="42" t="n">
        <f aca="false">R294/$K$2</f>
        <v>1018.25270203356</v>
      </c>
      <c r="T294" s="43" t="n">
        <f aca="false">S294-$M$2</f>
        <v>849.785031528687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6545</v>
      </c>
      <c r="F295" s="15" t="n">
        <f aca="false">E295*(1+IF(F$3&lt;=$O$2,$D295,$D295-($D295-$I$292)*MIN(F$3-$O$2,$Q$2)/$Q$2))</f>
        <v>5726.875</v>
      </c>
      <c r="G295" s="15" t="n">
        <f aca="false">F295*(1+IF(G$3&lt;=$O$2,$D295,$D295-($D295-$I$292)*MIN(G$3-$O$2,$Q$2)/$Q$2))</f>
        <v>5011.015625</v>
      </c>
      <c r="H295" s="15" t="n">
        <f aca="false">G295*(1+IF(H$3&lt;=$O$2,$D295,$D295-($D295-$I$292)*MIN(H$3-$O$2,$Q$2)/$Q$2))</f>
        <v>4384.638671875</v>
      </c>
      <c r="I295" s="15" t="n">
        <f aca="false">H295*(1+IF(I$3&lt;=$O$2,$D295,$D295-($D295-$I$292)*MIN(I$3-$O$2,$Q$2)/$Q$2))</f>
        <v>3836.55883789063</v>
      </c>
      <c r="J295" s="15" t="n">
        <f aca="false">I295*(1+IF(J$3&lt;=$O$2,$D295,$D295-($D295-$I$292)*MIN(J$3-$O$2,$Q$2)/$Q$2))</f>
        <v>3482.2909947998</v>
      </c>
      <c r="K295" s="15" t="n">
        <f aca="false">J295*(1+IF(K$3&lt;=$O$2,$D295,$D295-($D295-$I$292)*MIN(K$3-$O$2,$Q$2)/$Q$2))</f>
        <v>3274.46786823015</v>
      </c>
      <c r="L295" s="15" t="n">
        <f aca="false">K295*(1+IF(L$3&lt;=$O$2,$D295,$D295-($D295-$I$292)*MIN(L$3-$O$2,$Q$2)/$Q$2))</f>
        <v>3185.99174643057</v>
      </c>
      <c r="M295" s="15" t="n">
        <f aca="false">L295*(1+IF(M$3&lt;=$O$2,$D295,$D295-($D295-$I$292)*MIN(M$3-$O$2,$Q$2)/$Q$2))</f>
        <v>3203.96073988044</v>
      </c>
      <c r="N295" s="15" t="n">
        <f aca="false">M295*(1+IF(N$3&lt;=$O$2,$D295,$D295-($D295-$I$292)*MIN(N$3-$O$2,$Q$2)/$Q$2))</f>
        <v>3326.67243621786</v>
      </c>
      <c r="O295" s="15" t="n">
        <f aca="false">SUMPRODUCT(E295:N295,1/(1+$F$292)^$E$3:$N$3)*$E$2</f>
        <v>5168.24346364034</v>
      </c>
      <c r="P295" s="15" t="n">
        <f aca="false">N295*$E$2*(1+$I$292)/($F$292-$I$292)/(1+$F$292)^$N$3</f>
        <v>7502.50244971729</v>
      </c>
      <c r="Q295" s="15" t="n">
        <f aca="false">O295+P295</f>
        <v>12670.7459133576</v>
      </c>
      <c r="R295" s="15" t="n">
        <f aca="false">Q295-$G$2+$I$2</f>
        <v>9554.54591335763</v>
      </c>
      <c r="S295" s="42" t="n">
        <f aca="false">R295/$K$2</f>
        <v>84.6283960439117</v>
      </c>
      <c r="T295" s="43" t="n">
        <f aca="false">S295-$M$2</f>
        <v>-83.8392744609599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7947.5</v>
      </c>
      <c r="F296" s="15" t="n">
        <f aca="false">E296*(1+IF(F$3&lt;=$O$2,$D296,$D296-($D296-$I$292)*MIN(F$3-$O$2,$Q$2)/$Q$2))</f>
        <v>8444.21875</v>
      </c>
      <c r="G296" s="15" t="n">
        <f aca="false">F296*(1+IF(G$3&lt;=$O$2,$D296,$D296-($D296-$I$292)*MIN(G$3-$O$2,$Q$2)/$Q$2))</f>
        <v>8971.982421875</v>
      </c>
      <c r="H296" s="15" t="n">
        <f aca="false">G296*(1+IF(H$3&lt;=$O$2,$D296,$D296-($D296-$I$292)*MIN(H$3-$O$2,$Q$2)/$Q$2))</f>
        <v>9532.73132324219</v>
      </c>
      <c r="I296" s="15" t="n">
        <f aca="false">H296*(1+IF(I$3&lt;=$O$2,$D296,$D296-($D296-$I$292)*MIN(I$3-$O$2,$Q$2)/$Q$2))</f>
        <v>10128.5270309448</v>
      </c>
      <c r="J296" s="15" t="n">
        <f aca="false">I296*(1+IF(J$3&lt;=$O$2,$D296,$D296-($D296-$I$292)*MIN(J$3-$O$2,$Q$2)/$Q$2))</f>
        <v>10712.5378995491</v>
      </c>
      <c r="K296" s="15" t="n">
        <f aca="false">J296*(1+IF(K$3&lt;=$O$2,$D296,$D296-($D296-$I$292)*MIN(K$3-$O$2,$Q$2)/$Q$2))</f>
        <v>11278.3741514033</v>
      </c>
      <c r="L296" s="15" t="n">
        <f aca="false">K296*(1+IF(L$3&lt;=$O$2,$D296,$D296-($D296-$I$292)*MIN(L$3-$O$2,$Q$2)/$Q$2))</f>
        <v>11819.5105431876</v>
      </c>
      <c r="M296" s="15" t="n">
        <f aca="false">L296*(1+IF(M$3&lt;=$O$2,$D296,$D296-($D296-$I$292)*MIN(M$3-$O$2,$Q$2)/$Q$2))</f>
        <v>12329.4042280207</v>
      </c>
      <c r="N296" s="15" t="n">
        <f aca="false">M296*(1+IF(N$3&lt;=$O$2,$D296,$D296-($D296-$I$292)*MIN(N$3-$O$2,$Q$2)/$Q$2))</f>
        <v>12801.6204099539</v>
      </c>
      <c r="O296" s="15" t="n">
        <f aca="false">SUMPRODUCT(E296:N296,1/(1+$F$292)^$E$3:$N$3)*$E$2</f>
        <v>11762.6740632807</v>
      </c>
      <c r="P296" s="15" t="n">
        <f aca="false">N296*$E$2*(1+$I$292)/($F$292-$I$292)/(1+$F$292)^$N$3</f>
        <v>28870.9484710265</v>
      </c>
      <c r="Q296" s="15" t="n">
        <f aca="false">O296+P296</f>
        <v>40633.6225343073</v>
      </c>
      <c r="R296" s="15" t="n">
        <f aca="false">Q296-$G$2+$I$2</f>
        <v>37517.4225343073</v>
      </c>
      <c r="S296" s="42" t="n">
        <f aca="false">R296/$K$2</f>
        <v>332.306665494307</v>
      </c>
      <c r="T296" s="43" t="n">
        <f aca="false">S296-$M$2</f>
        <v>163.838994989435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7246.25</v>
      </c>
      <c r="F297" s="15" t="n">
        <f aca="false">E297*(1+IF(F$3&lt;=$O$2,$D297,$D297-($D297-$I$292)*MIN(F$3-$O$2,$Q$2)/$Q$2))</f>
        <v>7019.8046875</v>
      </c>
      <c r="G297" s="15" t="n">
        <f aca="false">F297*(1+IF(G$3&lt;=$O$2,$D297,$D297-($D297-$I$292)*MIN(G$3-$O$2,$Q$2)/$Q$2))</f>
        <v>6800.43579101563</v>
      </c>
      <c r="H297" s="15" t="n">
        <f aca="false">G297*(1+IF(H$3&lt;=$O$2,$D297,$D297-($D297-$I$292)*MIN(H$3-$O$2,$Q$2)/$Q$2))</f>
        <v>6587.92217254639</v>
      </c>
      <c r="I297" s="15" t="n">
        <f aca="false">H297*(1+IF(I$3&lt;=$O$2,$D297,$D297-($D297-$I$292)*MIN(I$3-$O$2,$Q$2)/$Q$2))</f>
        <v>6382.04960465431</v>
      </c>
      <c r="J297" s="15" t="n">
        <f aca="false">I297*(1+IF(J$3&lt;=$O$2,$D297,$D297-($D297-$I$292)*MIN(J$3-$O$2,$Q$2)/$Q$2))</f>
        <v>6271.38486450961</v>
      </c>
      <c r="K297" s="15" t="n">
        <f aca="false">J297*(1+IF(K$3&lt;=$O$2,$D297,$D297-($D297-$I$292)*MIN(K$3-$O$2,$Q$2)/$Q$2))</f>
        <v>6249.87401442434</v>
      </c>
      <c r="L297" s="15" t="n">
        <f aca="false">K297*(1+IF(L$3&lt;=$O$2,$D297,$D297-($D297-$I$292)*MIN(L$3-$O$2,$Q$2)/$Q$2))</f>
        <v>6315.37269409551</v>
      </c>
      <c r="M297" s="15" t="n">
        <f aca="false">L297*(1+IF(M$3&lt;=$O$2,$D297,$D297-($D297-$I$292)*MIN(M$3-$O$2,$Q$2)/$Q$2))</f>
        <v>6469.40463410449</v>
      </c>
      <c r="N297" s="15" t="n">
        <f aca="false">M297*(1+IF(N$3&lt;=$O$2,$D297,$D297-($D297-$I$292)*MIN(N$3-$O$2,$Q$2)/$Q$2))</f>
        <v>6717.1828315907</v>
      </c>
      <c r="O297" s="15" t="n">
        <f aca="false">SUMPRODUCT(E297:N297,1/(1+$F$292)^$E$3:$N$3)*$E$2</f>
        <v>7776.51997628365</v>
      </c>
      <c r="P297" s="15" t="n">
        <f aca="false">N297*$E$2*(1+$I$292)/($F$292-$I$292)/(1+$F$292)^$N$3</f>
        <v>15148.9759257763</v>
      </c>
      <c r="Q297" s="15" t="n">
        <f aca="false">O297+P297</f>
        <v>22925.49590206</v>
      </c>
      <c r="R297" s="15" t="n">
        <f aca="false">Q297-$G$2+$I$2</f>
        <v>19809.29590206</v>
      </c>
      <c r="S297" s="42" t="n">
        <f aca="false">R297/$K$2</f>
        <v>175.458776811869</v>
      </c>
      <c r="T297" s="43" t="n">
        <f aca="false">S297-$M$2</f>
        <v>6.99110630699704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-0.125</v>
      </c>
      <c r="C298" s="25" t="n">
        <f aca="false">IF(T297&gt;0,D297,C297)</f>
        <v>-0.03125</v>
      </c>
      <c r="D298" s="41" t="n">
        <f aca="false">(B298+C298)/2</f>
        <v>-0.078125</v>
      </c>
      <c r="E298" s="15" t="n">
        <f aca="false">$C$2*(1+IF(E$3&lt;=$O$2,$D298,$D298-($D298-$I$292)*MIN(E$3-$O$2,$Q$2)/$Q$2))</f>
        <v>6895.625</v>
      </c>
      <c r="F298" s="15" t="n">
        <f aca="false">E298*(1+IF(F$3&lt;=$O$2,$D298,$D298-($D298-$I$292)*MIN(F$3-$O$2,$Q$2)/$Q$2))</f>
        <v>6356.904296875</v>
      </c>
      <c r="G298" s="15" t="n">
        <f aca="false">F298*(1+IF(G$3&lt;=$O$2,$D298,$D298-($D298-$I$292)*MIN(G$3-$O$2,$Q$2)/$Q$2))</f>
        <v>5860.27114868164</v>
      </c>
      <c r="H298" s="15" t="n">
        <f aca="false">G298*(1+IF(H$3&lt;=$O$2,$D298,$D298-($D298-$I$292)*MIN(H$3-$O$2,$Q$2)/$Q$2))</f>
        <v>5402.43746519089</v>
      </c>
      <c r="I298" s="15" t="n">
        <f aca="false">H298*(1+IF(I$3&lt;=$O$2,$D298,$D298-($D298-$I$292)*MIN(I$3-$O$2,$Q$2)/$Q$2))</f>
        <v>4980.37203822285</v>
      </c>
      <c r="J298" s="15" t="n">
        <f aca="false">I298*(1+IF(J$3&lt;=$O$2,$D298,$D298-($D298-$I$292)*MIN(J$3-$O$2,$Q$2)/$Q$2))</f>
        <v>4707.24843564671</v>
      </c>
      <c r="K298" s="15" t="n">
        <f aca="false">J298*(1+IF(K$3&lt;=$O$2,$D298,$D298-($D298-$I$292)*MIN(K$3-$O$2,$Q$2)/$Q$2))</f>
        <v>4558.71121125988</v>
      </c>
      <c r="L298" s="15" t="n">
        <f aca="false">K298*(1+IF(L$3&lt;=$O$2,$D298,$D298-($D298-$I$292)*MIN(L$3-$O$2,$Q$2)/$Q$2))</f>
        <v>4521.01066954276</v>
      </c>
      <c r="M298" s="15" t="n">
        <f aca="false">L298*(1+IF(M$3&lt;=$O$2,$D298,$D298-($D298-$I$292)*MIN(M$3-$O$2,$Q$2)/$Q$2))</f>
        <v>4588.89364474594</v>
      </c>
      <c r="N298" s="15" t="n">
        <f aca="false">M298*(1+IF(N$3&lt;=$O$2,$D298,$D298-($D298-$I$292)*MIN(N$3-$O$2,$Q$2)/$Q$2))</f>
        <v>4764.64827133971</v>
      </c>
      <c r="O298" s="15" t="n">
        <f aca="false">SUMPRODUCT(E298:N298,1/(1+$F$292)^$E$3:$N$3)*$E$2</f>
        <v>6333.30559087827</v>
      </c>
      <c r="P298" s="15" t="n">
        <f aca="false">N298*$E$2*(1+$I$292)/($F$292-$I$292)/(1+$F$292)^$N$3</f>
        <v>10745.5080153333</v>
      </c>
      <c r="Q298" s="15" t="n">
        <f aca="false">O298+P298</f>
        <v>17078.8136062116</v>
      </c>
      <c r="R298" s="15" t="n">
        <f aca="false">Q298-$G$2+$I$2</f>
        <v>13962.6136062116</v>
      </c>
      <c r="S298" s="42" t="n">
        <f aca="false">R298/$K$2</f>
        <v>123.672396866356</v>
      </c>
      <c r="T298" s="43" t="n">
        <f aca="false">S298-$M$2</f>
        <v>-44.7952736385158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-0.078125</v>
      </c>
      <c r="C299" s="25" t="n">
        <f aca="false">IF(T298&gt;0,D298,C298)</f>
        <v>-0.03125</v>
      </c>
      <c r="D299" s="41" t="n">
        <f aca="false">(B299+C299)/2</f>
        <v>-0.0546875</v>
      </c>
      <c r="E299" s="15" t="n">
        <f aca="false">$C$2*(1+IF(E$3&lt;=$O$2,$D299,$D299-($D299-$I$292)*MIN(E$3-$O$2,$Q$2)/$Q$2))</f>
        <v>7070.9375</v>
      </c>
      <c r="F299" s="15" t="n">
        <f aca="false">E299*(1+IF(F$3&lt;=$O$2,$D299,$D299-($D299-$I$292)*MIN(F$3-$O$2,$Q$2)/$Q$2))</f>
        <v>6684.24560546875</v>
      </c>
      <c r="G299" s="15" t="n">
        <f aca="false">F299*(1+IF(G$3&lt;=$O$2,$D299,$D299-($D299-$I$292)*MIN(G$3-$O$2,$Q$2)/$Q$2))</f>
        <v>6318.70092391968</v>
      </c>
      <c r="H299" s="15" t="n">
        <f aca="false">G299*(1+IF(H$3&lt;=$O$2,$D299,$D299-($D299-$I$292)*MIN(H$3-$O$2,$Q$2)/$Q$2))</f>
        <v>5973.14696714282</v>
      </c>
      <c r="I299" s="15" t="n">
        <f aca="false">H299*(1+IF(I$3&lt;=$O$2,$D299,$D299-($D299-$I$292)*MIN(I$3-$O$2,$Q$2)/$Q$2))</f>
        <v>5646.4904923772</v>
      </c>
      <c r="J299" s="15" t="n">
        <f aca="false">I299*(1+IF(J$3&lt;=$O$2,$D299,$D299-($D299-$I$292)*MIN(J$3-$O$2,$Q$2)/$Q$2))</f>
        <v>5442.70865050731</v>
      </c>
      <c r="K299" s="15" t="n">
        <f aca="false">J299*(1+IF(K$3&lt;=$O$2,$D299,$D299-($D299-$I$292)*MIN(K$3-$O$2,$Q$2)/$Q$2))</f>
        <v>5347.50206943831</v>
      </c>
      <c r="L299" s="15" t="n">
        <f aca="false">K299*(1+IF(L$3&lt;=$O$2,$D299,$D299-($D299-$I$292)*MIN(L$3-$O$2,$Q$2)/$Q$2))</f>
        <v>5353.41105922503</v>
      </c>
      <c r="M299" s="15" t="n">
        <f aca="false">L299*(1+IF(M$3&lt;=$O$2,$D299,$D299-($D299-$I$292)*MIN(M$3-$O$2,$Q$2)/$Q$2))</f>
        <v>5458.88664061942</v>
      </c>
      <c r="N299" s="15" t="n">
        <f aca="false">M299*(1+IF(N$3&lt;=$O$2,$D299,$D299-($D299-$I$292)*MIN(N$3-$O$2,$Q$2)/$Q$2))</f>
        <v>5667.96199895514</v>
      </c>
      <c r="O299" s="15" t="n">
        <f aca="false">SUMPRODUCT(E299:N299,1/(1+$F$292)^$E$3:$N$3)*$E$2</f>
        <v>7016.45653467489</v>
      </c>
      <c r="P299" s="15" t="n">
        <f aca="false">N299*$E$2*(1+$I$292)/($F$292-$I$292)/(1+$F$292)^$N$3</f>
        <v>12782.7129353353</v>
      </c>
      <c r="Q299" s="15" t="n">
        <f aca="false">O299+P299</f>
        <v>19799.1694700102</v>
      </c>
      <c r="R299" s="15" t="n">
        <f aca="false">Q299-$G$2+$I$2</f>
        <v>16682.9694700102</v>
      </c>
      <c r="S299" s="42" t="n">
        <f aca="false">R299/$K$2</f>
        <v>147.767665810542</v>
      </c>
      <c r="T299" s="43" t="n">
        <f aca="false">S299-$M$2</f>
        <v>-20.7000046943298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-0.0546875</v>
      </c>
      <c r="C300" s="25" t="n">
        <f aca="false">IF(T299&gt;0,D299,C299)</f>
        <v>-0.03125</v>
      </c>
      <c r="D300" s="41" t="n">
        <f aca="false">(B300+C300)/2</f>
        <v>-0.04296875</v>
      </c>
      <c r="E300" s="15" t="n">
        <f aca="false">$C$2*(1+IF(E$3&lt;=$O$2,$D300,$D300-($D300-$I$292)*MIN(E$3-$O$2,$Q$2)/$Q$2))</f>
        <v>7158.59375</v>
      </c>
      <c r="F300" s="15" t="n">
        <f aca="false">E300*(1+IF(F$3&lt;=$O$2,$D300,$D300-($D300-$I$292)*MIN(F$3-$O$2,$Q$2)/$Q$2))</f>
        <v>6850.99792480469</v>
      </c>
      <c r="G300" s="15" t="n">
        <f aca="false">F300*(1+IF(G$3&lt;=$O$2,$D300,$D300-($D300-$I$292)*MIN(G$3-$O$2,$Q$2)/$Q$2))</f>
        <v>6556.61910772324</v>
      </c>
      <c r="H300" s="15" t="n">
        <f aca="false">G300*(1+IF(H$3&lt;=$O$2,$D300,$D300-($D300-$I$292)*MIN(H$3-$O$2,$Q$2)/$Q$2))</f>
        <v>6274.88938043825</v>
      </c>
      <c r="I300" s="15" t="n">
        <f aca="false">H300*(1+IF(I$3&lt;=$O$2,$D300,$D300-($D300-$I$292)*MIN(I$3-$O$2,$Q$2)/$Q$2))</f>
        <v>6005.26522737255</v>
      </c>
      <c r="J300" s="15" t="n">
        <f aca="false">I300*(1+IF(J$3&lt;=$O$2,$D300,$D300-($D300-$I$292)*MIN(J$3-$O$2,$Q$2)/$Q$2))</f>
        <v>5844.83456682329</v>
      </c>
      <c r="K300" s="15" t="n">
        <f aca="false">J300*(1+IF(K$3&lt;=$O$2,$D300,$D300-($D300-$I$292)*MIN(K$3-$O$2,$Q$2)/$Q$2))</f>
        <v>5783.69029121111</v>
      </c>
      <c r="L300" s="15" t="n">
        <f aca="false">K300*(1+IF(L$3&lt;=$O$2,$D300,$D300-($D300-$I$292)*MIN(L$3-$O$2,$Q$2)/$Q$2))</f>
        <v>5817.19231722295</v>
      </c>
      <c r="M300" s="15" t="n">
        <f aca="false">L300*(1+IF(M$3&lt;=$O$2,$D300,$D300-($D300-$I$292)*MIN(M$3-$O$2,$Q$2)/$Q$2))</f>
        <v>5945.43959334653</v>
      </c>
      <c r="N300" s="15" t="n">
        <f aca="false">M300*(1+IF(N$3&lt;=$O$2,$D300,$D300-($D300-$I$292)*MIN(N$3-$O$2,$Q$2)/$Q$2))</f>
        <v>6173.1499297717</v>
      </c>
      <c r="O300" s="15" t="n">
        <f aca="false">SUMPRODUCT(E300:N300,1/(1+$F$292)^$E$3:$N$3)*$E$2</f>
        <v>7386.37591158529</v>
      </c>
      <c r="P300" s="15" t="n">
        <f aca="false">N300*$E$2*(1+$I$292)/($F$292-$I$292)/(1+$F$292)^$N$3</f>
        <v>13922.0417274504</v>
      </c>
      <c r="Q300" s="15" t="n">
        <f aca="false">O300+P300</f>
        <v>21308.4176390357</v>
      </c>
      <c r="R300" s="15" t="n">
        <f aca="false">Q300-$G$2+$I$2</f>
        <v>18192.2176390357</v>
      </c>
      <c r="S300" s="42" t="n">
        <f aca="false">R300/$K$2</f>
        <v>161.135674393585</v>
      </c>
      <c r="T300" s="43" t="n">
        <f aca="false">S300-$M$2</f>
        <v>-7.33199611128691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-0.04296875</v>
      </c>
      <c r="C301" s="25" t="n">
        <f aca="false">IF(T300&gt;0,D300,C300)</f>
        <v>-0.03125</v>
      </c>
      <c r="D301" s="41" t="n">
        <f aca="false">(B301+C301)/2</f>
        <v>-0.037109375</v>
      </c>
      <c r="E301" s="15" t="n">
        <f aca="false">$C$2*(1+IF(E$3&lt;=$O$2,$D301,$D301-($D301-$I$292)*MIN(E$3-$O$2,$Q$2)/$Q$2))</f>
        <v>7202.421875</v>
      </c>
      <c r="F301" s="15" t="n">
        <f aca="false">E301*(1+IF(F$3&lt;=$O$2,$D301,$D301-($D301-$I$292)*MIN(F$3-$O$2,$Q$2)/$Q$2))</f>
        <v>6935.14450073242</v>
      </c>
      <c r="G301" s="15" t="n">
        <f aca="false">F301*(1+IF(G$3&lt;=$O$2,$D301,$D301-($D301-$I$292)*MIN(G$3-$O$2,$Q$2)/$Q$2))</f>
        <v>6677.78562277556</v>
      </c>
      <c r="H301" s="15" t="n">
        <f aca="false">G301*(1+IF(H$3&lt;=$O$2,$D301,$D301-($D301-$I$292)*MIN(H$3-$O$2,$Q$2)/$Q$2))</f>
        <v>6429.97717193037</v>
      </c>
      <c r="I301" s="15" t="n">
        <f aca="false">H301*(1+IF(I$3&lt;=$O$2,$D301,$D301-($D301-$I$292)*MIN(I$3-$O$2,$Q$2)/$Q$2))</f>
        <v>6191.36473781577</v>
      </c>
      <c r="J301" s="15" t="n">
        <f aca="false">I301*(1+IF(J$3&lt;=$O$2,$D301,$D301-($D301-$I$292)*MIN(J$3-$O$2,$Q$2)/$Q$2))</f>
        <v>6054.98445105353</v>
      </c>
      <c r="K301" s="15" t="n">
        <f aca="false">J301*(1+IF(K$3&lt;=$O$2,$D301,$D301-($D301-$I$292)*MIN(K$3-$O$2,$Q$2)/$Q$2))</f>
        <v>6012.92879967568</v>
      </c>
      <c r="L301" s="15" t="n">
        <f aca="false">K301*(1+IF(L$3&lt;=$O$2,$D301,$D301-($D301-$I$292)*MIN(L$3-$O$2,$Q$2)/$Q$2))</f>
        <v>6061.85149162204</v>
      </c>
      <c r="M301" s="15" t="n">
        <f aca="false">L301*(1+IF(M$3&lt;=$O$2,$D301,$D301-($D301-$I$292)*MIN(M$3-$O$2,$Q$2)/$Q$2))</f>
        <v>6202.59631728596</v>
      </c>
      <c r="N301" s="15" t="n">
        <f aca="false">M301*(1+IF(N$3&lt;=$O$2,$D301,$D301-($D301-$I$292)*MIN(N$3-$O$2,$Q$2)/$Q$2))</f>
        <v>6440.15575623801</v>
      </c>
      <c r="O301" s="15" t="n">
        <f aca="false">SUMPRODUCT(E301:N301,1/(1+$F$292)^$E$3:$N$3)*$E$2</f>
        <v>7578.85510359465</v>
      </c>
      <c r="P301" s="15" t="n">
        <f aca="false">N301*$E$2*(1+$I$292)/($F$292-$I$292)/(1+$F$292)^$N$3</f>
        <v>14524.2085790295</v>
      </c>
      <c r="Q301" s="15" t="n">
        <f aca="false">O301+P301</f>
        <v>22103.0636826242</v>
      </c>
      <c r="R301" s="15" t="n">
        <f aca="false">Q301-$G$2+$I$2</f>
        <v>18986.8636826242</v>
      </c>
      <c r="S301" s="42" t="n">
        <f aca="false">R301/$K$2</f>
        <v>168.174169022358</v>
      </c>
      <c r="T301" s="43" t="n">
        <f aca="false">S301-$M$2</f>
        <v>-0.293501482513932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-0.037109375</v>
      </c>
      <c r="C302" s="25" t="n">
        <f aca="false">IF(T301&gt;0,D301,C301)</f>
        <v>-0.03125</v>
      </c>
      <c r="D302" s="41" t="n">
        <f aca="false">(B302+C302)/2</f>
        <v>-0.0341796875</v>
      </c>
      <c r="E302" s="15" t="n">
        <f aca="false">$C$2*(1+IF(E$3&lt;=$O$2,$D302,$D302-($D302-$I$292)*MIN(E$3-$O$2,$Q$2)/$Q$2))</f>
        <v>7224.3359375</v>
      </c>
      <c r="F302" s="15" t="n">
        <f aca="false">E302*(1+IF(F$3&lt;=$O$2,$D302,$D302-($D302-$I$292)*MIN(F$3-$O$2,$Q$2)/$Q$2))</f>
        <v>6977.41039276123</v>
      </c>
      <c r="G302" s="15" t="n">
        <f aca="false">F302*(1+IF(G$3&lt;=$O$2,$D302,$D302-($D302-$I$292)*MIN(G$3-$O$2,$Q$2)/$Q$2))</f>
        <v>6738.9246859774</v>
      </c>
      <c r="H302" s="15" t="n">
        <f aca="false">G302*(1+IF(H$3&lt;=$O$2,$D302,$D302-($D302-$I$292)*MIN(H$3-$O$2,$Q$2)/$Q$2))</f>
        <v>6508.59034612466</v>
      </c>
      <c r="I302" s="15" t="n">
        <f aca="false">H302*(1+IF(I$3&lt;=$O$2,$D302,$D302-($D302-$I$292)*MIN(I$3-$O$2,$Q$2)/$Q$2))</f>
        <v>6286.1287620286</v>
      </c>
      <c r="J302" s="15" t="n">
        <f aca="false">I302*(1+IF(J$3&lt;=$O$2,$D302,$D302-($D302-$I$292)*MIN(J$3-$O$2,$Q$2)/$Q$2))</f>
        <v>6162.39417500902</v>
      </c>
      <c r="K302" s="15" t="n">
        <f aca="false">J302*(1+IF(K$3&lt;=$O$2,$D302,$D302-($D302-$I$292)*MIN(K$3-$O$2,$Q$2)/$Q$2))</f>
        <v>6130.42482947798</v>
      </c>
      <c r="L302" s="15" t="n">
        <f aca="false">K302*(1+IF(L$3&lt;=$O$2,$D302,$D302-($D302-$I$292)*MIN(L$3-$O$2,$Q$2)/$Q$2))</f>
        <v>6187.48759009386</v>
      </c>
      <c r="M302" s="15" t="n">
        <f aca="false">L302*(1+IF(M$3&lt;=$O$2,$D302,$D302-($D302-$I$292)*MIN(M$3-$O$2,$Q$2)/$Q$2))</f>
        <v>6334.77493140643</v>
      </c>
      <c r="N302" s="15" t="n">
        <f aca="false">M302*(1+IF(N$3&lt;=$O$2,$D302,$D302-($D302-$I$292)*MIN(N$3-$O$2,$Q$2)/$Q$2))</f>
        <v>6577.3968112793</v>
      </c>
      <c r="O302" s="15" t="n">
        <f aca="false">SUMPRODUCT(E302:N302,1/(1+$F$292)^$E$3:$N$3)*$E$2</f>
        <v>7677.03107692481</v>
      </c>
      <c r="P302" s="15" t="n">
        <f aca="false">N302*$E$2*(1+$I$292)/($F$292-$I$292)/(1+$F$292)^$N$3</f>
        <v>14833.7224765925</v>
      </c>
      <c r="Q302" s="15" t="n">
        <f aca="false">O302+P302</f>
        <v>22510.7535535173</v>
      </c>
      <c r="R302" s="15" t="n">
        <f aca="false">Q302-$G$2+$I$2</f>
        <v>19394.5535535173</v>
      </c>
      <c r="S302" s="42" t="n">
        <f aca="false">R302/$K$2</f>
        <v>171.785239623714</v>
      </c>
      <c r="T302" s="43" t="n">
        <f aca="false">S302-$M$2</f>
        <v>3.31756911884227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-0.037109375</v>
      </c>
      <c r="C303" s="25" t="n">
        <f aca="false">IF(T302&gt;0,D302,C302)</f>
        <v>-0.0341796875</v>
      </c>
      <c r="D303" s="41" t="n">
        <f aca="false">(B303+C303)/2</f>
        <v>-0.03564453125</v>
      </c>
      <c r="E303" s="15" t="n">
        <f aca="false">$C$2*(1+IF(E$3&lt;=$O$2,$D303,$D303-($D303-$I$292)*MIN(E$3-$O$2,$Q$2)/$Q$2))</f>
        <v>7213.37890625</v>
      </c>
      <c r="F303" s="15" t="n">
        <f aca="false">E303*(1+IF(F$3&lt;=$O$2,$D303,$D303-($D303-$I$292)*MIN(F$3-$O$2,$Q$2)/$Q$2))</f>
        <v>6956.26139640808</v>
      </c>
      <c r="G303" s="15" t="n">
        <f aca="false">F303*(1+IF(G$3&lt;=$O$2,$D303,$D303-($D303-$I$292)*MIN(G$3-$O$2,$Q$2)/$Q$2))</f>
        <v>6708.30871968065</v>
      </c>
      <c r="H303" s="15" t="n">
        <f aca="false">G303*(1+IF(H$3&lt;=$O$2,$D303,$D303-($D303-$I$292)*MIN(H$3-$O$2,$Q$2)/$Q$2))</f>
        <v>6469.19419988734</v>
      </c>
      <c r="I303" s="15" t="n">
        <f aca="false">H303*(1+IF(I$3&lt;=$O$2,$D303,$D303-($D303-$I$292)*MIN(I$3-$O$2,$Q$2)/$Q$2))</f>
        <v>6238.60280506714</v>
      </c>
      <c r="J303" s="15" t="n">
        <f aca="false">I303*(1+IF(J$3&lt;=$O$2,$D303,$D303-($D303-$I$292)*MIN(J$3-$O$2,$Q$2)/$Q$2))</f>
        <v>6108.49284444071</v>
      </c>
      <c r="K303" s="15" t="n">
        <f aca="false">J303*(1+IF(K$3&lt;=$O$2,$D303,$D303-($D303-$I$292)*MIN(K$3-$O$2,$Q$2)/$Q$2))</f>
        <v>6071.4343363671</v>
      </c>
      <c r="L303" s="15" t="n">
        <f aca="false">K303*(1+IF(L$3&lt;=$O$2,$D303,$D303-($D303-$I$292)*MIN(L$3-$O$2,$Q$2)/$Q$2))</f>
        <v>6124.39052504283</v>
      </c>
      <c r="M303" s="15" t="n">
        <f aca="false">L303*(1+IF(M$3&lt;=$O$2,$D303,$D303-($D303-$I$292)*MIN(M$3-$O$2,$Q$2)/$Q$2))</f>
        <v>6268.38164483873</v>
      </c>
      <c r="N303" s="15" t="n">
        <f aca="false">M303*(1+IF(N$3&lt;=$O$2,$D303,$D303-($D303-$I$292)*MIN(N$3-$O$2,$Q$2)/$Q$2))</f>
        <v>6508.46066183605</v>
      </c>
      <c r="O303" s="15" t="n">
        <f aca="false">SUMPRODUCT(E303:N303,1/(1+$F$292)^$E$3:$N$3)*$E$2</f>
        <v>7627.78001328903</v>
      </c>
      <c r="P303" s="15" t="n">
        <f aca="false">N303*$E$2*(1+$I$292)/($F$292-$I$292)/(1+$F$292)^$N$3</f>
        <v>14678.2537191515</v>
      </c>
      <c r="Q303" s="15" t="n">
        <f aca="false">O303+P303</f>
        <v>22306.0337324405</v>
      </c>
      <c r="R303" s="15" t="n">
        <f aca="false">Q303-$G$2+$I$2</f>
        <v>19189.8337324405</v>
      </c>
      <c r="S303" s="42" t="n">
        <f aca="false">R303/$K$2</f>
        <v>169.971955114619</v>
      </c>
      <c r="T303" s="43" t="n">
        <f aca="false">S303-$M$2</f>
        <v>1.50428460974757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-0.037109375</v>
      </c>
      <c r="C304" s="25" t="n">
        <f aca="false">IF(T303&gt;0,D303,C303)</f>
        <v>-0.03564453125</v>
      </c>
      <c r="D304" s="41" t="n">
        <f aca="false">(B304+C304)/2</f>
        <v>-0.036376953125</v>
      </c>
      <c r="E304" s="15" t="n">
        <f aca="false">$C$2*(1+IF(E$3&lt;=$O$2,$D304,$D304-($D304-$I$292)*MIN(E$3-$O$2,$Q$2)/$Q$2))</f>
        <v>7207.900390625</v>
      </c>
      <c r="F304" s="15" t="n">
        <f aca="false">E304*(1+IF(F$3&lt;=$O$2,$D304,$D304-($D304-$I$292)*MIN(F$3-$O$2,$Q$2)/$Q$2))</f>
        <v>6945.69893598557</v>
      </c>
      <c r="G304" s="15" t="n">
        <f aca="false">F304*(1+IF(G$3&lt;=$O$2,$D304,$D304-($D304-$I$292)*MIN(G$3-$O$2,$Q$2)/$Q$2))</f>
        <v>6693.03557137086</v>
      </c>
      <c r="H304" s="15" t="n">
        <f aca="false">G304*(1+IF(H$3&lt;=$O$2,$D304,$D304-($D304-$I$292)*MIN(H$3-$O$2,$Q$2)/$Q$2))</f>
        <v>6449.56333012714</v>
      </c>
      <c r="I304" s="15" t="n">
        <f aca="false">H304*(1+IF(I$3&lt;=$O$2,$D304,$D304-($D304-$I$292)*MIN(I$3-$O$2,$Q$2)/$Q$2))</f>
        <v>6214.94786719039</v>
      </c>
      <c r="J304" s="15" t="n">
        <f aca="false">I304*(1+IF(J$3&lt;=$O$2,$D304,$D304-($D304-$I$292)*MIN(J$3-$O$2,$Q$2)/$Q$2))</f>
        <v>6081.68967406178</v>
      </c>
      <c r="K304" s="15" t="n">
        <f aca="false">J304*(1+IF(K$3&lt;=$O$2,$D304,$D304-($D304-$I$292)*MIN(K$3-$O$2,$Q$2)/$Q$2))</f>
        <v>6042.12115575193</v>
      </c>
      <c r="L304" s="15" t="n">
        <f aca="false">K304*(1+IF(L$3&lt;=$O$2,$D304,$D304-($D304-$I$292)*MIN(L$3-$O$2,$Q$2)/$Q$2))</f>
        <v>6093.05151668776</v>
      </c>
      <c r="M304" s="15" t="n">
        <f aca="false">L304*(1+IF(M$3&lt;=$O$2,$D304,$D304-($D304-$I$292)*MIN(M$3-$O$2,$Q$2)/$Q$2))</f>
        <v>6235.41328527692</v>
      </c>
      <c r="N304" s="15" t="n">
        <f aca="false">M304*(1+IF(N$3&lt;=$O$2,$D304,$D304-($D304-$I$292)*MIN(N$3-$O$2,$Q$2)/$Q$2))</f>
        <v>6474.22961410303</v>
      </c>
      <c r="O304" s="15" t="n">
        <f aca="false">SUMPRODUCT(E304:N304,1/(1+$F$292)^$E$3:$N$3)*$E$2</f>
        <v>7603.27691841735</v>
      </c>
      <c r="P304" s="15" t="n">
        <f aca="false">N304*$E$2*(1+$I$292)/($F$292-$I$292)/(1+$F$292)^$N$3</f>
        <v>14601.0538972882</v>
      </c>
      <c r="Q304" s="15" t="n">
        <f aca="false">O304+P304</f>
        <v>22204.3308157056</v>
      </c>
      <c r="R304" s="15" t="n">
        <f aca="false">Q304-$G$2+$I$2</f>
        <v>19088.1308157056</v>
      </c>
      <c r="S304" s="42" t="n">
        <f aca="false">R304/$K$2</f>
        <v>169.07113211431</v>
      </c>
      <c r="T304" s="43" t="n">
        <f aca="false">S304-$M$2</f>
        <v>0.603461609438199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-0.037109375</v>
      </c>
      <c r="C305" s="25" t="n">
        <f aca="false">IF(T304&gt;0,D304,C304)</f>
        <v>-0.036376953125</v>
      </c>
      <c r="D305" s="41" t="n">
        <f aca="false">(B305+C305)/2</f>
        <v>-0.0367431640625</v>
      </c>
      <c r="E305" s="15" t="n">
        <f aca="false">$C$2*(1+IF(E$3&lt;=$O$2,$D305,$D305-($D305-$I$292)*MIN(E$3-$O$2,$Q$2)/$Q$2))</f>
        <v>7205.1611328125</v>
      </c>
      <c r="F305" s="15" t="n">
        <f aca="false">E305*(1+IF(F$3&lt;=$O$2,$D305,$D305-($D305-$I$292)*MIN(F$3-$O$2,$Q$2)/$Q$2))</f>
        <v>6940.42071521282</v>
      </c>
      <c r="G305" s="15" t="n">
        <f aca="false">F305*(1+IF(G$3&lt;=$O$2,$D305,$D305-($D305-$I$292)*MIN(G$3-$O$2,$Q$2)/$Q$2))</f>
        <v>6685.40769821098</v>
      </c>
      <c r="H305" s="15" t="n">
        <f aca="false">G305*(1+IF(H$3&lt;=$O$2,$D305,$D305-($D305-$I$292)*MIN(H$3-$O$2,$Q$2)/$Q$2))</f>
        <v>6439.76466633092</v>
      </c>
      <c r="I305" s="15" t="n">
        <f aca="false">H305*(1+IF(I$3&lt;=$O$2,$D305,$D305-($D305-$I$292)*MIN(I$3-$O$2,$Q$2)/$Q$2))</f>
        <v>6203.14733667203</v>
      </c>
      <c r="J305" s="15" t="n">
        <f aca="false">I305*(1+IF(J$3&lt;=$O$2,$D305,$D305-($D305-$I$292)*MIN(J$3-$O$2,$Q$2)/$Q$2))</f>
        <v>6068.32483703478</v>
      </c>
      <c r="K305" s="15" t="n">
        <f aca="false">J305*(1+IF(K$3&lt;=$O$2,$D305,$D305-($D305-$I$292)*MIN(K$3-$O$2,$Q$2)/$Q$2))</f>
        <v>6027.50990049512</v>
      </c>
      <c r="L305" s="15" t="n">
        <f aca="false">K305*(1+IF(L$3&lt;=$O$2,$D305,$D305-($D305-$I$292)*MIN(L$3-$O$2,$Q$2)/$Q$2))</f>
        <v>6077.43416394361</v>
      </c>
      <c r="M305" s="15" t="n">
        <f aca="false">L305*(1+IF(M$3&lt;=$O$2,$D305,$D305-($D305-$I$292)*MIN(M$3-$O$2,$Q$2)/$Q$2))</f>
        <v>6218.98591461387</v>
      </c>
      <c r="N305" s="15" t="n">
        <f aca="false">M305*(1+IF(N$3&lt;=$O$2,$D305,$D305-($D305-$I$292)*MIN(N$3-$O$2,$Q$2)/$Q$2))</f>
        <v>6457.17307514358</v>
      </c>
      <c r="O305" s="15" t="n">
        <f aca="false">SUMPRODUCT(E305:N305,1/(1+$F$292)^$E$3:$N$3)*$E$2</f>
        <v>7591.05586711293</v>
      </c>
      <c r="P305" s="15" t="n">
        <f aca="false">N305*$E$2*(1+$I$292)/($F$292-$I$292)/(1+$F$292)^$N$3</f>
        <v>14562.5870125016</v>
      </c>
      <c r="Q305" s="15" t="n">
        <f aca="false">O305+P305</f>
        <v>22153.6428796145</v>
      </c>
      <c r="R305" s="15" t="n">
        <f aca="false">Q305-$G$2+$I$2</f>
        <v>19037.4428796145</v>
      </c>
      <c r="S305" s="42" t="n">
        <f aca="false">R305/$K$2</f>
        <v>168.6221689957</v>
      </c>
      <c r="T305" s="43" t="n">
        <f aca="false">S305-$M$2</f>
        <v>0.154498490828189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-0.037109375</v>
      </c>
      <c r="C306" s="25" t="n">
        <f aca="false">IF(T305&gt;0,D305,C305)</f>
        <v>-0.0367431640625</v>
      </c>
      <c r="D306" s="41" t="n">
        <f aca="false">(B306+C306)/2</f>
        <v>-0.03692626953125</v>
      </c>
      <c r="E306" s="15" t="n">
        <f aca="false">$C$2*(1+IF(E$3&lt;=$O$2,$D306,$D306-($D306-$I$292)*MIN(E$3-$O$2,$Q$2)/$Q$2))</f>
        <v>7203.79150390625</v>
      </c>
      <c r="F306" s="15" t="n">
        <f aca="false">E306*(1+IF(F$3&lt;=$O$2,$D306,$D306-($D306-$I$292)*MIN(F$3-$O$2,$Q$2)/$Q$2))</f>
        <v>6937.78235718608</v>
      </c>
      <c r="G306" s="15" t="n">
        <f aca="false">F306*(1+IF(G$3&lt;=$O$2,$D306,$D306-($D306-$I$292)*MIN(G$3-$O$2,$Q$2)/$Q$2))</f>
        <v>6681.59593591548</v>
      </c>
      <c r="H306" s="15" t="n">
        <f aca="false">G306*(1+IF(H$3&lt;=$O$2,$D306,$D306-($D306-$I$292)*MIN(H$3-$O$2,$Q$2)/$Q$2))</f>
        <v>6434.86952348696</v>
      </c>
      <c r="I306" s="15" t="n">
        <f aca="false">H306*(1+IF(I$3&lt;=$O$2,$D306,$D306-($D306-$I$292)*MIN(I$3-$O$2,$Q$2)/$Q$2))</f>
        <v>6197.25379706425</v>
      </c>
      <c r="J306" s="15" t="n">
        <f aca="false">I306*(1+IF(J$3&lt;=$O$2,$D306,$D306-($D306-$I$292)*MIN(J$3-$O$2,$Q$2)/$Q$2))</f>
        <v>6061.6515898986</v>
      </c>
      <c r="K306" s="15" t="n">
        <f aca="false">J306*(1+IF(K$3&lt;=$O$2,$D306,$D306-($D306-$I$292)*MIN(K$3-$O$2,$Q$2)/$Q$2))</f>
        <v>6020.21558400797</v>
      </c>
      <c r="L306" s="15" t="n">
        <f aca="false">K306*(1+IF(L$3&lt;=$O$2,$D306,$D306-($D306-$I$292)*MIN(L$3-$O$2,$Q$2)/$Q$2))</f>
        <v>6069.63849681195</v>
      </c>
      <c r="M306" s="15" t="n">
        <f aca="false">L306*(1+IF(M$3&lt;=$O$2,$D306,$D306-($D306-$I$292)*MIN(M$3-$O$2,$Q$2)/$Q$2))</f>
        <v>6210.78639893616</v>
      </c>
      <c r="N306" s="15" t="n">
        <f aca="false">M306*(1+IF(N$3&lt;=$O$2,$D306,$D306-($D306-$I$292)*MIN(N$3-$O$2,$Q$2)/$Q$2))</f>
        <v>6448.65951801541</v>
      </c>
      <c r="O306" s="15" t="n">
        <f aca="false">SUMPRODUCT(E306:N306,1/(1+$F$292)^$E$3:$N$3)*$E$2</f>
        <v>7584.95295139221</v>
      </c>
      <c r="P306" s="15" t="n">
        <f aca="false">N306*$E$2*(1+$I$292)/($F$292-$I$292)/(1+$F$292)^$N$3</f>
        <v>14543.3867502472</v>
      </c>
      <c r="Q306" s="15" t="n">
        <f aca="false">O306+P306</f>
        <v>22128.3397016394</v>
      </c>
      <c r="R306" s="15" t="n">
        <f aca="false">Q306-$G$2+$I$2</f>
        <v>19012.1397016394</v>
      </c>
      <c r="S306" s="42" t="n">
        <f aca="false">R306/$K$2</f>
        <v>168.398048730198</v>
      </c>
      <c r="T306" s="43" t="n">
        <f aca="false">S306-$M$2</f>
        <v>-0.0696217746734362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-0.03692626953125</v>
      </c>
      <c r="C307" s="25" t="n">
        <f aca="false">IF(T306&gt;0,D306,C306)</f>
        <v>-0.0367431640625</v>
      </c>
      <c r="D307" s="41" t="n">
        <f aca="false">(B307+C307)/2</f>
        <v>-0.036834716796875</v>
      </c>
      <c r="E307" s="15" t="n">
        <f aca="false">$C$2*(1+IF(E$3&lt;=$O$2,$D307,$D307-($D307-$I$292)*MIN(E$3-$O$2,$Q$2)/$Q$2))</f>
        <v>7204.47631835938</v>
      </c>
      <c r="F307" s="15" t="n">
        <f aca="false">E307*(1+IF(F$3&lt;=$O$2,$D307,$D307-($D307-$I$292)*MIN(F$3-$O$2,$Q$2)/$Q$2))</f>
        <v>6939.10147350282</v>
      </c>
      <c r="G307" s="15" t="n">
        <f aca="false">F307*(1+IF(G$3&lt;=$O$2,$D307,$D307-($D307-$I$292)*MIN(G$3-$O$2,$Q$2)/$Q$2))</f>
        <v>6683.50163590156</v>
      </c>
      <c r="H307" s="15" t="n">
        <f aca="false">G307*(1+IF(H$3&lt;=$O$2,$D307,$D307-($D307-$I$292)*MIN(H$3-$O$2,$Q$2)/$Q$2))</f>
        <v>6437.31674593168</v>
      </c>
      <c r="I307" s="15" t="n">
        <f aca="false">H307*(1+IF(I$3&lt;=$O$2,$D307,$D307-($D307-$I$292)*MIN(I$3-$O$2,$Q$2)/$Q$2))</f>
        <v>6200.2000066635</v>
      </c>
      <c r="J307" s="15" t="n">
        <f aca="false">I307*(1+IF(J$3&lt;=$O$2,$D307,$D307-($D307-$I$292)*MIN(J$3-$O$2,$Q$2)/$Q$2))</f>
        <v>6064.987449651</v>
      </c>
      <c r="K307" s="15" t="n">
        <f aca="false">J307*(1+IF(K$3&lt;=$O$2,$D307,$D307-($D307-$I$292)*MIN(K$3-$O$2,$Q$2)/$Q$2))</f>
        <v>6023.86180032895</v>
      </c>
      <c r="L307" s="15" t="n">
        <f aca="false">K307*(1+IF(L$3&lt;=$O$2,$D307,$D307-($D307-$I$292)*MIN(L$3-$O$2,$Q$2)/$Q$2))</f>
        <v>6073.53524712506</v>
      </c>
      <c r="M307" s="15" t="n">
        <f aca="false">L307*(1+IF(M$3&lt;=$O$2,$D307,$D307-($D307-$I$292)*MIN(M$3-$O$2,$Q$2)/$Q$2))</f>
        <v>6214.88497694023</v>
      </c>
      <c r="N307" s="15" t="n">
        <f aca="false">M307*(1+IF(N$3&lt;=$O$2,$D307,$D307-($D307-$I$292)*MIN(N$3-$O$2,$Q$2)/$Q$2))</f>
        <v>6452.91507155705</v>
      </c>
      <c r="O307" s="15" t="n">
        <f aca="false">SUMPRODUCT(E307:N307,1/(1+$F$292)^$E$3:$N$3)*$E$2</f>
        <v>7588.00377551082</v>
      </c>
      <c r="P307" s="15" t="n">
        <f aca="false">N307*$E$2*(1+$I$292)/($F$292-$I$292)/(1+$F$292)^$N$3</f>
        <v>14552.9841186335</v>
      </c>
      <c r="Q307" s="15" t="n">
        <f aca="false">O307+P307</f>
        <v>22140.9878941443</v>
      </c>
      <c r="R307" s="15" t="n">
        <f aca="false">Q307-$G$2+$I$2</f>
        <v>19024.7878941443</v>
      </c>
      <c r="S307" s="42" t="n">
        <f aca="false">R307/$K$2</f>
        <v>168.510078778958</v>
      </c>
      <c r="T307" s="43" t="n">
        <f aca="false">S307-$M$2</f>
        <v>0.0424082740859717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-0.03692626953125</v>
      </c>
      <c r="C308" s="25" t="n">
        <f aca="false">IF(T307&gt;0,D307,C307)</f>
        <v>-0.036834716796875</v>
      </c>
      <c r="D308" s="41" t="n">
        <f aca="false">(B308+C308)/2</f>
        <v>-0.0368804931640625</v>
      </c>
      <c r="E308" s="15" t="n">
        <f aca="false">$C$2*(1+IF(E$3&lt;=$O$2,$D308,$D308-($D308-$I$292)*MIN(E$3-$O$2,$Q$2)/$Q$2))</f>
        <v>7204.13391113281</v>
      </c>
      <c r="F308" s="15" t="n">
        <f aca="false">E308*(1+IF(F$3&lt;=$O$2,$D308,$D308-($D308-$I$292)*MIN(F$3-$O$2,$Q$2)/$Q$2))</f>
        <v>6938.44189967029</v>
      </c>
      <c r="G308" s="15" t="n">
        <f aca="false">F308*(1+IF(G$3&lt;=$O$2,$D308,$D308-($D308-$I$292)*MIN(G$3-$O$2,$Q$2)/$Q$2))</f>
        <v>6682.54874062025</v>
      </c>
      <c r="H308" s="15" t="n">
        <f aca="false">G308*(1+IF(H$3&lt;=$O$2,$D308,$D308-($D308-$I$292)*MIN(H$3-$O$2,$Q$2)/$Q$2))</f>
        <v>6436.09304747329</v>
      </c>
      <c r="I308" s="15" t="n">
        <f aca="false">H308*(1+IF(I$3&lt;=$O$2,$D308,$D308-($D308-$I$292)*MIN(I$3-$O$2,$Q$2)/$Q$2))</f>
        <v>6198.72676183268</v>
      </c>
      <c r="J308" s="15" t="n">
        <f aca="false">I308*(1+IF(J$3&lt;=$O$2,$D308,$D308-($D308-$I$292)*MIN(J$3-$O$2,$Q$2)/$Q$2))</f>
        <v>6063.31932885579</v>
      </c>
      <c r="K308" s="15" t="n">
        <f aca="false">J308*(1+IF(K$3&lt;=$O$2,$D308,$D308-($D308-$I$292)*MIN(K$3-$O$2,$Q$2)/$Q$2))</f>
        <v>6022.03845673823</v>
      </c>
      <c r="L308" s="15" t="n">
        <f aca="false">K308*(1+IF(L$3&lt;=$O$2,$D308,$D308-($D308-$I$292)*MIN(L$3-$O$2,$Q$2)/$Q$2))</f>
        <v>6071.58660121909</v>
      </c>
      <c r="M308" s="15" t="n">
        <f aca="false">L308*(1+IF(M$3&lt;=$O$2,$D308,$D308-($D308-$I$292)*MIN(M$3-$O$2,$Q$2)/$Q$2))</f>
        <v>6212.83539305219</v>
      </c>
      <c r="N308" s="15" t="n">
        <f aca="false">M308*(1+IF(N$3&lt;=$O$2,$D308,$D308-($D308-$I$292)*MIN(N$3-$O$2,$Q$2)/$Q$2))</f>
        <v>6450.78698860609</v>
      </c>
      <c r="O308" s="15" t="n">
        <f aca="false">SUMPRODUCT(E308:N308,1/(1+$F$292)^$E$3:$N$3)*$E$2</f>
        <v>7586.4782050475</v>
      </c>
      <c r="P308" s="15" t="n">
        <f aca="false">N308*$E$2*(1+$I$292)/($F$292-$I$292)/(1+$F$292)^$N$3</f>
        <v>14548.1847439253</v>
      </c>
      <c r="Q308" s="15" t="n">
        <f aca="false">O308+P308</f>
        <v>22134.6629489728</v>
      </c>
      <c r="R308" s="15" t="n">
        <f aca="false">Q308-$G$2+$I$2</f>
        <v>19018.4629489728</v>
      </c>
      <c r="S308" s="42" t="n">
        <f aca="false">R308/$K$2</f>
        <v>168.454056235366</v>
      </c>
      <c r="T308" s="43" t="n">
        <f aca="false">S308-$M$2</f>
        <v>-0.0136142695056662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-0.0368804931640625</v>
      </c>
      <c r="C309" s="25" t="n">
        <f aca="false">IF(T308&gt;0,D308,C308)</f>
        <v>-0.036834716796875</v>
      </c>
      <c r="D309" s="41" t="n">
        <f aca="false">(B309+C309)/2</f>
        <v>-0.0368576049804688</v>
      </c>
      <c r="E309" s="15" t="n">
        <f aca="false">$C$2*(1+IF(E$3&lt;=$O$2,$D309,$D309-($D309-$I$292)*MIN(E$3-$O$2,$Q$2)/$Q$2))</f>
        <v>7204.30511474609</v>
      </c>
      <c r="F309" s="15" t="n">
        <f aca="false">E309*(1+IF(F$3&lt;=$O$2,$D309,$D309-($D309-$I$292)*MIN(F$3-$O$2,$Q$2)/$Q$2))</f>
        <v>6938.77168266801</v>
      </c>
      <c r="G309" s="15" t="n">
        <f aca="false">F309*(1+IF(G$3&lt;=$O$2,$D309,$D309-($D309-$I$292)*MIN(G$3-$O$2,$Q$2)/$Q$2))</f>
        <v>6683.02517693857</v>
      </c>
      <c r="H309" s="15" t="n">
        <f aca="false">G309*(1+IF(H$3&lt;=$O$2,$D309,$D309-($D309-$I$292)*MIN(H$3-$O$2,$Q$2)/$Q$2))</f>
        <v>6436.70487489244</v>
      </c>
      <c r="I309" s="15" t="n">
        <f aca="false">H309*(1+IF(I$3&lt;=$O$2,$D309,$D309-($D309-$I$292)*MIN(I$3-$O$2,$Q$2)/$Q$2))</f>
        <v>6199.4633492378</v>
      </c>
      <c r="J309" s="15" t="n">
        <f aca="false">I309*(1+IF(J$3&lt;=$O$2,$D309,$D309-($D309-$I$292)*MIN(J$3-$O$2,$Q$2)/$Q$2))</f>
        <v>6064.15334151928</v>
      </c>
      <c r="K309" s="15" t="n">
        <f aca="false">J309*(1+IF(K$3&lt;=$O$2,$D309,$D309-($D309-$I$292)*MIN(K$3-$O$2,$Q$2)/$Q$2))</f>
        <v>6022.95006966973</v>
      </c>
      <c r="L309" s="15" t="n">
        <f aca="false">K309*(1+IF(L$3&lt;=$O$2,$D309,$D309-($D309-$I$292)*MIN(L$3-$O$2,$Q$2)/$Q$2))</f>
        <v>6072.56085647675</v>
      </c>
      <c r="M309" s="15" t="n">
        <f aca="false">L309*(1+IF(M$3&lt;=$O$2,$D309,$D309-($D309-$I$292)*MIN(M$3-$O$2,$Q$2)/$Q$2))</f>
        <v>6213.86011126562</v>
      </c>
      <c r="N309" s="15" t="n">
        <f aca="false">M309*(1+IF(N$3&lt;=$O$2,$D309,$D309-($D309-$I$292)*MIN(N$3-$O$2,$Q$2)/$Q$2))</f>
        <v>6451.8509535271</v>
      </c>
      <c r="O309" s="15" t="n">
        <f aca="false">SUMPRODUCT(E309:N309,1/(1+$F$292)^$E$3:$N$3)*$E$2</f>
        <v>7587.24095067423</v>
      </c>
      <c r="P309" s="15" t="n">
        <f aca="false">N309*$E$2*(1+$I$292)/($F$292-$I$292)/(1+$F$292)^$N$3</f>
        <v>14550.5842586294</v>
      </c>
      <c r="Q309" s="15" t="n">
        <f aca="false">O309+P309</f>
        <v>22137.8252093036</v>
      </c>
      <c r="R309" s="15" t="n">
        <f aca="false">Q309-$G$2+$I$2</f>
        <v>19021.6252093036</v>
      </c>
      <c r="S309" s="42" t="n">
        <f aca="false">R309/$K$2</f>
        <v>168.482065627135</v>
      </c>
      <c r="T309" s="43" t="n">
        <f aca="false">S309-$M$2</f>
        <v>0.0143951222638918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-0.0368804931640625</v>
      </c>
      <c r="C310" s="25" t="n">
        <f aca="false">IF(T309&gt;0,D309,C309)</f>
        <v>-0.0368576049804688</v>
      </c>
      <c r="D310" s="41" t="n">
        <f aca="false">(B310+C310)/2</f>
        <v>-0.0368690490722656</v>
      </c>
      <c r="E310" s="15" t="n">
        <f aca="false">$C$2*(1+IF(E$3&lt;=$O$2,$D310,$D310-($D310-$I$292)*MIN(E$3-$O$2,$Q$2)/$Q$2))</f>
        <v>7204.21951293945</v>
      </c>
      <c r="F310" s="15" t="n">
        <f aca="false">E310*(1+IF(F$3&lt;=$O$2,$D310,$D310-($D310-$I$292)*MIN(F$3-$O$2,$Q$2)/$Q$2))</f>
        <v>6938.60679018952</v>
      </c>
      <c r="G310" s="15" t="n">
        <f aca="false">F310*(1+IF(G$3&lt;=$O$2,$D310,$D310-($D310-$I$292)*MIN(G$3-$O$2,$Q$2)/$Q$2))</f>
        <v>6682.78695594886</v>
      </c>
      <c r="H310" s="15" t="n">
        <f aca="false">G310*(1+IF(H$3&lt;=$O$2,$D310,$D310-($D310-$I$292)*MIN(H$3-$O$2,$Q$2)/$Q$2))</f>
        <v>6436.39895573049</v>
      </c>
      <c r="I310" s="15" t="n">
        <f aca="false">H310*(1+IF(I$3&lt;=$O$2,$D310,$D310-($D310-$I$292)*MIN(I$3-$O$2,$Q$2)/$Q$2))</f>
        <v>6199.09504678298</v>
      </c>
      <c r="J310" s="15" t="n">
        <f aca="false">I310*(1+IF(J$3&lt;=$O$2,$D310,$D310-($D310-$I$292)*MIN(J$3-$O$2,$Q$2)/$Q$2))</f>
        <v>6063.73632325455</v>
      </c>
      <c r="K310" s="15" t="n">
        <f aca="false">J310*(1+IF(K$3&lt;=$O$2,$D310,$D310-($D310-$I$292)*MIN(K$3-$O$2,$Q$2)/$Q$2))</f>
        <v>6022.4942484888</v>
      </c>
      <c r="L310" s="15" t="n">
        <f aca="false">K310*(1+IF(L$3&lt;=$O$2,$D310,$D310-($D310-$I$292)*MIN(L$3-$O$2,$Q$2)/$Q$2))</f>
        <v>6072.07371192509</v>
      </c>
      <c r="M310" s="15" t="n">
        <f aca="false">L310*(1+IF(M$3&lt;=$O$2,$D310,$D310-($D310-$I$292)*MIN(M$3-$O$2,$Q$2)/$Q$2))</f>
        <v>6213.34773372739</v>
      </c>
      <c r="N310" s="15" t="n">
        <f aca="false">M310*(1+IF(N$3&lt;=$O$2,$D310,$D310-($D310-$I$292)*MIN(N$3-$O$2,$Q$2)/$Q$2))</f>
        <v>6451.31895192915</v>
      </c>
      <c r="O310" s="15" t="n">
        <f aca="false">SUMPRODUCT(E310:N310,1/(1+$F$292)^$E$3:$N$3)*$E$2</f>
        <v>7586.85956796012</v>
      </c>
      <c r="P310" s="15" t="n">
        <f aca="false">N310*$E$2*(1+$I$292)/($F$292-$I$292)/(1+$F$292)^$N$3</f>
        <v>14549.3844581175</v>
      </c>
      <c r="Q310" s="15" t="n">
        <f aca="false">O310+P310</f>
        <v>22136.2440260776</v>
      </c>
      <c r="R310" s="15" t="n">
        <f aca="false">Q310-$G$2+$I$2</f>
        <v>19020.0440260776</v>
      </c>
      <c r="S310" s="42" t="n">
        <f aca="false">R310/$K$2</f>
        <v>168.468060461272</v>
      </c>
      <c r="T310" s="43" t="n">
        <f aca="false">S310-$M$2</f>
        <v>0.000389956400454139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-0.0368804931640625</v>
      </c>
      <c r="C311" s="25" t="n">
        <f aca="false">IF(T310&gt;0,D310,C310)</f>
        <v>-0.0368690490722656</v>
      </c>
      <c r="D311" s="41" t="n">
        <f aca="false">(B311+C311)/2</f>
        <v>-0.0368747711181641</v>
      </c>
      <c r="E311" s="15" t="n">
        <f aca="false">$C$2*(1+IF(E$3&lt;=$O$2,$D311,$D311-($D311-$I$292)*MIN(E$3-$O$2,$Q$2)/$Q$2))</f>
        <v>7204.17671203613</v>
      </c>
      <c r="F311" s="15" t="n">
        <f aca="false">E311*(1+IF(F$3&lt;=$O$2,$D311,$D311-($D311-$I$292)*MIN(F$3-$O$2,$Q$2)/$Q$2))</f>
        <v>6938.52434468499</v>
      </c>
      <c r="G311" s="15" t="n">
        <f aca="false">F311*(1+IF(G$3&lt;=$O$2,$D311,$D311-($D311-$I$292)*MIN(G$3-$O$2,$Q$2)/$Q$2))</f>
        <v>6682.66784757692</v>
      </c>
      <c r="H311" s="15" t="n">
        <f aca="false">G311*(1+IF(H$3&lt;=$O$2,$D311,$D311-($D311-$I$292)*MIN(H$3-$O$2,$Q$2)/$Q$2))</f>
        <v>6436.24600023881</v>
      </c>
      <c r="I311" s="15" t="n">
        <f aca="false">H311*(1+IF(I$3&lt;=$O$2,$D311,$D311-($D311-$I$292)*MIN(I$3-$O$2,$Q$2)/$Q$2))</f>
        <v>6198.91090211981</v>
      </c>
      <c r="J311" s="15" t="n">
        <f aca="false">I311*(1+IF(J$3&lt;=$O$2,$D311,$D311-($D311-$I$292)*MIN(J$3-$O$2,$Q$2)/$Q$2))</f>
        <v>6063.527823072</v>
      </c>
      <c r="K311" s="15" t="n">
        <f aca="false">J311*(1+IF(K$3&lt;=$O$2,$D311,$D311-($D311-$I$292)*MIN(K$3-$O$2,$Q$2)/$Q$2))</f>
        <v>6022.26634893482</v>
      </c>
      <c r="L311" s="15" t="n">
        <f aca="false">K311*(1+IF(L$3&lt;=$O$2,$D311,$D311-($D311-$I$292)*MIN(L$3-$O$2,$Q$2)/$Q$2))</f>
        <v>6071.8301523415</v>
      </c>
      <c r="M311" s="15" t="n">
        <f aca="false">L311*(1+IF(M$3&lt;=$O$2,$D311,$D311-($D311-$I$292)*MIN(M$3-$O$2,$Q$2)/$Q$2))</f>
        <v>6213.09155878206</v>
      </c>
      <c r="N311" s="15" t="n">
        <f aca="false">M311*(1+IF(N$3&lt;=$O$2,$D311,$D311-($D311-$I$292)*MIN(N$3-$O$2,$Q$2)/$Q$2))</f>
        <v>6451.05296548341</v>
      </c>
      <c r="O311" s="15" t="n">
        <f aca="false">SUMPRODUCT(E311:N311,1/(1+$F$292)^$E$3:$N$3)*$E$2</f>
        <v>7586.66888402869</v>
      </c>
      <c r="P311" s="15" t="n">
        <f aca="false">N311*$E$2*(1+$I$292)/($F$292-$I$292)/(1+$F$292)^$N$3</f>
        <v>14548.7845902318</v>
      </c>
      <c r="Q311" s="15" t="n">
        <f aca="false">O311+P311</f>
        <v>22135.4534742605</v>
      </c>
      <c r="R311" s="15" t="n">
        <f aca="false">Q311-$G$2+$I$2</f>
        <v>19019.2534742605</v>
      </c>
      <c r="S311" s="42" t="n">
        <f aca="false">R311/$K$2</f>
        <v>168.461058230828</v>
      </c>
      <c r="T311" s="43" t="n">
        <f aca="false">S311-$M$2</f>
        <v>-0.00661227404378906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-0.0368747711181641</v>
      </c>
      <c r="C312" s="25" t="n">
        <f aca="false">IF(T311&gt;0,D311,C311)</f>
        <v>-0.0368690490722656</v>
      </c>
      <c r="D312" s="41" t="n">
        <f aca="false">(B312+C312)/2</f>
        <v>-0.0368719100952148</v>
      </c>
      <c r="E312" s="15" t="n">
        <f aca="false">$C$2*(1+IF(E$3&lt;=$O$2,$D312,$D312-($D312-$I$292)*MIN(E$3-$O$2,$Q$2)/$Q$2))</f>
        <v>7204.19811248779</v>
      </c>
      <c r="F312" s="15" t="n">
        <f aca="false">E312*(1+IF(F$3&lt;=$O$2,$D312,$D312-($D312-$I$292)*MIN(F$3-$O$2,$Q$2)/$Q$2))</f>
        <v>6938.56556737603</v>
      </c>
      <c r="G312" s="15" t="n">
        <f aca="false">F312*(1+IF(G$3&lt;=$O$2,$D312,$D312-($D312-$I$292)*MIN(G$3-$O$2,$Q$2)/$Q$2))</f>
        <v>6682.72740158599</v>
      </c>
      <c r="H312" s="15" t="n">
        <f aca="false">G312*(1+IF(H$3&lt;=$O$2,$D312,$D312-($D312-$I$292)*MIN(H$3-$O$2,$Q$2)/$Q$2))</f>
        <v>6436.32247764388</v>
      </c>
      <c r="I312" s="15" t="n">
        <f aca="false">H312*(1+IF(I$3&lt;=$O$2,$D312,$D312-($D312-$I$292)*MIN(I$3-$O$2,$Q$2)/$Q$2))</f>
        <v>6199.00297390438</v>
      </c>
      <c r="J312" s="15" t="n">
        <f aca="false">I312*(1+IF(J$3&lt;=$O$2,$D312,$D312-($D312-$I$292)*MIN(J$3-$O$2,$Q$2)/$Q$2))</f>
        <v>6063.63207241747</v>
      </c>
      <c r="K312" s="15" t="n">
        <f aca="false">J312*(1+IF(K$3&lt;=$O$2,$D312,$D312-($D312-$I$292)*MIN(K$3-$O$2,$Q$2)/$Q$2))</f>
        <v>6022.38029779212</v>
      </c>
      <c r="L312" s="15" t="n">
        <f aca="false">K312*(1+IF(L$3&lt;=$O$2,$D312,$D312-($D312-$I$292)*MIN(L$3-$O$2,$Q$2)/$Q$2))</f>
        <v>6071.95193107563</v>
      </c>
      <c r="M312" s="15" t="n">
        <f aca="false">L312*(1+IF(M$3&lt;=$O$2,$D312,$D312-($D312-$I$292)*MIN(M$3-$O$2,$Q$2)/$Q$2))</f>
        <v>6213.21964510277</v>
      </c>
      <c r="N312" s="15" t="n">
        <f aca="false">M312*(1+IF(N$3&lt;=$O$2,$D312,$D312-($D312-$I$292)*MIN(N$3-$O$2,$Q$2)/$Q$2))</f>
        <v>6451.18595751021</v>
      </c>
      <c r="O312" s="15" t="n">
        <f aca="false">SUMPRODUCT(E312:N312,1/(1+$F$292)^$E$3:$N$3)*$E$2</f>
        <v>7586.76422537562</v>
      </c>
      <c r="P312" s="15" t="n">
        <f aca="false">N312*$E$2*(1+$I$292)/($F$292-$I$292)/(1+$F$292)^$N$3</f>
        <v>14549.0845214772</v>
      </c>
      <c r="Q312" s="15" t="n">
        <f aca="false">O312+P312</f>
        <v>22135.8487468528</v>
      </c>
      <c r="R312" s="15" t="n">
        <f aca="false">Q312-$G$2+$I$2</f>
        <v>19019.6487468528</v>
      </c>
      <c r="S312" s="42" t="n">
        <f aca="false">R312/$K$2</f>
        <v>168.464559316677</v>
      </c>
      <c r="T312" s="43" t="n">
        <f aca="false">S312-$M$2</f>
        <v>-0.0031111881949073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-0.0368719100952148</v>
      </c>
      <c r="C313" s="25" t="n">
        <f aca="false">IF(T312&gt;0,D312,C312)</f>
        <v>-0.0368690490722656</v>
      </c>
      <c r="D313" s="41" t="n">
        <f aca="false">(B313+C313)/2</f>
        <v>-0.0368704795837402</v>
      </c>
      <c r="E313" s="15" t="n">
        <f aca="false">$C$2*(1+IF(E$3&lt;=$O$2,$D313,$D313-($D313-$I$292)*MIN(E$3-$O$2,$Q$2)/$Q$2))</f>
        <v>7204.20881271362</v>
      </c>
      <c r="F313" s="15" t="n">
        <f aca="false">E313*(1+IF(F$3&lt;=$O$2,$D313,$D313-($D313-$I$292)*MIN(F$3-$O$2,$Q$2)/$Q$2))</f>
        <v>6938.58617876746</v>
      </c>
      <c r="G313" s="15" t="n">
        <f aca="false">F313*(1+IF(G$3&lt;=$O$2,$D313,$D313-($D313-$I$292)*MIN(G$3-$O$2,$Q$2)/$Q$2))</f>
        <v>6682.7571787232</v>
      </c>
      <c r="H313" s="15" t="n">
        <f aca="false">G313*(1+IF(H$3&lt;=$O$2,$D313,$D313-($D313-$I$292)*MIN(H$3-$O$2,$Q$2)/$Q$2))</f>
        <v>6436.36071660199</v>
      </c>
      <c r="I313" s="15" t="n">
        <f aca="false">H313*(1+IF(I$3&lt;=$O$2,$D313,$D313-($D313-$I$292)*MIN(I$3-$O$2,$Q$2)/$Q$2))</f>
        <v>6199.04901020693</v>
      </c>
      <c r="J313" s="15" t="n">
        <f aca="false">I313*(1+IF(J$3&lt;=$O$2,$D313,$D313-($D313-$I$292)*MIN(J$3-$O$2,$Q$2)/$Q$2))</f>
        <v>6063.68419764956</v>
      </c>
      <c r="K313" s="15" t="n">
        <f aca="false">J313*(1+IF(K$3&lt;=$O$2,$D313,$D313-($D313-$I$292)*MIN(K$3-$O$2,$Q$2)/$Q$2))</f>
        <v>6022.43727291054</v>
      </c>
      <c r="L313" s="15" t="n">
        <f aca="false">K313*(1+IF(L$3&lt;=$O$2,$D313,$D313-($D313-$I$292)*MIN(L$3-$O$2,$Q$2)/$Q$2))</f>
        <v>6072.01282123594</v>
      </c>
      <c r="M313" s="15" t="n">
        <f aca="false">L313*(1+IF(M$3&lt;=$O$2,$D313,$D313-($D313-$I$292)*MIN(M$3-$O$2,$Q$2)/$Q$2))</f>
        <v>6213.28368912709</v>
      </c>
      <c r="N313" s="15" t="n">
        <f aca="false">M313*(1+IF(N$3&lt;=$O$2,$D313,$D313-($D313-$I$292)*MIN(N$3-$O$2,$Q$2)/$Q$2))</f>
        <v>6451.25245442066</v>
      </c>
      <c r="O313" s="15" t="n">
        <f aca="false">SUMPRODUCT(E313:N313,1/(1+$F$292)^$E$3:$N$3)*$E$2</f>
        <v>7586.81189651317</v>
      </c>
      <c r="P313" s="15" t="n">
        <f aca="false">N313*$E$2*(1+$I$292)/($F$292-$I$292)/(1+$F$292)^$N$3</f>
        <v>14549.234489123</v>
      </c>
      <c r="Q313" s="15" t="n">
        <f aca="false">O313+P313</f>
        <v>22136.0463856361</v>
      </c>
      <c r="R313" s="15" t="n">
        <f aca="false">Q313-$G$2+$I$2</f>
        <v>19019.8463856361</v>
      </c>
      <c r="S313" s="42" t="n">
        <f aca="false">R313/$K$2</f>
        <v>168.466309881631</v>
      </c>
      <c r="T313" s="43" t="n">
        <f aca="false">S313-$M$2</f>
        <v>-0.00136062324054365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-0.0368704795837402</v>
      </c>
      <c r="C314" s="25" t="n">
        <f aca="false">IF(T313&gt;0,D313,C313)</f>
        <v>-0.0368690490722656</v>
      </c>
      <c r="D314" s="41" t="n">
        <f aca="false">(B314+C314)/2</f>
        <v>-0.0368697643280029</v>
      </c>
      <c r="E314" s="15" t="n">
        <f aca="false">$C$2*(1+IF(E$3&lt;=$O$2,$D314,$D314-($D314-$I$292)*MIN(E$3-$O$2,$Q$2)/$Q$2))</f>
        <v>7204.21416282654</v>
      </c>
      <c r="F314" s="15" t="n">
        <f aca="false">E314*(1+IF(F$3&lt;=$O$2,$D314,$D314-($D314-$I$292)*MIN(F$3-$O$2,$Q$2)/$Q$2))</f>
        <v>6938.59648447466</v>
      </c>
      <c r="G314" s="15" t="n">
        <f aca="false">F314*(1+IF(G$3&lt;=$O$2,$D314,$D314-($D314-$I$292)*MIN(G$3-$O$2,$Q$2)/$Q$2))</f>
        <v>6682.77206732497</v>
      </c>
      <c r="H314" s="15" t="n">
        <f aca="false">G314*(1+IF(H$3&lt;=$O$2,$D314,$D314-($D314-$I$292)*MIN(H$3-$O$2,$Q$2)/$Q$2))</f>
        <v>6436.37983614494</v>
      </c>
      <c r="I314" s="15" t="n">
        <f aca="false">H314*(1+IF(I$3&lt;=$O$2,$D314,$D314-($D314-$I$292)*MIN(I$3-$O$2,$Q$2)/$Q$2))</f>
        <v>6199.07202846077</v>
      </c>
      <c r="J314" s="15" t="n">
        <f aca="false">I314*(1+IF(J$3&lt;=$O$2,$D314,$D314-($D314-$I$292)*MIN(J$3-$O$2,$Q$2)/$Q$2))</f>
        <v>6063.71026040544</v>
      </c>
      <c r="K314" s="15" t="n">
        <f aca="false">J314*(1+IF(K$3&lt;=$O$2,$D314,$D314-($D314-$I$292)*MIN(K$3-$O$2,$Q$2)/$Q$2))</f>
        <v>6022.46576064219</v>
      </c>
      <c r="L314" s="15" t="n">
        <f aca="false">K314*(1+IF(L$3&lt;=$O$2,$D314,$D314-($D314-$I$292)*MIN(L$3-$O$2,$Q$2)/$Q$2))</f>
        <v>6072.04326651441</v>
      </c>
      <c r="M314" s="15" t="n">
        <f aca="false">L314*(1+IF(M$3&lt;=$O$2,$D314,$D314-($D314-$I$292)*MIN(M$3-$O$2,$Q$2)/$Q$2))</f>
        <v>6213.31571135525</v>
      </c>
      <c r="N314" s="15" t="n">
        <f aca="false">M314*(1+IF(N$3&lt;=$O$2,$D314,$D314-($D314-$I$292)*MIN(N$3-$O$2,$Q$2)/$Q$2))</f>
        <v>6451.28570310015</v>
      </c>
      <c r="O314" s="15" t="n">
        <f aca="false">SUMPRODUCT(E314:N314,1/(1+$F$292)^$E$3:$N$3)*$E$2</f>
        <v>7586.83573219798</v>
      </c>
      <c r="P314" s="15" t="n">
        <f aca="false">N314*$E$2*(1+$I$292)/($F$292-$I$292)/(1+$F$292)^$N$3</f>
        <v>14549.3094734516</v>
      </c>
      <c r="Q314" s="15" t="n">
        <f aca="false">O314+P314</f>
        <v>22136.1452056496</v>
      </c>
      <c r="R314" s="15" t="n">
        <f aca="false">Q314-$G$2+$I$2</f>
        <v>19019.9452056496</v>
      </c>
      <c r="S314" s="42" t="n">
        <f aca="false">R314/$K$2</f>
        <v>168.467185169616</v>
      </c>
      <c r="T314" s="43" t="n">
        <f aca="false">S314-$M$2</f>
        <v>-0.000485335255916652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-0.0368697643280029</v>
      </c>
      <c r="C315" s="25" t="n">
        <f aca="false">IF(T314&gt;0,D314,C314)</f>
        <v>-0.0368690490722656</v>
      </c>
      <c r="D315" s="41" t="n">
        <f aca="false">(B315+C315)/2</f>
        <v>-0.0368694067001343</v>
      </c>
      <c r="E315" s="15" t="n">
        <f aca="false">$C$2*(1+IF(E$3&lt;=$O$2,$D315,$D315-($D315-$I$292)*MIN(E$3-$O$2,$Q$2)/$Q$2))</f>
        <v>7204.216837883</v>
      </c>
      <c r="F315" s="15" t="n">
        <f aca="false">E315*(1+IF(F$3&lt;=$O$2,$D315,$D315-($D315-$I$292)*MIN(F$3-$O$2,$Q$2)/$Q$2))</f>
        <v>6938.60163733113</v>
      </c>
      <c r="G315" s="15" t="n">
        <f aca="false">F315*(1+IF(G$3&lt;=$O$2,$D315,$D315-($D315-$I$292)*MIN(G$3-$O$2,$Q$2)/$Q$2))</f>
        <v>6682.77951163415</v>
      </c>
      <c r="H315" s="15" t="n">
        <f aca="false">G315*(1+IF(H$3&lt;=$O$2,$D315,$D315-($D315-$I$292)*MIN(H$3-$O$2,$Q$2)/$Q$2))</f>
        <v>6436.38939593239</v>
      </c>
      <c r="I315" s="15" t="n">
        <f aca="false">H315*(1+IF(I$3&lt;=$O$2,$D315,$D315-($D315-$I$292)*MIN(I$3-$O$2,$Q$2)/$Q$2))</f>
        <v>6199.08353761333</v>
      </c>
      <c r="J315" s="15" t="n">
        <f aca="false">I315*(1+IF(J$3&lt;=$O$2,$D315,$D315-($D315-$I$292)*MIN(J$3-$O$2,$Q$2)/$Q$2))</f>
        <v>6063.72329181835</v>
      </c>
      <c r="K315" s="15" t="n">
        <f aca="false">J315*(1+IF(K$3&lt;=$O$2,$D315,$D315-($D315-$I$292)*MIN(K$3-$O$2,$Q$2)/$Q$2))</f>
        <v>6022.48000455113</v>
      </c>
      <c r="L315" s="15" t="n">
        <f aca="false">K315*(1+IF(L$3&lt;=$O$2,$D315,$D315-($D315-$I$292)*MIN(L$3-$O$2,$Q$2)/$Q$2))</f>
        <v>6072.05848920322</v>
      </c>
      <c r="M315" s="15" t="n">
        <f aca="false">L315*(1+IF(M$3&lt;=$O$2,$D315,$D315-($D315-$I$292)*MIN(M$3-$O$2,$Q$2)/$Q$2))</f>
        <v>6213.33172252332</v>
      </c>
      <c r="N315" s="15" t="n">
        <f aca="false">M315*(1+IF(N$3&lt;=$O$2,$D315,$D315-($D315-$I$292)*MIN(N$3-$O$2,$Q$2)/$Q$2))</f>
        <v>6451.30232749596</v>
      </c>
      <c r="O315" s="15" t="n">
        <f aca="false">SUMPRODUCT(E315:N315,1/(1+$F$292)^$E$3:$N$3)*$E$2</f>
        <v>7586.84765006938</v>
      </c>
      <c r="P315" s="15" t="n">
        <f aca="false">N315*$E$2*(1+$I$292)/($F$292-$I$292)/(1+$F$292)^$N$3</f>
        <v>14549.3469657424</v>
      </c>
      <c r="Q315" s="15" t="n">
        <f aca="false">O315+P315</f>
        <v>22136.1946158118</v>
      </c>
      <c r="R315" s="15" t="n">
        <f aca="false">Q315-$G$2+$I$2</f>
        <v>19019.9946158118</v>
      </c>
      <c r="S315" s="42" t="n">
        <f aca="false">R315/$K$2</f>
        <v>168.467622814985</v>
      </c>
      <c r="T315" s="43" t="n">
        <f aca="false">S315-$M$2</f>
        <v>-4.76898866850206E-005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-0.0368694067001343</v>
      </c>
      <c r="C316" s="25" t="n">
        <f aca="false">IF(T315&gt;0,D315,C315)</f>
        <v>-0.0368690490722656</v>
      </c>
      <c r="D316" s="41" t="n">
        <f aca="false">(B316+C316)/2</f>
        <v>-0.0368692278862</v>
      </c>
      <c r="E316" s="15" t="n">
        <f aca="false">$C$2*(1+IF(E$3&lt;=$O$2,$D316,$D316-($D316-$I$292)*MIN(E$3-$O$2,$Q$2)/$Q$2))</f>
        <v>7204.21817541122</v>
      </c>
      <c r="F316" s="15" t="n">
        <f aca="false">E316*(1+IF(F$3&lt;=$O$2,$D316,$D316-($D316-$I$292)*MIN(F$3-$O$2,$Q$2)/$Q$2))</f>
        <v>6938.60421376008</v>
      </c>
      <c r="G316" s="15" t="n">
        <f aca="false">F316*(1+IF(G$3&lt;=$O$2,$D316,$D316-($D316-$I$292)*MIN(G$3-$O$2,$Q$2)/$Q$2))</f>
        <v>6682.78323379082</v>
      </c>
      <c r="H316" s="15" t="n">
        <f aca="false">G316*(1+IF(H$3&lt;=$O$2,$D316,$D316-($D316-$I$292)*MIN(H$3-$O$2,$Q$2)/$Q$2))</f>
        <v>6436.39417583011</v>
      </c>
      <c r="I316" s="15" t="n">
        <f aca="false">H316*(1+IF(I$3&lt;=$O$2,$D316,$D316-($D316-$I$292)*MIN(I$3-$O$2,$Q$2)/$Q$2))</f>
        <v>6199.08929219602</v>
      </c>
      <c r="J316" s="15" t="n">
        <f aca="false">I316*(1+IF(J$3&lt;=$O$2,$D316,$D316-($D316-$I$292)*MIN(J$3-$O$2,$Q$2)/$Q$2))</f>
        <v>6063.72980753354</v>
      </c>
      <c r="K316" s="15" t="n">
        <f aca="false">J316*(1+IF(K$3&lt;=$O$2,$D316,$D316-($D316-$I$292)*MIN(K$3-$O$2,$Q$2)/$Q$2))</f>
        <v>6022.48712651637</v>
      </c>
      <c r="L316" s="15" t="n">
        <f aca="false">K316*(1+IF(L$3&lt;=$O$2,$D316,$D316-($D316-$I$292)*MIN(L$3-$O$2,$Q$2)/$Q$2))</f>
        <v>6072.06610056002</v>
      </c>
      <c r="M316" s="15" t="n">
        <f aca="false">L316*(1+IF(M$3&lt;=$O$2,$D316,$D316-($D316-$I$292)*MIN(M$3-$O$2,$Q$2)/$Q$2))</f>
        <v>6213.33972812086</v>
      </c>
      <c r="N316" s="15" t="n">
        <f aca="false">M316*(1+IF(N$3&lt;=$O$2,$D316,$D316-($D316-$I$292)*MIN(N$3-$O$2,$Q$2)/$Q$2))</f>
        <v>6451.31063970789</v>
      </c>
      <c r="O316" s="15" t="n">
        <f aca="false">SUMPRODUCT(E316:N316,1/(1+$F$292)^$E$3:$N$3)*$E$2</f>
        <v>7586.85360901234</v>
      </c>
      <c r="P316" s="15" t="n">
        <f aca="false">N316*$E$2*(1+$I$292)/($F$292-$I$292)/(1+$F$292)^$N$3</f>
        <v>14549.3657119194</v>
      </c>
      <c r="Q316" s="15" t="n">
        <f aca="false">O316+P316</f>
        <v>22136.2193209318</v>
      </c>
      <c r="R316" s="15" t="n">
        <f aca="false">Q316-$G$2+$I$2</f>
        <v>19020.0193209318</v>
      </c>
      <c r="S316" s="42" t="n">
        <f aca="false">R316/$K$2</f>
        <v>168.467841638014</v>
      </c>
      <c r="T316" s="43" t="n">
        <f aca="false">S316-$M$2</f>
        <v>0.00017113314217454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-0.0368694067001343</v>
      </c>
      <c r="C317" s="25" t="n">
        <f aca="false">IF(T316&gt;0,D316,C316)</f>
        <v>-0.0368692278862</v>
      </c>
      <c r="D317" s="41" t="n">
        <f aca="false">(B317+C317)/2</f>
        <v>-0.0368693172931671</v>
      </c>
      <c r="E317" s="15" t="n">
        <f aca="false">$C$2*(1+IF(E$3&lt;=$O$2,$D317,$D317-($D317-$I$292)*MIN(E$3-$O$2,$Q$2)/$Q$2))</f>
        <v>7204.21750664711</v>
      </c>
      <c r="F317" s="15" t="n">
        <f aca="false">E317*(1+IF(F$3&lt;=$O$2,$D317,$D317-($D317-$I$292)*MIN(F$3-$O$2,$Q$2)/$Q$2))</f>
        <v>6938.60292554555</v>
      </c>
      <c r="G317" s="15" t="n">
        <f aca="false">F317*(1+IF(G$3&lt;=$O$2,$D317,$D317-($D317-$I$292)*MIN(G$3-$O$2,$Q$2)/$Q$2))</f>
        <v>6682.78137271231</v>
      </c>
      <c r="H317" s="15" t="n">
        <f aca="false">G317*(1+IF(H$3&lt;=$O$2,$D317,$D317-($D317-$I$292)*MIN(H$3-$O$2,$Q$2)/$Q$2))</f>
        <v>6436.39178588091</v>
      </c>
      <c r="I317" s="15" t="n">
        <f aca="false">H317*(1+IF(I$3&lt;=$O$2,$D317,$D317-($D317-$I$292)*MIN(I$3-$O$2,$Q$2)/$Q$2))</f>
        <v>6199.08641490414</v>
      </c>
      <c r="J317" s="15" t="n">
        <f aca="false">I317*(1+IF(J$3&lt;=$O$2,$D317,$D317-($D317-$I$292)*MIN(J$3-$O$2,$Q$2)/$Q$2))</f>
        <v>6063.72654967521</v>
      </c>
      <c r="K317" s="15" t="n">
        <f aca="false">J317*(1+IF(K$3&lt;=$O$2,$D317,$D317-($D317-$I$292)*MIN(K$3-$O$2,$Q$2)/$Q$2))</f>
        <v>6022.48356553285</v>
      </c>
      <c r="L317" s="15" t="n">
        <f aca="false">K317*(1+IF(L$3&lt;=$O$2,$D317,$D317-($D317-$I$292)*MIN(L$3-$O$2,$Q$2)/$Q$2))</f>
        <v>6072.06229488059</v>
      </c>
      <c r="M317" s="15" t="n">
        <f aca="false">L317*(1+IF(M$3&lt;=$O$2,$D317,$D317-($D317-$I$292)*MIN(M$3-$O$2,$Q$2)/$Q$2))</f>
        <v>6213.33572532097</v>
      </c>
      <c r="N317" s="15" t="n">
        <f aca="false">M317*(1+IF(N$3&lt;=$O$2,$D317,$D317-($D317-$I$292)*MIN(N$3-$O$2,$Q$2)/$Q$2))</f>
        <v>6451.30648360076</v>
      </c>
      <c r="O317" s="15" t="n">
        <f aca="false">SUMPRODUCT(E317:N317,1/(1+$F$292)^$E$3:$N$3)*$E$2</f>
        <v>7586.85062954026</v>
      </c>
      <c r="P317" s="15" t="n">
        <f aca="false">N317*$E$2*(1+$I$292)/($F$292-$I$292)/(1+$F$292)^$N$3</f>
        <v>14549.3563388283</v>
      </c>
      <c r="Q317" s="15" t="n">
        <f aca="false">O317+P317</f>
        <v>22136.2069683685</v>
      </c>
      <c r="R317" s="15" t="n">
        <f aca="false">Q317-$G$2+$I$2</f>
        <v>19020.0069683685</v>
      </c>
      <c r="S317" s="42" t="n">
        <f aca="false">R317/$K$2</f>
        <v>168.467732226471</v>
      </c>
      <c r="T317" s="43" t="n">
        <f aca="false">S317-$M$2</f>
        <v>6.17215990814657E-005</v>
      </c>
    </row>
    <row r="319" customFormat="false" ht="15" hidden="false" customHeight="false" outlineLevel="0" collapsed="false">
      <c r="A319" s="38" t="s">
        <v>195</v>
      </c>
      <c r="E319" s="5" t="s">
        <v>11</v>
      </c>
      <c r="F319" s="12" t="n">
        <f aca="false">Sensitivity!$B$12</f>
        <v>0.0811268672746673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165</v>
      </c>
      <c r="B320" s="28" t="s">
        <v>166</v>
      </c>
      <c r="C320" s="28" t="s">
        <v>167</v>
      </c>
      <c r="D320" s="28" t="s">
        <v>168</v>
      </c>
      <c r="E320" s="28" t="s">
        <v>169</v>
      </c>
      <c r="F320" s="28" t="s">
        <v>170</v>
      </c>
      <c r="G320" s="28" t="s">
        <v>171</v>
      </c>
      <c r="H320" s="28" t="s">
        <v>172</v>
      </c>
      <c r="I320" s="28" t="s">
        <v>173</v>
      </c>
      <c r="J320" s="28" t="s">
        <v>174</v>
      </c>
      <c r="K320" s="28" t="s">
        <v>175</v>
      </c>
      <c r="L320" s="28" t="s">
        <v>176</v>
      </c>
      <c r="M320" s="28" t="s">
        <v>177</v>
      </c>
      <c r="N320" s="28" t="s">
        <v>178</v>
      </c>
      <c r="O320" s="28" t="s">
        <v>179</v>
      </c>
      <c r="P320" s="28" t="s">
        <v>180</v>
      </c>
      <c r="Q320" s="28" t="s">
        <v>181</v>
      </c>
      <c r="R320" s="28" t="s">
        <v>182</v>
      </c>
      <c r="S320" s="28" t="s">
        <v>183</v>
      </c>
      <c r="T320" s="28" t="s">
        <v>184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9350</v>
      </c>
      <c r="F321" s="15" t="n">
        <f aca="false">E321*(1+IF(F$3&lt;=$O$2,$D321,$D321-($D321-$I$319)*MIN(F$3-$O$2,$Q$2)/$Q$2))</f>
        <v>11687.5</v>
      </c>
      <c r="G321" s="15" t="n">
        <f aca="false">F321*(1+IF(G$3&lt;=$O$2,$D321,$D321-($D321-$I$319)*MIN(G$3-$O$2,$Q$2)/$Q$2))</f>
        <v>14609.375</v>
      </c>
      <c r="H321" s="15" t="n">
        <f aca="false">G321*(1+IF(H$3&lt;=$O$2,$D321,$D321-($D321-$I$319)*MIN(H$3-$O$2,$Q$2)/$Q$2))</f>
        <v>18261.71875</v>
      </c>
      <c r="I321" s="15" t="n">
        <f aca="false">H321*(1+IF(I$3&lt;=$O$2,$D321,$D321-($D321-$I$319)*MIN(I$3-$O$2,$Q$2)/$Q$2))</f>
        <v>22827.1484375</v>
      </c>
      <c r="J321" s="15" t="n">
        <f aca="false">I321*(1+IF(J$3&lt;=$O$2,$D321,$D321-($D321-$I$319)*MIN(J$3-$O$2,$Q$2)/$Q$2))</f>
        <v>27476.1254882813</v>
      </c>
      <c r="K321" s="15" t="n">
        <f aca="false">J321*(1+IF(K$3&lt;=$O$2,$D321,$D321-($D321-$I$319)*MIN(K$3-$O$2,$Q$2)/$Q$2))</f>
        <v>31798.6695500977</v>
      </c>
      <c r="L321" s="15" t="n">
        <f aca="false">K321*(1+IF(L$3&lt;=$O$2,$D321,$D321-($D321-$I$319)*MIN(L$3-$O$2,$Q$2)/$Q$2))</f>
        <v>35327.6858967675</v>
      </c>
      <c r="M321" s="15" t="n">
        <f aca="false">L321*(1+IF(M$3&lt;=$O$2,$D321,$D321-($D321-$I$319)*MIN(M$3-$O$2,$Q$2)/$Q$2))</f>
        <v>37611.2675131345</v>
      </c>
      <c r="N321" s="15" t="n">
        <f aca="false">M321*(1+IF(N$3&lt;=$O$2,$D321,$D321-($D321-$I$319)*MIN(N$3-$O$2,$Q$2)/$Q$2))</f>
        <v>38299.5537086249</v>
      </c>
      <c r="O321" s="15" t="n">
        <f aca="false">SUMPRODUCT(E321:N321,1/(1+$F$319)^$E$3:$N$3)*$E$2</f>
        <v>25630.7827766839</v>
      </c>
      <c r="P321" s="15" t="n">
        <f aca="false">N321*$E$2*(1+$I$319)/($F$319-$I$319)/(1+$F$319)^$N$3</f>
        <v>48692.9203035281</v>
      </c>
      <c r="Q321" s="15" t="n">
        <f aca="false">O321+P321</f>
        <v>74323.703080212</v>
      </c>
      <c r="R321" s="15" t="n">
        <f aca="false">Q321-$G$2+$I$2</f>
        <v>71207.503080212</v>
      </c>
      <c r="S321" s="42" t="n">
        <f aca="false">R321/$K$2</f>
        <v>630.713047654668</v>
      </c>
      <c r="T321" s="43" t="n">
        <f aca="false">S321-$M$2</f>
        <v>462.245377149796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6545</v>
      </c>
      <c r="F322" s="15" t="n">
        <f aca="false">E322*(1+IF(F$3&lt;=$O$2,$D322,$D322-($D322-$I$319)*MIN(F$3-$O$2,$Q$2)/$Q$2))</f>
        <v>5726.875</v>
      </c>
      <c r="G322" s="15" t="n">
        <f aca="false">F322*(1+IF(G$3&lt;=$O$2,$D322,$D322-($D322-$I$319)*MIN(G$3-$O$2,$Q$2)/$Q$2))</f>
        <v>5011.015625</v>
      </c>
      <c r="H322" s="15" t="n">
        <f aca="false">G322*(1+IF(H$3&lt;=$O$2,$D322,$D322-($D322-$I$319)*MIN(H$3-$O$2,$Q$2)/$Q$2))</f>
        <v>4384.638671875</v>
      </c>
      <c r="I322" s="15" t="n">
        <f aca="false">H322*(1+IF(I$3&lt;=$O$2,$D322,$D322-($D322-$I$319)*MIN(I$3-$O$2,$Q$2)/$Q$2))</f>
        <v>3836.55883789063</v>
      </c>
      <c r="J322" s="15" t="n">
        <f aca="false">I322*(1+IF(J$3&lt;=$O$2,$D322,$D322-($D322-$I$319)*MIN(J$3-$O$2,$Q$2)/$Q$2))</f>
        <v>3466.94475944824</v>
      </c>
      <c r="K322" s="15" t="n">
        <f aca="false">J322*(1+IF(K$3&lt;=$O$2,$D322,$D322-($D322-$I$319)*MIN(K$3-$O$2,$Q$2)/$Q$2))</f>
        <v>3232.30193812879</v>
      </c>
      <c r="L322" s="15" t="n">
        <f aca="false">K322*(1+IF(L$3&lt;=$O$2,$D322,$D322-($D322-$I$319)*MIN(L$3-$O$2,$Q$2)/$Q$2))</f>
        <v>3106.177516503</v>
      </c>
      <c r="M322" s="15" t="n">
        <f aca="false">L322*(1+IF(M$3&lt;=$O$2,$D322,$D322-($D322-$I$319)*MIN(M$3-$O$2,$Q$2)/$Q$2))</f>
        <v>3073.99751743203</v>
      </c>
      <c r="N322" s="15" t="n">
        <f aca="false">M322*(1+IF(N$3&lt;=$O$2,$D322,$D322-($D322-$I$319)*MIN(N$3-$O$2,$Q$2)/$Q$2))</f>
        <v>3130.25167200104</v>
      </c>
      <c r="O322" s="15" t="n">
        <f aca="false">SUMPRODUCT(E322:N322,1/(1+$F$319)^$E$3:$N$3)*$E$2</f>
        <v>5029.62418417534</v>
      </c>
      <c r="P322" s="15" t="n">
        <f aca="false">N322*$E$2*(1+$I$319)/($F$319-$I$319)/(1+$F$319)^$N$3</f>
        <v>3979.7094335438</v>
      </c>
      <c r="Q322" s="15" t="n">
        <f aca="false">O322+P322</f>
        <v>9009.33361771914</v>
      </c>
      <c r="R322" s="15" t="n">
        <f aca="false">Q322-$G$2+$I$2</f>
        <v>5893.13361771914</v>
      </c>
      <c r="S322" s="42" t="n">
        <f aca="false">R322/$K$2</f>
        <v>52.1978176945894</v>
      </c>
      <c r="T322" s="43" t="n">
        <f aca="false">S322-$M$2</f>
        <v>-116.269852810282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7947.5</v>
      </c>
      <c r="F323" s="15" t="n">
        <f aca="false">E323*(1+IF(F$3&lt;=$O$2,$D323,$D323-($D323-$I$319)*MIN(F$3-$O$2,$Q$2)/$Q$2))</f>
        <v>8444.21875</v>
      </c>
      <c r="G323" s="15" t="n">
        <f aca="false">F323*(1+IF(G$3&lt;=$O$2,$D323,$D323-($D323-$I$319)*MIN(G$3-$O$2,$Q$2)/$Q$2))</f>
        <v>8971.982421875</v>
      </c>
      <c r="H323" s="15" t="n">
        <f aca="false">G323*(1+IF(H$3&lt;=$O$2,$D323,$D323-($D323-$I$319)*MIN(H$3-$O$2,$Q$2)/$Q$2))</f>
        <v>9532.73132324219</v>
      </c>
      <c r="I323" s="15" t="n">
        <f aca="false">H323*(1+IF(I$3&lt;=$O$2,$D323,$D323-($D323-$I$319)*MIN(I$3-$O$2,$Q$2)/$Q$2))</f>
        <v>10128.5270309448</v>
      </c>
      <c r="J323" s="15" t="n">
        <f aca="false">I323*(1+IF(J$3&lt;=$O$2,$D323,$D323-($D323-$I$319)*MIN(J$3-$O$2,$Q$2)/$Q$2))</f>
        <v>10672.0237914253</v>
      </c>
      <c r="K323" s="15" t="n">
        <f aca="false">J323*(1+IF(K$3&lt;=$O$2,$D323,$D323-($D323-$I$319)*MIN(K$3-$O$2,$Q$2)/$Q$2))</f>
        <v>11150.343897757</v>
      </c>
      <c r="L323" s="15" t="n">
        <f aca="false">K323*(1+IF(L$3&lt;=$O$2,$D323,$D323-($D323-$I$319)*MIN(L$3-$O$2,$Q$2)/$Q$2))</f>
        <v>11551.5332711983</v>
      </c>
      <c r="M323" s="15" t="n">
        <f aca="false">L323*(1+IF(M$3&lt;=$O$2,$D323,$D323-($D323-$I$319)*MIN(M$3-$O$2,$Q$2)/$Q$2))</f>
        <v>11865.0418841786</v>
      </c>
      <c r="N323" s="15" t="n">
        <f aca="false">M323*(1+IF(N$3&lt;=$O$2,$D323,$D323-($D323-$I$319)*MIN(N$3-$O$2,$Q$2)/$Q$2))</f>
        <v>12082.1721506591</v>
      </c>
      <c r="O323" s="15" t="n">
        <f aca="false">SUMPRODUCT(E323:N323,1/(1+$F$319)^$E$3:$N$3)*$E$2</f>
        <v>11338.6437268171</v>
      </c>
      <c r="P323" s="15" t="n">
        <f aca="false">N323*$E$2*(1+$I$319)/($F$319-$I$319)/(1+$F$319)^$N$3</f>
        <v>15360.9164770258</v>
      </c>
      <c r="Q323" s="15" t="n">
        <f aca="false">O323+P323</f>
        <v>26699.5602038429</v>
      </c>
      <c r="R323" s="15" t="n">
        <f aca="false">Q323-$G$2+$I$2</f>
        <v>23583.3602038429</v>
      </c>
      <c r="S323" s="42" t="n">
        <f aca="false">R323/$K$2</f>
        <v>208.887158581425</v>
      </c>
      <c r="T323" s="43" t="n">
        <f aca="false">S323-$M$2</f>
        <v>40.4194880765532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-0.125</v>
      </c>
      <c r="C324" s="25" t="n">
        <f aca="false">IF(T323&gt;0,D323,C323)</f>
        <v>0.0625</v>
      </c>
      <c r="D324" s="41" t="n">
        <f aca="false">(B324+C324)/2</f>
        <v>-0.03125</v>
      </c>
      <c r="E324" s="15" t="n">
        <f aca="false">$C$2*(1+IF(E$3&lt;=$O$2,$D324,$D324-($D324-$I$319)*MIN(E$3-$O$2,$Q$2)/$Q$2))</f>
        <v>7246.25</v>
      </c>
      <c r="F324" s="15" t="n">
        <f aca="false">E324*(1+IF(F$3&lt;=$O$2,$D324,$D324-($D324-$I$319)*MIN(F$3-$O$2,$Q$2)/$Q$2))</f>
        <v>7019.8046875</v>
      </c>
      <c r="G324" s="15" t="n">
        <f aca="false">F324*(1+IF(G$3&lt;=$O$2,$D324,$D324-($D324-$I$319)*MIN(G$3-$O$2,$Q$2)/$Q$2))</f>
        <v>6800.43579101563</v>
      </c>
      <c r="H324" s="15" t="n">
        <f aca="false">G324*(1+IF(H$3&lt;=$O$2,$D324,$D324-($D324-$I$319)*MIN(H$3-$O$2,$Q$2)/$Q$2))</f>
        <v>6587.92217254639</v>
      </c>
      <c r="I324" s="15" t="n">
        <f aca="false">H324*(1+IF(I$3&lt;=$O$2,$D324,$D324-($D324-$I$319)*MIN(I$3-$O$2,$Q$2)/$Q$2))</f>
        <v>6382.04960465431</v>
      </c>
      <c r="J324" s="15" t="n">
        <f aca="false">I324*(1+IF(J$3&lt;=$O$2,$D324,$D324-($D324-$I$319)*MIN(J$3-$O$2,$Q$2)/$Q$2))</f>
        <v>6245.85666609099</v>
      </c>
      <c r="K324" s="15" t="n">
        <f aca="false">J324*(1+IF(K$3&lt;=$O$2,$D324,$D324-($D324-$I$319)*MIN(K$3-$O$2,$Q$2)/$Q$2))</f>
        <v>6174.46652439757</v>
      </c>
      <c r="L324" s="15" t="n">
        <f aca="false">K324*(1+IF(L$3&lt;=$O$2,$D324,$D324-($D324-$I$319)*MIN(L$3-$O$2,$Q$2)/$Q$2))</f>
        <v>6165.08133528048</v>
      </c>
      <c r="M324" s="15" t="n">
        <f aca="false">L324*(1+IF(M$3&lt;=$O$2,$D324,$D324-($D324-$I$319)*MIN(M$3-$O$2,$Q$2)/$Q$2))</f>
        <v>6216.80636768349</v>
      </c>
      <c r="N324" s="15" t="n">
        <f aca="false">M324*(1+IF(N$3&lt;=$O$2,$D324,$D324-($D324-$I$319)*MIN(N$3-$O$2,$Q$2)/$Q$2))</f>
        <v>6330.5739242121</v>
      </c>
      <c r="O324" s="15" t="n">
        <f aca="false">SUMPRODUCT(E324:N324,1/(1+$F$319)^$E$3:$N$3)*$E$2</f>
        <v>7530.56923824107</v>
      </c>
      <c r="P324" s="15" t="n">
        <f aca="false">N324*$E$2*(1+$I$319)/($F$319-$I$319)/(1+$F$319)^$N$3</f>
        <v>8048.50453121168</v>
      </c>
      <c r="Q324" s="15" t="n">
        <f aca="false">O324+P324</f>
        <v>15579.0737694527</v>
      </c>
      <c r="R324" s="15" t="n">
        <f aca="false">Q324-$G$2+$I$2</f>
        <v>12462.8737694527</v>
      </c>
      <c r="S324" s="42" t="n">
        <f aca="false">R324/$K$2</f>
        <v>110.388607346791</v>
      </c>
      <c r="T324" s="43" t="n">
        <f aca="false">S324-$M$2</f>
        <v>-58.0790631580802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-0.03125</v>
      </c>
      <c r="C325" s="25" t="n">
        <f aca="false">IF(T324&gt;0,D324,C324)</f>
        <v>0.0625</v>
      </c>
      <c r="D325" s="41" t="n">
        <f aca="false">(B325+C325)/2</f>
        <v>0.015625</v>
      </c>
      <c r="E325" s="15" t="n">
        <f aca="false">$C$2*(1+IF(E$3&lt;=$O$2,$D325,$D325-($D325-$I$319)*MIN(E$3-$O$2,$Q$2)/$Q$2))</f>
        <v>7596.875</v>
      </c>
      <c r="F325" s="15" t="n">
        <f aca="false">E325*(1+IF(F$3&lt;=$O$2,$D325,$D325-($D325-$I$319)*MIN(F$3-$O$2,$Q$2)/$Q$2))</f>
        <v>7715.576171875</v>
      </c>
      <c r="G325" s="15" t="n">
        <f aca="false">F325*(1+IF(G$3&lt;=$O$2,$D325,$D325-($D325-$I$319)*MIN(G$3-$O$2,$Q$2)/$Q$2))</f>
        <v>7836.13204956055</v>
      </c>
      <c r="H325" s="15" t="n">
        <f aca="false">G325*(1+IF(H$3&lt;=$O$2,$D325,$D325-($D325-$I$319)*MIN(H$3-$O$2,$Q$2)/$Q$2))</f>
        <v>7958.57161283493</v>
      </c>
      <c r="I325" s="15" t="n">
        <f aca="false">H325*(1+IF(I$3&lt;=$O$2,$D325,$D325-($D325-$I$319)*MIN(I$3-$O$2,$Q$2)/$Q$2))</f>
        <v>8082.92429428548</v>
      </c>
      <c r="J325" s="15" t="n">
        <f aca="false">I325*(1+IF(J$3&lt;=$O$2,$D325,$D325-($D325-$I$319)*MIN(J$3-$O$2,$Q$2)/$Q$2))</f>
        <v>8213.54435088113</v>
      </c>
      <c r="K325" s="15" t="n">
        <f aca="false">J325*(1+IF(K$3&lt;=$O$2,$D325,$D325-($D325-$I$319)*MIN(K$3-$O$2,$Q$2)/$Q$2))</f>
        <v>8350.66947381909</v>
      </c>
      <c r="L325" s="15" t="n">
        <f aca="false">K325*(1+IF(L$3&lt;=$O$2,$D325,$D325-($D325-$I$319)*MIN(L$3-$O$2,$Q$2)/$Q$2))</f>
        <v>8494.55150885299</v>
      </c>
      <c r="M325" s="15" t="n">
        <f aca="false">L325*(1+IF(M$3&lt;=$O$2,$D325,$D325-($D325-$I$319)*MIN(M$3-$O$2,$Q$2)/$Q$2))</f>
        <v>8645.45721640777</v>
      </c>
      <c r="N325" s="15" t="n">
        <f aca="false">M325*(1+IF(N$3&lt;=$O$2,$D325,$D325-($D325-$I$319)*MIN(N$3-$O$2,$Q$2)/$Q$2))</f>
        <v>8803.66908346803</v>
      </c>
      <c r="O325" s="15" t="n">
        <f aca="false">SUMPRODUCT(E325:N325,1/(1+$F$319)^$E$3:$N$3)*$E$2</f>
        <v>9237.0296252676</v>
      </c>
      <c r="P325" s="15" t="n">
        <f aca="false">N325*$E$2*(1+$I$319)/($F$319-$I$319)/(1+$F$319)^$N$3</f>
        <v>11192.7246025169</v>
      </c>
      <c r="Q325" s="15" t="n">
        <f aca="false">O325+P325</f>
        <v>20429.7542277845</v>
      </c>
      <c r="R325" s="15" t="n">
        <f aca="false">Q325-$G$2+$I$2</f>
        <v>17313.5542277845</v>
      </c>
      <c r="S325" s="42" t="n">
        <f aca="false">R325/$K$2</f>
        <v>153.353004674796</v>
      </c>
      <c r="T325" s="43" t="n">
        <f aca="false">S325-$M$2</f>
        <v>-15.1146658300754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0.015625</v>
      </c>
      <c r="C326" s="25" t="n">
        <f aca="false">IF(T325&gt;0,D325,C325)</f>
        <v>0.0625</v>
      </c>
      <c r="D326" s="41" t="n">
        <f aca="false">(B326+C326)/2</f>
        <v>0.0390625</v>
      </c>
      <c r="E326" s="15" t="n">
        <f aca="false">$C$2*(1+IF(E$3&lt;=$O$2,$D326,$D326-($D326-$I$319)*MIN(E$3-$O$2,$Q$2)/$Q$2))</f>
        <v>7772.1875</v>
      </c>
      <c r="F326" s="15" t="n">
        <f aca="false">E326*(1+IF(F$3&lt;=$O$2,$D326,$D326-($D326-$I$319)*MIN(F$3-$O$2,$Q$2)/$Q$2))</f>
        <v>8075.78857421875</v>
      </c>
      <c r="G326" s="15" t="n">
        <f aca="false">F326*(1+IF(G$3&lt;=$O$2,$D326,$D326-($D326-$I$319)*MIN(G$3-$O$2,$Q$2)/$Q$2))</f>
        <v>8391.24906539917</v>
      </c>
      <c r="H326" s="15" t="n">
        <f aca="false">G326*(1+IF(H$3&lt;=$O$2,$D326,$D326-($D326-$I$319)*MIN(H$3-$O$2,$Q$2)/$Q$2))</f>
        <v>8719.03223201633</v>
      </c>
      <c r="I326" s="15" t="n">
        <f aca="false">H326*(1+IF(I$3&lt;=$O$2,$D326,$D326-($D326-$I$319)*MIN(I$3-$O$2,$Q$2)/$Q$2))</f>
        <v>9059.61942857946</v>
      </c>
      <c r="J326" s="15" t="n">
        <f aca="false">I326*(1+IF(J$3&lt;=$O$2,$D326,$D326-($D326-$I$319)*MIN(J$3-$O$2,$Q$2)/$Q$2))</f>
        <v>9375.89074283117</v>
      </c>
      <c r="K326" s="15" t="n">
        <f aca="false">J326*(1+IF(K$3&lt;=$O$2,$D326,$D326-($D326-$I$319)*MIN(K$3-$O$2,$Q$2)/$Q$2))</f>
        <v>9664.2697023538</v>
      </c>
      <c r="L326" s="15" t="n">
        <f aca="false">K326*(1+IF(L$3&lt;=$O$2,$D326,$D326-($D326-$I$319)*MIN(L$3-$O$2,$Q$2)/$Q$2))</f>
        <v>9921.38759778493</v>
      </c>
      <c r="M326" s="15" t="n">
        <f aca="false">L326*(1+IF(M$3&lt;=$O$2,$D326,$D326-($D326-$I$319)*MIN(M$3-$O$2,$Q$2)/$Q$2))</f>
        <v>10144.1475528242</v>
      </c>
      <c r="N326" s="15" t="n">
        <f aca="false">M326*(1+IF(N$3&lt;=$O$2,$D326,$D326-($D326-$I$319)*MIN(N$3-$O$2,$Q$2)/$Q$2))</f>
        <v>10329.7854530409</v>
      </c>
      <c r="O326" s="15" t="n">
        <f aca="false">SUMPRODUCT(E326:N326,1/(1+$F$319)^$E$3:$N$3)*$E$2</f>
        <v>10233.4915812094</v>
      </c>
      <c r="P326" s="15" t="n">
        <f aca="false">N326*$E$2*(1+$I$319)/($F$319-$I$319)/(1+$F$319)^$N$3</f>
        <v>13132.983836942</v>
      </c>
      <c r="Q326" s="15" t="n">
        <f aca="false">O326+P326</f>
        <v>23366.4754181514</v>
      </c>
      <c r="R326" s="15" t="n">
        <f aca="false">Q326-$G$2+$I$2</f>
        <v>20250.2754181514</v>
      </c>
      <c r="S326" s="42" t="n">
        <f aca="false">R326/$K$2</f>
        <v>179.364706980969</v>
      </c>
      <c r="T326" s="43" t="n">
        <f aca="false">S326-$M$2</f>
        <v>10.8970364760972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0.015625</v>
      </c>
      <c r="C327" s="25" t="n">
        <f aca="false">IF(T326&gt;0,D326,C326)</f>
        <v>0.0390625</v>
      </c>
      <c r="D327" s="41" t="n">
        <f aca="false">(B327+C327)/2</f>
        <v>0.02734375</v>
      </c>
      <c r="E327" s="15" t="n">
        <f aca="false">$C$2*(1+IF(E$3&lt;=$O$2,$D327,$D327-($D327-$I$319)*MIN(E$3-$O$2,$Q$2)/$Q$2))</f>
        <v>7684.53125</v>
      </c>
      <c r="F327" s="15" t="n">
        <f aca="false">E327*(1+IF(F$3&lt;=$O$2,$D327,$D327-($D327-$I$319)*MIN(F$3-$O$2,$Q$2)/$Q$2))</f>
        <v>7894.65515136719</v>
      </c>
      <c r="G327" s="15" t="n">
        <f aca="false">F327*(1+IF(G$3&lt;=$O$2,$D327,$D327-($D327-$I$319)*MIN(G$3-$O$2,$Q$2)/$Q$2))</f>
        <v>8110.52462816238</v>
      </c>
      <c r="H327" s="15" t="n">
        <f aca="false">G327*(1+IF(H$3&lt;=$O$2,$D327,$D327-($D327-$I$319)*MIN(H$3-$O$2,$Q$2)/$Q$2))</f>
        <v>8332.2967859637</v>
      </c>
      <c r="I327" s="15" t="n">
        <f aca="false">H327*(1+IF(I$3&lt;=$O$2,$D327,$D327-($D327-$I$319)*MIN(I$3-$O$2,$Q$2)/$Q$2))</f>
        <v>8560.13302620489</v>
      </c>
      <c r="J327" s="15" t="n">
        <f aca="false">I327*(1+IF(J$3&lt;=$O$2,$D327,$D327-($D327-$I$319)*MIN(J$3-$O$2,$Q$2)/$Q$2))</f>
        <v>8778.71602302904</v>
      </c>
      <c r="K327" s="15" t="n">
        <f aca="false">J327*(1+IF(K$3&lt;=$O$2,$D327,$D327-($D327-$I$319)*MIN(K$3-$O$2,$Q$2)/$Q$2))</f>
        <v>8987.00203407043</v>
      </c>
      <c r="L327" s="15" t="n">
        <f aca="false">K327*(1+IF(L$3&lt;=$O$2,$D327,$D327-($D327-$I$319)*MIN(L$3-$O$2,$Q$2)/$Q$2))</f>
        <v>9183.97465115217</v>
      </c>
      <c r="M327" s="15" t="n">
        <f aca="false">L327*(1+IF(M$3&lt;=$O$2,$D327,$D327-($D327-$I$319)*MIN(M$3-$O$2,$Q$2)/$Q$2))</f>
        <v>9368.65290141853</v>
      </c>
      <c r="N327" s="15" t="n">
        <f aca="false">M327*(1+IF(N$3&lt;=$O$2,$D327,$D327-($D327-$I$319)*MIN(N$3-$O$2,$Q$2)/$Q$2))</f>
        <v>9540.09924951448</v>
      </c>
      <c r="O327" s="15" t="n">
        <f aca="false">SUMPRODUCT(E327:N327,1/(1+$F$319)^$E$3:$N$3)*$E$2</f>
        <v>9722.32630578687</v>
      </c>
      <c r="P327" s="15" t="n">
        <f aca="false">N327*$E$2*(1+$I$319)/($F$319-$I$319)/(1+$F$319)^$N$3</f>
        <v>12129.0001439298</v>
      </c>
      <c r="Q327" s="15" t="n">
        <f aca="false">O327+P327</f>
        <v>21851.3264497166</v>
      </c>
      <c r="R327" s="15" t="n">
        <f aca="false">Q327-$G$2+$I$2</f>
        <v>18735.1264497166</v>
      </c>
      <c r="S327" s="42" t="n">
        <f aca="false">R327/$K$2</f>
        <v>165.944432681281</v>
      </c>
      <c r="T327" s="43" t="n">
        <f aca="false">S327-$M$2</f>
        <v>-2.52323782359065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0.02734375</v>
      </c>
      <c r="C328" s="25" t="n">
        <f aca="false">IF(T327&gt;0,D327,C327)</f>
        <v>0.0390625</v>
      </c>
      <c r="D328" s="41" t="n">
        <f aca="false">(B328+C328)/2</f>
        <v>0.033203125</v>
      </c>
      <c r="E328" s="15" t="n">
        <f aca="false">$C$2*(1+IF(E$3&lt;=$O$2,$D328,$D328-($D328-$I$319)*MIN(E$3-$O$2,$Q$2)/$Q$2))</f>
        <v>7728.359375</v>
      </c>
      <c r="F328" s="15" t="n">
        <f aca="false">E328*(1+IF(F$3&lt;=$O$2,$D328,$D328-($D328-$I$319)*MIN(F$3-$O$2,$Q$2)/$Q$2))</f>
        <v>7984.96505737305</v>
      </c>
      <c r="G328" s="15" t="n">
        <f aca="false">F328*(1+IF(G$3&lt;=$O$2,$D328,$D328-($D328-$I$319)*MIN(G$3-$O$2,$Q$2)/$Q$2))</f>
        <v>8250.09085029364</v>
      </c>
      <c r="H328" s="15" t="n">
        <f aca="false">G328*(1+IF(H$3&lt;=$O$2,$D328,$D328-($D328-$I$319)*MIN(H$3-$O$2,$Q$2)/$Q$2))</f>
        <v>8524.01964805729</v>
      </c>
      <c r="I328" s="15" t="n">
        <f aca="false">H328*(1+IF(I$3&lt;=$O$2,$D328,$D328-($D328-$I$319)*MIN(I$3-$O$2,$Q$2)/$Q$2))</f>
        <v>8807.0437379342</v>
      </c>
      <c r="J328" s="15" t="n">
        <f aca="false">I328*(1+IF(J$3&lt;=$O$2,$D328,$D328-($D328-$I$319)*MIN(J$3-$O$2,$Q$2)/$Q$2))</f>
        <v>9073.21461730391</v>
      </c>
      <c r="K328" s="15" t="n">
        <f aca="false">J328*(1+IF(K$3&lt;=$O$2,$D328,$D328-($D328-$I$319)*MIN(K$3-$O$2,$Q$2)/$Q$2))</f>
        <v>9320.38599575668</v>
      </c>
      <c r="L328" s="15" t="n">
        <f aca="false">K328*(1+IF(L$3&lt;=$O$2,$D328,$D328-($D328-$I$319)*MIN(L$3-$O$2,$Q$2)/$Q$2))</f>
        <v>9546.51021049623</v>
      </c>
      <c r="M328" s="15" t="n">
        <f aca="false">L328*(1+IF(M$3&lt;=$O$2,$D328,$D328-($D328-$I$319)*MIN(M$3-$O$2,$Q$2)/$Q$2))</f>
        <v>9749.66591434447</v>
      </c>
      <c r="N328" s="15" t="n">
        <f aca="false">M328*(1+IF(N$3&lt;=$O$2,$D328,$D328-($D328-$I$319)*MIN(N$3-$O$2,$Q$2)/$Q$2))</f>
        <v>9928.08480057698</v>
      </c>
      <c r="O328" s="15" t="n">
        <f aca="false">SUMPRODUCT(E328:N328,1/(1+$F$319)^$E$3:$N$3)*$E$2</f>
        <v>9974.59602236149</v>
      </c>
      <c r="P328" s="15" t="n">
        <f aca="false">N328*$E$2*(1+$I$319)/($F$319-$I$319)/(1+$F$319)^$N$3</f>
        <v>12622.2735032105</v>
      </c>
      <c r="Q328" s="15" t="n">
        <f aca="false">O328+P328</f>
        <v>22596.869525572</v>
      </c>
      <c r="R328" s="15" t="n">
        <f aca="false">Q328-$G$2+$I$2</f>
        <v>19480.669525572</v>
      </c>
      <c r="S328" s="42" t="n">
        <f aca="false">R328/$K$2</f>
        <v>172.54800288372</v>
      </c>
      <c r="T328" s="43" t="n">
        <f aca="false">S328-$M$2</f>
        <v>4.08033237884825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0.02734375</v>
      </c>
      <c r="C329" s="25" t="n">
        <f aca="false">IF(T328&gt;0,D328,C328)</f>
        <v>0.033203125</v>
      </c>
      <c r="D329" s="41" t="n">
        <f aca="false">(B329+C329)/2</f>
        <v>0.0302734375</v>
      </c>
      <c r="E329" s="15" t="n">
        <f aca="false">$C$2*(1+IF(E$3&lt;=$O$2,$D329,$D329-($D329-$I$319)*MIN(E$3-$O$2,$Q$2)/$Q$2))</f>
        <v>7706.4453125</v>
      </c>
      <c r="F329" s="15" t="n">
        <f aca="false">E329*(1+IF(F$3&lt;=$O$2,$D329,$D329-($D329-$I$319)*MIN(F$3-$O$2,$Q$2)/$Q$2))</f>
        <v>7939.74590301514</v>
      </c>
      <c r="G329" s="15" t="n">
        <f aca="false">F329*(1+IF(G$3&lt;=$O$2,$D329,$D329-($D329-$I$319)*MIN(G$3-$O$2,$Q$2)/$Q$2))</f>
        <v>8180.10930437595</v>
      </c>
      <c r="H329" s="15" t="n">
        <f aca="false">G329*(1+IF(H$3&lt;=$O$2,$D329,$D329-($D329-$I$319)*MIN(H$3-$O$2,$Q$2)/$Q$2))</f>
        <v>8427.74933214514</v>
      </c>
      <c r="I329" s="15" t="n">
        <f aca="false">H329*(1+IF(I$3&lt;=$O$2,$D329,$D329-($D329-$I$319)*MIN(I$3-$O$2,$Q$2)/$Q$2))</f>
        <v>8682.8862748175</v>
      </c>
      <c r="J329" s="15" t="n">
        <f aca="false">I329*(1+IF(J$3&lt;=$O$2,$D329,$D329-($D329-$I$319)*MIN(J$3-$O$2,$Q$2)/$Q$2))</f>
        <v>8924.95429055157</v>
      </c>
      <c r="K329" s="15" t="n">
        <f aca="false">J329*(1+IF(K$3&lt;=$O$2,$D329,$D329-($D329-$I$319)*MIN(K$3-$O$2,$Q$2)/$Q$2))</f>
        <v>9152.39838350163</v>
      </c>
      <c r="L329" s="15" t="n">
        <f aca="false">K329*(1+IF(L$3&lt;=$O$2,$D329,$D329-($D329-$I$319)*MIN(L$3-$O$2,$Q$2)/$Q$2))</f>
        <v>9363.72154192769</v>
      </c>
      <c r="M329" s="15" t="n">
        <f aca="false">L329*(1+IF(M$3&lt;=$O$2,$D329,$D329-($D329-$I$319)*MIN(M$3-$O$2,$Q$2)/$Q$2))</f>
        <v>9557.5008330749</v>
      </c>
      <c r="N329" s="15" t="n">
        <f aca="false">M329*(1+IF(N$3&lt;=$O$2,$D329,$D329-($D329-$I$319)*MIN(N$3-$O$2,$Q$2)/$Q$2))</f>
        <v>9732.40309832018</v>
      </c>
      <c r="O329" s="15" t="n">
        <f aca="false">SUMPRODUCT(E329:N329,1/(1+$F$319)^$E$3:$N$3)*$E$2</f>
        <v>9847.64298395193</v>
      </c>
      <c r="P329" s="15" t="n">
        <f aca="false">N329*$E$2*(1+$I$319)/($F$319-$I$319)/(1+$F$319)^$N$3</f>
        <v>12373.4895720624</v>
      </c>
      <c r="Q329" s="15" t="n">
        <f aca="false">O329+P329</f>
        <v>22221.1325560143</v>
      </c>
      <c r="R329" s="15" t="n">
        <f aca="false">Q329-$G$2+$I$2</f>
        <v>19104.9325560143</v>
      </c>
      <c r="S329" s="42" t="n">
        <f aca="false">R329/$K$2</f>
        <v>169.219951780464</v>
      </c>
      <c r="T329" s="43" t="n">
        <f aca="false">S329-$M$2</f>
        <v>0.752281275591912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0.02734375</v>
      </c>
      <c r="C330" s="25" t="n">
        <f aca="false">IF(T329&gt;0,D329,C329)</f>
        <v>0.0302734375</v>
      </c>
      <c r="D330" s="41" t="n">
        <f aca="false">(B330+C330)/2</f>
        <v>0.02880859375</v>
      </c>
      <c r="E330" s="15" t="n">
        <f aca="false">$C$2*(1+IF(E$3&lt;=$O$2,$D330,$D330-($D330-$I$319)*MIN(E$3-$O$2,$Q$2)/$Q$2))</f>
        <v>7695.48828125</v>
      </c>
      <c r="F330" s="15" t="n">
        <f aca="false">E330*(1+IF(F$3&lt;=$O$2,$D330,$D330-($D330-$I$319)*MIN(F$3-$O$2,$Q$2)/$Q$2))</f>
        <v>7917.18447685242</v>
      </c>
      <c r="G330" s="15" t="n">
        <f aca="false">F330*(1+IF(G$3&lt;=$O$2,$D330,$D330-($D330-$I$319)*MIN(G$3-$O$2,$Q$2)/$Q$2))</f>
        <v>8145.26742808987</v>
      </c>
      <c r="H330" s="15" t="n">
        <f aca="false">G330*(1+IF(H$3&lt;=$O$2,$D330,$D330-($D330-$I$319)*MIN(H$3-$O$2,$Q$2)/$Q$2))</f>
        <v>8379.92112841081</v>
      </c>
      <c r="I330" s="15" t="n">
        <f aca="false">H330*(1+IF(I$3&lt;=$O$2,$D330,$D330-($D330-$I$319)*MIN(I$3-$O$2,$Q$2)/$Q$2))</f>
        <v>8621.33487185624</v>
      </c>
      <c r="J330" s="15" t="n">
        <f aca="false">I330*(1+IF(J$3&lt;=$O$2,$D330,$D330-($D330-$I$319)*MIN(J$3-$O$2,$Q$2)/$Q$2))</f>
        <v>8851.58378461205</v>
      </c>
      <c r="K330" s="15" t="n">
        <f aca="false">J330*(1+IF(K$3&lt;=$O$2,$D330,$D330-($D330-$I$319)*MIN(K$3-$O$2,$Q$2)/$Q$2))</f>
        <v>9069.37838669239</v>
      </c>
      <c r="L330" s="15" t="n">
        <f aca="false">K330*(1+IF(L$3&lt;=$O$2,$D330,$D330-($D330-$I$319)*MIN(L$3-$O$2,$Q$2)/$Q$2))</f>
        <v>9273.47057638118</v>
      </c>
      <c r="M330" s="15" t="n">
        <f aca="false">L330*(1+IF(M$3&lt;=$O$2,$D330,$D330-($D330-$I$319)*MIN(M$3-$O$2,$Q$2)/$Q$2))</f>
        <v>9462.66531491691</v>
      </c>
      <c r="N330" s="15" t="n">
        <f aca="false">M330*(1+IF(N$3&lt;=$O$2,$D330,$D330-($D330-$I$319)*MIN(N$3-$O$2,$Q$2)/$Q$2))</f>
        <v>9635.83209017989</v>
      </c>
      <c r="O330" s="15" t="n">
        <f aca="false">SUMPRODUCT(E330:N330,1/(1+$F$319)^$E$3:$N$3)*$E$2</f>
        <v>9784.78134448424</v>
      </c>
      <c r="P330" s="15" t="n">
        <f aca="false">N330*$E$2*(1+$I$319)/($F$319-$I$319)/(1+$F$319)^$N$3</f>
        <v>12250.712047322</v>
      </c>
      <c r="Q330" s="15" t="n">
        <f aca="false">O330+P330</f>
        <v>22035.4933918063</v>
      </c>
      <c r="R330" s="15" t="n">
        <f aca="false">Q330-$G$2+$I$2</f>
        <v>18919.2933918063</v>
      </c>
      <c r="S330" s="42" t="n">
        <f aca="false">R330/$K$2</f>
        <v>167.575672203776</v>
      </c>
      <c r="T330" s="43" t="n">
        <f aca="false">S330-$M$2</f>
        <v>-0.891998301096066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0.02880859375</v>
      </c>
      <c r="C331" s="25" t="n">
        <f aca="false">IF(T330&gt;0,D330,C330)</f>
        <v>0.0302734375</v>
      </c>
      <c r="D331" s="41" t="n">
        <f aca="false">(B331+C331)/2</f>
        <v>0.029541015625</v>
      </c>
      <c r="E331" s="15" t="n">
        <f aca="false">$C$2*(1+IF(E$3&lt;=$O$2,$D331,$D331-($D331-$I$319)*MIN(E$3-$O$2,$Q$2)/$Q$2))</f>
        <v>7700.966796875</v>
      </c>
      <c r="F331" s="15" t="n">
        <f aca="false">E331*(1+IF(F$3&lt;=$O$2,$D331,$D331-($D331-$I$319)*MIN(F$3-$O$2,$Q$2)/$Q$2))</f>
        <v>7928.46117734909</v>
      </c>
      <c r="G331" s="15" t="n">
        <f aca="false">F331*(1+IF(G$3&lt;=$O$2,$D331,$D331-($D331-$I$319)*MIN(G$3-$O$2,$Q$2)/$Q$2))</f>
        <v>8162.67597287137</v>
      </c>
      <c r="H331" s="15" t="n">
        <f aca="false">G331*(1+IF(H$3&lt;=$O$2,$D331,$D331-($D331-$I$319)*MIN(H$3-$O$2,$Q$2)/$Q$2))</f>
        <v>8403.80971132777</v>
      </c>
      <c r="I331" s="15" t="n">
        <f aca="false">H331*(1+IF(I$3&lt;=$O$2,$D331,$D331-($D331-$I$319)*MIN(I$3-$O$2,$Q$2)/$Q$2))</f>
        <v>8652.06678531963</v>
      </c>
      <c r="J331" s="15" t="n">
        <f aca="false">I331*(1+IF(J$3&lt;=$O$2,$D331,$D331-($D331-$I$319)*MIN(J$3-$O$2,$Q$2)/$Q$2))</f>
        <v>8888.20602182884</v>
      </c>
      <c r="K331" s="15" t="n">
        <f aca="false">J331*(1+IF(K$3&lt;=$O$2,$D331,$D331-($D331-$I$319)*MIN(K$3-$O$2,$Q$2)/$Q$2))</f>
        <v>9110.80766969007</v>
      </c>
      <c r="L331" s="15" t="n">
        <f aca="false">K331*(1+IF(L$3&lt;=$O$2,$D331,$D331-($D331-$I$319)*MIN(L$3-$O$2,$Q$2)/$Q$2))</f>
        <v>9318.50134259394</v>
      </c>
      <c r="M331" s="15" t="n">
        <f aca="false">L331*(1+IF(M$3&lt;=$O$2,$D331,$D331-($D331-$I$319)*MIN(M$3-$O$2,$Q$2)/$Q$2))</f>
        <v>9509.97980100214</v>
      </c>
      <c r="N331" s="15" t="n">
        <f aca="false">M331*(1+IF(N$3&lt;=$O$2,$D331,$D331-($D331-$I$319)*MIN(N$3-$O$2,$Q$2)/$Q$2))</f>
        <v>9684.01243136048</v>
      </c>
      <c r="O331" s="15" t="n">
        <f aca="false">SUMPRODUCT(E331:N331,1/(1+$F$319)^$E$3:$N$3)*$E$2</f>
        <v>9816.16118405714</v>
      </c>
      <c r="P331" s="15" t="n">
        <f aca="false">N331*$E$2*(1+$I$319)/($F$319-$I$319)/(1+$F$319)^$N$3</f>
        <v>12311.9671087035</v>
      </c>
      <c r="Q331" s="15" t="n">
        <f aca="false">O331+P331</f>
        <v>22128.1282927606</v>
      </c>
      <c r="R331" s="15" t="n">
        <f aca="false">Q331-$G$2+$I$2</f>
        <v>19011.9282927606</v>
      </c>
      <c r="S331" s="42" t="n">
        <f aca="false">R331/$K$2</f>
        <v>168.396176198057</v>
      </c>
      <c r="T331" s="43" t="n">
        <f aca="false">S331-$M$2</f>
        <v>-0.0714943068150546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0.029541015625</v>
      </c>
      <c r="C332" s="25" t="n">
        <f aca="false">IF(T331&gt;0,D331,C331)</f>
        <v>0.0302734375</v>
      </c>
      <c r="D332" s="41" t="n">
        <f aca="false">(B332+C332)/2</f>
        <v>0.0299072265625</v>
      </c>
      <c r="E332" s="15" t="n">
        <f aca="false">$C$2*(1+IF(E$3&lt;=$O$2,$D332,$D332-($D332-$I$319)*MIN(E$3-$O$2,$Q$2)/$Q$2))</f>
        <v>7703.7060546875</v>
      </c>
      <c r="F332" s="15" t="n">
        <f aca="false">E332*(1+IF(F$3&lt;=$O$2,$D332,$D332-($D332-$I$319)*MIN(F$3-$O$2,$Q$2)/$Q$2))</f>
        <v>7934.10253703594</v>
      </c>
      <c r="G332" s="15" t="n">
        <f aca="false">F332*(1+IF(G$3&lt;=$O$2,$D332,$D332-($D332-$I$319)*MIN(G$3-$O$2,$Q$2)/$Q$2))</f>
        <v>8171.38953918118</v>
      </c>
      <c r="H332" s="15" t="n">
        <f aca="false">G332*(1+IF(H$3&lt;=$O$2,$D332,$D332-($D332-$I$319)*MIN(H$3-$O$2,$Q$2)/$Q$2))</f>
        <v>8415.77313745992</v>
      </c>
      <c r="I332" s="15" t="n">
        <f aca="false">H332*(1+IF(I$3&lt;=$O$2,$D332,$D332-($D332-$I$319)*MIN(I$3-$O$2,$Q$2)/$Q$2))</f>
        <v>8667.46557138053</v>
      </c>
      <c r="J332" s="15" t="n">
        <f aca="false">I332*(1+IF(J$3&lt;=$O$2,$D332,$D332-($D332-$I$319)*MIN(J$3-$O$2,$Q$2)/$Q$2))</f>
        <v>8906.56438062454</v>
      </c>
      <c r="K332" s="15" t="n">
        <f aca="false">J332*(1+IF(K$3&lt;=$O$2,$D332,$D332-($D332-$I$319)*MIN(K$3-$O$2,$Q$2)/$Q$2))</f>
        <v>9131.58281518561</v>
      </c>
      <c r="L332" s="15" t="n">
        <f aca="false">K332*(1+IF(L$3&lt;=$O$2,$D332,$D332-($D332-$I$319)*MIN(L$3-$O$2,$Q$2)/$Q$2))</f>
        <v>9341.08772094754</v>
      </c>
      <c r="M332" s="15" t="n">
        <f aca="false">L332*(1+IF(M$3&lt;=$O$2,$D332,$D332-($D332-$I$319)*MIN(M$3-$O$2,$Q$2)/$Q$2))</f>
        <v>9533.71445054433</v>
      </c>
      <c r="N332" s="15" t="n">
        <f aca="false">M332*(1+IF(N$3&lt;=$O$2,$D332,$D332-($D332-$I$319)*MIN(N$3-$O$2,$Q$2)/$Q$2))</f>
        <v>9708.18142498929</v>
      </c>
      <c r="O332" s="15" t="n">
        <f aca="false">SUMPRODUCT(E332:N332,1/(1+$F$319)^$E$3:$N$3)*$E$2</f>
        <v>9831.88931953615</v>
      </c>
      <c r="P332" s="15" t="n">
        <f aca="false">N332*$E$2*(1+$I$319)/($F$319-$I$319)/(1+$F$319)^$N$3</f>
        <v>12342.694852675</v>
      </c>
      <c r="Q332" s="15" t="n">
        <f aca="false">O332+P332</f>
        <v>22174.5841722112</v>
      </c>
      <c r="R332" s="15" t="n">
        <f aca="false">Q332-$G$2+$I$2</f>
        <v>19058.3841722112</v>
      </c>
      <c r="S332" s="42" t="n">
        <f aca="false">R332/$K$2</f>
        <v>168.807654315422</v>
      </c>
      <c r="T332" s="43" t="n">
        <f aca="false">S332-$M$2</f>
        <v>0.339983810550592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0.029541015625</v>
      </c>
      <c r="C333" s="25" t="n">
        <f aca="false">IF(T332&gt;0,D332,C332)</f>
        <v>0.0299072265625</v>
      </c>
      <c r="D333" s="41" t="n">
        <f aca="false">(B333+C333)/2</f>
        <v>0.02972412109375</v>
      </c>
      <c r="E333" s="15" t="n">
        <f aca="false">$C$2*(1+IF(E$3&lt;=$O$2,$D333,$D333-($D333-$I$319)*MIN(E$3-$O$2,$Q$2)/$Q$2))</f>
        <v>7702.33642578125</v>
      </c>
      <c r="F333" s="15" t="n">
        <f aca="false">E333*(1+IF(F$3&lt;=$O$2,$D333,$D333-($D333-$I$319)*MIN(F$3-$O$2,$Q$2)/$Q$2))</f>
        <v>7931.28160640597</v>
      </c>
      <c r="G333" s="15" t="n">
        <f aca="false">F333*(1+IF(G$3&lt;=$O$2,$D333,$D333-($D333-$I$319)*MIN(G$3-$O$2,$Q$2)/$Q$2))</f>
        <v>8167.03198130342</v>
      </c>
      <c r="H333" s="15" t="n">
        <f aca="false">G333*(1+IF(H$3&lt;=$O$2,$D333,$D333-($D333-$I$319)*MIN(H$3-$O$2,$Q$2)/$Q$2))</f>
        <v>8409.78982889221</v>
      </c>
      <c r="I333" s="15" t="n">
        <f aca="false">H333*(1+IF(I$3&lt;=$O$2,$D333,$D333-($D333-$I$319)*MIN(I$3-$O$2,$Q$2)/$Q$2))</f>
        <v>8659.76344013919</v>
      </c>
      <c r="J333" s="15" t="n">
        <f aca="false">I333*(1+IF(J$3&lt;=$O$2,$D333,$D333-($D333-$I$319)*MIN(J$3-$O$2,$Q$2)/$Q$2))</f>
        <v>8897.38126004044</v>
      </c>
      <c r="K333" s="15" t="n">
        <f aca="false">J333*(1+IF(K$3&lt;=$O$2,$D333,$D333-($D333-$I$319)*MIN(K$3-$O$2,$Q$2)/$Q$2))</f>
        <v>9121.19019365835</v>
      </c>
      <c r="L333" s="15" t="n">
        <f aca="false">K333*(1+IF(L$3&lt;=$O$2,$D333,$D333-($D333-$I$319)*MIN(L$3-$O$2,$Q$2)/$Q$2))</f>
        <v>9329.78860671889</v>
      </c>
      <c r="M333" s="15" t="n">
        <f aca="false">L333*(1+IF(M$3&lt;=$O$2,$D333,$D333-($D333-$I$319)*MIN(M$3-$O$2,$Q$2)/$Q$2))</f>
        <v>9521.8406651863</v>
      </c>
      <c r="N333" s="15" t="n">
        <f aca="false">M333*(1+IF(N$3&lt;=$O$2,$D333,$D333-($D333-$I$319)*MIN(N$3-$O$2,$Q$2)/$Q$2))</f>
        <v>9696.09034935921</v>
      </c>
      <c r="O333" s="15" t="n">
        <f aca="false">SUMPRODUCT(E333:N333,1/(1+$F$319)^$E$3:$N$3)*$E$2</f>
        <v>9824.02206311008</v>
      </c>
      <c r="P333" s="15" t="n">
        <f aca="false">N333*$E$2*(1+$I$319)/($F$319-$I$319)/(1+$F$319)^$N$3</f>
        <v>12327.3226165775</v>
      </c>
      <c r="Q333" s="15" t="n">
        <f aca="false">O333+P333</f>
        <v>22151.3446796876</v>
      </c>
      <c r="R333" s="15" t="n">
        <f aca="false">Q333-$G$2+$I$2</f>
        <v>19035.1446796876</v>
      </c>
      <c r="S333" s="42" t="n">
        <f aca="false">R333/$K$2</f>
        <v>168.601812929031</v>
      </c>
      <c r="T333" s="43" t="n">
        <f aca="false">S333-$M$2</f>
        <v>0.134142424159023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0.029541015625</v>
      </c>
      <c r="C334" s="25" t="n">
        <f aca="false">IF(T333&gt;0,D333,C333)</f>
        <v>0.02972412109375</v>
      </c>
      <c r="D334" s="41" t="n">
        <f aca="false">(B334+C334)/2</f>
        <v>0.029632568359375</v>
      </c>
      <c r="E334" s="15" t="n">
        <f aca="false">$C$2*(1+IF(E$3&lt;=$O$2,$D334,$D334-($D334-$I$319)*MIN(E$3-$O$2,$Q$2)/$Q$2))</f>
        <v>7701.65161132813</v>
      </c>
      <c r="F334" s="15" t="n">
        <f aca="false">E334*(1+IF(F$3&lt;=$O$2,$D334,$D334-($D334-$I$319)*MIN(F$3-$O$2,$Q$2)/$Q$2))</f>
        <v>7929.8713291809</v>
      </c>
      <c r="G334" s="15" t="n">
        <f aca="false">F334*(1+IF(G$3&lt;=$O$2,$D334,$D334-($D334-$I$319)*MIN(G$3-$O$2,$Q$2)/$Q$2))</f>
        <v>8164.8537834239</v>
      </c>
      <c r="H334" s="15" t="n">
        <f aca="false">G334*(1+IF(H$3&lt;=$O$2,$D334,$D334-($D334-$I$319)*MIN(H$3-$O$2,$Q$2)/$Q$2))</f>
        <v>8406.79937130551</v>
      </c>
      <c r="I334" s="15" t="n">
        <f aca="false">H334*(1+IF(I$3&lt;=$O$2,$D334,$D334-($D334-$I$319)*MIN(I$3-$O$2,$Q$2)/$Q$2))</f>
        <v>8655.91442835927</v>
      </c>
      <c r="J334" s="15" t="n">
        <f aca="false">I334*(1+IF(J$3&lt;=$O$2,$D334,$D334-($D334-$I$319)*MIN(J$3-$O$2,$Q$2)/$Q$2))</f>
        <v>8892.79265597607</v>
      </c>
      <c r="K334" s="15" t="n">
        <f aca="false">J334*(1+IF(K$3&lt;=$O$2,$D334,$D334-($D334-$I$319)*MIN(K$3-$O$2,$Q$2)/$Q$2))</f>
        <v>9115.99766998819</v>
      </c>
      <c r="L334" s="15" t="n">
        <f aca="false">K334*(1+IF(L$3&lt;=$O$2,$D334,$D334-($D334-$I$319)*MIN(L$3-$O$2,$Q$2)/$Q$2))</f>
        <v>9324.14349405259</v>
      </c>
      <c r="M334" s="15" t="n">
        <f aca="false">L334*(1+IF(M$3&lt;=$O$2,$D334,$D334-($D334-$I$319)*MIN(M$3-$O$2,$Q$2)/$Q$2))</f>
        <v>9515.90861870155</v>
      </c>
      <c r="N334" s="15" t="n">
        <f aca="false">M334*(1+IF(N$3&lt;=$O$2,$D334,$D334-($D334-$I$319)*MIN(N$3-$O$2,$Q$2)/$Q$2))</f>
        <v>9690.04974642379</v>
      </c>
      <c r="O334" s="15" t="n">
        <f aca="false">SUMPRODUCT(E334:N334,1/(1+$F$319)^$E$3:$N$3)*$E$2</f>
        <v>9820.09082671561</v>
      </c>
      <c r="P334" s="15" t="n">
        <f aca="false">N334*$E$2*(1+$I$319)/($F$319-$I$319)/(1+$F$319)^$N$3</f>
        <v>12319.6427725888</v>
      </c>
      <c r="Q334" s="15" t="n">
        <f aca="false">O334+P334</f>
        <v>22139.7335993044</v>
      </c>
      <c r="R334" s="15" t="n">
        <f aca="false">Q334-$G$2+$I$2</f>
        <v>19023.5335993044</v>
      </c>
      <c r="S334" s="42" t="n">
        <f aca="false">R334/$K$2</f>
        <v>168.498968992953</v>
      </c>
      <c r="T334" s="43" t="n">
        <f aca="false">S334-$M$2</f>
        <v>0.0312984880811484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0.029541015625</v>
      </c>
      <c r="C335" s="25" t="n">
        <f aca="false">IF(T334&gt;0,D334,C334)</f>
        <v>0.029632568359375</v>
      </c>
      <c r="D335" s="41" t="n">
        <f aca="false">(B335+C335)/2</f>
        <v>0.0295867919921875</v>
      </c>
      <c r="E335" s="15" t="n">
        <f aca="false">$C$2*(1+IF(E$3&lt;=$O$2,$D335,$D335-($D335-$I$319)*MIN(E$3-$O$2,$Q$2)/$Q$2))</f>
        <v>7701.30920410156</v>
      </c>
      <c r="F335" s="15" t="n">
        <f aca="false">E335*(1+IF(F$3&lt;=$O$2,$D335,$D335-($D335-$I$319)*MIN(F$3-$O$2,$Q$2)/$Q$2))</f>
        <v>7929.16623759083</v>
      </c>
      <c r="G335" s="15" t="n">
        <f aca="false">F335*(1+IF(G$3&lt;=$O$2,$D335,$D335-($D335-$I$319)*MIN(G$3-$O$2,$Q$2)/$Q$2))</f>
        <v>8163.76482973391</v>
      </c>
      <c r="H335" s="15" t="n">
        <f aca="false">G335*(1+IF(H$3&lt;=$O$2,$D335,$D335-($D335-$I$319)*MIN(H$3-$O$2,$Q$2)/$Q$2))</f>
        <v>8405.30444162438</v>
      </c>
      <c r="I335" s="15" t="n">
        <f aca="false">H335*(1+IF(I$3&lt;=$O$2,$D335,$D335-($D335-$I$319)*MIN(I$3-$O$2,$Q$2)/$Q$2))</f>
        <v>8653.99043576973</v>
      </c>
      <c r="J335" s="15" t="n">
        <f aca="false">I335*(1+IF(J$3&lt;=$O$2,$D335,$D335-($D335-$I$319)*MIN(J$3-$O$2,$Q$2)/$Q$2))</f>
        <v>8890.49909270505</v>
      </c>
      <c r="K335" s="15" t="n">
        <f aca="false">J335*(1+IF(K$3&lt;=$O$2,$D335,$D335-($D335-$I$319)*MIN(K$3-$O$2,$Q$2)/$Q$2))</f>
        <v>9113.4023544812</v>
      </c>
      <c r="L335" s="15" t="n">
        <f aca="false">K335*(1+IF(L$3&lt;=$O$2,$D335,$D335-($D335-$I$319)*MIN(L$3-$O$2,$Q$2)/$Q$2))</f>
        <v>9321.32204825467</v>
      </c>
      <c r="M335" s="15" t="n">
        <f aca="false">L335*(1+IF(M$3&lt;=$O$2,$D335,$D335-($D335-$I$319)*MIN(M$3-$O$2,$Q$2)/$Q$2))</f>
        <v>9512.9438063479</v>
      </c>
      <c r="N335" s="15" t="n">
        <f aca="false">M335*(1+IF(N$3&lt;=$O$2,$D335,$D335-($D335-$I$319)*MIN(N$3-$O$2,$Q$2)/$Q$2))</f>
        <v>9687.03067800407</v>
      </c>
      <c r="O335" s="15" t="n">
        <f aca="false">SUMPRODUCT(E335:N335,1/(1+$F$319)^$E$3:$N$3)*$E$2</f>
        <v>9818.12580620731</v>
      </c>
      <c r="P335" s="15" t="n">
        <f aca="false">N335*$E$2*(1+$I$319)/($F$319-$I$319)/(1+$F$319)^$N$3</f>
        <v>12315.8044182552</v>
      </c>
      <c r="Q335" s="15" t="n">
        <f aca="false">O335+P335</f>
        <v>22133.9302244625</v>
      </c>
      <c r="R335" s="15" t="n">
        <f aca="false">Q335-$G$2+$I$2</f>
        <v>19017.7302244625</v>
      </c>
      <c r="S335" s="42" t="n">
        <f aca="false">R335/$K$2</f>
        <v>168.447566204273</v>
      </c>
      <c r="T335" s="43" t="n">
        <f aca="false">S335-$M$2</f>
        <v>-0.0201043005981205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0.0295867919921875</v>
      </c>
      <c r="C336" s="25" t="n">
        <f aca="false">IF(T335&gt;0,D335,C335)</f>
        <v>0.029632568359375</v>
      </c>
      <c r="D336" s="41" t="n">
        <f aca="false">(B336+C336)/2</f>
        <v>0.0296096801757813</v>
      </c>
      <c r="E336" s="15" t="n">
        <f aca="false">$C$2*(1+IF(E$3&lt;=$O$2,$D336,$D336-($D336-$I$319)*MIN(E$3-$O$2,$Q$2)/$Q$2))</f>
        <v>7701.48040771484</v>
      </c>
      <c r="F336" s="15" t="n">
        <f aca="false">E336*(1+IF(F$3&lt;=$O$2,$D336,$D336-($D336-$I$319)*MIN(F$3-$O$2,$Q$2)/$Q$2))</f>
        <v>7929.51877946733</v>
      </c>
      <c r="G336" s="15" t="n">
        <f aca="false">F336*(1+IF(G$3&lt;=$O$2,$D336,$D336-($D336-$I$319)*MIN(G$3-$O$2,$Q$2)/$Q$2))</f>
        <v>8164.3092944752</v>
      </c>
      <c r="H336" s="15" t="n">
        <f aca="false">G336*(1+IF(H$3&lt;=$O$2,$D336,$D336-($D336-$I$319)*MIN(H$3-$O$2,$Q$2)/$Q$2))</f>
        <v>8406.05188154077</v>
      </c>
      <c r="I336" s="15" t="n">
        <f aca="false">H336*(1+IF(I$3&lt;=$O$2,$D336,$D336-($D336-$I$319)*MIN(I$3-$O$2,$Q$2)/$Q$2))</f>
        <v>8654.95238929422</v>
      </c>
      <c r="J336" s="15" t="n">
        <f aca="false">I336*(1+IF(J$3&lt;=$O$2,$D336,$D336-($D336-$I$319)*MIN(J$3-$O$2,$Q$2)/$Q$2))</f>
        <v>8891.64581278593</v>
      </c>
      <c r="K336" s="15" t="n">
        <f aca="false">J336*(1+IF(K$3&lt;=$O$2,$D336,$D336-($D336-$I$319)*MIN(K$3-$O$2,$Q$2)/$Q$2))</f>
        <v>9114.69993338727</v>
      </c>
      <c r="L336" s="15" t="n">
        <f aca="false">K336*(1+IF(L$3&lt;=$O$2,$D336,$D336-($D336-$I$319)*MIN(L$3-$O$2,$Q$2)/$Q$2))</f>
        <v>9322.73267862619</v>
      </c>
      <c r="M336" s="15" t="n">
        <f aca="false">L336*(1+IF(M$3&lt;=$O$2,$D336,$D336-($D336-$I$319)*MIN(M$3-$O$2,$Q$2)/$Q$2))</f>
        <v>9514.42611163696</v>
      </c>
      <c r="N336" s="15" t="n">
        <f aca="false">M336*(1+IF(N$3&lt;=$O$2,$D336,$D336-($D336-$I$319)*MIN(N$3-$O$2,$Q$2)/$Q$2))</f>
        <v>9688.54010947991</v>
      </c>
      <c r="O336" s="15" t="n">
        <f aca="false">SUMPRODUCT(E336:N336,1/(1+$F$319)^$E$3:$N$3)*$E$2</f>
        <v>9819.10826666195</v>
      </c>
      <c r="P336" s="15" t="n">
        <f aca="false">N336*$E$2*(1+$I$319)/($F$319-$I$319)/(1+$F$319)^$N$3</f>
        <v>12317.723464809</v>
      </c>
      <c r="Q336" s="15" t="n">
        <f aca="false">O336+P336</f>
        <v>22136.8317314709</v>
      </c>
      <c r="R336" s="15" t="n">
        <f aca="false">Q336-$G$2+$I$2</f>
        <v>19020.6317314709</v>
      </c>
      <c r="S336" s="42" t="n">
        <f aca="false">R336/$K$2</f>
        <v>168.473266000628</v>
      </c>
      <c r="T336" s="43" t="n">
        <f aca="false">S336-$M$2</f>
        <v>0.00559549575666551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0.0295867919921875</v>
      </c>
      <c r="C337" s="25" t="n">
        <f aca="false">IF(T336&gt;0,D336,C336)</f>
        <v>0.0296096801757813</v>
      </c>
      <c r="D337" s="41" t="n">
        <f aca="false">(B337+C337)/2</f>
        <v>0.0295982360839844</v>
      </c>
      <c r="E337" s="15" t="n">
        <f aca="false">$C$2*(1+IF(E$3&lt;=$O$2,$D337,$D337-($D337-$I$319)*MIN(E$3-$O$2,$Q$2)/$Q$2))</f>
        <v>7701.3948059082</v>
      </c>
      <c r="F337" s="15" t="n">
        <f aca="false">E337*(1+IF(F$3&lt;=$O$2,$D337,$D337-($D337-$I$319)*MIN(F$3-$O$2,$Q$2)/$Q$2))</f>
        <v>7929.34250754945</v>
      </c>
      <c r="G337" s="15" t="n">
        <f aca="false">F337*(1+IF(G$3&lt;=$O$2,$D337,$D337-($D337-$I$319)*MIN(G$3-$O$2,$Q$2)/$Q$2))</f>
        <v>8164.03705907867</v>
      </c>
      <c r="H337" s="15" t="n">
        <f aca="false">G337*(1+IF(H$3&lt;=$O$2,$D337,$D337-($D337-$I$319)*MIN(H$3-$O$2,$Q$2)/$Q$2))</f>
        <v>8405.67815535167</v>
      </c>
      <c r="I337" s="15" t="n">
        <f aca="false">H337*(1+IF(I$3&lt;=$O$2,$D337,$D337-($D337-$I$319)*MIN(I$3-$O$2,$Q$2)/$Q$2))</f>
        <v>8654.47140183976</v>
      </c>
      <c r="J337" s="15" t="n">
        <f aca="false">I337*(1+IF(J$3&lt;=$O$2,$D337,$D337-($D337-$I$319)*MIN(J$3-$O$2,$Q$2)/$Q$2))</f>
        <v>8891.07243735749</v>
      </c>
      <c r="K337" s="15" t="n">
        <f aca="false">J337*(1+IF(K$3&lt;=$O$2,$D337,$D337-($D337-$I$319)*MIN(K$3-$O$2,$Q$2)/$Q$2))</f>
        <v>9114.05112422338</v>
      </c>
      <c r="L337" s="15" t="n">
        <f aca="false">K337*(1+IF(L$3&lt;=$O$2,$D337,$D337-($D337-$I$319)*MIN(L$3-$O$2,$Q$2)/$Q$2))</f>
        <v>9322.02734030986</v>
      </c>
      <c r="M337" s="15" t="n">
        <f aca="false">L337*(1+IF(M$3&lt;=$O$2,$D337,$D337-($D337-$I$319)*MIN(M$3-$O$2,$Q$2)/$Q$2))</f>
        <v>9513.68493377196</v>
      </c>
      <c r="N337" s="15" t="n">
        <f aca="false">M337*(1+IF(N$3&lt;=$O$2,$D337,$D337-($D337-$I$319)*MIN(N$3-$O$2,$Q$2)/$Q$2))</f>
        <v>9687.78536805999</v>
      </c>
      <c r="O337" s="15" t="n">
        <f aca="false">SUMPRODUCT(E337:N337,1/(1+$F$319)^$E$3:$N$3)*$E$2</f>
        <v>9818.61702398535</v>
      </c>
      <c r="P337" s="15" t="n">
        <f aca="false">N337*$E$2*(1+$I$319)/($F$319-$I$319)/(1+$F$319)^$N$3</f>
        <v>12316.7639088807</v>
      </c>
      <c r="Q337" s="15" t="n">
        <f aca="false">O337+P337</f>
        <v>22135.3809328661</v>
      </c>
      <c r="R337" s="15" t="n">
        <f aca="false">Q337-$G$2+$I$2</f>
        <v>19019.1809328661</v>
      </c>
      <c r="S337" s="42" t="n">
        <f aca="false">R337/$K$2</f>
        <v>168.460415702977</v>
      </c>
      <c r="T337" s="43" t="n">
        <f aca="false">S337-$M$2</f>
        <v>-0.00725480189478844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0.0295982360839844</v>
      </c>
      <c r="C338" s="25" t="n">
        <f aca="false">IF(T337&gt;0,D337,C337)</f>
        <v>0.0296096801757813</v>
      </c>
      <c r="D338" s="41" t="n">
        <f aca="false">(B338+C338)/2</f>
        <v>0.0296039581298828</v>
      </c>
      <c r="E338" s="15" t="n">
        <f aca="false">$C$2*(1+IF(E$3&lt;=$O$2,$D338,$D338-($D338-$I$319)*MIN(E$3-$O$2,$Q$2)/$Q$2))</f>
        <v>7701.43760681152</v>
      </c>
      <c r="F338" s="15" t="n">
        <f aca="false">E338*(1+IF(F$3&lt;=$O$2,$D338,$D338-($D338-$I$319)*MIN(F$3-$O$2,$Q$2)/$Q$2))</f>
        <v>7929.43064326348</v>
      </c>
      <c r="G338" s="15" t="n">
        <f aca="false">F338*(1+IF(G$3&lt;=$O$2,$D338,$D338-($D338-$I$319)*MIN(G$3-$O$2,$Q$2)/$Q$2))</f>
        <v>8164.17317602046</v>
      </c>
      <c r="H338" s="15" t="n">
        <f aca="false">G338*(1+IF(H$3&lt;=$O$2,$D338,$D338-($D338-$I$319)*MIN(H$3-$O$2,$Q$2)/$Q$2))</f>
        <v>8405.86501688848</v>
      </c>
      <c r="I338" s="15" t="n">
        <f aca="false">H338*(1+IF(I$3&lt;=$O$2,$D338,$D338-($D338-$I$319)*MIN(I$3-$O$2,$Q$2)/$Q$2))</f>
        <v>8654.71189289389</v>
      </c>
      <c r="J338" s="15" t="n">
        <f aca="false">I338*(1+IF(J$3&lt;=$O$2,$D338,$D338-($D338-$I$319)*MIN(J$3-$O$2,$Q$2)/$Q$2))</f>
        <v>8891.35912122463</v>
      </c>
      <c r="K338" s="15" t="n">
        <f aca="false">J338*(1+IF(K$3&lt;=$O$2,$D338,$D338-($D338-$I$319)*MIN(K$3-$O$2,$Q$2)/$Q$2))</f>
        <v>9114.37552387748</v>
      </c>
      <c r="L338" s="15" t="n">
        <f aca="false">K338*(1+IF(L$3&lt;=$O$2,$D338,$D338-($D338-$I$319)*MIN(L$3-$O$2,$Q$2)/$Q$2))</f>
        <v>9322.38000368522</v>
      </c>
      <c r="M338" s="15" t="n">
        <f aca="false">L338*(1+IF(M$3&lt;=$O$2,$D338,$D338-($D338-$I$319)*MIN(M$3-$O$2,$Q$2)/$Q$2))</f>
        <v>9514.05551639916</v>
      </c>
      <c r="N338" s="15" t="n">
        <f aca="false">M338*(1+IF(N$3&lt;=$O$2,$D338,$D338-($D338-$I$319)*MIN(N$3-$O$2,$Q$2)/$Q$2))</f>
        <v>9688.16273234926</v>
      </c>
      <c r="O338" s="15" t="n">
        <f aca="false">SUMPRODUCT(E338:N338,1/(1+$F$319)^$E$3:$N$3)*$E$2</f>
        <v>9818.86264221126</v>
      </c>
      <c r="P338" s="15" t="n">
        <f aca="false">N338*$E$2*(1+$I$319)/($F$319-$I$319)/(1+$F$319)^$N$3</f>
        <v>12317.2436786818</v>
      </c>
      <c r="Q338" s="15" t="n">
        <f aca="false">O338+P338</f>
        <v>22136.106320893</v>
      </c>
      <c r="R338" s="15" t="n">
        <f aca="false">Q338-$G$2+$I$2</f>
        <v>19019.906320893</v>
      </c>
      <c r="S338" s="42" t="n">
        <f aca="false">R338/$K$2</f>
        <v>168.466840751931</v>
      </c>
      <c r="T338" s="43" t="n">
        <f aca="false">S338-$M$2</f>
        <v>-0.000829752940347817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0.0296039581298828</v>
      </c>
      <c r="C339" s="25" t="n">
        <f aca="false">IF(T338&gt;0,D338,C338)</f>
        <v>0.0296096801757813</v>
      </c>
      <c r="D339" s="41" t="n">
        <f aca="false">(B339+C339)/2</f>
        <v>0.029606819152832</v>
      </c>
      <c r="E339" s="15" t="n">
        <f aca="false">$C$2*(1+IF(E$3&lt;=$O$2,$D339,$D339-($D339-$I$319)*MIN(E$3-$O$2,$Q$2)/$Q$2))</f>
        <v>7701.45900726318</v>
      </c>
      <c r="F339" s="15" t="n">
        <f aca="false">E339*(1+IF(F$3&lt;=$O$2,$D339,$D339-($D339-$I$319)*MIN(F$3-$O$2,$Q$2)/$Q$2))</f>
        <v>7929.47471130417</v>
      </c>
      <c r="G339" s="15" t="n">
        <f aca="false">F339*(1+IF(G$3&lt;=$O$2,$D339,$D339-($D339-$I$319)*MIN(G$3-$O$2,$Q$2)/$Q$2))</f>
        <v>8164.24123505871</v>
      </c>
      <c r="H339" s="15" t="n">
        <f aca="false">G339*(1+IF(H$3&lt;=$O$2,$D339,$D339-($D339-$I$319)*MIN(H$3-$O$2,$Q$2)/$Q$2))</f>
        <v>8405.95844882519</v>
      </c>
      <c r="I339" s="15" t="n">
        <f aca="false">H339*(1+IF(I$3&lt;=$O$2,$D339,$D339-($D339-$I$319)*MIN(I$3-$O$2,$Q$2)/$Q$2))</f>
        <v>8654.83214042578</v>
      </c>
      <c r="J339" s="15" t="n">
        <f aca="false">I339*(1+IF(J$3&lt;=$O$2,$D339,$D339-($D339-$I$319)*MIN(J$3-$O$2,$Q$2)/$Q$2))</f>
        <v>8891.5024660435</v>
      </c>
      <c r="K339" s="15" t="n">
        <f aca="false">J339*(1+IF(K$3&lt;=$O$2,$D339,$D339-($D339-$I$319)*MIN(K$3-$O$2,$Q$2)/$Q$2))</f>
        <v>9114.5377274004</v>
      </c>
      <c r="L339" s="15" t="n">
        <f aca="false">K339*(1+IF(L$3&lt;=$O$2,$D339,$D339-($D339-$I$319)*MIN(L$3-$O$2,$Q$2)/$Q$2))</f>
        <v>9322.55633970998</v>
      </c>
      <c r="M339" s="15" t="n">
        <f aca="false">L339*(1+IF(M$3&lt;=$O$2,$D339,$D339-($D339-$I$319)*MIN(M$3-$O$2,$Q$2)/$Q$2))</f>
        <v>9514.24081244171</v>
      </c>
      <c r="N339" s="15" t="n">
        <f aca="false">M339*(1+IF(N$3&lt;=$O$2,$D339,$D339-($D339-$I$319)*MIN(N$3-$O$2,$Q$2)/$Q$2))</f>
        <v>9688.3514193094</v>
      </c>
      <c r="O339" s="15" t="n">
        <f aca="false">SUMPRODUCT(E339:N339,1/(1+$F$319)^$E$3:$N$3)*$E$2</f>
        <v>9818.9854536585</v>
      </c>
      <c r="P339" s="15" t="n">
        <f aca="false">N339*$E$2*(1+$I$319)/($F$319-$I$319)/(1+$F$319)^$N$3</f>
        <v>12317.4835697046</v>
      </c>
      <c r="Q339" s="15" t="n">
        <f aca="false">O339+P339</f>
        <v>22136.4690233631</v>
      </c>
      <c r="R339" s="15" t="n">
        <f aca="false">Q339-$G$2+$I$2</f>
        <v>19020.2690233631</v>
      </c>
      <c r="S339" s="42" t="n">
        <f aca="false">R339/$K$2</f>
        <v>168.470053351312</v>
      </c>
      <c r="T339" s="43" t="n">
        <f aca="false">S339-$M$2</f>
        <v>0.00238284644007081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0.0296039581298828</v>
      </c>
      <c r="C340" s="25" t="n">
        <f aca="false">IF(T339&gt;0,D339,C339)</f>
        <v>0.029606819152832</v>
      </c>
      <c r="D340" s="41" t="n">
        <f aca="false">(B340+C340)/2</f>
        <v>0.0296053886413574</v>
      </c>
      <c r="E340" s="15" t="n">
        <f aca="false">$C$2*(1+IF(E$3&lt;=$O$2,$D340,$D340-($D340-$I$319)*MIN(E$3-$O$2,$Q$2)/$Q$2))</f>
        <v>7701.44830703735</v>
      </c>
      <c r="F340" s="15" t="n">
        <f aca="false">E340*(1+IF(F$3&lt;=$O$2,$D340,$D340-($D340-$I$319)*MIN(F$3-$O$2,$Q$2)/$Q$2))</f>
        <v>7929.45267726852</v>
      </c>
      <c r="G340" s="15" t="n">
        <f aca="false">F340*(1+IF(G$3&lt;=$O$2,$D340,$D340-($D340-$I$319)*MIN(G$3-$O$2,$Q$2)/$Q$2))</f>
        <v>8164.20720549231</v>
      </c>
      <c r="H340" s="15" t="n">
        <f aca="false">G340*(1+IF(H$3&lt;=$O$2,$D340,$D340-($D340-$I$319)*MIN(H$3-$O$2,$Q$2)/$Q$2))</f>
        <v>8405.91173275948</v>
      </c>
      <c r="I340" s="15" t="n">
        <f aca="false">H340*(1+IF(I$3&lt;=$O$2,$D340,$D340-($D340-$I$319)*MIN(I$3-$O$2,$Q$2)/$Q$2))</f>
        <v>8654.77201649277</v>
      </c>
      <c r="J340" s="15" t="n">
        <f aca="false">I340*(1+IF(J$3&lt;=$O$2,$D340,$D340-($D340-$I$319)*MIN(J$3-$O$2,$Q$2)/$Q$2))</f>
        <v>8891.43079339362</v>
      </c>
      <c r="K340" s="15" t="n">
        <f aca="false">J340*(1+IF(K$3&lt;=$O$2,$D340,$D340-($D340-$I$319)*MIN(K$3-$O$2,$Q$2)/$Q$2))</f>
        <v>9114.45662533096</v>
      </c>
      <c r="L340" s="15" t="n">
        <f aca="false">K340*(1+IF(L$3&lt;=$O$2,$D340,$D340-($D340-$I$319)*MIN(L$3-$O$2,$Q$2)/$Q$2))</f>
        <v>9322.46817133618</v>
      </c>
      <c r="M340" s="15" t="n">
        <f aca="false">L340*(1+IF(M$3&lt;=$O$2,$D340,$D340-($D340-$I$319)*MIN(M$3-$O$2,$Q$2)/$Q$2))</f>
        <v>9514.14816402636</v>
      </c>
      <c r="N340" s="15" t="n">
        <f aca="false">M340*(1+IF(N$3&lt;=$O$2,$D340,$D340-($D340-$I$319)*MIN(N$3-$O$2,$Q$2)/$Q$2))</f>
        <v>9688.25707542804</v>
      </c>
      <c r="O340" s="15" t="n">
        <f aca="false">SUMPRODUCT(E340:N340,1/(1+$F$319)^$E$3:$N$3)*$E$2</f>
        <v>9818.92404774036</v>
      </c>
      <c r="P340" s="15" t="n">
        <f aca="false">N340*$E$2*(1+$I$319)/($F$319-$I$319)/(1+$F$319)^$N$3</f>
        <v>12317.363623683</v>
      </c>
      <c r="Q340" s="15" t="n">
        <f aca="false">O340+P340</f>
        <v>22136.2876714234</v>
      </c>
      <c r="R340" s="15" t="n">
        <f aca="false">Q340-$G$2+$I$2</f>
        <v>19020.0876714234</v>
      </c>
      <c r="S340" s="42" t="n">
        <f aca="false">R340/$K$2</f>
        <v>168.46844704538</v>
      </c>
      <c r="T340" s="43" t="n">
        <f aca="false">S340-$M$2</f>
        <v>0.000776540507928303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0.0296039581298828</v>
      </c>
      <c r="C341" s="25" t="n">
        <f aca="false">IF(T340&gt;0,D340,C340)</f>
        <v>0.0296053886413574</v>
      </c>
      <c r="D341" s="41" t="n">
        <f aca="false">(B341+C341)/2</f>
        <v>0.0296046733856201</v>
      </c>
      <c r="E341" s="15" t="n">
        <f aca="false">$C$2*(1+IF(E$3&lt;=$O$2,$D341,$D341-($D341-$I$319)*MIN(E$3-$O$2,$Q$2)/$Q$2))</f>
        <v>7701.44295692444</v>
      </c>
      <c r="F341" s="15" t="n">
        <f aca="false">E341*(1+IF(F$3&lt;=$O$2,$D341,$D341-($D341-$I$319)*MIN(F$3-$O$2,$Q$2)/$Q$2))</f>
        <v>7929.44166026217</v>
      </c>
      <c r="G341" s="15" t="n">
        <f aca="false">F341*(1+IF(G$3&lt;=$O$2,$D341,$D341-($D341-$I$319)*MIN(G$3-$O$2,$Q$2)/$Q$2))</f>
        <v>8164.19019074456</v>
      </c>
      <c r="H341" s="15" t="n">
        <f aca="false">G341*(1+IF(H$3&lt;=$O$2,$D341,$D341-($D341-$I$319)*MIN(H$3-$O$2,$Q$2)/$Q$2))</f>
        <v>8405.88837479964</v>
      </c>
      <c r="I341" s="15" t="n">
        <f aca="false">H341*(1+IF(I$3&lt;=$O$2,$D341,$D341-($D341-$I$319)*MIN(I$3-$O$2,$Q$2)/$Q$2))</f>
        <v>8654.74195465156</v>
      </c>
      <c r="J341" s="15" t="n">
        <f aca="false">I341*(1+IF(J$3&lt;=$O$2,$D341,$D341-($D341-$I$319)*MIN(J$3-$O$2,$Q$2)/$Q$2))</f>
        <v>8891.39495724901</v>
      </c>
      <c r="K341" s="15" t="n">
        <f aca="false">J341*(1+IF(K$3&lt;=$O$2,$D341,$D341-($D341-$I$319)*MIN(K$3-$O$2,$Q$2)/$Q$2))</f>
        <v>9114.41607452722</v>
      </c>
      <c r="L341" s="15" t="n">
        <f aca="false">K341*(1+IF(L$3&lt;=$O$2,$D341,$D341-($D341-$I$319)*MIN(L$3-$O$2,$Q$2)/$Q$2))</f>
        <v>9322.42408742034</v>
      </c>
      <c r="M341" s="15" t="n">
        <f aca="false">L341*(1+IF(M$3&lt;=$O$2,$D341,$D341-($D341-$I$319)*MIN(M$3-$O$2,$Q$2)/$Q$2))</f>
        <v>9514.10184011423</v>
      </c>
      <c r="N341" s="15" t="n">
        <f aca="false">M341*(1+IF(N$3&lt;=$O$2,$D341,$D341-($D341-$I$319)*MIN(N$3-$O$2,$Q$2)/$Q$2))</f>
        <v>9688.20990378832</v>
      </c>
      <c r="O341" s="15" t="n">
        <f aca="false">SUMPRODUCT(E341:N341,1/(1+$F$319)^$E$3:$N$3)*$E$2</f>
        <v>9818.89334492717</v>
      </c>
      <c r="P341" s="15" t="n">
        <f aca="false">N341*$E$2*(1+$I$319)/($F$319-$I$319)/(1+$F$319)^$N$3</f>
        <v>12317.3036510548</v>
      </c>
      <c r="Q341" s="15" t="n">
        <f aca="false">O341+P341</f>
        <v>22136.196995982</v>
      </c>
      <c r="R341" s="15" t="n">
        <f aca="false">Q341-$G$2+$I$2</f>
        <v>19019.996995982</v>
      </c>
      <c r="S341" s="42" t="n">
        <f aca="false">R341/$K$2</f>
        <v>168.467643897095</v>
      </c>
      <c r="T341" s="43" t="n">
        <f aca="false">S341-$M$2</f>
        <v>-2.66077767321349E-005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0.0296046733856201</v>
      </c>
      <c r="C342" s="25" t="n">
        <f aca="false">IF(T341&gt;0,D341,C341)</f>
        <v>0.0296053886413574</v>
      </c>
      <c r="D342" s="41" t="n">
        <f aca="false">(B342+C342)/2</f>
        <v>0.0296050310134888</v>
      </c>
      <c r="E342" s="15" t="n">
        <f aca="false">$C$2*(1+IF(E$3&lt;=$O$2,$D342,$D342-($D342-$I$319)*MIN(E$3-$O$2,$Q$2)/$Q$2))</f>
        <v>7701.4456319809</v>
      </c>
      <c r="F342" s="15" t="n">
        <f aca="false">E342*(1+IF(F$3&lt;=$O$2,$D342,$D342-($D342-$I$319)*MIN(F$3-$O$2,$Q$2)/$Q$2))</f>
        <v>7929.44716876439</v>
      </c>
      <c r="G342" s="15" t="n">
        <f aca="false">F342*(1+IF(G$3&lt;=$O$2,$D342,$D342-($D342-$I$319)*MIN(G$3-$O$2,$Q$2)/$Q$2))</f>
        <v>8164.19869811548</v>
      </c>
      <c r="H342" s="15" t="n">
        <f aca="false">G342*(1+IF(H$3&lt;=$O$2,$D342,$D342-($D342-$I$319)*MIN(H$3-$O$2,$Q$2)/$Q$2))</f>
        <v>8405.90005377347</v>
      </c>
      <c r="I342" s="15" t="n">
        <f aca="false">H342*(1+IF(I$3&lt;=$O$2,$D342,$D342-($D342-$I$319)*MIN(I$3-$O$2,$Q$2)/$Q$2))</f>
        <v>8654.75698556172</v>
      </c>
      <c r="J342" s="15" t="n">
        <f aca="false">I342*(1+IF(J$3&lt;=$O$2,$D342,$D342-($D342-$I$319)*MIN(J$3-$O$2,$Q$2)/$Q$2))</f>
        <v>8891.41287530629</v>
      </c>
      <c r="K342" s="15" t="n">
        <f aca="false">J342*(1+IF(K$3&lt;=$O$2,$D342,$D342-($D342-$I$319)*MIN(K$3-$O$2,$Q$2)/$Q$2))</f>
        <v>9114.43634990984</v>
      </c>
      <c r="L342" s="15" t="n">
        <f aca="false">K342*(1+IF(L$3&lt;=$O$2,$D342,$D342-($D342-$I$319)*MIN(L$3-$O$2,$Q$2)/$Q$2))</f>
        <v>9322.44612935567</v>
      </c>
      <c r="M342" s="15" t="n">
        <f aca="false">L342*(1+IF(M$3&lt;=$O$2,$D342,$D342-($D342-$I$319)*MIN(M$3-$O$2,$Q$2)/$Q$2))</f>
        <v>9514.12500204567</v>
      </c>
      <c r="N342" s="15" t="n">
        <f aca="false">M342*(1+IF(N$3&lt;=$O$2,$D342,$D342-($D342-$I$319)*MIN(N$3-$O$2,$Q$2)/$Q$2))</f>
        <v>9688.2334895831</v>
      </c>
      <c r="O342" s="15" t="n">
        <f aca="false">SUMPRODUCT(E342:N342,1/(1+$F$319)^$E$3:$N$3)*$E$2</f>
        <v>9818.90869632161</v>
      </c>
      <c r="P342" s="15" t="n">
        <f aca="false">N342*$E$2*(1+$I$319)/($F$319-$I$319)/(1+$F$319)^$N$3</f>
        <v>12317.333637337</v>
      </c>
      <c r="Q342" s="15" t="n">
        <f aca="false">O342+P342</f>
        <v>22136.2423336586</v>
      </c>
      <c r="R342" s="15" t="n">
        <f aca="false">Q342-$G$2+$I$2</f>
        <v>19020.0423336586</v>
      </c>
      <c r="S342" s="42" t="n">
        <f aca="false">R342/$K$2</f>
        <v>168.468045470847</v>
      </c>
      <c r="T342" s="43" t="n">
        <f aca="false">S342-$M$2</f>
        <v>0.0003749659754817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0.0296046733856201</v>
      </c>
      <c r="C343" s="25" t="n">
        <f aca="false">IF(T342&gt;0,D342,C342)</f>
        <v>0.0296050310134888</v>
      </c>
      <c r="D343" s="41" t="n">
        <f aca="false">(B343+C343)/2</f>
        <v>0.0296048521995544</v>
      </c>
      <c r="E343" s="15" t="n">
        <f aca="false">$C$2*(1+IF(E$3&lt;=$O$2,$D343,$D343-($D343-$I$319)*MIN(E$3-$O$2,$Q$2)/$Q$2))</f>
        <v>7701.44429445267</v>
      </c>
      <c r="F343" s="15" t="n">
        <f aca="false">E343*(1+IF(F$3&lt;=$O$2,$D343,$D343-($D343-$I$319)*MIN(F$3-$O$2,$Q$2)/$Q$2))</f>
        <v>7929.44441451304</v>
      </c>
      <c r="G343" s="15" t="n">
        <f aca="false">F343*(1+IF(G$3&lt;=$O$2,$D343,$D343-($D343-$I$319)*MIN(G$3-$O$2,$Q$2)/$Q$2))</f>
        <v>8164.19444442928</v>
      </c>
      <c r="H343" s="15" t="n">
        <f aca="false">G343*(1+IF(H$3&lt;=$O$2,$D343,$D343-($D343-$I$319)*MIN(H$3-$O$2,$Q$2)/$Q$2))</f>
        <v>8405.89421428503</v>
      </c>
      <c r="I343" s="15" t="n">
        <f aca="false">H343*(1+IF(I$3&lt;=$O$2,$D343,$D343-($D343-$I$319)*MIN(I$3-$O$2,$Q$2)/$Q$2))</f>
        <v>8654.74947010403</v>
      </c>
      <c r="J343" s="15" t="n">
        <f aca="false">I343*(1+IF(J$3&lt;=$O$2,$D343,$D343-($D343-$I$319)*MIN(J$3-$O$2,$Q$2)/$Q$2))</f>
        <v>8891.4039162739</v>
      </c>
      <c r="K343" s="15" t="n">
        <f aca="false">J343*(1+IF(K$3&lt;=$O$2,$D343,$D343-($D343-$I$319)*MIN(K$3-$O$2,$Q$2)/$Q$2))</f>
        <v>9114.42621221372</v>
      </c>
      <c r="L343" s="15" t="n">
        <f aca="false">K343*(1+IF(L$3&lt;=$O$2,$D343,$D343-($D343-$I$319)*MIN(L$3-$O$2,$Q$2)/$Q$2))</f>
        <v>9322.43510838236</v>
      </c>
      <c r="M343" s="15" t="n">
        <f aca="false">L343*(1+IF(M$3&lt;=$O$2,$D343,$D343-($D343-$I$319)*MIN(M$3-$O$2,$Q$2)/$Q$2))</f>
        <v>9514.11342107379</v>
      </c>
      <c r="N343" s="15" t="n">
        <f aca="false">M343*(1+IF(N$3&lt;=$O$2,$D343,$D343-($D343-$I$319)*MIN(N$3-$O$2,$Q$2)/$Q$2))</f>
        <v>9688.22169667944</v>
      </c>
      <c r="O343" s="15" t="n">
        <f aca="false">SUMPRODUCT(E343:N343,1/(1+$F$319)^$E$3:$N$3)*$E$2</f>
        <v>9818.90102062135</v>
      </c>
      <c r="P343" s="15" t="n">
        <f aca="false">N343*$E$2*(1+$I$319)/($F$319-$I$319)/(1+$F$319)^$N$3</f>
        <v>12317.318644188</v>
      </c>
      <c r="Q343" s="15" t="n">
        <f aca="false">O343+P343</f>
        <v>22136.2196648093</v>
      </c>
      <c r="R343" s="15" t="n">
        <f aca="false">Q343-$G$2+$I$2</f>
        <v>19020.0196648093</v>
      </c>
      <c r="S343" s="42" t="n">
        <f aca="false">R343/$K$2</f>
        <v>168.467844683873</v>
      </c>
      <c r="T343" s="43" t="n">
        <f aca="false">S343-$M$2</f>
        <v>0.000174179001817265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0.0296046733856201</v>
      </c>
      <c r="C344" s="25" t="n">
        <f aca="false">IF(T343&gt;0,D343,C343)</f>
        <v>0.0296048521995544</v>
      </c>
      <c r="D344" s="41" t="n">
        <f aca="false">(B344+C344)/2</f>
        <v>0.0296047627925873</v>
      </c>
      <c r="E344" s="15" t="n">
        <f aca="false">$C$2*(1+IF(E$3&lt;=$O$2,$D344,$D344-($D344-$I$319)*MIN(E$3-$O$2,$Q$2)/$Q$2))</f>
        <v>7701.44362568855</v>
      </c>
      <c r="F344" s="15" t="n">
        <f aca="false">E344*(1+IF(F$3&lt;=$O$2,$D344,$D344-($D344-$I$319)*MIN(F$3-$O$2,$Q$2)/$Q$2))</f>
        <v>7929.44303738755</v>
      </c>
      <c r="G344" s="15" t="n">
        <f aca="false">F344*(1+IF(G$3&lt;=$O$2,$D344,$D344-($D344-$I$319)*MIN(G$3-$O$2,$Q$2)/$Q$2))</f>
        <v>8164.19231758674</v>
      </c>
      <c r="H344" s="15" t="n">
        <f aca="false">G344*(1+IF(H$3&lt;=$O$2,$D344,$D344-($D344-$I$319)*MIN(H$3-$O$2,$Q$2)/$Q$2))</f>
        <v>8405.89129454196</v>
      </c>
      <c r="I344" s="15" t="n">
        <f aca="false">H344*(1+IF(I$3&lt;=$O$2,$D344,$D344-($D344-$I$319)*MIN(I$3-$O$2,$Q$2)/$Q$2))</f>
        <v>8654.74571237715</v>
      </c>
      <c r="J344" s="15" t="n">
        <f aca="false">I344*(1+IF(J$3&lt;=$O$2,$D344,$D344-($D344-$I$319)*MIN(J$3-$O$2,$Q$2)/$Q$2))</f>
        <v>8891.39943676052</v>
      </c>
      <c r="K344" s="15" t="n">
        <f aca="false">J344*(1+IF(K$3&lt;=$O$2,$D344,$D344-($D344-$I$319)*MIN(K$3-$O$2,$Q$2)/$Q$2))</f>
        <v>9114.42114336927</v>
      </c>
      <c r="L344" s="15" t="n">
        <f aca="false">K344*(1+IF(L$3&lt;=$O$2,$D344,$D344-($D344-$I$319)*MIN(L$3-$O$2,$Q$2)/$Q$2))</f>
        <v>9322.42959789994</v>
      </c>
      <c r="M344" s="15" t="n">
        <f aca="false">L344*(1+IF(M$3&lt;=$O$2,$D344,$D344-($D344-$I$319)*MIN(M$3-$O$2,$Q$2)/$Q$2))</f>
        <v>9514.10763059248</v>
      </c>
      <c r="N344" s="15" t="n">
        <f aca="false">M344*(1+IF(N$3&lt;=$O$2,$D344,$D344-($D344-$I$319)*MIN(N$3-$O$2,$Q$2)/$Q$2))</f>
        <v>9688.21580023232</v>
      </c>
      <c r="O344" s="15" t="n">
        <f aca="false">SUMPRODUCT(E344:N344,1/(1+$F$319)^$E$3:$N$3)*$E$2</f>
        <v>9818.8971827735</v>
      </c>
      <c r="P344" s="15" t="n">
        <f aca="false">N344*$E$2*(1+$I$319)/($F$319-$I$319)/(1+$F$319)^$N$3</f>
        <v>12317.3111476194</v>
      </c>
      <c r="Q344" s="15" t="n">
        <f aca="false">O344+P344</f>
        <v>22136.2083303929</v>
      </c>
      <c r="R344" s="15" t="n">
        <f aca="false">Q344-$G$2+$I$2</f>
        <v>19020.0083303929</v>
      </c>
      <c r="S344" s="42" t="n">
        <f aca="false">R344/$K$2</f>
        <v>168.46774429046</v>
      </c>
      <c r="T344" s="43" t="n">
        <f aca="false">S344-$M$2</f>
        <v>7.37855881709493E-005</v>
      </c>
    </row>
    <row r="346" customFormat="false" ht="15" hidden="false" customHeight="false" outlineLevel="0" collapsed="false">
      <c r="A346" s="38" t="s">
        <v>196</v>
      </c>
      <c r="E346" s="5" t="s">
        <v>11</v>
      </c>
      <c r="F346" s="12" t="n">
        <f aca="false">Sensitivity!$B$12</f>
        <v>0.0811268672746673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165</v>
      </c>
      <c r="B347" s="28" t="s">
        <v>166</v>
      </c>
      <c r="C347" s="28" t="s">
        <v>167</v>
      </c>
      <c r="D347" s="28" t="s">
        <v>168</v>
      </c>
      <c r="E347" s="28" t="s">
        <v>169</v>
      </c>
      <c r="F347" s="28" t="s">
        <v>170</v>
      </c>
      <c r="G347" s="28" t="s">
        <v>171</v>
      </c>
      <c r="H347" s="28" t="s">
        <v>172</v>
      </c>
      <c r="I347" s="28" t="s">
        <v>173</v>
      </c>
      <c r="J347" s="28" t="s">
        <v>174</v>
      </c>
      <c r="K347" s="28" t="s">
        <v>175</v>
      </c>
      <c r="L347" s="28" t="s">
        <v>176</v>
      </c>
      <c r="M347" s="28" t="s">
        <v>177</v>
      </c>
      <c r="N347" s="28" t="s">
        <v>178</v>
      </c>
      <c r="O347" s="28" t="s">
        <v>179</v>
      </c>
      <c r="P347" s="28" t="s">
        <v>180</v>
      </c>
      <c r="Q347" s="28" t="s">
        <v>181</v>
      </c>
      <c r="R347" s="28" t="s">
        <v>182</v>
      </c>
      <c r="S347" s="28" t="s">
        <v>183</v>
      </c>
      <c r="T347" s="28" t="s">
        <v>184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9350</v>
      </c>
      <c r="F348" s="15" t="n">
        <f aca="false">E348*(1+IF(F$3&lt;=$O$2,$D348,$D348-($D348-$I$346)*MIN(F$3-$O$2,$Q$2)/$Q$2))</f>
        <v>11687.5</v>
      </c>
      <c r="G348" s="15" t="n">
        <f aca="false">F348*(1+IF(G$3&lt;=$O$2,$D348,$D348-($D348-$I$346)*MIN(G$3-$O$2,$Q$2)/$Q$2))</f>
        <v>14609.375</v>
      </c>
      <c r="H348" s="15" t="n">
        <f aca="false">G348*(1+IF(H$3&lt;=$O$2,$D348,$D348-($D348-$I$346)*MIN(H$3-$O$2,$Q$2)/$Q$2))</f>
        <v>18261.71875</v>
      </c>
      <c r="I348" s="15" t="n">
        <f aca="false">H348*(1+IF(I$3&lt;=$O$2,$D348,$D348-($D348-$I$346)*MIN(I$3-$O$2,$Q$2)/$Q$2))</f>
        <v>22827.1484375</v>
      </c>
      <c r="J348" s="15" t="n">
        <f aca="false">I348*(1+IF(J$3&lt;=$O$2,$D348,$D348-($D348-$I$346)*MIN(J$3-$O$2,$Q$2)/$Q$2))</f>
        <v>27498.9526367188</v>
      </c>
      <c r="K348" s="15" t="n">
        <f aca="false">J348*(1+IF(K$3&lt;=$O$2,$D348,$D348-($D348-$I$346)*MIN(K$3-$O$2,$Q$2)/$Q$2))</f>
        <v>31880.0857708008</v>
      </c>
      <c r="L348" s="15" t="n">
        <f aca="false">K348*(1+IF(L$3&lt;=$O$2,$D348,$D348-($D348-$I$346)*MIN(L$3-$O$2,$Q$2)/$Q$2))</f>
        <v>35513.7779469567</v>
      </c>
      <c r="M348" s="15" t="n">
        <f aca="false">L348*(1+IF(M$3&lt;=$O$2,$D348,$D348-($D348-$I$346)*MIN(M$3-$O$2,$Q$2)/$Q$2))</f>
        <v>37951.4436652358</v>
      </c>
      <c r="N348" s="15" t="n">
        <f aca="false">M348*(1+IF(N$3&lt;=$O$2,$D348,$D348-($D348-$I$346)*MIN(N$3-$O$2,$Q$2)/$Q$2))</f>
        <v>38835.7123026357</v>
      </c>
      <c r="O348" s="15" t="n">
        <f aca="false">SUMPRODUCT(E348:N348,1/(1+$F$346)^$E$3:$N$3)*$E$2</f>
        <v>25729.2660391701</v>
      </c>
      <c r="P348" s="15" t="n">
        <f aca="false">N348*$E$2*(1+$I$346)/($F$346-$I$346)/(1+$F$346)^$N$3</f>
        <v>53907.1477301854</v>
      </c>
      <c r="Q348" s="15" t="n">
        <f aca="false">O348+P348</f>
        <v>79636.4137693554</v>
      </c>
      <c r="R348" s="15" t="n">
        <f aca="false">Q348-$G$2+$I$2</f>
        <v>76520.2137693554</v>
      </c>
      <c r="S348" s="42" t="n">
        <f aca="false">R348/$K$2</f>
        <v>677.769829666567</v>
      </c>
      <c r="T348" s="43" t="n">
        <f aca="false">S348-$M$2</f>
        <v>509.302159161695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6545</v>
      </c>
      <c r="F349" s="15" t="n">
        <f aca="false">E349*(1+IF(F$3&lt;=$O$2,$D349,$D349-($D349-$I$346)*MIN(F$3-$O$2,$Q$2)/$Q$2))</f>
        <v>5726.875</v>
      </c>
      <c r="G349" s="15" t="n">
        <f aca="false">F349*(1+IF(G$3&lt;=$O$2,$D349,$D349-($D349-$I$346)*MIN(G$3-$O$2,$Q$2)/$Q$2))</f>
        <v>5011.015625</v>
      </c>
      <c r="H349" s="15" t="n">
        <f aca="false">G349*(1+IF(H$3&lt;=$O$2,$D349,$D349-($D349-$I$346)*MIN(H$3-$O$2,$Q$2)/$Q$2))</f>
        <v>4384.638671875</v>
      </c>
      <c r="I349" s="15" t="n">
        <f aca="false">H349*(1+IF(I$3&lt;=$O$2,$D349,$D349-($D349-$I$346)*MIN(I$3-$O$2,$Q$2)/$Q$2))</f>
        <v>3836.55883789063</v>
      </c>
      <c r="J349" s="15" t="n">
        <f aca="false">I349*(1+IF(J$3&lt;=$O$2,$D349,$D349-($D349-$I$346)*MIN(J$3-$O$2,$Q$2)/$Q$2))</f>
        <v>3470.78131828613</v>
      </c>
      <c r="K349" s="15" t="n">
        <f aca="false">J349*(1+IF(K$3&lt;=$O$2,$D349,$D349-($D349-$I$346)*MIN(K$3-$O$2,$Q$2)/$Q$2))</f>
        <v>3242.8204013011</v>
      </c>
      <c r="L349" s="15" t="n">
        <f aca="false">K349*(1+IF(L$3&lt;=$O$2,$D349,$D349-($D349-$I$346)*MIN(L$3-$O$2,$Q$2)/$Q$2))</f>
        <v>3126.01401044623</v>
      </c>
      <c r="M349" s="15" t="n">
        <f aca="false">L349*(1+IF(M$3&lt;=$O$2,$D349,$D349-($D349-$I$346)*MIN(M$3-$O$2,$Q$2)/$Q$2))</f>
        <v>3106.1325613398</v>
      </c>
      <c r="N349" s="15" t="n">
        <f aca="false">M349*(1+IF(N$3&lt;=$O$2,$D349,$D349-($D349-$I$346)*MIN(N$3-$O$2,$Q$2)/$Q$2))</f>
        <v>3178.50545001901</v>
      </c>
      <c r="O349" s="15" t="n">
        <f aca="false">SUMPRODUCT(E349:N349,1/(1+$F$346)^$E$3:$N$3)*$E$2</f>
        <v>5039.40689162446</v>
      </c>
      <c r="P349" s="15" t="n">
        <f aca="false">N349*$E$2*(1+$I$346)/($F$346-$I$346)/(1+$F$346)^$N$3</f>
        <v>4412.02575403117</v>
      </c>
      <c r="Q349" s="15" t="n">
        <f aca="false">O349+P349</f>
        <v>9451.43264565563</v>
      </c>
      <c r="R349" s="15" t="n">
        <f aca="false">Q349-$G$2+$I$2</f>
        <v>6335.23264565563</v>
      </c>
      <c r="S349" s="42" t="n">
        <f aca="false">R349/$K$2</f>
        <v>56.1136638233449</v>
      </c>
      <c r="T349" s="43" t="n">
        <f aca="false">S349-$M$2</f>
        <v>-112.354006681527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7947.5</v>
      </c>
      <c r="F350" s="15" t="n">
        <f aca="false">E350*(1+IF(F$3&lt;=$O$2,$D350,$D350-($D350-$I$346)*MIN(F$3-$O$2,$Q$2)/$Q$2))</f>
        <v>8444.21875</v>
      </c>
      <c r="G350" s="15" t="n">
        <f aca="false">F350*(1+IF(G$3&lt;=$O$2,$D350,$D350-($D350-$I$346)*MIN(G$3-$O$2,$Q$2)/$Q$2))</f>
        <v>8971.982421875</v>
      </c>
      <c r="H350" s="15" t="n">
        <f aca="false">G350*(1+IF(H$3&lt;=$O$2,$D350,$D350-($D350-$I$346)*MIN(H$3-$O$2,$Q$2)/$Q$2))</f>
        <v>9532.73132324219</v>
      </c>
      <c r="I350" s="15" t="n">
        <f aca="false">H350*(1+IF(I$3&lt;=$O$2,$D350,$D350-($D350-$I$346)*MIN(I$3-$O$2,$Q$2)/$Q$2))</f>
        <v>10128.5270309448</v>
      </c>
      <c r="J350" s="15" t="n">
        <f aca="false">I350*(1+IF(J$3&lt;=$O$2,$D350,$D350-($D350-$I$346)*MIN(J$3-$O$2,$Q$2)/$Q$2))</f>
        <v>10682.1523184563</v>
      </c>
      <c r="K350" s="15" t="n">
        <f aca="false">J350*(1+IF(K$3&lt;=$O$2,$D350,$D350-($D350-$I$346)*MIN(K$3-$O$2,$Q$2)/$Q$2))</f>
        <v>11182.2906900064</v>
      </c>
      <c r="L350" s="15" t="n">
        <f aca="false">K350*(1+IF(L$3&lt;=$O$2,$D350,$D350-($D350-$I$346)*MIN(L$3-$O$2,$Q$2)/$Q$2))</f>
        <v>11618.1763811028</v>
      </c>
      <c r="M350" s="15" t="n">
        <f aca="false">L350*(1+IF(M$3&lt;=$O$2,$D350,$D350-($D350-$I$346)*MIN(M$3-$O$2,$Q$2)/$Q$2))</f>
        <v>11979.9663936104</v>
      </c>
      <c r="N350" s="15" t="n">
        <f aca="false">M350*(1+IF(N$3&lt;=$O$2,$D350,$D350-($D350-$I$346)*MIN(N$3-$O$2,$Q$2)/$Q$2))</f>
        <v>12259.0996105815</v>
      </c>
      <c r="O350" s="15" t="n">
        <f aca="false">SUMPRODUCT(E350:N350,1/(1+$F$346)^$E$3:$N$3)*$E$2</f>
        <v>11372.6303385776</v>
      </c>
      <c r="P350" s="15" t="n">
        <f aca="false">N350*$E$2*(1+$I$346)/($F$346-$I$346)/(1+$F$346)^$N$3</f>
        <v>17016.6337776126</v>
      </c>
      <c r="Q350" s="15" t="n">
        <f aca="false">O350+P350</f>
        <v>28389.2641161902</v>
      </c>
      <c r="R350" s="15" t="n">
        <f aca="false">Q350-$G$2+$I$2</f>
        <v>25273.0641161902</v>
      </c>
      <c r="S350" s="42" t="n">
        <f aca="false">R350/$K$2</f>
        <v>223.853535130117</v>
      </c>
      <c r="T350" s="43" t="n">
        <f aca="false">S350-$M$2</f>
        <v>55.3858646252452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41" t="n">
        <f aca="false">(B351+C351)/2</f>
        <v>-0.03125</v>
      </c>
      <c r="E351" s="15" t="n">
        <f aca="false">$C$2*(1+IF(E$3&lt;=$O$2,$D351,$D351-($D351-$I$346)*MIN(E$3-$O$2,$Q$2)/$Q$2))</f>
        <v>7246.25</v>
      </c>
      <c r="F351" s="15" t="n">
        <f aca="false">E351*(1+IF(F$3&lt;=$O$2,$D351,$D351-($D351-$I$346)*MIN(F$3-$O$2,$Q$2)/$Q$2))</f>
        <v>7019.8046875</v>
      </c>
      <c r="G351" s="15" t="n">
        <f aca="false">F351*(1+IF(G$3&lt;=$O$2,$D351,$D351-($D351-$I$346)*MIN(G$3-$O$2,$Q$2)/$Q$2))</f>
        <v>6800.43579101563</v>
      </c>
      <c r="H351" s="15" t="n">
        <f aca="false">G351*(1+IF(H$3&lt;=$O$2,$D351,$D351-($D351-$I$346)*MIN(H$3-$O$2,$Q$2)/$Q$2))</f>
        <v>6587.92217254639</v>
      </c>
      <c r="I351" s="15" t="n">
        <f aca="false">H351*(1+IF(I$3&lt;=$O$2,$D351,$D351-($D351-$I$346)*MIN(I$3-$O$2,$Q$2)/$Q$2))</f>
        <v>6382.04960465431</v>
      </c>
      <c r="J351" s="15" t="n">
        <f aca="false">I351*(1+IF(J$3&lt;=$O$2,$D351,$D351-($D351-$I$346)*MIN(J$3-$O$2,$Q$2)/$Q$2))</f>
        <v>6252.23871569564</v>
      </c>
      <c r="K351" s="15" t="n">
        <f aca="false">J351*(1+IF(K$3&lt;=$O$2,$D351,$D351-($D351-$I$346)*MIN(K$3-$O$2,$Q$2)/$Q$2))</f>
        <v>6193.28010460663</v>
      </c>
      <c r="L351" s="15" t="n">
        <f aca="false">K351*(1+IF(L$3&lt;=$O$2,$D351,$D351-($D351-$I$346)*MIN(L$3-$O$2,$Q$2)/$Q$2))</f>
        <v>6202.44615916145</v>
      </c>
      <c r="M351" s="15" t="n">
        <f aca="false">L351*(1+IF(M$3&lt;=$O$2,$D351,$D351-($D351-$I$346)*MIN(M$3-$O$2,$Q$2)/$Q$2))</f>
        <v>6279.29446707346</v>
      </c>
      <c r="N351" s="15" t="n">
        <f aca="false">M351*(1+IF(N$3&lt;=$O$2,$D351,$D351-($D351-$I$346)*MIN(N$3-$O$2,$Q$2)/$Q$2))</f>
        <v>6425.60202815627</v>
      </c>
      <c r="O351" s="15" t="n">
        <f aca="false">SUMPRODUCT(E351:N351,1/(1+$F$346)^$E$3:$N$3)*$E$2</f>
        <v>7549.29712163342</v>
      </c>
      <c r="P351" s="15" t="n">
        <f aca="false">N351*$E$2*(1+$I$346)/($F$346-$I$346)/(1+$F$346)^$N$3</f>
        <v>8919.26160869437</v>
      </c>
      <c r="Q351" s="15" t="n">
        <f aca="false">O351+P351</f>
        <v>16468.5587303278</v>
      </c>
      <c r="R351" s="15" t="n">
        <f aca="false">Q351-$G$2+$I$2</f>
        <v>13352.3587303278</v>
      </c>
      <c r="S351" s="42" t="n">
        <f aca="false">R351/$K$2</f>
        <v>118.267127815127</v>
      </c>
      <c r="T351" s="43" t="n">
        <f aca="false">S351-$M$2</f>
        <v>-50.200542689745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-0.03125</v>
      </c>
      <c r="C352" s="25" t="n">
        <f aca="false">IF(T351&gt;0,D351,C351)</f>
        <v>0.0625</v>
      </c>
      <c r="D352" s="41" t="n">
        <f aca="false">(B352+C352)/2</f>
        <v>0.015625</v>
      </c>
      <c r="E352" s="15" t="n">
        <f aca="false">$C$2*(1+IF(E$3&lt;=$O$2,$D352,$D352-($D352-$I$346)*MIN(E$3-$O$2,$Q$2)/$Q$2))</f>
        <v>7596.875</v>
      </c>
      <c r="F352" s="15" t="n">
        <f aca="false">E352*(1+IF(F$3&lt;=$O$2,$D352,$D352-($D352-$I$346)*MIN(F$3-$O$2,$Q$2)/$Q$2))</f>
        <v>7715.576171875</v>
      </c>
      <c r="G352" s="15" t="n">
        <f aca="false">F352*(1+IF(G$3&lt;=$O$2,$D352,$D352-($D352-$I$346)*MIN(G$3-$O$2,$Q$2)/$Q$2))</f>
        <v>7836.13204956055</v>
      </c>
      <c r="H352" s="15" t="n">
        <f aca="false">G352*(1+IF(H$3&lt;=$O$2,$D352,$D352-($D352-$I$346)*MIN(H$3-$O$2,$Q$2)/$Q$2))</f>
        <v>7958.57161283493</v>
      </c>
      <c r="I352" s="15" t="n">
        <f aca="false">H352*(1+IF(I$3&lt;=$O$2,$D352,$D352-($D352-$I$346)*MIN(I$3-$O$2,$Q$2)/$Q$2))</f>
        <v>8082.92429428548</v>
      </c>
      <c r="J352" s="15" t="n">
        <f aca="false">I352*(1+IF(J$3&lt;=$O$2,$D352,$D352-($D352-$I$346)*MIN(J$3-$O$2,$Q$2)/$Q$2))</f>
        <v>8221.62727517542</v>
      </c>
      <c r="K352" s="15" t="n">
        <f aca="false">J352*(1+IF(K$3&lt;=$O$2,$D352,$D352-($D352-$I$346)*MIN(K$3-$O$2,$Q$2)/$Q$2))</f>
        <v>8375.33059708482</v>
      </c>
      <c r="L352" s="15" t="n">
        <f aca="false">K352*(1+IF(L$3&lt;=$O$2,$D352,$D352-($D352-$I$346)*MIN(L$3-$O$2,$Q$2)/$Q$2))</f>
        <v>8544.76353506384</v>
      </c>
      <c r="M352" s="15" t="n">
        <f aca="false">L352*(1+IF(M$3&lt;=$O$2,$D352,$D352-($D352-$I$346)*MIN(M$3-$O$2,$Q$2)/$Q$2))</f>
        <v>8730.74031340451</v>
      </c>
      <c r="N352" s="15" t="n">
        <f aca="false">M352*(1+IF(N$3&lt;=$O$2,$D352,$D352-($D352-$I$346)*MIN(N$3-$O$2,$Q$2)/$Q$2))</f>
        <v>8934.16656270683</v>
      </c>
      <c r="O352" s="15" t="n">
        <f aca="false">SUMPRODUCT(E352:N352,1/(1+$F$346)^$E$3:$N$3)*$E$2</f>
        <v>9262.41265137333</v>
      </c>
      <c r="P352" s="15" t="n">
        <f aca="false">N352*$E$2*(1+$I$346)/($F$346-$I$346)/(1+$F$346)^$N$3</f>
        <v>12401.3545313351</v>
      </c>
      <c r="Q352" s="15" t="n">
        <f aca="false">O352+P352</f>
        <v>21663.7671827085</v>
      </c>
      <c r="R352" s="15" t="n">
        <f aca="false">Q352-$G$2+$I$2</f>
        <v>18547.5671827085</v>
      </c>
      <c r="S352" s="42" t="n">
        <f aca="false">R352/$K$2</f>
        <v>164.283145993875</v>
      </c>
      <c r="T352" s="43" t="n">
        <f aca="false">S352-$M$2</f>
        <v>-4.18452451099682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0.015625</v>
      </c>
      <c r="C353" s="25" t="n">
        <f aca="false">IF(T352&gt;0,D352,C352)</f>
        <v>0.0625</v>
      </c>
      <c r="D353" s="41" t="n">
        <f aca="false">(B353+C353)/2</f>
        <v>0.0390625</v>
      </c>
      <c r="E353" s="15" t="n">
        <f aca="false">$C$2*(1+IF(E$3&lt;=$O$2,$D353,$D353-($D353-$I$346)*MIN(E$3-$O$2,$Q$2)/$Q$2))</f>
        <v>7772.1875</v>
      </c>
      <c r="F353" s="15" t="n">
        <f aca="false">E353*(1+IF(F$3&lt;=$O$2,$D353,$D353-($D353-$I$346)*MIN(F$3-$O$2,$Q$2)/$Q$2))</f>
        <v>8075.78857421875</v>
      </c>
      <c r="G353" s="15" t="n">
        <f aca="false">F353*(1+IF(G$3&lt;=$O$2,$D353,$D353-($D353-$I$346)*MIN(G$3-$O$2,$Q$2)/$Q$2))</f>
        <v>8391.24906539917</v>
      </c>
      <c r="H353" s="15" t="n">
        <f aca="false">G353*(1+IF(H$3&lt;=$O$2,$D353,$D353-($D353-$I$346)*MIN(H$3-$O$2,$Q$2)/$Q$2))</f>
        <v>8719.03223201633</v>
      </c>
      <c r="I353" s="15" t="n">
        <f aca="false">H353*(1+IF(I$3&lt;=$O$2,$D353,$D353-($D353-$I$346)*MIN(I$3-$O$2,$Q$2)/$Q$2))</f>
        <v>9059.61942857946</v>
      </c>
      <c r="J353" s="15" t="n">
        <f aca="false">I353*(1+IF(J$3&lt;=$O$2,$D353,$D353-($D353-$I$346)*MIN(J$3-$O$2,$Q$2)/$Q$2))</f>
        <v>9384.95036225975</v>
      </c>
      <c r="K353" s="15" t="n">
        <f aca="false">J353*(1+IF(K$3&lt;=$O$2,$D353,$D353-($D353-$I$346)*MIN(K$3-$O$2,$Q$2)/$Q$2))</f>
        <v>9692.37787375147</v>
      </c>
      <c r="L353" s="15" t="n">
        <f aca="false">K353*(1+IF(L$3&lt;=$O$2,$D353,$D353-($D353-$I$346)*MIN(L$3-$O$2,$Q$2)/$Q$2))</f>
        <v>9979.32072070389</v>
      </c>
      <c r="M353" s="15" t="n">
        <f aca="false">L353*(1+IF(M$3&lt;=$O$2,$D353,$D353-($D353-$I$346)*MIN(M$3-$O$2,$Q$2)/$Q$2))</f>
        <v>10243.2987020683</v>
      </c>
      <c r="N353" s="15" t="n">
        <f aca="false">M353*(1+IF(N$3&lt;=$O$2,$D353,$D353-($D353-$I$346)*MIN(N$3-$O$2,$Q$2)/$Q$2))</f>
        <v>10481.9675618265</v>
      </c>
      <c r="O353" s="15" t="n">
        <f aca="false">SUMPRODUCT(E353:N353,1/(1+$F$346)^$E$3:$N$3)*$E$2</f>
        <v>10262.9058876259</v>
      </c>
      <c r="P353" s="15" t="n">
        <f aca="false">N353*$E$2*(1+$I$346)/($F$346-$I$346)/(1+$F$346)^$N$3</f>
        <v>14549.8290196171</v>
      </c>
      <c r="Q353" s="15" t="n">
        <f aca="false">O353+P353</f>
        <v>24812.7349072431</v>
      </c>
      <c r="R353" s="15" t="n">
        <f aca="false">Q353-$G$2+$I$2</f>
        <v>21696.5349072431</v>
      </c>
      <c r="S353" s="42" t="n">
        <f aca="false">R353/$K$2</f>
        <v>192.174799887007</v>
      </c>
      <c r="T353" s="43" t="n">
        <f aca="false">S353-$M$2</f>
        <v>23.7071293821354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0.015625</v>
      </c>
      <c r="C354" s="25" t="n">
        <f aca="false">IF(T353&gt;0,D353,C353)</f>
        <v>0.0390625</v>
      </c>
      <c r="D354" s="41" t="n">
        <f aca="false">(B354+C354)/2</f>
        <v>0.02734375</v>
      </c>
      <c r="E354" s="15" t="n">
        <f aca="false">$C$2*(1+IF(E$3&lt;=$O$2,$D354,$D354-($D354-$I$346)*MIN(E$3-$O$2,$Q$2)/$Q$2))</f>
        <v>7684.53125</v>
      </c>
      <c r="F354" s="15" t="n">
        <f aca="false">E354*(1+IF(F$3&lt;=$O$2,$D354,$D354-($D354-$I$346)*MIN(F$3-$O$2,$Q$2)/$Q$2))</f>
        <v>7894.65515136719</v>
      </c>
      <c r="G354" s="15" t="n">
        <f aca="false">F354*(1+IF(G$3&lt;=$O$2,$D354,$D354-($D354-$I$346)*MIN(G$3-$O$2,$Q$2)/$Q$2))</f>
        <v>8110.52462816238</v>
      </c>
      <c r="H354" s="15" t="n">
        <f aca="false">G354*(1+IF(H$3&lt;=$O$2,$D354,$D354-($D354-$I$346)*MIN(H$3-$O$2,$Q$2)/$Q$2))</f>
        <v>8332.2967859637</v>
      </c>
      <c r="I354" s="15" t="n">
        <f aca="false">H354*(1+IF(I$3&lt;=$O$2,$D354,$D354-($D354-$I$346)*MIN(I$3-$O$2,$Q$2)/$Q$2))</f>
        <v>8560.13302620489</v>
      </c>
      <c r="J354" s="15" t="n">
        <f aca="false">I354*(1+IF(J$3&lt;=$O$2,$D354,$D354-($D354-$I$346)*MIN(J$3-$O$2,$Q$2)/$Q$2))</f>
        <v>8787.27615605524</v>
      </c>
      <c r="K354" s="15" t="n">
        <f aca="false">J354*(1+IF(K$3&lt;=$O$2,$D354,$D354-($D354-$I$346)*MIN(K$3-$O$2,$Q$2)/$Q$2))</f>
        <v>9013.33981926496</v>
      </c>
      <c r="L354" s="15" t="n">
        <f aca="false">K354*(1+IF(L$3&lt;=$O$2,$D354,$D354-($D354-$I$346)*MIN(L$3-$O$2,$Q$2)/$Q$2))</f>
        <v>9237.92971421149</v>
      </c>
      <c r="M354" s="15" t="n">
        <f aca="false">L354*(1+IF(M$3&lt;=$O$2,$D354,$D354-($D354-$I$346)*MIN(M$3-$O$2,$Q$2)/$Q$2))</f>
        <v>9460.64465220899</v>
      </c>
      <c r="N354" s="15" t="n">
        <f aca="false">M354*(1+IF(N$3&lt;=$O$2,$D354,$D354-($D354-$I$346)*MIN(N$3-$O$2,$Q$2)/$Q$2))</f>
        <v>9681.07767260546</v>
      </c>
      <c r="O354" s="15" t="n">
        <f aca="false">SUMPRODUCT(E354:N354,1/(1+$F$346)^$E$3:$N$3)*$E$2</f>
        <v>9749.66090054201</v>
      </c>
      <c r="P354" s="15" t="n">
        <f aca="false">N354*$E$2*(1+$I$346)/($F$346-$I$346)/(1+$F$346)^$N$3</f>
        <v>13438.1282933009</v>
      </c>
      <c r="Q354" s="15" t="n">
        <f aca="false">O354+P354</f>
        <v>23187.7891938429</v>
      </c>
      <c r="R354" s="15" t="n">
        <f aca="false">Q354-$G$2+$I$2</f>
        <v>20071.5891938429</v>
      </c>
      <c r="S354" s="42" t="n">
        <f aca="false">R354/$K$2</f>
        <v>177.782012345818</v>
      </c>
      <c r="T354" s="43" t="n">
        <f aca="false">S354-$M$2</f>
        <v>9.31434184094653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0.015625</v>
      </c>
      <c r="C355" s="25" t="n">
        <f aca="false">IF(T354&gt;0,D354,C354)</f>
        <v>0.02734375</v>
      </c>
      <c r="D355" s="41" t="n">
        <f aca="false">(B355+C355)/2</f>
        <v>0.021484375</v>
      </c>
      <c r="E355" s="15" t="n">
        <f aca="false">$C$2*(1+IF(E$3&lt;=$O$2,$D355,$D355-($D355-$I$346)*MIN(E$3-$O$2,$Q$2)/$Q$2))</f>
        <v>7640.703125</v>
      </c>
      <c r="F355" s="15" t="n">
        <f aca="false">E355*(1+IF(F$3&lt;=$O$2,$D355,$D355-($D355-$I$346)*MIN(F$3-$O$2,$Q$2)/$Q$2))</f>
        <v>7804.85885620117</v>
      </c>
      <c r="G355" s="15" t="n">
        <f aca="false">F355*(1+IF(G$3&lt;=$O$2,$D355,$D355-($D355-$I$346)*MIN(G$3-$O$2,$Q$2)/$Q$2))</f>
        <v>7972.54137068987</v>
      </c>
      <c r="H355" s="15" t="n">
        <f aca="false">G355*(1+IF(H$3&lt;=$O$2,$D355,$D355-($D355-$I$346)*MIN(H$3-$O$2,$Q$2)/$Q$2))</f>
        <v>8143.82643920078</v>
      </c>
      <c r="I355" s="15" t="n">
        <f aca="false">H355*(1+IF(I$3&lt;=$O$2,$D355,$D355-($D355-$I$346)*MIN(I$3-$O$2,$Q$2)/$Q$2))</f>
        <v>8318.79146035549</v>
      </c>
      <c r="J355" s="15" t="n">
        <f aca="false">I355*(1+IF(J$3&lt;=$O$2,$D355,$D355-($D355-$I$346)*MIN(J$3-$O$2,$Q$2)/$Q$2))</f>
        <v>8500.53625678561</v>
      </c>
      <c r="K355" s="15" t="n">
        <f aca="false">J355*(1+IF(K$3&lt;=$O$2,$D355,$D355-($D355-$I$346)*MIN(K$3-$O$2,$Q$2)/$Q$2))</f>
        <v>8689.33847988398</v>
      </c>
      <c r="L355" s="15" t="n">
        <f aca="false">K355*(1+IF(L$3&lt;=$O$2,$D355,$D355-($D355-$I$346)*MIN(L$3-$O$2,$Q$2)/$Q$2))</f>
        <v>8885.48943439426</v>
      </c>
      <c r="M355" s="15" t="n">
        <f aca="false">L355*(1+IF(M$3&lt;=$O$2,$D355,$D355-($D355-$I$346)*MIN(M$3-$O$2,$Q$2)/$Q$2))</f>
        <v>9089.29479486478</v>
      </c>
      <c r="N355" s="15" t="n">
        <f aca="false">M355*(1+IF(N$3&lt;=$O$2,$D355,$D355-($D355-$I$346)*MIN(N$3-$O$2,$Q$2)/$Q$2))</f>
        <v>9301.07536358513</v>
      </c>
      <c r="O355" s="15" t="n">
        <f aca="false">SUMPRODUCT(E355:N355,1/(1+$F$346)^$E$3:$N$3)*$E$2</f>
        <v>9502.86611900377</v>
      </c>
      <c r="P355" s="15" t="n">
        <f aca="false">N355*$E$2*(1+$I$346)/($F$346-$I$346)/(1+$F$346)^$N$3</f>
        <v>12910.6539817564</v>
      </c>
      <c r="Q355" s="15" t="n">
        <f aca="false">O355+P355</f>
        <v>22413.5201007602</v>
      </c>
      <c r="R355" s="15" t="n">
        <f aca="false">Q355-$G$2+$I$2</f>
        <v>19297.3201007602</v>
      </c>
      <c r="S355" s="42" t="n">
        <f aca="false">R355/$K$2</f>
        <v>170.924004435431</v>
      </c>
      <c r="T355" s="43" t="n">
        <f aca="false">S355-$M$2</f>
        <v>2.45633393055962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0.015625</v>
      </c>
      <c r="C356" s="25" t="n">
        <f aca="false">IF(T355&gt;0,D355,C355)</f>
        <v>0.021484375</v>
      </c>
      <c r="D356" s="41" t="n">
        <f aca="false">(B356+C356)/2</f>
        <v>0.0185546875</v>
      </c>
      <c r="E356" s="15" t="n">
        <f aca="false">$C$2*(1+IF(E$3&lt;=$O$2,$D356,$D356-($D356-$I$346)*MIN(E$3-$O$2,$Q$2)/$Q$2))</f>
        <v>7618.7890625</v>
      </c>
      <c r="F356" s="15" t="n">
        <f aca="false">E356*(1+IF(F$3&lt;=$O$2,$D356,$D356-($D356-$I$346)*MIN(F$3-$O$2,$Q$2)/$Q$2))</f>
        <v>7760.15331268311</v>
      </c>
      <c r="G356" s="15" t="n">
        <f aca="false">F356*(1+IF(G$3&lt;=$O$2,$D356,$D356-($D356-$I$346)*MIN(G$3-$O$2,$Q$2)/$Q$2))</f>
        <v>7904.14053235203</v>
      </c>
      <c r="H356" s="15" t="n">
        <f aca="false">G356*(1+IF(H$3&lt;=$O$2,$D356,$D356-($D356-$I$346)*MIN(H$3-$O$2,$Q$2)/$Q$2))</f>
        <v>8050.79938988591</v>
      </c>
      <c r="I356" s="15" t="n">
        <f aca="false">H356*(1+IF(I$3&lt;=$O$2,$D356,$D356-($D356-$I$346)*MIN(I$3-$O$2,$Q$2)/$Q$2))</f>
        <v>8200.17945669043</v>
      </c>
      <c r="J356" s="15" t="n">
        <f aca="false">I356*(1+IF(J$3&lt;=$O$2,$D356,$D356-($D356-$I$346)*MIN(J$3-$O$2,$Q$2)/$Q$2))</f>
        <v>8360.11370676886</v>
      </c>
      <c r="K356" s="15" t="n">
        <f aca="false">J356*(1+IF(K$3&lt;=$O$2,$D356,$D356-($D356-$I$346)*MIN(K$3-$O$2,$Q$2)/$Q$2))</f>
        <v>8531.10154489208</v>
      </c>
      <c r="L356" s="15" t="n">
        <f aca="false">K356*(1+IF(L$3&lt;=$O$2,$D356,$D356-($D356-$I$346)*MIN(L$3-$O$2,$Q$2)/$Q$2))</f>
        <v>8713.68311376817</v>
      </c>
      <c r="M356" s="15" t="n">
        <f aca="false">L356*(1+IF(M$3&lt;=$O$2,$D356,$D356-($D356-$I$346)*MIN(M$3-$O$2,$Q$2)/$Q$2))</f>
        <v>8908.4421004388</v>
      </c>
      <c r="N356" s="15" t="n">
        <f aca="false">M356*(1+IF(N$3&lt;=$O$2,$D356,$D356-($D356-$I$346)*MIN(N$3-$O$2,$Q$2)/$Q$2))</f>
        <v>9116.00880137903</v>
      </c>
      <c r="O356" s="15" t="n">
        <f aca="false">SUMPRODUCT(E356:N356,1/(1+$F$346)^$E$3:$N$3)*$E$2</f>
        <v>9381.85640486598</v>
      </c>
      <c r="P356" s="15" t="n">
        <f aca="false">N356*$E$2*(1+$I$346)/($F$346-$I$346)/(1+$F$346)^$N$3</f>
        <v>12653.7664440432</v>
      </c>
      <c r="Q356" s="15" t="n">
        <f aca="false">O356+P356</f>
        <v>22035.6228489092</v>
      </c>
      <c r="R356" s="15" t="n">
        <f aca="false">Q356-$G$2+$I$2</f>
        <v>18919.4228489092</v>
      </c>
      <c r="S356" s="42" t="n">
        <f aca="false">R356/$K$2</f>
        <v>167.576818856592</v>
      </c>
      <c r="T356" s="43" t="n">
        <f aca="false">S356-$M$2</f>
        <v>-0.890851648279778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0.0185546875</v>
      </c>
      <c r="C357" s="25" t="n">
        <f aca="false">IF(T356&gt;0,D356,C356)</f>
        <v>0.021484375</v>
      </c>
      <c r="D357" s="41" t="n">
        <f aca="false">(B357+C357)/2</f>
        <v>0.02001953125</v>
      </c>
      <c r="E357" s="15" t="n">
        <f aca="false">$C$2*(1+IF(E$3&lt;=$O$2,$D357,$D357-($D357-$I$346)*MIN(E$3-$O$2,$Q$2)/$Q$2))</f>
        <v>7629.74609375</v>
      </c>
      <c r="F357" s="15" t="n">
        <f aca="false">E357*(1+IF(F$3&lt;=$O$2,$D357,$D357-($D357-$I$346)*MIN(F$3-$O$2,$Q$2)/$Q$2))</f>
        <v>7782.49003410339</v>
      </c>
      <c r="G357" s="15" t="n">
        <f aca="false">F357*(1+IF(G$3&lt;=$O$2,$D357,$D357-($D357-$I$346)*MIN(G$3-$O$2,$Q$2)/$Q$2))</f>
        <v>7938.29183654394</v>
      </c>
      <c r="H357" s="15" t="n">
        <f aca="false">G357*(1+IF(H$3&lt;=$O$2,$D357,$D357-($D357-$I$346)*MIN(H$3-$O$2,$Q$2)/$Q$2))</f>
        <v>8097.21271803725</v>
      </c>
      <c r="I357" s="15" t="n">
        <f aca="false">H357*(1+IF(I$3&lt;=$O$2,$D357,$D357-($D357-$I$346)*MIN(I$3-$O$2,$Q$2)/$Q$2))</f>
        <v>8259.3151210839</v>
      </c>
      <c r="J357" s="15" t="n">
        <f aca="false">I357*(1+IF(J$3&lt;=$O$2,$D357,$D357-($D357-$I$346)*MIN(J$3-$O$2,$Q$2)/$Q$2))</f>
        <v>8430.08162328426</v>
      </c>
      <c r="K357" s="15" t="n">
        <f aca="false">J357*(1+IF(K$3&lt;=$O$2,$D357,$D357-($D357-$I$346)*MIN(K$3-$O$2,$Q$2)/$Q$2))</f>
        <v>8609.9097535117</v>
      </c>
      <c r="L357" s="15" t="n">
        <f aca="false">K357*(1+IF(L$3&lt;=$O$2,$D357,$D357-($D357-$I$346)*MIN(L$3-$O$2,$Q$2)/$Q$2))</f>
        <v>8799.22283481383</v>
      </c>
      <c r="M357" s="15" t="n">
        <f aca="false">L357*(1+IF(M$3&lt;=$O$2,$D357,$D357-($D357-$I$346)*MIN(M$3-$O$2,$Q$2)/$Q$2))</f>
        <v>8998.47161175822</v>
      </c>
      <c r="N357" s="15" t="n">
        <f aca="false">M357*(1+IF(N$3&lt;=$O$2,$D357,$D357-($D357-$I$346)*MIN(N$3-$O$2,$Q$2)/$Q$2))</f>
        <v>9208.13600031218</v>
      </c>
      <c r="O357" s="15" t="n">
        <f aca="false">SUMPRODUCT(E357:N357,1/(1+$F$346)^$E$3:$N$3)*$E$2</f>
        <v>9442.16431444091</v>
      </c>
      <c r="P357" s="15" t="n">
        <f aca="false">N357*$E$2*(1+$I$346)/($F$346-$I$346)/(1+$F$346)^$N$3</f>
        <v>12781.6465376065</v>
      </c>
      <c r="Q357" s="15" t="n">
        <f aca="false">O357+P357</f>
        <v>22223.8108520474</v>
      </c>
      <c r="R357" s="15" t="n">
        <f aca="false">Q357-$G$2+$I$2</f>
        <v>19107.6108520474</v>
      </c>
      <c r="S357" s="42" t="n">
        <f aca="false">R357/$K$2</f>
        <v>169.243674508835</v>
      </c>
      <c r="T357" s="43" t="n">
        <f aca="false">S357-$M$2</f>
        <v>0.77600400396301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0.0185546875</v>
      </c>
      <c r="C358" s="25" t="n">
        <f aca="false">IF(T357&gt;0,D357,C357)</f>
        <v>0.02001953125</v>
      </c>
      <c r="D358" s="41" t="n">
        <f aca="false">(B358+C358)/2</f>
        <v>0.019287109375</v>
      </c>
      <c r="E358" s="15" t="n">
        <f aca="false">$C$2*(1+IF(E$3&lt;=$O$2,$D358,$D358-($D358-$I$346)*MIN(E$3-$O$2,$Q$2)/$Q$2))</f>
        <v>7624.267578125</v>
      </c>
      <c r="F358" s="15" t="n">
        <f aca="false">E358*(1+IF(F$3&lt;=$O$2,$D358,$D358-($D358-$I$346)*MIN(F$3-$O$2,$Q$2)/$Q$2))</f>
        <v>7771.31766080856</v>
      </c>
      <c r="G358" s="15" t="n">
        <f aca="false">F358*(1+IF(G$3&lt;=$O$2,$D358,$D358-($D358-$I$346)*MIN(G$3-$O$2,$Q$2)/$Q$2))</f>
        <v>7921.20391452045</v>
      </c>
      <c r="H358" s="15" t="n">
        <f aca="false">G358*(1+IF(H$3&lt;=$O$2,$D358,$D358-($D358-$I$346)*MIN(H$3-$O$2,$Q$2)/$Q$2))</f>
        <v>8073.98104080148</v>
      </c>
      <c r="I358" s="15" t="n">
        <f aca="false">H358*(1+IF(I$3&lt;=$O$2,$D358,$D358-($D358-$I$346)*MIN(I$3-$O$2,$Q$2)/$Q$2))</f>
        <v>8229.7047962271</v>
      </c>
      <c r="J358" s="15" t="n">
        <f aca="false">I358*(1+IF(J$3&lt;=$O$2,$D358,$D358-($D358-$I$346)*MIN(J$3-$O$2,$Q$2)/$Q$2))</f>
        <v>8395.03699380055</v>
      </c>
      <c r="K358" s="15" t="n">
        <f aca="false">J358*(1+IF(K$3&lt;=$O$2,$D358,$D358-($D358-$I$346)*MIN(K$3-$O$2,$Q$2)/$Q$2))</f>
        <v>8570.42833660673</v>
      </c>
      <c r="L358" s="15" t="n">
        <f aca="false">K358*(1+IF(L$3&lt;=$O$2,$D358,$D358-($D358-$I$346)*MIN(L$3-$O$2,$Q$2)/$Q$2))</f>
        <v>8756.36244023999</v>
      </c>
      <c r="M358" s="15" t="n">
        <f aca="false">L358*(1+IF(M$3&lt;=$O$2,$D358,$D358-($D358-$I$346)*MIN(M$3-$O$2,$Q$2)/$Q$2))</f>
        <v>8953.35802014847</v>
      </c>
      <c r="N358" s="15" t="n">
        <f aca="false">M358*(1+IF(N$3&lt;=$O$2,$D358,$D358-($D358-$I$346)*MIN(N$3-$O$2,$Q$2)/$Q$2))</f>
        <v>9161.97126201793</v>
      </c>
      <c r="O358" s="15" t="n">
        <f aca="false">SUMPRODUCT(E358:N358,1/(1+$F$346)^$E$3:$N$3)*$E$2</f>
        <v>9411.96127358394</v>
      </c>
      <c r="P358" s="15" t="n">
        <f aca="false">N358*$E$2*(1+$I$346)/($F$346-$I$346)/(1+$F$346)^$N$3</f>
        <v>12717.5661018529</v>
      </c>
      <c r="Q358" s="15" t="n">
        <f aca="false">O358+P358</f>
        <v>22129.5273754369</v>
      </c>
      <c r="R358" s="15" t="n">
        <f aca="false">Q358-$G$2+$I$2</f>
        <v>19013.3273754369</v>
      </c>
      <c r="S358" s="42" t="n">
        <f aca="false">R358/$K$2</f>
        <v>168.408568427253</v>
      </c>
      <c r="T358" s="43" t="n">
        <f aca="false">S358-$M$2</f>
        <v>-0.0591020776185758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0.019287109375</v>
      </c>
      <c r="C359" s="25" t="n">
        <f aca="false">IF(T358&gt;0,D358,C358)</f>
        <v>0.02001953125</v>
      </c>
      <c r="D359" s="41" t="n">
        <f aca="false">(B359+C359)/2</f>
        <v>0.0196533203125</v>
      </c>
      <c r="E359" s="15" t="n">
        <f aca="false">$C$2*(1+IF(E$3&lt;=$O$2,$D359,$D359-($D359-$I$346)*MIN(E$3-$O$2,$Q$2)/$Q$2))</f>
        <v>7627.0068359375</v>
      </c>
      <c r="F359" s="15" t="n">
        <f aca="false">E359*(1+IF(F$3&lt;=$O$2,$D359,$D359-($D359-$I$346)*MIN(F$3-$O$2,$Q$2)/$Q$2))</f>
        <v>7776.90284430981</v>
      </c>
      <c r="G359" s="15" t="n">
        <f aca="false">F359*(1+IF(G$3&lt;=$O$2,$D359,$D359-($D359-$I$346)*MIN(G$3-$O$2,$Q$2)/$Q$2))</f>
        <v>7929.74480694822</v>
      </c>
      <c r="H359" s="15" t="n">
        <f aca="false">G359*(1+IF(H$3&lt;=$O$2,$D359,$D359-($D359-$I$346)*MIN(H$3-$O$2,$Q$2)/$Q$2))</f>
        <v>8085.59062163556</v>
      </c>
      <c r="I359" s="15" t="n">
        <f aca="false">H359*(1+IF(I$3&lt;=$O$2,$D359,$D359-($D359-$I$346)*MIN(I$3-$O$2,$Q$2)/$Q$2))</f>
        <v>8244.49932403831</v>
      </c>
      <c r="J359" s="15" t="n">
        <f aca="false">I359*(1+IF(J$3&lt;=$O$2,$D359,$D359-($D359-$I$346)*MIN(J$3-$O$2,$Q$2)/$Q$2))</f>
        <v>8412.54411971354</v>
      </c>
      <c r="K359" s="15" t="n">
        <f aca="false">J359*(1+IF(K$3&lt;=$O$2,$D359,$D359-($D359-$I$346)*MIN(K$3-$O$2,$Q$2)/$Q$2))</f>
        <v>8590.14968544593</v>
      </c>
      <c r="L359" s="15" t="n">
        <f aca="false">K359*(1+IF(L$3&lt;=$O$2,$D359,$D359-($D359-$I$346)*MIN(L$3-$O$2,$Q$2)/$Q$2))</f>
        <v>8777.76996336862</v>
      </c>
      <c r="M359" s="15" t="n">
        <f aca="false">L359*(1+IF(M$3&lt;=$O$2,$D359,$D359-($D359-$I$346)*MIN(M$3-$O$2,$Q$2)/$Q$2))</f>
        <v>8975.89006042972</v>
      </c>
      <c r="N359" s="15" t="n">
        <f aca="false">M359*(1+IF(N$3&lt;=$O$2,$D359,$D359-($D359-$I$346)*MIN(N$3-$O$2,$Q$2)/$Q$2))</f>
        <v>9185.02829883773</v>
      </c>
      <c r="O359" s="15" t="n">
        <f aca="false">SUMPRODUCT(E359:N359,1/(1+$F$346)^$E$3:$N$3)*$E$2</f>
        <v>9427.05050367602</v>
      </c>
      <c r="P359" s="15" t="n">
        <f aca="false">N359*$E$2*(1+$I$346)/($F$346-$I$346)/(1+$F$346)^$N$3</f>
        <v>12749.5711563857</v>
      </c>
      <c r="Q359" s="15" t="n">
        <f aca="false">O359+P359</f>
        <v>22176.6216600617</v>
      </c>
      <c r="R359" s="15" t="n">
        <f aca="false">Q359-$G$2+$I$2</f>
        <v>19060.4216600617</v>
      </c>
      <c r="S359" s="42" t="n">
        <f aca="false">R359/$K$2</f>
        <v>168.825701152008</v>
      </c>
      <c r="T359" s="43" t="n">
        <f aca="false">S359-$M$2</f>
        <v>0.358030647136701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0.019287109375</v>
      </c>
      <c r="C360" s="25" t="n">
        <f aca="false">IF(T359&gt;0,D359,C359)</f>
        <v>0.0196533203125</v>
      </c>
      <c r="D360" s="41" t="n">
        <f aca="false">(B360+C360)/2</f>
        <v>0.01947021484375</v>
      </c>
      <c r="E360" s="15" t="n">
        <f aca="false">$C$2*(1+IF(E$3&lt;=$O$2,$D360,$D360-($D360-$I$346)*MIN(E$3-$O$2,$Q$2)/$Q$2))</f>
        <v>7625.63720703125</v>
      </c>
      <c r="F360" s="15" t="n">
        <f aca="false">E360*(1+IF(F$3&lt;=$O$2,$D360,$D360-($D360-$I$346)*MIN(F$3-$O$2,$Q$2)/$Q$2))</f>
        <v>7774.11000177264</v>
      </c>
      <c r="G360" s="15" t="n">
        <f aca="false">F360*(1+IF(G$3&lt;=$O$2,$D360,$D360-($D360-$I$346)*MIN(G$3-$O$2,$Q$2)/$Q$2))</f>
        <v>7925.4735937261</v>
      </c>
      <c r="H360" s="15" t="n">
        <f aca="false">G360*(1+IF(H$3&lt;=$O$2,$D360,$D360-($D360-$I$346)*MIN(H$3-$O$2,$Q$2)/$Q$2))</f>
        <v>8079.78426733442</v>
      </c>
      <c r="I360" s="15" t="n">
        <f aca="false">H360*(1+IF(I$3&lt;=$O$2,$D360,$D360-($D360-$I$346)*MIN(I$3-$O$2,$Q$2)/$Q$2))</f>
        <v>8237.09940291057</v>
      </c>
      <c r="J360" s="15" t="n">
        <f aca="false">I360*(1+IF(J$3&lt;=$O$2,$D360,$D360-($D360-$I$346)*MIN(J$3-$O$2,$Q$2)/$Q$2))</f>
        <v>8403.78676217933</v>
      </c>
      <c r="K360" s="15" t="n">
        <f aca="false">J360*(1+IF(K$3&lt;=$O$2,$D360,$D360-($D360-$I$346)*MIN(K$3-$O$2,$Q$2)/$Q$2))</f>
        <v>8580.28417505925</v>
      </c>
      <c r="L360" s="15" t="n">
        <f aca="false">K360*(1+IF(L$3&lt;=$O$2,$D360,$D360-($D360-$I$346)*MIN(L$3-$O$2,$Q$2)/$Q$2))</f>
        <v>8767.06053835011</v>
      </c>
      <c r="M360" s="15" t="n">
        <f aca="false">L360*(1+IF(M$3&lt;=$O$2,$D360,$D360-($D360-$I$346)*MIN(M$3-$O$2,$Q$2)/$Q$2))</f>
        <v>8964.61785723093</v>
      </c>
      <c r="N360" s="15" t="n">
        <f aca="false">M360*(1+IF(N$3&lt;=$O$2,$D360,$D360-($D360-$I$346)*MIN(N$3-$O$2,$Q$2)/$Q$2))</f>
        <v>9173.49345330441</v>
      </c>
      <c r="O360" s="15" t="n">
        <f aca="false">SUMPRODUCT(E360:N360,1/(1+$F$346)^$E$3:$N$3)*$E$2</f>
        <v>9419.50281840022</v>
      </c>
      <c r="P360" s="15" t="n">
        <f aca="false">N360*$E$2*(1+$I$346)/($F$346-$I$346)/(1+$F$346)^$N$3</f>
        <v>12733.5598465541</v>
      </c>
      <c r="Q360" s="15" t="n">
        <f aca="false">O360+P360</f>
        <v>22153.0626649543</v>
      </c>
      <c r="R360" s="15" t="n">
        <f aca="false">Q360-$G$2+$I$2</f>
        <v>19036.8626649543</v>
      </c>
      <c r="S360" s="42" t="n">
        <f aca="false">R360/$K$2</f>
        <v>168.617029804733</v>
      </c>
      <c r="T360" s="43" t="n">
        <f aca="false">S360-$M$2</f>
        <v>0.149359299860919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0.019287109375</v>
      </c>
      <c r="C361" s="25" t="n">
        <f aca="false">IF(T360&gt;0,D360,C360)</f>
        <v>0.01947021484375</v>
      </c>
      <c r="D361" s="41" t="n">
        <f aca="false">(B361+C361)/2</f>
        <v>0.019378662109375</v>
      </c>
      <c r="E361" s="15" t="n">
        <f aca="false">$C$2*(1+IF(E$3&lt;=$O$2,$D361,$D361-($D361-$I$346)*MIN(E$3-$O$2,$Q$2)/$Q$2))</f>
        <v>7624.95239257813</v>
      </c>
      <c r="F361" s="15" t="n">
        <f aca="false">E361*(1+IF(F$3&lt;=$O$2,$D361,$D361-($D361-$I$346)*MIN(F$3-$O$2,$Q$2)/$Q$2))</f>
        <v>7772.71376859397</v>
      </c>
      <c r="G361" s="15" t="n">
        <f aca="false">F361*(1+IF(G$3&lt;=$O$2,$D361,$D361-($D361-$I$346)*MIN(G$3-$O$2,$Q$2)/$Q$2))</f>
        <v>7923.33856238844</v>
      </c>
      <c r="H361" s="15" t="n">
        <f aca="false">G361*(1+IF(H$3&lt;=$O$2,$D361,$D361-($D361-$I$346)*MIN(H$3-$O$2,$Q$2)/$Q$2))</f>
        <v>8076.88226316714</v>
      </c>
      <c r="I361" s="15" t="n">
        <f aca="false">H361*(1+IF(I$3&lt;=$O$2,$D361,$D361-($D361-$I$346)*MIN(I$3-$O$2,$Q$2)/$Q$2))</f>
        <v>8233.40143544226</v>
      </c>
      <c r="J361" s="15" t="n">
        <f aca="false">I361*(1+IF(J$3&lt;=$O$2,$D361,$D361-($D361-$I$346)*MIN(J$3-$O$2,$Q$2)/$Q$2))</f>
        <v>8399.41092967405</v>
      </c>
      <c r="K361" s="15" t="n">
        <f aca="false">J361*(1+IF(K$3&lt;=$O$2,$D361,$D361-($D361-$I$346)*MIN(K$3-$O$2,$Q$2)/$Q$2))</f>
        <v>8575.35504733298</v>
      </c>
      <c r="L361" s="15" t="n">
        <f aca="false">K361*(1+IF(L$3&lt;=$O$2,$D361,$D361-($D361-$I$346)*MIN(L$3-$O$2,$Q$2)/$Q$2))</f>
        <v>8761.71007406677</v>
      </c>
      <c r="M361" s="15" t="n">
        <f aca="false">L361*(1+IF(M$3&lt;=$O$2,$D361,$D361-($D361-$I$346)*MIN(M$3-$O$2,$Q$2)/$Q$2))</f>
        <v>8958.9863936525</v>
      </c>
      <c r="N361" s="15" t="n">
        <f aca="false">M361*(1+IF(N$3&lt;=$O$2,$D361,$D361-($D361-$I$346)*MIN(N$3-$O$2,$Q$2)/$Q$2))</f>
        <v>9167.73077662461</v>
      </c>
      <c r="O361" s="15" t="n">
        <f aca="false">SUMPRODUCT(E361:N361,1/(1+$F$346)^$E$3:$N$3)*$E$2</f>
        <v>9415.73127872876</v>
      </c>
      <c r="P361" s="15" t="n">
        <f aca="false">N361*$E$2*(1+$I$346)/($F$346-$I$346)/(1+$F$346)^$N$3</f>
        <v>12725.5607795953</v>
      </c>
      <c r="Q361" s="15" t="n">
        <f aca="false">O361+P361</f>
        <v>22141.2920583241</v>
      </c>
      <c r="R361" s="15" t="n">
        <f aca="false">Q361-$G$2+$I$2</f>
        <v>19025.0920583241</v>
      </c>
      <c r="S361" s="42" t="n">
        <f aca="false">R361/$K$2</f>
        <v>168.512772881524</v>
      </c>
      <c r="T361" s="43" t="n">
        <f aca="false">S361-$M$2</f>
        <v>0.045102376652693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0.019287109375</v>
      </c>
      <c r="C362" s="25" t="n">
        <f aca="false">IF(T361&gt;0,D361,C361)</f>
        <v>0.019378662109375</v>
      </c>
      <c r="D362" s="41" t="n">
        <f aca="false">(B362+C362)/2</f>
        <v>0.0193328857421875</v>
      </c>
      <c r="E362" s="15" t="n">
        <f aca="false">$C$2*(1+IF(E$3&lt;=$O$2,$D362,$D362-($D362-$I$346)*MIN(E$3-$O$2,$Q$2)/$Q$2))</f>
        <v>7624.60998535156</v>
      </c>
      <c r="F362" s="15" t="n">
        <f aca="false">E362*(1+IF(F$3&lt;=$O$2,$D362,$D362-($D362-$I$346)*MIN(F$3-$O$2,$Q$2)/$Q$2))</f>
        <v>7772.01569902711</v>
      </c>
      <c r="G362" s="15" t="n">
        <f aca="false">F362*(1+IF(G$3&lt;=$O$2,$D362,$D362-($D362-$I$346)*MIN(G$3-$O$2,$Q$2)/$Q$2))</f>
        <v>7922.27119052288</v>
      </c>
      <c r="H362" s="15" t="n">
        <f aca="false">G362*(1+IF(H$3&lt;=$O$2,$D362,$D362-($D362-$I$346)*MIN(H$3-$O$2,$Q$2)/$Q$2))</f>
        <v>8075.43155426789</v>
      </c>
      <c r="I362" s="15" t="n">
        <f aca="false">H362*(1+IF(I$3&lt;=$O$2,$D362,$D362-($D362-$I$346)*MIN(I$3-$O$2,$Q$2)/$Q$2))</f>
        <v>8231.5529498254</v>
      </c>
      <c r="J362" s="15" t="n">
        <f aca="false">I362*(1+IF(J$3&lt;=$O$2,$D362,$D362-($D362-$I$346)*MIN(J$3-$O$2,$Q$2)/$Q$2))</f>
        <v>8397.22372469938</v>
      </c>
      <c r="K362" s="15" t="n">
        <f aca="false">J362*(1+IF(K$3&lt;=$O$2,$D362,$D362-($D362-$I$346)*MIN(K$3-$O$2,$Q$2)/$Q$2))</f>
        <v>8572.8913899063</v>
      </c>
      <c r="L362" s="15" t="n">
        <f aca="false">K362*(1+IF(L$3&lt;=$O$2,$D362,$D362-($D362-$I$346)*MIN(L$3-$O$2,$Q$2)/$Q$2))</f>
        <v>8759.03590342569</v>
      </c>
      <c r="M362" s="15" t="n">
        <f aca="false">L362*(1+IF(M$3&lt;=$O$2,$D362,$D362-($D362-$I$346)*MIN(M$3-$O$2,$Q$2)/$Q$2))</f>
        <v>8956.17182073207</v>
      </c>
      <c r="N362" s="15" t="n">
        <f aca="false">M362*(1+IF(N$3&lt;=$O$2,$D362,$D362-($D362-$I$346)*MIN(N$3-$O$2,$Q$2)/$Q$2))</f>
        <v>9164.85062415513</v>
      </c>
      <c r="O362" s="15" t="n">
        <f aca="false">SUMPRODUCT(E362:N362,1/(1+$F$346)^$E$3:$N$3)*$E$2</f>
        <v>9413.84608437727</v>
      </c>
      <c r="P362" s="15" t="n">
        <f aca="false">N362*$E$2*(1+$I$346)/($F$346-$I$346)/(1+$F$346)^$N$3</f>
        <v>12721.5628922012</v>
      </c>
      <c r="Q362" s="15" t="n">
        <f aca="false">O362+P362</f>
        <v>22135.4089765785</v>
      </c>
      <c r="R362" s="15" t="n">
        <f aca="false">Q362-$G$2+$I$2</f>
        <v>19019.2089765785</v>
      </c>
      <c r="S362" s="42" t="n">
        <f aca="false">R362/$K$2</f>
        <v>168.46066409724</v>
      </c>
      <c r="T362" s="43" t="n">
        <f aca="false">S362-$M$2</f>
        <v>-0.00700640763110982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0.0193328857421875</v>
      </c>
      <c r="C363" s="25" t="n">
        <f aca="false">IF(T362&gt;0,D362,C362)</f>
        <v>0.019378662109375</v>
      </c>
      <c r="D363" s="41" t="n">
        <f aca="false">(B363+C363)/2</f>
        <v>0.0193557739257813</v>
      </c>
      <c r="E363" s="15" t="n">
        <f aca="false">$C$2*(1+IF(E$3&lt;=$O$2,$D363,$D363-($D363-$I$346)*MIN(E$3-$O$2,$Q$2)/$Q$2))</f>
        <v>7624.78118896484</v>
      </c>
      <c r="F363" s="15" t="n">
        <f aca="false">E363*(1+IF(F$3&lt;=$O$2,$D363,$D363-($D363-$I$346)*MIN(F$3-$O$2,$Q$2)/$Q$2))</f>
        <v>7772.364729892</v>
      </c>
      <c r="G363" s="15" t="n">
        <f aca="false">F363*(1+IF(G$3&lt;=$O$2,$D363,$D363-($D363-$I$346)*MIN(G$3-$O$2,$Q$2)/$Q$2))</f>
        <v>7922.8048644725</v>
      </c>
      <c r="H363" s="15" t="n">
        <f aca="false">G363*(1+IF(H$3&lt;=$O$2,$D363,$D363-($D363-$I$346)*MIN(H$3-$O$2,$Q$2)/$Q$2))</f>
        <v>8076.15688428731</v>
      </c>
      <c r="I363" s="15" t="n">
        <f aca="false">H363*(1+IF(I$3&lt;=$O$2,$D363,$D363-($D363-$I$346)*MIN(I$3-$O$2,$Q$2)/$Q$2))</f>
        <v>8232.47715112872</v>
      </c>
      <c r="J363" s="15" t="n">
        <f aca="false">I363*(1+IF(J$3&lt;=$O$2,$D363,$D363-($D363-$I$346)*MIN(J$3-$O$2,$Q$2)/$Q$2))</f>
        <v>8398.3172679221</v>
      </c>
      <c r="K363" s="15" t="n">
        <f aca="false">J363*(1+IF(K$3&lt;=$O$2,$D363,$D363-($D363-$I$346)*MIN(K$3-$O$2,$Q$2)/$Q$2))</f>
        <v>8574.12314309607</v>
      </c>
      <c r="L363" s="15" t="n">
        <f aca="false">K363*(1+IF(L$3&lt;=$O$2,$D363,$D363-($D363-$I$346)*MIN(L$3-$O$2,$Q$2)/$Q$2))</f>
        <v>8760.37290030439</v>
      </c>
      <c r="M363" s="15" t="n">
        <f aca="false">L363*(1+IF(M$3&lt;=$O$2,$D363,$D363-($D363-$I$346)*MIN(M$3-$O$2,$Q$2)/$Q$2))</f>
        <v>8957.57901063883</v>
      </c>
      <c r="N363" s="15" t="n">
        <f aca="false">M363*(1+IF(N$3&lt;=$O$2,$D363,$D363-($D363-$I$346)*MIN(N$3-$O$2,$Q$2)/$Q$2))</f>
        <v>9166.29060158671</v>
      </c>
      <c r="O363" s="15" t="n">
        <f aca="false">SUMPRODUCT(E363:N363,1/(1+$F$346)^$E$3:$N$3)*$E$2</f>
        <v>9414.78863360365</v>
      </c>
      <c r="P363" s="15" t="n">
        <f aca="false">N363*$E$2*(1+$I$346)/($F$346-$I$346)/(1+$F$346)^$N$3</f>
        <v>12723.5616987514</v>
      </c>
      <c r="Q363" s="15" t="n">
        <f aca="false">O363+P363</f>
        <v>22138.350332355</v>
      </c>
      <c r="R363" s="15" t="n">
        <f aca="false">Q363-$G$2+$I$2</f>
        <v>19022.150332355</v>
      </c>
      <c r="S363" s="42" t="n">
        <f aca="false">R363/$K$2</f>
        <v>168.486716849912</v>
      </c>
      <c r="T363" s="43" t="n">
        <f aca="false">S363-$M$2</f>
        <v>0.0190463450402376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0.0193328857421875</v>
      </c>
      <c r="C364" s="25" t="n">
        <f aca="false">IF(T363&gt;0,D363,C363)</f>
        <v>0.0193557739257813</v>
      </c>
      <c r="D364" s="41" t="n">
        <f aca="false">(B364+C364)/2</f>
        <v>0.0193443298339844</v>
      </c>
      <c r="E364" s="15" t="n">
        <f aca="false">$C$2*(1+IF(E$3&lt;=$O$2,$D364,$D364-($D364-$I$346)*MIN(E$3-$O$2,$Q$2)/$Q$2))</f>
        <v>7624.6955871582</v>
      </c>
      <c r="F364" s="15" t="n">
        <f aca="false">E364*(1+IF(F$3&lt;=$O$2,$D364,$D364-($D364-$I$346)*MIN(F$3-$O$2,$Q$2)/$Q$2))</f>
        <v>7772.19021347992</v>
      </c>
      <c r="G364" s="15" t="n">
        <f aca="false">F364*(1+IF(G$3&lt;=$O$2,$D364,$D364-($D364-$I$346)*MIN(G$3-$O$2,$Q$2)/$Q$2))</f>
        <v>7922.53802450194</v>
      </c>
      <c r="H364" s="15" t="n">
        <f aca="false">G364*(1+IF(H$3&lt;=$O$2,$D364,$D364-($D364-$I$346)*MIN(H$3-$O$2,$Q$2)/$Q$2))</f>
        <v>8075.79421317019</v>
      </c>
      <c r="I364" s="15" t="n">
        <f aca="false">H364*(1+IF(I$3&lt;=$O$2,$D364,$D364-($D364-$I$346)*MIN(I$3-$O$2,$Q$2)/$Q$2))</f>
        <v>8232.01504010113</v>
      </c>
      <c r="J364" s="15" t="n">
        <f aca="false">I364*(1+IF(J$3&lt;=$O$2,$D364,$D364-($D364-$I$346)*MIN(J$3-$O$2,$Q$2)/$Q$2))</f>
        <v>8397.77048149523</v>
      </c>
      <c r="K364" s="15" t="n">
        <f aca="false">J364*(1+IF(K$3&lt;=$O$2,$D364,$D364-($D364-$I$346)*MIN(K$3-$O$2,$Q$2)/$Q$2))</f>
        <v>8573.50724762125</v>
      </c>
      <c r="L364" s="15" t="n">
        <f aca="false">K364*(1+IF(L$3&lt;=$O$2,$D364,$D364-($D364-$I$346)*MIN(L$3-$O$2,$Q$2)/$Q$2))</f>
        <v>8759.70437975581</v>
      </c>
      <c r="M364" s="15" t="n">
        <f aca="false">L364*(1+IF(M$3&lt;=$O$2,$D364,$D364-($D364-$I$346)*MIN(M$3-$O$2,$Q$2)/$Q$2))</f>
        <v>8956.8753915485</v>
      </c>
      <c r="N364" s="15" t="n">
        <f aca="false">M364*(1+IF(N$3&lt;=$O$2,$D364,$D364-($D364-$I$346)*MIN(N$3-$O$2,$Q$2)/$Q$2))</f>
        <v>9165.57058817158</v>
      </c>
      <c r="O364" s="15" t="n">
        <f aca="false">SUMPRODUCT(E364:N364,1/(1+$F$346)^$E$3:$N$3)*$E$2</f>
        <v>9414.3173470037</v>
      </c>
      <c r="P364" s="15" t="n">
        <f aca="false">N364*$E$2*(1+$I$346)/($F$346-$I$346)/(1+$F$346)^$N$3</f>
        <v>12722.5622611916</v>
      </c>
      <c r="Q364" s="15" t="n">
        <f aca="false">O364+P364</f>
        <v>22136.8796081953</v>
      </c>
      <c r="R364" s="15" t="n">
        <f aca="false">Q364-$G$2+$I$2</f>
        <v>19020.6796081953</v>
      </c>
      <c r="S364" s="42" t="n">
        <f aca="false">R364/$K$2</f>
        <v>168.473690063731</v>
      </c>
      <c r="T364" s="43" t="n">
        <f aca="false">S364-$M$2</f>
        <v>0.00601955885986172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0.0193328857421875</v>
      </c>
      <c r="C365" s="25" t="n">
        <f aca="false">IF(T364&gt;0,D364,C364)</f>
        <v>0.0193443298339844</v>
      </c>
      <c r="D365" s="41" t="n">
        <f aca="false">(B365+C365)/2</f>
        <v>0.0193386077880859</v>
      </c>
      <c r="E365" s="15" t="n">
        <f aca="false">$C$2*(1+IF(E$3&lt;=$O$2,$D365,$D365-($D365-$I$346)*MIN(E$3-$O$2,$Q$2)/$Q$2))</f>
        <v>7624.65278625488</v>
      </c>
      <c r="F365" s="15" t="n">
        <f aca="false">E365*(1+IF(F$3&lt;=$O$2,$D365,$D365-($D365-$I$346)*MIN(F$3-$O$2,$Q$2)/$Q$2))</f>
        <v>7772.1029560086</v>
      </c>
      <c r="G365" s="15" t="n">
        <f aca="false">F365*(1+IF(G$3&lt;=$O$2,$D365,$D365-($D365-$I$346)*MIN(G$3-$O$2,$Q$2)/$Q$2))</f>
        <v>7922.40460676348</v>
      </c>
      <c r="H365" s="15" t="n">
        <f aca="false">G365*(1+IF(H$3&lt;=$O$2,$D365,$D365-($D365-$I$346)*MIN(H$3-$O$2,$Q$2)/$Q$2))</f>
        <v>8075.6128821922</v>
      </c>
      <c r="I365" s="15" t="n">
        <f aca="false">H365*(1+IF(I$3&lt;=$O$2,$D365,$D365-($D365-$I$346)*MIN(I$3-$O$2,$Q$2)/$Q$2))</f>
        <v>8231.78399236933</v>
      </c>
      <c r="J365" s="15" t="n">
        <f aca="false">I365*(1+IF(J$3&lt;=$O$2,$D365,$D365-($D365-$I$346)*MIN(J$3-$O$2,$Q$2)/$Q$2))</f>
        <v>8397.49709939351</v>
      </c>
      <c r="K365" s="15" t="n">
        <f aca="false">J365*(1+IF(K$3&lt;=$O$2,$D365,$D365-($D365-$I$346)*MIN(K$3-$O$2,$Q$2)/$Q$2))</f>
        <v>8573.19931404392</v>
      </c>
      <c r="L365" s="15" t="n">
        <f aca="false">K365*(1+IF(L$3&lt;=$O$2,$D365,$D365-($D365-$I$346)*MIN(L$3-$O$2,$Q$2)/$Q$2))</f>
        <v>8759.3701360636</v>
      </c>
      <c r="M365" s="15" t="n">
        <f aca="false">L365*(1+IF(M$3&lt;=$O$2,$D365,$D365-($D365-$I$346)*MIN(M$3-$O$2,$Q$2)/$Q$2))</f>
        <v>8956.52360010623</v>
      </c>
      <c r="N365" s="15" t="n">
        <f aca="false">M365*(1+IF(N$3&lt;=$O$2,$D365,$D365-($D365-$I$346)*MIN(N$3-$O$2,$Q$2)/$Q$2))</f>
        <v>9165.21059998871</v>
      </c>
      <c r="O365" s="15" t="n">
        <f aca="false">SUMPRODUCT(E365:N365,1/(1+$F$346)^$E$3:$N$3)*$E$2</f>
        <v>9414.08171269386</v>
      </c>
      <c r="P365" s="15" t="n">
        <f aca="false">N365*$E$2*(1+$I$346)/($F$346-$I$346)/(1+$F$346)^$N$3</f>
        <v>12722.0625681255</v>
      </c>
      <c r="Q365" s="15" t="n">
        <f aca="false">O365+P365</f>
        <v>22136.1442808193</v>
      </c>
      <c r="R365" s="15" t="n">
        <f aca="false">Q365-$G$2+$I$2</f>
        <v>19019.9442808193</v>
      </c>
      <c r="S365" s="42" t="n">
        <f aca="false">R365/$K$2</f>
        <v>168.467176978028</v>
      </c>
      <c r="T365" s="43" t="n">
        <f aca="false">S365-$M$2</f>
        <v>-0.000493526843882819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0.0193386077880859</v>
      </c>
      <c r="C366" s="25" t="n">
        <f aca="false">IF(T365&gt;0,D365,C365)</f>
        <v>0.0193443298339844</v>
      </c>
      <c r="D366" s="41" t="n">
        <f aca="false">(B366+C366)/2</f>
        <v>0.0193414688110352</v>
      </c>
      <c r="E366" s="15" t="n">
        <f aca="false">$C$2*(1+IF(E$3&lt;=$O$2,$D366,$D366-($D366-$I$346)*MIN(E$3-$O$2,$Q$2)/$Q$2))</f>
        <v>7624.67418670654</v>
      </c>
      <c r="F366" s="15" t="n">
        <f aca="false">E366*(1+IF(F$3&lt;=$O$2,$D366,$D366-($D366-$I$346)*MIN(F$3-$O$2,$Q$2)/$Q$2))</f>
        <v>7772.14658468303</v>
      </c>
      <c r="G366" s="15" t="n">
        <f aca="false">F366*(1+IF(G$3&lt;=$O$2,$D366,$D366-($D366-$I$346)*MIN(G$3-$O$2,$Q$2)/$Q$2))</f>
        <v>7922.47131544547</v>
      </c>
      <c r="H366" s="15" t="n">
        <f aca="false">G366*(1+IF(H$3&lt;=$O$2,$D366,$D366-($D366-$I$346)*MIN(H$3-$O$2,$Q$2)/$Q$2))</f>
        <v>8075.70354729948</v>
      </c>
      <c r="I366" s="15" t="n">
        <f aca="false">H366*(1+IF(I$3&lt;=$O$2,$D366,$D366-($D366-$I$346)*MIN(I$3-$O$2,$Q$2)/$Q$2))</f>
        <v>8231.89951558674</v>
      </c>
      <c r="J366" s="15" t="n">
        <f aca="false">I366*(1+IF(J$3&lt;=$O$2,$D366,$D366-($D366-$I$346)*MIN(J$3-$O$2,$Q$2)/$Q$2))</f>
        <v>8397.63378951841</v>
      </c>
      <c r="K366" s="15" t="n">
        <f aca="false">J366*(1+IF(K$3&lt;=$O$2,$D366,$D366-($D366-$I$346)*MIN(K$3-$O$2,$Q$2)/$Q$2))</f>
        <v>8573.3532796526</v>
      </c>
      <c r="L366" s="15" t="n">
        <f aca="false">K366*(1+IF(L$3&lt;=$O$2,$D366,$D366-($D366-$I$346)*MIN(L$3-$O$2,$Q$2)/$Q$2))</f>
        <v>8759.5372565279</v>
      </c>
      <c r="M366" s="15" t="n">
        <f aca="false">L366*(1+IF(M$3&lt;=$O$2,$D366,$D366-($D366-$I$346)*MIN(M$3-$O$2,$Q$2)/$Q$2))</f>
        <v>8956.69949431883</v>
      </c>
      <c r="N366" s="15" t="n">
        <f aca="false">M366*(1+IF(N$3&lt;=$O$2,$D366,$D366-($D366-$I$346)*MIN(N$3-$O$2,$Q$2)/$Q$2))</f>
        <v>9165.39059253646</v>
      </c>
      <c r="O366" s="15" t="n">
        <f aca="false">SUMPRODUCT(E366:N366,1/(1+$F$346)^$E$3:$N$3)*$E$2</f>
        <v>9414.19952909962</v>
      </c>
      <c r="P366" s="15" t="n">
        <f aca="false">N366*$E$2*(1+$I$346)/($F$346-$I$346)/(1+$F$346)^$N$3</f>
        <v>12722.3124125158</v>
      </c>
      <c r="Q366" s="15" t="n">
        <f aca="false">O366+P366</f>
        <v>22136.5119416154</v>
      </c>
      <c r="R366" s="15" t="n">
        <f aca="false">Q366-$G$2+$I$2</f>
        <v>19020.3119416154</v>
      </c>
      <c r="S366" s="42" t="n">
        <f aca="false">R366/$K$2</f>
        <v>168.470433495265</v>
      </c>
      <c r="T366" s="43" t="n">
        <f aca="false">S366-$M$2</f>
        <v>0.0027629903930233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0.0193386077880859</v>
      </c>
      <c r="C367" s="25" t="n">
        <f aca="false">IF(T366&gt;0,D366,C366)</f>
        <v>0.0193414688110352</v>
      </c>
      <c r="D367" s="41" t="n">
        <f aca="false">(B367+C367)/2</f>
        <v>0.0193400382995605</v>
      </c>
      <c r="E367" s="15" t="n">
        <f aca="false">$C$2*(1+IF(E$3&lt;=$O$2,$D367,$D367-($D367-$I$346)*MIN(E$3-$O$2,$Q$2)/$Q$2))</f>
        <v>7624.66348648071</v>
      </c>
      <c r="F367" s="15" t="n">
        <f aca="false">E367*(1+IF(F$3&lt;=$O$2,$D367,$D367-($D367-$I$346)*MIN(F$3-$O$2,$Q$2)/$Q$2))</f>
        <v>7772.12477033051</v>
      </c>
      <c r="G367" s="15" t="n">
        <f aca="false">F367*(1+IF(G$3&lt;=$O$2,$D367,$D367-($D367-$I$346)*MIN(G$3-$O$2,$Q$2)/$Q$2))</f>
        <v>7922.43796105767</v>
      </c>
      <c r="H367" s="15" t="n">
        <f aca="false">G367*(1+IF(H$3&lt;=$O$2,$D367,$D367-($D367-$I$346)*MIN(H$3-$O$2,$Q$2)/$Q$2))</f>
        <v>8075.65821465041</v>
      </c>
      <c r="I367" s="15" t="n">
        <f aca="false">H367*(1+IF(I$3&lt;=$O$2,$D367,$D367-($D367-$I$346)*MIN(I$3-$O$2,$Q$2)/$Q$2))</f>
        <v>8231.84175381591</v>
      </c>
      <c r="J367" s="15" t="n">
        <f aca="false">I367*(1+IF(J$3&lt;=$O$2,$D367,$D367-($D367-$I$346)*MIN(J$3-$O$2,$Q$2)/$Q$2))</f>
        <v>8397.56544422447</v>
      </c>
      <c r="K367" s="15" t="n">
        <f aca="false">J367*(1+IF(K$3&lt;=$O$2,$D367,$D367-($D367-$I$346)*MIN(K$3-$O$2,$Q$2)/$Q$2))</f>
        <v>8573.27629655326</v>
      </c>
      <c r="L367" s="15" t="n">
        <f aca="false">K367*(1+IF(L$3&lt;=$O$2,$D367,$D367-($D367-$I$346)*MIN(L$3-$O$2,$Q$2)/$Q$2))</f>
        <v>8759.4536959503</v>
      </c>
      <c r="M367" s="15" t="n">
        <f aca="false">L367*(1+IF(M$3&lt;=$O$2,$D367,$D367-($D367-$I$346)*MIN(M$3-$O$2,$Q$2)/$Q$2))</f>
        <v>8956.6115468354</v>
      </c>
      <c r="N367" s="15" t="n">
        <f aca="false">M367*(1+IF(N$3&lt;=$O$2,$D367,$D367-($D367-$I$346)*MIN(N$3-$O$2,$Q$2)/$Q$2))</f>
        <v>9165.30059587666</v>
      </c>
      <c r="O367" s="15" t="n">
        <f aca="false">SUMPRODUCT(E367:N367,1/(1+$F$346)^$E$3:$N$3)*$E$2</f>
        <v>9414.14062070945</v>
      </c>
      <c r="P367" s="15" t="n">
        <f aca="false">N367*$E$2*(1+$I$346)/($F$346-$I$346)/(1+$F$346)^$N$3</f>
        <v>12722.1874897849</v>
      </c>
      <c r="Q367" s="15" t="n">
        <f aca="false">O367+P367</f>
        <v>22136.3281104944</v>
      </c>
      <c r="R367" s="15" t="n">
        <f aca="false">Q367-$G$2+$I$2</f>
        <v>19020.1281104944</v>
      </c>
      <c r="S367" s="42" t="n">
        <f aca="false">R367/$K$2</f>
        <v>168.468805230242</v>
      </c>
      <c r="T367" s="43" t="n">
        <f aca="false">S367-$M$2</f>
        <v>0.00113472537086068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0.0193386077880859</v>
      </c>
      <c r="C368" s="25" t="n">
        <f aca="false">IF(T367&gt;0,D367,C367)</f>
        <v>0.0193400382995605</v>
      </c>
      <c r="D368" s="41" t="n">
        <f aca="false">(B368+C368)/2</f>
        <v>0.0193393230438232</v>
      </c>
      <c r="E368" s="15" t="n">
        <f aca="false">$C$2*(1+IF(E$3&lt;=$O$2,$D368,$D368-($D368-$I$346)*MIN(E$3-$O$2,$Q$2)/$Q$2))</f>
        <v>7624.6581363678</v>
      </c>
      <c r="F368" s="15" t="n">
        <f aca="false">E368*(1+IF(F$3&lt;=$O$2,$D368,$D368-($D368-$I$346)*MIN(F$3-$O$2,$Q$2)/$Q$2))</f>
        <v>7772.11386316573</v>
      </c>
      <c r="G368" s="15" t="n">
        <f aca="false">F368*(1+IF(G$3&lt;=$O$2,$D368,$D368-($D368-$I$346)*MIN(G$3-$O$2,$Q$2)/$Q$2))</f>
        <v>7922.42128389887</v>
      </c>
      <c r="H368" s="15" t="n">
        <f aca="false">G368*(1+IF(H$3&lt;=$O$2,$D368,$D368-($D368-$I$346)*MIN(H$3-$O$2,$Q$2)/$Q$2))</f>
        <v>8075.63554839745</v>
      </c>
      <c r="I368" s="15" t="n">
        <f aca="false">H368*(1+IF(I$3&lt;=$O$2,$D368,$D368-($D368-$I$346)*MIN(I$3-$O$2,$Q$2)/$Q$2))</f>
        <v>8231.81287305209</v>
      </c>
      <c r="J368" s="15" t="n">
        <f aca="false">I368*(1+IF(J$3&lt;=$O$2,$D368,$D368-($D368-$I$346)*MIN(J$3-$O$2,$Q$2)/$Q$2))</f>
        <v>8397.53127175112</v>
      </c>
      <c r="K368" s="15" t="n">
        <f aca="false">J368*(1+IF(K$3&lt;=$O$2,$D368,$D368-($D368-$I$346)*MIN(K$3-$O$2,$Q$2)/$Q$2))</f>
        <v>8573.23780522484</v>
      </c>
      <c r="L368" s="15" t="n">
        <f aca="false">K368*(1+IF(L$3&lt;=$O$2,$D368,$D368-($D368-$I$346)*MIN(L$3-$O$2,$Q$2)/$Q$2))</f>
        <v>8759.41191592059</v>
      </c>
      <c r="M368" s="15" t="n">
        <f aca="false">L368*(1+IF(M$3&lt;=$O$2,$D368,$D368-($D368-$I$346)*MIN(M$3-$O$2,$Q$2)/$Q$2))</f>
        <v>8956.56757337653</v>
      </c>
      <c r="N368" s="15" t="n">
        <f aca="false">M368*(1+IF(N$3&lt;=$O$2,$D368,$D368-($D368-$I$346)*MIN(N$3-$O$2,$Q$2)/$Q$2))</f>
        <v>9165.25559783621</v>
      </c>
      <c r="O368" s="15" t="n">
        <f aca="false">SUMPRODUCT(E368:N368,1/(1+$F$346)^$E$3:$N$3)*$E$2</f>
        <v>9414.11116665484</v>
      </c>
      <c r="P368" s="15" t="n">
        <f aca="false">N368*$E$2*(1+$I$346)/($F$346-$I$346)/(1+$F$346)^$N$3</f>
        <v>12722.1250288213</v>
      </c>
      <c r="Q368" s="15" t="n">
        <f aca="false">O368+P368</f>
        <v>22136.2361954761</v>
      </c>
      <c r="R368" s="15" t="n">
        <f aca="false">Q368-$G$2+$I$2</f>
        <v>19020.0361954761</v>
      </c>
      <c r="S368" s="42" t="n">
        <f aca="false">R368/$K$2</f>
        <v>168.467991102534</v>
      </c>
      <c r="T368" s="43" t="n">
        <f aca="false">S368-$M$2</f>
        <v>0.000320597662636146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0.0193386077880859</v>
      </c>
      <c r="C369" s="25" t="n">
        <f aca="false">IF(T368&gt;0,D368,C368)</f>
        <v>0.0193393230438232</v>
      </c>
      <c r="D369" s="41" t="n">
        <f aca="false">(B369+C369)/2</f>
        <v>0.0193389654159546</v>
      </c>
      <c r="E369" s="15" t="n">
        <f aca="false">$C$2*(1+IF(E$3&lt;=$O$2,$D369,$D369-($D369-$I$346)*MIN(E$3-$O$2,$Q$2)/$Q$2))</f>
        <v>7624.65546131134</v>
      </c>
      <c r="F369" s="15" t="n">
        <f aca="false">E369*(1+IF(F$3&lt;=$O$2,$D369,$D369-($D369-$I$346)*MIN(F$3-$O$2,$Q$2)/$Q$2))</f>
        <v>7772.10840958621</v>
      </c>
      <c r="G369" s="15" t="n">
        <f aca="false">F369*(1+IF(G$3&lt;=$O$2,$D369,$D369-($D369-$I$346)*MIN(G$3-$O$2,$Q$2)/$Q$2))</f>
        <v>7922.41294532825</v>
      </c>
      <c r="H369" s="15" t="n">
        <f aca="false">G369*(1+IF(H$3&lt;=$O$2,$D369,$D369-($D369-$I$346)*MIN(H$3-$O$2,$Q$2)/$Q$2))</f>
        <v>8075.62421528886</v>
      </c>
      <c r="I369" s="15" t="n">
        <f aca="false">H369*(1+IF(I$3&lt;=$O$2,$D369,$D369-($D369-$I$346)*MIN(I$3-$O$2,$Q$2)/$Q$2))</f>
        <v>8231.79843270058</v>
      </c>
      <c r="J369" s="15" t="n">
        <f aca="false">I369*(1+IF(J$3&lt;=$O$2,$D369,$D369-($D369-$I$346)*MIN(J$3-$O$2,$Q$2)/$Q$2))</f>
        <v>8397.51418555785</v>
      </c>
      <c r="K369" s="15" t="n">
        <f aca="false">J369*(1+IF(K$3&lt;=$O$2,$D369,$D369-($D369-$I$346)*MIN(K$3-$O$2,$Q$2)/$Q$2))</f>
        <v>8573.21855961594</v>
      </c>
      <c r="L369" s="15" t="n">
        <f aca="false">K369*(1+IF(L$3&lt;=$O$2,$D369,$D369-($D369-$I$346)*MIN(L$3-$O$2,$Q$2)/$Q$2))</f>
        <v>8759.3910259705</v>
      </c>
      <c r="M369" s="15" t="n">
        <f aca="false">L369*(1+IF(M$3&lt;=$O$2,$D369,$D369-($D369-$I$346)*MIN(M$3-$O$2,$Q$2)/$Q$2))</f>
        <v>8956.54558671781</v>
      </c>
      <c r="N369" s="15" t="n">
        <f aca="false">M369*(1+IF(N$3&lt;=$O$2,$D369,$D369-($D369-$I$346)*MIN(N$3-$O$2,$Q$2)/$Q$2))</f>
        <v>9165.23309888833</v>
      </c>
      <c r="O369" s="15" t="n">
        <f aca="false">SUMPRODUCT(E369:N369,1/(1+$F$346)^$E$3:$N$3)*$E$2</f>
        <v>9414.09643966264</v>
      </c>
      <c r="P369" s="15" t="n">
        <f aca="false">N369*$E$2*(1+$I$346)/($F$346-$I$346)/(1+$F$346)^$N$3</f>
        <v>12722.0937984399</v>
      </c>
      <c r="Q369" s="15" t="n">
        <f aca="false">O369+P369</f>
        <v>22136.1902381025</v>
      </c>
      <c r="R369" s="15" t="n">
        <f aca="false">Q369-$G$2+$I$2</f>
        <v>19019.9902381025</v>
      </c>
      <c r="S369" s="42" t="n">
        <f aca="false">R369/$K$2</f>
        <v>168.467584039881</v>
      </c>
      <c r="T369" s="43" t="n">
        <f aca="false">S369-$M$2</f>
        <v>-8.64649908862702E-005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0.0193389654159546</v>
      </c>
      <c r="C370" s="25" t="n">
        <f aca="false">IF(T369&gt;0,D369,C369)</f>
        <v>0.0193393230438232</v>
      </c>
      <c r="D370" s="41" t="n">
        <f aca="false">(B370+C370)/2</f>
        <v>0.0193391442298889</v>
      </c>
      <c r="E370" s="15" t="n">
        <f aca="false">$C$2*(1+IF(E$3&lt;=$O$2,$D370,$D370-($D370-$I$346)*MIN(E$3-$O$2,$Q$2)/$Q$2))</f>
        <v>7624.65679883957</v>
      </c>
      <c r="F370" s="15" t="n">
        <f aca="false">E370*(1+IF(F$3&lt;=$O$2,$D370,$D370-($D370-$I$346)*MIN(F$3-$O$2,$Q$2)/$Q$2))</f>
        <v>7772.11113637573</v>
      </c>
      <c r="G370" s="15" t="n">
        <f aca="false">F370*(1+IF(G$3&lt;=$O$2,$D370,$D370-($D370-$I$346)*MIN(G$3-$O$2,$Q$2)/$Q$2))</f>
        <v>7922.41711461283</v>
      </c>
      <c r="H370" s="15" t="n">
        <f aca="false">G370*(1+IF(H$3&lt;=$O$2,$D370,$D370-($D370-$I$346)*MIN(H$3-$O$2,$Q$2)/$Q$2))</f>
        <v>8075.62988184167</v>
      </c>
      <c r="I370" s="15" t="n">
        <f aca="false">H370*(1+IF(I$3&lt;=$O$2,$D370,$D370-($D370-$I$346)*MIN(I$3-$O$2,$Q$2)/$Q$2))</f>
        <v>8231.8056528738</v>
      </c>
      <c r="J370" s="15" t="n">
        <f aca="false">I370*(1+IF(J$3&lt;=$O$2,$D370,$D370-($D370-$I$346)*MIN(J$3-$O$2,$Q$2)/$Q$2))</f>
        <v>8397.52272865087</v>
      </c>
      <c r="K370" s="15" t="n">
        <f aca="false">J370*(1+IF(K$3&lt;=$O$2,$D370,$D370-($D370-$I$346)*MIN(K$3-$O$2,$Q$2)/$Q$2))</f>
        <v>8573.22818241578</v>
      </c>
      <c r="L370" s="15" t="n">
        <f aca="false">K370*(1+IF(L$3&lt;=$O$2,$D370,$D370-($D370-$I$346)*MIN(L$3-$O$2,$Q$2)/$Q$2))</f>
        <v>8759.40147094015</v>
      </c>
      <c r="M370" s="15" t="n">
        <f aca="false">L370*(1+IF(M$3&lt;=$O$2,$D370,$D370-($D370-$I$346)*MIN(M$3-$O$2,$Q$2)/$Q$2))</f>
        <v>8956.55658004128</v>
      </c>
      <c r="N370" s="15" t="n">
        <f aca="false">M370*(1+IF(N$3&lt;=$O$2,$D370,$D370-($D370-$I$346)*MIN(N$3-$O$2,$Q$2)/$Q$2))</f>
        <v>9165.24434835624</v>
      </c>
      <c r="O370" s="15" t="n">
        <f aca="false">SUMPRODUCT(E370:N370,1/(1+$F$346)^$E$3:$N$3)*$E$2</f>
        <v>9414.10380315581</v>
      </c>
      <c r="P370" s="15" t="n">
        <f aca="false">N370*$E$2*(1+$I$346)/($F$346-$I$346)/(1+$F$346)^$N$3</f>
        <v>12722.1094136222</v>
      </c>
      <c r="Q370" s="15" t="n">
        <f aca="false">O370+P370</f>
        <v>22136.213216778</v>
      </c>
      <c r="R370" s="15" t="n">
        <f aca="false">Q370-$G$2+$I$2</f>
        <v>19020.013216778</v>
      </c>
      <c r="S370" s="42" t="n">
        <f aca="false">R370/$K$2</f>
        <v>168.467787571107</v>
      </c>
      <c r="T370" s="43" t="n">
        <f aca="false">S370-$M$2</f>
        <v>0.000117066235759467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0.0193389654159546</v>
      </c>
      <c r="C371" s="25" t="n">
        <f aca="false">IF(T370&gt;0,D370,C370)</f>
        <v>0.0193391442298889</v>
      </c>
      <c r="D371" s="41" t="n">
        <f aca="false">(B371+C371)/2</f>
        <v>0.0193390548229218</v>
      </c>
      <c r="E371" s="15" t="n">
        <f aca="false">$C$2*(1+IF(E$3&lt;=$O$2,$D371,$D371-($D371-$I$346)*MIN(E$3-$O$2,$Q$2)/$Q$2))</f>
        <v>7624.65613007546</v>
      </c>
      <c r="F371" s="15" t="n">
        <f aca="false">E371*(1+IF(F$3&lt;=$O$2,$D371,$D371-($D371-$I$346)*MIN(F$3-$O$2,$Q$2)/$Q$2))</f>
        <v>7772.10977298091</v>
      </c>
      <c r="G371" s="15" t="n">
        <f aca="false">F371*(1+IF(G$3&lt;=$O$2,$D371,$D371-($D371-$I$346)*MIN(G$3-$O$2,$Q$2)/$Q$2))</f>
        <v>7922.41502997035</v>
      </c>
      <c r="H371" s="15" t="n">
        <f aca="false">G371*(1+IF(H$3&lt;=$O$2,$D371,$D371-($D371-$I$346)*MIN(H$3-$O$2,$Q$2)/$Q$2))</f>
        <v>8075.62704856489</v>
      </c>
      <c r="I371" s="15" t="n">
        <f aca="false">H371*(1+IF(I$3&lt;=$O$2,$D371,$D371-($D371-$I$346)*MIN(I$3-$O$2,$Q$2)/$Q$2))</f>
        <v>8231.80204278656</v>
      </c>
      <c r="J371" s="15" t="n">
        <f aca="false">I371*(1+IF(J$3&lt;=$O$2,$D371,$D371-($D371-$I$346)*MIN(J$3-$O$2,$Q$2)/$Q$2))</f>
        <v>8397.51845710345</v>
      </c>
      <c r="K371" s="15" t="n">
        <f aca="false">J371*(1+IF(K$3&lt;=$O$2,$D371,$D371-($D371-$I$346)*MIN(K$3-$O$2,$Q$2)/$Q$2))</f>
        <v>8573.22337101471</v>
      </c>
      <c r="L371" s="15" t="n">
        <f aca="false">K371*(1+IF(L$3&lt;=$O$2,$D371,$D371-($D371-$I$346)*MIN(L$3-$O$2,$Q$2)/$Q$2))</f>
        <v>8759.39624845398</v>
      </c>
      <c r="M371" s="15" t="n">
        <f aca="false">L371*(1+IF(M$3&lt;=$O$2,$D371,$D371-($D371-$I$346)*MIN(M$3-$O$2,$Q$2)/$Q$2))</f>
        <v>8956.55108337807</v>
      </c>
      <c r="N371" s="15" t="n">
        <f aca="false">M371*(1+IF(N$3&lt;=$O$2,$D371,$D371-($D371-$I$346)*MIN(N$3-$O$2,$Q$2)/$Q$2))</f>
        <v>9165.23872362078</v>
      </c>
      <c r="O371" s="15" t="n">
        <f aca="false">SUMPRODUCT(E371:N371,1/(1+$F$346)^$E$3:$N$3)*$E$2</f>
        <v>9414.1001214085</v>
      </c>
      <c r="P371" s="15" t="n">
        <f aca="false">N371*$E$2*(1+$I$346)/($F$346-$I$346)/(1+$F$346)^$N$3</f>
        <v>12722.101606029</v>
      </c>
      <c r="Q371" s="15" t="n">
        <f aca="false">O371+P371</f>
        <v>22136.2017274375</v>
      </c>
      <c r="R371" s="15" t="n">
        <f aca="false">Q371-$G$2+$I$2</f>
        <v>19020.0017274375</v>
      </c>
      <c r="S371" s="42" t="n">
        <f aca="false">R371/$K$2</f>
        <v>168.467685805469</v>
      </c>
      <c r="T371" s="43" t="n">
        <f aca="false">S371-$M$2</f>
        <v>1.53005973970721E-005</v>
      </c>
    </row>
    <row r="373" customFormat="false" ht="15" hidden="false" customHeight="false" outlineLevel="0" collapsed="false">
      <c r="A373" s="38" t="s">
        <v>197</v>
      </c>
      <c r="E373" s="5" t="s">
        <v>11</v>
      </c>
      <c r="F373" s="12" t="n">
        <f aca="false">Sensitivity!$B$12</f>
        <v>0.0811268672746673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165</v>
      </c>
      <c r="B374" s="28" t="s">
        <v>166</v>
      </c>
      <c r="C374" s="28" t="s">
        <v>167</v>
      </c>
      <c r="D374" s="28" t="s">
        <v>168</v>
      </c>
      <c r="E374" s="28" t="s">
        <v>169</v>
      </c>
      <c r="F374" s="28" t="s">
        <v>170</v>
      </c>
      <c r="G374" s="28" t="s">
        <v>171</v>
      </c>
      <c r="H374" s="28" t="s">
        <v>172</v>
      </c>
      <c r="I374" s="28" t="s">
        <v>173</v>
      </c>
      <c r="J374" s="28" t="s">
        <v>174</v>
      </c>
      <c r="K374" s="28" t="s">
        <v>175</v>
      </c>
      <c r="L374" s="28" t="s">
        <v>176</v>
      </c>
      <c r="M374" s="28" t="s">
        <v>177</v>
      </c>
      <c r="N374" s="28" t="s">
        <v>178</v>
      </c>
      <c r="O374" s="28" t="s">
        <v>179</v>
      </c>
      <c r="P374" s="28" t="s">
        <v>180</v>
      </c>
      <c r="Q374" s="28" t="s">
        <v>181</v>
      </c>
      <c r="R374" s="28" t="s">
        <v>182</v>
      </c>
      <c r="S374" s="28" t="s">
        <v>183</v>
      </c>
      <c r="T374" s="28" t="s">
        <v>184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9350</v>
      </c>
      <c r="F375" s="15" t="n">
        <f aca="false">E375*(1+IF(F$3&lt;=$O$2,$D375,$D375-($D375-$I$373)*MIN(F$3-$O$2,$Q$2)/$Q$2))</f>
        <v>11687.5</v>
      </c>
      <c r="G375" s="15" t="n">
        <f aca="false">F375*(1+IF(G$3&lt;=$O$2,$D375,$D375-($D375-$I$373)*MIN(G$3-$O$2,$Q$2)/$Q$2))</f>
        <v>14609.375</v>
      </c>
      <c r="H375" s="15" t="n">
        <f aca="false">G375*(1+IF(H$3&lt;=$O$2,$D375,$D375-($D375-$I$373)*MIN(H$3-$O$2,$Q$2)/$Q$2))</f>
        <v>18261.71875</v>
      </c>
      <c r="I375" s="15" t="n">
        <f aca="false">H375*(1+IF(I$3&lt;=$O$2,$D375,$D375-($D375-$I$373)*MIN(I$3-$O$2,$Q$2)/$Q$2))</f>
        <v>22827.1484375</v>
      </c>
      <c r="J375" s="15" t="n">
        <f aca="false">I375*(1+IF(J$3&lt;=$O$2,$D375,$D375-($D375-$I$373)*MIN(J$3-$O$2,$Q$2)/$Q$2))</f>
        <v>27521.7797851563</v>
      </c>
      <c r="K375" s="15" t="n">
        <f aca="false">J375*(1+IF(K$3&lt;=$O$2,$D375,$D375-($D375-$I$373)*MIN(K$3-$O$2,$Q$2)/$Q$2))</f>
        <v>31961.5933000977</v>
      </c>
      <c r="L375" s="15" t="n">
        <f aca="false">K375*(1+IF(L$3&lt;=$O$2,$D375,$D375-($D375-$I$373)*MIN(L$3-$O$2,$Q$2)/$Q$2))</f>
        <v>35700.4604843431</v>
      </c>
      <c r="M375" s="15" t="n">
        <f aca="false">L375*(1+IF(M$3&lt;=$O$2,$D375,$D375-($D375-$I$373)*MIN(M$3-$O$2,$Q$2)/$Q$2))</f>
        <v>38293.7419339258</v>
      </c>
      <c r="N375" s="15" t="n">
        <f aca="false">M375*(1+IF(N$3&lt;=$O$2,$D375,$D375-($D375-$I$373)*MIN(N$3-$O$2,$Q$2)/$Q$2))</f>
        <v>39377.4548306559</v>
      </c>
      <c r="O375" s="15" t="n">
        <f aca="false">SUMPRODUCT(E375:N375,1/(1+$F$373)^$E$3:$N$3)*$E$2</f>
        <v>25828.4304636483</v>
      </c>
      <c r="P375" s="15" t="n">
        <f aca="false">N375*$E$2*(1+$I$373)/($F$373-$I$373)/(1+$F$373)^$N$3</f>
        <v>60124.9032380198</v>
      </c>
      <c r="Q375" s="15" t="n">
        <f aca="false">O375+P375</f>
        <v>85953.333701668</v>
      </c>
      <c r="R375" s="15" t="n">
        <f aca="false">Q375-$G$2+$I$2</f>
        <v>82837.133701668</v>
      </c>
      <c r="S375" s="42" t="n">
        <f aca="false">R375/$K$2</f>
        <v>733.721290537361</v>
      </c>
      <c r="T375" s="43" t="n">
        <f aca="false">S375-$M$2</f>
        <v>565.253620032489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6545</v>
      </c>
      <c r="F376" s="15" t="n">
        <f aca="false">E376*(1+IF(F$3&lt;=$O$2,$D376,$D376-($D376-$I$373)*MIN(F$3-$O$2,$Q$2)/$Q$2))</f>
        <v>5726.875</v>
      </c>
      <c r="G376" s="15" t="n">
        <f aca="false">F376*(1+IF(G$3&lt;=$O$2,$D376,$D376-($D376-$I$373)*MIN(G$3-$O$2,$Q$2)/$Q$2))</f>
        <v>5011.015625</v>
      </c>
      <c r="H376" s="15" t="n">
        <f aca="false">G376*(1+IF(H$3&lt;=$O$2,$D376,$D376-($D376-$I$373)*MIN(H$3-$O$2,$Q$2)/$Q$2))</f>
        <v>4384.638671875</v>
      </c>
      <c r="I376" s="15" t="n">
        <f aca="false">H376*(1+IF(I$3&lt;=$O$2,$D376,$D376-($D376-$I$373)*MIN(I$3-$O$2,$Q$2)/$Q$2))</f>
        <v>3836.55883789063</v>
      </c>
      <c r="J376" s="15" t="n">
        <f aca="false">I376*(1+IF(J$3&lt;=$O$2,$D376,$D376-($D376-$I$373)*MIN(J$3-$O$2,$Q$2)/$Q$2))</f>
        <v>3474.61787712402</v>
      </c>
      <c r="K376" s="15" t="n">
        <f aca="false">J376*(1+IF(K$3&lt;=$O$2,$D376,$D376-($D376-$I$373)*MIN(K$3-$O$2,$Q$2)/$Q$2))</f>
        <v>3253.35421070877</v>
      </c>
      <c r="L376" s="15" t="n">
        <f aca="false">K376*(1+IF(L$3&lt;=$O$2,$D376,$D376-($D376-$I$373)*MIN(L$3-$O$2,$Q$2)/$Q$2))</f>
        <v>3145.92845467116</v>
      </c>
      <c r="M376" s="15" t="n">
        <f aca="false">L376*(1+IF(M$3&lt;=$O$2,$D376,$D376-($D376-$I$373)*MIN(M$3-$O$2,$Q$2)/$Q$2))</f>
        <v>3138.50406351814</v>
      </c>
      <c r="N376" s="15" t="n">
        <f aca="false">M376*(1+IF(N$3&lt;=$O$2,$D376,$D376-($D376-$I$373)*MIN(N$3-$O$2,$Q$2)/$Q$2))</f>
        <v>3227.3237285157</v>
      </c>
      <c r="O376" s="15" t="n">
        <f aca="false">SUMPRODUCT(E376:N376,1/(1+$F$373)^$E$3:$N$3)*$E$2</f>
        <v>5049.26259959599</v>
      </c>
      <c r="P376" s="15" t="n">
        <f aca="false">N376*$E$2*(1+$I$373)/($F$373-$I$373)/(1+$F$373)^$N$3</f>
        <v>4927.75695456343</v>
      </c>
      <c r="Q376" s="15" t="n">
        <f aca="false">O376+P376</f>
        <v>9977.01955415942</v>
      </c>
      <c r="R376" s="15" t="n">
        <f aca="false">Q376-$G$2+$I$2</f>
        <v>6860.81955415942</v>
      </c>
      <c r="S376" s="42" t="n">
        <f aca="false">R376/$K$2</f>
        <v>60.7689951652739</v>
      </c>
      <c r="T376" s="43" t="n">
        <f aca="false">S376-$M$2</f>
        <v>-107.698675339598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7947.5</v>
      </c>
      <c r="F377" s="15" t="n">
        <f aca="false">E377*(1+IF(F$3&lt;=$O$2,$D377,$D377-($D377-$I$373)*MIN(F$3-$O$2,$Q$2)/$Q$2))</f>
        <v>8444.21875</v>
      </c>
      <c r="G377" s="15" t="n">
        <f aca="false">F377*(1+IF(G$3&lt;=$O$2,$D377,$D377-($D377-$I$373)*MIN(G$3-$O$2,$Q$2)/$Q$2))</f>
        <v>8971.982421875</v>
      </c>
      <c r="H377" s="15" t="n">
        <f aca="false">G377*(1+IF(H$3&lt;=$O$2,$D377,$D377-($D377-$I$373)*MIN(H$3-$O$2,$Q$2)/$Q$2))</f>
        <v>9532.73132324219</v>
      </c>
      <c r="I377" s="15" t="n">
        <f aca="false">H377*(1+IF(I$3&lt;=$O$2,$D377,$D377-($D377-$I$373)*MIN(I$3-$O$2,$Q$2)/$Q$2))</f>
        <v>10128.5270309448</v>
      </c>
      <c r="J377" s="15" t="n">
        <f aca="false">I377*(1+IF(J$3&lt;=$O$2,$D377,$D377-($D377-$I$373)*MIN(J$3-$O$2,$Q$2)/$Q$2))</f>
        <v>10692.2808454872</v>
      </c>
      <c r="K377" s="15" t="n">
        <f aca="false">J377*(1+IF(K$3&lt;=$O$2,$D377,$D377-($D377-$I$373)*MIN(K$3-$O$2,$Q$2)/$Q$2))</f>
        <v>11214.2779963639</v>
      </c>
      <c r="L377" s="15" t="n">
        <f aca="false">K377*(1+IF(L$3&lt;=$O$2,$D377,$D377-($D377-$I$373)*MIN(L$3-$O$2,$Q$2)/$Q$2))</f>
        <v>11685.0533866513</v>
      </c>
      <c r="M377" s="15" t="n">
        <f aca="false">L377*(1+IF(M$3&lt;=$O$2,$D377,$D377-($D377-$I$373)*MIN(M$3-$O$2,$Q$2)/$Q$2))</f>
        <v>12095.6661626582</v>
      </c>
      <c r="N377" s="15" t="n">
        <f aca="false">M377*(1+IF(N$3&lt;=$O$2,$D377,$D377-($D377-$I$373)*MIN(N$3-$O$2,$Q$2)/$Q$2))</f>
        <v>12437.9735150614</v>
      </c>
      <c r="O377" s="15" t="n">
        <f aca="false">SUMPRODUCT(E377:N377,1/(1+$F$373)^$E$3:$N$3)*$E$2</f>
        <v>11406.8608367729</v>
      </c>
      <c r="P377" s="15" t="n">
        <f aca="false">N377*$E$2*(1+$I$373)/($F$373-$I$373)/(1+$F$373)^$N$3</f>
        <v>18991.3735482955</v>
      </c>
      <c r="Q377" s="15" t="n">
        <f aca="false">O377+P377</f>
        <v>30398.2343850684</v>
      </c>
      <c r="R377" s="15" t="n">
        <f aca="false">Q377-$G$2+$I$2</f>
        <v>27282.0343850684</v>
      </c>
      <c r="S377" s="42" t="n">
        <f aca="false">R377/$K$2</f>
        <v>241.647780204326</v>
      </c>
      <c r="T377" s="43" t="n">
        <f aca="false">S377-$M$2</f>
        <v>73.1801096994546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41" t="n">
        <f aca="false">(B378+C378)/2</f>
        <v>-0.03125</v>
      </c>
      <c r="E378" s="15" t="n">
        <f aca="false">$C$2*(1+IF(E$3&lt;=$O$2,$D378,$D378-($D378-$I$373)*MIN(E$3-$O$2,$Q$2)/$Q$2))</f>
        <v>7246.25</v>
      </c>
      <c r="F378" s="15" t="n">
        <f aca="false">E378*(1+IF(F$3&lt;=$O$2,$D378,$D378-($D378-$I$373)*MIN(F$3-$O$2,$Q$2)/$Q$2))</f>
        <v>7019.8046875</v>
      </c>
      <c r="G378" s="15" t="n">
        <f aca="false">F378*(1+IF(G$3&lt;=$O$2,$D378,$D378-($D378-$I$373)*MIN(G$3-$O$2,$Q$2)/$Q$2))</f>
        <v>6800.43579101563</v>
      </c>
      <c r="H378" s="15" t="n">
        <f aca="false">G378*(1+IF(H$3&lt;=$O$2,$D378,$D378-($D378-$I$373)*MIN(H$3-$O$2,$Q$2)/$Q$2))</f>
        <v>6587.92217254639</v>
      </c>
      <c r="I378" s="15" t="n">
        <f aca="false">H378*(1+IF(I$3&lt;=$O$2,$D378,$D378-($D378-$I$373)*MIN(I$3-$O$2,$Q$2)/$Q$2))</f>
        <v>6382.04960465431</v>
      </c>
      <c r="J378" s="15" t="n">
        <f aca="false">I378*(1+IF(J$3&lt;=$O$2,$D378,$D378-($D378-$I$373)*MIN(J$3-$O$2,$Q$2)/$Q$2))</f>
        <v>6258.6207653003</v>
      </c>
      <c r="K378" s="15" t="n">
        <f aca="false">J378*(1+IF(K$3&lt;=$O$2,$D378,$D378-($D378-$I$373)*MIN(K$3-$O$2,$Q$2)/$Q$2))</f>
        <v>6212.11921301412</v>
      </c>
      <c r="L378" s="15" t="n">
        <f aca="false">K378*(1+IF(L$3&lt;=$O$2,$D378,$D378-($D378-$I$373)*MIN(L$3-$O$2,$Q$2)/$Q$2))</f>
        <v>6239.94950708842</v>
      </c>
      <c r="M378" s="15" t="n">
        <f aca="false">L378*(1+IF(M$3&lt;=$O$2,$D378,$D378-($D378-$I$373)*MIN(M$3-$O$2,$Q$2)/$Q$2))</f>
        <v>6342.2222795096</v>
      </c>
      <c r="N378" s="15" t="n">
        <f aca="false">M378*(1+IF(N$3&lt;=$O$2,$D378,$D378-($D378-$I$373)*MIN(N$3-$O$2,$Q$2)/$Q$2))</f>
        <v>6521.70717001972</v>
      </c>
      <c r="O378" s="15" t="n">
        <f aca="false">SUMPRODUCT(E378:N378,1/(1+$F$373)^$E$3:$N$3)*$E$2</f>
        <v>7568.1620091986</v>
      </c>
      <c r="P378" s="15" t="n">
        <f aca="false">N378*$E$2*(1+$I$373)/($F$373-$I$373)/(1+$F$373)^$N$3</f>
        <v>9957.90647796939</v>
      </c>
      <c r="Q378" s="15" t="n">
        <f aca="false">O378+P378</f>
        <v>17526.068487168</v>
      </c>
      <c r="R378" s="15" t="n">
        <f aca="false">Q378-$G$2+$I$2</f>
        <v>14409.868487168</v>
      </c>
      <c r="S378" s="42" t="n">
        <f aca="false">R378/$K$2</f>
        <v>127.633910426643</v>
      </c>
      <c r="T378" s="43" t="n">
        <f aca="false">S378-$M$2</f>
        <v>-40.8337600782286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41" t="n">
        <f aca="false">(B379+C379)/2</f>
        <v>0.015625</v>
      </c>
      <c r="E379" s="15" t="n">
        <f aca="false">$C$2*(1+IF(E$3&lt;=$O$2,$D379,$D379-($D379-$I$373)*MIN(E$3-$O$2,$Q$2)/$Q$2))</f>
        <v>7596.875</v>
      </c>
      <c r="F379" s="15" t="n">
        <f aca="false">E379*(1+IF(F$3&lt;=$O$2,$D379,$D379-($D379-$I$373)*MIN(F$3-$O$2,$Q$2)/$Q$2))</f>
        <v>7715.576171875</v>
      </c>
      <c r="G379" s="15" t="n">
        <f aca="false">F379*(1+IF(G$3&lt;=$O$2,$D379,$D379-($D379-$I$373)*MIN(G$3-$O$2,$Q$2)/$Q$2))</f>
        <v>7836.13204956055</v>
      </c>
      <c r="H379" s="15" t="n">
        <f aca="false">G379*(1+IF(H$3&lt;=$O$2,$D379,$D379-($D379-$I$373)*MIN(H$3-$O$2,$Q$2)/$Q$2))</f>
        <v>7958.57161283493</v>
      </c>
      <c r="I379" s="15" t="n">
        <f aca="false">H379*(1+IF(I$3&lt;=$O$2,$D379,$D379-($D379-$I$373)*MIN(I$3-$O$2,$Q$2)/$Q$2))</f>
        <v>8082.92429428548</v>
      </c>
      <c r="J379" s="15" t="n">
        <f aca="false">I379*(1+IF(J$3&lt;=$O$2,$D379,$D379-($D379-$I$373)*MIN(J$3-$O$2,$Q$2)/$Q$2))</f>
        <v>8229.7101994697</v>
      </c>
      <c r="K379" s="15" t="n">
        <f aca="false">J379*(1+IF(K$3&lt;=$O$2,$D379,$D379-($D379-$I$373)*MIN(K$3-$O$2,$Q$2)/$Q$2))</f>
        <v>8400.02405204773</v>
      </c>
      <c r="L379" s="15" t="n">
        <f aca="false">K379*(1+IF(L$3&lt;=$O$2,$D379,$D379-($D379-$I$373)*MIN(L$3-$O$2,$Q$2)/$Q$2))</f>
        <v>8595.15661077679</v>
      </c>
      <c r="M379" s="15" t="n">
        <f aca="false">L379*(1+IF(M$3&lt;=$O$2,$D379,$D379-($D379-$I$373)*MIN(M$3-$O$2,$Q$2)/$Q$2))</f>
        <v>8816.61082085346</v>
      </c>
      <c r="N379" s="15" t="n">
        <f aca="false">M379*(1+IF(N$3&lt;=$O$2,$D379,$D379-($D379-$I$373)*MIN(N$3-$O$2,$Q$2)/$Q$2))</f>
        <v>9066.12090708361</v>
      </c>
      <c r="O379" s="15" t="n">
        <f aca="false">SUMPRODUCT(E379:N379,1/(1+$F$373)^$E$3:$N$3)*$E$2</f>
        <v>9287.97957427391</v>
      </c>
      <c r="P379" s="15" t="n">
        <f aca="false">N379*$E$2*(1+$I$373)/($F$373-$I$373)/(1+$F$373)^$N$3</f>
        <v>13842.9374022981</v>
      </c>
      <c r="Q379" s="15" t="n">
        <f aca="false">O379+P379</f>
        <v>23130.916976572</v>
      </c>
      <c r="R379" s="15" t="n">
        <f aca="false">Q379-$G$2+$I$2</f>
        <v>20014.716976572</v>
      </c>
      <c r="S379" s="42" t="n">
        <f aca="false">R379/$K$2</f>
        <v>177.278272600284</v>
      </c>
      <c r="T379" s="43" t="n">
        <f aca="false">S379-$M$2</f>
        <v>8.81060209541195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-0.03125</v>
      </c>
      <c r="C380" s="25" t="n">
        <f aca="false">IF(T379&gt;0,D379,C379)</f>
        <v>0.015625</v>
      </c>
      <c r="D380" s="41" t="n">
        <f aca="false">(B380+C380)/2</f>
        <v>-0.0078125</v>
      </c>
      <c r="E380" s="15" t="n">
        <f aca="false">$C$2*(1+IF(E$3&lt;=$O$2,$D380,$D380-($D380-$I$373)*MIN(E$3-$O$2,$Q$2)/$Q$2))</f>
        <v>7421.5625</v>
      </c>
      <c r="F380" s="15" t="n">
        <f aca="false">E380*(1+IF(F$3&lt;=$O$2,$D380,$D380-($D380-$I$373)*MIN(F$3-$O$2,$Q$2)/$Q$2))</f>
        <v>7363.58154296875</v>
      </c>
      <c r="G380" s="15" t="n">
        <f aca="false">F380*(1+IF(G$3&lt;=$O$2,$D380,$D380-($D380-$I$373)*MIN(G$3-$O$2,$Q$2)/$Q$2))</f>
        <v>7306.05356216431</v>
      </c>
      <c r="H380" s="15" t="n">
        <f aca="false">G380*(1+IF(H$3&lt;=$O$2,$D380,$D380-($D380-$I$373)*MIN(H$3-$O$2,$Q$2)/$Q$2))</f>
        <v>7248.9750187099</v>
      </c>
      <c r="I380" s="15" t="n">
        <f aca="false">H380*(1+IF(I$3&lt;=$O$2,$D380,$D380-($D380-$I$373)*MIN(I$3-$O$2,$Q$2)/$Q$2))</f>
        <v>7192.34240137623</v>
      </c>
      <c r="J380" s="15" t="n">
        <f aca="false">I380*(1+IF(J$3&lt;=$O$2,$D380,$D380-($D380-$I$373)*MIN(J$3-$O$2,$Q$2)/$Q$2))</f>
        <v>7188.09891935942</v>
      </c>
      <c r="K380" s="15" t="n">
        <f aca="false">J380*(1+IF(K$3&lt;=$O$2,$D380,$D380-($D380-$I$373)*MIN(K$3-$O$2,$Q$2)/$Q$2))</f>
        <v>7235.77398544207</v>
      </c>
      <c r="L380" s="15" t="n">
        <f aca="false">K380*(1+IF(L$3&lt;=$O$2,$D380,$D380-($D380-$I$373)*MIN(L$3-$O$2,$Q$2)/$Q$2))</f>
        <v>7336.02563401037</v>
      </c>
      <c r="M380" s="15" t="n">
        <f aca="false">L380*(1+IF(M$3&lt;=$O$2,$D380,$D380-($D380-$I$373)*MIN(M$3-$O$2,$Q$2)/$Q$2))</f>
        <v>7490.65071431122</v>
      </c>
      <c r="N380" s="15" t="n">
        <f aca="false">M380*(1+IF(N$3&lt;=$O$2,$D380,$D380-($D380-$I$373)*MIN(N$3-$O$2,$Q$2)/$Q$2))</f>
        <v>7702.63612952623</v>
      </c>
      <c r="O380" s="15" t="n">
        <f aca="false">SUMPRODUCT(E380:N380,1/(1+$F$373)^$E$3:$N$3)*$E$2</f>
        <v>8382.98292610674</v>
      </c>
      <c r="P380" s="15" t="n">
        <f aca="false">N380*$E$2*(1+$I$373)/($F$373-$I$373)/(1+$F$373)^$N$3</f>
        <v>11761.0509352904</v>
      </c>
      <c r="Q380" s="15" t="n">
        <f aca="false">O380+P380</f>
        <v>20144.0338613971</v>
      </c>
      <c r="R380" s="15" t="n">
        <f aca="false">Q380-$G$2+$I$2</f>
        <v>17027.8338613971</v>
      </c>
      <c r="S380" s="42" t="n">
        <f aca="false">R380/$K$2</f>
        <v>150.822266265696</v>
      </c>
      <c r="T380" s="43" t="n">
        <f aca="false">S380-$M$2</f>
        <v>-17.6454042391754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-0.0078125</v>
      </c>
      <c r="C381" s="25" t="n">
        <f aca="false">IF(T380&gt;0,D380,C380)</f>
        <v>0.015625</v>
      </c>
      <c r="D381" s="41" t="n">
        <f aca="false">(B381+C381)/2</f>
        <v>0.00390625</v>
      </c>
      <c r="E381" s="15" t="n">
        <f aca="false">$C$2*(1+IF(E$3&lt;=$O$2,$D381,$D381-($D381-$I$373)*MIN(E$3-$O$2,$Q$2)/$Q$2))</f>
        <v>7509.21875</v>
      </c>
      <c r="F381" s="15" t="n">
        <f aca="false">E381*(1+IF(F$3&lt;=$O$2,$D381,$D381-($D381-$I$373)*MIN(F$3-$O$2,$Q$2)/$Q$2))</f>
        <v>7538.55163574219</v>
      </c>
      <c r="G381" s="15" t="n">
        <f aca="false">F381*(1+IF(G$3&lt;=$O$2,$D381,$D381-($D381-$I$373)*MIN(G$3-$O$2,$Q$2)/$Q$2))</f>
        <v>7567.99910306931</v>
      </c>
      <c r="H381" s="15" t="n">
        <f aca="false">G381*(1+IF(H$3&lt;=$O$2,$D381,$D381-($D381-$I$373)*MIN(H$3-$O$2,$Q$2)/$Q$2))</f>
        <v>7597.56159956567</v>
      </c>
      <c r="I381" s="15" t="n">
        <f aca="false">H381*(1+IF(I$3&lt;=$O$2,$D381,$D381-($D381-$I$373)*MIN(I$3-$O$2,$Q$2)/$Q$2))</f>
        <v>7627.23957456397</v>
      </c>
      <c r="J381" s="15" t="n">
        <f aca="false">I381*(1+IF(J$3&lt;=$O$2,$D381,$D381-($D381-$I$373)*MIN(J$3-$O$2,$Q$2)/$Q$2))</f>
        <v>7694.24487422652</v>
      </c>
      <c r="K381" s="15" t="n">
        <f aca="false">J381*(1+IF(K$3&lt;=$O$2,$D381,$D381-($D381-$I$373)*MIN(K$3-$O$2,$Q$2)/$Q$2))</f>
        <v>7799.37711262673</v>
      </c>
      <c r="L381" s="15" t="n">
        <f aca="false">K381*(1+IF(L$3&lt;=$O$2,$D381,$D381-($D381-$I$373)*MIN(L$3-$O$2,$Q$2)/$Q$2))</f>
        <v>7943.99706273761</v>
      </c>
      <c r="M381" s="15" t="n">
        <f aca="false">L381*(1+IF(M$3&lt;=$O$2,$D381,$D381-($D381-$I$373)*MIN(M$3-$O$2,$Q$2)/$Q$2))</f>
        <v>8130.05540394325</v>
      </c>
      <c r="N381" s="15" t="n">
        <f aca="false">M381*(1+IF(N$3&lt;=$O$2,$D381,$D381-($D381-$I$373)*MIN(N$3-$O$2,$Q$2)/$Q$2))</f>
        <v>8360.13597187485</v>
      </c>
      <c r="O381" s="15" t="n">
        <f aca="false">SUMPRODUCT(E381:N381,1/(1+$F$373)^$E$3:$N$3)*$E$2</f>
        <v>8823.64199612503</v>
      </c>
      <c r="P381" s="15" t="n">
        <f aca="false">N381*$E$2*(1+$I$373)/($F$373-$I$373)/(1+$F$373)^$N$3</f>
        <v>12764.9785525077</v>
      </c>
      <c r="Q381" s="15" t="n">
        <f aca="false">O381+P381</f>
        <v>21588.6205486327</v>
      </c>
      <c r="R381" s="15" t="n">
        <f aca="false">Q381-$G$2+$I$2</f>
        <v>18472.4205486327</v>
      </c>
      <c r="S381" s="42" t="n">
        <f aca="false">R381/$K$2</f>
        <v>163.61754250339</v>
      </c>
      <c r="T381" s="43" t="n">
        <f aca="false">S381-$M$2</f>
        <v>-4.85012800148147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0.00390625</v>
      </c>
      <c r="C382" s="25" t="n">
        <f aca="false">IF(T381&gt;0,D381,C381)</f>
        <v>0.015625</v>
      </c>
      <c r="D382" s="41" t="n">
        <f aca="false">(B382+C382)/2</f>
        <v>0.009765625</v>
      </c>
      <c r="E382" s="15" t="n">
        <f aca="false">$C$2*(1+IF(E$3&lt;=$O$2,$D382,$D382-($D382-$I$373)*MIN(E$3-$O$2,$Q$2)/$Q$2))</f>
        <v>7553.046875</v>
      </c>
      <c r="F382" s="15" t="n">
        <f aca="false">E382*(1+IF(F$3&lt;=$O$2,$D382,$D382-($D382-$I$373)*MIN(F$3-$O$2,$Q$2)/$Q$2))</f>
        <v>7626.80709838867</v>
      </c>
      <c r="G382" s="15" t="n">
        <f aca="false">F382*(1+IF(G$3&lt;=$O$2,$D382,$D382-($D382-$I$373)*MIN(G$3-$O$2,$Q$2)/$Q$2))</f>
        <v>7701.28763645887</v>
      </c>
      <c r="H382" s="15" t="n">
        <f aca="false">G382*(1+IF(H$3&lt;=$O$2,$D382,$D382-($D382-$I$373)*MIN(H$3-$O$2,$Q$2)/$Q$2))</f>
        <v>7776.49552353367</v>
      </c>
      <c r="I382" s="15" t="n">
        <f aca="false">H382*(1+IF(I$3&lt;=$O$2,$D382,$D382-($D382-$I$373)*MIN(I$3-$O$2,$Q$2)/$Q$2))</f>
        <v>7852.43786263068</v>
      </c>
      <c r="J382" s="15" t="n">
        <f aca="false">I382*(1+IF(J$3&lt;=$O$2,$D382,$D382-($D382-$I$373)*MIN(J$3-$O$2,$Q$2)/$Q$2))</f>
        <v>7958.22983173497</v>
      </c>
      <c r="K382" s="15" t="n">
        <f aca="false">J382*(1+IF(K$3&lt;=$O$2,$D382,$D382-($D382-$I$373)*MIN(K$3-$O$2,$Q$2)/$Q$2))</f>
        <v>8094.94724635053</v>
      </c>
      <c r="L382" s="15" t="n">
        <f aca="false">K382*(1+IF(L$3&lt;=$O$2,$D382,$D382-($D382-$I$373)*MIN(L$3-$O$2,$Q$2)/$Q$2))</f>
        <v>8264.02033827462</v>
      </c>
      <c r="M382" s="15" t="n">
        <f aca="false">L382*(1+IF(M$3&lt;=$O$2,$D382,$D382-($D382-$I$373)*MIN(M$3-$O$2,$Q$2)/$Q$2))</f>
        <v>8467.25842345635</v>
      </c>
      <c r="N382" s="15" t="n">
        <f aca="false">M382*(1+IF(N$3&lt;=$O$2,$D382,$D382-($D382-$I$373)*MIN(N$3-$O$2,$Q$2)/$Q$2))</f>
        <v>8706.88183684016</v>
      </c>
      <c r="O382" s="15" t="n">
        <f aca="false">SUMPRODUCT(E382:N382,1/(1+$F$373)^$E$3:$N$3)*$E$2</f>
        <v>9052.77734190328</v>
      </c>
      <c r="P382" s="15" t="n">
        <f aca="false">N382*$E$2*(1+$I$373)/($F$373-$I$373)/(1+$F$373)^$N$3</f>
        <v>13294.4201243127</v>
      </c>
      <c r="Q382" s="15" t="n">
        <f aca="false">O382+P382</f>
        <v>22347.197466216</v>
      </c>
      <c r="R382" s="15" t="n">
        <f aca="false">Q382-$G$2+$I$2</f>
        <v>19230.997466216</v>
      </c>
      <c r="S382" s="42" t="n">
        <f aca="false">R382/$K$2</f>
        <v>170.336558602445</v>
      </c>
      <c r="T382" s="43" t="n">
        <f aca="false">S382-$M$2</f>
        <v>1.86888809757309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0.00390625</v>
      </c>
      <c r="C383" s="25" t="n">
        <f aca="false">IF(T382&gt;0,D382,C382)</f>
        <v>0.009765625</v>
      </c>
      <c r="D383" s="41" t="n">
        <f aca="false">(B383+C383)/2</f>
        <v>0.0068359375</v>
      </c>
      <c r="E383" s="15" t="n">
        <f aca="false">$C$2*(1+IF(E$3&lt;=$O$2,$D383,$D383-($D383-$I$373)*MIN(E$3-$O$2,$Q$2)/$Q$2))</f>
        <v>7531.1328125</v>
      </c>
      <c r="F383" s="15" t="n">
        <f aca="false">E383*(1+IF(F$3&lt;=$O$2,$D383,$D383-($D383-$I$373)*MIN(F$3-$O$2,$Q$2)/$Q$2))</f>
        <v>7582.61516571045</v>
      </c>
      <c r="G383" s="15" t="n">
        <f aca="false">F383*(1+IF(G$3&lt;=$O$2,$D383,$D383-($D383-$I$373)*MIN(G$3-$O$2,$Q$2)/$Q$2))</f>
        <v>7634.4494490698</v>
      </c>
      <c r="H383" s="15" t="n">
        <f aca="false">G383*(1+IF(H$3&lt;=$O$2,$D383,$D383-($D383-$I$373)*MIN(H$3-$O$2,$Q$2)/$Q$2))</f>
        <v>7686.63806835055</v>
      </c>
      <c r="I383" s="15" t="n">
        <f aca="false">H383*(1+IF(I$3&lt;=$O$2,$D383,$D383-($D383-$I$373)*MIN(I$3-$O$2,$Q$2)/$Q$2))</f>
        <v>7739.18344577091</v>
      </c>
      <c r="J383" s="15" t="n">
        <f aca="false">I383*(1+IF(J$3&lt;=$O$2,$D383,$D383-($D383-$I$373)*MIN(J$3-$O$2,$Q$2)/$Q$2))</f>
        <v>7825.31088354304</v>
      </c>
      <c r="K383" s="15" t="n">
        <f aca="false">J383*(1+IF(K$3&lt;=$O$2,$D383,$D383-($D383-$I$373)*MIN(K$3-$O$2,$Q$2)/$Q$2))</f>
        <v>7945.98940441553</v>
      </c>
      <c r="L383" s="15" t="n">
        <f aca="false">K383*(1+IF(L$3&lt;=$O$2,$D383,$D383-($D383-$I$373)*MIN(L$3-$O$2,$Q$2)/$Q$2))</f>
        <v>8102.6396192802</v>
      </c>
      <c r="M383" s="15" t="n">
        <f aca="false">L383*(1+IF(M$3&lt;=$O$2,$D383,$D383-($D383-$I$373)*MIN(M$3-$O$2,$Q$2)/$Q$2))</f>
        <v>8297.16120786519</v>
      </c>
      <c r="N383" s="15" t="n">
        <f aca="false">M383*(1+IF(N$3&lt;=$O$2,$D383,$D383-($D383-$I$373)*MIN(N$3-$O$2,$Q$2)/$Q$2))</f>
        <v>8531.97087004777</v>
      </c>
      <c r="O383" s="15" t="n">
        <f aca="false">SUMPRODUCT(E383:N383,1/(1+$F$373)^$E$3:$N$3)*$E$2</f>
        <v>8937.4606361229</v>
      </c>
      <c r="P383" s="15" t="n">
        <f aca="false">N383*$E$2*(1+$I$373)/($F$373-$I$373)/(1+$F$373)^$N$3</f>
        <v>13027.3509346232</v>
      </c>
      <c r="Q383" s="15" t="n">
        <f aca="false">O383+P383</f>
        <v>21964.811570746</v>
      </c>
      <c r="R383" s="15" t="n">
        <f aca="false">Q383-$G$2+$I$2</f>
        <v>18848.611570746</v>
      </c>
      <c r="S383" s="42" t="n">
        <f aca="false">R383/$K$2</f>
        <v>166.949615329903</v>
      </c>
      <c r="T383" s="43" t="n">
        <f aca="false">S383-$M$2</f>
        <v>-1.51805517496862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0.0068359375</v>
      </c>
      <c r="C384" s="25" t="n">
        <f aca="false">IF(T383&gt;0,D383,C383)</f>
        <v>0.009765625</v>
      </c>
      <c r="D384" s="41" t="n">
        <f aca="false">(B384+C384)/2</f>
        <v>0.00830078125</v>
      </c>
      <c r="E384" s="15" t="n">
        <f aca="false">$C$2*(1+IF(E$3&lt;=$O$2,$D384,$D384-($D384-$I$373)*MIN(E$3-$O$2,$Q$2)/$Q$2))</f>
        <v>7542.08984375</v>
      </c>
      <c r="F384" s="15" t="n">
        <f aca="false">E384*(1+IF(F$3&lt;=$O$2,$D384,$D384-($D384-$I$373)*MIN(F$3-$O$2,$Q$2)/$Q$2))</f>
        <v>7604.69508171082</v>
      </c>
      <c r="G384" s="15" t="n">
        <f aca="false">F384*(1+IF(G$3&lt;=$O$2,$D384,$D384-($D384-$I$373)*MIN(G$3-$O$2,$Q$2)/$Q$2))</f>
        <v>7667.81999205705</v>
      </c>
      <c r="H384" s="15" t="n">
        <f aca="false">G384*(1+IF(H$3&lt;=$O$2,$D384,$D384-($D384-$I$373)*MIN(H$3-$O$2,$Q$2)/$Q$2))</f>
        <v>7731.46888847549</v>
      </c>
      <c r="I384" s="15" t="n">
        <f aca="false">H384*(1+IF(I$3&lt;=$O$2,$D384,$D384-($D384-$I$373)*MIN(I$3-$O$2,$Q$2)/$Q$2))</f>
        <v>7795.64612045991</v>
      </c>
      <c r="J384" s="15" t="n">
        <f aca="false">I384*(1+IF(J$3&lt;=$O$2,$D384,$D384-($D384-$I$373)*MIN(J$3-$O$2,$Q$2)/$Q$2))</f>
        <v>7891.53744002039</v>
      </c>
      <c r="K384" s="15" t="n">
        <f aca="false">J384*(1+IF(K$3&lt;=$O$2,$D384,$D384-($D384-$I$373)*MIN(K$3-$O$2,$Q$2)/$Q$2))</f>
        <v>8020.1731994509</v>
      </c>
      <c r="L384" s="15" t="n">
        <f aca="false">K384*(1+IF(L$3&lt;=$O$2,$D384,$D384-($D384-$I$373)*MIN(L$3-$O$2,$Q$2)/$Q$2))</f>
        <v>8182.98522170387</v>
      </c>
      <c r="M384" s="15" t="n">
        <f aca="false">L384*(1+IF(M$3&lt;=$O$2,$D384,$D384-($D384-$I$373)*MIN(M$3-$O$2,$Q$2)/$Q$2))</f>
        <v>8381.83304118272</v>
      </c>
      <c r="N384" s="15" t="n">
        <f aca="false">M384*(1+IF(N$3&lt;=$O$2,$D384,$D384-($D384-$I$373)*MIN(N$3-$O$2,$Q$2)/$Q$2))</f>
        <v>8619.03891624819</v>
      </c>
      <c r="O384" s="15" t="n">
        <f aca="false">SUMPRODUCT(E384:N384,1/(1+$F$373)^$E$3:$N$3)*$E$2</f>
        <v>8994.93057263794</v>
      </c>
      <c r="P384" s="15" t="n">
        <f aca="false">N384*$E$2*(1+$I$373)/($F$373-$I$373)/(1+$F$373)^$N$3</f>
        <v>13160.2939568534</v>
      </c>
      <c r="Q384" s="15" t="n">
        <f aca="false">O384+P384</f>
        <v>22155.2245294914</v>
      </c>
      <c r="R384" s="15" t="n">
        <f aca="false">Q384-$G$2+$I$2</f>
        <v>19039.0245294914</v>
      </c>
      <c r="S384" s="42" t="n">
        <f aca="false">R384/$K$2</f>
        <v>168.636178294875</v>
      </c>
      <c r="T384" s="43" t="n">
        <f aca="false">S384-$M$2</f>
        <v>0.168507790003218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0.0068359375</v>
      </c>
      <c r="C385" s="25" t="n">
        <f aca="false">IF(T384&gt;0,D384,C384)</f>
        <v>0.00830078125</v>
      </c>
      <c r="D385" s="41" t="n">
        <f aca="false">(B385+C385)/2</f>
        <v>0.007568359375</v>
      </c>
      <c r="E385" s="15" t="n">
        <f aca="false">$C$2*(1+IF(E$3&lt;=$O$2,$D385,$D385-($D385-$I$373)*MIN(E$3-$O$2,$Q$2)/$Q$2))</f>
        <v>7536.611328125</v>
      </c>
      <c r="F385" s="15" t="n">
        <f aca="false">E385*(1+IF(F$3&lt;=$O$2,$D385,$D385-($D385-$I$373)*MIN(F$3-$O$2,$Q$2)/$Q$2))</f>
        <v>7593.65111112595</v>
      </c>
      <c r="G385" s="15" t="n">
        <f aca="false">F385*(1+IF(G$3&lt;=$O$2,$D385,$D385-($D385-$I$373)*MIN(G$3-$O$2,$Q$2)/$Q$2))</f>
        <v>7651.12259170332</v>
      </c>
      <c r="H385" s="15" t="n">
        <f aca="false">G385*(1+IF(H$3&lt;=$O$2,$D385,$D385-($D385-$I$373)*MIN(H$3-$O$2,$Q$2)/$Q$2))</f>
        <v>7709.02903709951</v>
      </c>
      <c r="I385" s="15" t="n">
        <f aca="false">H385*(1+IF(I$3&lt;=$O$2,$D385,$D385-($D385-$I$373)*MIN(I$3-$O$2,$Q$2)/$Q$2))</f>
        <v>7767.37373928459</v>
      </c>
      <c r="J385" s="15" t="n">
        <f aca="false">I385*(1+IF(J$3&lt;=$O$2,$D385,$D385-($D385-$I$373)*MIN(J$3-$O$2,$Q$2)/$Q$2))</f>
        <v>7858.36609533601</v>
      </c>
      <c r="K385" s="15" t="n">
        <f aca="false">J385*(1+IF(K$3&lt;=$O$2,$D385,$D385-($D385-$I$373)*MIN(K$3-$O$2,$Q$2)/$Q$2))</f>
        <v>7983.00776276111</v>
      </c>
      <c r="L385" s="15" t="n">
        <f aca="false">K385*(1+IF(L$3&lt;=$O$2,$D385,$D385-($D385-$I$373)*MIN(L$3-$O$2,$Q$2)/$Q$2))</f>
        <v>8142.72654322959</v>
      </c>
      <c r="M385" s="15" t="n">
        <f aca="false">L385*(1+IF(M$3&lt;=$O$2,$D385,$D385-($D385-$I$373)*MIN(M$3-$O$2,$Q$2)/$Q$2))</f>
        <v>8339.40328832261</v>
      </c>
      <c r="N385" s="15" t="n">
        <f aca="false">M385*(1+IF(N$3&lt;=$O$2,$D385,$D385-($D385-$I$373)*MIN(N$3-$O$2,$Q$2)/$Q$2))</f>
        <v>8575.40840138213</v>
      </c>
      <c r="O385" s="15" t="n">
        <f aca="false">SUMPRODUCT(E385:N385,1/(1+$F$373)^$E$3:$N$3)*$E$2</f>
        <v>8966.14864554324</v>
      </c>
      <c r="P385" s="15" t="n">
        <f aca="false">N385*$E$2*(1+$I$373)/($F$373-$I$373)/(1+$F$373)^$N$3</f>
        <v>13093.675113766</v>
      </c>
      <c r="Q385" s="15" t="n">
        <f aca="false">O385+P385</f>
        <v>22059.8237593092</v>
      </c>
      <c r="R385" s="15" t="n">
        <f aca="false">Q385-$G$2+$I$2</f>
        <v>18943.6237593092</v>
      </c>
      <c r="S385" s="42" t="n">
        <f aca="false">R385/$K$2</f>
        <v>167.791175901765</v>
      </c>
      <c r="T385" s="43" t="n">
        <f aca="false">S385-$M$2</f>
        <v>-0.676494603107102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0.007568359375</v>
      </c>
      <c r="C386" s="25" t="n">
        <f aca="false">IF(T385&gt;0,D385,C385)</f>
        <v>0.00830078125</v>
      </c>
      <c r="D386" s="41" t="n">
        <f aca="false">(B386+C386)/2</f>
        <v>0.0079345703125</v>
      </c>
      <c r="E386" s="15" t="n">
        <f aca="false">$C$2*(1+IF(E$3&lt;=$O$2,$D386,$D386-($D386-$I$373)*MIN(E$3-$O$2,$Q$2)/$Q$2))</f>
        <v>7539.3505859375</v>
      </c>
      <c r="F386" s="15" t="n">
        <f aca="false">E386*(1+IF(F$3&lt;=$O$2,$D386,$D386-($D386-$I$373)*MIN(F$3-$O$2,$Q$2)/$Q$2))</f>
        <v>7599.17209327221</v>
      </c>
      <c r="G386" s="15" t="n">
        <f aca="false">F386*(1+IF(G$3&lt;=$O$2,$D386,$D386-($D386-$I$373)*MIN(G$3-$O$2,$Q$2)/$Q$2))</f>
        <v>7659.46825856307</v>
      </c>
      <c r="H386" s="15" t="n">
        <f aca="false">G386*(1+IF(H$3&lt;=$O$2,$D386,$D386-($D386-$I$373)*MIN(H$3-$O$2,$Q$2)/$Q$2))</f>
        <v>7720.242848017</v>
      </c>
      <c r="I386" s="15" t="n">
        <f aca="false">H386*(1+IF(I$3&lt;=$O$2,$D386,$D386-($D386-$I$373)*MIN(I$3-$O$2,$Q$2)/$Q$2))</f>
        <v>7781.49965772416</v>
      </c>
      <c r="J386" s="15" t="n">
        <f aca="false">I386*(1+IF(J$3&lt;=$O$2,$D386,$D386-($D386-$I$373)*MIN(J$3-$O$2,$Q$2)/$Q$2))</f>
        <v>7874.93723072361</v>
      </c>
      <c r="K386" s="15" t="n">
        <f aca="false">J386*(1+IF(K$3&lt;=$O$2,$D386,$D386-($D386-$I$373)*MIN(K$3-$O$2,$Q$2)/$Q$2))</f>
        <v>8001.57206607362</v>
      </c>
      <c r="L386" s="15" t="n">
        <f aca="false">K386*(1+IF(L$3&lt;=$O$2,$D386,$D386-($D386-$I$373)*MIN(L$3-$O$2,$Q$2)/$Q$2))</f>
        <v>8162.83437422307</v>
      </c>
      <c r="M386" s="15" t="n">
        <f aca="false">L386*(1+IF(M$3&lt;=$O$2,$D386,$D386-($D386-$I$373)*MIN(M$3-$O$2,$Q$2)/$Q$2))</f>
        <v>8360.59466111379</v>
      </c>
      <c r="N386" s="15" t="n">
        <f aca="false">M386*(1+IF(N$3&lt;=$O$2,$D386,$D386-($D386-$I$373)*MIN(N$3-$O$2,$Q$2)/$Q$2))</f>
        <v>8597.19949002331</v>
      </c>
      <c r="O386" s="15" t="n">
        <f aca="false">SUMPRODUCT(E386:N386,1/(1+$F$373)^$E$3:$N$3)*$E$2</f>
        <v>8980.52785125477</v>
      </c>
      <c r="P386" s="15" t="n">
        <f aca="false">N386*$E$2*(1+$I$373)/($F$373-$I$373)/(1+$F$373)^$N$3</f>
        <v>13126.9476323083</v>
      </c>
      <c r="Q386" s="15" t="n">
        <f aca="false">O386+P386</f>
        <v>22107.475483563</v>
      </c>
      <c r="R386" s="15" t="n">
        <f aca="false">Q386-$G$2+$I$2</f>
        <v>18991.275483563</v>
      </c>
      <c r="S386" s="42" t="n">
        <f aca="false">R386/$K$2</f>
        <v>168.213246090018</v>
      </c>
      <c r="T386" s="43" t="n">
        <f aca="false">S386-$M$2</f>
        <v>-0.254424414853503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0.0079345703125</v>
      </c>
      <c r="C387" s="25" t="n">
        <f aca="false">IF(T386&gt;0,D386,C386)</f>
        <v>0.00830078125</v>
      </c>
      <c r="D387" s="41" t="n">
        <f aca="false">(B387+C387)/2</f>
        <v>0.00811767578125</v>
      </c>
      <c r="E387" s="15" t="n">
        <f aca="false">$C$2*(1+IF(E$3&lt;=$O$2,$D387,$D387-($D387-$I$373)*MIN(E$3-$O$2,$Q$2)/$Q$2))</f>
        <v>7540.72021484375</v>
      </c>
      <c r="F387" s="15" t="n">
        <f aca="false">E387*(1+IF(F$3&lt;=$O$2,$D387,$D387-($D387-$I$373)*MIN(F$3-$O$2,$Q$2)/$Q$2))</f>
        <v>7601.93333670497</v>
      </c>
      <c r="G387" s="15" t="n">
        <f aca="false">F387*(1+IF(G$3&lt;=$O$2,$D387,$D387-($D387-$I$373)*MIN(G$3-$O$2,$Q$2)/$Q$2))</f>
        <v>7663.64336684302</v>
      </c>
      <c r="H387" s="15" t="n">
        <f aca="false">G387*(1+IF(H$3&lt;=$O$2,$D387,$D387-($D387-$I$373)*MIN(H$3-$O$2,$Q$2)/$Q$2))</f>
        <v>7725.85433899818</v>
      </c>
      <c r="I387" s="15" t="n">
        <f aca="false">H387*(1+IF(I$3&lt;=$O$2,$D387,$D387-($D387-$I$373)*MIN(I$3-$O$2,$Q$2)/$Q$2))</f>
        <v>7788.57031965533</v>
      </c>
      <c r="J387" s="15" t="n">
        <f aca="false">I387*(1+IF(J$3&lt;=$O$2,$D387,$D387-($D387-$I$373)*MIN(J$3-$O$2,$Q$2)/$Q$2))</f>
        <v>7883.23369858812</v>
      </c>
      <c r="K387" s="15" t="n">
        <f aca="false">J387*(1+IF(K$3&lt;=$O$2,$D387,$D387-($D387-$I$373)*MIN(K$3-$O$2,$Q$2)/$Q$2))</f>
        <v>8010.86802521991</v>
      </c>
      <c r="L387" s="15" t="n">
        <f aca="false">K387*(1+IF(L$3&lt;=$O$2,$D387,$D387-($D387-$I$373)*MIN(L$3-$O$2,$Q$2)/$Q$2))</f>
        <v>8172.9044160302</v>
      </c>
      <c r="M387" s="15" t="n">
        <f aca="false">L387*(1+IF(M$3&lt;=$O$2,$D387,$D387-($D387-$I$373)*MIN(M$3-$O$2,$Q$2)/$Q$2))</f>
        <v>8371.20796965721</v>
      </c>
      <c r="N387" s="15" t="n">
        <f aca="false">M387*(1+IF(N$3&lt;=$O$2,$D387,$D387-($D387-$I$373)*MIN(N$3-$O$2,$Q$2)/$Q$2))</f>
        <v>8608.11315519851</v>
      </c>
      <c r="O387" s="15" t="n">
        <f aca="false">SUMPRODUCT(E387:N387,1/(1+$F$373)^$E$3:$N$3)*$E$2</f>
        <v>8987.72627021891</v>
      </c>
      <c r="P387" s="15" t="n">
        <f aca="false">N387*$E$2*(1+$I$373)/($F$373-$I$373)/(1+$F$373)^$N$3</f>
        <v>13143.6115600673</v>
      </c>
      <c r="Q387" s="15" t="n">
        <f aca="false">O387+P387</f>
        <v>22131.3378302862</v>
      </c>
      <c r="R387" s="15" t="n">
        <f aca="false">Q387-$G$2+$I$2</f>
        <v>19015.1378302862</v>
      </c>
      <c r="S387" s="42" t="n">
        <f aca="false">R387/$K$2</f>
        <v>168.424604342659</v>
      </c>
      <c r="T387" s="43" t="n">
        <f aca="false">S387-$M$2</f>
        <v>-0.043066162212682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0.00811767578125</v>
      </c>
      <c r="C388" s="25" t="n">
        <f aca="false">IF(T387&gt;0,D387,C387)</f>
        <v>0.00830078125</v>
      </c>
      <c r="D388" s="41" t="n">
        <f aca="false">(B388+C388)/2</f>
        <v>0.008209228515625</v>
      </c>
      <c r="E388" s="15" t="n">
        <f aca="false">$C$2*(1+IF(E$3&lt;=$O$2,$D388,$D388-($D388-$I$373)*MIN(E$3-$O$2,$Q$2)/$Q$2))</f>
        <v>7541.40502929688</v>
      </c>
      <c r="F388" s="15" t="n">
        <f aca="false">E388*(1+IF(F$3&lt;=$O$2,$D388,$D388-($D388-$I$373)*MIN(F$3-$O$2,$Q$2)/$Q$2))</f>
        <v>7603.31414651126</v>
      </c>
      <c r="G388" s="15" t="n">
        <f aca="false">F388*(1+IF(G$3&lt;=$O$2,$D388,$D388-($D388-$I$373)*MIN(G$3-$O$2,$Q$2)/$Q$2))</f>
        <v>7665.73148981605</v>
      </c>
      <c r="H388" s="15" t="n">
        <f aca="false">G388*(1+IF(H$3&lt;=$O$2,$D388,$D388-($D388-$I$373)*MIN(H$3-$O$2,$Q$2)/$Q$2))</f>
        <v>7728.66123135537</v>
      </c>
      <c r="I388" s="15" t="n">
        <f aca="false">H388*(1+IF(I$3&lt;=$O$2,$D388,$D388-($D388-$I$373)*MIN(I$3-$O$2,$Q$2)/$Q$2))</f>
        <v>7792.10757752342</v>
      </c>
      <c r="J388" s="15" t="n">
        <f aca="false">I388*(1+IF(J$3&lt;=$O$2,$D388,$D388-($D388-$I$373)*MIN(J$3-$O$2,$Q$2)/$Q$2))</f>
        <v>7887.38465978998</v>
      </c>
      <c r="K388" s="15" t="n">
        <f aca="false">J388*(1+IF(K$3&lt;=$O$2,$D388,$D388-($D388-$I$373)*MIN(K$3-$O$2,$Q$2)/$Q$2))</f>
        <v>8015.51945997652</v>
      </c>
      <c r="L388" s="15" t="n">
        <f aca="false">K388*(1+IF(L$3&lt;=$O$2,$D388,$D388-($D388-$I$373)*MIN(L$3-$O$2,$Q$2)/$Q$2))</f>
        <v>8177.94347277427</v>
      </c>
      <c r="M388" s="15" t="n">
        <f aca="false">L388*(1+IF(M$3&lt;=$O$2,$D388,$D388-($D388-$I$373)*MIN(M$3-$O$2,$Q$2)/$Q$2))</f>
        <v>8376.51903434905</v>
      </c>
      <c r="N388" s="15" t="n">
        <f aca="false">M388*(1+IF(N$3&lt;=$O$2,$D388,$D388-($D388-$I$373)*MIN(N$3-$O$2,$Q$2)/$Q$2))</f>
        <v>8613.57452302113</v>
      </c>
      <c r="O388" s="15" t="n">
        <f aca="false">SUMPRODUCT(E388:N388,1/(1+$F$373)^$E$3:$N$3)*$E$2</f>
        <v>8991.32768571284</v>
      </c>
      <c r="P388" s="15" t="n">
        <f aca="false">N388*$E$2*(1+$I$373)/($F$373-$I$373)/(1+$F$373)^$N$3</f>
        <v>13151.9504487358</v>
      </c>
      <c r="Q388" s="15" t="n">
        <f aca="false">O388+P388</f>
        <v>22143.2781344486</v>
      </c>
      <c r="R388" s="15" t="n">
        <f aca="false">Q388-$G$2+$I$2</f>
        <v>19027.0781344486</v>
      </c>
      <c r="S388" s="42" t="n">
        <f aca="false">R388/$K$2</f>
        <v>168.530364344098</v>
      </c>
      <c r="T388" s="43" t="n">
        <f aca="false">S388-$M$2</f>
        <v>0.0626938392260854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0.00811767578125</v>
      </c>
      <c r="C389" s="25" t="n">
        <f aca="false">IF(T388&gt;0,D388,C388)</f>
        <v>0.008209228515625</v>
      </c>
      <c r="D389" s="41" t="n">
        <f aca="false">(B389+C389)/2</f>
        <v>0.0081634521484375</v>
      </c>
      <c r="E389" s="15" t="n">
        <f aca="false">$C$2*(1+IF(E$3&lt;=$O$2,$D389,$D389-($D389-$I$373)*MIN(E$3-$O$2,$Q$2)/$Q$2))</f>
        <v>7541.06262207031</v>
      </c>
      <c r="F389" s="15" t="n">
        <f aca="false">E389*(1+IF(F$3&lt;=$O$2,$D389,$D389-($D389-$I$373)*MIN(F$3-$O$2,$Q$2)/$Q$2))</f>
        <v>7602.62372593395</v>
      </c>
      <c r="G389" s="15" t="n">
        <f aca="false">F389*(1+IF(G$3&lt;=$O$2,$D389,$D389-($D389-$I$373)*MIN(G$3-$O$2,$Q$2)/$Q$2))</f>
        <v>7664.68738092319</v>
      </c>
      <c r="H389" s="15" t="n">
        <f aca="false">G389*(1+IF(H$3&lt;=$O$2,$D389,$D389-($D389-$I$373)*MIN(H$3-$O$2,$Q$2)/$Q$2))</f>
        <v>7727.25768959009</v>
      </c>
      <c r="I389" s="15" t="n">
        <f aca="false">H389*(1+IF(I$3&lt;=$O$2,$D389,$D389-($D389-$I$373)*MIN(I$3-$O$2,$Q$2)/$Q$2))</f>
        <v>7790.33878797771</v>
      </c>
      <c r="J389" s="15" t="n">
        <f aca="false">I389*(1+IF(J$3&lt;=$O$2,$D389,$D389-($D389-$I$373)*MIN(J$3-$O$2,$Q$2)/$Q$2))</f>
        <v>7885.30895185028</v>
      </c>
      <c r="K389" s="15" t="n">
        <f aca="false">J389*(1+IF(K$3&lt;=$O$2,$D389,$D389-($D389-$I$373)*MIN(K$3-$O$2,$Q$2)/$Q$2))</f>
        <v>8013.19345456767</v>
      </c>
      <c r="L389" s="15" t="n">
        <f aca="false">K389*(1+IF(L$3&lt;=$O$2,$D389,$D389-($D389-$I$373)*MIN(L$3-$O$2,$Q$2)/$Q$2))</f>
        <v>8175.42360795524</v>
      </c>
      <c r="M389" s="15" t="n">
        <f aca="false">L389*(1+IF(M$3&lt;=$O$2,$D389,$D389-($D389-$I$373)*MIN(M$3-$O$2,$Q$2)/$Q$2))</f>
        <v>8373.8631343227</v>
      </c>
      <c r="N389" s="15" t="n">
        <f aca="false">M389*(1+IF(N$3&lt;=$O$2,$D389,$D389-($D389-$I$373)*MIN(N$3-$O$2,$Q$2)/$Q$2))</f>
        <v>8610.84346102403</v>
      </c>
      <c r="O389" s="15" t="n">
        <f aca="false">SUMPRODUCT(E389:N389,1/(1+$F$373)^$E$3:$N$3)*$E$2</f>
        <v>8989.52679407245</v>
      </c>
      <c r="P389" s="15" t="n">
        <f aca="false">N389*$E$2*(1+$I$373)/($F$373-$I$373)/(1+$F$373)^$N$3</f>
        <v>13147.7804271075</v>
      </c>
      <c r="Q389" s="15" t="n">
        <f aca="false">O389+P389</f>
        <v>22137.3072211799</v>
      </c>
      <c r="R389" s="15" t="n">
        <f aca="false">Q389-$G$2+$I$2</f>
        <v>19021.1072211799</v>
      </c>
      <c r="S389" s="42" t="n">
        <f aca="false">R389/$K$2</f>
        <v>168.477477601239</v>
      </c>
      <c r="T389" s="43" t="n">
        <f aca="false">S389-$M$2</f>
        <v>0.0098070963675525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0.00811767578125</v>
      </c>
      <c r="C390" s="25" t="n">
        <f aca="false">IF(T389&gt;0,D389,C389)</f>
        <v>0.0081634521484375</v>
      </c>
      <c r="D390" s="41" t="n">
        <f aca="false">(B390+C390)/2</f>
        <v>0.00814056396484375</v>
      </c>
      <c r="E390" s="15" t="n">
        <f aca="false">$C$2*(1+IF(E$3&lt;=$O$2,$D390,$D390-($D390-$I$373)*MIN(E$3-$O$2,$Q$2)/$Q$2))</f>
        <v>7540.89141845703</v>
      </c>
      <c r="F390" s="15" t="n">
        <f aca="false">E390*(1+IF(F$3&lt;=$O$2,$D390,$D390-($D390-$I$373)*MIN(F$3-$O$2,$Q$2)/$Q$2))</f>
        <v>7602.27852740092</v>
      </c>
      <c r="G390" s="15" t="n">
        <f aca="false">F390*(1+IF(G$3&lt;=$O$2,$D390,$D390-($D390-$I$373)*MIN(G$3-$O$2,$Q$2)/$Q$2))</f>
        <v>7664.16536203179</v>
      </c>
      <c r="H390" s="15" t="n">
        <f aca="false">G390*(1+IF(H$3&lt;=$O$2,$D390,$D390-($D390-$I$373)*MIN(H$3-$O$2,$Q$2)/$Q$2))</f>
        <v>7726.55599039855</v>
      </c>
      <c r="I390" s="15" t="n">
        <f aca="false">H390*(1+IF(I$3&lt;=$O$2,$D390,$D390-($D390-$I$373)*MIN(I$3-$O$2,$Q$2)/$Q$2))</f>
        <v>7789.45451366633</v>
      </c>
      <c r="J390" s="15" t="n">
        <f aca="false">I390*(1+IF(J$3&lt;=$O$2,$D390,$D390-($D390-$I$373)*MIN(J$3-$O$2,$Q$2)/$Q$2))</f>
        <v>7884.27126838948</v>
      </c>
      <c r="K390" s="15" t="n">
        <f aca="false">J390*(1+IF(K$3&lt;=$O$2,$D390,$D390-($D390-$I$373)*MIN(K$3-$O$2,$Q$2)/$Q$2))</f>
        <v>8012.03066789355</v>
      </c>
      <c r="L390" s="15" t="n">
        <f aca="false">K390*(1+IF(L$3&lt;=$O$2,$D390,$D390-($D390-$I$373)*MIN(L$3-$O$2,$Q$2)/$Q$2))</f>
        <v>8174.16392789049</v>
      </c>
      <c r="M390" s="15" t="n">
        <f aca="false">L390*(1+IF(M$3&lt;=$O$2,$D390,$D390-($D390-$I$373)*MIN(M$3-$O$2,$Q$2)/$Q$2))</f>
        <v>8372.53546008076</v>
      </c>
      <c r="N390" s="15" t="n">
        <f aca="false">M390*(1+IF(N$3&lt;=$O$2,$D390,$D390-($D390-$I$373)*MIN(N$3-$O$2,$Q$2)/$Q$2))</f>
        <v>8609.47821360104</v>
      </c>
      <c r="O390" s="15" t="n">
        <f aca="false">SUMPRODUCT(E390:N390,1/(1+$F$373)^$E$3:$N$3)*$E$2</f>
        <v>8988.62648617676</v>
      </c>
      <c r="P390" s="15" t="n">
        <f aca="false">N390*$E$2*(1+$I$373)/($F$373-$I$373)/(1+$F$373)^$N$3</f>
        <v>13145.695849281</v>
      </c>
      <c r="Q390" s="15" t="n">
        <f aca="false">O390+P390</f>
        <v>22134.3223354577</v>
      </c>
      <c r="R390" s="15" t="n">
        <f aca="false">Q390-$G$2+$I$2</f>
        <v>19018.1223354577</v>
      </c>
      <c r="S390" s="42" t="n">
        <f aca="false">R390/$K$2</f>
        <v>168.451039286605</v>
      </c>
      <c r="T390" s="43" t="n">
        <f aca="false">S390-$M$2</f>
        <v>-0.016631218266383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0.00814056396484375</v>
      </c>
      <c r="C391" s="25" t="n">
        <f aca="false">IF(T390&gt;0,D390,C390)</f>
        <v>0.0081634521484375</v>
      </c>
      <c r="D391" s="41" t="n">
        <f aca="false">(B391+C391)/2</f>
        <v>0.00815200805664063</v>
      </c>
      <c r="E391" s="15" t="n">
        <f aca="false">$C$2*(1+IF(E$3&lt;=$O$2,$D391,$D391-($D391-$I$373)*MIN(E$3-$O$2,$Q$2)/$Q$2))</f>
        <v>7540.97702026367</v>
      </c>
      <c r="F391" s="15" t="n">
        <f aca="false">E391*(1+IF(F$3&lt;=$O$2,$D391,$D391-($D391-$I$373)*MIN(F$3-$O$2,$Q$2)/$Q$2))</f>
        <v>7602.4511256878</v>
      </c>
      <c r="G391" s="15" t="n">
        <f aca="false">F391*(1+IF(G$3&lt;=$O$2,$D391,$D391-($D391-$I$373)*MIN(G$3-$O$2,$Q$2)/$Q$2))</f>
        <v>7664.42636851463</v>
      </c>
      <c r="H391" s="15" t="n">
        <f aca="false">G391*(1+IF(H$3&lt;=$O$2,$D391,$D391-($D391-$I$373)*MIN(H$3-$O$2,$Q$2)/$Q$2))</f>
        <v>7726.90683402029</v>
      </c>
      <c r="I391" s="15" t="n">
        <f aca="false">H391*(1+IF(I$3&lt;=$O$2,$D391,$D391-($D391-$I$373)*MIN(I$3-$O$2,$Q$2)/$Q$2))</f>
        <v>7789.89664078413</v>
      </c>
      <c r="J391" s="15" t="n">
        <f aca="false">I391*(1+IF(J$3&lt;=$O$2,$D391,$D391-($D391-$I$373)*MIN(J$3-$O$2,$Q$2)/$Q$2))</f>
        <v>7884.79009591183</v>
      </c>
      <c r="K391" s="15" t="n">
        <f aca="false">J391*(1+IF(K$3&lt;=$O$2,$D391,$D391-($D391-$I$373)*MIN(K$3-$O$2,$Q$2)/$Q$2))</f>
        <v>8012.61204322962</v>
      </c>
      <c r="L391" s="15" t="n">
        <f aca="false">K391*(1+IF(L$3&lt;=$O$2,$D391,$D391-($D391-$I$373)*MIN(L$3-$O$2,$Q$2)/$Q$2))</f>
        <v>8174.79374689612</v>
      </c>
      <c r="M391" s="15" t="n">
        <f aca="false">L391*(1+IF(M$3&lt;=$O$2,$D391,$D391-($D391-$I$373)*MIN(M$3-$O$2,$Q$2)/$Q$2))</f>
        <v>8373.19927422306</v>
      </c>
      <c r="N391" s="15" t="n">
        <f aca="false">M391*(1+IF(N$3&lt;=$O$2,$D391,$D391-($D391-$I$373)*MIN(N$3-$O$2,$Q$2)/$Q$2))</f>
        <v>8610.16081368358</v>
      </c>
      <c r="O391" s="15" t="n">
        <f aca="false">SUMPRODUCT(E391:N391,1/(1+$F$373)^$E$3:$N$3)*$E$2</f>
        <v>8989.07662863182</v>
      </c>
      <c r="P391" s="15" t="n">
        <f aca="false">N391*$E$2*(1+$I$373)/($F$373-$I$373)/(1+$F$373)^$N$3</f>
        <v>13146.7381021155</v>
      </c>
      <c r="Q391" s="15" t="n">
        <f aca="false">O391+P391</f>
        <v>22135.8147307473</v>
      </c>
      <c r="R391" s="15" t="n">
        <f aca="false">Q391-$G$2+$I$2</f>
        <v>19019.6147307473</v>
      </c>
      <c r="S391" s="42" t="n">
        <f aca="false">R391/$K$2</f>
        <v>168.464258022562</v>
      </c>
      <c r="T391" s="43" t="n">
        <f aca="false">S391-$M$2</f>
        <v>-0.00341248230918723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0.00815200805664063</v>
      </c>
      <c r="C392" s="25" t="n">
        <f aca="false">IF(T391&gt;0,D391,C391)</f>
        <v>0.0081634521484375</v>
      </c>
      <c r="D392" s="41" t="n">
        <f aca="false">(B392+C392)/2</f>
        <v>0.00815773010253906</v>
      </c>
      <c r="E392" s="15" t="n">
        <f aca="false">$C$2*(1+IF(E$3&lt;=$O$2,$D392,$D392-($D392-$I$373)*MIN(E$3-$O$2,$Q$2)/$Q$2))</f>
        <v>7541.01982116699</v>
      </c>
      <c r="F392" s="15" t="n">
        <f aca="false">E392*(1+IF(F$3&lt;=$O$2,$D392,$D392-($D392-$I$373)*MIN(F$3-$O$2,$Q$2)/$Q$2))</f>
        <v>7602.53742556597</v>
      </c>
      <c r="G392" s="15" t="n">
        <f aca="false">F392*(1+IF(G$3&lt;=$O$2,$D392,$D392-($D392-$I$373)*MIN(G$3-$O$2,$Q$2)/$Q$2))</f>
        <v>7664.55687397819</v>
      </c>
      <c r="H392" s="15" t="n">
        <f aca="false">G392*(1+IF(H$3&lt;=$O$2,$D392,$D392-($D392-$I$373)*MIN(H$3-$O$2,$Q$2)/$Q$2))</f>
        <v>7727.08226031166</v>
      </c>
      <c r="I392" s="15" t="n">
        <f aca="false">H392*(1+IF(I$3&lt;=$O$2,$D392,$D392-($D392-$I$373)*MIN(I$3-$O$2,$Q$2)/$Q$2))</f>
        <v>7790.1177118714</v>
      </c>
      <c r="J392" s="15" t="n">
        <f aca="false">I392*(1+IF(J$3&lt;=$O$2,$D392,$D392-($D392-$I$373)*MIN(J$3-$O$2,$Q$2)/$Q$2))</f>
        <v>7885.04952032896</v>
      </c>
      <c r="K392" s="15" t="n">
        <f aca="false">J392*(1+IF(K$3&lt;=$O$2,$D392,$D392-($D392-$I$373)*MIN(K$3-$O$2,$Q$2)/$Q$2))</f>
        <v>8012.90274439828</v>
      </c>
      <c r="L392" s="15" t="n">
        <f aca="false">K392*(1+IF(L$3&lt;=$O$2,$D392,$D392-($D392-$I$373)*MIN(L$3-$O$2,$Q$2)/$Q$2))</f>
        <v>8175.10867216885</v>
      </c>
      <c r="M392" s="15" t="n">
        <f aca="false">L392*(1+IF(M$3&lt;=$O$2,$D392,$D392-($D392-$I$373)*MIN(M$3-$O$2,$Q$2)/$Q$2))</f>
        <v>8373.53119852804</v>
      </c>
      <c r="N392" s="15" t="n">
        <f aca="false">M392*(1+IF(N$3&lt;=$O$2,$D392,$D392-($D392-$I$373)*MIN(N$3-$O$2,$Q$2)/$Q$2))</f>
        <v>8610.50213144639</v>
      </c>
      <c r="O392" s="15" t="n">
        <f aca="false">SUMPRODUCT(E392:N392,1/(1+$F$373)^$E$3:$N$3)*$E$2</f>
        <v>8989.30170847887</v>
      </c>
      <c r="P392" s="15" t="n">
        <f aca="false">N392*$E$2*(1+$I$373)/($F$373-$I$373)/(1+$F$373)^$N$3</f>
        <v>13147.2592555915</v>
      </c>
      <c r="Q392" s="15" t="n">
        <f aca="false">O392+P392</f>
        <v>22136.5609640704</v>
      </c>
      <c r="R392" s="15" t="n">
        <f aca="false">Q392-$G$2+$I$2</f>
        <v>19020.3609640704</v>
      </c>
      <c r="S392" s="42" t="n">
        <f aca="false">R392/$K$2</f>
        <v>168.470867706558</v>
      </c>
      <c r="T392" s="43" t="n">
        <f aca="false">S392-$M$2</f>
        <v>0.00319720168627669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0.00815200805664063</v>
      </c>
      <c r="C393" s="25" t="n">
        <f aca="false">IF(T392&gt;0,D392,C392)</f>
        <v>0.00815773010253906</v>
      </c>
      <c r="D393" s="41" t="n">
        <f aca="false">(B393+C393)/2</f>
        <v>0.00815486907958984</v>
      </c>
      <c r="E393" s="15" t="n">
        <f aca="false">$C$2*(1+IF(E$3&lt;=$O$2,$D393,$D393-($D393-$I$373)*MIN(E$3-$O$2,$Q$2)/$Q$2))</f>
        <v>7540.99842071533</v>
      </c>
      <c r="F393" s="15" t="n">
        <f aca="false">E393*(1+IF(F$3&lt;=$O$2,$D393,$D393-($D393-$I$373)*MIN(F$3-$O$2,$Q$2)/$Q$2))</f>
        <v>7602.49427556566</v>
      </c>
      <c r="G393" s="15" t="n">
        <f aca="false">F393*(1+IF(G$3&lt;=$O$2,$D393,$D393-($D393-$I$373)*MIN(G$3-$O$2,$Q$2)/$Q$2))</f>
        <v>7664.49162106123</v>
      </c>
      <c r="H393" s="15" t="n">
        <f aca="false">G393*(1+IF(H$3&lt;=$O$2,$D393,$D393-($D393-$I$373)*MIN(H$3-$O$2,$Q$2)/$Q$2))</f>
        <v>7726.9945467926</v>
      </c>
      <c r="I393" s="15" t="n">
        <f aca="false">H393*(1+IF(I$3&lt;=$O$2,$D393,$D393-($D393-$I$373)*MIN(I$3-$O$2,$Q$2)/$Q$2))</f>
        <v>7790.00717570039</v>
      </c>
      <c r="J393" s="15" t="n">
        <f aca="false">I393*(1+IF(J$3&lt;=$O$2,$D393,$D393-($D393-$I$373)*MIN(J$3-$O$2,$Q$2)/$Q$2))</f>
        <v>7884.91980723238</v>
      </c>
      <c r="K393" s="15" t="n">
        <f aca="false">J393*(1+IF(K$3&lt;=$O$2,$D393,$D393-($D393-$I$373)*MIN(K$3-$O$2,$Q$2)/$Q$2))</f>
        <v>8012.75739268888</v>
      </c>
      <c r="L393" s="15" t="n">
        <f aca="false">K393*(1+IF(L$3&lt;=$O$2,$D393,$D393-($D393-$I$373)*MIN(L$3-$O$2,$Q$2)/$Q$2))</f>
        <v>8174.95120821829</v>
      </c>
      <c r="M393" s="15" t="n">
        <f aca="false">L393*(1+IF(M$3&lt;=$O$2,$D393,$D393-($D393-$I$373)*MIN(M$3-$O$2,$Q$2)/$Q$2))</f>
        <v>8373.36523493937</v>
      </c>
      <c r="N393" s="15" t="n">
        <f aca="false">M393*(1+IF(N$3&lt;=$O$2,$D393,$D393-($D393-$I$373)*MIN(N$3-$O$2,$Q$2)/$Q$2))</f>
        <v>8610.33147108815</v>
      </c>
      <c r="O393" s="15" t="n">
        <f aca="false">SUMPRODUCT(E393:N393,1/(1+$F$373)^$E$3:$N$3)*$E$2</f>
        <v>8989.18916783704</v>
      </c>
      <c r="P393" s="15" t="n">
        <f aca="false">N393*$E$2*(1+$I$373)/($F$373-$I$373)/(1+$F$373)^$N$3</f>
        <v>13146.9986765985</v>
      </c>
      <c r="Q393" s="15" t="n">
        <f aca="false">O393+P393</f>
        <v>22136.1878444356</v>
      </c>
      <c r="R393" s="15" t="n">
        <f aca="false">Q393-$G$2+$I$2</f>
        <v>19019.9878444356</v>
      </c>
      <c r="S393" s="42" t="n">
        <f aca="false">R393/$K$2</f>
        <v>168.467562838225</v>
      </c>
      <c r="T393" s="43" t="n">
        <f aca="false">S393-$M$2</f>
        <v>-0.000107666646840698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0.00815486907958984</v>
      </c>
      <c r="C394" s="25" t="n">
        <f aca="false">IF(T393&gt;0,D393,C393)</f>
        <v>0.00815773010253906</v>
      </c>
      <c r="D394" s="41" t="n">
        <f aca="false">(B394+C394)/2</f>
        <v>0.00815629959106445</v>
      </c>
      <c r="E394" s="15" t="n">
        <f aca="false">$C$2*(1+IF(E$3&lt;=$O$2,$D394,$D394-($D394-$I$373)*MIN(E$3-$O$2,$Q$2)/$Q$2))</f>
        <v>7541.00912094116</v>
      </c>
      <c r="F394" s="15" t="n">
        <f aca="false">E394*(1+IF(F$3&lt;=$O$2,$D394,$D394-($D394-$I$373)*MIN(F$3-$O$2,$Q$2)/$Q$2))</f>
        <v>7602.51585055051</v>
      </c>
      <c r="G394" s="15" t="n">
        <f aca="false">F394*(1+IF(G$3&lt;=$O$2,$D394,$D394-($D394-$I$373)*MIN(G$3-$O$2,$Q$2)/$Q$2))</f>
        <v>7664.52424747341</v>
      </c>
      <c r="H394" s="15" t="n">
        <f aca="false">G394*(1+IF(H$3&lt;=$O$2,$D394,$D394-($D394-$I$373)*MIN(H$3-$O$2,$Q$2)/$Q$2))</f>
        <v>7727.03840345879</v>
      </c>
      <c r="I394" s="15" t="n">
        <f aca="false">H394*(1+IF(I$3&lt;=$O$2,$D394,$D394-($D394-$I$373)*MIN(I$3-$O$2,$Q$2)/$Q$2))</f>
        <v>7790.06244362906</v>
      </c>
      <c r="J394" s="15" t="n">
        <f aca="false">I394*(1+IF(J$3&lt;=$O$2,$D394,$D394-($D394-$I$373)*MIN(J$3-$O$2,$Q$2)/$Q$2))</f>
        <v>7884.98466355867</v>
      </c>
      <c r="K394" s="15" t="n">
        <f aca="false">J394*(1+IF(K$3&lt;=$O$2,$D394,$D394-($D394-$I$373)*MIN(K$3-$O$2,$Q$2)/$Q$2))</f>
        <v>8012.83006826231</v>
      </c>
      <c r="L394" s="15" t="n">
        <f aca="false">K394*(1+IF(L$3&lt;=$O$2,$D394,$D394-($D394-$I$373)*MIN(L$3-$O$2,$Q$2)/$Q$2))</f>
        <v>8175.02993986502</v>
      </c>
      <c r="M394" s="15" t="n">
        <f aca="false">L394*(1+IF(M$3&lt;=$O$2,$D394,$D394-($D394-$I$373)*MIN(M$3-$O$2,$Q$2)/$Q$2))</f>
        <v>8373.44821637465</v>
      </c>
      <c r="N394" s="15" t="n">
        <f aca="false">M394*(1+IF(N$3&lt;=$O$2,$D394,$D394-($D394-$I$373)*MIN(N$3-$O$2,$Q$2)/$Q$2))</f>
        <v>8610.41680089806</v>
      </c>
      <c r="O394" s="15" t="n">
        <f aca="false">SUMPRODUCT(E394:N394,1/(1+$F$373)^$E$3:$N$3)*$E$2</f>
        <v>8989.24543797838</v>
      </c>
      <c r="P394" s="15" t="n">
        <f aca="false">N394*$E$2*(1+$I$373)/($F$373-$I$373)/(1+$F$373)^$N$3</f>
        <v>13147.1289655313</v>
      </c>
      <c r="Q394" s="15" t="n">
        <f aca="false">O394+P394</f>
        <v>22136.3744035097</v>
      </c>
      <c r="R394" s="15" t="n">
        <f aca="false">Q394-$G$2+$I$2</f>
        <v>19020.1744035097</v>
      </c>
      <c r="S394" s="42" t="n">
        <f aca="false">R394/$K$2</f>
        <v>168.469215265807</v>
      </c>
      <c r="T394" s="43" t="n">
        <f aca="false">S394-$M$2</f>
        <v>0.00154476093578637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0.00815486907958984</v>
      </c>
      <c r="C395" s="25" t="n">
        <f aca="false">IF(T394&gt;0,D394,C394)</f>
        <v>0.00815629959106445</v>
      </c>
      <c r="D395" s="41" t="n">
        <f aca="false">(B395+C395)/2</f>
        <v>0.00815558433532715</v>
      </c>
      <c r="E395" s="15" t="n">
        <f aca="false">$C$2*(1+IF(E$3&lt;=$O$2,$D395,$D395-($D395-$I$373)*MIN(E$3-$O$2,$Q$2)/$Q$2))</f>
        <v>7541.00377082825</v>
      </c>
      <c r="F395" s="15" t="n">
        <f aca="false">E395*(1+IF(F$3&lt;=$O$2,$D395,$D395-($D395-$I$373)*MIN(F$3-$O$2,$Q$2)/$Q$2))</f>
        <v>7602.50506305426</v>
      </c>
      <c r="G395" s="15" t="n">
        <f aca="false">F395*(1+IF(G$3&lt;=$O$2,$D395,$D395-($D395-$I$373)*MIN(G$3-$O$2,$Q$2)/$Q$2))</f>
        <v>7664.50793425575</v>
      </c>
      <c r="H395" s="15" t="n">
        <f aca="false">G395*(1+IF(H$3&lt;=$O$2,$D395,$D395-($D395-$I$373)*MIN(H$3-$O$2,$Q$2)/$Q$2))</f>
        <v>7727.01647510236</v>
      </c>
      <c r="I395" s="15" t="n">
        <f aca="false">H395*(1+IF(I$3&lt;=$O$2,$D395,$D395-($D395-$I$373)*MIN(I$3-$O$2,$Q$2)/$Q$2))</f>
        <v>7790.03480962552</v>
      </c>
      <c r="J395" s="15" t="n">
        <f aca="false">I395*(1+IF(J$3&lt;=$O$2,$D395,$D395-($D395-$I$373)*MIN(J$3-$O$2,$Q$2)/$Q$2))</f>
        <v>7884.95223534002</v>
      </c>
      <c r="K395" s="15" t="n">
        <f aca="false">J395*(1+IF(K$3&lt;=$O$2,$D395,$D395-($D395-$I$373)*MIN(K$3-$O$2,$Q$2)/$Q$2))</f>
        <v>8012.79373040528</v>
      </c>
      <c r="L395" s="15" t="n">
        <f aca="false">K395*(1+IF(L$3&lt;=$O$2,$D395,$D395-($D395-$I$373)*MIN(L$3-$O$2,$Q$2)/$Q$2))</f>
        <v>8174.99057395952</v>
      </c>
      <c r="M395" s="15" t="n">
        <f aca="false">L395*(1+IF(M$3&lt;=$O$2,$D395,$D395-($D395-$I$373)*MIN(M$3-$O$2,$Q$2)/$Q$2))</f>
        <v>8373.40672556725</v>
      </c>
      <c r="N395" s="15" t="n">
        <f aca="false">M395*(1+IF(N$3&lt;=$O$2,$D395,$D395-($D395-$I$373)*MIN(N$3-$O$2,$Q$2)/$Q$2))</f>
        <v>8610.3741359008</v>
      </c>
      <c r="O395" s="15" t="n">
        <f aca="false">SUMPRODUCT(E395:N395,1/(1+$F$373)^$E$3:$N$3)*$E$2</f>
        <v>8989.21730286281</v>
      </c>
      <c r="P395" s="15" t="n">
        <f aca="false">N395*$E$2*(1+$I$373)/($F$373-$I$373)/(1+$F$373)^$N$3</f>
        <v>13147.063820924</v>
      </c>
      <c r="Q395" s="15" t="n">
        <f aca="false">O395+P395</f>
        <v>22136.2811237868</v>
      </c>
      <c r="R395" s="15" t="n">
        <f aca="false">Q395-$G$2+$I$2</f>
        <v>19020.0811237868</v>
      </c>
      <c r="S395" s="42" t="n">
        <f aca="false">R395/$K$2</f>
        <v>168.46838905037</v>
      </c>
      <c r="T395" s="43" t="n">
        <f aca="false">S395-$M$2</f>
        <v>0.000718545498500589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0.00815486907958984</v>
      </c>
      <c r="C396" s="25" t="n">
        <f aca="false">IF(T395&gt;0,D395,C395)</f>
        <v>0.00815558433532715</v>
      </c>
      <c r="D396" s="41" t="n">
        <f aca="false">(B396+C396)/2</f>
        <v>0.0081552267074585</v>
      </c>
      <c r="E396" s="15" t="n">
        <f aca="false">$C$2*(1+IF(E$3&lt;=$O$2,$D396,$D396-($D396-$I$373)*MIN(E$3-$O$2,$Q$2)/$Q$2))</f>
        <v>7541.00109577179</v>
      </c>
      <c r="F396" s="15" t="n">
        <f aca="false">E396*(1+IF(F$3&lt;=$O$2,$D396,$D396-($D396-$I$373)*MIN(F$3-$O$2,$Q$2)/$Q$2))</f>
        <v>7602.499669309</v>
      </c>
      <c r="G396" s="15" t="n">
        <f aca="false">F396*(1+IF(G$3&lt;=$O$2,$D396,$D396-($D396-$I$373)*MIN(G$3-$O$2,$Q$2)/$Q$2))</f>
        <v>7664.4997776556</v>
      </c>
      <c r="H396" s="15" t="n">
        <f aca="false">G396*(1+IF(H$3&lt;=$O$2,$D396,$D396-($D396-$I$373)*MIN(H$3-$O$2,$Q$2)/$Q$2))</f>
        <v>7727.00551094164</v>
      </c>
      <c r="I396" s="15" t="n">
        <f aca="false">H396*(1+IF(I$3&lt;=$O$2,$D396,$D396-($D396-$I$373)*MIN(I$3-$O$2,$Q$2)/$Q$2))</f>
        <v>7790.02099265315</v>
      </c>
      <c r="J396" s="15" t="n">
        <f aca="false">I396*(1+IF(J$3&lt;=$O$2,$D396,$D396-($D396-$I$373)*MIN(J$3-$O$2,$Q$2)/$Q$2))</f>
        <v>7884.93602127233</v>
      </c>
      <c r="K396" s="15" t="n">
        <f aca="false">J396*(1+IF(K$3&lt;=$O$2,$D396,$D396-($D396-$I$373)*MIN(K$3-$O$2,$Q$2)/$Q$2))</f>
        <v>8012.7755615295</v>
      </c>
      <c r="L396" s="15" t="n">
        <f aca="false">K396*(1+IF(L$3&lt;=$O$2,$D396,$D396-($D396-$I$373)*MIN(L$3-$O$2,$Q$2)/$Q$2))</f>
        <v>8174.97089106837</v>
      </c>
      <c r="M396" s="15" t="n">
        <f aca="false">L396*(1+IF(M$3&lt;=$O$2,$D396,$D396-($D396-$I$373)*MIN(M$3-$O$2,$Q$2)/$Q$2))</f>
        <v>8373.38598023087</v>
      </c>
      <c r="N396" s="15" t="n">
        <f aca="false">M396*(1+IF(N$3&lt;=$O$2,$D396,$D396-($D396-$I$373)*MIN(N$3-$O$2,$Q$2)/$Q$2))</f>
        <v>8610.3528034714</v>
      </c>
      <c r="O396" s="15" t="n">
        <f aca="false">SUMPRODUCT(E396:N396,1/(1+$F$373)^$E$3:$N$3)*$E$2</f>
        <v>8989.2032353387</v>
      </c>
      <c r="P396" s="15" t="n">
        <f aca="false">N396*$E$2*(1+$I$373)/($F$373-$I$373)/(1+$F$373)^$N$3</f>
        <v>13147.031248726</v>
      </c>
      <c r="Q396" s="15" t="n">
        <f aca="false">O396+P396</f>
        <v>22136.2344840647</v>
      </c>
      <c r="R396" s="15" t="n">
        <f aca="false">Q396-$G$2+$I$2</f>
        <v>19020.0344840647</v>
      </c>
      <c r="S396" s="42" t="n">
        <f aca="false">R396/$K$2</f>
        <v>168.467975943886</v>
      </c>
      <c r="T396" s="43" t="n">
        <f aca="false">S396-$M$2</f>
        <v>0.000305439014340436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0.00815486907958984</v>
      </c>
      <c r="C397" s="25" t="n">
        <f aca="false">IF(T396&gt;0,D396,C396)</f>
        <v>0.0081552267074585</v>
      </c>
      <c r="D397" s="41" t="n">
        <f aca="false">(B397+C397)/2</f>
        <v>0.00815504789352417</v>
      </c>
      <c r="E397" s="15" t="n">
        <f aca="false">$C$2*(1+IF(E$3&lt;=$O$2,$D397,$D397-($D397-$I$373)*MIN(E$3-$O$2,$Q$2)/$Q$2))</f>
        <v>7540.99975824356</v>
      </c>
      <c r="F397" s="15" t="n">
        <f aca="false">E397*(1+IF(F$3&lt;=$O$2,$D397,$D397-($D397-$I$373)*MIN(F$3-$O$2,$Q$2)/$Q$2))</f>
        <v>7602.49697243709</v>
      </c>
      <c r="G397" s="15" t="n">
        <f aca="false">F397*(1+IF(G$3&lt;=$O$2,$D397,$D397-($D397-$I$373)*MIN(G$3-$O$2,$Q$2)/$Q$2))</f>
        <v>7664.49569935769</v>
      </c>
      <c r="H397" s="15" t="n">
        <f aca="false">G397*(1+IF(H$3&lt;=$O$2,$D397,$D397-($D397-$I$373)*MIN(H$3-$O$2,$Q$2)/$Q$2))</f>
        <v>7727.00002886566</v>
      </c>
      <c r="I397" s="15" t="n">
        <f aca="false">H397*(1+IF(I$3&lt;=$O$2,$D397,$D397-($D397-$I$373)*MIN(I$3-$O$2,$Q$2)/$Q$2))</f>
        <v>7790.01408417432</v>
      </c>
      <c r="J397" s="15" t="n">
        <f aca="false">I397*(1+IF(J$3&lt;=$O$2,$D397,$D397-($D397-$I$373)*MIN(J$3-$O$2,$Q$2)/$Q$2))</f>
        <v>7884.92791424888</v>
      </c>
      <c r="K397" s="15" t="n">
        <f aca="false">J397*(1+IF(K$3&lt;=$O$2,$D397,$D397-($D397-$I$373)*MIN(K$3-$O$2,$Q$2)/$Q$2))</f>
        <v>8012.76647710479</v>
      </c>
      <c r="L397" s="15" t="n">
        <f aca="false">K397*(1+IF(L$3&lt;=$O$2,$D397,$D397-($D397-$I$373)*MIN(L$3-$O$2,$Q$2)/$Q$2))</f>
        <v>8174.9610496382</v>
      </c>
      <c r="M397" s="15" t="n">
        <f aca="false">L397*(1+IF(M$3&lt;=$O$2,$D397,$D397-($D397-$I$373)*MIN(M$3-$O$2,$Q$2)/$Q$2))</f>
        <v>8373.37560757951</v>
      </c>
      <c r="N397" s="15" t="n">
        <f aca="false">M397*(1+IF(N$3&lt;=$O$2,$D397,$D397-($D397-$I$373)*MIN(N$3-$O$2,$Q$2)/$Q$2))</f>
        <v>8610.34213727401</v>
      </c>
      <c r="O397" s="15" t="n">
        <f aca="false">SUMPRODUCT(E397:N397,1/(1+$F$373)^$E$3:$N$3)*$E$2</f>
        <v>8989.19620158506</v>
      </c>
      <c r="P397" s="15" t="n">
        <f aca="false">N397*$E$2*(1+$I$373)/($F$373-$I$373)/(1+$F$373)^$N$3</f>
        <v>13147.0149626535</v>
      </c>
      <c r="Q397" s="15" t="n">
        <f aca="false">O397+P397</f>
        <v>22136.2111642385</v>
      </c>
      <c r="R397" s="15" t="n">
        <f aca="false">Q397-$G$2+$I$2</f>
        <v>19020.0111642385</v>
      </c>
      <c r="S397" s="42" t="n">
        <f aca="false">R397/$K$2</f>
        <v>168.467769390952</v>
      </c>
      <c r="T397" s="43" t="n">
        <f aca="false">S397-$M$2</f>
        <v>9.88860808774916E-005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0.00815486907958984</v>
      </c>
      <c r="C398" s="25" t="n">
        <f aca="false">IF(T397&gt;0,D397,C397)</f>
        <v>0.00815504789352417</v>
      </c>
      <c r="D398" s="41" t="n">
        <f aca="false">(B398+C398)/2</f>
        <v>0.00815495848655701</v>
      </c>
      <c r="E398" s="15" t="n">
        <f aca="false">$C$2*(1+IF(E$3&lt;=$O$2,$D398,$D398-($D398-$I$373)*MIN(E$3-$O$2,$Q$2)/$Q$2))</f>
        <v>7540.99908947945</v>
      </c>
      <c r="F398" s="15" t="n">
        <f aca="false">E398*(1+IF(F$3&lt;=$O$2,$D398,$D398-($D398-$I$373)*MIN(F$3-$O$2,$Q$2)/$Q$2))</f>
        <v>7602.49562400132</v>
      </c>
      <c r="G398" s="15" t="n">
        <f aca="false">F398*(1+IF(G$3&lt;=$O$2,$D398,$D398-($D398-$I$373)*MIN(G$3-$O$2,$Q$2)/$Q$2))</f>
        <v>7664.49366020928</v>
      </c>
      <c r="H398" s="15" t="n">
        <f aca="false">G398*(1+IF(H$3&lt;=$O$2,$D398,$D398-($D398-$I$373)*MIN(H$3-$O$2,$Q$2)/$Q$2))</f>
        <v>7726.99728782876</v>
      </c>
      <c r="I398" s="15" t="n">
        <f aca="false">H398*(1+IF(I$3&lt;=$O$2,$D398,$D398-($D398-$I$373)*MIN(I$3-$O$2,$Q$2)/$Q$2))</f>
        <v>7790.01062993675</v>
      </c>
      <c r="J398" s="15" t="n">
        <f aca="false">I398*(1+IF(J$3&lt;=$O$2,$D398,$D398-($D398-$I$373)*MIN(J$3-$O$2,$Q$2)/$Q$2))</f>
        <v>7884.92386073977</v>
      </c>
      <c r="K398" s="15" t="n">
        <f aca="false">J398*(1+IF(K$3&lt;=$O$2,$D398,$D398-($D398-$I$373)*MIN(K$3-$O$2,$Q$2)/$Q$2))</f>
        <v>8012.76193489574</v>
      </c>
      <c r="L398" s="15" t="n">
        <f aca="false">K398*(1+IF(L$3&lt;=$O$2,$D398,$D398-($D398-$I$373)*MIN(L$3-$O$2,$Q$2)/$Q$2))</f>
        <v>8174.95612892696</v>
      </c>
      <c r="M398" s="15" t="n">
        <f aca="false">L398*(1+IF(M$3&lt;=$O$2,$D398,$D398-($D398-$I$373)*MIN(M$3-$O$2,$Q$2)/$Q$2))</f>
        <v>8373.37042125803</v>
      </c>
      <c r="N398" s="15" t="n">
        <f aca="false">M398*(1+IF(N$3&lt;=$O$2,$D398,$D398-($D398-$I$373)*MIN(N$3-$O$2,$Q$2)/$Q$2))</f>
        <v>8610.33680417964</v>
      </c>
      <c r="O398" s="15" t="n">
        <f aca="false">SUMPRODUCT(E398:N398,1/(1+$F$373)^$E$3:$N$3)*$E$2</f>
        <v>8989.19268471035</v>
      </c>
      <c r="P398" s="15" t="n">
        <f aca="false">N398*$E$2*(1+$I$373)/($F$373-$I$373)/(1+$F$373)^$N$3</f>
        <v>13147.0068196238</v>
      </c>
      <c r="Q398" s="15" t="n">
        <f aca="false">O398+P398</f>
        <v>22136.1995043342</v>
      </c>
      <c r="R398" s="15" t="n">
        <f aca="false">Q398-$G$2+$I$2</f>
        <v>19019.9995043342</v>
      </c>
      <c r="S398" s="42" t="n">
        <f aca="false">R398/$K$2</f>
        <v>168.467666114563</v>
      </c>
      <c r="T398" s="43" t="n">
        <f aca="false">S398-$M$2</f>
        <v>-4.39030870325041E-006</v>
      </c>
    </row>
    <row r="400" customFormat="false" ht="15" hidden="false" customHeight="false" outlineLevel="0" collapsed="false">
      <c r="A400" s="38" t="s">
        <v>198</v>
      </c>
      <c r="E400" s="5" t="s">
        <v>11</v>
      </c>
      <c r="F400" s="12" t="n">
        <f aca="false">Sensitivity!$B$12</f>
        <v>0.0811268672746673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165</v>
      </c>
      <c r="B401" s="28" t="s">
        <v>166</v>
      </c>
      <c r="C401" s="28" t="s">
        <v>167</v>
      </c>
      <c r="D401" s="28" t="s">
        <v>168</v>
      </c>
      <c r="E401" s="28" t="s">
        <v>169</v>
      </c>
      <c r="F401" s="28" t="s">
        <v>170</v>
      </c>
      <c r="G401" s="28" t="s">
        <v>171</v>
      </c>
      <c r="H401" s="28" t="s">
        <v>172</v>
      </c>
      <c r="I401" s="28" t="s">
        <v>173</v>
      </c>
      <c r="J401" s="28" t="s">
        <v>174</v>
      </c>
      <c r="K401" s="28" t="s">
        <v>175</v>
      </c>
      <c r="L401" s="28" t="s">
        <v>176</v>
      </c>
      <c r="M401" s="28" t="s">
        <v>177</v>
      </c>
      <c r="N401" s="28" t="s">
        <v>178</v>
      </c>
      <c r="O401" s="28" t="s">
        <v>179</v>
      </c>
      <c r="P401" s="28" t="s">
        <v>180</v>
      </c>
      <c r="Q401" s="28" t="s">
        <v>181</v>
      </c>
      <c r="R401" s="28" t="s">
        <v>182</v>
      </c>
      <c r="S401" s="28" t="s">
        <v>183</v>
      </c>
      <c r="T401" s="28" t="s">
        <v>184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9350</v>
      </c>
      <c r="F402" s="15" t="n">
        <f aca="false">E402*(1+IF(F$3&lt;=$O$2,$D402,$D402-($D402-$I$400)*MIN(F$3-$O$2,$Q$2)/$Q$2))</f>
        <v>11687.5</v>
      </c>
      <c r="G402" s="15" t="n">
        <f aca="false">F402*(1+IF(G$3&lt;=$O$2,$D402,$D402-($D402-$I$400)*MIN(G$3-$O$2,$Q$2)/$Q$2))</f>
        <v>14609.375</v>
      </c>
      <c r="H402" s="15" t="n">
        <f aca="false">G402*(1+IF(H$3&lt;=$O$2,$D402,$D402-($D402-$I$400)*MIN(H$3-$O$2,$Q$2)/$Q$2))</f>
        <v>18261.71875</v>
      </c>
      <c r="I402" s="15" t="n">
        <f aca="false">H402*(1+IF(I$3&lt;=$O$2,$D402,$D402-($D402-$I$400)*MIN(I$3-$O$2,$Q$2)/$Q$2))</f>
        <v>22827.1484375</v>
      </c>
      <c r="J402" s="15" t="n">
        <f aca="false">I402*(1+IF(J$3&lt;=$O$2,$D402,$D402-($D402-$I$400)*MIN(J$3-$O$2,$Q$2)/$Q$2))</f>
        <v>27544.6069335938</v>
      </c>
      <c r="K402" s="15" t="n">
        <f aca="false">J402*(1+IF(K$3&lt;=$O$2,$D402,$D402-($D402-$I$400)*MIN(K$3-$O$2,$Q$2)/$Q$2))</f>
        <v>32043.1921379883</v>
      </c>
      <c r="L402" s="15" t="n">
        <f aca="false">K402*(1+IF(L$3&lt;=$O$2,$D402,$D402-($D402-$I$400)*MIN(L$3-$O$2,$Q$2)/$Q$2))</f>
        <v>35887.7343307041</v>
      </c>
      <c r="M402" s="15" t="n">
        <f aca="false">L402*(1+IF(M$3&lt;=$O$2,$D402,$D402-($D402-$I$400)*MIN(M$3-$O$2,$Q$2)/$Q$2))</f>
        <v>38638.1702898093</v>
      </c>
      <c r="N402" s="15" t="n">
        <f aca="false">M402*(1+IF(N$3&lt;=$O$2,$D402,$D402-($D402-$I$400)*MIN(N$3-$O$2,$Q$2)/$Q$2))</f>
        <v>39924.8213604599</v>
      </c>
      <c r="O402" s="15" t="n">
        <f aca="false">SUMPRODUCT(E402:N402,1/(1+$F$400)^$E$3:$N$3)*$E$2</f>
        <v>25928.2799443515</v>
      </c>
      <c r="P402" s="15" t="n">
        <f aca="false">N402*$E$2*(1+$I$400)/($F$400-$I$400)/(1+$F$400)^$N$3</f>
        <v>67661.1298664293</v>
      </c>
      <c r="Q402" s="15" t="n">
        <f aca="false">O402+P402</f>
        <v>93589.4098107808</v>
      </c>
      <c r="R402" s="15" t="n">
        <f aca="false">Q402-$G$2+$I$2</f>
        <v>90473.2098107808</v>
      </c>
      <c r="S402" s="42" t="n">
        <f aca="false">R402/$K$2</f>
        <v>801.357039953771</v>
      </c>
      <c r="T402" s="43" t="n">
        <f aca="false">S402-$M$2</f>
        <v>632.8893694489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6545</v>
      </c>
      <c r="F403" s="15" t="n">
        <f aca="false">E403*(1+IF(F$3&lt;=$O$2,$D403,$D403-($D403-$I$400)*MIN(F$3-$O$2,$Q$2)/$Q$2))</f>
        <v>5726.875</v>
      </c>
      <c r="G403" s="15" t="n">
        <f aca="false">F403*(1+IF(G$3&lt;=$O$2,$D403,$D403-($D403-$I$400)*MIN(G$3-$O$2,$Q$2)/$Q$2))</f>
        <v>5011.015625</v>
      </c>
      <c r="H403" s="15" t="n">
        <f aca="false">G403*(1+IF(H$3&lt;=$O$2,$D403,$D403-($D403-$I$400)*MIN(H$3-$O$2,$Q$2)/$Q$2))</f>
        <v>4384.638671875</v>
      </c>
      <c r="I403" s="15" t="n">
        <f aca="false">H403*(1+IF(I$3&lt;=$O$2,$D403,$D403-($D403-$I$400)*MIN(I$3-$O$2,$Q$2)/$Q$2))</f>
        <v>3836.55883789063</v>
      </c>
      <c r="J403" s="15" t="n">
        <f aca="false">I403*(1+IF(J$3&lt;=$O$2,$D403,$D403-($D403-$I$400)*MIN(J$3-$O$2,$Q$2)/$Q$2))</f>
        <v>3478.45443596191</v>
      </c>
      <c r="K403" s="15" t="n">
        <f aca="false">J403*(1+IF(K$3&lt;=$O$2,$D403,$D403-($D403-$I$400)*MIN(K$3-$O$2,$Q$2)/$Q$2))</f>
        <v>3263.90336635178</v>
      </c>
      <c r="L403" s="15" t="n">
        <f aca="false">K403*(1+IF(L$3&lt;=$O$2,$D403,$D403-($D403-$I$400)*MIN(L$3-$O$2,$Q$2)/$Q$2))</f>
        <v>3165.9209872939</v>
      </c>
      <c r="M403" s="15" t="n">
        <f aca="false">L403*(1+IF(M$3&lt;=$O$2,$D403,$D403-($D403-$I$400)*MIN(M$3-$O$2,$Q$2)/$Q$2))</f>
        <v>3171.11309771307</v>
      </c>
      <c r="N403" s="15" t="n">
        <f aca="false">M403*(1+IF(N$3&lt;=$O$2,$D403,$D403-($D403-$I$400)*MIN(N$3-$O$2,$Q$2)/$Q$2))</f>
        <v>3276.71116386691</v>
      </c>
      <c r="O403" s="15" t="n">
        <f aca="false">SUMPRODUCT(E403:N403,1/(1+$F$400)^$E$3:$N$3)*$E$2</f>
        <v>5059.19177706105</v>
      </c>
      <c r="P403" s="15" t="n">
        <f aca="false">N403*$E$2*(1+$I$400)/($F$400-$I$400)/(1+$F$400)^$N$3</f>
        <v>5553.08632671171</v>
      </c>
      <c r="Q403" s="15" t="n">
        <f aca="false">O403+P403</f>
        <v>10612.2781037728</v>
      </c>
      <c r="R403" s="15" t="n">
        <f aca="false">Q403-$G$2+$I$2</f>
        <v>7496.07810377276</v>
      </c>
      <c r="S403" s="42" t="n">
        <f aca="false">R403/$K$2</f>
        <v>66.3957316543203</v>
      </c>
      <c r="T403" s="43" t="n">
        <f aca="false">S403-$M$2</f>
        <v>-102.071938850551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7947.5</v>
      </c>
      <c r="F404" s="15" t="n">
        <f aca="false">E404*(1+IF(F$3&lt;=$O$2,$D404,$D404-($D404-$I$400)*MIN(F$3-$O$2,$Q$2)/$Q$2))</f>
        <v>8444.21875</v>
      </c>
      <c r="G404" s="15" t="n">
        <f aca="false">F404*(1+IF(G$3&lt;=$O$2,$D404,$D404-($D404-$I$400)*MIN(G$3-$O$2,$Q$2)/$Q$2))</f>
        <v>8971.982421875</v>
      </c>
      <c r="H404" s="15" t="n">
        <f aca="false">G404*(1+IF(H$3&lt;=$O$2,$D404,$D404-($D404-$I$400)*MIN(H$3-$O$2,$Q$2)/$Q$2))</f>
        <v>9532.73132324219</v>
      </c>
      <c r="I404" s="15" t="n">
        <f aca="false">H404*(1+IF(I$3&lt;=$O$2,$D404,$D404-($D404-$I$400)*MIN(I$3-$O$2,$Q$2)/$Q$2))</f>
        <v>10128.5270309448</v>
      </c>
      <c r="J404" s="15" t="n">
        <f aca="false">I404*(1+IF(J$3&lt;=$O$2,$D404,$D404-($D404-$I$400)*MIN(J$3-$O$2,$Q$2)/$Q$2))</f>
        <v>10702.4093725182</v>
      </c>
      <c r="K404" s="15" t="n">
        <f aca="false">J404*(1+IF(K$3&lt;=$O$2,$D404,$D404-($D404-$I$400)*MIN(K$3-$O$2,$Q$2)/$Q$2))</f>
        <v>11246.3058168295</v>
      </c>
      <c r="L404" s="15" t="n">
        <f aca="false">K404*(1+IF(L$3&lt;=$O$2,$D404,$D404-($D404-$I$400)*MIN(L$3-$O$2,$Q$2)/$Q$2))</f>
        <v>11752.1646524705</v>
      </c>
      <c r="M404" s="15" t="n">
        <f aca="false">L404*(1+IF(M$3&lt;=$O$2,$D404,$D404-($D404-$I$400)*MIN(M$3-$O$2,$Q$2)/$Q$2))</f>
        <v>12212.1443769682</v>
      </c>
      <c r="N404" s="15" t="n">
        <f aca="false">M404*(1+IF(N$3&lt;=$O$2,$D404,$D404-($D404-$I$400)*MIN(N$3-$O$2,$Q$2)/$Q$2))</f>
        <v>12618.8087847213</v>
      </c>
      <c r="O404" s="15" t="n">
        <f aca="false">SUMPRODUCT(E404:N404,1/(1+$F$400)^$E$3:$N$3)*$E$2</f>
        <v>11441.3366953752</v>
      </c>
      <c r="P404" s="15" t="n">
        <f aca="false">N404*$E$2*(1+$I$400)/($F$400-$I$400)/(1+$F$400)^$N$3</f>
        <v>21385.2643756157</v>
      </c>
      <c r="Q404" s="15" t="n">
        <f aca="false">O404+P404</f>
        <v>32826.6010709909</v>
      </c>
      <c r="R404" s="15" t="n">
        <f aca="false">Q404-$G$2+$I$2</f>
        <v>29710.4010709909</v>
      </c>
      <c r="S404" s="42" t="n">
        <f aca="false">R404/$K$2</f>
        <v>263.156785394074</v>
      </c>
      <c r="T404" s="43" t="n">
        <f aca="false">S404-$M$2</f>
        <v>94.6891148892021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7246.25</v>
      </c>
      <c r="F405" s="15" t="n">
        <f aca="false">E405*(1+IF(F$3&lt;=$O$2,$D405,$D405-($D405-$I$400)*MIN(F$3-$O$2,$Q$2)/$Q$2))</f>
        <v>7019.8046875</v>
      </c>
      <c r="G405" s="15" t="n">
        <f aca="false">F405*(1+IF(G$3&lt;=$O$2,$D405,$D405-($D405-$I$400)*MIN(G$3-$O$2,$Q$2)/$Q$2))</f>
        <v>6800.43579101563</v>
      </c>
      <c r="H405" s="15" t="n">
        <f aca="false">G405*(1+IF(H$3&lt;=$O$2,$D405,$D405-($D405-$I$400)*MIN(H$3-$O$2,$Q$2)/$Q$2))</f>
        <v>6587.92217254639</v>
      </c>
      <c r="I405" s="15" t="n">
        <f aca="false">H405*(1+IF(I$3&lt;=$O$2,$D405,$D405-($D405-$I$400)*MIN(I$3-$O$2,$Q$2)/$Q$2))</f>
        <v>6382.04960465431</v>
      </c>
      <c r="J405" s="15" t="n">
        <f aca="false">I405*(1+IF(J$3&lt;=$O$2,$D405,$D405-($D405-$I$400)*MIN(J$3-$O$2,$Q$2)/$Q$2))</f>
        <v>6265.00281490495</v>
      </c>
      <c r="K405" s="15" t="n">
        <f aca="false">J405*(1+IF(K$3&lt;=$O$2,$D405,$D405-($D405-$I$400)*MIN(K$3-$O$2,$Q$2)/$Q$2))</f>
        <v>6230.98384962002</v>
      </c>
      <c r="L405" s="15" t="n">
        <f aca="false">K405*(1+IF(L$3&lt;=$O$2,$D405,$D405-($D405-$I$400)*MIN(L$3-$O$2,$Q$2)/$Q$2))</f>
        <v>6277.59160881518</v>
      </c>
      <c r="M405" s="15" t="n">
        <f aca="false">L405*(1+IF(M$3&lt;=$O$2,$D405,$D405-($D405-$I$400)*MIN(M$3-$O$2,$Q$2)/$Q$2))</f>
        <v>6405.59170171892</v>
      </c>
      <c r="N405" s="15" t="n">
        <f aca="false">M405*(1+IF(N$3&lt;=$O$2,$D405,$D405-($D405-$I$400)*MIN(N$3-$O$2,$Q$2)/$Q$2))</f>
        <v>6618.89790538616</v>
      </c>
      <c r="O405" s="15" t="n">
        <f aca="false">SUMPRODUCT(E405:N405,1/(1+$F$400)^$E$3:$N$3)*$E$2</f>
        <v>7587.16475395868</v>
      </c>
      <c r="P405" s="15" t="n">
        <f aca="false">N405*$E$2*(1+$I$400)/($F$400-$I$400)/(1+$F$400)^$N$3</f>
        <v>11217.1349924309</v>
      </c>
      <c r="Q405" s="15" t="n">
        <f aca="false">O405+P405</f>
        <v>18804.2997463896</v>
      </c>
      <c r="R405" s="15" t="n">
        <f aca="false">Q405-$G$2+$I$2</f>
        <v>15688.0997463896</v>
      </c>
      <c r="S405" s="42" t="n">
        <f aca="false">R405/$K$2</f>
        <v>138.955710774045</v>
      </c>
      <c r="T405" s="43" t="n">
        <f aca="false">S405-$M$2</f>
        <v>-29.5119597308271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41" t="n">
        <f aca="false">(B406+C406)/2</f>
        <v>0.015625</v>
      </c>
      <c r="E406" s="15" t="n">
        <f aca="false">$C$2*(1+IF(E$3&lt;=$O$2,$D406,$D406-($D406-$I$400)*MIN(E$3-$O$2,$Q$2)/$Q$2))</f>
        <v>7596.875</v>
      </c>
      <c r="F406" s="15" t="n">
        <f aca="false">E406*(1+IF(F$3&lt;=$O$2,$D406,$D406-($D406-$I$400)*MIN(F$3-$O$2,$Q$2)/$Q$2))</f>
        <v>7715.576171875</v>
      </c>
      <c r="G406" s="15" t="n">
        <f aca="false">F406*(1+IF(G$3&lt;=$O$2,$D406,$D406-($D406-$I$400)*MIN(G$3-$O$2,$Q$2)/$Q$2))</f>
        <v>7836.13204956055</v>
      </c>
      <c r="H406" s="15" t="n">
        <f aca="false">G406*(1+IF(H$3&lt;=$O$2,$D406,$D406-($D406-$I$400)*MIN(H$3-$O$2,$Q$2)/$Q$2))</f>
        <v>7958.57161283493</v>
      </c>
      <c r="I406" s="15" t="n">
        <f aca="false">H406*(1+IF(I$3&lt;=$O$2,$D406,$D406-($D406-$I$400)*MIN(I$3-$O$2,$Q$2)/$Q$2))</f>
        <v>8082.92429428548</v>
      </c>
      <c r="J406" s="15" t="n">
        <f aca="false">I406*(1+IF(J$3&lt;=$O$2,$D406,$D406-($D406-$I$400)*MIN(J$3-$O$2,$Q$2)/$Q$2))</f>
        <v>8237.79312376399</v>
      </c>
      <c r="K406" s="15" t="n">
        <f aca="false">J406*(1+IF(K$3&lt;=$O$2,$D406,$D406-($D406-$I$400)*MIN(K$3-$O$2,$Q$2)/$Q$2))</f>
        <v>8424.74983870781</v>
      </c>
      <c r="L406" s="15" t="n">
        <f aca="false">K406*(1+IF(L$3&lt;=$O$2,$D406,$D406-($D406-$I$400)*MIN(L$3-$O$2,$Q$2)/$Q$2))</f>
        <v>8645.73102697711</v>
      </c>
      <c r="M406" s="15" t="n">
        <f aca="false">L406*(1+IF(M$3&lt;=$O$2,$D406,$D406-($D406-$I$400)*MIN(M$3-$O$2,$Q$2)/$Q$2))</f>
        <v>8903.07121099509</v>
      </c>
      <c r="N406" s="15" t="n">
        <f aca="false">M406*(1+IF(N$3&lt;=$O$2,$D406,$D406-($D406-$I$400)*MIN(N$3-$O$2,$Q$2)/$Q$2))</f>
        <v>9199.54348232123</v>
      </c>
      <c r="O406" s="15" t="n">
        <f aca="false">SUMPRODUCT(E406:N406,1/(1+$F$400)^$E$3:$N$3)*$E$2</f>
        <v>9313.73152184093</v>
      </c>
      <c r="P406" s="15" t="n">
        <f aca="false">N406*$E$2*(1+$I$400)/($F$400-$I$400)/(1+$F$400)^$N$3</f>
        <v>15590.5896396985</v>
      </c>
      <c r="Q406" s="15" t="n">
        <f aca="false">O406+P406</f>
        <v>24904.3211615394</v>
      </c>
      <c r="R406" s="15" t="n">
        <f aca="false">Q406-$G$2+$I$2</f>
        <v>21788.1211615394</v>
      </c>
      <c r="S406" s="42" t="n">
        <f aca="false">R406/$K$2</f>
        <v>192.986015602652</v>
      </c>
      <c r="T406" s="43" t="n">
        <f aca="false">S406-$M$2</f>
        <v>24.5183450977805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-0.03125</v>
      </c>
      <c r="C407" s="25" t="n">
        <f aca="false">IF(T406&gt;0,D406,C406)</f>
        <v>0.015625</v>
      </c>
      <c r="D407" s="41" t="n">
        <f aca="false">(B407+C407)/2</f>
        <v>-0.0078125</v>
      </c>
      <c r="E407" s="15" t="n">
        <f aca="false">$C$2*(1+IF(E$3&lt;=$O$2,$D407,$D407-($D407-$I$400)*MIN(E$3-$O$2,$Q$2)/$Q$2))</f>
        <v>7421.5625</v>
      </c>
      <c r="F407" s="15" t="n">
        <f aca="false">E407*(1+IF(F$3&lt;=$O$2,$D407,$D407-($D407-$I$400)*MIN(F$3-$O$2,$Q$2)/$Q$2))</f>
        <v>7363.58154296875</v>
      </c>
      <c r="G407" s="15" t="n">
        <f aca="false">F407*(1+IF(G$3&lt;=$O$2,$D407,$D407-($D407-$I$400)*MIN(G$3-$O$2,$Q$2)/$Q$2))</f>
        <v>7306.05356216431</v>
      </c>
      <c r="H407" s="15" t="n">
        <f aca="false">G407*(1+IF(H$3&lt;=$O$2,$D407,$D407-($D407-$I$400)*MIN(H$3-$O$2,$Q$2)/$Q$2))</f>
        <v>7248.9750187099</v>
      </c>
      <c r="I407" s="15" t="n">
        <f aca="false">H407*(1+IF(I$3&lt;=$O$2,$D407,$D407-($D407-$I$400)*MIN(I$3-$O$2,$Q$2)/$Q$2))</f>
        <v>7192.34240137623</v>
      </c>
      <c r="J407" s="15" t="n">
        <f aca="false">I407*(1+IF(J$3&lt;=$O$2,$D407,$D407-($D407-$I$400)*MIN(J$3-$O$2,$Q$2)/$Q$2))</f>
        <v>7195.29126176079</v>
      </c>
      <c r="K407" s="15" t="n">
        <f aca="false">J407*(1+IF(K$3&lt;=$O$2,$D407,$D407-($D407-$I$400)*MIN(K$3-$O$2,$Q$2)/$Q$2))</f>
        <v>7257.40461357794</v>
      </c>
      <c r="L407" s="15" t="n">
        <f aca="false">K407*(1+IF(L$3&lt;=$O$2,$D407,$D407-($D407-$I$400)*MIN(L$3-$O$2,$Q$2)/$Q$2))</f>
        <v>7379.7281683398</v>
      </c>
      <c r="M407" s="15" t="n">
        <f aca="false">L407*(1+IF(M$3&lt;=$O$2,$D407,$D407-($D407-$I$400)*MIN(M$3-$O$2,$Q$2)/$Q$2))</f>
        <v>7564.79330148134</v>
      </c>
      <c r="N407" s="15" t="n">
        <f aca="false">M407*(1+IF(N$3&lt;=$O$2,$D407,$D407-($D407-$I$400)*MIN(N$3-$O$2,$Q$2)/$Q$2))</f>
        <v>7816.70091842067</v>
      </c>
      <c r="O407" s="15" t="n">
        <f aca="false">SUMPRODUCT(E407:N407,1/(1+$F$400)^$E$3:$N$3)*$E$2</f>
        <v>8405.13954873071</v>
      </c>
      <c r="P407" s="15" t="n">
        <f aca="false">N407*$E$2*(1+$I$400)/($F$400-$I$400)/(1+$F$400)^$N$3</f>
        <v>13247.0678126086</v>
      </c>
      <c r="Q407" s="15" t="n">
        <f aca="false">O407+P407</f>
        <v>21652.2073613393</v>
      </c>
      <c r="R407" s="15" t="n">
        <f aca="false">Q407-$G$2+$I$2</f>
        <v>18536.0073613393</v>
      </c>
      <c r="S407" s="42" t="n">
        <f aca="false">R407/$K$2</f>
        <v>164.180756079179</v>
      </c>
      <c r="T407" s="43" t="n">
        <f aca="false">S407-$M$2</f>
        <v>-4.2869144256924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-0.0078125</v>
      </c>
      <c r="C408" s="25" t="n">
        <f aca="false">IF(T407&gt;0,D407,C407)</f>
        <v>0.015625</v>
      </c>
      <c r="D408" s="41" t="n">
        <f aca="false">(B408+C408)/2</f>
        <v>0.00390625</v>
      </c>
      <c r="E408" s="15" t="n">
        <f aca="false">$C$2*(1+IF(E$3&lt;=$O$2,$D408,$D408-($D408-$I$400)*MIN(E$3-$O$2,$Q$2)/$Q$2))</f>
        <v>7509.21875</v>
      </c>
      <c r="F408" s="15" t="n">
        <f aca="false">E408*(1+IF(F$3&lt;=$O$2,$D408,$D408-($D408-$I$400)*MIN(F$3-$O$2,$Q$2)/$Q$2))</f>
        <v>7538.55163574219</v>
      </c>
      <c r="G408" s="15" t="n">
        <f aca="false">F408*(1+IF(G$3&lt;=$O$2,$D408,$D408-($D408-$I$400)*MIN(G$3-$O$2,$Q$2)/$Q$2))</f>
        <v>7567.99910306931</v>
      </c>
      <c r="H408" s="15" t="n">
        <f aca="false">G408*(1+IF(H$3&lt;=$O$2,$D408,$D408-($D408-$I$400)*MIN(H$3-$O$2,$Q$2)/$Q$2))</f>
        <v>7597.56159956567</v>
      </c>
      <c r="I408" s="15" t="n">
        <f aca="false">H408*(1+IF(I$3&lt;=$O$2,$D408,$D408-($D408-$I$400)*MIN(I$3-$O$2,$Q$2)/$Q$2))</f>
        <v>7627.23957456397</v>
      </c>
      <c r="J408" s="15" t="n">
        <f aca="false">I408*(1+IF(J$3&lt;=$O$2,$D408,$D408-($D408-$I$400)*MIN(J$3-$O$2,$Q$2)/$Q$2))</f>
        <v>7701.87211380108</v>
      </c>
      <c r="K408" s="15" t="n">
        <f aca="false">J408*(1+IF(K$3&lt;=$O$2,$D408,$D408-($D408-$I$400)*MIN(K$3-$O$2,$Q$2)/$Q$2))</f>
        <v>7822.51231312363</v>
      </c>
      <c r="L408" s="15" t="n">
        <f aca="false">K408*(1+IF(L$3&lt;=$O$2,$D408,$D408-($D408-$I$400)*MIN(L$3-$O$2,$Q$2)/$Q$2))</f>
        <v>7991.0287846291</v>
      </c>
      <c r="M408" s="15" t="n">
        <f aca="false">L408*(1+IF(M$3&lt;=$O$2,$D408,$D408-($D408-$I$400)*MIN(M$3-$O$2,$Q$2)/$Q$2))</f>
        <v>8210.15278268961</v>
      </c>
      <c r="N408" s="15" t="n">
        <f aca="false">M408*(1+IF(N$3&lt;=$O$2,$D408,$D408-($D408-$I$400)*MIN(N$3-$O$2,$Q$2)/$Q$2))</f>
        <v>8483.55087035318</v>
      </c>
      <c r="O408" s="15" t="n">
        <f aca="false">SUMPRODUCT(E408:N408,1/(1+$F$400)^$E$3:$N$3)*$E$2</f>
        <v>8847.5380173726</v>
      </c>
      <c r="P408" s="15" t="n">
        <f aca="false">N408*$E$2*(1+$I$400)/($F$400-$I$400)/(1+$F$400)^$N$3</f>
        <v>14377.1873638463</v>
      </c>
      <c r="Q408" s="15" t="n">
        <f aca="false">O408+P408</f>
        <v>23224.7253812189</v>
      </c>
      <c r="R408" s="15" t="n">
        <f aca="false">Q408-$G$2+$I$2</f>
        <v>20108.5253812189</v>
      </c>
      <c r="S408" s="42" t="n">
        <f aca="false">R408/$K$2</f>
        <v>178.10917078139</v>
      </c>
      <c r="T408" s="43" t="n">
        <f aca="false">S408-$M$2</f>
        <v>9.64150027651812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-0.0078125</v>
      </c>
      <c r="C409" s="25" t="n">
        <f aca="false">IF(T408&gt;0,D408,C408)</f>
        <v>0.00390625</v>
      </c>
      <c r="D409" s="41" t="n">
        <f aca="false">(B409+C409)/2</f>
        <v>-0.001953125</v>
      </c>
      <c r="E409" s="15" t="n">
        <f aca="false">$C$2*(1+IF(E$3&lt;=$O$2,$D409,$D409-($D409-$I$400)*MIN(E$3-$O$2,$Q$2)/$Q$2))</f>
        <v>7465.390625</v>
      </c>
      <c r="F409" s="15" t="n">
        <f aca="false">E409*(1+IF(F$3&lt;=$O$2,$D409,$D409-($D409-$I$400)*MIN(F$3-$O$2,$Q$2)/$Q$2))</f>
        <v>7450.80978393555</v>
      </c>
      <c r="G409" s="15" t="n">
        <f aca="false">F409*(1+IF(G$3&lt;=$O$2,$D409,$D409-($D409-$I$400)*MIN(G$3-$O$2,$Q$2)/$Q$2))</f>
        <v>7436.2574210763</v>
      </c>
      <c r="H409" s="15" t="n">
        <f aca="false">G409*(1+IF(H$3&lt;=$O$2,$D409,$D409-($D409-$I$400)*MIN(H$3-$O$2,$Q$2)/$Q$2))</f>
        <v>7421.73348080076</v>
      </c>
      <c r="I409" s="15" t="n">
        <f aca="false">H409*(1+IF(I$3&lt;=$O$2,$D409,$D409-($D409-$I$400)*MIN(I$3-$O$2,$Q$2)/$Q$2))</f>
        <v>7407.23790759607</v>
      </c>
      <c r="J409" s="15" t="n">
        <f aca="false">I409*(1+IF(J$3&lt;=$O$2,$D409,$D409-($D409-$I$400)*MIN(J$3-$O$2,$Q$2)/$Q$2))</f>
        <v>7444.99630283004</v>
      </c>
      <c r="K409" s="15" t="n">
        <f aca="false">J409*(1+IF(K$3&lt;=$O$2,$D409,$D409-($D409-$I$400)*MIN(K$3-$O$2,$Q$2)/$Q$2))</f>
        <v>7535.43904854136</v>
      </c>
      <c r="L409" s="15" t="n">
        <f aca="false">K409*(1+IF(L$3&lt;=$O$2,$D409,$D409-($D409-$I$400)*MIN(L$3-$O$2,$Q$2)/$Q$2))</f>
        <v>7680.11005897454</v>
      </c>
      <c r="M409" s="15" t="n">
        <f aca="false">L409*(1+IF(M$3&lt;=$O$2,$D409,$D409-($D409-$I$400)*MIN(M$3-$O$2,$Q$2)/$Q$2))</f>
        <v>7881.70814795384</v>
      </c>
      <c r="N409" s="15" t="n">
        <f aca="false">M409*(1+IF(N$3&lt;=$O$2,$D409,$D409-($D409-$I$400)*MIN(N$3-$O$2,$Q$2)/$Q$2))</f>
        <v>8144.1690292807</v>
      </c>
      <c r="O409" s="15" t="n">
        <f aca="false">SUMPRODUCT(E409:N409,1/(1+$F$400)^$E$3:$N$3)*$E$2</f>
        <v>8623.4376389131</v>
      </c>
      <c r="P409" s="15" t="n">
        <f aca="false">N409*$E$2*(1+$I$400)/($F$400-$I$400)/(1+$F$400)^$N$3</f>
        <v>13802.0324090929</v>
      </c>
      <c r="Q409" s="15" t="n">
        <f aca="false">O409+P409</f>
        <v>22425.470048006</v>
      </c>
      <c r="R409" s="15" t="n">
        <f aca="false">Q409-$G$2+$I$2</f>
        <v>19309.270048006</v>
      </c>
      <c r="S409" s="42" t="n">
        <f aca="false">R409/$K$2</f>
        <v>171.029849849477</v>
      </c>
      <c r="T409" s="43" t="n">
        <f aca="false">S409-$M$2</f>
        <v>2.56217934460585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-0.0078125</v>
      </c>
      <c r="C410" s="25" t="n">
        <f aca="false">IF(T409&gt;0,D409,C409)</f>
        <v>-0.001953125</v>
      </c>
      <c r="D410" s="41" t="n">
        <f aca="false">(B410+C410)/2</f>
        <v>-0.0048828125</v>
      </c>
      <c r="E410" s="15" t="n">
        <f aca="false">$C$2*(1+IF(E$3&lt;=$O$2,$D410,$D410-($D410-$I$400)*MIN(E$3-$O$2,$Q$2)/$Q$2))</f>
        <v>7443.4765625</v>
      </c>
      <c r="F410" s="15" t="n">
        <f aca="false">E410*(1+IF(F$3&lt;=$O$2,$D410,$D410-($D410-$I$400)*MIN(F$3-$O$2,$Q$2)/$Q$2))</f>
        <v>7407.13146209717</v>
      </c>
      <c r="G410" s="15" t="n">
        <f aca="false">F410*(1+IF(G$3&lt;=$O$2,$D410,$D410-($D410-$I$400)*MIN(G$3-$O$2,$Q$2)/$Q$2))</f>
        <v>7370.9638280049</v>
      </c>
      <c r="H410" s="15" t="n">
        <f aca="false">G410*(1+IF(H$3&lt;=$O$2,$D410,$D410-($D410-$I$400)*MIN(H$3-$O$2,$Q$2)/$Q$2))</f>
        <v>7334.97279368847</v>
      </c>
      <c r="I410" s="15" t="n">
        <f aca="false">H410*(1+IF(I$3&lt;=$O$2,$D410,$D410-($D410-$I$400)*MIN(I$3-$O$2,$Q$2)/$Q$2))</f>
        <v>7299.15749684429</v>
      </c>
      <c r="J410" s="15" t="n">
        <f aca="false">I410*(1+IF(J$3&lt;=$O$2,$D410,$D410-($D410-$I$400)*MIN(J$3-$O$2,$Q$2)/$Q$2))</f>
        <v>7319.25755180122</v>
      </c>
      <c r="K410" s="15" t="n">
        <f aca="false">J410*(1+IF(K$3&lt;=$O$2,$D410,$D410-($D410-$I$400)*MIN(K$3-$O$2,$Q$2)/$Q$2))</f>
        <v>7395.30692503242</v>
      </c>
      <c r="L410" s="15" t="n">
        <f aca="false">K410*(1+IF(L$3&lt;=$O$2,$D410,$D410-($D410-$I$400)*MIN(L$3-$O$2,$Q$2)/$Q$2))</f>
        <v>7528.62119855661</v>
      </c>
      <c r="M410" s="15" t="n">
        <f aca="false">L410*(1+IF(M$3&lt;=$O$2,$D410,$D410-($D410-$I$400)*MIN(M$3-$O$2,$Q$2)/$Q$2))</f>
        <v>7721.83149814695</v>
      </c>
      <c r="N410" s="15" t="n">
        <f aca="false">M410*(1+IF(N$3&lt;=$O$2,$D410,$D410-($D410-$I$400)*MIN(N$3-$O$2,$Q$2)/$Q$2))</f>
        <v>7978.96848703524</v>
      </c>
      <c r="O410" s="15" t="n">
        <f aca="false">SUMPRODUCT(E410:N410,1/(1+$F$400)^$E$3:$N$3)*$E$2</f>
        <v>8513.57228980429</v>
      </c>
      <c r="P410" s="15" t="n">
        <f aca="false">N410*$E$2*(1+$I$400)/($F$400-$I$400)/(1+$F$400)^$N$3</f>
        <v>13522.0648359895</v>
      </c>
      <c r="Q410" s="15" t="n">
        <f aca="false">O410+P410</f>
        <v>22035.6371257938</v>
      </c>
      <c r="R410" s="15" t="n">
        <f aca="false">Q410-$G$2+$I$2</f>
        <v>18919.4371257938</v>
      </c>
      <c r="S410" s="42" t="n">
        <f aca="false">R410/$K$2</f>
        <v>167.576945312611</v>
      </c>
      <c r="T410" s="43" t="n">
        <f aca="false">S410-$M$2</f>
        <v>-0.890725192260447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-0.0048828125</v>
      </c>
      <c r="C411" s="25" t="n">
        <f aca="false">IF(T410&gt;0,D410,C410)</f>
        <v>-0.001953125</v>
      </c>
      <c r="D411" s="41" t="n">
        <f aca="false">(B411+C411)/2</f>
        <v>-0.00341796875</v>
      </c>
      <c r="E411" s="15" t="n">
        <f aca="false">$C$2*(1+IF(E$3&lt;=$O$2,$D411,$D411-($D411-$I$400)*MIN(E$3-$O$2,$Q$2)/$Q$2))</f>
        <v>7454.43359375</v>
      </c>
      <c r="F411" s="15" t="n">
        <f aca="false">E411*(1+IF(F$3&lt;=$O$2,$D411,$D411-($D411-$I$400)*MIN(F$3-$O$2,$Q$2)/$Q$2))</f>
        <v>7428.95457267761</v>
      </c>
      <c r="G411" s="15" t="n">
        <f aca="false">F411*(1+IF(G$3&lt;=$O$2,$D411,$D411-($D411-$I$400)*MIN(G$3-$O$2,$Q$2)/$Q$2))</f>
        <v>7403.56263810303</v>
      </c>
      <c r="H411" s="15" t="n">
        <f aca="false">G411*(1+IF(H$3&lt;=$O$2,$D411,$D411-($D411-$I$400)*MIN(H$3-$O$2,$Q$2)/$Q$2))</f>
        <v>7378.25749236733</v>
      </c>
      <c r="I411" s="15" t="n">
        <f aca="false">H411*(1+IF(I$3&lt;=$O$2,$D411,$D411-($D411-$I$400)*MIN(I$3-$O$2,$Q$2)/$Q$2))</f>
        <v>7353.03883882896</v>
      </c>
      <c r="J411" s="15" t="n">
        <f aca="false">I411*(1+IF(J$3&lt;=$O$2,$D411,$D411-($D411-$I$400)*MIN(J$3-$O$2,$Q$2)/$Q$2))</f>
        <v>7381.90411192064</v>
      </c>
      <c r="K411" s="15" t="n">
        <f aca="false">J411*(1+IF(K$3&lt;=$O$2,$D411,$D411-($D411-$I$400)*MIN(K$3-$O$2,$Q$2)/$Q$2))</f>
        <v>7465.0924041494</v>
      </c>
      <c r="L411" s="15" t="n">
        <f aca="false">K411*(1+IF(L$3&lt;=$O$2,$D411,$D411-($D411-$I$400)*MIN(L$3-$O$2,$Q$2)/$Q$2))</f>
        <v>7604.03876936301</v>
      </c>
      <c r="M411" s="15" t="n">
        <f aca="false">L411*(1+IF(M$3&lt;=$O$2,$D411,$D411-($D411-$I$400)*MIN(M$3-$O$2,$Q$2)/$Q$2))</f>
        <v>7801.41228880134</v>
      </c>
      <c r="N411" s="15" t="n">
        <f aca="false">M411*(1+IF(N$3&lt;=$O$2,$D411,$D411-($D411-$I$400)*MIN(N$3-$O$2,$Q$2)/$Q$2))</f>
        <v>8061.19931801843</v>
      </c>
      <c r="O411" s="15" t="n">
        <f aca="false">SUMPRODUCT(E411:N411,1/(1+$F$400)^$E$3:$N$3)*$E$2</f>
        <v>8568.32477320939</v>
      </c>
      <c r="P411" s="15" t="n">
        <f aca="false">N411*$E$2*(1+$I$400)/($F$400-$I$400)/(1+$F$400)^$N$3</f>
        <v>13661.4225273852</v>
      </c>
      <c r="Q411" s="15" t="n">
        <f aca="false">O411+P411</f>
        <v>22229.7473005946</v>
      </c>
      <c r="R411" s="15" t="n">
        <f aca="false">Q411-$G$2+$I$2</f>
        <v>19113.5473005946</v>
      </c>
      <c r="S411" s="42" t="n">
        <f aca="false">R411/$K$2</f>
        <v>169.296255984008</v>
      </c>
      <c r="T411" s="43" t="n">
        <f aca="false">S411-$M$2</f>
        <v>0.828585479136876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-0.0048828125</v>
      </c>
      <c r="C412" s="25" t="n">
        <f aca="false">IF(T411&gt;0,D411,C411)</f>
        <v>-0.00341796875</v>
      </c>
      <c r="D412" s="41" t="n">
        <f aca="false">(B412+C412)/2</f>
        <v>-0.004150390625</v>
      </c>
      <c r="E412" s="15" t="n">
        <f aca="false">$C$2*(1+IF(E$3&lt;=$O$2,$D412,$D412-($D412-$I$400)*MIN(E$3-$O$2,$Q$2)/$Q$2))</f>
        <v>7448.955078125</v>
      </c>
      <c r="F412" s="15" t="n">
        <f aca="false">E412*(1+IF(F$3&lt;=$O$2,$D412,$D412-($D412-$I$400)*MIN(F$3-$O$2,$Q$2)/$Q$2))</f>
        <v>7418.0390048027</v>
      </c>
      <c r="G412" s="15" t="n">
        <f aca="false">F412*(1+IF(G$3&lt;=$O$2,$D412,$D412-($D412-$I$400)*MIN(G$3-$O$2,$Q$2)/$Q$2))</f>
        <v>7387.25124526129</v>
      </c>
      <c r="H412" s="15" t="n">
        <f aca="false">G412*(1+IF(H$3&lt;=$O$2,$D412,$D412-($D412-$I$400)*MIN(H$3-$O$2,$Q$2)/$Q$2))</f>
        <v>7356.59126694843</v>
      </c>
      <c r="I412" s="15" t="n">
        <f aca="false">H412*(1+IF(I$3&lt;=$O$2,$D412,$D412-($D412-$I$400)*MIN(I$3-$O$2,$Q$2)/$Q$2))</f>
        <v>7326.05853952213</v>
      </c>
      <c r="J412" s="15" t="n">
        <f aca="false">I412*(1+IF(J$3&lt;=$O$2,$D412,$D412-($D412-$I$400)*MIN(J$3-$O$2,$Q$2)/$Q$2))</f>
        <v>7350.52528565085</v>
      </c>
      <c r="K412" s="15" t="n">
        <f aca="false">J412*(1+IF(K$3&lt;=$O$2,$D412,$D412-($D412-$I$400)*MIN(K$3-$O$2,$Q$2)/$Q$2))</f>
        <v>7430.12975171508</v>
      </c>
      <c r="L412" s="15" t="n">
        <f aca="false">K412*(1+IF(L$3&lt;=$O$2,$D412,$D412-($D412-$I$400)*MIN(L$3-$O$2,$Q$2)/$Q$2))</f>
        <v>7566.24856780873</v>
      </c>
      <c r="M412" s="15" t="n">
        <f aca="false">L412*(1+IF(M$3&lt;=$O$2,$D412,$D412-($D412-$I$400)*MIN(M$3-$O$2,$Q$2)/$Q$2))</f>
        <v>7761.5328522307</v>
      </c>
      <c r="N412" s="15" t="n">
        <f aca="false">M412*(1+IF(N$3&lt;=$O$2,$D412,$D412-($D412-$I$400)*MIN(N$3-$O$2,$Q$2)/$Q$2))</f>
        <v>8019.99189620999</v>
      </c>
      <c r="O412" s="15" t="n">
        <f aca="false">SUMPRODUCT(E412:N412,1/(1+$F$400)^$E$3:$N$3)*$E$2</f>
        <v>8540.90362358574</v>
      </c>
      <c r="P412" s="15" t="n">
        <f aca="false">N412*$E$2*(1+$I$400)/($F$400-$I$400)/(1+$F$400)^$N$3</f>
        <v>13591.587757349</v>
      </c>
      <c r="Q412" s="15" t="n">
        <f aca="false">O412+P412</f>
        <v>22132.4913809348</v>
      </c>
      <c r="R412" s="15" t="n">
        <f aca="false">Q412-$G$2+$I$2</f>
        <v>19016.2913809348</v>
      </c>
      <c r="S412" s="42" t="n">
        <f aca="false">R412/$K$2</f>
        <v>168.434821797474</v>
      </c>
      <c r="T412" s="43" t="n">
        <f aca="false">S412-$M$2</f>
        <v>-0.0328487073980455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-0.004150390625</v>
      </c>
      <c r="C413" s="25" t="n">
        <f aca="false">IF(T412&gt;0,D412,C412)</f>
        <v>-0.00341796875</v>
      </c>
      <c r="D413" s="41" t="n">
        <f aca="false">(B413+C413)/2</f>
        <v>-0.0037841796875</v>
      </c>
      <c r="E413" s="15" t="n">
        <f aca="false">$C$2*(1+IF(E$3&lt;=$O$2,$D413,$D413-($D413-$I$400)*MIN(E$3-$O$2,$Q$2)/$Q$2))</f>
        <v>7451.6943359375</v>
      </c>
      <c r="F413" s="15" t="n">
        <f aca="false">E413*(1+IF(F$3&lt;=$O$2,$D413,$D413-($D413-$I$400)*MIN(F$3-$O$2,$Q$2)/$Q$2))</f>
        <v>7423.49578559399</v>
      </c>
      <c r="G413" s="15" t="n">
        <f aca="false">F413*(1+IF(G$3&lt;=$O$2,$D413,$D413-($D413-$I$400)*MIN(G$3-$O$2,$Q$2)/$Q$2))</f>
        <v>7395.4039436319</v>
      </c>
      <c r="H413" s="15" t="n">
        <f aca="false">G413*(1+IF(H$3&lt;=$O$2,$D413,$D413-($D413-$I$400)*MIN(H$3-$O$2,$Q$2)/$Q$2))</f>
        <v>7367.41840624755</v>
      </c>
      <c r="I413" s="15" t="n">
        <f aca="false">H413*(1+IF(I$3&lt;=$O$2,$D413,$D413-($D413-$I$400)*MIN(I$3-$O$2,$Q$2)/$Q$2))</f>
        <v>7339.53877116532</v>
      </c>
      <c r="J413" s="15" t="n">
        <f aca="false">I413*(1+IF(J$3&lt;=$O$2,$D413,$D413-($D413-$I$400)*MIN(J$3-$O$2,$Q$2)/$Q$2))</f>
        <v>7366.20079255451</v>
      </c>
      <c r="K413" s="15" t="n">
        <f aca="false">J413*(1+IF(K$3&lt;=$O$2,$D413,$D413-($D413-$I$400)*MIN(K$3-$O$2,$Q$2)/$Q$2))</f>
        <v>7447.59357066339</v>
      </c>
      <c r="L413" s="15" t="n">
        <f aca="false">K413*(1+IF(L$3&lt;=$O$2,$D413,$D413-($D413-$I$400)*MIN(L$3-$O$2,$Q$2)/$Q$2))</f>
        <v>7585.1232772809</v>
      </c>
      <c r="M413" s="15" t="n">
        <f aca="false">L413*(1+IF(M$3&lt;=$O$2,$D413,$D413-($D413-$I$400)*MIN(M$3-$O$2,$Q$2)/$Q$2))</f>
        <v>7781.45026750105</v>
      </c>
      <c r="N413" s="15" t="n">
        <f aca="false">M413*(1+IF(N$3&lt;=$O$2,$D413,$D413-($D413-$I$400)*MIN(N$3-$O$2,$Q$2)/$Q$2))</f>
        <v>8040.57256140884</v>
      </c>
      <c r="O413" s="15" t="n">
        <f aca="false">SUMPRODUCT(E413:N413,1/(1+$F$400)^$E$3:$N$3)*$E$2</f>
        <v>8554.60295396365</v>
      </c>
      <c r="P413" s="15" t="n">
        <f aca="false">N413*$E$2*(1+$I$400)/($F$400-$I$400)/(1+$F$400)^$N$3</f>
        <v>13626.4660865013</v>
      </c>
      <c r="Q413" s="15" t="n">
        <f aca="false">O413+P413</f>
        <v>22181.069040465</v>
      </c>
      <c r="R413" s="15" t="n">
        <f aca="false">Q413-$G$2+$I$2</f>
        <v>19064.869040465</v>
      </c>
      <c r="S413" s="42" t="n">
        <f aca="false">R413/$K$2</f>
        <v>168.865093361072</v>
      </c>
      <c r="T413" s="43" t="n">
        <f aca="false">S413-$M$2</f>
        <v>0.397422856199995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-0.004150390625</v>
      </c>
      <c r="C414" s="25" t="n">
        <f aca="false">IF(T413&gt;0,D413,C413)</f>
        <v>-0.0037841796875</v>
      </c>
      <c r="D414" s="41" t="n">
        <f aca="false">(B414+C414)/2</f>
        <v>-0.00396728515625</v>
      </c>
      <c r="E414" s="15" t="n">
        <f aca="false">$C$2*(1+IF(E$3&lt;=$O$2,$D414,$D414-($D414-$I$400)*MIN(E$3-$O$2,$Q$2)/$Q$2))</f>
        <v>7450.32470703125</v>
      </c>
      <c r="F414" s="15" t="n">
        <f aca="false">E414*(1+IF(F$3&lt;=$O$2,$D414,$D414-($D414-$I$400)*MIN(F$3-$O$2,$Q$2)/$Q$2))</f>
        <v>7420.7671444118</v>
      </c>
      <c r="G414" s="15" t="n">
        <f aca="false">F414*(1+IF(G$3&lt;=$O$2,$D414,$D414-($D414-$I$400)*MIN(G$3-$O$2,$Q$2)/$Q$2))</f>
        <v>7391.32684507179</v>
      </c>
      <c r="H414" s="15" t="n">
        <f aca="false">G414*(1+IF(H$3&lt;=$O$2,$D414,$D414-($D414-$I$400)*MIN(H$3-$O$2,$Q$2)/$Q$2))</f>
        <v>7362.00334379434</v>
      </c>
      <c r="I414" s="15" t="n">
        <f aca="false">H414*(1+IF(I$3&lt;=$O$2,$D414,$D414-($D414-$I$400)*MIN(I$3-$O$2,$Q$2)/$Q$2))</f>
        <v>7332.79617720825</v>
      </c>
      <c r="J414" s="15" t="n">
        <f aca="false">I414*(1+IF(J$3&lt;=$O$2,$D414,$D414-($D414-$I$400)*MIN(J$3-$O$2,$Q$2)/$Q$2))</f>
        <v>7358.35956500634</v>
      </c>
      <c r="K414" s="15" t="n">
        <f aca="false">J414*(1+IF(K$3&lt;=$O$2,$D414,$D414-($D414-$I$400)*MIN(K$3-$O$2,$Q$2)/$Q$2))</f>
        <v>7438.85728800626</v>
      </c>
      <c r="L414" s="15" t="n">
        <f aca="false">K414*(1+IF(L$3&lt;=$O$2,$D414,$D414-($D414-$I$400)*MIN(L$3-$O$2,$Q$2)/$Q$2))</f>
        <v>7575.68082938136</v>
      </c>
      <c r="M414" s="15" t="n">
        <f aca="false">L414*(1+IF(M$3&lt;=$O$2,$D414,$D414-($D414-$I$400)*MIN(M$3-$O$2,$Q$2)/$Q$2))</f>
        <v>7771.4859894555</v>
      </c>
      <c r="N414" s="15" t="n">
        <f aca="false">M414*(1+IF(N$3&lt;=$O$2,$D414,$D414-($D414-$I$400)*MIN(N$3-$O$2,$Q$2)/$Q$2))</f>
        <v>8030.27647290437</v>
      </c>
      <c r="O414" s="15" t="n">
        <f aca="false">SUMPRODUCT(E414:N414,1/(1+$F$400)^$E$3:$N$3)*$E$2</f>
        <v>8547.75047984977</v>
      </c>
      <c r="P414" s="15" t="n">
        <f aca="false">N414*$E$2*(1+$I$400)/($F$400-$I$400)/(1+$F$400)^$N$3</f>
        <v>13609.0171673158</v>
      </c>
      <c r="Q414" s="15" t="n">
        <f aca="false">O414+P414</f>
        <v>22156.7676471655</v>
      </c>
      <c r="R414" s="15" t="n">
        <f aca="false">Q414-$G$2+$I$2</f>
        <v>19040.5676471655</v>
      </c>
      <c r="S414" s="42" t="n">
        <f aca="false">R414/$K$2</f>
        <v>168.649846299075</v>
      </c>
      <c r="T414" s="43" t="n">
        <f aca="false">S414-$M$2</f>
        <v>0.18217579420309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-0.004150390625</v>
      </c>
      <c r="C415" s="25" t="n">
        <f aca="false">IF(T414&gt;0,D414,C414)</f>
        <v>-0.00396728515625</v>
      </c>
      <c r="D415" s="41" t="n">
        <f aca="false">(B415+C415)/2</f>
        <v>-0.004058837890625</v>
      </c>
      <c r="E415" s="15" t="n">
        <f aca="false">$C$2*(1+IF(E$3&lt;=$O$2,$D415,$D415-($D415-$I$400)*MIN(E$3-$O$2,$Q$2)/$Q$2))</f>
        <v>7449.63989257813</v>
      </c>
      <c r="F415" s="15" t="n">
        <f aca="false">E415*(1+IF(F$3&lt;=$O$2,$D415,$D415-($D415-$I$400)*MIN(F$3-$O$2,$Q$2)/$Q$2))</f>
        <v>7419.40301191062</v>
      </c>
      <c r="G415" s="15" t="n">
        <f aca="false">F415*(1+IF(G$3&lt;=$O$2,$D415,$D415-($D415-$I$400)*MIN(G$3-$O$2,$Q$2)/$Q$2))</f>
        <v>7389.28885784006</v>
      </c>
      <c r="H415" s="15" t="n">
        <f aca="false">G415*(1+IF(H$3&lt;=$O$2,$D415,$D415-($D415-$I$400)*MIN(H$3-$O$2,$Q$2)/$Q$2))</f>
        <v>7359.29693223908</v>
      </c>
      <c r="I415" s="15" t="n">
        <f aca="false">H415*(1+IF(I$3&lt;=$O$2,$D415,$D415-($D415-$I$400)*MIN(I$3-$O$2,$Q$2)/$Q$2))</f>
        <v>7329.42673900215</v>
      </c>
      <c r="J415" s="15" t="n">
        <f aca="false">I415*(1+IF(J$3&lt;=$O$2,$D415,$D415-($D415-$I$400)*MIN(J$3-$O$2,$Q$2)/$Q$2))</f>
        <v>7354.44155711205</v>
      </c>
      <c r="K415" s="15" t="n">
        <f aca="false">J415*(1+IF(K$3&lt;=$O$2,$D415,$D415-($D415-$I$400)*MIN(K$3-$O$2,$Q$2)/$Q$2))</f>
        <v>7434.49242701894</v>
      </c>
      <c r="L415" s="15" t="n">
        <f aca="false">K415*(1+IF(L$3&lt;=$O$2,$D415,$D415-($D415-$I$400)*MIN(L$3-$O$2,$Q$2)/$Q$2))</f>
        <v>7570.96342588664</v>
      </c>
      <c r="M415" s="15" t="n">
        <f aca="false">L415*(1+IF(M$3&lt;=$O$2,$D415,$D415-($D415-$I$400)*MIN(M$3-$O$2,$Q$2)/$Q$2))</f>
        <v>7766.50802890796</v>
      </c>
      <c r="N415" s="15" t="n">
        <f aca="false">M415*(1+IF(N$3&lt;=$O$2,$D415,$D415-($D415-$I$400)*MIN(N$3-$O$2,$Q$2)/$Q$2))</f>
        <v>8025.13274627059</v>
      </c>
      <c r="O415" s="15" t="n">
        <f aca="false">SUMPRODUCT(E415:N415,1/(1+$F$400)^$E$3:$N$3)*$E$2</f>
        <v>8544.32634975931</v>
      </c>
      <c r="P415" s="15" t="n">
        <f aca="false">N415*$E$2*(1+$I$400)/($F$400-$I$400)/(1+$F$400)^$N$3</f>
        <v>13600.3000248488</v>
      </c>
      <c r="Q415" s="15" t="n">
        <f aca="false">O415+P415</f>
        <v>22144.6263746082</v>
      </c>
      <c r="R415" s="15" t="n">
        <f aca="false">Q415-$G$2+$I$2</f>
        <v>19028.4263746082</v>
      </c>
      <c r="S415" s="42" t="n">
        <f aca="false">R415/$K$2</f>
        <v>168.542306240993</v>
      </c>
      <c r="T415" s="43" t="n">
        <f aca="false">S415-$M$2</f>
        <v>0.0746357361217918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-0.004150390625</v>
      </c>
      <c r="C416" s="25" t="n">
        <f aca="false">IF(T415&gt;0,D415,C415)</f>
        <v>-0.004058837890625</v>
      </c>
      <c r="D416" s="41" t="n">
        <f aca="false">(B416+C416)/2</f>
        <v>-0.0041046142578125</v>
      </c>
      <c r="E416" s="15" t="n">
        <f aca="false">$C$2*(1+IF(E$3&lt;=$O$2,$D416,$D416-($D416-$I$400)*MIN(E$3-$O$2,$Q$2)/$Q$2))</f>
        <v>7449.29748535156</v>
      </c>
      <c r="F416" s="15" t="n">
        <f aca="false">E416*(1+IF(F$3&lt;=$O$2,$D416,$D416-($D416-$I$400)*MIN(F$3-$O$2,$Q$2)/$Q$2))</f>
        <v>7418.7209926825</v>
      </c>
      <c r="G416" s="15" t="n">
        <f aca="false">F416*(1+IF(G$3&lt;=$O$2,$D416,$D416-($D416-$I$400)*MIN(G$3-$O$2,$Q$2)/$Q$2))</f>
        <v>7388.2700047212</v>
      </c>
      <c r="H416" s="15" t="n">
        <f aca="false">G416*(1+IF(H$3&lt;=$O$2,$D416,$D416-($D416-$I$400)*MIN(H$3-$O$2,$Q$2)/$Q$2))</f>
        <v>7357.94400631926</v>
      </c>
      <c r="I416" s="15" t="n">
        <f aca="false">H416*(1+IF(I$3&lt;=$O$2,$D416,$D416-($D416-$I$400)*MIN(I$3-$O$2,$Q$2)/$Q$2))</f>
        <v>7327.74248444273</v>
      </c>
      <c r="J416" s="15" t="n">
        <f aca="false">I416*(1+IF(J$3&lt;=$O$2,$D416,$D416-($D416-$I$400)*MIN(J$3-$O$2,$Q$2)/$Q$2))</f>
        <v>7352.48320436574</v>
      </c>
      <c r="K416" s="15" t="n">
        <f aca="false">J416*(1+IF(K$3&lt;=$O$2,$D416,$D416-($D416-$I$400)*MIN(K$3-$O$2,$Q$2)/$Q$2))</f>
        <v>7432.31081621332</v>
      </c>
      <c r="L416" s="15" t="n">
        <f aca="false">K416*(1+IF(L$3&lt;=$O$2,$D416,$D416-($D416-$I$400)*MIN(L$3-$O$2,$Q$2)/$Q$2))</f>
        <v>7568.60567874337</v>
      </c>
      <c r="M416" s="15" t="n">
        <f aca="false">L416*(1+IF(M$3&lt;=$O$2,$D416,$D416-($D416-$I$400)*MIN(M$3-$O$2,$Q$2)/$Q$2))</f>
        <v>7764.02009266895</v>
      </c>
      <c r="N416" s="15" t="n">
        <f aca="false">M416*(1+IF(N$3&lt;=$O$2,$D416,$D416-($D416-$I$400)*MIN(N$3-$O$2,$Q$2)/$Q$2))</f>
        <v>8022.56196175482</v>
      </c>
      <c r="O416" s="15" t="n">
        <f aca="false">SUMPRODUCT(E416:N416,1/(1+$F$400)^$E$3:$N$3)*$E$2</f>
        <v>8542.614811217</v>
      </c>
      <c r="P416" s="15" t="n">
        <f aca="false">N416*$E$2*(1+$I$400)/($F$400-$I$400)/(1+$F$400)^$N$3</f>
        <v>13595.9432818741</v>
      </c>
      <c r="Q416" s="15" t="n">
        <f aca="false">O416+P416</f>
        <v>22138.5580930911</v>
      </c>
      <c r="R416" s="15" t="n">
        <f aca="false">Q416-$G$2+$I$2</f>
        <v>19022.3580930911</v>
      </c>
      <c r="S416" s="42" t="n">
        <f aca="false">R416/$K$2</f>
        <v>168.488557069009</v>
      </c>
      <c r="T416" s="43" t="n">
        <f aca="false">S416-$M$2</f>
        <v>0.0208865641372142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-0.004150390625</v>
      </c>
      <c r="C417" s="25" t="n">
        <f aca="false">IF(T416&gt;0,D416,C416)</f>
        <v>-0.0041046142578125</v>
      </c>
      <c r="D417" s="41" t="n">
        <f aca="false">(B417+C417)/2</f>
        <v>-0.00412750244140625</v>
      </c>
      <c r="E417" s="15" t="n">
        <f aca="false">$C$2*(1+IF(E$3&lt;=$O$2,$D417,$D417-($D417-$I$400)*MIN(E$3-$O$2,$Q$2)/$Q$2))</f>
        <v>7449.12628173828</v>
      </c>
      <c r="F417" s="15" t="n">
        <f aca="false">E417*(1+IF(F$3&lt;=$O$2,$D417,$D417-($D417-$I$400)*MIN(F$3-$O$2,$Q$2)/$Q$2))</f>
        <v>7418.37999482406</v>
      </c>
      <c r="G417" s="15" t="n">
        <f aca="false">F417*(1+IF(G$3&lt;=$O$2,$D417,$D417-($D417-$I$400)*MIN(G$3-$O$2,$Q$2)/$Q$2))</f>
        <v>7387.76061328415</v>
      </c>
      <c r="H417" s="15" t="n">
        <f aca="false">G417*(1+IF(H$3&lt;=$O$2,$D417,$D417-($D417-$I$400)*MIN(H$3-$O$2,$Q$2)/$Q$2))</f>
        <v>7357.26761331629</v>
      </c>
      <c r="I417" s="15" t="n">
        <f aca="false">H417*(1+IF(I$3&lt;=$O$2,$D417,$D417-($D417-$I$400)*MIN(I$3-$O$2,$Q$2)/$Q$2))</f>
        <v>7326.90047328025</v>
      </c>
      <c r="J417" s="15" t="n">
        <f aca="false">I417*(1+IF(J$3&lt;=$O$2,$D417,$D417-($D417-$I$400)*MIN(J$3-$O$2,$Q$2)/$Q$2))</f>
        <v>7351.50419075917</v>
      </c>
      <c r="K417" s="15" t="n">
        <f aca="false">J417*(1+IF(K$3&lt;=$O$2,$D417,$D417-($D417-$I$400)*MIN(K$3-$O$2,$Q$2)/$Q$2))</f>
        <v>7431.22021568287</v>
      </c>
      <c r="L417" s="15" t="n">
        <f aca="false">K417*(1+IF(L$3&lt;=$O$2,$D417,$D417-($D417-$I$400)*MIN(L$3-$O$2,$Q$2)/$Q$2))</f>
        <v>7567.42704375907</v>
      </c>
      <c r="M417" s="15" t="n">
        <f aca="false">L417*(1+IF(M$3&lt;=$O$2,$D417,$D417-($D417-$I$400)*MIN(M$3-$O$2,$Q$2)/$Q$2))</f>
        <v>7762.77638548515</v>
      </c>
      <c r="N417" s="15" t="n">
        <f aca="false">M417*(1+IF(N$3&lt;=$O$2,$D417,$D417-($D417-$I$400)*MIN(N$3-$O$2,$Q$2)/$Q$2))</f>
        <v>8021.27683912181</v>
      </c>
      <c r="O417" s="15" t="n">
        <f aca="false">SUMPRODUCT(E417:N417,1/(1+$F$400)^$E$3:$N$3)*$E$2</f>
        <v>8541.75917354175</v>
      </c>
      <c r="P417" s="15" t="n">
        <f aca="false">N417*$E$2*(1+$I$400)/($F$400-$I$400)/(1+$F$400)^$N$3</f>
        <v>13593.7653673236</v>
      </c>
      <c r="Q417" s="15" t="n">
        <f aca="false">O417+P417</f>
        <v>22135.5245408653</v>
      </c>
      <c r="R417" s="15" t="n">
        <f aca="false">Q417-$G$2+$I$2</f>
        <v>19019.3245408653</v>
      </c>
      <c r="S417" s="42" t="n">
        <f aca="false">R417/$K$2</f>
        <v>168.461687695884</v>
      </c>
      <c r="T417" s="43" t="n">
        <f aca="false">S417-$M$2</f>
        <v>-0.00598280898722692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-0.00412750244140625</v>
      </c>
      <c r="C418" s="25" t="n">
        <f aca="false">IF(T417&gt;0,D417,C417)</f>
        <v>-0.0041046142578125</v>
      </c>
      <c r="D418" s="41" t="n">
        <f aca="false">(B418+C418)/2</f>
        <v>-0.00411605834960938</v>
      </c>
      <c r="E418" s="15" t="n">
        <f aca="false">$C$2*(1+IF(E$3&lt;=$O$2,$D418,$D418-($D418-$I$400)*MIN(E$3-$O$2,$Q$2)/$Q$2))</f>
        <v>7449.21188354492</v>
      </c>
      <c r="F418" s="15" t="n">
        <f aca="false">E418*(1+IF(F$3&lt;=$O$2,$D418,$D418-($D418-$I$400)*MIN(F$3-$O$2,$Q$2)/$Q$2))</f>
        <v>7418.55049277365</v>
      </c>
      <c r="G418" s="15" t="n">
        <f aca="false">F418*(1+IF(G$3&lt;=$O$2,$D418,$D418-($D418-$I$400)*MIN(G$3-$O$2,$Q$2)/$Q$2))</f>
        <v>7388.01530607587</v>
      </c>
      <c r="H418" s="15" t="n">
        <f aca="false">G418*(1+IF(H$3&lt;=$O$2,$D418,$D418-($D418-$I$400)*MIN(H$3-$O$2,$Q$2)/$Q$2))</f>
        <v>7357.60580398825</v>
      </c>
      <c r="I418" s="15" t="n">
        <f aca="false">H418*(1+IF(I$3&lt;=$O$2,$D418,$D418-($D418-$I$400)*MIN(I$3-$O$2,$Q$2)/$Q$2))</f>
        <v>7327.32146918561</v>
      </c>
      <c r="J418" s="15" t="n">
        <f aca="false">I418*(1+IF(J$3&lt;=$O$2,$D418,$D418-($D418-$I$400)*MIN(J$3-$O$2,$Q$2)/$Q$2))</f>
        <v>7351.99368399958</v>
      </c>
      <c r="K418" s="15" t="n">
        <f aca="false">J418*(1+IF(K$3&lt;=$O$2,$D418,$D418-($D418-$I$400)*MIN(K$3-$O$2,$Q$2)/$Q$2))</f>
        <v>7431.76549887687</v>
      </c>
      <c r="L418" s="15" t="n">
        <f aca="false">K418*(1+IF(L$3&lt;=$O$2,$D418,$D418-($D418-$I$400)*MIN(L$3-$O$2,$Q$2)/$Q$2))</f>
        <v>7568.01634137083</v>
      </c>
      <c r="M418" s="15" t="n">
        <f aca="false">L418*(1+IF(M$3&lt;=$O$2,$D418,$D418-($D418-$I$400)*MIN(M$3-$O$2,$Q$2)/$Q$2))</f>
        <v>7763.39821733458</v>
      </c>
      <c r="N418" s="15" t="n">
        <f aca="false">M418*(1+IF(N$3&lt;=$O$2,$D418,$D418-($D418-$I$400)*MIN(N$3-$O$2,$Q$2)/$Q$2))</f>
        <v>8021.91937797182</v>
      </c>
      <c r="O418" s="15" t="n">
        <f aca="false">SUMPRODUCT(E418:N418,1/(1+$F$400)^$E$3:$N$3)*$E$2</f>
        <v>8542.18698141393</v>
      </c>
      <c r="P418" s="15" t="n">
        <f aca="false">N418*$E$2*(1+$I$400)/($F$400-$I$400)/(1+$F$400)^$N$3</f>
        <v>13594.8542865246</v>
      </c>
      <c r="Q418" s="15" t="n">
        <f aca="false">O418+P418</f>
        <v>22137.0412679385</v>
      </c>
      <c r="R418" s="15" t="n">
        <f aca="false">Q418-$G$2+$I$2</f>
        <v>19020.8412679385</v>
      </c>
      <c r="S418" s="42" t="n">
        <f aca="false">R418/$K$2</f>
        <v>168.475121948083</v>
      </c>
      <c r="T418" s="43" t="n">
        <f aca="false">S418-$M$2</f>
        <v>0.00745144321089697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-0.00412750244140625</v>
      </c>
      <c r="C419" s="25" t="n">
        <f aca="false">IF(T418&gt;0,D418,C418)</f>
        <v>-0.00411605834960938</v>
      </c>
      <c r="D419" s="41" t="n">
        <f aca="false">(B419+C419)/2</f>
        <v>-0.00412178039550781</v>
      </c>
      <c r="E419" s="15" t="n">
        <f aca="false">$C$2*(1+IF(E$3&lt;=$O$2,$D419,$D419-($D419-$I$400)*MIN(E$3-$O$2,$Q$2)/$Q$2))</f>
        <v>7449.1690826416</v>
      </c>
      <c r="F419" s="15" t="n">
        <f aca="false">E419*(1+IF(F$3&lt;=$O$2,$D419,$D419-($D419-$I$400)*MIN(F$3-$O$2,$Q$2)/$Q$2))</f>
        <v>7418.46524355395</v>
      </c>
      <c r="G419" s="15" t="n">
        <f aca="false">F419*(1+IF(G$3&lt;=$O$2,$D419,$D419-($D419-$I$400)*MIN(G$3-$O$2,$Q$2)/$Q$2))</f>
        <v>7387.88795894831</v>
      </c>
      <c r="H419" s="15" t="n">
        <f aca="false">G419*(1+IF(H$3&lt;=$O$2,$D419,$D419-($D419-$I$400)*MIN(H$3-$O$2,$Q$2)/$Q$2))</f>
        <v>7357.43670719491</v>
      </c>
      <c r="I419" s="15" t="n">
        <f aca="false">H419*(1+IF(I$3&lt;=$O$2,$D419,$D419-($D419-$I$400)*MIN(I$3-$O$2,$Q$2)/$Q$2))</f>
        <v>7327.110968814</v>
      </c>
      <c r="J419" s="15" t="n">
        <f aca="false">I419*(1+IF(J$3&lt;=$O$2,$D419,$D419-($D419-$I$400)*MIN(J$3-$O$2,$Q$2)/$Q$2))</f>
        <v>7351.74893398873</v>
      </c>
      <c r="K419" s="15" t="n">
        <f aca="false">J419*(1+IF(K$3&lt;=$O$2,$D419,$D419-($D419-$I$400)*MIN(K$3-$O$2,$Q$2)/$Q$2))</f>
        <v>7431.49285301217</v>
      </c>
      <c r="L419" s="15" t="n">
        <f aca="false">K419*(1+IF(L$3&lt;=$O$2,$D419,$D419-($D419-$I$400)*MIN(L$3-$O$2,$Q$2)/$Q$2))</f>
        <v>7567.721687595</v>
      </c>
      <c r="M419" s="15" t="n">
        <f aca="false">L419*(1+IF(M$3&lt;=$O$2,$D419,$D419-($D419-$I$400)*MIN(M$3-$O$2,$Q$2)/$Q$2))</f>
        <v>7763.08729597441</v>
      </c>
      <c r="N419" s="15" t="n">
        <f aca="false">M419*(1+IF(N$3&lt;=$O$2,$D419,$D419-($D419-$I$400)*MIN(N$3-$O$2,$Q$2)/$Q$2))</f>
        <v>8021.59810293036</v>
      </c>
      <c r="O419" s="15" t="n">
        <f aca="false">SUMPRODUCT(E419:N419,1/(1+$F$400)^$E$3:$N$3)*$E$2</f>
        <v>8541.97307473655</v>
      </c>
      <c r="P419" s="15" t="n">
        <f aca="false">N419*$E$2*(1+$I$400)/($F$400-$I$400)/(1+$F$400)^$N$3</f>
        <v>13594.3098174058</v>
      </c>
      <c r="Q419" s="15" t="n">
        <f aca="false">O419+P419</f>
        <v>22136.2828921424</v>
      </c>
      <c r="R419" s="15" t="n">
        <f aca="false">Q419-$G$2+$I$2</f>
        <v>19020.0828921424</v>
      </c>
      <c r="S419" s="42" t="n">
        <f aca="false">R419/$K$2</f>
        <v>168.468404713396</v>
      </c>
      <c r="T419" s="43" t="n">
        <f aca="false">S419-$M$2</f>
        <v>0.000734208523965663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-0.00412750244140625</v>
      </c>
      <c r="C420" s="25" t="n">
        <f aca="false">IF(T419&gt;0,D419,C419)</f>
        <v>-0.00412178039550781</v>
      </c>
      <c r="D420" s="41" t="n">
        <f aca="false">(B420+C420)/2</f>
        <v>-0.00412464141845703</v>
      </c>
      <c r="E420" s="15" t="n">
        <f aca="false">$C$2*(1+IF(E$3&lt;=$O$2,$D420,$D420-($D420-$I$400)*MIN(E$3-$O$2,$Q$2)/$Q$2))</f>
        <v>7449.14768218994</v>
      </c>
      <c r="F420" s="15" t="n">
        <f aca="false">E420*(1+IF(F$3&lt;=$O$2,$D420,$D420-($D420-$I$400)*MIN(F$3-$O$2,$Q$2)/$Q$2))</f>
        <v>7418.42261912778</v>
      </c>
      <c r="G420" s="15" t="n">
        <f aca="false">F420*(1+IF(G$3&lt;=$O$2,$D420,$D420-($D420-$I$400)*MIN(G$3-$O$2,$Q$2)/$Q$2))</f>
        <v>7387.82428593331</v>
      </c>
      <c r="H420" s="15" t="n">
        <f aca="false">G420*(1+IF(H$3&lt;=$O$2,$D420,$D420-($D420-$I$400)*MIN(H$3-$O$2,$Q$2)/$Q$2))</f>
        <v>7357.35215989126</v>
      </c>
      <c r="I420" s="15" t="n">
        <f aca="false">H420*(1+IF(I$3&lt;=$O$2,$D420,$D420-($D420-$I$400)*MIN(I$3-$O$2,$Q$2)/$Q$2))</f>
        <v>7327.0057204424</v>
      </c>
      <c r="J420" s="15" t="n">
        <f aca="false">I420*(1+IF(J$3&lt;=$O$2,$D420,$D420-($D420-$I$400)*MIN(J$3-$O$2,$Q$2)/$Q$2))</f>
        <v>7351.6265615263</v>
      </c>
      <c r="K420" s="15" t="n">
        <f aca="false">J420*(1+IF(K$3&lt;=$O$2,$D420,$D420-($D420-$I$400)*MIN(K$3-$O$2,$Q$2)/$Q$2))</f>
        <v>7431.35653328061</v>
      </c>
      <c r="L420" s="15" t="n">
        <f aca="false">K420*(1+IF(L$3&lt;=$O$2,$D420,$D420-($D420-$I$400)*MIN(L$3-$O$2,$Q$2)/$Q$2))</f>
        <v>7567.57436443456</v>
      </c>
      <c r="M420" s="15" t="n">
        <f aca="false">L420*(1+IF(M$3&lt;=$O$2,$D420,$D420-($D420-$I$400)*MIN(M$3-$O$2,$Q$2)/$Q$2))</f>
        <v>7762.93183937094</v>
      </c>
      <c r="N420" s="15" t="n">
        <f aca="false">M420*(1+IF(N$3&lt;=$O$2,$D420,$D420-($D420-$I$400)*MIN(N$3-$O$2,$Q$2)/$Q$2))</f>
        <v>8021.43746962199</v>
      </c>
      <c r="O420" s="15" t="n">
        <f aca="false">SUMPRODUCT(E420:N420,1/(1+$F$400)^$E$3:$N$3)*$E$2</f>
        <v>8541.86612345383</v>
      </c>
      <c r="P420" s="15" t="n">
        <f aca="false">N420*$E$2*(1+$I$400)/($F$400-$I$400)/(1+$F$400)^$N$3</f>
        <v>13594.0375899852</v>
      </c>
      <c r="Q420" s="15" t="n">
        <f aca="false">O420+P420</f>
        <v>22135.903713439</v>
      </c>
      <c r="R420" s="15" t="n">
        <f aca="false">Q420-$G$2+$I$2</f>
        <v>19019.703713439</v>
      </c>
      <c r="S420" s="42" t="n">
        <f aca="false">R420/$K$2</f>
        <v>168.465046177493</v>
      </c>
      <c r="T420" s="43" t="n">
        <f aca="false">S420-$M$2</f>
        <v>-0.00262432737815743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-0.00412464141845703</v>
      </c>
      <c r="C421" s="25" t="n">
        <f aca="false">IF(T420&gt;0,D420,C420)</f>
        <v>-0.00412178039550781</v>
      </c>
      <c r="D421" s="41" t="n">
        <f aca="false">(B421+C421)/2</f>
        <v>-0.00412321090698242</v>
      </c>
      <c r="E421" s="15" t="n">
        <f aca="false">$C$2*(1+IF(E$3&lt;=$O$2,$D421,$D421-($D421-$I$400)*MIN(E$3-$O$2,$Q$2)/$Q$2))</f>
        <v>7449.15838241577</v>
      </c>
      <c r="F421" s="15" t="n">
        <f aca="false">E421*(1+IF(F$3&lt;=$O$2,$D421,$D421-($D421-$I$400)*MIN(F$3-$O$2,$Q$2)/$Q$2))</f>
        <v>7418.44393132556</v>
      </c>
      <c r="G421" s="15" t="n">
        <f aca="false">F421*(1+IF(G$3&lt;=$O$2,$D421,$D421-($D421-$I$400)*MIN(G$3-$O$2,$Q$2)/$Q$2))</f>
        <v>7387.85612239508</v>
      </c>
      <c r="H421" s="15" t="n">
        <f aca="false">G421*(1+IF(H$3&lt;=$O$2,$D421,$D421-($D421-$I$400)*MIN(H$3-$O$2,$Q$2)/$Q$2))</f>
        <v>7357.394433452</v>
      </c>
      <c r="I421" s="15" t="n">
        <f aca="false">H421*(1+IF(I$3&lt;=$O$2,$D421,$D421-($D421-$I$400)*MIN(I$3-$O$2,$Q$2)/$Q$2))</f>
        <v>7327.05834447702</v>
      </c>
      <c r="J421" s="15" t="n">
        <f aca="false">I421*(1+IF(J$3&lt;=$O$2,$D421,$D421-($D421-$I$400)*MIN(J$3-$O$2,$Q$2)/$Q$2))</f>
        <v>7351.6877475456</v>
      </c>
      <c r="K421" s="15" t="n">
        <f aca="false">J421*(1+IF(K$3&lt;=$O$2,$D421,$D421-($D421-$I$400)*MIN(K$3-$O$2,$Q$2)/$Q$2))</f>
        <v>7431.42469287966</v>
      </c>
      <c r="L421" s="15" t="n">
        <f aca="false">K421*(1+IF(L$3&lt;=$O$2,$D421,$D421-($D421-$I$400)*MIN(L$3-$O$2,$Q$2)/$Q$2))</f>
        <v>7567.64802570416</v>
      </c>
      <c r="M421" s="15" t="n">
        <f aca="false">L421*(1+IF(M$3&lt;=$O$2,$D421,$D421-($D421-$I$400)*MIN(M$3-$O$2,$Q$2)/$Q$2))</f>
        <v>7763.00956733296</v>
      </c>
      <c r="N421" s="15" t="n">
        <f aca="false">M421*(1+IF(N$3&lt;=$O$2,$D421,$D421-($D421-$I$400)*MIN(N$3-$O$2,$Q$2)/$Q$2))</f>
        <v>8021.51778592515</v>
      </c>
      <c r="O421" s="15" t="n">
        <f aca="false">SUMPRODUCT(E421:N421,1/(1+$F$400)^$E$3:$N$3)*$E$2</f>
        <v>8541.91959892386</v>
      </c>
      <c r="P421" s="15" t="n">
        <f aca="false">N421*$E$2*(1+$I$400)/($F$400-$I$400)/(1+$F$400)^$N$3</f>
        <v>13594.1737031006</v>
      </c>
      <c r="Q421" s="15" t="n">
        <f aca="false">O421+P421</f>
        <v>22136.0933020245</v>
      </c>
      <c r="R421" s="15" t="n">
        <f aca="false">Q421-$G$2+$I$2</f>
        <v>19019.8933020245</v>
      </c>
      <c r="S421" s="42" t="n">
        <f aca="false">R421/$K$2</f>
        <v>168.466725438658</v>
      </c>
      <c r="T421" s="43" t="n">
        <f aca="false">S421-$M$2</f>
        <v>-0.000945066213830614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-0.00412321090698242</v>
      </c>
      <c r="C422" s="25" t="n">
        <f aca="false">IF(T421&gt;0,D421,C421)</f>
        <v>-0.00412178039550781</v>
      </c>
      <c r="D422" s="41" t="n">
        <f aca="false">(B422+C422)/2</f>
        <v>-0.00412249565124512</v>
      </c>
      <c r="E422" s="15" t="n">
        <f aca="false">$C$2*(1+IF(E$3&lt;=$O$2,$D422,$D422-($D422-$I$400)*MIN(E$3-$O$2,$Q$2)/$Q$2))</f>
        <v>7449.16373252869</v>
      </c>
      <c r="F422" s="15" t="n">
        <f aca="false">E422*(1+IF(F$3&lt;=$O$2,$D422,$D422-($D422-$I$400)*MIN(F$3-$O$2,$Q$2)/$Q$2))</f>
        <v>7418.45458743593</v>
      </c>
      <c r="G422" s="15" t="n">
        <f aca="false">F422*(1+IF(G$3&lt;=$O$2,$D422,$D422-($D422-$I$400)*MIN(G$3-$O$2,$Q$2)/$Q$2))</f>
        <v>7387.87204066026</v>
      </c>
      <c r="H422" s="15" t="n">
        <f aca="false">G422*(1+IF(H$3&lt;=$O$2,$D422,$D422-($D422-$I$400)*MIN(H$3-$O$2,$Q$2)/$Q$2))</f>
        <v>7357.41557030068</v>
      </c>
      <c r="I422" s="15" t="n">
        <f aca="false">H422*(1+IF(I$3&lt;=$O$2,$D422,$D422-($D422-$I$400)*MIN(I$3-$O$2,$Q$2)/$Q$2))</f>
        <v>7327.08465660772</v>
      </c>
      <c r="J422" s="15" t="n">
        <f aca="false">I422*(1+IF(J$3&lt;=$O$2,$D422,$D422-($D422-$I$400)*MIN(J$3-$O$2,$Q$2)/$Q$2))</f>
        <v>7351.71834071419</v>
      </c>
      <c r="K422" s="15" t="n">
        <f aca="false">J422*(1+IF(K$3&lt;=$O$2,$D422,$D422-($D422-$I$400)*MIN(K$3-$O$2,$Q$2)/$Q$2))</f>
        <v>7431.45877287924</v>
      </c>
      <c r="L422" s="15" t="n">
        <f aca="false">K422*(1+IF(L$3&lt;=$O$2,$D422,$D422-($D422-$I$400)*MIN(L$3-$O$2,$Q$2)/$Q$2))</f>
        <v>7567.68485657192</v>
      </c>
      <c r="M422" s="15" t="n">
        <f aca="false">L422*(1+IF(M$3&lt;=$O$2,$D422,$D422-($D422-$I$400)*MIN(M$3-$O$2,$Q$2)/$Q$2))</f>
        <v>7763.04843156876</v>
      </c>
      <c r="N422" s="15" t="n">
        <f aca="false">M422*(1+IF(N$3&lt;=$O$2,$D422,$D422-($D422-$I$400)*MIN(N$3-$O$2,$Q$2)/$Q$2))</f>
        <v>8021.55794434</v>
      </c>
      <c r="O422" s="15" t="n">
        <f aca="false">SUMPRODUCT(E422:N422,1/(1+$F$400)^$E$3:$N$3)*$E$2</f>
        <v>8541.94633678737</v>
      </c>
      <c r="P422" s="15" t="n">
        <f aca="false">N422*$E$2*(1+$I$400)/($F$400-$I$400)/(1+$F$400)^$N$3</f>
        <v>13594.2417601045</v>
      </c>
      <c r="Q422" s="15" t="n">
        <f aca="false">O422+P422</f>
        <v>22136.1880968919</v>
      </c>
      <c r="R422" s="15" t="n">
        <f aca="false">Q422-$G$2+$I$2</f>
        <v>19019.9880968919</v>
      </c>
      <c r="S422" s="42" t="n">
        <f aca="false">R422/$K$2</f>
        <v>168.46756507433</v>
      </c>
      <c r="T422" s="43" t="n">
        <f aca="false">S422-$M$2</f>
        <v>-0.000105430541623264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-0.00412249565124512</v>
      </c>
      <c r="C423" s="25" t="n">
        <f aca="false">IF(T422&gt;0,D422,C422)</f>
        <v>-0.00412178039550781</v>
      </c>
      <c r="D423" s="41" t="n">
        <f aca="false">(B423+C423)/2</f>
        <v>-0.00412213802337647</v>
      </c>
      <c r="E423" s="15" t="n">
        <f aca="false">$C$2*(1+IF(E$3&lt;=$O$2,$D423,$D423-($D423-$I$400)*MIN(E$3-$O$2,$Q$2)/$Q$2))</f>
        <v>7449.16640758514</v>
      </c>
      <c r="F423" s="15" t="n">
        <f aca="false">E423*(1+IF(F$3&lt;=$O$2,$D423,$D423-($D423-$I$400)*MIN(F$3-$O$2,$Q$2)/$Q$2))</f>
        <v>7418.45991549398</v>
      </c>
      <c r="G423" s="15" t="n">
        <f aca="false">F423*(1+IF(G$3&lt;=$O$2,$D423,$D423-($D423-$I$400)*MIN(G$3-$O$2,$Q$2)/$Q$2))</f>
        <v>7387.87999980143</v>
      </c>
      <c r="H423" s="15" t="n">
        <f aca="false">G423*(1+IF(H$3&lt;=$O$2,$D423,$D423-($D423-$I$400)*MIN(H$3-$O$2,$Q$2)/$Q$2))</f>
        <v>7357.4261387421</v>
      </c>
      <c r="I423" s="15" t="n">
        <f aca="false">H423*(1+IF(I$3&lt;=$O$2,$D423,$D423-($D423-$I$400)*MIN(I$3-$O$2,$Q$2)/$Q$2))</f>
        <v>7327.09781270141</v>
      </c>
      <c r="J423" s="15" t="n">
        <f aca="false">I423*(1+IF(J$3&lt;=$O$2,$D423,$D423-($D423-$I$400)*MIN(J$3-$O$2,$Q$2)/$Q$2))</f>
        <v>7351.73363733821</v>
      </c>
      <c r="K423" s="15" t="n">
        <f aca="false">J423*(1+IF(K$3&lt;=$O$2,$D423,$D423-($D423-$I$400)*MIN(K$3-$O$2,$Q$2)/$Q$2))</f>
        <v>7431.47581292903</v>
      </c>
      <c r="L423" s="15" t="n">
        <f aca="false">K423*(1+IF(L$3&lt;=$O$2,$D423,$D423-($D423-$I$400)*MIN(L$3-$O$2,$Q$2)/$Q$2))</f>
        <v>7567.70327206404</v>
      </c>
      <c r="M423" s="15" t="n">
        <f aca="false">L423*(1+IF(M$3&lt;=$O$2,$D423,$D423-($D423-$I$400)*MIN(M$3-$O$2,$Q$2)/$Q$2))</f>
        <v>7763.06786375035</v>
      </c>
      <c r="N423" s="15" t="n">
        <f aca="false">M423*(1+IF(N$3&lt;=$O$2,$D423,$D423-($D423-$I$400)*MIN(N$3-$O$2,$Q$2)/$Q$2))</f>
        <v>8021.57802361324</v>
      </c>
      <c r="O423" s="15" t="n">
        <f aca="false">SUMPRODUCT(E423:N423,1/(1+$F$400)^$E$3:$N$3)*$E$2</f>
        <v>8541.95970575125</v>
      </c>
      <c r="P423" s="15" t="n">
        <f aca="false">N423*$E$2*(1+$I$400)/($F$400-$I$400)/(1+$F$400)^$N$3</f>
        <v>13594.275788718</v>
      </c>
      <c r="Q423" s="15" t="n">
        <f aca="false">O423+P423</f>
        <v>22136.2354944692</v>
      </c>
      <c r="R423" s="15" t="n">
        <f aca="false">Q423-$G$2+$I$2</f>
        <v>19020.0354944692</v>
      </c>
      <c r="S423" s="42" t="n">
        <f aca="false">R423/$K$2</f>
        <v>168.467984893439</v>
      </c>
      <c r="T423" s="43" t="n">
        <f aca="false">S423-$M$2</f>
        <v>0.000314388566948765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-0.00412249565124512</v>
      </c>
      <c r="C424" s="25" t="n">
        <f aca="false">IF(T423&gt;0,D423,C423)</f>
        <v>-0.00412213802337647</v>
      </c>
      <c r="D424" s="41" t="n">
        <f aca="false">(B424+C424)/2</f>
        <v>-0.00412231683731079</v>
      </c>
      <c r="E424" s="15" t="n">
        <f aca="false">$C$2*(1+IF(E$3&lt;=$O$2,$D424,$D424-($D424-$I$400)*MIN(E$3-$O$2,$Q$2)/$Q$2))</f>
        <v>7449.16507005692</v>
      </c>
      <c r="F424" s="15" t="n">
        <f aca="false">E424*(1+IF(F$3&lt;=$O$2,$D424,$D424-($D424-$I$400)*MIN(F$3-$O$2,$Q$2)/$Q$2))</f>
        <v>7418.45725146471</v>
      </c>
      <c r="G424" s="15" t="n">
        <f aca="false">F424*(1+IF(G$3&lt;=$O$2,$D424,$D424-($D424-$I$400)*MIN(G$3-$O$2,$Q$2)/$Q$2))</f>
        <v>7387.87602023013</v>
      </c>
      <c r="H424" s="15" t="n">
        <f aca="false">G424*(1+IF(H$3&lt;=$O$2,$D424,$D424-($D424-$I$400)*MIN(H$3-$O$2,$Q$2)/$Q$2))</f>
        <v>7357.42085451997</v>
      </c>
      <c r="I424" s="15" t="n">
        <f aca="false">H424*(1+IF(I$3&lt;=$O$2,$D424,$D424-($D424-$I$400)*MIN(I$3-$O$2,$Q$2)/$Q$2))</f>
        <v>7327.0912346522</v>
      </c>
      <c r="J424" s="15" t="n">
        <f aca="false">I424*(1+IF(J$3&lt;=$O$2,$D424,$D424-($D424-$I$400)*MIN(J$3-$O$2,$Q$2)/$Q$2))</f>
        <v>7351.72598902289</v>
      </c>
      <c r="K424" s="15" t="n">
        <f aca="false">J424*(1+IF(K$3&lt;=$O$2,$D424,$D424-($D424-$I$400)*MIN(K$3-$O$2,$Q$2)/$Q$2))</f>
        <v>7431.46729289997</v>
      </c>
      <c r="L424" s="15" t="n">
        <f aca="false">K424*(1+IF(L$3&lt;=$O$2,$D424,$D424-($D424-$I$400)*MIN(L$3-$O$2,$Q$2)/$Q$2))</f>
        <v>7567.69406431313</v>
      </c>
      <c r="M424" s="15" t="n">
        <f aca="false">L424*(1+IF(M$3&lt;=$O$2,$D424,$D424-($D424-$I$400)*MIN(M$3-$O$2,$Q$2)/$Q$2))</f>
        <v>7763.05814765425</v>
      </c>
      <c r="N424" s="15" t="n">
        <f aca="false">M424*(1+IF(N$3&lt;=$O$2,$D424,$D424-($D424-$I$400)*MIN(N$3-$O$2,$Q$2)/$Q$2))</f>
        <v>8021.56798397113</v>
      </c>
      <c r="O424" s="15" t="n">
        <f aca="false">SUMPRODUCT(E424:N424,1/(1+$F$400)^$E$3:$N$3)*$E$2</f>
        <v>8541.95302126663</v>
      </c>
      <c r="P424" s="15" t="n">
        <f aca="false">N424*$E$2*(1+$I$400)/($F$400-$I$400)/(1+$F$400)^$N$3</f>
        <v>13594.2587744019</v>
      </c>
      <c r="Q424" s="15" t="n">
        <f aca="false">O424+P424</f>
        <v>22136.2117956686</v>
      </c>
      <c r="R424" s="15" t="n">
        <f aca="false">Q424-$G$2+$I$2</f>
        <v>19020.0117956686</v>
      </c>
      <c r="S424" s="42" t="n">
        <f aca="false">R424/$K$2</f>
        <v>168.467774983778</v>
      </c>
      <c r="T424" s="43" t="n">
        <f aca="false">S424-$M$2</f>
        <v>0.000104478906621353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-0.00412249565124512</v>
      </c>
      <c r="C425" s="25" t="n">
        <f aca="false">IF(T424&gt;0,D424,C424)</f>
        <v>-0.00412231683731079</v>
      </c>
      <c r="D425" s="41" t="n">
        <f aca="false">(B425+C425)/2</f>
        <v>-0.00412240624427795</v>
      </c>
      <c r="E425" s="15" t="n">
        <f aca="false">$C$2*(1+IF(E$3&lt;=$O$2,$D425,$D425-($D425-$I$400)*MIN(E$3-$O$2,$Q$2)/$Q$2))</f>
        <v>7449.1644012928</v>
      </c>
      <c r="F425" s="15" t="n">
        <f aca="false">E425*(1+IF(F$3&lt;=$O$2,$D425,$D425-($D425-$I$400)*MIN(F$3-$O$2,$Q$2)/$Q$2))</f>
        <v>7418.45591945026</v>
      </c>
      <c r="G425" s="15" t="n">
        <f aca="false">F425*(1+IF(G$3&lt;=$O$2,$D425,$D425-($D425-$I$400)*MIN(G$3-$O$2,$Q$2)/$Q$2))</f>
        <v>7387.87403044502</v>
      </c>
      <c r="H425" s="15" t="n">
        <f aca="false">G425*(1+IF(H$3&lt;=$O$2,$D425,$D425-($D425-$I$400)*MIN(H$3-$O$2,$Q$2)/$Q$2))</f>
        <v>7357.41821240997</v>
      </c>
      <c r="I425" s="15" t="n">
        <f aca="false">H425*(1+IF(I$3&lt;=$O$2,$D425,$D425-($D425-$I$400)*MIN(I$3-$O$2,$Q$2)/$Q$2))</f>
        <v>7327.08794562937</v>
      </c>
      <c r="J425" s="15" t="n">
        <f aca="false">I425*(1+IF(J$3&lt;=$O$2,$D425,$D425-($D425-$I$400)*MIN(J$3-$O$2,$Q$2)/$Q$2))</f>
        <v>7351.72216486771</v>
      </c>
      <c r="K425" s="15" t="n">
        <f aca="false">J425*(1+IF(K$3&lt;=$O$2,$D425,$D425-($D425-$I$400)*MIN(K$3-$O$2,$Q$2)/$Q$2))</f>
        <v>7431.46303288856</v>
      </c>
      <c r="L425" s="15" t="n">
        <f aca="false">K425*(1+IF(L$3&lt;=$O$2,$D425,$D425-($D425-$I$400)*MIN(L$3-$O$2,$Q$2)/$Q$2))</f>
        <v>7567.68946044131</v>
      </c>
      <c r="M425" s="15" t="n">
        <f aca="false">L425*(1+IF(M$3&lt;=$O$2,$D425,$D425-($D425-$I$400)*MIN(M$3-$O$2,$Q$2)/$Q$2))</f>
        <v>7763.05328961017</v>
      </c>
      <c r="N425" s="15" t="n">
        <f aca="false">M425*(1+IF(N$3&lt;=$O$2,$D425,$D425-($D425-$I$400)*MIN(N$3-$O$2,$Q$2)/$Q$2))</f>
        <v>8021.56296415419</v>
      </c>
      <c r="O425" s="15" t="n">
        <f aca="false">SUMPRODUCT(E425:N425,1/(1+$F$400)^$E$3:$N$3)*$E$2</f>
        <v>8541.94967902633</v>
      </c>
      <c r="P425" s="15" t="n">
        <f aca="false">N425*$E$2*(1+$I$400)/($F$400-$I$400)/(1+$F$400)^$N$3</f>
        <v>13594.2502672509</v>
      </c>
      <c r="Q425" s="15" t="n">
        <f aca="false">O425+P425</f>
        <v>22136.1999462772</v>
      </c>
      <c r="R425" s="15" t="n">
        <f aca="false">Q425-$G$2+$I$2</f>
        <v>19019.9999462772</v>
      </c>
      <c r="S425" s="42" t="n">
        <f aca="false">R425/$K$2</f>
        <v>168.467670029028</v>
      </c>
      <c r="T425" s="43" t="n">
        <f aca="false">S425-$M$2</f>
        <v>-4.75843989988789E-007</v>
      </c>
    </row>
    <row r="427" customFormat="false" ht="15" hidden="false" customHeight="false" outlineLevel="0" collapsed="false">
      <c r="A427" s="38" t="s">
        <v>199</v>
      </c>
      <c r="E427" s="5" t="s">
        <v>11</v>
      </c>
      <c r="F427" s="12" t="n">
        <f aca="false">Sensitivity!$B$12</f>
        <v>0.0811268672746673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165</v>
      </c>
      <c r="B428" s="28" t="s">
        <v>166</v>
      </c>
      <c r="C428" s="28" t="s">
        <v>167</v>
      </c>
      <c r="D428" s="28" t="s">
        <v>168</v>
      </c>
      <c r="E428" s="28" t="s">
        <v>169</v>
      </c>
      <c r="F428" s="28" t="s">
        <v>170</v>
      </c>
      <c r="G428" s="28" t="s">
        <v>171</v>
      </c>
      <c r="H428" s="28" t="s">
        <v>172</v>
      </c>
      <c r="I428" s="28" t="s">
        <v>173</v>
      </c>
      <c r="J428" s="28" t="s">
        <v>174</v>
      </c>
      <c r="K428" s="28" t="s">
        <v>175</v>
      </c>
      <c r="L428" s="28" t="s">
        <v>176</v>
      </c>
      <c r="M428" s="28" t="s">
        <v>177</v>
      </c>
      <c r="N428" s="28" t="s">
        <v>178</v>
      </c>
      <c r="O428" s="28" t="s">
        <v>179</v>
      </c>
      <c r="P428" s="28" t="s">
        <v>180</v>
      </c>
      <c r="Q428" s="28" t="s">
        <v>181</v>
      </c>
      <c r="R428" s="28" t="s">
        <v>182</v>
      </c>
      <c r="S428" s="28" t="s">
        <v>183</v>
      </c>
      <c r="T428" s="28" t="s">
        <v>184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9350</v>
      </c>
      <c r="F429" s="15" t="n">
        <f aca="false">E429*(1+IF(F$3&lt;=$O$2,$D429,$D429-($D429-$I$427)*MIN(F$3-$O$2,$Q$2)/$Q$2))</f>
        <v>11687.5</v>
      </c>
      <c r="G429" s="15" t="n">
        <f aca="false">F429*(1+IF(G$3&lt;=$O$2,$D429,$D429-($D429-$I$427)*MIN(G$3-$O$2,$Q$2)/$Q$2))</f>
        <v>14609.375</v>
      </c>
      <c r="H429" s="15" t="n">
        <f aca="false">G429*(1+IF(H$3&lt;=$O$2,$D429,$D429-($D429-$I$427)*MIN(H$3-$O$2,$Q$2)/$Q$2))</f>
        <v>18261.71875</v>
      </c>
      <c r="I429" s="15" t="n">
        <f aca="false">H429*(1+IF(I$3&lt;=$O$2,$D429,$D429-($D429-$I$427)*MIN(I$3-$O$2,$Q$2)/$Q$2))</f>
        <v>22827.1484375</v>
      </c>
      <c r="J429" s="15" t="n">
        <f aca="false">I429*(1+IF(J$3&lt;=$O$2,$D429,$D429-($D429-$I$427)*MIN(J$3-$O$2,$Q$2)/$Q$2))</f>
        <v>27567.4340820313</v>
      </c>
      <c r="K429" s="15" t="n">
        <f aca="false">J429*(1+IF(K$3&lt;=$O$2,$D429,$D429-($D429-$I$427)*MIN(K$3-$O$2,$Q$2)/$Q$2))</f>
        <v>32124.8822844727</v>
      </c>
      <c r="L429" s="15" t="n">
        <f aca="false">K429*(1+IF(L$3&lt;=$O$2,$D429,$D429-($D429-$I$427)*MIN(L$3-$O$2,$Q$2)/$Q$2))</f>
        <v>36075.6003078171</v>
      </c>
      <c r="M429" s="15" t="n">
        <f aca="false">L429*(1+IF(M$3&lt;=$O$2,$D429,$D429-($D429-$I$427)*MIN(M$3-$O$2,$Q$2)/$Q$2))</f>
        <v>38984.7367166395</v>
      </c>
      <c r="N429" s="15" t="n">
        <f aca="false">M429*(1+IF(N$3&lt;=$O$2,$D429,$D429-($D429-$I$427)*MIN(N$3-$O$2,$Q$2)/$Q$2))</f>
        <v>40477.8521328868</v>
      </c>
      <c r="O429" s="15" t="n">
        <f aca="false">SUMPRODUCT(E429:N429,1/(1+$F$427)^$E$3:$N$3)*$E$2</f>
        <v>26028.8183902033</v>
      </c>
      <c r="P429" s="15" t="n">
        <f aca="false">N429*$E$2*(1+$I$427)/($F$427-$I$427)/(1+$F$427)^$N$3</f>
        <v>76977.8497699316</v>
      </c>
      <c r="Q429" s="15" t="n">
        <f aca="false">O429+P429</f>
        <v>103006.668160135</v>
      </c>
      <c r="R429" s="15" t="n">
        <f aca="false">Q429-$G$2+$I$2</f>
        <v>99890.4681601348</v>
      </c>
      <c r="S429" s="42" t="n">
        <f aca="false">R429/$K$2</f>
        <v>884.769425687643</v>
      </c>
      <c r="T429" s="43" t="n">
        <f aca="false">S429-$M$2</f>
        <v>716.301755182771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6545</v>
      </c>
      <c r="F430" s="15" t="n">
        <f aca="false">E430*(1+IF(F$3&lt;=$O$2,$D430,$D430-($D430-$I$427)*MIN(F$3-$O$2,$Q$2)/$Q$2))</f>
        <v>5726.875</v>
      </c>
      <c r="G430" s="15" t="n">
        <f aca="false">F430*(1+IF(G$3&lt;=$O$2,$D430,$D430-($D430-$I$427)*MIN(G$3-$O$2,$Q$2)/$Q$2))</f>
        <v>5011.015625</v>
      </c>
      <c r="H430" s="15" t="n">
        <f aca="false">G430*(1+IF(H$3&lt;=$O$2,$D430,$D430-($D430-$I$427)*MIN(H$3-$O$2,$Q$2)/$Q$2))</f>
        <v>4384.638671875</v>
      </c>
      <c r="I430" s="15" t="n">
        <f aca="false">H430*(1+IF(I$3&lt;=$O$2,$D430,$D430-($D430-$I$427)*MIN(I$3-$O$2,$Q$2)/$Q$2))</f>
        <v>3836.55883789063</v>
      </c>
      <c r="J430" s="15" t="n">
        <f aca="false">I430*(1+IF(J$3&lt;=$O$2,$D430,$D430-($D430-$I$427)*MIN(J$3-$O$2,$Q$2)/$Q$2))</f>
        <v>3482.2909947998</v>
      </c>
      <c r="K430" s="15" t="n">
        <f aca="false">J430*(1+IF(K$3&lt;=$O$2,$D430,$D430-($D430-$I$427)*MIN(K$3-$O$2,$Q$2)/$Q$2))</f>
        <v>3274.46786823015</v>
      </c>
      <c r="L430" s="15" t="n">
        <f aca="false">K430*(1+IF(L$3&lt;=$O$2,$D430,$D430-($D430-$I$427)*MIN(L$3-$O$2,$Q$2)/$Q$2))</f>
        <v>3185.99174643057</v>
      </c>
      <c r="M430" s="15" t="n">
        <f aca="false">L430*(1+IF(M$3&lt;=$O$2,$D430,$D430-($D430-$I$427)*MIN(M$3-$O$2,$Q$2)/$Q$2))</f>
        <v>3203.96073988044</v>
      </c>
      <c r="N430" s="15" t="n">
        <f aca="false">M430*(1+IF(N$3&lt;=$O$2,$D430,$D430-($D430-$I$427)*MIN(N$3-$O$2,$Q$2)/$Q$2))</f>
        <v>3326.67243621786</v>
      </c>
      <c r="O430" s="15" t="n">
        <f aca="false">SUMPRODUCT(E430:N430,1/(1+$F$427)^$E$3:$N$3)*$E$2</f>
        <v>5069.19489504264</v>
      </c>
      <c r="P430" s="15" t="n">
        <f aca="false">N430*$E$2*(1+$I$427)/($F$427-$I$427)/(1+$F$427)^$N$3</f>
        <v>6326.42488510143</v>
      </c>
      <c r="Q430" s="15" t="n">
        <f aca="false">O430+P430</f>
        <v>11395.6197801441</v>
      </c>
      <c r="R430" s="15" t="n">
        <f aca="false">Q430-$G$2+$I$2</f>
        <v>8279.41978014407</v>
      </c>
      <c r="S430" s="42" t="n">
        <f aca="false">R430/$K$2</f>
        <v>73.3340990269626</v>
      </c>
      <c r="T430" s="43" t="n">
        <f aca="false">S430-$M$2</f>
        <v>-95.133571477909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7947.5</v>
      </c>
      <c r="F431" s="15" t="n">
        <f aca="false">E431*(1+IF(F$3&lt;=$O$2,$D431,$D431-($D431-$I$427)*MIN(F$3-$O$2,$Q$2)/$Q$2))</f>
        <v>8444.21875</v>
      </c>
      <c r="G431" s="15" t="n">
        <f aca="false">F431*(1+IF(G$3&lt;=$O$2,$D431,$D431-($D431-$I$427)*MIN(G$3-$O$2,$Q$2)/$Q$2))</f>
        <v>8971.982421875</v>
      </c>
      <c r="H431" s="15" t="n">
        <f aca="false">G431*(1+IF(H$3&lt;=$O$2,$D431,$D431-($D431-$I$427)*MIN(H$3-$O$2,$Q$2)/$Q$2))</f>
        <v>9532.73132324219</v>
      </c>
      <c r="I431" s="15" t="n">
        <f aca="false">H431*(1+IF(I$3&lt;=$O$2,$D431,$D431-($D431-$I$427)*MIN(I$3-$O$2,$Q$2)/$Q$2))</f>
        <v>10128.5270309448</v>
      </c>
      <c r="J431" s="15" t="n">
        <f aca="false">I431*(1+IF(J$3&lt;=$O$2,$D431,$D431-($D431-$I$427)*MIN(J$3-$O$2,$Q$2)/$Q$2))</f>
        <v>10712.5378995491</v>
      </c>
      <c r="K431" s="15" t="n">
        <f aca="false">J431*(1+IF(K$3&lt;=$O$2,$D431,$D431-($D431-$I$427)*MIN(K$3-$O$2,$Q$2)/$Q$2))</f>
        <v>11278.3741514033</v>
      </c>
      <c r="L431" s="15" t="n">
        <f aca="false">K431*(1+IF(L$3&lt;=$O$2,$D431,$D431-($D431-$I$427)*MIN(L$3-$O$2,$Q$2)/$Q$2))</f>
        <v>11819.5105431876</v>
      </c>
      <c r="M431" s="15" t="n">
        <f aca="false">L431*(1+IF(M$3&lt;=$O$2,$D431,$D431-($D431-$I$427)*MIN(M$3-$O$2,$Q$2)/$Q$2))</f>
        <v>12329.4042280207</v>
      </c>
      <c r="N431" s="15" t="n">
        <f aca="false">M431*(1+IF(N$3&lt;=$O$2,$D431,$D431-($D431-$I$427)*MIN(N$3-$O$2,$Q$2)/$Q$2))</f>
        <v>12801.6204099539</v>
      </c>
      <c r="O431" s="15" t="n">
        <f aca="false">SUMPRODUCT(E431:N431,1/(1+$F$427)^$E$3:$N$3)*$E$2</f>
        <v>11476.0593943245</v>
      </c>
      <c r="P431" s="15" t="n">
        <f aca="false">N431*$E$2*(1+$I$427)/($F$427-$I$427)/(1+$F$427)^$N$3</f>
        <v>24345.1952315545</v>
      </c>
      <c r="Q431" s="15" t="n">
        <f aca="false">O431+P431</f>
        <v>35821.254625879</v>
      </c>
      <c r="R431" s="15" t="n">
        <f aca="false">Q431-$G$2+$I$2</f>
        <v>32705.054625879</v>
      </c>
      <c r="S431" s="42" t="n">
        <f aca="false">R431/$K$2</f>
        <v>289.681617589717</v>
      </c>
      <c r="T431" s="43" t="n">
        <f aca="false">S431-$M$2</f>
        <v>121.213947084845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7246.25</v>
      </c>
      <c r="F432" s="15" t="n">
        <f aca="false">E432*(1+IF(F$3&lt;=$O$2,$D432,$D432-($D432-$I$427)*MIN(F$3-$O$2,$Q$2)/$Q$2))</f>
        <v>7019.8046875</v>
      </c>
      <c r="G432" s="15" t="n">
        <f aca="false">F432*(1+IF(G$3&lt;=$O$2,$D432,$D432-($D432-$I$427)*MIN(G$3-$O$2,$Q$2)/$Q$2))</f>
        <v>6800.43579101563</v>
      </c>
      <c r="H432" s="15" t="n">
        <f aca="false">G432*(1+IF(H$3&lt;=$O$2,$D432,$D432-($D432-$I$427)*MIN(H$3-$O$2,$Q$2)/$Q$2))</f>
        <v>6587.92217254639</v>
      </c>
      <c r="I432" s="15" t="n">
        <f aca="false">H432*(1+IF(I$3&lt;=$O$2,$D432,$D432-($D432-$I$427)*MIN(I$3-$O$2,$Q$2)/$Q$2))</f>
        <v>6382.04960465431</v>
      </c>
      <c r="J432" s="15" t="n">
        <f aca="false">I432*(1+IF(J$3&lt;=$O$2,$D432,$D432-($D432-$I$427)*MIN(J$3-$O$2,$Q$2)/$Q$2))</f>
        <v>6271.38486450961</v>
      </c>
      <c r="K432" s="15" t="n">
        <f aca="false">J432*(1+IF(K$3&lt;=$O$2,$D432,$D432-($D432-$I$427)*MIN(K$3-$O$2,$Q$2)/$Q$2))</f>
        <v>6249.87401442434</v>
      </c>
      <c r="L432" s="15" t="n">
        <f aca="false">K432*(1+IF(L$3&lt;=$O$2,$D432,$D432-($D432-$I$427)*MIN(L$3-$O$2,$Q$2)/$Q$2))</f>
        <v>6315.37269409551</v>
      </c>
      <c r="M432" s="15" t="n">
        <f aca="false">L432*(1+IF(M$3&lt;=$O$2,$D432,$D432-($D432-$I$427)*MIN(M$3-$O$2,$Q$2)/$Q$2))</f>
        <v>6469.40463410449</v>
      </c>
      <c r="N432" s="15" t="n">
        <f aca="false">M432*(1+IF(N$3&lt;=$O$2,$D432,$D432-($D432-$I$427)*MIN(N$3-$O$2,$Q$2)/$Q$2))</f>
        <v>6717.1828315907</v>
      </c>
      <c r="O432" s="15" t="n">
        <f aca="false">SUMPRODUCT(E432:N432,1/(1+$F$427)^$E$3:$N$3)*$E$2</f>
        <v>7606.30621252252</v>
      </c>
      <c r="P432" s="15" t="n">
        <f aca="false">N432*$E$2*(1+$I$427)/($F$427-$I$427)/(1+$F$427)^$N$3</f>
        <v>12774.2521809167</v>
      </c>
      <c r="Q432" s="15" t="n">
        <f aca="false">O432+P432</f>
        <v>20380.5583934392</v>
      </c>
      <c r="R432" s="15" t="n">
        <f aca="false">Q432-$G$2+$I$2</f>
        <v>17264.3583934392</v>
      </c>
      <c r="S432" s="42" t="n">
        <f aca="false">R432/$K$2</f>
        <v>152.91725769211</v>
      </c>
      <c r="T432" s="43" t="n">
        <f aca="false">S432-$M$2</f>
        <v>-15.5504128127617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41" t="n">
        <f aca="false">(B433+C433)/2</f>
        <v>0.015625</v>
      </c>
      <c r="E433" s="15" t="n">
        <f aca="false">$C$2*(1+IF(E$3&lt;=$O$2,$D433,$D433-($D433-$I$427)*MIN(E$3-$O$2,$Q$2)/$Q$2))</f>
        <v>7596.875</v>
      </c>
      <c r="F433" s="15" t="n">
        <f aca="false">E433*(1+IF(F$3&lt;=$O$2,$D433,$D433-($D433-$I$427)*MIN(F$3-$O$2,$Q$2)/$Q$2))</f>
        <v>7715.576171875</v>
      </c>
      <c r="G433" s="15" t="n">
        <f aca="false">F433*(1+IF(G$3&lt;=$O$2,$D433,$D433-($D433-$I$427)*MIN(G$3-$O$2,$Q$2)/$Q$2))</f>
        <v>7836.13204956055</v>
      </c>
      <c r="H433" s="15" t="n">
        <f aca="false">G433*(1+IF(H$3&lt;=$O$2,$D433,$D433-($D433-$I$427)*MIN(H$3-$O$2,$Q$2)/$Q$2))</f>
        <v>7958.57161283493</v>
      </c>
      <c r="I433" s="15" t="n">
        <f aca="false">H433*(1+IF(I$3&lt;=$O$2,$D433,$D433-($D433-$I$427)*MIN(I$3-$O$2,$Q$2)/$Q$2))</f>
        <v>8082.92429428548</v>
      </c>
      <c r="J433" s="15" t="n">
        <f aca="false">I433*(1+IF(J$3&lt;=$O$2,$D433,$D433-($D433-$I$427)*MIN(J$3-$O$2,$Q$2)/$Q$2))</f>
        <v>8245.87604805827</v>
      </c>
      <c r="K433" s="15" t="n">
        <f aca="false">J433*(1+IF(K$3&lt;=$O$2,$D433,$D433-($D433-$I$427)*MIN(K$3-$O$2,$Q$2)/$Q$2))</f>
        <v>8449.50795706507</v>
      </c>
      <c r="L433" s="15" t="n">
        <f aca="false">K433*(1+IF(L$3&lt;=$O$2,$D433,$D433-($D433-$I$427)*MIN(L$3-$O$2,$Q$2)/$Q$2))</f>
        <v>8696.48707465008</v>
      </c>
      <c r="M433" s="15" t="n">
        <f aca="false">L433*(1+IF(M$3&lt;=$O$2,$D433,$D433-($D433-$I$427)*MIN(M$3-$O$2,$Q$2)/$Q$2))</f>
        <v>8990.12396072565</v>
      </c>
      <c r="N433" s="15" t="n">
        <f aca="false">M433*(1+IF(N$3&lt;=$O$2,$D433,$D433-($D433-$I$427)*MIN(N$3-$O$2,$Q$2)/$Q$2))</f>
        <v>9334.44570842144</v>
      </c>
      <c r="O433" s="15" t="n">
        <f aca="false">SUMPRODUCT(E433:N433,1/(1+$F$427)^$E$3:$N$3)*$E$2</f>
        <v>9339.66962659847</v>
      </c>
      <c r="P433" s="15" t="n">
        <f aca="false">N433*$E$2*(1+$I$427)/($F$427-$I$427)/(1+$F$427)^$N$3</f>
        <v>17751.5733065455</v>
      </c>
      <c r="Q433" s="15" t="n">
        <f aca="false">O433+P433</f>
        <v>27091.242933144</v>
      </c>
      <c r="R433" s="15" t="n">
        <f aca="false">Q433-$G$2+$I$2</f>
        <v>23975.042933144</v>
      </c>
      <c r="S433" s="42" t="n">
        <f aca="false">R433/$K$2</f>
        <v>212.356447592063</v>
      </c>
      <c r="T433" s="43" t="n">
        <f aca="false">S433-$M$2</f>
        <v>43.8887770871918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-0.03125</v>
      </c>
      <c r="C434" s="25" t="n">
        <f aca="false">IF(T433&gt;0,D433,C433)</f>
        <v>0.015625</v>
      </c>
      <c r="D434" s="41" t="n">
        <f aca="false">(B434+C434)/2</f>
        <v>-0.0078125</v>
      </c>
      <c r="E434" s="15" t="n">
        <f aca="false">$C$2*(1+IF(E$3&lt;=$O$2,$D434,$D434-($D434-$I$427)*MIN(E$3-$O$2,$Q$2)/$Q$2))</f>
        <v>7421.5625</v>
      </c>
      <c r="F434" s="15" t="n">
        <f aca="false">E434*(1+IF(F$3&lt;=$O$2,$D434,$D434-($D434-$I$427)*MIN(F$3-$O$2,$Q$2)/$Q$2))</f>
        <v>7363.58154296875</v>
      </c>
      <c r="G434" s="15" t="n">
        <f aca="false">F434*(1+IF(G$3&lt;=$O$2,$D434,$D434-($D434-$I$427)*MIN(G$3-$O$2,$Q$2)/$Q$2))</f>
        <v>7306.05356216431</v>
      </c>
      <c r="H434" s="15" t="n">
        <f aca="false">G434*(1+IF(H$3&lt;=$O$2,$D434,$D434-($D434-$I$427)*MIN(H$3-$O$2,$Q$2)/$Q$2))</f>
        <v>7248.9750187099</v>
      </c>
      <c r="I434" s="15" t="n">
        <f aca="false">H434*(1+IF(I$3&lt;=$O$2,$D434,$D434-($D434-$I$427)*MIN(I$3-$O$2,$Q$2)/$Q$2))</f>
        <v>7192.34240137623</v>
      </c>
      <c r="J434" s="15" t="n">
        <f aca="false">I434*(1+IF(J$3&lt;=$O$2,$D434,$D434-($D434-$I$427)*MIN(J$3-$O$2,$Q$2)/$Q$2))</f>
        <v>7202.48360416217</v>
      </c>
      <c r="K434" s="15" t="n">
        <f aca="false">J434*(1+IF(K$3&lt;=$O$2,$D434,$D434-($D434-$I$427)*MIN(K$3-$O$2,$Q$2)/$Q$2))</f>
        <v>7279.06401108342</v>
      </c>
      <c r="L434" s="15" t="n">
        <f aca="false">K434*(1+IF(L$3&lt;=$O$2,$D434,$D434-($D434-$I$427)*MIN(L$3-$O$2,$Q$2)/$Q$2))</f>
        <v>7423.58982702348</v>
      </c>
      <c r="M434" s="15" t="n">
        <f aca="false">L434*(1+IF(M$3&lt;=$O$2,$D434,$D434-($D434-$I$427)*MIN(M$3-$O$2,$Q$2)/$Q$2))</f>
        <v>7639.44926021876</v>
      </c>
      <c r="N434" s="15" t="n">
        <f aca="false">M434*(1+IF(N$3&lt;=$O$2,$D434,$D434-($D434-$I$427)*MIN(N$3-$O$2,$Q$2)/$Q$2))</f>
        <v>7932.04016688514</v>
      </c>
      <c r="O434" s="15" t="n">
        <f aca="false">SUMPRODUCT(E434:N434,1/(1+$F$427)^$E$3:$N$3)*$E$2</f>
        <v>8427.4571179963</v>
      </c>
      <c r="P434" s="15" t="n">
        <f aca="false">N434*$E$2*(1+$I$427)/($F$427-$I$427)/(1+$F$427)^$N$3</f>
        <v>15084.5799409269</v>
      </c>
      <c r="Q434" s="15" t="n">
        <f aca="false">O434+P434</f>
        <v>23512.0370589232</v>
      </c>
      <c r="R434" s="15" t="n">
        <f aca="false">Q434-$G$2+$I$2</f>
        <v>20395.8370589232</v>
      </c>
      <c r="S434" s="42" t="n">
        <f aca="false">R434/$K$2</f>
        <v>180.654004064864</v>
      </c>
      <c r="T434" s="43" t="n">
        <f aca="false">S434-$M$2</f>
        <v>12.1863335599924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-0.03125</v>
      </c>
      <c r="C435" s="25" t="n">
        <f aca="false">IF(T434&gt;0,D434,C434)</f>
        <v>-0.0078125</v>
      </c>
      <c r="D435" s="41" t="n">
        <f aca="false">(B435+C435)/2</f>
        <v>-0.01953125</v>
      </c>
      <c r="E435" s="15" t="n">
        <f aca="false">$C$2*(1+IF(E$3&lt;=$O$2,$D435,$D435-($D435-$I$427)*MIN(E$3-$O$2,$Q$2)/$Q$2))</f>
        <v>7333.90625</v>
      </c>
      <c r="F435" s="15" t="n">
        <f aca="false">E435*(1+IF(F$3&lt;=$O$2,$D435,$D435-($D435-$I$427)*MIN(F$3-$O$2,$Q$2)/$Q$2))</f>
        <v>7190.66589355469</v>
      </c>
      <c r="G435" s="15" t="n">
        <f aca="false">F435*(1+IF(G$3&lt;=$O$2,$D435,$D435-($D435-$I$427)*MIN(G$3-$O$2,$Q$2)/$Q$2))</f>
        <v>7050.2232003212</v>
      </c>
      <c r="H435" s="15" t="n">
        <f aca="false">G435*(1+IF(H$3&lt;=$O$2,$D435,$D435-($D435-$I$427)*MIN(H$3-$O$2,$Q$2)/$Q$2))</f>
        <v>6912.52352843992</v>
      </c>
      <c r="I435" s="15" t="n">
        <f aca="false">H435*(1+IF(I$3&lt;=$O$2,$D435,$D435-($D435-$I$427)*MIN(I$3-$O$2,$Q$2)/$Q$2))</f>
        <v>6777.51330327508</v>
      </c>
      <c r="J435" s="15" t="n">
        <f aca="false">I435*(1+IF(J$3&lt;=$O$2,$D435,$D435-($D435-$I$427)*MIN(J$3-$O$2,$Q$2)/$Q$2))</f>
        <v>6723.5304098145</v>
      </c>
      <c r="K435" s="15" t="n">
        <f aca="false">J435*(1+IF(K$3&lt;=$O$2,$D435,$D435-($D435-$I$427)*MIN(K$3-$O$2,$Q$2)/$Q$2))</f>
        <v>6747.74352370284</v>
      </c>
      <c r="L435" s="15" t="n">
        <f aca="false">K435*(1+IF(L$3&lt;=$O$2,$D435,$D435-($D435-$I$427)*MIN(L$3-$O$2,$Q$2)/$Q$2))</f>
        <v>6850.0899235986</v>
      </c>
      <c r="M435" s="15" t="n">
        <f aca="false">L435*(1+IF(M$3&lt;=$O$2,$D435,$D435-($D435-$I$427)*MIN(M$3-$O$2,$Q$2)/$Q$2))</f>
        <v>7033.21851509361</v>
      </c>
      <c r="N435" s="15" t="n">
        <f aca="false">M435*(1+IF(N$3&lt;=$O$2,$D435,$D435-($D435-$I$427)*MIN(N$3-$O$2,$Q$2)/$Q$2))</f>
        <v>7302.59078422169</v>
      </c>
      <c r="O435" s="15" t="n">
        <f aca="false">SUMPRODUCT(E435:N435,1/(1+$F$427)^$E$3:$N$3)*$E$2</f>
        <v>8006.06009171225</v>
      </c>
      <c r="P435" s="15" t="n">
        <f aca="false">N435*$E$2*(1+$I$427)/($F$427-$I$427)/(1+$F$427)^$N$3</f>
        <v>13887.5386587617</v>
      </c>
      <c r="Q435" s="15" t="n">
        <f aca="false">O435+P435</f>
        <v>21893.5987504739</v>
      </c>
      <c r="R435" s="15" t="n">
        <f aca="false">Q435-$G$2+$I$2</f>
        <v>18777.3987504739</v>
      </c>
      <c r="S435" s="42" t="n">
        <f aca="false">R435/$K$2</f>
        <v>166.318855185774</v>
      </c>
      <c r="T435" s="43" t="n">
        <f aca="false">S435-$M$2</f>
        <v>-2.14881531909714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-0.01953125</v>
      </c>
      <c r="C436" s="25" t="n">
        <f aca="false">IF(T435&gt;0,D435,C435)</f>
        <v>-0.0078125</v>
      </c>
      <c r="D436" s="41" t="n">
        <f aca="false">(B436+C436)/2</f>
        <v>-0.013671875</v>
      </c>
      <c r="E436" s="15" t="n">
        <f aca="false">$C$2*(1+IF(E$3&lt;=$O$2,$D436,$D436-($D436-$I$427)*MIN(E$3-$O$2,$Q$2)/$Q$2))</f>
        <v>7377.734375</v>
      </c>
      <c r="F436" s="15" t="n">
        <f aca="false">E436*(1+IF(F$3&lt;=$O$2,$D436,$D436-($D436-$I$427)*MIN(F$3-$O$2,$Q$2)/$Q$2))</f>
        <v>7276.8669128418</v>
      </c>
      <c r="G436" s="15" t="n">
        <f aca="false">F436*(1+IF(G$3&lt;=$O$2,$D436,$D436-($D436-$I$427)*MIN(G$3-$O$2,$Q$2)/$Q$2))</f>
        <v>7177.37849801779</v>
      </c>
      <c r="H436" s="15" t="n">
        <f aca="false">G436*(1+IF(H$3&lt;=$O$2,$D436,$D436-($D436-$I$427)*MIN(H$3-$O$2,$Q$2)/$Q$2))</f>
        <v>7079.2502763652</v>
      </c>
      <c r="I436" s="15" t="n">
        <f aca="false">H436*(1+IF(I$3&lt;=$O$2,$D436,$D436-($D436-$I$427)*MIN(I$3-$O$2,$Q$2)/$Q$2))</f>
        <v>6982.46365149302</v>
      </c>
      <c r="J436" s="15" t="n">
        <f aca="false">I436*(1+IF(J$3&lt;=$O$2,$D436,$D436-($D436-$I$427)*MIN(J$3-$O$2,$Q$2)/$Q$2))</f>
        <v>6959.57862687525</v>
      </c>
      <c r="K436" s="15" t="n">
        <f aca="false">J436*(1+IF(K$3&lt;=$O$2,$D436,$D436-($D436-$I$427)*MIN(K$3-$O$2,$Q$2)/$Q$2))</f>
        <v>7009.10907801539</v>
      </c>
      <c r="L436" s="15" t="n">
        <f aca="false">K436*(1+IF(L$3&lt;=$O$2,$D436,$D436-($D436-$I$427)*MIN(L$3-$O$2,$Q$2)/$Q$2))</f>
        <v>7131.84733935779</v>
      </c>
      <c r="M436" s="15" t="n">
        <f aca="false">L436*(1+IF(M$3&lt;=$O$2,$D436,$D436-($D436-$I$427)*MIN(M$3-$O$2,$Q$2)/$Q$2))</f>
        <v>7330.86599676716</v>
      </c>
      <c r="N436" s="15" t="n">
        <f aca="false">M436*(1+IF(N$3&lt;=$O$2,$D436,$D436-($D436-$I$427)*MIN(N$3-$O$2,$Q$2)/$Q$2))</f>
        <v>7611.63816444334</v>
      </c>
      <c r="O436" s="15" t="n">
        <f aca="false">SUMPRODUCT(E436:N436,1/(1+$F$427)^$E$3:$N$3)*$E$2</f>
        <v>8213.98497899096</v>
      </c>
      <c r="P436" s="15" t="n">
        <f aca="false">N436*$E$2*(1+$I$427)/($F$427-$I$427)/(1+$F$427)^$N$3</f>
        <v>14475.2626004469</v>
      </c>
      <c r="Q436" s="15" t="n">
        <f aca="false">O436+P436</f>
        <v>22689.2475794379</v>
      </c>
      <c r="R436" s="15" t="n">
        <f aca="false">Q436-$G$2+$I$2</f>
        <v>19573.0475794379</v>
      </c>
      <c r="S436" s="42" t="n">
        <f aca="false">R436/$K$2</f>
        <v>173.366231881647</v>
      </c>
      <c r="T436" s="43" t="n">
        <f aca="false">S436-$M$2</f>
        <v>4.89856137677498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-0.01953125</v>
      </c>
      <c r="C437" s="25" t="n">
        <f aca="false">IF(T436&gt;0,D436,C436)</f>
        <v>-0.013671875</v>
      </c>
      <c r="D437" s="41" t="n">
        <f aca="false">(B437+C437)/2</f>
        <v>-0.0166015625</v>
      </c>
      <c r="E437" s="15" t="n">
        <f aca="false">$C$2*(1+IF(E$3&lt;=$O$2,$D437,$D437-($D437-$I$427)*MIN(E$3-$O$2,$Q$2)/$Q$2))</f>
        <v>7355.8203125</v>
      </c>
      <c r="F437" s="15" t="n">
        <f aca="false">E437*(1+IF(F$3&lt;=$O$2,$D437,$D437-($D437-$I$427)*MIN(F$3-$O$2,$Q$2)/$Q$2))</f>
        <v>7233.70220184326</v>
      </c>
      <c r="G437" s="15" t="n">
        <f aca="false">F437*(1+IF(G$3&lt;=$O$2,$D437,$D437-($D437-$I$427)*MIN(G$3-$O$2,$Q$2)/$Q$2))</f>
        <v>7113.61144263297</v>
      </c>
      <c r="H437" s="15" t="n">
        <f aca="false">G437*(1+IF(H$3&lt;=$O$2,$D437,$D437-($D437-$I$427)*MIN(H$3-$O$2,$Q$2)/$Q$2))</f>
        <v>6995.51437766739</v>
      </c>
      <c r="I437" s="15" t="n">
        <f aca="false">H437*(1+IF(I$3&lt;=$O$2,$D437,$D437-($D437-$I$427)*MIN(I$3-$O$2,$Q$2)/$Q$2))</f>
        <v>6879.37790850689</v>
      </c>
      <c r="J437" s="15" t="n">
        <f aca="false">I437*(1+IF(J$3&lt;=$O$2,$D437,$D437-($D437-$I$427)*MIN(J$3-$O$2,$Q$2)/$Q$2))</f>
        <v>6840.7072054387</v>
      </c>
      <c r="K437" s="15" t="n">
        <f aca="false">J437*(1+IF(K$3&lt;=$O$2,$D437,$D437-($D437-$I$427)*MIN(K$3-$O$2,$Q$2)/$Q$2))</f>
        <v>6877.36698289684</v>
      </c>
      <c r="L437" s="15" t="n">
        <f aca="false">K437*(1+IF(L$3&lt;=$O$2,$D437,$D437-($D437-$I$427)*MIN(L$3-$O$2,$Q$2)/$Q$2))</f>
        <v>6989.73886104301</v>
      </c>
      <c r="M437" s="15" t="n">
        <f aca="false">L437*(1+IF(M$3&lt;=$O$2,$D437,$D437-($D437-$I$427)*MIN(M$3-$O$2,$Q$2)/$Q$2))</f>
        <v>7180.69634243331</v>
      </c>
      <c r="N437" s="15" t="n">
        <f aca="false">M437*(1+IF(N$3&lt;=$O$2,$D437,$D437-($D437-$I$427)*MIN(N$3-$O$2,$Q$2)/$Q$2))</f>
        <v>7455.71701234851</v>
      </c>
      <c r="O437" s="15" t="n">
        <f aca="false">SUMPRODUCT(E437:N437,1/(1+$F$427)^$E$3:$N$3)*$E$2</f>
        <v>8109.3377748607</v>
      </c>
      <c r="P437" s="15" t="n">
        <f aca="false">N437*$E$2*(1+$I$427)/($F$427-$I$427)/(1+$F$427)^$N$3</f>
        <v>14178.7430375386</v>
      </c>
      <c r="Q437" s="15" t="n">
        <f aca="false">O437+P437</f>
        <v>22288.0808123993</v>
      </c>
      <c r="R437" s="15" t="n">
        <f aca="false">Q437-$G$2+$I$2</f>
        <v>19171.8808123993</v>
      </c>
      <c r="S437" s="42" t="n">
        <f aca="false">R437/$K$2</f>
        <v>169.812938993794</v>
      </c>
      <c r="T437" s="43" t="n">
        <f aca="false">S437-$M$2</f>
        <v>1.34526848892233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-0.01953125</v>
      </c>
      <c r="C438" s="25" t="n">
        <f aca="false">IF(T437&gt;0,D437,C437)</f>
        <v>-0.0166015625</v>
      </c>
      <c r="D438" s="41" t="n">
        <f aca="false">(B438+C438)/2</f>
        <v>-0.01806640625</v>
      </c>
      <c r="E438" s="15" t="n">
        <f aca="false">$C$2*(1+IF(E$3&lt;=$O$2,$D438,$D438-($D438-$I$427)*MIN(E$3-$O$2,$Q$2)/$Q$2))</f>
        <v>7344.86328125</v>
      </c>
      <c r="F438" s="15" t="n">
        <f aca="false">E438*(1+IF(F$3&lt;=$O$2,$D438,$D438-($D438-$I$427)*MIN(F$3-$O$2,$Q$2)/$Q$2))</f>
        <v>7212.16799736023</v>
      </c>
      <c r="G438" s="15" t="n">
        <f aca="false">F438*(1+IF(G$3&lt;=$O$2,$D438,$D438-($D438-$I$427)*MIN(G$3-$O$2,$Q$2)/$Q$2))</f>
        <v>7081.87004037667</v>
      </c>
      <c r="H438" s="15" t="n">
        <f aca="false">G438*(1+IF(H$3&lt;=$O$2,$D438,$D438-($D438-$I$427)*MIN(H$3-$O$2,$Q$2)/$Q$2))</f>
        <v>6953.92609921752</v>
      </c>
      <c r="I438" s="15" t="n">
        <f aca="false">H438*(1+IF(I$3&lt;=$O$2,$D438,$D438-($D438-$I$427)*MIN(I$3-$O$2,$Q$2)/$Q$2))</f>
        <v>6828.29364527658</v>
      </c>
      <c r="J438" s="15" t="n">
        <f aca="false">I438*(1+IF(J$3&lt;=$O$2,$D438,$D438-($D438-$I$427)*MIN(J$3-$O$2,$Q$2)/$Q$2))</f>
        <v>6781.90819300751</v>
      </c>
      <c r="K438" s="15" t="n">
        <f aca="false">J438*(1+IF(K$3&lt;=$O$2,$D438,$D438-($D438-$I$427)*MIN(K$3-$O$2,$Q$2)/$Q$2))</f>
        <v>6812.29220138534</v>
      </c>
      <c r="L438" s="15" t="n">
        <f aca="false">K438*(1+IF(L$3&lt;=$O$2,$D438,$D438-($D438-$I$427)*MIN(L$3-$O$2,$Q$2)/$Q$2))</f>
        <v>6919.6092208116</v>
      </c>
      <c r="M438" s="15" t="n">
        <f aca="false">L438*(1+IF(M$3&lt;=$O$2,$D438,$D438-($D438-$I$427)*MIN(M$3-$O$2,$Q$2)/$Q$2))</f>
        <v>7106.62355308238</v>
      </c>
      <c r="N438" s="15" t="n">
        <f aca="false">M438*(1+IF(N$3&lt;=$O$2,$D438,$D438-($D438-$I$427)*MIN(N$3-$O$2,$Q$2)/$Q$2))</f>
        <v>7378.80723516544</v>
      </c>
      <c r="O438" s="15" t="n">
        <f aca="false">SUMPRODUCT(E438:N438,1/(1+$F$427)^$E$3:$N$3)*$E$2</f>
        <v>8057.52881359724</v>
      </c>
      <c r="P438" s="15" t="n">
        <f aca="false">N438*$E$2*(1+$I$427)/($F$427-$I$427)/(1+$F$427)^$N$3</f>
        <v>14032.4815893175</v>
      </c>
      <c r="Q438" s="15" t="n">
        <f aca="false">O438+P438</f>
        <v>22090.0104029147</v>
      </c>
      <c r="R438" s="15" t="n">
        <f aca="false">Q438-$G$2+$I$2</f>
        <v>18973.8104029147</v>
      </c>
      <c r="S438" s="42" t="n">
        <f aca="false">R438/$K$2</f>
        <v>168.058550955843</v>
      </c>
      <c r="T438" s="43" t="n">
        <f aca="false">S438-$M$2</f>
        <v>-0.409119549028134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-0.01806640625</v>
      </c>
      <c r="C439" s="25" t="n">
        <f aca="false">IF(T438&gt;0,D438,C438)</f>
        <v>-0.0166015625</v>
      </c>
      <c r="D439" s="41" t="n">
        <f aca="false">(B439+C439)/2</f>
        <v>-0.017333984375</v>
      </c>
      <c r="E439" s="15" t="n">
        <f aca="false">$C$2*(1+IF(E$3&lt;=$O$2,$D439,$D439-($D439-$I$427)*MIN(E$3-$O$2,$Q$2)/$Q$2))</f>
        <v>7350.341796875</v>
      </c>
      <c r="F439" s="15" t="n">
        <f aca="false">E439*(1+IF(F$3&lt;=$O$2,$D439,$D439-($D439-$I$427)*MIN(F$3-$O$2,$Q$2)/$Q$2))</f>
        <v>7222.93108701706</v>
      </c>
      <c r="G439" s="15" t="n">
        <f aca="false">F439*(1+IF(G$3&lt;=$O$2,$D439,$D439-($D439-$I$427)*MIN(G$3-$O$2,$Q$2)/$Q$2))</f>
        <v>7097.728912413</v>
      </c>
      <c r="H439" s="15" t="n">
        <f aca="false">G439*(1+IF(H$3&lt;=$O$2,$D439,$D439-($D439-$I$427)*MIN(H$3-$O$2,$Q$2)/$Q$2))</f>
        <v>6974.69699034725</v>
      </c>
      <c r="I439" s="15" t="n">
        <f aca="false">H439*(1+IF(I$3&lt;=$O$2,$D439,$D439-($D439-$I$427)*MIN(I$3-$O$2,$Q$2)/$Q$2))</f>
        <v>6853.79770169621</v>
      </c>
      <c r="J439" s="15" t="n">
        <f aca="false">I439*(1+IF(J$3&lt;=$O$2,$D439,$D439-($D439-$I$427)*MIN(J$3-$O$2,$Q$2)/$Q$2))</f>
        <v>6811.25489427471</v>
      </c>
      <c r="K439" s="15" t="n">
        <f aca="false">J439*(1+IF(K$3&lt;=$O$2,$D439,$D439-($D439-$I$427)*MIN(K$3-$O$2,$Q$2)/$Q$2))</f>
        <v>6844.7636077081</v>
      </c>
      <c r="L439" s="15" t="n">
        <f aca="false">K439*(1+IF(L$3&lt;=$O$2,$D439,$D439-($D439-$I$427)*MIN(L$3-$O$2,$Q$2)/$Q$2))</f>
        <v>6954.5974652426</v>
      </c>
      <c r="M439" s="15" t="n">
        <f aca="false">L439*(1+IF(M$3&lt;=$O$2,$D439,$D439-($D439-$I$427)*MIN(M$3-$O$2,$Q$2)/$Q$2))</f>
        <v>7143.57615481825</v>
      </c>
      <c r="N439" s="15" t="n">
        <f aca="false">M439*(1+IF(N$3&lt;=$O$2,$D439,$D439-($D439-$I$427)*MIN(N$3-$O$2,$Q$2)/$Q$2))</f>
        <v>7417.17512154779</v>
      </c>
      <c r="O439" s="15" t="n">
        <f aca="false">SUMPRODUCT(E439:N439,1/(1+$F$427)^$E$3:$N$3)*$E$2</f>
        <v>8083.39063096019</v>
      </c>
      <c r="P439" s="15" t="n">
        <f aca="false">N439*$E$2*(1+$I$427)/($F$427-$I$427)/(1+$F$427)^$N$3</f>
        <v>14105.4468589231</v>
      </c>
      <c r="Q439" s="15" t="n">
        <f aca="false">O439+P439</f>
        <v>22188.8374898833</v>
      </c>
      <c r="R439" s="15" t="n">
        <f aca="false">Q439-$G$2+$I$2</f>
        <v>19072.6374898833</v>
      </c>
      <c r="S439" s="42" t="n">
        <f aca="false">R439/$K$2</f>
        <v>168.933901593297</v>
      </c>
      <c r="T439" s="43" t="n">
        <f aca="false">S439-$M$2</f>
        <v>0.466231088425587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-0.01806640625</v>
      </c>
      <c r="C440" s="25" t="n">
        <f aca="false">IF(T439&gt;0,D439,C439)</f>
        <v>-0.017333984375</v>
      </c>
      <c r="D440" s="41" t="n">
        <f aca="false">(B440+C440)/2</f>
        <v>-0.0177001953125</v>
      </c>
      <c r="E440" s="15" t="n">
        <f aca="false">$C$2*(1+IF(E$3&lt;=$O$2,$D440,$D440-($D440-$I$427)*MIN(E$3-$O$2,$Q$2)/$Q$2))</f>
        <v>7347.6025390625</v>
      </c>
      <c r="F440" s="15" t="n">
        <f aca="false">E440*(1+IF(F$3&lt;=$O$2,$D440,$D440-($D440-$I$427)*MIN(F$3-$O$2,$Q$2)/$Q$2))</f>
        <v>7217.54853904247</v>
      </c>
      <c r="G440" s="15" t="n">
        <f aca="false">F440*(1+IF(G$3&lt;=$O$2,$D440,$D440-($D440-$I$427)*MIN(G$3-$O$2,$Q$2)/$Q$2))</f>
        <v>7089.79652022397</v>
      </c>
      <c r="H440" s="15" t="n">
        <f aca="false">G440*(1+IF(H$3&lt;=$O$2,$D440,$D440-($D440-$I$427)*MIN(H$3-$O$2,$Q$2)/$Q$2))</f>
        <v>6964.30573709013</v>
      </c>
      <c r="I440" s="15" t="n">
        <f aca="false">H440*(1+IF(I$3&lt;=$O$2,$D440,$D440-($D440-$I$427)*MIN(I$3-$O$2,$Q$2)/$Q$2))</f>
        <v>6841.03616532767</v>
      </c>
      <c r="J440" s="15" t="n">
        <f aca="false">I440*(1+IF(J$3&lt;=$O$2,$D440,$D440-($D440-$I$427)*MIN(J$3-$O$2,$Q$2)/$Q$2))</f>
        <v>6796.56836134114</v>
      </c>
      <c r="K440" s="15" t="n">
        <f aca="false">J440*(1+IF(K$3&lt;=$O$2,$D440,$D440-($D440-$I$427)*MIN(K$3-$O$2,$Q$2)/$Q$2))</f>
        <v>6828.51143616658</v>
      </c>
      <c r="L440" s="15" t="n">
        <f aca="false">K440*(1+IF(L$3&lt;=$O$2,$D440,$D440-($D440-$I$427)*MIN(L$3-$O$2,$Q$2)/$Q$2))</f>
        <v>6937.08423452418</v>
      </c>
      <c r="M440" s="15" t="n">
        <f aca="false">L440*(1+IF(M$3&lt;=$O$2,$D440,$D440-($D440-$I$427)*MIN(M$3-$O$2,$Q$2)/$Q$2))</f>
        <v>7125.07894629993</v>
      </c>
      <c r="N440" s="15" t="n">
        <f aca="false">M440*(1+IF(N$3&lt;=$O$2,$D440,$D440-($D440-$I$427)*MIN(N$3-$O$2,$Q$2)/$Q$2))</f>
        <v>7397.96946994322</v>
      </c>
      <c r="O440" s="15" t="n">
        <f aca="false">SUMPRODUCT(E440:N440,1/(1+$F$427)^$E$3:$N$3)*$E$2</f>
        <v>8070.44907315837</v>
      </c>
      <c r="P440" s="15" t="n">
        <f aca="false">N440*$E$2*(1+$I$427)/($F$427-$I$427)/(1+$F$427)^$N$3</f>
        <v>14068.9229406307</v>
      </c>
      <c r="Q440" s="15" t="n">
        <f aca="false">O440+P440</f>
        <v>22139.3720137891</v>
      </c>
      <c r="R440" s="15" t="n">
        <f aca="false">Q440-$G$2+$I$2</f>
        <v>19023.1720137891</v>
      </c>
      <c r="S440" s="42" t="n">
        <f aca="false">R440/$K$2</f>
        <v>168.495766286883</v>
      </c>
      <c r="T440" s="43" t="n">
        <f aca="false">S440-$M$2</f>
        <v>0.0280957820114338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-0.01806640625</v>
      </c>
      <c r="C441" s="25" t="n">
        <f aca="false">IF(T440&gt;0,D440,C440)</f>
        <v>-0.0177001953125</v>
      </c>
      <c r="D441" s="41" t="n">
        <f aca="false">(B441+C441)/2</f>
        <v>-0.01788330078125</v>
      </c>
      <c r="E441" s="15" t="n">
        <f aca="false">$C$2*(1+IF(E$3&lt;=$O$2,$D441,$D441-($D441-$I$427)*MIN(E$3-$O$2,$Q$2)/$Q$2))</f>
        <v>7346.23291015625</v>
      </c>
      <c r="F441" s="15" t="n">
        <f aca="false">E441*(1+IF(F$3&lt;=$O$2,$D441,$D441-($D441-$I$427)*MIN(F$3-$O$2,$Q$2)/$Q$2))</f>
        <v>7214.85801741481</v>
      </c>
      <c r="G441" s="15" t="n">
        <f aca="false">F441*(1+IF(G$3&lt;=$O$2,$D441,$D441-($D441-$I$427)*MIN(G$3-$O$2,$Q$2)/$Q$2))</f>
        <v>7085.83254139537</v>
      </c>
      <c r="H441" s="15" t="n">
        <f aca="false">G441*(1+IF(H$3&lt;=$O$2,$D441,$D441-($D441-$I$427)*MIN(H$3-$O$2,$Q$2)/$Q$2))</f>
        <v>6959.11446677202</v>
      </c>
      <c r="I441" s="15" t="n">
        <f aca="false">H441*(1+IF(I$3&lt;=$O$2,$D441,$D441-($D441-$I$427)*MIN(I$3-$O$2,$Q$2)/$Q$2))</f>
        <v>6834.66252959159</v>
      </c>
      <c r="J441" s="15" t="n">
        <f aca="false">I441*(1+IF(J$3&lt;=$O$2,$D441,$D441-($D441-$I$427)*MIN(J$3-$O$2,$Q$2)/$Q$2))</f>
        <v>6789.23498396424</v>
      </c>
      <c r="K441" s="15" t="n">
        <f aca="false">J441*(1+IF(K$3&lt;=$O$2,$D441,$D441-($D441-$I$427)*MIN(K$3-$O$2,$Q$2)/$Q$2))</f>
        <v>6820.39770514288</v>
      </c>
      <c r="L441" s="15" t="n">
        <f aca="false">K441*(1+IF(L$3&lt;=$O$2,$D441,$D441-($D441-$I$427)*MIN(L$3-$O$2,$Q$2)/$Q$2))</f>
        <v>6928.34195496354</v>
      </c>
      <c r="M441" s="15" t="n">
        <f aca="false">L441*(1+IF(M$3&lt;=$O$2,$D441,$D441-($D441-$I$427)*MIN(M$3-$O$2,$Q$2)/$Q$2))</f>
        <v>7115.84602784443</v>
      </c>
      <c r="N441" s="15" t="n">
        <f aca="false">M441*(1+IF(N$3&lt;=$O$2,$D441,$D441-($D441-$I$427)*MIN(N$3-$O$2,$Q$2)/$Q$2))</f>
        <v>7388.38293071087</v>
      </c>
      <c r="O441" s="15" t="n">
        <f aca="false">SUMPRODUCT(E441:N441,1/(1+$F$427)^$E$3:$N$3)*$E$2</f>
        <v>8063.98628318232</v>
      </c>
      <c r="P441" s="15" t="n">
        <f aca="false">N441*$E$2*(1+$I$427)/($F$427-$I$427)/(1+$F$427)^$N$3</f>
        <v>14050.6919541046</v>
      </c>
      <c r="Q441" s="15" t="n">
        <f aca="false">O441+P441</f>
        <v>22114.6782372869</v>
      </c>
      <c r="R441" s="15" t="n">
        <f aca="false">Q441-$G$2+$I$2</f>
        <v>18998.4782372869</v>
      </c>
      <c r="S441" s="42" t="n">
        <f aca="false">R441/$K$2</f>
        <v>168.277043731505</v>
      </c>
      <c r="T441" s="43" t="n">
        <f aca="false">S441-$M$2</f>
        <v>-0.190626773366489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-0.01788330078125</v>
      </c>
      <c r="C442" s="25" t="n">
        <f aca="false">IF(T441&gt;0,D441,C441)</f>
        <v>-0.0177001953125</v>
      </c>
      <c r="D442" s="41" t="n">
        <f aca="false">(B442+C442)/2</f>
        <v>-0.017791748046875</v>
      </c>
      <c r="E442" s="15" t="n">
        <f aca="false">$C$2*(1+IF(E$3&lt;=$O$2,$D442,$D442-($D442-$I$427)*MIN(E$3-$O$2,$Q$2)/$Q$2))</f>
        <v>7346.91772460938</v>
      </c>
      <c r="F442" s="15" t="n">
        <f aca="false">E442*(1+IF(F$3&lt;=$O$2,$D442,$D442-($D442-$I$427)*MIN(F$3-$O$2,$Q$2)/$Q$2))</f>
        <v>7216.20321553201</v>
      </c>
      <c r="G442" s="15" t="n">
        <f aca="false">F442*(1+IF(G$3&lt;=$O$2,$D442,$D442-($D442-$I$427)*MIN(G$3-$O$2,$Q$2)/$Q$2))</f>
        <v>7087.81434606621</v>
      </c>
      <c r="H442" s="15" t="n">
        <f aca="false">G442*(1+IF(H$3&lt;=$O$2,$D442,$D442-($D442-$I$427)*MIN(H$3-$O$2,$Q$2)/$Q$2))</f>
        <v>6961.70973901797</v>
      </c>
      <c r="I442" s="15" t="n">
        <f aca="false">H442*(1+IF(I$3&lt;=$O$2,$D442,$D442-($D442-$I$427)*MIN(I$3-$O$2,$Q$2)/$Q$2))</f>
        <v>6837.84875336589</v>
      </c>
      <c r="J442" s="15" t="n">
        <f aca="false">I442*(1+IF(J$3&lt;=$O$2,$D442,$D442-($D442-$I$427)*MIN(J$3-$O$2,$Q$2)/$Q$2))</f>
        <v>6792.90084905465</v>
      </c>
      <c r="K442" s="15" t="n">
        <f aca="false">J442*(1+IF(K$3&lt;=$O$2,$D442,$D442-($D442-$I$427)*MIN(K$3-$O$2,$Q$2)/$Q$2))</f>
        <v>6824.4535418139</v>
      </c>
      <c r="L442" s="15" t="n">
        <f aca="false">K442*(1+IF(L$3&lt;=$O$2,$D442,$D442-($D442-$I$427)*MIN(L$3-$O$2,$Q$2)/$Q$2))</f>
        <v>6932.71190101536</v>
      </c>
      <c r="M442" s="15" t="n">
        <f aca="false">L442*(1+IF(M$3&lt;=$O$2,$D442,$D442-($D442-$I$427)*MIN(M$3-$O$2,$Q$2)/$Q$2))</f>
        <v>7120.46118097759</v>
      </c>
      <c r="N442" s="15" t="n">
        <f aca="false">M442*(1+IF(N$3&lt;=$O$2,$D442,$D442-($D442-$I$427)*MIN(N$3-$O$2,$Q$2)/$Q$2))</f>
        <v>7393.17484420903</v>
      </c>
      <c r="O442" s="15" t="n">
        <f aca="false">SUMPRODUCT(E442:N442,1/(1+$F$427)^$E$3:$N$3)*$E$2</f>
        <v>8067.21701286101</v>
      </c>
      <c r="P442" s="15" t="n">
        <f aca="false">N442*$E$2*(1+$I$427)/($F$427-$I$427)/(1+$F$427)^$N$3</f>
        <v>14059.8048684006</v>
      </c>
      <c r="Q442" s="15" t="n">
        <f aca="false">O442+P442</f>
        <v>22127.0218812616</v>
      </c>
      <c r="R442" s="15" t="n">
        <f aca="false">Q442-$G$2+$I$2</f>
        <v>19010.8218812616</v>
      </c>
      <c r="S442" s="42" t="n">
        <f aca="false">R442/$K$2</f>
        <v>168.386376273353</v>
      </c>
      <c r="T442" s="43" t="n">
        <f aca="false">S442-$M$2</f>
        <v>-0.0812942315184273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-0.017791748046875</v>
      </c>
      <c r="C443" s="25" t="n">
        <f aca="false">IF(T442&gt;0,D442,C442)</f>
        <v>-0.0177001953125</v>
      </c>
      <c r="D443" s="41" t="n">
        <f aca="false">(B443+C443)/2</f>
        <v>-0.0177459716796875</v>
      </c>
      <c r="E443" s="15" t="n">
        <f aca="false">$C$2*(1+IF(E$3&lt;=$O$2,$D443,$D443-($D443-$I$427)*MIN(E$3-$O$2,$Q$2)/$Q$2))</f>
        <v>7347.26013183594</v>
      </c>
      <c r="F443" s="15" t="n">
        <f aca="false">E443*(1+IF(F$3&lt;=$O$2,$D443,$D443-($D443-$I$427)*MIN(F$3-$O$2,$Q$2)/$Q$2))</f>
        <v>7216.87586161308</v>
      </c>
      <c r="G443" s="15" t="n">
        <f aca="false">F443*(1+IF(G$3&lt;=$O$2,$D443,$D443-($D443-$I$427)*MIN(G$3-$O$2,$Q$2)/$Q$2))</f>
        <v>7088.80538695707</v>
      </c>
      <c r="H443" s="15" t="n">
        <f aca="false">G443*(1+IF(H$3&lt;=$O$2,$D443,$D443-($D443-$I$427)*MIN(H$3-$O$2,$Q$2)/$Q$2))</f>
        <v>6963.00764731732</v>
      </c>
      <c r="I443" s="15" t="n">
        <f aca="false">H443*(1+IF(I$3&lt;=$O$2,$D443,$D443-($D443-$I$427)*MIN(I$3-$O$2,$Q$2)/$Q$2))</f>
        <v>6839.44231080258</v>
      </c>
      <c r="J443" s="15" t="n">
        <f aca="false">I443*(1+IF(J$3&lt;=$O$2,$D443,$D443-($D443-$I$427)*MIN(J$3-$O$2,$Q$2)/$Q$2))</f>
        <v>6794.73439926144</v>
      </c>
      <c r="K443" s="15" t="n">
        <f aca="false">J443*(1+IF(K$3&lt;=$O$2,$D443,$D443-($D443-$I$427)*MIN(K$3-$O$2,$Q$2)/$Q$2))</f>
        <v>6826.48223172595</v>
      </c>
      <c r="L443" s="15" t="n">
        <f aca="false">K443*(1+IF(L$3&lt;=$O$2,$D443,$D443-($D443-$I$427)*MIN(L$3-$O$2,$Q$2)/$Q$2))</f>
        <v>6934.89776926857</v>
      </c>
      <c r="M443" s="15" t="n">
        <f aca="false">L443*(1+IF(M$3&lt;=$O$2,$D443,$D443-($D443-$I$427)*MIN(M$3-$O$2,$Q$2)/$Q$2))</f>
        <v>7122.76973703597</v>
      </c>
      <c r="N443" s="15" t="n">
        <f aca="false">M443*(1+IF(N$3&lt;=$O$2,$D443,$D443-($D443-$I$427)*MIN(N$3-$O$2,$Q$2)/$Q$2))</f>
        <v>7395.57181796444</v>
      </c>
      <c r="O443" s="15" t="n">
        <f aca="false">SUMPRODUCT(E443:N443,1/(1+$F$427)^$E$3:$N$3)*$E$2</f>
        <v>8068.83287664979</v>
      </c>
      <c r="P443" s="15" t="n">
        <f aca="false">N443*$E$2*(1+$I$427)/($F$427-$I$427)/(1+$F$427)^$N$3</f>
        <v>14064.3632596176</v>
      </c>
      <c r="Q443" s="15" t="n">
        <f aca="false">O443+P443</f>
        <v>22133.1961362674</v>
      </c>
      <c r="R443" s="15" t="n">
        <f aca="false">Q443-$G$2+$I$2</f>
        <v>19016.9961362674</v>
      </c>
      <c r="S443" s="42" t="n">
        <f aca="false">R443/$K$2</f>
        <v>168.441064094485</v>
      </c>
      <c r="T443" s="43" t="n">
        <f aca="false">S443-$M$2</f>
        <v>-0.0266064103863357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-0.0177459716796875</v>
      </c>
      <c r="C444" s="25" t="n">
        <f aca="false">IF(T443&gt;0,D443,C443)</f>
        <v>-0.0177001953125</v>
      </c>
      <c r="D444" s="41" t="n">
        <f aca="false">(B444+C444)/2</f>
        <v>-0.0177230834960938</v>
      </c>
      <c r="E444" s="15" t="n">
        <f aca="false">$C$2*(1+IF(E$3&lt;=$O$2,$D444,$D444-($D444-$I$427)*MIN(E$3-$O$2,$Q$2)/$Q$2))</f>
        <v>7347.43133544922</v>
      </c>
      <c r="F444" s="15" t="n">
        <f aca="false">E444*(1+IF(F$3&lt;=$O$2,$D444,$D444-($D444-$I$427)*MIN(F$3-$O$2,$Q$2)/$Q$2))</f>
        <v>7217.21219640924</v>
      </c>
      <c r="G444" s="15" t="n">
        <f aca="false">F444*(1+IF(G$3&lt;=$O$2,$D444,$D444-($D444-$I$427)*MIN(G$3-$O$2,$Q$2)/$Q$2))</f>
        <v>7089.30094204325</v>
      </c>
      <c r="H444" s="15" t="n">
        <f aca="false">G444*(1+IF(H$3&lt;=$O$2,$D444,$D444-($D444-$I$427)*MIN(H$3-$O$2,$Q$2)/$Q$2))</f>
        <v>6963.65666951848</v>
      </c>
      <c r="I444" s="15" t="n">
        <f aca="false">H444*(1+IF(I$3&lt;=$O$2,$D444,$D444-($D444-$I$427)*MIN(I$3-$O$2,$Q$2)/$Q$2))</f>
        <v>6840.23920092648</v>
      </c>
      <c r="J444" s="15" t="n">
        <f aca="false">I444*(1+IF(J$3&lt;=$O$2,$D444,$D444-($D444-$I$427)*MIN(J$3-$O$2,$Q$2)/$Q$2))</f>
        <v>6795.65132881255</v>
      </c>
      <c r="K444" s="15" t="n">
        <f aca="false">J444*(1+IF(K$3&lt;=$O$2,$D444,$D444-($D444-$I$427)*MIN(K$3-$O$2,$Q$2)/$Q$2))</f>
        <v>6827.49676962343</v>
      </c>
      <c r="L444" s="15" t="n">
        <f aca="false">K444*(1+IF(L$3&lt;=$O$2,$D444,$D444-($D444-$I$427)*MIN(L$3-$O$2,$Q$2)/$Q$2))</f>
        <v>6935.99092726244</v>
      </c>
      <c r="M444" s="15" t="n">
        <f aca="false">L444*(1+IF(M$3&lt;=$O$2,$D444,$D444-($D444-$I$427)*MIN(M$3-$O$2,$Q$2)/$Q$2))</f>
        <v>7123.92426000736</v>
      </c>
      <c r="N444" s="15" t="n">
        <f aca="false">M444*(1+IF(N$3&lt;=$O$2,$D444,$D444-($D444-$I$427)*MIN(N$3-$O$2,$Q$2)/$Q$2))</f>
        <v>7396.77055916564</v>
      </c>
      <c r="O444" s="15" t="n">
        <f aca="false">SUMPRODUCT(E444:N444,1/(1+$F$427)^$E$3:$N$3)*$E$2</f>
        <v>8069.64093331003</v>
      </c>
      <c r="P444" s="15" t="n">
        <f aca="false">N444*$E$2*(1+$I$427)/($F$427-$I$427)/(1+$F$427)^$N$3</f>
        <v>14066.6429388801</v>
      </c>
      <c r="Q444" s="15" t="n">
        <f aca="false">O444+P444</f>
        <v>22136.2838721901</v>
      </c>
      <c r="R444" s="15" t="n">
        <f aca="false">Q444-$G$2+$I$2</f>
        <v>19020.0838721901</v>
      </c>
      <c r="S444" s="42" t="n">
        <f aca="false">R444/$K$2</f>
        <v>168.468413394067</v>
      </c>
      <c r="T444" s="43" t="n">
        <f aca="false">S444-$M$2</f>
        <v>0.00074288919523724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-0.0177459716796875</v>
      </c>
      <c r="C445" s="25" t="n">
        <f aca="false">IF(T444&gt;0,D444,C444)</f>
        <v>-0.0177230834960938</v>
      </c>
      <c r="D445" s="41" t="n">
        <f aca="false">(B445+C445)/2</f>
        <v>-0.0177345275878906</v>
      </c>
      <c r="E445" s="15" t="n">
        <f aca="false">$C$2*(1+IF(E$3&lt;=$O$2,$D445,$D445-($D445-$I$427)*MIN(E$3-$O$2,$Q$2)/$Q$2))</f>
        <v>7347.34573364258</v>
      </c>
      <c r="F445" s="15" t="n">
        <f aca="false">E445*(1+IF(F$3&lt;=$O$2,$D445,$D445-($D445-$I$427)*MIN(F$3-$O$2,$Q$2)/$Q$2))</f>
        <v>7217.04402803152</v>
      </c>
      <c r="G445" s="15" t="n">
        <f aca="false">F445*(1+IF(G$3&lt;=$O$2,$D445,$D445-($D445-$I$427)*MIN(G$3-$O$2,$Q$2)/$Q$2))</f>
        <v>7089.05316161338</v>
      </c>
      <c r="H445" s="15" t="n">
        <f aca="false">G445*(1+IF(H$3&lt;=$O$2,$D445,$D445-($D445-$I$427)*MIN(H$3-$O$2,$Q$2)/$Q$2))</f>
        <v>6963.33215274672</v>
      </c>
      <c r="I445" s="15" t="n">
        <f aca="false">H445*(1+IF(I$3&lt;=$O$2,$D445,$D445-($D445-$I$427)*MIN(I$3-$O$2,$Q$2)/$Q$2))</f>
        <v>6839.84074658019</v>
      </c>
      <c r="J445" s="15" t="n">
        <f aca="false">I445*(1+IF(J$3&lt;=$O$2,$D445,$D445-($D445-$I$427)*MIN(J$3-$O$2,$Q$2)/$Q$2))</f>
        <v>6795.19285116539</v>
      </c>
      <c r="K445" s="15" t="n">
        <f aca="false">J445*(1+IF(K$3&lt;=$O$2,$D445,$D445-($D445-$I$427)*MIN(K$3-$O$2,$Q$2)/$Q$2))</f>
        <v>6826.98948459482</v>
      </c>
      <c r="L445" s="15" t="n">
        <f aca="false">K445*(1+IF(L$3&lt;=$O$2,$D445,$D445-($D445-$I$427)*MIN(L$3-$O$2,$Q$2)/$Q$2))</f>
        <v>6935.4443296081</v>
      </c>
      <c r="M445" s="15" t="n">
        <f aca="false">L445*(1+IF(M$3&lt;=$O$2,$D445,$D445-($D445-$I$427)*MIN(M$3-$O$2,$Q$2)/$Q$2))</f>
        <v>7123.34697810775</v>
      </c>
      <c r="N445" s="15" t="n">
        <f aca="false">M445*(1+IF(N$3&lt;=$O$2,$D445,$D445-($D445-$I$427)*MIN(N$3-$O$2,$Q$2)/$Q$2))</f>
        <v>7396.17116736928</v>
      </c>
      <c r="O445" s="15" t="n">
        <f aca="false">SUMPRODUCT(E445:N445,1/(1+$F$427)^$E$3:$N$3)*$E$2</f>
        <v>8069.2368945819</v>
      </c>
      <c r="P445" s="15" t="n">
        <f aca="false">N445*$E$2*(1+$I$427)/($F$427-$I$427)/(1+$F$427)^$N$3</f>
        <v>14065.5030589403</v>
      </c>
      <c r="Q445" s="15" t="n">
        <f aca="false">O445+P445</f>
        <v>22134.7399535222</v>
      </c>
      <c r="R445" s="15" t="n">
        <f aca="false">Q445-$G$2+$I$2</f>
        <v>19018.5399535222</v>
      </c>
      <c r="S445" s="42" t="n">
        <f aca="false">R445/$K$2</f>
        <v>168.454738295148</v>
      </c>
      <c r="T445" s="43" t="n">
        <f aca="false">S445-$M$2</f>
        <v>-0.0129322097238003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-0.0177345275878906</v>
      </c>
      <c r="C446" s="25" t="n">
        <f aca="false">IF(T445&gt;0,D445,C445)</f>
        <v>-0.0177230834960938</v>
      </c>
      <c r="D446" s="41" t="n">
        <f aca="false">(B446+C446)/2</f>
        <v>-0.0177288055419922</v>
      </c>
      <c r="E446" s="15" t="n">
        <f aca="false">$C$2*(1+IF(E$3&lt;=$O$2,$D446,$D446-($D446-$I$427)*MIN(E$3-$O$2,$Q$2)/$Q$2))</f>
        <v>7347.3885345459</v>
      </c>
      <c r="F446" s="15" t="n">
        <f aca="false">E446*(1+IF(F$3&lt;=$O$2,$D446,$D446-($D446-$I$427)*MIN(F$3-$O$2,$Q$2)/$Q$2))</f>
        <v>7217.12811197547</v>
      </c>
      <c r="G446" s="15" t="n">
        <f aca="false">F446*(1+IF(G$3&lt;=$O$2,$D446,$D446-($D446-$I$427)*MIN(G$3-$O$2,$Q$2)/$Q$2))</f>
        <v>7089.17705110661</v>
      </c>
      <c r="H446" s="15" t="n">
        <f aca="false">G446*(1+IF(H$3&lt;=$O$2,$D446,$D446-($D446-$I$427)*MIN(H$3-$O$2,$Q$2)/$Q$2))</f>
        <v>6963.49440971479</v>
      </c>
      <c r="I446" s="15" t="n">
        <f aca="false">H446*(1+IF(I$3&lt;=$O$2,$D446,$D446-($D446-$I$427)*MIN(I$3-$O$2,$Q$2)/$Q$2))</f>
        <v>6840.03997143221</v>
      </c>
      <c r="J446" s="15" t="n">
        <f aca="false">I446*(1+IF(J$3&lt;=$O$2,$D446,$D446-($D446-$I$427)*MIN(J$3-$O$2,$Q$2)/$Q$2))</f>
        <v>6795.422086771</v>
      </c>
      <c r="K446" s="15" t="n">
        <f aca="false">J446*(1+IF(K$3&lt;=$O$2,$D446,$D446-($D446-$I$427)*MIN(K$3-$O$2,$Q$2)/$Q$2))</f>
        <v>6827.24312308906</v>
      </c>
      <c r="L446" s="15" t="n">
        <f aca="false">K446*(1+IF(L$3&lt;=$O$2,$D446,$D446-($D446-$I$427)*MIN(L$3-$O$2,$Q$2)/$Q$2))</f>
        <v>6935.71762377078</v>
      </c>
      <c r="M446" s="15" t="n">
        <f aca="false">L446*(1+IF(M$3&lt;=$O$2,$D446,$D446-($D446-$I$427)*MIN(M$3-$O$2,$Q$2)/$Q$2))</f>
        <v>7123.63561395392</v>
      </c>
      <c r="N446" s="15" t="n">
        <f aca="false">M446*(1+IF(N$3&lt;=$O$2,$D446,$D446-($D446-$I$427)*MIN(N$3-$O$2,$Q$2)/$Q$2))</f>
        <v>7396.47085796836</v>
      </c>
      <c r="O446" s="15" t="n">
        <f aca="false">SUMPRODUCT(E446:N446,1/(1+$F$427)^$E$3:$N$3)*$E$2</f>
        <v>8069.43891134641</v>
      </c>
      <c r="P446" s="15" t="n">
        <f aca="false">N446*$E$2*(1+$I$427)/($F$427-$I$427)/(1+$F$427)^$N$3</f>
        <v>14066.0729888328</v>
      </c>
      <c r="Q446" s="15" t="n">
        <f aca="false">O446+P446</f>
        <v>22135.5119001792</v>
      </c>
      <c r="R446" s="15" t="n">
        <f aca="false">Q446-$G$2+$I$2</f>
        <v>19019.3119001792</v>
      </c>
      <c r="S446" s="42" t="n">
        <f aca="false">R446/$K$2</f>
        <v>168.461575732322</v>
      </c>
      <c r="T446" s="43" t="n">
        <f aca="false">S446-$M$2</f>
        <v>-0.00609477254954527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-0.0177288055419922</v>
      </c>
      <c r="C447" s="25" t="n">
        <f aca="false">IF(T446&gt;0,D446,C446)</f>
        <v>-0.0177230834960938</v>
      </c>
      <c r="D447" s="41" t="n">
        <f aca="false">(B447+C447)/2</f>
        <v>-0.017725944519043</v>
      </c>
      <c r="E447" s="15" t="n">
        <f aca="false">$C$2*(1+IF(E$3&lt;=$O$2,$D447,$D447-($D447-$I$427)*MIN(E$3-$O$2,$Q$2)/$Q$2))</f>
        <v>7347.40993499756</v>
      </c>
      <c r="F447" s="15" t="n">
        <f aca="false">E447*(1+IF(F$3&lt;=$O$2,$D447,$D447-($D447-$I$427)*MIN(F$3-$O$2,$Q$2)/$Q$2))</f>
        <v>7217.17015413113</v>
      </c>
      <c r="G447" s="15" t="n">
        <f aca="false">F447*(1+IF(G$3&lt;=$O$2,$D447,$D447-($D447-$I$427)*MIN(G$3-$O$2,$Q$2)/$Q$2))</f>
        <v>7089.23899639451</v>
      </c>
      <c r="H447" s="15" t="n">
        <f aca="false">G447*(1+IF(H$3&lt;=$O$2,$D447,$D447-($D447-$I$427)*MIN(H$3-$O$2,$Q$2)/$Q$2))</f>
        <v>6963.57553926218</v>
      </c>
      <c r="I447" s="15" t="n">
        <f aca="false">H447*(1+IF(I$3&lt;=$O$2,$D447,$D447-($D447-$I$427)*MIN(I$3-$O$2,$Q$2)/$Q$2))</f>
        <v>6840.13958559905</v>
      </c>
      <c r="J447" s="15" t="n">
        <f aca="false">I447*(1+IF(J$3&lt;=$O$2,$D447,$D447-($D447-$I$427)*MIN(J$3-$O$2,$Q$2)/$Q$2))</f>
        <v>6795.53670698727</v>
      </c>
      <c r="K447" s="15" t="n">
        <f aca="false">J447*(1+IF(K$3&lt;=$O$2,$D447,$D447-($D447-$I$427)*MIN(K$3-$O$2,$Q$2)/$Q$2))</f>
        <v>6827.36994535121</v>
      </c>
      <c r="L447" s="15" t="n">
        <f aca="false">K447*(1+IF(L$3&lt;=$O$2,$D447,$D447-($D447-$I$427)*MIN(L$3-$O$2,$Q$2)/$Q$2))</f>
        <v>6935.85427435047</v>
      </c>
      <c r="M447" s="15" t="n">
        <f aca="false">L447*(1+IF(M$3&lt;=$O$2,$D447,$D447-($D447-$I$427)*MIN(M$3-$O$2,$Q$2)/$Q$2))</f>
        <v>7123.77993570471</v>
      </c>
      <c r="N447" s="15" t="n">
        <f aca="false">M447*(1+IF(N$3&lt;=$O$2,$D447,$D447-($D447-$I$427)*MIN(N$3-$O$2,$Q$2)/$Q$2))</f>
        <v>7396.6207072422</v>
      </c>
      <c r="O447" s="15" t="n">
        <f aca="false">SUMPRODUCT(E447:N447,1/(1+$F$427)^$E$3:$N$3)*$E$2</f>
        <v>8069.53992167832</v>
      </c>
      <c r="P447" s="15" t="n">
        <f aca="false">N447*$E$2*(1+$I$427)/($F$427-$I$427)/(1+$F$427)^$N$3</f>
        <v>14066.357961337</v>
      </c>
      <c r="Q447" s="15" t="n">
        <f aca="false">O447+P447</f>
        <v>22135.8978830154</v>
      </c>
      <c r="R447" s="15" t="n">
        <f aca="false">Q447-$G$2+$I$2</f>
        <v>19019.6978830154</v>
      </c>
      <c r="S447" s="42" t="n">
        <f aca="false">R447/$K$2</f>
        <v>168.464994535123</v>
      </c>
      <c r="T447" s="43" t="n">
        <f aca="false">S447-$M$2</f>
        <v>-0.00267596974893536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-0.017725944519043</v>
      </c>
      <c r="C448" s="25" t="n">
        <f aca="false">IF(T447&gt;0,D447,C447)</f>
        <v>-0.0177230834960938</v>
      </c>
      <c r="D448" s="41" t="n">
        <f aca="false">(B448+C448)/2</f>
        <v>-0.0177245140075684</v>
      </c>
      <c r="E448" s="15" t="n">
        <f aca="false">$C$2*(1+IF(E$3&lt;=$O$2,$D448,$D448-($D448-$I$427)*MIN(E$3-$O$2,$Q$2)/$Q$2))</f>
        <v>7347.42063522339</v>
      </c>
      <c r="F448" s="15" t="n">
        <f aca="false">E448*(1+IF(F$3&lt;=$O$2,$D448,$D448-($D448-$I$427)*MIN(F$3-$O$2,$Q$2)/$Q$2))</f>
        <v>7217.19117525488</v>
      </c>
      <c r="G448" s="15" t="n">
        <f aca="false">F448*(1+IF(G$3&lt;=$O$2,$D448,$D448-($D448-$I$427)*MIN(G$3-$O$2,$Q$2)/$Q$2))</f>
        <v>7089.26996917377</v>
      </c>
      <c r="H448" s="15" t="n">
        <f aca="false">G448*(1+IF(H$3&lt;=$O$2,$D448,$D448-($D448-$I$427)*MIN(H$3-$O$2,$Q$2)/$Q$2))</f>
        <v>6963.61610430172</v>
      </c>
      <c r="I448" s="15" t="n">
        <f aca="false">H448*(1+IF(I$3&lt;=$O$2,$D448,$D448-($D448-$I$427)*MIN(I$3-$O$2,$Q$2)/$Q$2))</f>
        <v>6840.18939311769</v>
      </c>
      <c r="J448" s="15" t="n">
        <f aca="false">I448*(1+IF(J$3&lt;=$O$2,$D448,$D448-($D448-$I$427)*MIN(J$3-$O$2,$Q$2)/$Q$2))</f>
        <v>6795.59401769879</v>
      </c>
      <c r="K448" s="15" t="n">
        <f aca="false">J448*(1+IF(K$3&lt;=$O$2,$D448,$D448-($D448-$I$427)*MIN(K$3-$O$2,$Q$2)/$Q$2))</f>
        <v>6827.43335723606</v>
      </c>
      <c r="L448" s="15" t="n">
        <f aca="false">K448*(1+IF(L$3&lt;=$O$2,$D448,$D448-($D448-$I$427)*MIN(L$3-$O$2,$Q$2)/$Q$2))</f>
        <v>6935.92260051492</v>
      </c>
      <c r="M448" s="15" t="n">
        <f aca="false">L448*(1+IF(M$3&lt;=$O$2,$D448,$D448-($D448-$I$427)*MIN(M$3-$O$2,$Q$2)/$Q$2))</f>
        <v>7123.85209753705</v>
      </c>
      <c r="N448" s="15" t="n">
        <f aca="false">M448*(1+IF(N$3&lt;=$O$2,$D448,$D448-($D448-$I$427)*MIN(N$3-$O$2,$Q$2)/$Q$2))</f>
        <v>7396.69563287272</v>
      </c>
      <c r="O448" s="15" t="n">
        <f aca="false">SUMPRODUCT(E448:N448,1/(1+$F$427)^$E$3:$N$3)*$E$2</f>
        <v>8069.5904273317</v>
      </c>
      <c r="P448" s="15" t="n">
        <f aca="false">N448*$E$2*(1+$I$427)/($F$427-$I$427)/(1+$F$427)^$N$3</f>
        <v>14066.5004494787</v>
      </c>
      <c r="Q448" s="15" t="n">
        <f aca="false">O448+P448</f>
        <v>22136.0908768104</v>
      </c>
      <c r="R448" s="15" t="n">
        <f aca="false">Q448-$G$2+$I$2</f>
        <v>19019.8908768104</v>
      </c>
      <c r="S448" s="42" t="n">
        <f aca="false">R448/$K$2</f>
        <v>168.466703957577</v>
      </c>
      <c r="T448" s="43" t="n">
        <f aca="false">S448-$M$2</f>
        <v>-0.00096654729486545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-0.0177245140075684</v>
      </c>
      <c r="C449" s="25" t="n">
        <f aca="false">IF(T448&gt;0,D448,C448)</f>
        <v>-0.0177230834960938</v>
      </c>
      <c r="D449" s="41" t="n">
        <f aca="false">(B449+C449)/2</f>
        <v>-0.0177237987518311</v>
      </c>
      <c r="E449" s="15" t="n">
        <f aca="false">$C$2*(1+IF(E$3&lt;=$O$2,$D449,$D449-($D449-$I$427)*MIN(E$3-$O$2,$Q$2)/$Q$2))</f>
        <v>7347.4259853363</v>
      </c>
      <c r="F449" s="15" t="n">
        <f aca="false">E449*(1+IF(F$3&lt;=$O$2,$D449,$D449-($D449-$I$427)*MIN(F$3-$O$2,$Q$2)/$Q$2))</f>
        <v>7217.20168582823</v>
      </c>
      <c r="G449" s="15" t="n">
        <f aca="false">F449*(1+IF(G$3&lt;=$O$2,$D449,$D449-($D449-$I$427)*MIN(G$3-$O$2,$Q$2)/$Q$2))</f>
        <v>7089.28545559723</v>
      </c>
      <c r="H449" s="15" t="n">
        <f aca="false">G449*(1+IF(H$3&lt;=$O$2,$D449,$D449-($D449-$I$427)*MIN(H$3-$O$2,$Q$2)/$Q$2))</f>
        <v>6963.63638688795</v>
      </c>
      <c r="I449" s="15" t="n">
        <f aca="false">H449*(1+IF(I$3&lt;=$O$2,$D449,$D449-($D449-$I$427)*MIN(I$3-$O$2,$Q$2)/$Q$2))</f>
        <v>6840.21429698582</v>
      </c>
      <c r="J449" s="15" t="n">
        <f aca="false">I449*(1+IF(J$3&lt;=$O$2,$D449,$D449-($D449-$I$427)*MIN(J$3-$O$2,$Q$2)/$Q$2))</f>
        <v>6795.62267320539</v>
      </c>
      <c r="K449" s="15" t="n">
        <f aca="false">J449*(1+IF(K$3&lt;=$O$2,$D449,$D449-($D449-$I$427)*MIN(K$3-$O$2,$Q$2)/$Q$2))</f>
        <v>6827.46506336693</v>
      </c>
      <c r="L449" s="15" t="n">
        <f aca="false">K449*(1+IF(L$3&lt;=$O$2,$D449,$D449-($D449-$I$427)*MIN(L$3-$O$2,$Q$2)/$Q$2))</f>
        <v>6935.95676381579</v>
      </c>
      <c r="M449" s="15" t="n">
        <f aca="false">L449*(1+IF(M$3&lt;=$O$2,$D449,$D449-($D449-$I$427)*MIN(M$3-$O$2,$Q$2)/$Q$2))</f>
        <v>7123.88817869246</v>
      </c>
      <c r="N449" s="15" t="n">
        <f aca="false">M449*(1+IF(N$3&lt;=$O$2,$D449,$D449-($D449-$I$427)*MIN(N$3-$O$2,$Q$2)/$Q$2))</f>
        <v>7396.73309593638</v>
      </c>
      <c r="O449" s="15" t="n">
        <f aca="false">SUMPRODUCT(E449:N449,1/(1+$F$427)^$E$3:$N$3)*$E$2</f>
        <v>8069.61568028025</v>
      </c>
      <c r="P449" s="15" t="n">
        <f aca="false">N449*$E$2*(1+$I$427)/($F$427-$I$427)/(1+$F$427)^$N$3</f>
        <v>14066.571694022</v>
      </c>
      <c r="Q449" s="15" t="n">
        <f aca="false">O449+P449</f>
        <v>22136.1873743022</v>
      </c>
      <c r="R449" s="15" t="n">
        <f aca="false">Q449-$G$2+$I$2</f>
        <v>19019.9873743022</v>
      </c>
      <c r="S449" s="42" t="n">
        <f aca="false">R449/$K$2</f>
        <v>168.467558674067</v>
      </c>
      <c r="T449" s="43" t="n">
        <f aca="false">S449-$M$2</f>
        <v>-0.000111830804286228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-0.0177237987518311</v>
      </c>
      <c r="C450" s="25" t="n">
        <f aca="false">IF(T449&gt;0,D449,C449)</f>
        <v>-0.0177230834960938</v>
      </c>
      <c r="D450" s="41" t="n">
        <f aca="false">(B450+C450)/2</f>
        <v>-0.0177234411239624</v>
      </c>
      <c r="E450" s="15" t="n">
        <f aca="false">$C$2*(1+IF(E$3&lt;=$O$2,$D450,$D450-($D450-$I$427)*MIN(E$3-$O$2,$Q$2)/$Q$2))</f>
        <v>7347.42866039276</v>
      </c>
      <c r="F450" s="15" t="n">
        <f aca="false">E450*(1+IF(F$3&lt;=$O$2,$D450,$D450-($D450-$I$427)*MIN(F$3-$O$2,$Q$2)/$Q$2))</f>
        <v>7217.20694111778</v>
      </c>
      <c r="G450" s="15" t="n">
        <f aca="false">F450*(1+IF(G$3&lt;=$O$2,$D450,$D450-($D450-$I$427)*MIN(G$3-$O$2,$Q$2)/$Q$2))</f>
        <v>7089.29319881742</v>
      </c>
      <c r="H450" s="15" t="n">
        <f aca="false">G450*(1+IF(H$3&lt;=$O$2,$D450,$D450-($D450-$I$427)*MIN(H$3-$O$2,$Q$2)/$Q$2))</f>
        <v>6963.64652819767</v>
      </c>
      <c r="I450" s="15" t="n">
        <f aca="false">H450*(1+IF(I$3&lt;=$O$2,$D450,$D450-($D450-$I$427)*MIN(I$3-$O$2,$Q$2)/$Q$2))</f>
        <v>6840.22674894708</v>
      </c>
      <c r="J450" s="15" t="n">
        <f aca="false">I450*(1+IF(J$3&lt;=$O$2,$D450,$D450-($D450-$I$427)*MIN(J$3-$O$2,$Q$2)/$Q$2))</f>
        <v>6795.6370009964</v>
      </c>
      <c r="K450" s="15" t="n">
        <f aca="false">J450*(1+IF(K$3&lt;=$O$2,$D450,$D450-($D450-$I$427)*MIN(K$3-$O$2,$Q$2)/$Q$2))</f>
        <v>6827.48091647948</v>
      </c>
      <c r="L450" s="15" t="n">
        <f aca="false">K450*(1+IF(L$3&lt;=$O$2,$D450,$D450-($D450-$I$427)*MIN(L$3-$O$2,$Q$2)/$Q$2))</f>
        <v>6935.97384552089</v>
      </c>
      <c r="M450" s="15" t="n">
        <f aca="false">L450*(1+IF(M$3&lt;=$O$2,$D450,$D450-($D450-$I$427)*MIN(M$3-$O$2,$Q$2)/$Q$2))</f>
        <v>7123.90621932997</v>
      </c>
      <c r="N450" s="15" t="n">
        <f aca="false">M450*(1+IF(N$3&lt;=$O$2,$D450,$D450-($D450-$I$427)*MIN(N$3-$O$2,$Q$2)/$Q$2))</f>
        <v>7396.75182753031</v>
      </c>
      <c r="O450" s="15" t="n">
        <f aca="false">SUMPRODUCT(E450:N450,1/(1+$F$427)^$E$3:$N$3)*$E$2</f>
        <v>8069.62830678498</v>
      </c>
      <c r="P450" s="15" t="n">
        <f aca="false">N450*$E$2*(1+$I$427)/($F$427-$I$427)/(1+$F$427)^$N$3</f>
        <v>14066.6073164117</v>
      </c>
      <c r="Q450" s="15" t="n">
        <f aca="false">O450+P450</f>
        <v>22136.2356231967</v>
      </c>
      <c r="R450" s="15" t="n">
        <f aca="false">Q450-$G$2+$I$2</f>
        <v>19020.0356231967</v>
      </c>
      <c r="S450" s="42" t="n">
        <f aca="false">R450/$K$2</f>
        <v>168.467986033628</v>
      </c>
      <c r="T450" s="43" t="n">
        <f aca="false">S450-$M$2</f>
        <v>0.000315528756829053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-0.0177237987518311</v>
      </c>
      <c r="C451" s="25" t="n">
        <f aca="false">IF(T450&gt;0,D450,C450)</f>
        <v>-0.0177234411239624</v>
      </c>
      <c r="D451" s="41" t="n">
        <f aca="false">(B451+C451)/2</f>
        <v>-0.0177236199378967</v>
      </c>
      <c r="E451" s="15" t="n">
        <f aca="false">$C$2*(1+IF(E$3&lt;=$O$2,$D451,$D451-($D451-$I$427)*MIN(E$3-$O$2,$Q$2)/$Q$2))</f>
        <v>7347.42732286453</v>
      </c>
      <c r="F451" s="15" t="n">
        <f aca="false">E451*(1+IF(F$3&lt;=$O$2,$D451,$D451-($D451-$I$427)*MIN(F$3-$O$2,$Q$2)/$Q$2))</f>
        <v>7217.20431347276</v>
      </c>
      <c r="G451" s="15" t="n">
        <f aca="false">F451*(1+IF(G$3&lt;=$O$2,$D451,$D451-($D451-$I$427)*MIN(G$3-$O$2,$Q$2)/$Q$2))</f>
        <v>7089.28932720662</v>
      </c>
      <c r="H451" s="15" t="n">
        <f aca="false">G451*(1+IF(H$3&lt;=$O$2,$D451,$D451-($D451-$I$427)*MIN(H$3-$O$2,$Q$2)/$Q$2))</f>
        <v>6963.64145754143</v>
      </c>
      <c r="I451" s="15" t="n">
        <f aca="false">H451*(1+IF(I$3&lt;=$O$2,$D451,$D451-($D451-$I$427)*MIN(I$3-$O$2,$Q$2)/$Q$2))</f>
        <v>6840.22052296418</v>
      </c>
      <c r="J451" s="15" t="n">
        <f aca="false">I451*(1+IF(J$3&lt;=$O$2,$D451,$D451-($D451-$I$427)*MIN(J$3-$O$2,$Q$2)/$Q$2))</f>
        <v>6795.62983709775</v>
      </c>
      <c r="K451" s="15" t="n">
        <f aca="false">J451*(1+IF(K$3&lt;=$O$2,$D451,$D451-($D451-$I$427)*MIN(K$3-$O$2,$Q$2)/$Q$2))</f>
        <v>6827.47298991928</v>
      </c>
      <c r="L451" s="15" t="n">
        <f aca="false">K451*(1+IF(L$3&lt;=$O$2,$D451,$D451-($D451-$I$427)*MIN(L$3-$O$2,$Q$2)/$Q$2))</f>
        <v>6935.96530466379</v>
      </c>
      <c r="M451" s="15" t="n">
        <f aca="false">L451*(1+IF(M$3&lt;=$O$2,$D451,$D451-($D451-$I$427)*MIN(M$3-$O$2,$Q$2)/$Q$2))</f>
        <v>7123.89719900623</v>
      </c>
      <c r="N451" s="15" t="n">
        <f aca="false">M451*(1+IF(N$3&lt;=$O$2,$D451,$D451-($D451-$I$427)*MIN(N$3-$O$2,$Q$2)/$Q$2))</f>
        <v>7396.74246172817</v>
      </c>
      <c r="O451" s="15" t="n">
        <f aca="false">SUMPRODUCT(E451:N451,1/(1+$F$427)^$E$3:$N$3)*$E$2</f>
        <v>8069.62199353008</v>
      </c>
      <c r="P451" s="15" t="n">
        <f aca="false">N451*$E$2*(1+$I$427)/($F$427-$I$427)/(1+$F$427)^$N$3</f>
        <v>14066.589505207</v>
      </c>
      <c r="Q451" s="15" t="n">
        <f aca="false">O451+P451</f>
        <v>22136.211498737</v>
      </c>
      <c r="R451" s="15" t="n">
        <f aca="false">Q451-$G$2+$I$2</f>
        <v>19020.011498737</v>
      </c>
      <c r="S451" s="42" t="n">
        <f aca="false">R451/$K$2</f>
        <v>168.467772353738</v>
      </c>
      <c r="T451" s="43" t="n">
        <f aca="false">S451-$M$2</f>
        <v>0.000101848866592036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-0.0177237987518311</v>
      </c>
      <c r="C452" s="25" t="n">
        <f aca="false">IF(T451&gt;0,D451,C451)</f>
        <v>-0.0177236199378967</v>
      </c>
      <c r="D452" s="41" t="n">
        <f aca="false">(B452+C452)/2</f>
        <v>-0.0177237093448639</v>
      </c>
      <c r="E452" s="15" t="n">
        <f aca="false">$C$2*(1+IF(E$3&lt;=$O$2,$D452,$D452-($D452-$I$427)*MIN(E$3-$O$2,$Q$2)/$Q$2))</f>
        <v>7347.42665410042</v>
      </c>
      <c r="F452" s="15" t="n">
        <f aca="false">E452*(1+IF(F$3&lt;=$O$2,$D452,$D452-($D452-$I$427)*MIN(F$3-$O$2,$Q$2)/$Q$2))</f>
        <v>7217.20299965044</v>
      </c>
      <c r="G452" s="15" t="n">
        <f aca="false">F452*(1+IF(G$3&lt;=$O$2,$D452,$D452-($D452-$I$427)*MIN(G$3-$O$2,$Q$2)/$Q$2))</f>
        <v>7089.28739140175</v>
      </c>
      <c r="H452" s="15" t="n">
        <f aca="false">G452*(1+IF(H$3&lt;=$O$2,$D452,$D452-($D452-$I$427)*MIN(H$3-$O$2,$Q$2)/$Q$2))</f>
        <v>6963.63892221434</v>
      </c>
      <c r="I452" s="15" t="n">
        <f aca="false">H452*(1+IF(I$3&lt;=$O$2,$D452,$D452-($D452-$I$427)*MIN(I$3-$O$2,$Q$2)/$Q$2))</f>
        <v>6840.21740997443</v>
      </c>
      <c r="J452" s="15" t="n">
        <f aca="false">I452*(1+IF(J$3&lt;=$O$2,$D452,$D452-($D452-$I$427)*MIN(J$3-$O$2,$Q$2)/$Q$2))</f>
        <v>6795.62625515078</v>
      </c>
      <c r="K452" s="15" t="n">
        <f aca="false">J452*(1+IF(K$3&lt;=$O$2,$D452,$D452-($D452-$I$427)*MIN(K$3-$O$2,$Q$2)/$Q$2))</f>
        <v>6827.46902664212</v>
      </c>
      <c r="L452" s="15" t="n">
        <f aca="false">K452*(1+IF(L$3&lt;=$O$2,$D452,$D452-($D452-$I$427)*MIN(L$3-$O$2,$Q$2)/$Q$2))</f>
        <v>6935.96103423865</v>
      </c>
      <c r="M452" s="15" t="n">
        <f aca="false">L452*(1+IF(M$3&lt;=$O$2,$D452,$D452-($D452-$I$427)*MIN(M$3-$O$2,$Q$2)/$Q$2))</f>
        <v>7123.8926888481</v>
      </c>
      <c r="N452" s="15" t="n">
        <f aca="false">M452*(1+IF(N$3&lt;=$O$2,$D452,$D452-($D452-$I$427)*MIN(N$3-$O$2,$Q$2)/$Q$2))</f>
        <v>7396.73777883098</v>
      </c>
      <c r="O452" s="15" t="n">
        <f aca="false">SUMPRODUCT(E452:N452,1/(1+$F$427)^$E$3:$N$3)*$E$2</f>
        <v>8069.61883690453</v>
      </c>
      <c r="P452" s="15" t="n">
        <f aca="false">N452*$E$2*(1+$I$427)/($F$427-$I$427)/(1+$F$427)^$N$3</f>
        <v>14066.580599612</v>
      </c>
      <c r="Q452" s="15" t="n">
        <f aca="false">O452+P452</f>
        <v>22136.1994365165</v>
      </c>
      <c r="R452" s="15" t="n">
        <f aca="false">Q452-$G$2+$I$2</f>
        <v>19019.9994365165</v>
      </c>
      <c r="S452" s="42" t="n">
        <f aca="false">R452/$K$2</f>
        <v>168.467665513875</v>
      </c>
      <c r="T452" s="43" t="n">
        <f aca="false">S452-$M$2</f>
        <v>-4.99099621720234E-006</v>
      </c>
    </row>
    <row r="454" customFormat="false" ht="15" hidden="false" customHeight="false" outlineLevel="0" collapsed="false">
      <c r="A454" s="38" t="s">
        <v>200</v>
      </c>
      <c r="E454" s="5" t="s">
        <v>11</v>
      </c>
      <c r="F454" s="12" t="n">
        <f aca="false">Sensitivity!$B$13</f>
        <v>0.0861268672746673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165</v>
      </c>
      <c r="B455" s="28" t="s">
        <v>166</v>
      </c>
      <c r="C455" s="28" t="s">
        <v>167</v>
      </c>
      <c r="D455" s="28" t="s">
        <v>168</v>
      </c>
      <c r="E455" s="28" t="s">
        <v>169</v>
      </c>
      <c r="F455" s="28" t="s">
        <v>170</v>
      </c>
      <c r="G455" s="28" t="s">
        <v>171</v>
      </c>
      <c r="H455" s="28" t="s">
        <v>172</v>
      </c>
      <c r="I455" s="28" t="s">
        <v>173</v>
      </c>
      <c r="J455" s="28" t="s">
        <v>174</v>
      </c>
      <c r="K455" s="28" t="s">
        <v>175</v>
      </c>
      <c r="L455" s="28" t="s">
        <v>176</v>
      </c>
      <c r="M455" s="28" t="s">
        <v>177</v>
      </c>
      <c r="N455" s="28" t="s">
        <v>178</v>
      </c>
      <c r="O455" s="28" t="s">
        <v>179</v>
      </c>
      <c r="P455" s="28" t="s">
        <v>180</v>
      </c>
      <c r="Q455" s="28" t="s">
        <v>181</v>
      </c>
      <c r="R455" s="28" t="s">
        <v>182</v>
      </c>
      <c r="S455" s="28" t="s">
        <v>183</v>
      </c>
      <c r="T455" s="28" t="s">
        <v>184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9350</v>
      </c>
      <c r="F456" s="15" t="n">
        <f aca="false">E456*(1+IF(F$3&lt;=$O$2,$D456,$D456-($D456-$I$454)*MIN(F$3-$O$2,$Q$2)/$Q$2))</f>
        <v>11687.5</v>
      </c>
      <c r="G456" s="15" t="n">
        <f aca="false">F456*(1+IF(G$3&lt;=$O$2,$D456,$D456-($D456-$I$454)*MIN(G$3-$O$2,$Q$2)/$Q$2))</f>
        <v>14609.375</v>
      </c>
      <c r="H456" s="15" t="n">
        <f aca="false">G456*(1+IF(H$3&lt;=$O$2,$D456,$D456-($D456-$I$454)*MIN(H$3-$O$2,$Q$2)/$Q$2))</f>
        <v>18261.71875</v>
      </c>
      <c r="I456" s="15" t="n">
        <f aca="false">H456*(1+IF(I$3&lt;=$O$2,$D456,$D456-($D456-$I$454)*MIN(I$3-$O$2,$Q$2)/$Q$2))</f>
        <v>22827.1484375</v>
      </c>
      <c r="J456" s="15" t="n">
        <f aca="false">I456*(1+IF(J$3&lt;=$O$2,$D456,$D456-($D456-$I$454)*MIN(J$3-$O$2,$Q$2)/$Q$2))</f>
        <v>27476.1254882813</v>
      </c>
      <c r="K456" s="15" t="n">
        <f aca="false">J456*(1+IF(K$3&lt;=$O$2,$D456,$D456-($D456-$I$454)*MIN(K$3-$O$2,$Q$2)/$Q$2))</f>
        <v>31798.6695500977</v>
      </c>
      <c r="L456" s="15" t="n">
        <f aca="false">K456*(1+IF(L$3&lt;=$O$2,$D456,$D456-($D456-$I$454)*MIN(L$3-$O$2,$Q$2)/$Q$2))</f>
        <v>35327.6858967675</v>
      </c>
      <c r="M456" s="15" t="n">
        <f aca="false">L456*(1+IF(M$3&lt;=$O$2,$D456,$D456-($D456-$I$454)*MIN(M$3-$O$2,$Q$2)/$Q$2))</f>
        <v>37611.2675131345</v>
      </c>
      <c r="N456" s="15" t="n">
        <f aca="false">M456*(1+IF(N$3&lt;=$O$2,$D456,$D456-($D456-$I$454)*MIN(N$3-$O$2,$Q$2)/$Q$2))</f>
        <v>38299.5537086249</v>
      </c>
      <c r="O456" s="15" t="n">
        <f aca="false">SUMPRODUCT(E456:N456,1/(1+$F$454)^$E$3:$N$3)*$E$2</f>
        <v>24915.7353090003</v>
      </c>
      <c r="P456" s="15" t="n">
        <f aca="false">N456*$E$2*(1+$I$454)/($F$454-$I$454)/(1+$F$454)^$N$3</f>
        <v>43069.5665837675</v>
      </c>
      <c r="Q456" s="15" t="n">
        <f aca="false">O456+P456</f>
        <v>67985.3018927678</v>
      </c>
      <c r="R456" s="15" t="n">
        <f aca="false">Q456-$G$2+$I$2</f>
        <v>64869.1018927678</v>
      </c>
      <c r="S456" s="42" t="n">
        <f aca="false">R456/$K$2</f>
        <v>574.571318802195</v>
      </c>
      <c r="T456" s="43" t="n">
        <f aca="false">S456-$M$2</f>
        <v>406.103648297323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6545</v>
      </c>
      <c r="F457" s="15" t="n">
        <f aca="false">E457*(1+IF(F$3&lt;=$O$2,$D457,$D457-($D457-$I$454)*MIN(F$3-$O$2,$Q$2)/$Q$2))</f>
        <v>5726.875</v>
      </c>
      <c r="G457" s="15" t="n">
        <f aca="false">F457*(1+IF(G$3&lt;=$O$2,$D457,$D457-($D457-$I$454)*MIN(G$3-$O$2,$Q$2)/$Q$2))</f>
        <v>5011.015625</v>
      </c>
      <c r="H457" s="15" t="n">
        <f aca="false">G457*(1+IF(H$3&lt;=$O$2,$D457,$D457-($D457-$I$454)*MIN(H$3-$O$2,$Q$2)/$Q$2))</f>
        <v>4384.638671875</v>
      </c>
      <c r="I457" s="15" t="n">
        <f aca="false">H457*(1+IF(I$3&lt;=$O$2,$D457,$D457-($D457-$I$454)*MIN(I$3-$O$2,$Q$2)/$Q$2))</f>
        <v>3836.55883789063</v>
      </c>
      <c r="J457" s="15" t="n">
        <f aca="false">I457*(1+IF(J$3&lt;=$O$2,$D457,$D457-($D457-$I$454)*MIN(J$3-$O$2,$Q$2)/$Q$2))</f>
        <v>3466.94475944824</v>
      </c>
      <c r="K457" s="15" t="n">
        <f aca="false">J457*(1+IF(K$3&lt;=$O$2,$D457,$D457-($D457-$I$454)*MIN(K$3-$O$2,$Q$2)/$Q$2))</f>
        <v>3232.30193812879</v>
      </c>
      <c r="L457" s="15" t="n">
        <f aca="false">K457*(1+IF(L$3&lt;=$O$2,$D457,$D457-($D457-$I$454)*MIN(L$3-$O$2,$Q$2)/$Q$2))</f>
        <v>3106.177516503</v>
      </c>
      <c r="M457" s="15" t="n">
        <f aca="false">L457*(1+IF(M$3&lt;=$O$2,$D457,$D457-($D457-$I$454)*MIN(M$3-$O$2,$Q$2)/$Q$2))</f>
        <v>3073.99751743203</v>
      </c>
      <c r="N457" s="15" t="n">
        <f aca="false">M457*(1+IF(N$3&lt;=$O$2,$D457,$D457-($D457-$I$454)*MIN(N$3-$O$2,$Q$2)/$Q$2))</f>
        <v>3130.25167200104</v>
      </c>
      <c r="O457" s="15" t="n">
        <f aca="false">SUMPRODUCT(E457:N457,1/(1+$F$454)^$E$3:$N$3)*$E$2</f>
        <v>4935.31925510317</v>
      </c>
      <c r="P457" s="15" t="n">
        <f aca="false">N457*$E$2*(1+$I$454)/($F$454-$I$454)/(1+$F$454)^$N$3</f>
        <v>3520.10845444493</v>
      </c>
      <c r="Q457" s="15" t="n">
        <f aca="false">O457+P457</f>
        <v>8455.4277095481</v>
      </c>
      <c r="R457" s="15" t="n">
        <f aca="false">Q457-$G$2+$I$2</f>
        <v>5339.2277095481</v>
      </c>
      <c r="S457" s="42" t="n">
        <f aca="false">R457/$K$2</f>
        <v>47.2916537603906</v>
      </c>
      <c r="T457" s="43" t="n">
        <f aca="false">S457-$M$2</f>
        <v>-121.176016744481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7947.5</v>
      </c>
      <c r="F458" s="15" t="n">
        <f aca="false">E458*(1+IF(F$3&lt;=$O$2,$D458,$D458-($D458-$I$454)*MIN(F$3-$O$2,$Q$2)/$Q$2))</f>
        <v>8444.21875</v>
      </c>
      <c r="G458" s="15" t="n">
        <f aca="false">F458*(1+IF(G$3&lt;=$O$2,$D458,$D458-($D458-$I$454)*MIN(G$3-$O$2,$Q$2)/$Q$2))</f>
        <v>8971.982421875</v>
      </c>
      <c r="H458" s="15" t="n">
        <f aca="false">G458*(1+IF(H$3&lt;=$O$2,$D458,$D458-($D458-$I$454)*MIN(H$3-$O$2,$Q$2)/$Q$2))</f>
        <v>9532.73132324219</v>
      </c>
      <c r="I458" s="15" t="n">
        <f aca="false">H458*(1+IF(I$3&lt;=$O$2,$D458,$D458-($D458-$I$454)*MIN(I$3-$O$2,$Q$2)/$Q$2))</f>
        <v>10128.5270309448</v>
      </c>
      <c r="J458" s="15" t="n">
        <f aca="false">I458*(1+IF(J$3&lt;=$O$2,$D458,$D458-($D458-$I$454)*MIN(J$3-$O$2,$Q$2)/$Q$2))</f>
        <v>10672.0237914253</v>
      </c>
      <c r="K458" s="15" t="n">
        <f aca="false">J458*(1+IF(K$3&lt;=$O$2,$D458,$D458-($D458-$I$454)*MIN(K$3-$O$2,$Q$2)/$Q$2))</f>
        <v>11150.343897757</v>
      </c>
      <c r="L458" s="15" t="n">
        <f aca="false">K458*(1+IF(L$3&lt;=$O$2,$D458,$D458-($D458-$I$454)*MIN(L$3-$O$2,$Q$2)/$Q$2))</f>
        <v>11551.5332711983</v>
      </c>
      <c r="M458" s="15" t="n">
        <f aca="false">L458*(1+IF(M$3&lt;=$O$2,$D458,$D458-($D458-$I$454)*MIN(M$3-$O$2,$Q$2)/$Q$2))</f>
        <v>11865.0418841786</v>
      </c>
      <c r="N458" s="15" t="n">
        <f aca="false">M458*(1+IF(N$3&lt;=$O$2,$D458,$D458-($D458-$I$454)*MIN(N$3-$O$2,$Q$2)/$Q$2))</f>
        <v>12082.1721506591</v>
      </c>
      <c r="O458" s="15" t="n">
        <f aca="false">SUMPRODUCT(E458:N458,1/(1+$F$454)^$E$3:$N$3)*$E$2</f>
        <v>11067.7924770837</v>
      </c>
      <c r="P458" s="15" t="n">
        <f aca="false">N458*$E$2*(1+$I$454)/($F$454-$I$454)/(1+$F$454)^$N$3</f>
        <v>13586.9446907463</v>
      </c>
      <c r="Q458" s="15" t="n">
        <f aca="false">O458+P458</f>
        <v>24654.73716783</v>
      </c>
      <c r="R458" s="15" t="n">
        <f aca="false">Q458-$G$2+$I$2</f>
        <v>21538.53716783</v>
      </c>
      <c r="S458" s="42" t="n">
        <f aca="false">R458/$K$2</f>
        <v>190.775351353676</v>
      </c>
      <c r="T458" s="43" t="n">
        <f aca="false">S458-$M$2</f>
        <v>22.3076808488044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-0.125</v>
      </c>
      <c r="C459" s="25" t="n">
        <f aca="false">IF(T458&gt;0,D458,C458)</f>
        <v>0.0625</v>
      </c>
      <c r="D459" s="41" t="n">
        <f aca="false">(B459+C459)/2</f>
        <v>-0.03125</v>
      </c>
      <c r="E459" s="15" t="n">
        <f aca="false">$C$2*(1+IF(E$3&lt;=$O$2,$D459,$D459-($D459-$I$454)*MIN(E$3-$O$2,$Q$2)/$Q$2))</f>
        <v>7246.25</v>
      </c>
      <c r="F459" s="15" t="n">
        <f aca="false">E459*(1+IF(F$3&lt;=$O$2,$D459,$D459-($D459-$I$454)*MIN(F$3-$O$2,$Q$2)/$Q$2))</f>
        <v>7019.8046875</v>
      </c>
      <c r="G459" s="15" t="n">
        <f aca="false">F459*(1+IF(G$3&lt;=$O$2,$D459,$D459-($D459-$I$454)*MIN(G$3-$O$2,$Q$2)/$Q$2))</f>
        <v>6800.43579101563</v>
      </c>
      <c r="H459" s="15" t="n">
        <f aca="false">G459*(1+IF(H$3&lt;=$O$2,$D459,$D459-($D459-$I$454)*MIN(H$3-$O$2,$Q$2)/$Q$2))</f>
        <v>6587.92217254639</v>
      </c>
      <c r="I459" s="15" t="n">
        <f aca="false">H459*(1+IF(I$3&lt;=$O$2,$D459,$D459-($D459-$I$454)*MIN(I$3-$O$2,$Q$2)/$Q$2))</f>
        <v>6382.04960465431</v>
      </c>
      <c r="J459" s="15" t="n">
        <f aca="false">I459*(1+IF(J$3&lt;=$O$2,$D459,$D459-($D459-$I$454)*MIN(J$3-$O$2,$Q$2)/$Q$2))</f>
        <v>6245.85666609099</v>
      </c>
      <c r="K459" s="15" t="n">
        <f aca="false">J459*(1+IF(K$3&lt;=$O$2,$D459,$D459-($D459-$I$454)*MIN(K$3-$O$2,$Q$2)/$Q$2))</f>
        <v>6174.46652439757</v>
      </c>
      <c r="L459" s="15" t="n">
        <f aca="false">K459*(1+IF(L$3&lt;=$O$2,$D459,$D459-($D459-$I$454)*MIN(L$3-$O$2,$Q$2)/$Q$2))</f>
        <v>6165.08133528048</v>
      </c>
      <c r="M459" s="15" t="n">
        <f aca="false">L459*(1+IF(M$3&lt;=$O$2,$D459,$D459-($D459-$I$454)*MIN(M$3-$O$2,$Q$2)/$Q$2))</f>
        <v>6216.80636768349</v>
      </c>
      <c r="N459" s="15" t="n">
        <f aca="false">M459*(1+IF(N$3&lt;=$O$2,$D459,$D459-($D459-$I$454)*MIN(N$3-$O$2,$Q$2)/$Q$2))</f>
        <v>6330.5739242121</v>
      </c>
      <c r="O459" s="15" t="n">
        <f aca="false">SUMPRODUCT(E459:N459,1/(1+$F$454)^$E$3:$N$3)*$E$2</f>
        <v>7369.18501517237</v>
      </c>
      <c r="P459" s="15" t="n">
        <f aca="false">N459*$E$2*(1+$I$454)/($F$454-$I$454)/(1+$F$454)^$N$3</f>
        <v>7119.01442028852</v>
      </c>
      <c r="Q459" s="15" t="n">
        <f aca="false">O459+P459</f>
        <v>14488.1994354609</v>
      </c>
      <c r="R459" s="15" t="n">
        <f aca="false">Q459-$G$2+$I$2</f>
        <v>11371.9994354609</v>
      </c>
      <c r="S459" s="42" t="n">
        <f aca="false">R459/$K$2</f>
        <v>100.726301465553</v>
      </c>
      <c r="T459" s="43" t="n">
        <f aca="false">S459-$M$2</f>
        <v>-67.741369039319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-0.03125</v>
      </c>
      <c r="C460" s="25" t="n">
        <f aca="false">IF(T459&gt;0,D459,C459)</f>
        <v>0.0625</v>
      </c>
      <c r="D460" s="41" t="n">
        <f aca="false">(B460+C460)/2</f>
        <v>0.015625</v>
      </c>
      <c r="E460" s="15" t="n">
        <f aca="false">$C$2*(1+IF(E$3&lt;=$O$2,$D460,$D460-($D460-$I$454)*MIN(E$3-$O$2,$Q$2)/$Q$2))</f>
        <v>7596.875</v>
      </c>
      <c r="F460" s="15" t="n">
        <f aca="false">E460*(1+IF(F$3&lt;=$O$2,$D460,$D460-($D460-$I$454)*MIN(F$3-$O$2,$Q$2)/$Q$2))</f>
        <v>7715.576171875</v>
      </c>
      <c r="G460" s="15" t="n">
        <f aca="false">F460*(1+IF(G$3&lt;=$O$2,$D460,$D460-($D460-$I$454)*MIN(G$3-$O$2,$Q$2)/$Q$2))</f>
        <v>7836.13204956055</v>
      </c>
      <c r="H460" s="15" t="n">
        <f aca="false">G460*(1+IF(H$3&lt;=$O$2,$D460,$D460-($D460-$I$454)*MIN(H$3-$O$2,$Q$2)/$Q$2))</f>
        <v>7958.57161283493</v>
      </c>
      <c r="I460" s="15" t="n">
        <f aca="false">H460*(1+IF(I$3&lt;=$O$2,$D460,$D460-($D460-$I$454)*MIN(I$3-$O$2,$Q$2)/$Q$2))</f>
        <v>8082.92429428548</v>
      </c>
      <c r="J460" s="15" t="n">
        <f aca="false">I460*(1+IF(J$3&lt;=$O$2,$D460,$D460-($D460-$I$454)*MIN(J$3-$O$2,$Q$2)/$Q$2))</f>
        <v>8213.54435088113</v>
      </c>
      <c r="K460" s="15" t="n">
        <f aca="false">J460*(1+IF(K$3&lt;=$O$2,$D460,$D460-($D460-$I$454)*MIN(K$3-$O$2,$Q$2)/$Q$2))</f>
        <v>8350.66947381909</v>
      </c>
      <c r="L460" s="15" t="n">
        <f aca="false">K460*(1+IF(L$3&lt;=$O$2,$D460,$D460-($D460-$I$454)*MIN(L$3-$O$2,$Q$2)/$Q$2))</f>
        <v>8494.55150885299</v>
      </c>
      <c r="M460" s="15" t="n">
        <f aca="false">L460*(1+IF(M$3&lt;=$O$2,$D460,$D460-($D460-$I$454)*MIN(M$3-$O$2,$Q$2)/$Q$2))</f>
        <v>8645.45721640777</v>
      </c>
      <c r="N460" s="15" t="n">
        <f aca="false">M460*(1+IF(N$3&lt;=$O$2,$D460,$D460-($D460-$I$454)*MIN(N$3-$O$2,$Q$2)/$Q$2))</f>
        <v>8803.66908346803</v>
      </c>
      <c r="O460" s="15" t="n">
        <f aca="false">SUMPRODUCT(E460:N460,1/(1+$F$454)^$E$3:$N$3)*$E$2</f>
        <v>9027.41313734642</v>
      </c>
      <c r="P460" s="15" t="n">
        <f aca="false">N460*$E$2*(1+$I$454)/($F$454-$I$454)/(1+$F$454)^$N$3</f>
        <v>9900.12089061221</v>
      </c>
      <c r="Q460" s="15" t="n">
        <f aca="false">O460+P460</f>
        <v>18927.5340279586</v>
      </c>
      <c r="R460" s="15" t="n">
        <f aca="false">Q460-$G$2+$I$2</f>
        <v>15811.3340279586</v>
      </c>
      <c r="S460" s="42" t="n">
        <f aca="false">R460/$K$2</f>
        <v>140.047245597508</v>
      </c>
      <c r="T460" s="43" t="n">
        <f aca="false">S460-$M$2</f>
        <v>-28.4204249073639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0.015625</v>
      </c>
      <c r="C461" s="25" t="n">
        <f aca="false">IF(T460&gt;0,D460,C460)</f>
        <v>0.0625</v>
      </c>
      <c r="D461" s="41" t="n">
        <f aca="false">(B461+C461)/2</f>
        <v>0.0390625</v>
      </c>
      <c r="E461" s="15" t="n">
        <f aca="false">$C$2*(1+IF(E$3&lt;=$O$2,$D461,$D461-($D461-$I$454)*MIN(E$3-$O$2,$Q$2)/$Q$2))</f>
        <v>7772.1875</v>
      </c>
      <c r="F461" s="15" t="n">
        <f aca="false">E461*(1+IF(F$3&lt;=$O$2,$D461,$D461-($D461-$I$454)*MIN(F$3-$O$2,$Q$2)/$Q$2))</f>
        <v>8075.78857421875</v>
      </c>
      <c r="G461" s="15" t="n">
        <f aca="false">F461*(1+IF(G$3&lt;=$O$2,$D461,$D461-($D461-$I$454)*MIN(G$3-$O$2,$Q$2)/$Q$2))</f>
        <v>8391.24906539917</v>
      </c>
      <c r="H461" s="15" t="n">
        <f aca="false">G461*(1+IF(H$3&lt;=$O$2,$D461,$D461-($D461-$I$454)*MIN(H$3-$O$2,$Q$2)/$Q$2))</f>
        <v>8719.03223201633</v>
      </c>
      <c r="I461" s="15" t="n">
        <f aca="false">H461*(1+IF(I$3&lt;=$O$2,$D461,$D461-($D461-$I$454)*MIN(I$3-$O$2,$Q$2)/$Q$2))</f>
        <v>9059.61942857946</v>
      </c>
      <c r="J461" s="15" t="n">
        <f aca="false">I461*(1+IF(J$3&lt;=$O$2,$D461,$D461-($D461-$I$454)*MIN(J$3-$O$2,$Q$2)/$Q$2))</f>
        <v>9375.89074283117</v>
      </c>
      <c r="K461" s="15" t="n">
        <f aca="false">J461*(1+IF(K$3&lt;=$O$2,$D461,$D461-($D461-$I$454)*MIN(K$3-$O$2,$Q$2)/$Q$2))</f>
        <v>9664.2697023538</v>
      </c>
      <c r="L461" s="15" t="n">
        <f aca="false">K461*(1+IF(L$3&lt;=$O$2,$D461,$D461-($D461-$I$454)*MIN(L$3-$O$2,$Q$2)/$Q$2))</f>
        <v>9921.38759778493</v>
      </c>
      <c r="M461" s="15" t="n">
        <f aca="false">L461*(1+IF(M$3&lt;=$O$2,$D461,$D461-($D461-$I$454)*MIN(M$3-$O$2,$Q$2)/$Q$2))</f>
        <v>10144.1475528242</v>
      </c>
      <c r="N461" s="15" t="n">
        <f aca="false">M461*(1+IF(N$3&lt;=$O$2,$D461,$D461-($D461-$I$454)*MIN(N$3-$O$2,$Q$2)/$Q$2))</f>
        <v>10329.7854530409</v>
      </c>
      <c r="O461" s="15" t="n">
        <f aca="false">SUMPRODUCT(E461:N461,1/(1+$F$454)^$E$3:$N$3)*$E$2</f>
        <v>9995.05849626142</v>
      </c>
      <c r="P461" s="15" t="n">
        <f aca="false">N461*$E$2*(1+$I$454)/($F$454-$I$454)/(1+$F$454)^$N$3</f>
        <v>11616.3072225457</v>
      </c>
      <c r="Q461" s="15" t="n">
        <f aca="false">O461+P461</f>
        <v>21611.3657188071</v>
      </c>
      <c r="R461" s="15" t="n">
        <f aca="false">Q461-$G$2+$I$2</f>
        <v>18495.1657188071</v>
      </c>
      <c r="S461" s="42" t="n">
        <f aca="false">R461/$K$2</f>
        <v>163.81900548102</v>
      </c>
      <c r="T461" s="43" t="n">
        <f aca="false">S461-$M$2</f>
        <v>-4.64866502385178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0.0390625</v>
      </c>
      <c r="C462" s="25" t="n">
        <f aca="false">IF(T461&gt;0,D461,C461)</f>
        <v>0.0625</v>
      </c>
      <c r="D462" s="41" t="n">
        <f aca="false">(B462+C462)/2</f>
        <v>0.05078125</v>
      </c>
      <c r="E462" s="15" t="n">
        <f aca="false">$C$2*(1+IF(E$3&lt;=$O$2,$D462,$D462-($D462-$I$454)*MIN(E$3-$O$2,$Q$2)/$Q$2))</f>
        <v>7859.84375</v>
      </c>
      <c r="F462" s="15" t="n">
        <f aca="false">E462*(1+IF(F$3&lt;=$O$2,$D462,$D462-($D462-$I$454)*MIN(F$3-$O$2,$Q$2)/$Q$2))</f>
        <v>8258.97644042969</v>
      </c>
      <c r="G462" s="15" t="n">
        <f aca="false">F462*(1+IF(G$3&lt;=$O$2,$D462,$D462-($D462-$I$454)*MIN(G$3-$O$2,$Q$2)/$Q$2))</f>
        <v>8678.37758779526</v>
      </c>
      <c r="H462" s="15" t="n">
        <f aca="false">G462*(1+IF(H$3&lt;=$O$2,$D462,$D462-($D462-$I$454)*MIN(H$3-$O$2,$Q$2)/$Q$2))</f>
        <v>9119.07644967549</v>
      </c>
      <c r="I462" s="15" t="n">
        <f aca="false">H462*(1+IF(I$3&lt;=$O$2,$D462,$D462-($D462-$I$454)*MIN(I$3-$O$2,$Q$2)/$Q$2))</f>
        <v>9582.15455063557</v>
      </c>
      <c r="J462" s="15" t="n">
        <f aca="false">I462*(1+IF(J$3&lt;=$O$2,$D462,$D462-($D462-$I$454)*MIN(J$3-$O$2,$Q$2)/$Q$2))</f>
        <v>10006.5002649105</v>
      </c>
      <c r="K462" s="15" t="n">
        <f aca="false">J462*(1+IF(K$3&lt;=$O$2,$D462,$D462-($D462-$I$454)*MIN(K$3-$O$2,$Q$2)/$Q$2))</f>
        <v>10384.6334017961</v>
      </c>
      <c r="L462" s="15" t="n">
        <f aca="false">K462*(1+IF(L$3&lt;=$O$2,$D462,$D462-($D462-$I$454)*MIN(L$3-$O$2,$Q$2)/$Q$2))</f>
        <v>10709.5945425218</v>
      </c>
      <c r="M462" s="15" t="n">
        <f aca="false">L462*(1+IF(M$3&lt;=$O$2,$D462,$D462-($D462-$I$454)*MIN(M$3-$O$2,$Q$2)/$Q$2))</f>
        <v>10975.1523261968</v>
      </c>
      <c r="N462" s="15" t="n">
        <f aca="false">M462*(1+IF(N$3&lt;=$O$2,$D462,$D462-($D462-$I$454)*MIN(N$3-$O$2,$Q$2)/$Q$2))</f>
        <v>11175.9976137662</v>
      </c>
      <c r="O462" s="15" t="n">
        <f aca="false">SUMPRODUCT(E462:N462,1/(1+$F$454)^$E$3:$N$3)*$E$2</f>
        <v>10517.6472100915</v>
      </c>
      <c r="P462" s="15" t="n">
        <f aca="false">N462*$E$2*(1+$I$454)/($F$454-$I$454)/(1+$F$454)^$N$3</f>
        <v>12567.9107654389</v>
      </c>
      <c r="Q462" s="15" t="n">
        <f aca="false">O462+P462</f>
        <v>23085.5579755303</v>
      </c>
      <c r="R462" s="15" t="n">
        <f aca="false">Q462-$G$2+$I$2</f>
        <v>19969.3579755303</v>
      </c>
      <c r="S462" s="42" t="n">
        <f aca="false">R462/$K$2</f>
        <v>176.876509969268</v>
      </c>
      <c r="T462" s="43" t="n">
        <f aca="false">S462-$M$2</f>
        <v>8.40883946439618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0.0390625</v>
      </c>
      <c r="C463" s="25" t="n">
        <f aca="false">IF(T462&gt;0,D462,C462)</f>
        <v>0.05078125</v>
      </c>
      <c r="D463" s="41" t="n">
        <f aca="false">(B463+C463)/2</f>
        <v>0.044921875</v>
      </c>
      <c r="E463" s="15" t="n">
        <f aca="false">$C$2*(1+IF(E$3&lt;=$O$2,$D463,$D463-($D463-$I$454)*MIN(E$3-$O$2,$Q$2)/$Q$2))</f>
        <v>7816.015625</v>
      </c>
      <c r="F463" s="15" t="n">
        <f aca="false">E463*(1+IF(F$3&lt;=$O$2,$D463,$D463-($D463-$I$454)*MIN(F$3-$O$2,$Q$2)/$Q$2))</f>
        <v>8167.1257019043</v>
      </c>
      <c r="G463" s="15" t="n">
        <f aca="false">F463*(1+IF(G$3&lt;=$O$2,$D463,$D463-($D463-$I$454)*MIN(G$3-$O$2,$Q$2)/$Q$2))</f>
        <v>8534.00830179453</v>
      </c>
      <c r="H463" s="15" t="n">
        <f aca="false">G463*(1+IF(H$3&lt;=$O$2,$D463,$D463-($D463-$I$454)*MIN(H$3-$O$2,$Q$2)/$Q$2))</f>
        <v>8917.37195597671</v>
      </c>
      <c r="I463" s="15" t="n">
        <f aca="false">H463*(1+IF(I$3&lt;=$O$2,$D463,$D463-($D463-$I$454)*MIN(I$3-$O$2,$Q$2)/$Q$2))</f>
        <v>9317.9570243116</v>
      </c>
      <c r="J463" s="15" t="n">
        <f aca="false">I463*(1+IF(J$3&lt;=$O$2,$D463,$D463-($D463-$I$454)*MIN(J$3-$O$2,$Q$2)/$Q$2))</f>
        <v>9686.92482758177</v>
      </c>
      <c r="K463" s="15" t="n">
        <f aca="false">J463*(1+IF(K$3&lt;=$O$2,$D463,$D463-($D463-$I$454)*MIN(K$3-$O$2,$Q$2)/$Q$2))</f>
        <v>10018.9260130631</v>
      </c>
      <c r="L463" s="15" t="n">
        <f aca="false">K463*(1+IF(L$3&lt;=$O$2,$D463,$D463-($D463-$I$454)*MIN(L$3-$O$2,$Q$2)/$Q$2))</f>
        <v>10308.9613974837</v>
      </c>
      <c r="M463" s="15" t="n">
        <f aca="false">L463*(1+IF(M$3&lt;=$O$2,$D463,$D463-($D463-$I$454)*MIN(M$3-$O$2,$Q$2)/$Q$2))</f>
        <v>10552.5041673984</v>
      </c>
      <c r="N463" s="15" t="n">
        <f aca="false">M463*(1+IF(N$3&lt;=$O$2,$D463,$D463-($D463-$I$454)*MIN(N$3-$O$2,$Q$2)/$Q$2))</f>
        <v>10745.6149936618</v>
      </c>
      <c r="O463" s="15" t="n">
        <f aca="false">SUMPRODUCT(E463:N463,1/(1+$F$454)^$E$3:$N$3)*$E$2</f>
        <v>10252.9906727143</v>
      </c>
      <c r="P463" s="15" t="n">
        <f aca="false">N463*$E$2*(1+$I$454)/($F$454-$I$454)/(1+$F$454)^$N$3</f>
        <v>12083.9261985663</v>
      </c>
      <c r="Q463" s="15" t="n">
        <f aca="false">O463+P463</f>
        <v>22336.9168712806</v>
      </c>
      <c r="R463" s="15" t="n">
        <f aca="false">Q463-$G$2+$I$2</f>
        <v>19220.7168712806</v>
      </c>
      <c r="S463" s="42" t="n">
        <f aca="false">R463/$K$2</f>
        <v>170.245499302751</v>
      </c>
      <c r="T463" s="43" t="n">
        <f aca="false">S463-$M$2</f>
        <v>1.77782879787947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0.0390625</v>
      </c>
      <c r="C464" s="25" t="n">
        <f aca="false">IF(T463&gt;0,D463,C463)</f>
        <v>0.044921875</v>
      </c>
      <c r="D464" s="41" t="n">
        <f aca="false">(B464+C464)/2</f>
        <v>0.0419921875</v>
      </c>
      <c r="E464" s="15" t="n">
        <f aca="false">$C$2*(1+IF(E$3&lt;=$O$2,$D464,$D464-($D464-$I$454)*MIN(E$3-$O$2,$Q$2)/$Q$2))</f>
        <v>7794.1015625</v>
      </c>
      <c r="F464" s="15" t="n">
        <f aca="false">E464*(1+IF(F$3&lt;=$O$2,$D464,$D464-($D464-$I$454)*MIN(F$3-$O$2,$Q$2)/$Q$2))</f>
        <v>8121.39293670654</v>
      </c>
      <c r="G464" s="15" t="n">
        <f aca="false">F464*(1+IF(G$3&lt;=$O$2,$D464,$D464-($D464-$I$454)*MIN(G$3-$O$2,$Q$2)/$Q$2))</f>
        <v>8462.4279916659</v>
      </c>
      <c r="H464" s="15" t="n">
        <f aca="false">G464*(1+IF(H$3&lt;=$O$2,$D464,$D464-($D464-$I$454)*MIN(H$3-$O$2,$Q$2)/$Q$2))</f>
        <v>8817.78385459718</v>
      </c>
      <c r="I464" s="15" t="n">
        <f aca="false">H464*(1+IF(I$3&lt;=$O$2,$D464,$D464-($D464-$I$454)*MIN(I$3-$O$2,$Q$2)/$Q$2))</f>
        <v>9188.0618875539</v>
      </c>
      <c r="J464" s="15" t="n">
        <f aca="false">I464*(1+IF(J$3&lt;=$O$2,$D464,$D464-($D464-$I$454)*MIN(J$3-$O$2,$Q$2)/$Q$2))</f>
        <v>9530.35164809736</v>
      </c>
      <c r="K464" s="15" t="n">
        <f aca="false">J464*(1+IF(K$3&lt;=$O$2,$D464,$D464-($D464-$I$454)*MIN(K$3-$O$2,$Q$2)/$Q$2))</f>
        <v>9840.23401017014</v>
      </c>
      <c r="L464" s="15" t="n">
        <f aca="false">K464*(1+IF(L$3&lt;=$O$2,$D464,$D464-($D464-$I$454)*MIN(L$3-$O$2,$Q$2)/$Q$2))</f>
        <v>10113.5649602414</v>
      </c>
      <c r="M464" s="15" t="n">
        <f aca="false">L464*(1+IF(M$3&lt;=$O$2,$D464,$D464-($D464-$I$454)*MIN(M$3-$O$2,$Q$2)/$Q$2))</f>
        <v>10346.5656944801</v>
      </c>
      <c r="N464" s="15" t="n">
        <f aca="false">M464*(1+IF(N$3&lt;=$O$2,$D464,$D464-($D464-$I$454)*MIN(N$3-$O$2,$Q$2)/$Q$2))</f>
        <v>10535.9078466891</v>
      </c>
      <c r="O464" s="15" t="n">
        <f aca="false">SUMPRODUCT(E464:N464,1/(1+$F$454)^$E$3:$N$3)*$E$2</f>
        <v>10123.1941501093</v>
      </c>
      <c r="P464" s="15" t="n">
        <f aca="false">N464*$E$2*(1+$I$454)/($F$454-$I$454)/(1+$F$454)^$N$3</f>
        <v>11848.1011025783</v>
      </c>
      <c r="Q464" s="15" t="n">
        <f aca="false">O464+P464</f>
        <v>21971.2952526876</v>
      </c>
      <c r="R464" s="15" t="n">
        <f aca="false">Q464-$G$2+$I$2</f>
        <v>18855.0952526876</v>
      </c>
      <c r="S464" s="42" t="n">
        <f aca="false">R464/$K$2</f>
        <v>167.007043867915</v>
      </c>
      <c r="T464" s="43" t="n">
        <f aca="false">S464-$M$2</f>
        <v>-1.46062663695668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0.0419921875</v>
      </c>
      <c r="C465" s="25" t="n">
        <f aca="false">IF(T464&gt;0,D464,C464)</f>
        <v>0.044921875</v>
      </c>
      <c r="D465" s="41" t="n">
        <f aca="false">(B465+C465)/2</f>
        <v>0.04345703125</v>
      </c>
      <c r="E465" s="15" t="n">
        <f aca="false">$C$2*(1+IF(E$3&lt;=$O$2,$D465,$D465-($D465-$I$454)*MIN(E$3-$O$2,$Q$2)/$Q$2))</f>
        <v>7805.05859375</v>
      </c>
      <c r="F465" s="15" t="n">
        <f aca="false">E465*(1+IF(F$3&lt;=$O$2,$D465,$D465-($D465-$I$454)*MIN(F$3-$O$2,$Q$2)/$Q$2))</f>
        <v>8144.24326896668</v>
      </c>
      <c r="G465" s="15" t="n">
        <f aca="false">F465*(1+IF(G$3&lt;=$O$2,$D465,$D465-($D465-$I$454)*MIN(G$3-$O$2,$Q$2)/$Q$2))</f>
        <v>8498.16790321376</v>
      </c>
      <c r="H465" s="15" t="n">
        <f aca="false">G465*(1+IF(H$3&lt;=$O$2,$D465,$D465-($D465-$I$454)*MIN(H$3-$O$2,$Q$2)/$Q$2))</f>
        <v>8867.47305135147</v>
      </c>
      <c r="I465" s="15" t="n">
        <f aca="false">H465*(1+IF(I$3&lt;=$O$2,$D465,$D465-($D465-$I$454)*MIN(I$3-$O$2,$Q$2)/$Q$2))</f>
        <v>9252.82710485258</v>
      </c>
      <c r="J465" s="15" t="n">
        <f aca="false">I465*(1+IF(J$3&lt;=$O$2,$D465,$D465-($D465-$I$454)*MIN(J$3-$O$2,$Q$2)/$Q$2))</f>
        <v>9608.37276937348</v>
      </c>
      <c r="K465" s="15" t="n">
        <f aca="false">J465*(1+IF(K$3&lt;=$O$2,$D465,$D465-($D465-$I$454)*MIN(K$3-$O$2,$Q$2)/$Q$2))</f>
        <v>9929.23687146549</v>
      </c>
      <c r="L465" s="15" t="n">
        <f aca="false">K465*(1+IF(L$3&lt;=$O$2,$D465,$D465-($D465-$I$454)*MIN(L$3-$O$2,$Q$2)/$Q$2))</f>
        <v>10210.8579551189</v>
      </c>
      <c r="M465" s="15" t="n">
        <f aca="false">L465*(1+IF(M$3&lt;=$O$2,$D465,$D465-($D465-$I$454)*MIN(M$3-$O$2,$Q$2)/$Q$2))</f>
        <v>10449.0916302309</v>
      </c>
      <c r="N465" s="15" t="n">
        <f aca="false">M465*(1+IF(N$3&lt;=$O$2,$D465,$D465-($D465-$I$454)*MIN(N$3-$O$2,$Q$2)/$Q$2))</f>
        <v>10640.3100070641</v>
      </c>
      <c r="O465" s="15" t="n">
        <f aca="false">SUMPRODUCT(E465:N465,1/(1+$F$454)^$E$3:$N$3)*$E$2</f>
        <v>10187.883547267</v>
      </c>
      <c r="P465" s="15" t="n">
        <f aca="false">N465*$E$2*(1+$I$454)/($F$454-$I$454)/(1+$F$454)^$N$3</f>
        <v>11965.5060162744</v>
      </c>
      <c r="Q465" s="15" t="n">
        <f aca="false">O465+P465</f>
        <v>22153.3895635414</v>
      </c>
      <c r="R465" s="15" t="n">
        <f aca="false">Q465-$G$2+$I$2</f>
        <v>19037.1895635414</v>
      </c>
      <c r="S465" s="42" t="n">
        <f aca="false">R465/$K$2</f>
        <v>168.619925274946</v>
      </c>
      <c r="T465" s="43" t="n">
        <f aca="false">S465-$M$2</f>
        <v>0.152254770074507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0.0419921875</v>
      </c>
      <c r="C466" s="25" t="n">
        <f aca="false">IF(T465&gt;0,D465,C465)</f>
        <v>0.04345703125</v>
      </c>
      <c r="D466" s="41" t="n">
        <f aca="false">(B466+C466)/2</f>
        <v>0.042724609375</v>
      </c>
      <c r="E466" s="15" t="n">
        <f aca="false">$C$2*(1+IF(E$3&lt;=$O$2,$D466,$D466-($D466-$I$454)*MIN(E$3-$O$2,$Q$2)/$Q$2))</f>
        <v>7799.580078125</v>
      </c>
      <c r="F466" s="15" t="n">
        <f aca="false">E466*(1+IF(F$3&lt;=$O$2,$D466,$D466-($D466-$I$454)*MIN(F$3-$O$2,$Q$2)/$Q$2))</f>
        <v>8132.81409025192</v>
      </c>
      <c r="G466" s="15" t="n">
        <f aca="false">F466*(1+IF(G$3&lt;=$O$2,$D466,$D466-($D466-$I$454)*MIN(G$3-$O$2,$Q$2)/$Q$2))</f>
        <v>8480.28539537743</v>
      </c>
      <c r="H466" s="15" t="n">
        <f aca="false">G466*(1+IF(H$3&lt;=$O$2,$D466,$D466-($D466-$I$454)*MIN(H$3-$O$2,$Q$2)/$Q$2))</f>
        <v>8842.60227628345</v>
      </c>
      <c r="I466" s="15" t="n">
        <f aca="false">H466*(1+IF(I$3&lt;=$O$2,$D466,$D466-($D466-$I$454)*MIN(I$3-$O$2,$Q$2)/$Q$2))</f>
        <v>9220.39900439615</v>
      </c>
      <c r="J466" s="15" t="n">
        <f aca="false">I466*(1+IF(J$3&lt;=$O$2,$D466,$D466-($D466-$I$454)*MIN(J$3-$O$2,$Q$2)/$Q$2))</f>
        <v>9569.29602134781</v>
      </c>
      <c r="K466" s="15" t="n">
        <f aca="false">J466*(1+IF(K$3&lt;=$O$2,$D466,$D466-($D466-$I$454)*MIN(K$3-$O$2,$Q$2)/$Q$2))</f>
        <v>9884.64992892757</v>
      </c>
      <c r="L466" s="15" t="n">
        <f aca="false">K466*(1+IF(L$3&lt;=$O$2,$D466,$D466-($D466-$I$454)*MIN(L$3-$O$2,$Q$2)/$Q$2))</f>
        <v>10162.110507956</v>
      </c>
      <c r="M466" s="15" t="n">
        <f aca="false">L466*(1+IF(M$3&lt;=$O$2,$D466,$D466-($D466-$I$454)*MIN(M$3-$O$2,$Q$2)/$Q$2))</f>
        <v>10397.7182461681</v>
      </c>
      <c r="N466" s="15" t="n">
        <f aca="false">M466*(1+IF(N$3&lt;=$O$2,$D466,$D466-($D466-$I$454)*MIN(N$3-$O$2,$Q$2)/$Q$2))</f>
        <v>10587.996490073</v>
      </c>
      <c r="O466" s="15" t="n">
        <f aca="false">SUMPRODUCT(E466:N466,1/(1+$F$454)^$E$3:$N$3)*$E$2</f>
        <v>10155.4867901115</v>
      </c>
      <c r="P466" s="15" t="n">
        <f aca="false">N466*$E$2*(1+$I$454)/($F$454-$I$454)/(1+$F$454)^$N$3</f>
        <v>11906.6771191958</v>
      </c>
      <c r="Q466" s="15" t="n">
        <f aca="false">O466+P466</f>
        <v>22062.1639093073</v>
      </c>
      <c r="R466" s="15" t="n">
        <f aca="false">Q466-$G$2+$I$2</f>
        <v>18945.9639093073</v>
      </c>
      <c r="S466" s="42" t="n">
        <f aca="false">R466/$K$2</f>
        <v>167.811903536823</v>
      </c>
      <c r="T466" s="43" t="n">
        <f aca="false">S466-$M$2</f>
        <v>-0.655766968048539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0.042724609375</v>
      </c>
      <c r="C467" s="25" t="n">
        <f aca="false">IF(T466&gt;0,D466,C466)</f>
        <v>0.04345703125</v>
      </c>
      <c r="D467" s="41" t="n">
        <f aca="false">(B467+C467)/2</f>
        <v>0.0430908203125</v>
      </c>
      <c r="E467" s="15" t="n">
        <f aca="false">$C$2*(1+IF(E$3&lt;=$O$2,$D467,$D467-($D467-$I$454)*MIN(E$3-$O$2,$Q$2)/$Q$2))</f>
        <v>7802.3193359375</v>
      </c>
      <c r="F467" s="15" t="n">
        <f aca="false">E467*(1+IF(F$3&lt;=$O$2,$D467,$D467-($D467-$I$454)*MIN(F$3-$O$2,$Q$2)/$Q$2))</f>
        <v>8138.52767646313</v>
      </c>
      <c r="G467" s="15" t="n">
        <f aca="false">F467*(1+IF(G$3&lt;=$O$2,$D467,$D467-($D467-$I$454)*MIN(G$3-$O$2,$Q$2)/$Q$2))</f>
        <v>8489.22351017791</v>
      </c>
      <c r="H467" s="15" t="n">
        <f aca="false">G467*(1+IF(H$3&lt;=$O$2,$D467,$D467-($D467-$I$454)*MIN(H$3-$O$2,$Q$2)/$Q$2))</f>
        <v>8855.03111504764</v>
      </c>
      <c r="I467" s="15" t="n">
        <f aca="false">H467*(1+IF(I$3&lt;=$O$2,$D467,$D467-($D467-$I$454)*MIN(I$3-$O$2,$Q$2)/$Q$2))</f>
        <v>9236.60166968775</v>
      </c>
      <c r="J467" s="15" t="n">
        <f aca="false">I467*(1+IF(J$3&lt;=$O$2,$D467,$D467-($D467-$I$454)*MIN(J$3-$O$2,$Q$2)/$Q$2))</f>
        <v>9588.81782607613</v>
      </c>
      <c r="K467" s="15" t="n">
        <f aca="false">J467*(1+IF(K$3&lt;=$O$2,$D467,$D467-($D467-$I$454)*MIN(K$3-$O$2,$Q$2)/$Q$2))</f>
        <v>9906.92198813465</v>
      </c>
      <c r="L467" s="15" t="n">
        <f aca="false">K467*(1+IF(L$3&lt;=$O$2,$D467,$D467-($D467-$I$454)*MIN(L$3-$O$2,$Q$2)/$Q$2))</f>
        <v>10186.4589496606</v>
      </c>
      <c r="M467" s="15" t="n">
        <f aca="false">L467*(1+IF(M$3&lt;=$O$2,$D467,$D467-($D467-$I$454)*MIN(M$3-$O$2,$Q$2)/$Q$2))</f>
        <v>10423.3772831278</v>
      </c>
      <c r="N467" s="15" t="n">
        <f aca="false">M467*(1+IF(N$3&lt;=$O$2,$D467,$D467-($D467-$I$454)*MIN(N$3-$O$2,$Q$2)/$Q$2))</f>
        <v>10614.125087409</v>
      </c>
      <c r="O467" s="15" t="n">
        <f aca="false">SUMPRODUCT(E467:N467,1/(1+$F$454)^$E$3:$N$3)*$E$2</f>
        <v>10171.672134395</v>
      </c>
      <c r="P467" s="15" t="n">
        <f aca="false">N467*$E$2*(1+$I$454)/($F$454-$I$454)/(1+$F$454)^$N$3</f>
        <v>11936.0598992476</v>
      </c>
      <c r="Q467" s="15" t="n">
        <f aca="false">O467+P467</f>
        <v>22107.7320336426</v>
      </c>
      <c r="R467" s="15" t="n">
        <f aca="false">Q467-$G$2+$I$2</f>
        <v>18991.5320336426</v>
      </c>
      <c r="S467" s="42" t="n">
        <f aca="false">R467/$K$2</f>
        <v>168.215518455648</v>
      </c>
      <c r="T467" s="43" t="n">
        <f aca="false">S467-$M$2</f>
        <v>-0.252152049223781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0.0430908203125</v>
      </c>
      <c r="C468" s="25" t="n">
        <f aca="false">IF(T467&gt;0,D467,C467)</f>
        <v>0.04345703125</v>
      </c>
      <c r="D468" s="41" t="n">
        <f aca="false">(B468+C468)/2</f>
        <v>0.04327392578125</v>
      </c>
      <c r="E468" s="15" t="n">
        <f aca="false">$C$2*(1+IF(E$3&lt;=$O$2,$D468,$D468-($D468-$I$454)*MIN(E$3-$O$2,$Q$2)/$Q$2))</f>
        <v>7803.68896484375</v>
      </c>
      <c r="F468" s="15" t="n">
        <f aca="false">E468*(1+IF(F$3&lt;=$O$2,$D468,$D468-($D468-$I$454)*MIN(F$3-$O$2,$Q$2)/$Q$2))</f>
        <v>8141.38522192836</v>
      </c>
      <c r="G468" s="15" t="n">
        <f aca="false">F468*(1+IF(G$3&lt;=$O$2,$D468,$D468-($D468-$I$454)*MIN(G$3-$O$2,$Q$2)/$Q$2))</f>
        <v>8493.69492177865</v>
      </c>
      <c r="H468" s="15" t="n">
        <f aca="false">G468*(1+IF(H$3&lt;=$O$2,$D468,$D468-($D468-$I$454)*MIN(H$3-$O$2,$Q$2)/$Q$2))</f>
        <v>8861.25044543228</v>
      </c>
      <c r="I468" s="15" t="n">
        <f aca="false">H468*(1+IF(I$3&lt;=$O$2,$D468,$D468-($D468-$I$454)*MIN(I$3-$O$2,$Q$2)/$Q$2))</f>
        <v>9244.71153953699</v>
      </c>
      <c r="J468" s="15" t="n">
        <f aca="false">I468*(1+IF(J$3&lt;=$O$2,$D468,$D468-($D468-$I$454)*MIN(J$3-$O$2,$Q$2)/$Q$2))</f>
        <v>9598.59115259648</v>
      </c>
      <c r="K468" s="15" t="n">
        <f aca="false">J468*(1+IF(K$3&lt;=$O$2,$D468,$D468-($D468-$I$454)*MIN(K$3-$O$2,$Q$2)/$Q$2))</f>
        <v>9918.0740725187</v>
      </c>
      <c r="L468" s="15" t="n">
        <f aca="false">K468*(1+IF(L$3&lt;=$O$2,$D468,$D468-($D468-$I$454)*MIN(L$3-$O$2,$Q$2)/$Q$2))</f>
        <v>10198.6521263578</v>
      </c>
      <c r="M468" s="15" t="n">
        <f aca="false">L468*(1+IF(M$3&lt;=$O$2,$D468,$D468-($D468-$I$454)*MIN(M$3-$O$2,$Q$2)/$Q$2))</f>
        <v>10436.2275365246</v>
      </c>
      <c r="N468" s="15" t="n">
        <f aca="false">M468*(1+IF(N$3&lt;=$O$2,$D468,$D468-($D468-$I$454)*MIN(N$3-$O$2,$Q$2)/$Q$2))</f>
        <v>10627.210500443</v>
      </c>
      <c r="O468" s="15" t="n">
        <f aca="false">SUMPRODUCT(E468:N468,1/(1+$F$454)^$E$3:$N$3)*$E$2</f>
        <v>10179.7745797984</v>
      </c>
      <c r="P468" s="15" t="n">
        <f aca="false">N468*$E$2*(1+$I$454)/($F$454-$I$454)/(1+$F$454)^$N$3</f>
        <v>11950.7750333255</v>
      </c>
      <c r="Q468" s="15" t="n">
        <f aca="false">O468+P468</f>
        <v>22130.5496131239</v>
      </c>
      <c r="R468" s="15" t="n">
        <f aca="false">Q468-$G$2+$I$2</f>
        <v>19014.3496131239</v>
      </c>
      <c r="S468" s="42" t="n">
        <f aca="false">R468/$K$2</f>
        <v>168.417622791177</v>
      </c>
      <c r="T468" s="43" t="n">
        <f aca="false">S468-$M$2</f>
        <v>-0.050047713694596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0.04327392578125</v>
      </c>
      <c r="C469" s="25" t="n">
        <f aca="false">IF(T468&gt;0,D468,C468)</f>
        <v>0.04345703125</v>
      </c>
      <c r="D469" s="41" t="n">
        <f aca="false">(B469+C469)/2</f>
        <v>0.043365478515625</v>
      </c>
      <c r="E469" s="15" t="n">
        <f aca="false">$C$2*(1+IF(E$3&lt;=$O$2,$D469,$D469-($D469-$I$454)*MIN(E$3-$O$2,$Q$2)/$Q$2))</f>
        <v>7804.37377929688</v>
      </c>
      <c r="F469" s="15" t="n">
        <f aca="false">E469*(1+IF(F$3&lt;=$O$2,$D469,$D469-($D469-$I$454)*MIN(F$3-$O$2,$Q$2)/$Q$2))</f>
        <v>8142.81418275088</v>
      </c>
      <c r="G469" s="15" t="n">
        <f aca="false">F469*(1+IF(G$3&lt;=$O$2,$D469,$D469-($D469-$I$454)*MIN(G$3-$O$2,$Q$2)/$Q$2))</f>
        <v>8495.93121624969</v>
      </c>
      <c r="H469" s="15" t="n">
        <f aca="false">G469*(1+IF(H$3&lt;=$O$2,$D469,$D469-($D469-$I$454)*MIN(H$3-$O$2,$Q$2)/$Q$2))</f>
        <v>8864.36133887819</v>
      </c>
      <c r="I469" s="15" t="n">
        <f aca="false">H469*(1+IF(I$3&lt;=$O$2,$D469,$D469-($D469-$I$454)*MIN(I$3-$O$2,$Q$2)/$Q$2))</f>
        <v>9248.76861007405</v>
      </c>
      <c r="J469" s="15" t="n">
        <f aca="false">I469*(1+IF(J$3&lt;=$O$2,$D469,$D469-($D469-$I$454)*MIN(J$3-$O$2,$Q$2)/$Q$2))</f>
        <v>9603.48092435185</v>
      </c>
      <c r="K469" s="15" t="n">
        <f aca="false">J469*(1+IF(K$3&lt;=$O$2,$D469,$D469-($D469-$I$454)*MIN(K$3-$O$2,$Q$2)/$Q$2))</f>
        <v>9923.65413213822</v>
      </c>
      <c r="L469" s="15" t="n">
        <f aca="false">K469*(1+IF(L$3&lt;=$O$2,$D469,$D469-($D469-$I$454)*MIN(L$3-$O$2,$Q$2)/$Q$2))</f>
        <v>10204.7534585346</v>
      </c>
      <c r="M469" s="15" t="n">
        <f aca="false">L469*(1+IF(M$3&lt;=$O$2,$D469,$D469-($D469-$I$454)*MIN(M$3-$O$2,$Q$2)/$Q$2))</f>
        <v>10442.6578525402</v>
      </c>
      <c r="N469" s="15" t="n">
        <f aca="false">M469*(1+IF(N$3&lt;=$O$2,$D469,$D469-($D469-$I$454)*MIN(N$3-$O$2,$Q$2)/$Q$2))</f>
        <v>10633.7584912417</v>
      </c>
      <c r="O469" s="15" t="n">
        <f aca="false">SUMPRODUCT(E469:N469,1/(1+$F$454)^$E$3:$N$3)*$E$2</f>
        <v>10183.828247967</v>
      </c>
      <c r="P469" s="15" t="n">
        <f aca="false">N469*$E$2*(1+$I$454)/($F$454-$I$454)/(1+$F$454)^$N$3</f>
        <v>11958.1385427763</v>
      </c>
      <c r="Q469" s="15" t="n">
        <f aca="false">O469+P469</f>
        <v>22141.9667907432</v>
      </c>
      <c r="R469" s="15" t="n">
        <f aca="false">Q469-$G$2+$I$2</f>
        <v>19025.7667907432</v>
      </c>
      <c r="S469" s="42" t="n">
        <f aca="false">R469/$K$2</f>
        <v>168.518749253704</v>
      </c>
      <c r="T469" s="43" t="n">
        <f aca="false">S469-$M$2</f>
        <v>0.0510787488328219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0.04327392578125</v>
      </c>
      <c r="C470" s="25" t="n">
        <f aca="false">IF(T469&gt;0,D469,C469)</f>
        <v>0.043365478515625</v>
      </c>
      <c r="D470" s="41" t="n">
        <f aca="false">(B470+C470)/2</f>
        <v>0.0433197021484375</v>
      </c>
      <c r="E470" s="15" t="n">
        <f aca="false">$C$2*(1+IF(E$3&lt;=$O$2,$D470,$D470-($D470-$I$454)*MIN(E$3-$O$2,$Q$2)/$Q$2))</f>
        <v>7804.03137207031</v>
      </c>
      <c r="F470" s="15" t="n">
        <f aca="false">E470*(1+IF(F$3&lt;=$O$2,$D470,$D470-($D470-$I$454)*MIN(F$3-$O$2,$Q$2)/$Q$2))</f>
        <v>8142.09968666546</v>
      </c>
      <c r="G470" s="15" t="n">
        <f aca="false">F470*(1+IF(G$3&lt;=$O$2,$D470,$D470-($D470-$I$454)*MIN(G$3-$O$2,$Q$2)/$Q$2))</f>
        <v>8494.81301995469</v>
      </c>
      <c r="H470" s="15" t="n">
        <f aca="false">G470*(1+IF(H$3&lt;=$O$2,$D470,$D470-($D470-$I$454)*MIN(H$3-$O$2,$Q$2)/$Q$2))</f>
        <v>8862.8057897858</v>
      </c>
      <c r="I470" s="15" t="n">
        <f aca="false">H470*(1+IF(I$3&lt;=$O$2,$D470,$D470-($D470-$I$454)*MIN(I$3-$O$2,$Q$2)/$Q$2))</f>
        <v>9246.73989679877</v>
      </c>
      <c r="J470" s="15" t="n">
        <f aca="false">I470*(1+IF(J$3&lt;=$O$2,$D470,$D470-($D470-$I$454)*MIN(J$3-$O$2,$Q$2)/$Q$2))</f>
        <v>9601.03577935977</v>
      </c>
      <c r="K470" s="15" t="n">
        <f aca="false">J470*(1+IF(K$3&lt;=$O$2,$D470,$D470-($D470-$I$454)*MIN(K$3-$O$2,$Q$2)/$Q$2))</f>
        <v>9920.8637674317</v>
      </c>
      <c r="L470" s="15" t="n">
        <f aca="false">K470*(1+IF(L$3&lt;=$O$2,$D470,$D470-($D470-$I$454)*MIN(L$3-$O$2,$Q$2)/$Q$2))</f>
        <v>10201.7023969822</v>
      </c>
      <c r="M470" s="15" t="n">
        <f aca="false">L470*(1+IF(M$3&lt;=$O$2,$D470,$D470-($D470-$I$454)*MIN(M$3-$O$2,$Q$2)/$Q$2))</f>
        <v>10439.4422619229</v>
      </c>
      <c r="N470" s="15" t="n">
        <f aca="false">M470*(1+IF(N$3&lt;=$O$2,$D470,$D470-($D470-$I$454)*MIN(N$3-$O$2,$Q$2)/$Q$2))</f>
        <v>10630.4840553161</v>
      </c>
      <c r="O470" s="15" t="n">
        <f aca="false">SUMPRODUCT(E470:N470,1/(1+$F$454)^$E$3:$N$3)*$E$2</f>
        <v>10181.8012100297</v>
      </c>
      <c r="P470" s="15" t="n">
        <f aca="false">N470*$E$2*(1+$I$454)/($F$454-$I$454)/(1+$F$454)^$N$3</f>
        <v>11954.4562926594</v>
      </c>
      <c r="Q470" s="15" t="n">
        <f aca="false">O470+P470</f>
        <v>22136.257502689</v>
      </c>
      <c r="R470" s="15" t="n">
        <f aca="false">Q470-$G$2+$I$2</f>
        <v>19020.057502689</v>
      </c>
      <c r="S470" s="42" t="n">
        <f aca="false">R470/$K$2</f>
        <v>168.468179828955</v>
      </c>
      <c r="T470" s="43" t="n">
        <f aca="false">S470-$M$2</f>
        <v>0.000509324083509455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0.04327392578125</v>
      </c>
      <c r="C471" s="25" t="n">
        <f aca="false">IF(T470&gt;0,D470,C470)</f>
        <v>0.0433197021484375</v>
      </c>
      <c r="D471" s="41" t="n">
        <f aca="false">(B471+C471)/2</f>
        <v>0.0432968139648438</v>
      </c>
      <c r="E471" s="15" t="n">
        <f aca="false">$C$2*(1+IF(E$3&lt;=$O$2,$D471,$D471-($D471-$I$454)*MIN(E$3-$O$2,$Q$2)/$Q$2))</f>
        <v>7803.86016845703</v>
      </c>
      <c r="F471" s="15" t="n">
        <f aca="false">E471*(1+IF(F$3&lt;=$O$2,$D471,$D471-($D471-$I$454)*MIN(F$3-$O$2,$Q$2)/$Q$2))</f>
        <v>8141.74245037837</v>
      </c>
      <c r="G471" s="15" t="n">
        <f aca="false">F471*(1+IF(G$3&lt;=$O$2,$D471,$D471-($D471-$I$454)*MIN(G$3-$O$2,$Q$2)/$Q$2))</f>
        <v>8494.25395860207</v>
      </c>
      <c r="H471" s="15" t="n">
        <f aca="false">G471*(1+IF(H$3&lt;=$O$2,$D471,$D471-($D471-$I$454)*MIN(H$3-$O$2,$Q$2)/$Q$2))</f>
        <v>8862.0280920178</v>
      </c>
      <c r="I471" s="15" t="n">
        <f aca="false">H471*(1+IF(I$3&lt;=$O$2,$D471,$D471-($D471-$I$454)*MIN(I$3-$O$2,$Q$2)/$Q$2))</f>
        <v>9245.72567366912</v>
      </c>
      <c r="J471" s="15" t="n">
        <f aca="false">I471*(1+IF(J$3&lt;=$O$2,$D471,$D471-($D471-$I$454)*MIN(J$3-$O$2,$Q$2)/$Q$2))</f>
        <v>9599.81340120501</v>
      </c>
      <c r="K471" s="15" t="n">
        <f aca="false">J471*(1+IF(K$3&lt;=$O$2,$D471,$D471-($D471-$I$454)*MIN(K$3-$O$2,$Q$2)/$Q$2))</f>
        <v>9919.46883625934</v>
      </c>
      <c r="L471" s="15" t="n">
        <f aca="false">K471*(1+IF(L$3&lt;=$O$2,$D471,$D471-($D471-$I$454)*MIN(L$3-$O$2,$Q$2)/$Q$2))</f>
        <v>10200.1771628149</v>
      </c>
      <c r="M471" s="15" t="n">
        <f aca="false">L471*(1+IF(M$3&lt;=$O$2,$D471,$D471-($D471-$I$454)*MIN(M$3-$O$2,$Q$2)/$Q$2))</f>
        <v>10437.8347910839</v>
      </c>
      <c r="N471" s="15" t="n">
        <f aca="false">M471*(1+IF(N$3&lt;=$O$2,$D471,$D471-($D471-$I$454)*MIN(N$3-$O$2,$Q$2)/$Q$2))</f>
        <v>10628.8471677607</v>
      </c>
      <c r="O471" s="15" t="n">
        <f aca="false">SUMPRODUCT(E471:N471,1/(1+$F$454)^$E$3:$N$3)*$E$2</f>
        <v>10180.7878439556</v>
      </c>
      <c r="P471" s="15" t="n">
        <f aca="false">N471*$E$2*(1+$I$454)/($F$454-$I$454)/(1+$F$454)^$N$3</f>
        <v>11952.6155391588</v>
      </c>
      <c r="Q471" s="15" t="n">
        <f aca="false">O471+P471</f>
        <v>22133.4033831144</v>
      </c>
      <c r="R471" s="15" t="n">
        <f aca="false">Q471-$G$2+$I$2</f>
        <v>19017.2033831144</v>
      </c>
      <c r="S471" s="42" t="n">
        <f aca="false">R471/$K$2</f>
        <v>168.442899761864</v>
      </c>
      <c r="T471" s="43" t="n">
        <f aca="false">S471-$M$2</f>
        <v>-0.0247707430077924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0.0432968139648438</v>
      </c>
      <c r="C472" s="25" t="n">
        <f aca="false">IF(T471&gt;0,D471,C471)</f>
        <v>0.0433197021484375</v>
      </c>
      <c r="D472" s="41" t="n">
        <f aca="false">(B472+C472)/2</f>
        <v>0.0433082580566406</v>
      </c>
      <c r="E472" s="15" t="n">
        <f aca="false">$C$2*(1+IF(E$3&lt;=$O$2,$D472,$D472-($D472-$I$454)*MIN(E$3-$O$2,$Q$2)/$Q$2))</f>
        <v>7803.94577026367</v>
      </c>
      <c r="F472" s="15" t="n">
        <f aca="false">E472*(1+IF(F$3&lt;=$O$2,$D472,$D472-($D472-$I$454)*MIN(F$3-$O$2,$Q$2)/$Q$2))</f>
        <v>8141.92106754228</v>
      </c>
      <c r="G472" s="15" t="n">
        <f aca="false">F472*(1+IF(G$3&lt;=$O$2,$D472,$D472-($D472-$I$454)*MIN(G$3-$O$2,$Q$2)/$Q$2))</f>
        <v>8494.5334862122</v>
      </c>
      <c r="H472" s="15" t="n">
        <f aca="false">G472*(1+IF(H$3&lt;=$O$2,$D472,$D472-($D472-$I$454)*MIN(H$3-$O$2,$Q$2)/$Q$2))</f>
        <v>8862.41693450385</v>
      </c>
      <c r="I472" s="15" t="n">
        <f aca="false">H472*(1+IF(I$3&lt;=$O$2,$D472,$D472-($D472-$I$454)*MIN(I$3-$O$2,$Q$2)/$Q$2))</f>
        <v>9246.23277410889</v>
      </c>
      <c r="J472" s="15" t="n">
        <f aca="false">I472*(1+IF(J$3&lt;=$O$2,$D472,$D472-($D472-$I$454)*MIN(J$3-$O$2,$Q$2)/$Q$2))</f>
        <v>9600.42457408843</v>
      </c>
      <c r="K472" s="15" t="n">
        <f aca="false">J472*(1+IF(K$3&lt;=$O$2,$D472,$D472-($D472-$I$454)*MIN(K$3-$O$2,$Q$2)/$Q$2))</f>
        <v>9920.16628091552</v>
      </c>
      <c r="L472" s="15" t="n">
        <f aca="false">K472*(1+IF(L$3&lt;=$O$2,$D472,$D472-($D472-$I$454)*MIN(L$3-$O$2,$Q$2)/$Q$2))</f>
        <v>10200.9397551834</v>
      </c>
      <c r="M472" s="15" t="n">
        <f aca="false">L472*(1+IF(M$3&lt;=$O$2,$D472,$D472-($D472-$I$454)*MIN(M$3-$O$2,$Q$2)/$Q$2))</f>
        <v>10438.6384994669</v>
      </c>
      <c r="N472" s="15" t="n">
        <f aca="false">M472*(1+IF(N$3&lt;=$O$2,$D472,$D472-($D472-$I$454)*MIN(N$3-$O$2,$Q$2)/$Q$2))</f>
        <v>10629.6655840071</v>
      </c>
      <c r="O472" s="15" t="n">
        <f aca="false">SUMPRODUCT(E472:N472,1/(1+$F$454)^$E$3:$N$3)*$E$2</f>
        <v>10181.2945142524</v>
      </c>
      <c r="P472" s="15" t="n">
        <f aca="false">N472*$E$2*(1+$I$454)/($F$454-$I$454)/(1+$F$454)^$N$3</f>
        <v>11953.5358849489</v>
      </c>
      <c r="Q472" s="15" t="n">
        <f aca="false">O472+P472</f>
        <v>22134.8303992013</v>
      </c>
      <c r="R472" s="15" t="n">
        <f aca="false">Q472-$G$2+$I$2</f>
        <v>19018.6303992013</v>
      </c>
      <c r="S472" s="42" t="n">
        <f aca="false">R472/$K$2</f>
        <v>168.455539408338</v>
      </c>
      <c r="T472" s="43" t="n">
        <f aca="false">S472-$M$2</f>
        <v>-0.0121310965338068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0.0433082580566406</v>
      </c>
      <c r="C473" s="25" t="n">
        <f aca="false">IF(T472&gt;0,D472,C472)</f>
        <v>0.0433197021484375</v>
      </c>
      <c r="D473" s="41" t="n">
        <f aca="false">(B473+C473)/2</f>
        <v>0.0433139801025391</v>
      </c>
      <c r="E473" s="15" t="n">
        <f aca="false">$C$2*(1+IF(E$3&lt;=$O$2,$D473,$D473-($D473-$I$454)*MIN(E$3-$O$2,$Q$2)/$Q$2))</f>
        <v>7803.98857116699</v>
      </c>
      <c r="F473" s="15" t="n">
        <f aca="false">E473*(1+IF(F$3&lt;=$O$2,$D473,$D473-($D473-$I$454)*MIN(F$3-$O$2,$Q$2)/$Q$2))</f>
        <v>8142.01037685896</v>
      </c>
      <c r="G473" s="15" t="n">
        <f aca="false">F473*(1+IF(G$3&lt;=$O$2,$D473,$D473-($D473-$I$454)*MIN(G$3-$O$2,$Q$2)/$Q$2))</f>
        <v>8494.6732523169</v>
      </c>
      <c r="H473" s="15" t="n">
        <f aca="false">G473*(1+IF(H$3&lt;=$O$2,$D473,$D473-($D473-$I$454)*MIN(H$3-$O$2,$Q$2)/$Q$2))</f>
        <v>8862.61136054532</v>
      </c>
      <c r="I473" s="15" t="n">
        <f aca="false">H473*(1+IF(I$3&lt;=$O$2,$D473,$D473-($D473-$I$454)*MIN(I$3-$O$2,$Q$2)/$Q$2))</f>
        <v>9246.48633267252</v>
      </c>
      <c r="J473" s="15" t="n">
        <f aca="false">I473*(1+IF(J$3&lt;=$O$2,$D473,$D473-($D473-$I$454)*MIN(J$3-$O$2,$Q$2)/$Q$2))</f>
        <v>9600.73017267552</v>
      </c>
      <c r="K473" s="15" t="n">
        <f aca="false">J473*(1+IF(K$3&lt;=$O$2,$D473,$D473-($D473-$I$454)*MIN(K$3-$O$2,$Q$2)/$Q$2))</f>
        <v>9920.51501894097</v>
      </c>
      <c r="L473" s="15" t="n">
        <f aca="false">K473*(1+IF(L$3&lt;=$O$2,$D473,$D473-($D473-$I$454)*MIN(L$3-$O$2,$Q$2)/$Q$2))</f>
        <v>10201.3210699039</v>
      </c>
      <c r="M473" s="15" t="n">
        <f aca="false">L473*(1+IF(M$3&lt;=$O$2,$D473,$D473-($D473-$I$454)*MIN(M$3-$O$2,$Q$2)/$Q$2))</f>
        <v>10439.0403739356</v>
      </c>
      <c r="N473" s="15" t="n">
        <f aca="false">M473*(1+IF(N$3&lt;=$O$2,$D473,$D473-($D473-$I$454)*MIN(N$3-$O$2,$Q$2)/$Q$2))</f>
        <v>10630.0748127786</v>
      </c>
      <c r="O473" s="15" t="n">
        <f aca="false">SUMPRODUCT(E473:N473,1/(1+$F$454)^$E$3:$N$3)*$E$2</f>
        <v>10181.5478589559</v>
      </c>
      <c r="P473" s="15" t="n">
        <f aca="false">N473*$E$2*(1+$I$454)/($F$454-$I$454)/(1+$F$454)^$N$3</f>
        <v>11953.9960810639</v>
      </c>
      <c r="Q473" s="15" t="n">
        <f aca="false">O473+P473</f>
        <v>22135.5439400198</v>
      </c>
      <c r="R473" s="15" t="n">
        <f aca="false">Q473-$G$2+$I$2</f>
        <v>19019.3439400198</v>
      </c>
      <c r="S473" s="42" t="n">
        <f aca="false">R473/$K$2</f>
        <v>168.461859521876</v>
      </c>
      <c r="T473" s="43" t="n">
        <f aca="false">S473-$M$2</f>
        <v>-0.00581098299574023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0.0433139801025391</v>
      </c>
      <c r="C474" s="25" t="n">
        <f aca="false">IF(T473&gt;0,D473,C473)</f>
        <v>0.0433197021484375</v>
      </c>
      <c r="D474" s="41" t="n">
        <f aca="false">(B474+C474)/2</f>
        <v>0.0433168411254883</v>
      </c>
      <c r="E474" s="15" t="n">
        <f aca="false">$C$2*(1+IF(E$3&lt;=$O$2,$D474,$D474-($D474-$I$454)*MIN(E$3-$O$2,$Q$2)/$Q$2))</f>
        <v>7804.00997161865</v>
      </c>
      <c r="F474" s="15" t="n">
        <f aca="false">E474*(1+IF(F$3&lt;=$O$2,$D474,$D474-($D474-$I$454)*MIN(F$3-$O$2,$Q$2)/$Q$2))</f>
        <v>8142.05503170098</v>
      </c>
      <c r="G474" s="15" t="n">
        <f aca="false">F474*(1+IF(G$3&lt;=$O$2,$D474,$D474-($D474-$I$454)*MIN(G$3-$O$2,$Q$2)/$Q$2))</f>
        <v>8494.74313594416</v>
      </c>
      <c r="H474" s="15" t="n">
        <f aca="false">G474*(1+IF(H$3&lt;=$O$2,$D474,$D474-($D474-$I$454)*MIN(H$3-$O$2,$Q$2)/$Q$2))</f>
        <v>8862.70857476568</v>
      </c>
      <c r="I474" s="15" t="n">
        <f aca="false">H474*(1+IF(I$3&lt;=$O$2,$D474,$D474-($D474-$I$454)*MIN(I$3-$O$2,$Q$2)/$Q$2))</f>
        <v>9246.61311404031</v>
      </c>
      <c r="J474" s="15" t="n">
        <f aca="false">I474*(1+IF(J$3&lt;=$O$2,$D474,$D474-($D474-$I$454)*MIN(J$3-$O$2,$Q$2)/$Q$2))</f>
        <v>9600.88297500549</v>
      </c>
      <c r="K474" s="15" t="n">
        <f aca="false">J474*(1+IF(K$3&lt;=$O$2,$D474,$D474-($D474-$I$454)*MIN(K$3-$O$2,$Q$2)/$Q$2))</f>
        <v>9920.68939187816</v>
      </c>
      <c r="L474" s="15" t="n">
        <f aca="false">K474*(1+IF(L$3&lt;=$O$2,$D474,$D474-($D474-$I$454)*MIN(L$3-$O$2,$Q$2)/$Q$2))</f>
        <v>10201.5117318983</v>
      </c>
      <c r="M474" s="15" t="n">
        <f aca="false">L474*(1+IF(M$3&lt;=$O$2,$D474,$D474-($D474-$I$454)*MIN(M$3-$O$2,$Q$2)/$Q$2))</f>
        <v>10439.2413162394</v>
      </c>
      <c r="N474" s="15" t="n">
        <f aca="false">M474*(1+IF(N$3&lt;=$O$2,$D474,$D474-($D474-$I$454)*MIN(N$3-$O$2,$Q$2)/$Q$2))</f>
        <v>10630.2794323266</v>
      </c>
      <c r="O474" s="15" t="n">
        <f aca="false">SUMPRODUCT(E474:N474,1/(1+$F$454)^$E$3:$N$3)*$E$2</f>
        <v>10181.6745336965</v>
      </c>
      <c r="P474" s="15" t="n">
        <f aca="false">N474*$E$2*(1+$I$454)/($F$454-$I$454)/(1+$F$454)^$N$3</f>
        <v>11954.2261849265</v>
      </c>
      <c r="Q474" s="15" t="n">
        <f aca="false">O474+P474</f>
        <v>22135.900718623</v>
      </c>
      <c r="R474" s="15" t="n">
        <f aca="false">Q474-$G$2+$I$2</f>
        <v>19019.700718623</v>
      </c>
      <c r="S474" s="42" t="n">
        <f aca="false">R474/$K$2</f>
        <v>168.465019651223</v>
      </c>
      <c r="T474" s="43" t="n">
        <f aca="false">S474-$M$2</f>
        <v>-0.00265085364904394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0.0433168411254883</v>
      </c>
      <c r="C475" s="25" t="n">
        <f aca="false">IF(T474&gt;0,D474,C474)</f>
        <v>0.0433197021484375</v>
      </c>
      <c r="D475" s="41" t="n">
        <f aca="false">(B475+C475)/2</f>
        <v>0.0433182716369629</v>
      </c>
      <c r="E475" s="15" t="n">
        <f aca="false">$C$2*(1+IF(E$3&lt;=$O$2,$D475,$D475-($D475-$I$454)*MIN(E$3-$O$2,$Q$2)/$Q$2))</f>
        <v>7804.02067184448</v>
      </c>
      <c r="F475" s="15" t="n">
        <f aca="false">E475*(1+IF(F$3&lt;=$O$2,$D475,$D475-($D475-$I$454)*MIN(F$3-$O$2,$Q$2)/$Q$2))</f>
        <v>8142.07735916792</v>
      </c>
      <c r="G475" s="15" t="n">
        <f aca="false">F475*(1+IF(G$3&lt;=$O$2,$D475,$D475-($D475-$I$454)*MIN(G$3-$O$2,$Q$2)/$Q$2))</f>
        <v>8494.77807790152</v>
      </c>
      <c r="H475" s="15" t="n">
        <f aca="false">G475*(1+IF(H$3&lt;=$O$2,$D475,$D475-($D475-$I$454)*MIN(H$3-$O$2,$Q$2)/$Q$2))</f>
        <v>8862.75718217577</v>
      </c>
      <c r="I475" s="15" t="n">
        <f aca="false">H475*(1+IF(I$3&lt;=$O$2,$D475,$D475-($D475-$I$454)*MIN(I$3-$O$2,$Q$2)/$Q$2))</f>
        <v>9246.67650524571</v>
      </c>
      <c r="J475" s="15" t="n">
        <f aca="false">I475*(1+IF(J$3&lt;=$O$2,$D475,$D475-($D475-$I$454)*MIN(J$3-$O$2,$Q$2)/$Q$2))</f>
        <v>9600.95937692959</v>
      </c>
      <c r="K475" s="15" t="n">
        <f aca="false">J475*(1+IF(K$3&lt;=$O$2,$D475,$D475-($D475-$I$454)*MIN(K$3-$O$2,$Q$2)/$Q$2))</f>
        <v>9920.77657932789</v>
      </c>
      <c r="L475" s="15" t="n">
        <f aca="false">K475*(1+IF(L$3&lt;=$O$2,$D475,$D475-($D475-$I$454)*MIN(L$3-$O$2,$Q$2)/$Q$2))</f>
        <v>10201.6070640541</v>
      </c>
      <c r="M475" s="15" t="n">
        <f aca="false">L475*(1+IF(M$3&lt;=$O$2,$D475,$D475-($D475-$I$454)*MIN(M$3-$O$2,$Q$2)/$Q$2))</f>
        <v>10439.3417886587</v>
      </c>
      <c r="N475" s="15" t="n">
        <f aca="false">M475*(1+IF(N$3&lt;=$O$2,$D475,$D475-($D475-$I$454)*MIN(N$3-$O$2,$Q$2)/$Q$2))</f>
        <v>10630.3817433911</v>
      </c>
      <c r="O475" s="15" t="n">
        <f aca="false">SUMPRODUCT(E475:N475,1/(1+$F$454)^$E$3:$N$3)*$E$2</f>
        <v>10181.737871664</v>
      </c>
      <c r="P475" s="15" t="n">
        <f aca="false">N475*$E$2*(1+$I$454)/($F$454-$I$454)/(1+$F$454)^$N$3</f>
        <v>11954.3412383092</v>
      </c>
      <c r="Q475" s="15" t="n">
        <f aca="false">O475+P475</f>
        <v>22136.0791099732</v>
      </c>
      <c r="R475" s="15" t="n">
        <f aca="false">Q475-$G$2+$I$2</f>
        <v>19019.8791099732</v>
      </c>
      <c r="S475" s="42" t="n">
        <f aca="false">R475/$K$2</f>
        <v>168.466599734041</v>
      </c>
      <c r="T475" s="43" t="n">
        <f aca="false">S475-$M$2</f>
        <v>-0.00107077083097806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0.0433182716369629</v>
      </c>
      <c r="C476" s="25" t="n">
        <f aca="false">IF(T475&gt;0,D475,C475)</f>
        <v>0.0433197021484375</v>
      </c>
      <c r="D476" s="41" t="n">
        <f aca="false">(B476+C476)/2</f>
        <v>0.0433189868927002</v>
      </c>
      <c r="E476" s="15" t="n">
        <f aca="false">$C$2*(1+IF(E$3&lt;=$O$2,$D476,$D476-($D476-$I$454)*MIN(E$3-$O$2,$Q$2)/$Q$2))</f>
        <v>7804.0260219574</v>
      </c>
      <c r="F476" s="15" t="n">
        <f aca="false">E476*(1+IF(F$3&lt;=$O$2,$D476,$D476-($D476-$I$454)*MIN(F$3-$O$2,$Q$2)/$Q$2))</f>
        <v>8142.08852291286</v>
      </c>
      <c r="G476" s="15" t="n">
        <f aca="false">F476*(1+IF(G$3&lt;=$O$2,$D476,$D476-($D476-$I$454)*MIN(G$3-$O$2,$Q$2)/$Q$2))</f>
        <v>8494.79554891613</v>
      </c>
      <c r="H476" s="15" t="n">
        <f aca="false">G476*(1+IF(H$3&lt;=$O$2,$D476,$D476-($D476-$I$454)*MIN(H$3-$O$2,$Q$2)/$Q$2))</f>
        <v>8862.7814859558</v>
      </c>
      <c r="I476" s="15" t="n">
        <f aca="false">H476*(1+IF(I$3&lt;=$O$2,$D476,$D476-($D476-$I$454)*MIN(I$3-$O$2,$Q$2)/$Q$2))</f>
        <v>9246.70820097878</v>
      </c>
      <c r="J476" s="15" t="n">
        <f aca="false">I476*(1+IF(J$3&lt;=$O$2,$D476,$D476-($D476-$I$454)*MIN(J$3-$O$2,$Q$2)/$Q$2))</f>
        <v>9600.99757808142</v>
      </c>
      <c r="K476" s="15" t="n">
        <f aca="false">J476*(1+IF(K$3&lt;=$O$2,$D476,$D476-($D476-$I$454)*MIN(K$3-$O$2,$Q$2)/$Q$2))</f>
        <v>9920.82017329803</v>
      </c>
      <c r="L476" s="15" t="n">
        <f aca="false">K476*(1+IF(L$3&lt;=$O$2,$D476,$D476-($D476-$I$454)*MIN(L$3-$O$2,$Q$2)/$Q$2))</f>
        <v>10201.6547304216</v>
      </c>
      <c r="M476" s="15" t="n">
        <f aca="false">L476*(1+IF(M$3&lt;=$O$2,$D476,$D476-($D476-$I$454)*MIN(M$3-$O$2,$Q$2)/$Q$2))</f>
        <v>10439.3920251852</v>
      </c>
      <c r="N476" s="15" t="n">
        <f aca="false">M476*(1+IF(N$3&lt;=$O$2,$D476,$D476-($D476-$I$454)*MIN(N$3-$O$2,$Q$2)/$Q$2))</f>
        <v>10630.4328992461</v>
      </c>
      <c r="O476" s="15" t="n">
        <f aca="false">SUMPRODUCT(E476:N476,1/(1+$F$454)^$E$3:$N$3)*$E$2</f>
        <v>10181.7695407971</v>
      </c>
      <c r="P476" s="15" t="n">
        <f aca="false">N476*$E$2*(1+$I$454)/($F$454-$I$454)/(1+$F$454)^$N$3</f>
        <v>11954.3987653633</v>
      </c>
      <c r="Q476" s="15" t="n">
        <f aca="false">O476+P476</f>
        <v>22136.1683061604</v>
      </c>
      <c r="R476" s="15" t="n">
        <f aca="false">Q476-$G$2+$I$2</f>
        <v>19019.9683061604</v>
      </c>
      <c r="S476" s="42" t="n">
        <f aca="false">R476/$K$2</f>
        <v>168.467389779986</v>
      </c>
      <c r="T476" s="43" t="n">
        <f aca="false">S476-$M$2</f>
        <v>-0.0002807248858403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0.0433189868927002</v>
      </c>
      <c r="C477" s="25" t="n">
        <f aca="false">IF(T476&gt;0,D476,C476)</f>
        <v>0.0433197021484375</v>
      </c>
      <c r="D477" s="41" t="n">
        <f aca="false">(B477+C477)/2</f>
        <v>0.0433193445205689</v>
      </c>
      <c r="E477" s="15" t="n">
        <f aca="false">$C$2*(1+IF(E$3&lt;=$O$2,$D477,$D477-($D477-$I$454)*MIN(E$3-$O$2,$Q$2)/$Q$2))</f>
        <v>7804.02869701386</v>
      </c>
      <c r="F477" s="15" t="n">
        <f aca="false">E477*(1+IF(F$3&lt;=$O$2,$D477,$D477-($D477-$I$454)*MIN(F$3-$O$2,$Q$2)/$Q$2))</f>
        <v>8142.0941047882</v>
      </c>
      <c r="G477" s="15" t="n">
        <f aca="false">F477*(1+IF(G$3&lt;=$O$2,$D477,$D477-($D477-$I$454)*MIN(G$3-$O$2,$Q$2)/$Q$2))</f>
        <v>8494.80428443242</v>
      </c>
      <c r="H477" s="15" t="n">
        <f aca="false">G477*(1+IF(H$3&lt;=$O$2,$D477,$D477-($D477-$I$454)*MIN(H$3-$O$2,$Q$2)/$Q$2))</f>
        <v>8862.79363786455</v>
      </c>
      <c r="I477" s="15" t="n">
        <f aca="false">H477*(1+IF(I$3&lt;=$O$2,$D477,$D477-($D477-$I$454)*MIN(I$3-$O$2,$Q$2)/$Q$2))</f>
        <v>9246.72404887791</v>
      </c>
      <c r="J477" s="15" t="n">
        <f aca="false">I477*(1+IF(J$3&lt;=$O$2,$D477,$D477-($D477-$I$454)*MIN(J$3-$O$2,$Q$2)/$Q$2))</f>
        <v>9601.01667870478</v>
      </c>
      <c r="K477" s="15" t="n">
        <f aca="false">J477*(1+IF(K$3&lt;=$O$2,$D477,$D477-($D477-$I$454)*MIN(K$3-$O$2,$Q$2)/$Q$2))</f>
        <v>9920.84197034442</v>
      </c>
      <c r="L477" s="15" t="n">
        <f aca="false">K477*(1+IF(L$3&lt;=$O$2,$D477,$D477-($D477-$I$454)*MIN(L$3-$O$2,$Q$2)/$Q$2))</f>
        <v>10201.6785636778</v>
      </c>
      <c r="M477" s="15" t="n">
        <f aca="false">L477*(1+IF(M$3&lt;=$O$2,$D477,$D477-($D477-$I$454)*MIN(M$3-$O$2,$Q$2)/$Q$2))</f>
        <v>10439.4171435276</v>
      </c>
      <c r="N477" s="15" t="n">
        <f aca="false">M477*(1+IF(N$3&lt;=$O$2,$D477,$D477-($D477-$I$454)*MIN(N$3-$O$2,$Q$2)/$Q$2))</f>
        <v>10630.4584772542</v>
      </c>
      <c r="O477" s="15" t="n">
        <f aca="false">SUMPRODUCT(E477:N477,1/(1+$F$454)^$E$3:$N$3)*$E$2</f>
        <v>10181.7853754009</v>
      </c>
      <c r="P477" s="15" t="n">
        <f aca="false">N477*$E$2*(1+$I$454)/($F$454-$I$454)/(1+$F$454)^$N$3</f>
        <v>11954.4275289811</v>
      </c>
      <c r="Q477" s="15" t="n">
        <f aca="false">O477+P477</f>
        <v>22136.212904382</v>
      </c>
      <c r="R477" s="15" t="n">
        <f aca="false">Q477-$G$2+$I$2</f>
        <v>19020.012904382</v>
      </c>
      <c r="S477" s="42" t="n">
        <f aca="false">R477/$K$2</f>
        <v>168.467784804092</v>
      </c>
      <c r="T477" s="43" t="n">
        <f aca="false">S477-$M$2</f>
        <v>0.000114299220854264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0.0433189868927002</v>
      </c>
      <c r="C478" s="25" t="n">
        <f aca="false">IF(T477&gt;0,D477,C477)</f>
        <v>0.0433193445205689</v>
      </c>
      <c r="D478" s="41" t="n">
        <f aca="false">(B478+C478)/2</f>
        <v>0.0433191657066345</v>
      </c>
      <c r="E478" s="15" t="n">
        <f aca="false">$C$2*(1+IF(E$3&lt;=$O$2,$D478,$D478-($D478-$I$454)*MIN(E$3-$O$2,$Q$2)/$Q$2))</f>
        <v>7804.02735948563</v>
      </c>
      <c r="F478" s="15" t="n">
        <f aca="false">E478*(1+IF(F$3&lt;=$O$2,$D478,$D478-($D478-$I$454)*MIN(F$3-$O$2,$Q$2)/$Q$2))</f>
        <v>8142.09131385029</v>
      </c>
      <c r="G478" s="15" t="n">
        <f aca="false">F478*(1+IF(G$3&lt;=$O$2,$D478,$D478-($D478-$I$454)*MIN(G$3-$O$2,$Q$2)/$Q$2))</f>
        <v>8494.79991667352</v>
      </c>
      <c r="H478" s="15" t="n">
        <f aca="false">G478*(1+IF(H$3&lt;=$O$2,$D478,$D478-($D478-$I$454)*MIN(H$3-$O$2,$Q$2)/$Q$2))</f>
        <v>8862.78756190861</v>
      </c>
      <c r="I478" s="15" t="n">
        <f aca="false">H478*(1+IF(I$3&lt;=$O$2,$D478,$D478-($D478-$I$454)*MIN(I$3-$O$2,$Q$2)/$Q$2))</f>
        <v>9246.71612492563</v>
      </c>
      <c r="J478" s="15" t="n">
        <f aca="false">I478*(1+IF(J$3&lt;=$O$2,$D478,$D478-($D478-$I$454)*MIN(J$3-$O$2,$Q$2)/$Q$2))</f>
        <v>9601.00712838915</v>
      </c>
      <c r="K478" s="15" t="n">
        <f aca="false">J478*(1+IF(K$3&lt;=$O$2,$D478,$D478-($D478-$I$454)*MIN(K$3-$O$2,$Q$2)/$Q$2))</f>
        <v>9920.83107181612</v>
      </c>
      <c r="L478" s="15" t="n">
        <f aca="false">K478*(1+IF(L$3&lt;=$O$2,$D478,$D478-($D478-$I$454)*MIN(L$3-$O$2,$Q$2)/$Q$2))</f>
        <v>10201.6666470437</v>
      </c>
      <c r="M478" s="15" t="n">
        <f aca="false">L478*(1+IF(M$3&lt;=$O$2,$D478,$D478-($D478-$I$454)*MIN(M$3-$O$2,$Q$2)/$Q$2))</f>
        <v>10439.4045843498</v>
      </c>
      <c r="N478" s="15" t="n">
        <f aca="false">M478*(1+IF(N$3&lt;=$O$2,$D478,$D478-($D478-$I$454)*MIN(N$3-$O$2,$Q$2)/$Q$2))</f>
        <v>10630.4456882434</v>
      </c>
      <c r="O478" s="15" t="n">
        <f aca="false">SUMPRODUCT(E478:N478,1/(1+$F$454)^$E$3:$N$3)*$E$2</f>
        <v>10181.7774580959</v>
      </c>
      <c r="P478" s="15" t="n">
        <f aca="false">N478*$E$2*(1+$I$454)/($F$454-$I$454)/(1+$F$454)^$N$3</f>
        <v>11954.4131471646</v>
      </c>
      <c r="Q478" s="15" t="n">
        <f aca="false">O478+P478</f>
        <v>22136.1906052605</v>
      </c>
      <c r="R478" s="15" t="n">
        <f aca="false">Q478-$G$2+$I$2</f>
        <v>19019.9906052605</v>
      </c>
      <c r="S478" s="42" t="n">
        <f aca="false">R478/$K$2</f>
        <v>168.467587291945</v>
      </c>
      <c r="T478" s="43" t="n">
        <f aca="false">S478-$M$2</f>
        <v>-8.32129270520454E-005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0.0433191657066345</v>
      </c>
      <c r="C479" s="25" t="n">
        <f aca="false">IF(T478&gt;0,D478,C478)</f>
        <v>0.0433193445205689</v>
      </c>
      <c r="D479" s="41" t="n">
        <f aca="false">(B479+C479)/2</f>
        <v>0.0433192551136017</v>
      </c>
      <c r="E479" s="15" t="n">
        <f aca="false">$C$2*(1+IF(E$3&lt;=$O$2,$D479,$D479-($D479-$I$454)*MIN(E$3-$O$2,$Q$2)/$Q$2))</f>
        <v>7804.02802824974</v>
      </c>
      <c r="F479" s="15" t="n">
        <f aca="false">E479*(1+IF(F$3&lt;=$O$2,$D479,$D479-($D479-$I$454)*MIN(F$3-$O$2,$Q$2)/$Q$2))</f>
        <v>8142.09270931919</v>
      </c>
      <c r="G479" s="15" t="n">
        <f aca="false">F479*(1+IF(G$3&lt;=$O$2,$D479,$D479-($D479-$I$454)*MIN(G$3-$O$2,$Q$2)/$Q$2))</f>
        <v>8494.80210055278</v>
      </c>
      <c r="H479" s="15" t="n">
        <f aca="false">G479*(1+IF(H$3&lt;=$O$2,$D479,$D479-($D479-$I$454)*MIN(H$3-$O$2,$Q$2)/$Q$2))</f>
        <v>8862.79059988619</v>
      </c>
      <c r="I479" s="15" t="n">
        <f aca="false">H479*(1+IF(I$3&lt;=$O$2,$D479,$D479-($D479-$I$454)*MIN(I$3-$O$2,$Q$2)/$Q$2))</f>
        <v>9246.72008690109</v>
      </c>
      <c r="J479" s="15" t="n">
        <f aca="false">I479*(1+IF(J$3&lt;=$O$2,$D479,$D479-($D479-$I$454)*MIN(J$3-$O$2,$Q$2)/$Q$2))</f>
        <v>9601.01190354597</v>
      </c>
      <c r="K479" s="15" t="n">
        <f aca="false">J479*(1+IF(K$3&lt;=$O$2,$D479,$D479-($D479-$I$454)*MIN(K$3-$O$2,$Q$2)/$Q$2))</f>
        <v>9920.83652107899</v>
      </c>
      <c r="L479" s="15" t="n">
        <f aca="false">K479*(1+IF(L$3&lt;=$O$2,$D479,$D479-($D479-$I$454)*MIN(L$3-$O$2,$Q$2)/$Q$2))</f>
        <v>10201.6726053592</v>
      </c>
      <c r="M479" s="15" t="n">
        <f aca="false">L479*(1+IF(M$3&lt;=$O$2,$D479,$D479-($D479-$I$454)*MIN(M$3-$O$2,$Q$2)/$Q$2))</f>
        <v>10439.4108639371</v>
      </c>
      <c r="N479" s="15" t="n">
        <f aca="false">M479*(1+IF(N$3&lt;=$O$2,$D479,$D479-($D479-$I$454)*MIN(N$3-$O$2,$Q$2)/$Q$2))</f>
        <v>10630.4520827471</v>
      </c>
      <c r="O479" s="15" t="n">
        <f aca="false">SUMPRODUCT(E479:N479,1/(1+$F$454)^$E$3:$N$3)*$E$2</f>
        <v>10181.7814167476</v>
      </c>
      <c r="P479" s="15" t="n">
        <f aca="false">N479*$E$2*(1+$I$454)/($F$454-$I$454)/(1+$F$454)^$N$3</f>
        <v>11954.420338071</v>
      </c>
      <c r="Q479" s="15" t="n">
        <f aca="false">O479+P479</f>
        <v>22136.2017548186</v>
      </c>
      <c r="R479" s="15" t="n">
        <f aca="false">Q479-$G$2+$I$2</f>
        <v>19020.0017548186</v>
      </c>
      <c r="S479" s="42" t="n">
        <f aca="false">R479/$K$2</f>
        <v>168.467686047995</v>
      </c>
      <c r="T479" s="43" t="n">
        <f aca="false">S479-$M$2</f>
        <v>1.55431232542469E-005</v>
      </c>
    </row>
    <row r="481" customFormat="false" ht="15" hidden="false" customHeight="false" outlineLevel="0" collapsed="false">
      <c r="A481" s="38" t="s">
        <v>201</v>
      </c>
      <c r="E481" s="5" t="s">
        <v>11</v>
      </c>
      <c r="F481" s="12" t="n">
        <f aca="false">Sensitivity!$B$13</f>
        <v>0.0861268672746673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165</v>
      </c>
      <c r="B482" s="28" t="s">
        <v>166</v>
      </c>
      <c r="C482" s="28" t="s">
        <v>167</v>
      </c>
      <c r="D482" s="28" t="s">
        <v>168</v>
      </c>
      <c r="E482" s="28" t="s">
        <v>169</v>
      </c>
      <c r="F482" s="28" t="s">
        <v>170</v>
      </c>
      <c r="G482" s="28" t="s">
        <v>171</v>
      </c>
      <c r="H482" s="28" t="s">
        <v>172</v>
      </c>
      <c r="I482" s="28" t="s">
        <v>173</v>
      </c>
      <c r="J482" s="28" t="s">
        <v>174</v>
      </c>
      <c r="K482" s="28" t="s">
        <v>175</v>
      </c>
      <c r="L482" s="28" t="s">
        <v>176</v>
      </c>
      <c r="M482" s="28" t="s">
        <v>177</v>
      </c>
      <c r="N482" s="28" t="s">
        <v>178</v>
      </c>
      <c r="O482" s="28" t="s">
        <v>179</v>
      </c>
      <c r="P482" s="28" t="s">
        <v>180</v>
      </c>
      <c r="Q482" s="28" t="s">
        <v>181</v>
      </c>
      <c r="R482" s="28" t="s">
        <v>182</v>
      </c>
      <c r="S482" s="28" t="s">
        <v>183</v>
      </c>
      <c r="T482" s="28" t="s">
        <v>184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9350</v>
      </c>
      <c r="F483" s="15" t="n">
        <f aca="false">E483*(1+IF(F$3&lt;=$O$2,$D483,$D483-($D483-$I$481)*MIN(F$3-$O$2,$Q$2)/$Q$2))</f>
        <v>11687.5</v>
      </c>
      <c r="G483" s="15" t="n">
        <f aca="false">F483*(1+IF(G$3&lt;=$O$2,$D483,$D483-($D483-$I$481)*MIN(G$3-$O$2,$Q$2)/$Q$2))</f>
        <v>14609.375</v>
      </c>
      <c r="H483" s="15" t="n">
        <f aca="false">G483*(1+IF(H$3&lt;=$O$2,$D483,$D483-($D483-$I$481)*MIN(H$3-$O$2,$Q$2)/$Q$2))</f>
        <v>18261.71875</v>
      </c>
      <c r="I483" s="15" t="n">
        <f aca="false">H483*(1+IF(I$3&lt;=$O$2,$D483,$D483-($D483-$I$481)*MIN(I$3-$O$2,$Q$2)/$Q$2))</f>
        <v>22827.1484375</v>
      </c>
      <c r="J483" s="15" t="n">
        <f aca="false">I483*(1+IF(J$3&lt;=$O$2,$D483,$D483-($D483-$I$481)*MIN(J$3-$O$2,$Q$2)/$Q$2))</f>
        <v>27498.9526367188</v>
      </c>
      <c r="K483" s="15" t="n">
        <f aca="false">J483*(1+IF(K$3&lt;=$O$2,$D483,$D483-($D483-$I$481)*MIN(K$3-$O$2,$Q$2)/$Q$2))</f>
        <v>31880.0857708008</v>
      </c>
      <c r="L483" s="15" t="n">
        <f aca="false">K483*(1+IF(L$3&lt;=$O$2,$D483,$D483-($D483-$I$481)*MIN(L$3-$O$2,$Q$2)/$Q$2))</f>
        <v>35513.7779469567</v>
      </c>
      <c r="M483" s="15" t="n">
        <f aca="false">L483*(1+IF(M$3&lt;=$O$2,$D483,$D483-($D483-$I$481)*MIN(M$3-$O$2,$Q$2)/$Q$2))</f>
        <v>37951.4436652358</v>
      </c>
      <c r="N483" s="15" t="n">
        <f aca="false">M483*(1+IF(N$3&lt;=$O$2,$D483,$D483-($D483-$I$481)*MIN(N$3-$O$2,$Q$2)/$Q$2))</f>
        <v>38835.7123026357</v>
      </c>
      <c r="O483" s="15" t="n">
        <f aca="false">SUMPRODUCT(E483:N483,1/(1+$F$481)^$E$3:$N$3)*$E$2</f>
        <v>25010.2070336159</v>
      </c>
      <c r="P483" s="15" t="n">
        <f aca="false">N483*$E$2*(1+$I$481)/($F$481-$I$481)/(1+$F$481)^$N$3</f>
        <v>47379.6280739109</v>
      </c>
      <c r="Q483" s="15" t="n">
        <f aca="false">O483+P483</f>
        <v>72389.8351075268</v>
      </c>
      <c r="R483" s="15" t="n">
        <f aca="false">Q483-$G$2+$I$2</f>
        <v>69273.6351075268</v>
      </c>
      <c r="S483" s="42" t="n">
        <f aca="false">R483/$K$2</f>
        <v>613.584013352762</v>
      </c>
      <c r="T483" s="43" t="n">
        <f aca="false">S483-$M$2</f>
        <v>445.11634284789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6545</v>
      </c>
      <c r="F484" s="15" t="n">
        <f aca="false">E484*(1+IF(F$3&lt;=$O$2,$D484,$D484-($D484-$I$481)*MIN(F$3-$O$2,$Q$2)/$Q$2))</f>
        <v>5726.875</v>
      </c>
      <c r="G484" s="15" t="n">
        <f aca="false">F484*(1+IF(G$3&lt;=$O$2,$D484,$D484-($D484-$I$481)*MIN(G$3-$O$2,$Q$2)/$Q$2))</f>
        <v>5011.015625</v>
      </c>
      <c r="H484" s="15" t="n">
        <f aca="false">G484*(1+IF(H$3&lt;=$O$2,$D484,$D484-($D484-$I$481)*MIN(H$3-$O$2,$Q$2)/$Q$2))</f>
        <v>4384.638671875</v>
      </c>
      <c r="I484" s="15" t="n">
        <f aca="false">H484*(1+IF(I$3&lt;=$O$2,$D484,$D484-($D484-$I$481)*MIN(I$3-$O$2,$Q$2)/$Q$2))</f>
        <v>3836.55883789063</v>
      </c>
      <c r="J484" s="15" t="n">
        <f aca="false">I484*(1+IF(J$3&lt;=$O$2,$D484,$D484-($D484-$I$481)*MIN(J$3-$O$2,$Q$2)/$Q$2))</f>
        <v>3470.78131828613</v>
      </c>
      <c r="K484" s="15" t="n">
        <f aca="false">J484*(1+IF(K$3&lt;=$O$2,$D484,$D484-($D484-$I$481)*MIN(K$3-$O$2,$Q$2)/$Q$2))</f>
        <v>3242.8204013011</v>
      </c>
      <c r="L484" s="15" t="n">
        <f aca="false">K484*(1+IF(L$3&lt;=$O$2,$D484,$D484-($D484-$I$481)*MIN(L$3-$O$2,$Q$2)/$Q$2))</f>
        <v>3126.01401044623</v>
      </c>
      <c r="M484" s="15" t="n">
        <f aca="false">L484*(1+IF(M$3&lt;=$O$2,$D484,$D484-($D484-$I$481)*MIN(M$3-$O$2,$Q$2)/$Q$2))</f>
        <v>3106.1325613398</v>
      </c>
      <c r="N484" s="15" t="n">
        <f aca="false">M484*(1+IF(N$3&lt;=$O$2,$D484,$D484-($D484-$I$481)*MIN(N$3-$O$2,$Q$2)/$Q$2))</f>
        <v>3178.50545001901</v>
      </c>
      <c r="O484" s="15" t="n">
        <f aca="false">SUMPRODUCT(E484:N484,1/(1+$F$481)^$E$3:$N$3)*$E$2</f>
        <v>4944.71015664604</v>
      </c>
      <c r="P484" s="15" t="n">
        <f aca="false">N484*$E$2*(1+$I$481)/($F$481-$I$481)/(1+$F$481)^$N$3</f>
        <v>3877.78148316797</v>
      </c>
      <c r="Q484" s="15" t="n">
        <f aca="false">O484+P484</f>
        <v>8822.49163981401</v>
      </c>
      <c r="R484" s="15" t="n">
        <f aca="false">Q484-$G$2+$I$2</f>
        <v>5706.29163981401</v>
      </c>
      <c r="S484" s="42" t="n">
        <f aca="false">R484/$K$2</f>
        <v>50.5428843207619</v>
      </c>
      <c r="T484" s="43" t="n">
        <f aca="false">S484-$M$2</f>
        <v>-117.92478618411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7947.5</v>
      </c>
      <c r="F485" s="15" t="n">
        <f aca="false">E485*(1+IF(F$3&lt;=$O$2,$D485,$D485-($D485-$I$481)*MIN(F$3-$O$2,$Q$2)/$Q$2))</f>
        <v>8444.21875</v>
      </c>
      <c r="G485" s="15" t="n">
        <f aca="false">F485*(1+IF(G$3&lt;=$O$2,$D485,$D485-($D485-$I$481)*MIN(G$3-$O$2,$Q$2)/$Q$2))</f>
        <v>8971.982421875</v>
      </c>
      <c r="H485" s="15" t="n">
        <f aca="false">G485*(1+IF(H$3&lt;=$O$2,$D485,$D485-($D485-$I$481)*MIN(H$3-$O$2,$Q$2)/$Q$2))</f>
        <v>9532.73132324219</v>
      </c>
      <c r="I485" s="15" t="n">
        <f aca="false">H485*(1+IF(I$3&lt;=$O$2,$D485,$D485-($D485-$I$481)*MIN(I$3-$O$2,$Q$2)/$Q$2))</f>
        <v>10128.5270309448</v>
      </c>
      <c r="J485" s="15" t="n">
        <f aca="false">I485*(1+IF(J$3&lt;=$O$2,$D485,$D485-($D485-$I$481)*MIN(J$3-$O$2,$Q$2)/$Q$2))</f>
        <v>10682.1523184563</v>
      </c>
      <c r="K485" s="15" t="n">
        <f aca="false">J485*(1+IF(K$3&lt;=$O$2,$D485,$D485-($D485-$I$481)*MIN(K$3-$O$2,$Q$2)/$Q$2))</f>
        <v>11182.2906900064</v>
      </c>
      <c r="L485" s="15" t="n">
        <f aca="false">K485*(1+IF(L$3&lt;=$O$2,$D485,$D485-($D485-$I$481)*MIN(L$3-$O$2,$Q$2)/$Q$2))</f>
        <v>11618.1763811028</v>
      </c>
      <c r="M485" s="15" t="n">
        <f aca="false">L485*(1+IF(M$3&lt;=$O$2,$D485,$D485-($D485-$I$481)*MIN(M$3-$O$2,$Q$2)/$Q$2))</f>
        <v>11979.9663936104</v>
      </c>
      <c r="N485" s="15" t="n">
        <f aca="false">M485*(1+IF(N$3&lt;=$O$2,$D485,$D485-($D485-$I$481)*MIN(N$3-$O$2,$Q$2)/$Q$2))</f>
        <v>12259.0996105815</v>
      </c>
      <c r="O485" s="15" t="n">
        <f aca="false">SUMPRODUCT(E485:N485,1/(1+$F$481)^$E$3:$N$3)*$E$2</f>
        <v>11100.4051169201</v>
      </c>
      <c r="P485" s="15" t="n">
        <f aca="false">N485*$E$2*(1+$I$481)/($F$481-$I$481)/(1+$F$481)^$N$3</f>
        <v>14956.1201696037</v>
      </c>
      <c r="Q485" s="15" t="n">
        <f aca="false">O485+P485</f>
        <v>26056.5252865238</v>
      </c>
      <c r="R485" s="15" t="n">
        <f aca="false">Q485-$G$2+$I$2</f>
        <v>22940.3252865238</v>
      </c>
      <c r="S485" s="42" t="n">
        <f aca="false">R485/$K$2</f>
        <v>203.191543724746</v>
      </c>
      <c r="T485" s="43" t="n">
        <f aca="false">S485-$M$2</f>
        <v>34.7238732198744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-0.125</v>
      </c>
      <c r="C486" s="25" t="n">
        <f aca="false">IF(T485&gt;0,D485,C485)</f>
        <v>0.0625</v>
      </c>
      <c r="D486" s="41" t="n">
        <f aca="false">(B486+C486)/2</f>
        <v>-0.03125</v>
      </c>
      <c r="E486" s="15" t="n">
        <f aca="false">$C$2*(1+IF(E$3&lt;=$O$2,$D486,$D486-($D486-$I$481)*MIN(E$3-$O$2,$Q$2)/$Q$2))</f>
        <v>7246.25</v>
      </c>
      <c r="F486" s="15" t="n">
        <f aca="false">E486*(1+IF(F$3&lt;=$O$2,$D486,$D486-($D486-$I$481)*MIN(F$3-$O$2,$Q$2)/$Q$2))</f>
        <v>7019.8046875</v>
      </c>
      <c r="G486" s="15" t="n">
        <f aca="false">F486*(1+IF(G$3&lt;=$O$2,$D486,$D486-($D486-$I$481)*MIN(G$3-$O$2,$Q$2)/$Q$2))</f>
        <v>6800.43579101563</v>
      </c>
      <c r="H486" s="15" t="n">
        <f aca="false">G486*(1+IF(H$3&lt;=$O$2,$D486,$D486-($D486-$I$481)*MIN(H$3-$O$2,$Q$2)/$Q$2))</f>
        <v>6587.92217254639</v>
      </c>
      <c r="I486" s="15" t="n">
        <f aca="false">H486*(1+IF(I$3&lt;=$O$2,$D486,$D486-($D486-$I$481)*MIN(I$3-$O$2,$Q$2)/$Q$2))</f>
        <v>6382.04960465431</v>
      </c>
      <c r="J486" s="15" t="n">
        <f aca="false">I486*(1+IF(J$3&lt;=$O$2,$D486,$D486-($D486-$I$481)*MIN(J$3-$O$2,$Q$2)/$Q$2))</f>
        <v>6252.23871569564</v>
      </c>
      <c r="K486" s="15" t="n">
        <f aca="false">J486*(1+IF(K$3&lt;=$O$2,$D486,$D486-($D486-$I$481)*MIN(K$3-$O$2,$Q$2)/$Q$2))</f>
        <v>6193.28010460663</v>
      </c>
      <c r="L486" s="15" t="n">
        <f aca="false">K486*(1+IF(L$3&lt;=$O$2,$D486,$D486-($D486-$I$481)*MIN(L$3-$O$2,$Q$2)/$Q$2))</f>
        <v>6202.44615916145</v>
      </c>
      <c r="M486" s="15" t="n">
        <f aca="false">L486*(1+IF(M$3&lt;=$O$2,$D486,$D486-($D486-$I$481)*MIN(M$3-$O$2,$Q$2)/$Q$2))</f>
        <v>6279.29446707346</v>
      </c>
      <c r="N486" s="15" t="n">
        <f aca="false">M486*(1+IF(N$3&lt;=$O$2,$D486,$D486-($D486-$I$481)*MIN(N$3-$O$2,$Q$2)/$Q$2))</f>
        <v>6425.60202815627</v>
      </c>
      <c r="O486" s="15" t="n">
        <f aca="false">SUMPRODUCT(E486:N486,1/(1+$F$481)^$E$3:$N$3)*$E$2</f>
        <v>7387.15911837195</v>
      </c>
      <c r="P486" s="15" t="n">
        <f aca="false">N486*$E$2*(1+$I$481)/($F$481-$I$481)/(1+$F$481)^$N$3</f>
        <v>7839.2442469595</v>
      </c>
      <c r="Q486" s="15" t="n">
        <f aca="false">O486+P486</f>
        <v>15226.4033653315</v>
      </c>
      <c r="R486" s="15" t="n">
        <f aca="false">Q486-$G$2+$I$2</f>
        <v>12110.2033653315</v>
      </c>
      <c r="S486" s="42" t="n">
        <f aca="false">R486/$K$2</f>
        <v>107.264865946248</v>
      </c>
      <c r="T486" s="43" t="n">
        <f aca="false">S486-$M$2</f>
        <v>-61.2028045586231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-0.03125</v>
      </c>
      <c r="C487" s="25" t="n">
        <f aca="false">IF(T486&gt;0,D486,C486)</f>
        <v>0.0625</v>
      </c>
      <c r="D487" s="41" t="n">
        <f aca="false">(B487+C487)/2</f>
        <v>0.015625</v>
      </c>
      <c r="E487" s="15" t="n">
        <f aca="false">$C$2*(1+IF(E$3&lt;=$O$2,$D487,$D487-($D487-$I$481)*MIN(E$3-$O$2,$Q$2)/$Q$2))</f>
        <v>7596.875</v>
      </c>
      <c r="F487" s="15" t="n">
        <f aca="false">E487*(1+IF(F$3&lt;=$O$2,$D487,$D487-($D487-$I$481)*MIN(F$3-$O$2,$Q$2)/$Q$2))</f>
        <v>7715.576171875</v>
      </c>
      <c r="G487" s="15" t="n">
        <f aca="false">F487*(1+IF(G$3&lt;=$O$2,$D487,$D487-($D487-$I$481)*MIN(G$3-$O$2,$Q$2)/$Q$2))</f>
        <v>7836.13204956055</v>
      </c>
      <c r="H487" s="15" t="n">
        <f aca="false">G487*(1+IF(H$3&lt;=$O$2,$D487,$D487-($D487-$I$481)*MIN(H$3-$O$2,$Q$2)/$Q$2))</f>
        <v>7958.57161283493</v>
      </c>
      <c r="I487" s="15" t="n">
        <f aca="false">H487*(1+IF(I$3&lt;=$O$2,$D487,$D487-($D487-$I$481)*MIN(I$3-$O$2,$Q$2)/$Q$2))</f>
        <v>8082.92429428548</v>
      </c>
      <c r="J487" s="15" t="n">
        <f aca="false">I487*(1+IF(J$3&lt;=$O$2,$D487,$D487-($D487-$I$481)*MIN(J$3-$O$2,$Q$2)/$Q$2))</f>
        <v>8221.62727517542</v>
      </c>
      <c r="K487" s="15" t="n">
        <f aca="false">J487*(1+IF(K$3&lt;=$O$2,$D487,$D487-($D487-$I$481)*MIN(K$3-$O$2,$Q$2)/$Q$2))</f>
        <v>8375.33059708482</v>
      </c>
      <c r="L487" s="15" t="n">
        <f aca="false">K487*(1+IF(L$3&lt;=$O$2,$D487,$D487-($D487-$I$481)*MIN(L$3-$O$2,$Q$2)/$Q$2))</f>
        <v>8544.76353506384</v>
      </c>
      <c r="M487" s="15" t="n">
        <f aca="false">L487*(1+IF(M$3&lt;=$O$2,$D487,$D487-($D487-$I$481)*MIN(M$3-$O$2,$Q$2)/$Q$2))</f>
        <v>8730.74031340451</v>
      </c>
      <c r="N487" s="15" t="n">
        <f aca="false">M487*(1+IF(N$3&lt;=$O$2,$D487,$D487-($D487-$I$481)*MIN(N$3-$O$2,$Q$2)/$Q$2))</f>
        <v>8934.16656270683</v>
      </c>
      <c r="O487" s="15" t="n">
        <f aca="false">SUMPRODUCT(E487:N487,1/(1+$F$481)^$E$3:$N$3)*$E$2</f>
        <v>9051.77220427977</v>
      </c>
      <c r="P487" s="15" t="n">
        <f aca="false">N487*$E$2*(1+$I$481)/($F$481-$I$481)/(1+$F$481)^$N$3</f>
        <v>10899.6967943521</v>
      </c>
      <c r="Q487" s="15" t="n">
        <f aca="false">O487+P487</f>
        <v>19951.4689986319</v>
      </c>
      <c r="R487" s="15" t="n">
        <f aca="false">Q487-$G$2+$I$2</f>
        <v>16835.2689986319</v>
      </c>
      <c r="S487" s="42" t="n">
        <f aca="false">R487/$K$2</f>
        <v>149.116643034826</v>
      </c>
      <c r="T487" s="43" t="n">
        <f aca="false">S487-$M$2</f>
        <v>-19.3510274700452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0.015625</v>
      </c>
      <c r="C488" s="25" t="n">
        <f aca="false">IF(T487&gt;0,D487,C487)</f>
        <v>0.0625</v>
      </c>
      <c r="D488" s="41" t="n">
        <f aca="false">(B488+C488)/2</f>
        <v>0.0390625</v>
      </c>
      <c r="E488" s="15" t="n">
        <f aca="false">$C$2*(1+IF(E$3&lt;=$O$2,$D488,$D488-($D488-$I$481)*MIN(E$3-$O$2,$Q$2)/$Q$2))</f>
        <v>7772.1875</v>
      </c>
      <c r="F488" s="15" t="n">
        <f aca="false">E488*(1+IF(F$3&lt;=$O$2,$D488,$D488-($D488-$I$481)*MIN(F$3-$O$2,$Q$2)/$Q$2))</f>
        <v>8075.78857421875</v>
      </c>
      <c r="G488" s="15" t="n">
        <f aca="false">F488*(1+IF(G$3&lt;=$O$2,$D488,$D488-($D488-$I$481)*MIN(G$3-$O$2,$Q$2)/$Q$2))</f>
        <v>8391.24906539917</v>
      </c>
      <c r="H488" s="15" t="n">
        <f aca="false">G488*(1+IF(H$3&lt;=$O$2,$D488,$D488-($D488-$I$481)*MIN(H$3-$O$2,$Q$2)/$Q$2))</f>
        <v>8719.03223201633</v>
      </c>
      <c r="I488" s="15" t="n">
        <f aca="false">H488*(1+IF(I$3&lt;=$O$2,$D488,$D488-($D488-$I$481)*MIN(I$3-$O$2,$Q$2)/$Q$2))</f>
        <v>9059.61942857946</v>
      </c>
      <c r="J488" s="15" t="n">
        <f aca="false">I488*(1+IF(J$3&lt;=$O$2,$D488,$D488-($D488-$I$481)*MIN(J$3-$O$2,$Q$2)/$Q$2))</f>
        <v>9384.95036225975</v>
      </c>
      <c r="K488" s="15" t="n">
        <f aca="false">J488*(1+IF(K$3&lt;=$O$2,$D488,$D488-($D488-$I$481)*MIN(K$3-$O$2,$Q$2)/$Q$2))</f>
        <v>9692.37787375147</v>
      </c>
      <c r="L488" s="15" t="n">
        <f aca="false">K488*(1+IF(L$3&lt;=$O$2,$D488,$D488-($D488-$I$481)*MIN(L$3-$O$2,$Q$2)/$Q$2))</f>
        <v>9979.32072070389</v>
      </c>
      <c r="M488" s="15" t="n">
        <f aca="false">L488*(1+IF(M$3&lt;=$O$2,$D488,$D488-($D488-$I$481)*MIN(M$3-$O$2,$Q$2)/$Q$2))</f>
        <v>10243.2987020683</v>
      </c>
      <c r="N488" s="15" t="n">
        <f aca="false">M488*(1+IF(N$3&lt;=$O$2,$D488,$D488-($D488-$I$481)*MIN(N$3-$O$2,$Q$2)/$Q$2))</f>
        <v>10481.9675618265</v>
      </c>
      <c r="O488" s="15" t="n">
        <f aca="false">SUMPRODUCT(E488:N488,1/(1+$F$481)^$E$3:$N$3)*$E$2</f>
        <v>10023.284931065</v>
      </c>
      <c r="P488" s="15" t="n">
        <f aca="false">N488*$E$2*(1+$I$481)/($F$481-$I$481)/(1+$F$481)^$N$3</f>
        <v>12788.0163673072</v>
      </c>
      <c r="Q488" s="15" t="n">
        <f aca="false">O488+P488</f>
        <v>22811.3012983722</v>
      </c>
      <c r="R488" s="15" t="n">
        <f aca="false">Q488-$G$2+$I$2</f>
        <v>19695.1012983722</v>
      </c>
      <c r="S488" s="42" t="n">
        <f aca="false">R488/$K$2</f>
        <v>174.447309994439</v>
      </c>
      <c r="T488" s="43" t="n">
        <f aca="false">S488-$M$2</f>
        <v>5.97963948956752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0.015625</v>
      </c>
      <c r="C489" s="25" t="n">
        <f aca="false">IF(T488&gt;0,D488,C488)</f>
        <v>0.0390625</v>
      </c>
      <c r="D489" s="41" t="n">
        <f aca="false">(B489+C489)/2</f>
        <v>0.02734375</v>
      </c>
      <c r="E489" s="15" t="n">
        <f aca="false">$C$2*(1+IF(E$3&lt;=$O$2,$D489,$D489-($D489-$I$481)*MIN(E$3-$O$2,$Q$2)/$Q$2))</f>
        <v>7684.53125</v>
      </c>
      <c r="F489" s="15" t="n">
        <f aca="false">E489*(1+IF(F$3&lt;=$O$2,$D489,$D489-($D489-$I$481)*MIN(F$3-$O$2,$Q$2)/$Q$2))</f>
        <v>7894.65515136719</v>
      </c>
      <c r="G489" s="15" t="n">
        <f aca="false">F489*(1+IF(G$3&lt;=$O$2,$D489,$D489-($D489-$I$481)*MIN(G$3-$O$2,$Q$2)/$Q$2))</f>
        <v>8110.52462816238</v>
      </c>
      <c r="H489" s="15" t="n">
        <f aca="false">G489*(1+IF(H$3&lt;=$O$2,$D489,$D489-($D489-$I$481)*MIN(H$3-$O$2,$Q$2)/$Q$2))</f>
        <v>8332.2967859637</v>
      </c>
      <c r="I489" s="15" t="n">
        <f aca="false">H489*(1+IF(I$3&lt;=$O$2,$D489,$D489-($D489-$I$481)*MIN(I$3-$O$2,$Q$2)/$Q$2))</f>
        <v>8560.13302620489</v>
      </c>
      <c r="J489" s="15" t="n">
        <f aca="false">I489*(1+IF(J$3&lt;=$O$2,$D489,$D489-($D489-$I$481)*MIN(J$3-$O$2,$Q$2)/$Q$2))</f>
        <v>8787.27615605524</v>
      </c>
      <c r="K489" s="15" t="n">
        <f aca="false">J489*(1+IF(K$3&lt;=$O$2,$D489,$D489-($D489-$I$481)*MIN(K$3-$O$2,$Q$2)/$Q$2))</f>
        <v>9013.33981926496</v>
      </c>
      <c r="L489" s="15" t="n">
        <f aca="false">K489*(1+IF(L$3&lt;=$O$2,$D489,$D489-($D489-$I$481)*MIN(L$3-$O$2,$Q$2)/$Q$2))</f>
        <v>9237.92971421149</v>
      </c>
      <c r="M489" s="15" t="n">
        <f aca="false">L489*(1+IF(M$3&lt;=$O$2,$D489,$D489-($D489-$I$481)*MIN(M$3-$O$2,$Q$2)/$Q$2))</f>
        <v>9460.64465220899</v>
      </c>
      <c r="N489" s="15" t="n">
        <f aca="false">M489*(1+IF(N$3&lt;=$O$2,$D489,$D489-($D489-$I$481)*MIN(N$3-$O$2,$Q$2)/$Q$2))</f>
        <v>9681.07767260546</v>
      </c>
      <c r="O489" s="15" t="n">
        <f aca="false">SUMPRODUCT(E489:N489,1/(1+$F$481)^$E$3:$N$3)*$E$2</f>
        <v>9524.95985516391</v>
      </c>
      <c r="P489" s="15" t="n">
        <f aca="false">N489*$E$2*(1+$I$481)/($F$481-$I$481)/(1+$F$481)^$N$3</f>
        <v>11810.9294843952</v>
      </c>
      <c r="Q489" s="15" t="n">
        <f aca="false">O489+P489</f>
        <v>21335.8893395591</v>
      </c>
      <c r="R489" s="15" t="n">
        <f aca="false">Q489-$G$2+$I$2</f>
        <v>18219.6893395591</v>
      </c>
      <c r="S489" s="42" t="n">
        <f aca="false">R489/$K$2</f>
        <v>161.37900212187</v>
      </c>
      <c r="T489" s="43" t="n">
        <f aca="false">S489-$M$2</f>
        <v>-7.08866838300187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0.02734375</v>
      </c>
      <c r="C490" s="25" t="n">
        <f aca="false">IF(T489&gt;0,D489,C489)</f>
        <v>0.0390625</v>
      </c>
      <c r="D490" s="41" t="n">
        <f aca="false">(B490+C490)/2</f>
        <v>0.033203125</v>
      </c>
      <c r="E490" s="15" t="n">
        <f aca="false">$C$2*(1+IF(E$3&lt;=$O$2,$D490,$D490-($D490-$I$481)*MIN(E$3-$O$2,$Q$2)/$Q$2))</f>
        <v>7728.359375</v>
      </c>
      <c r="F490" s="15" t="n">
        <f aca="false">E490*(1+IF(F$3&lt;=$O$2,$D490,$D490-($D490-$I$481)*MIN(F$3-$O$2,$Q$2)/$Q$2))</f>
        <v>7984.96505737305</v>
      </c>
      <c r="G490" s="15" t="n">
        <f aca="false">F490*(1+IF(G$3&lt;=$O$2,$D490,$D490-($D490-$I$481)*MIN(G$3-$O$2,$Q$2)/$Q$2))</f>
        <v>8250.09085029364</v>
      </c>
      <c r="H490" s="15" t="n">
        <f aca="false">G490*(1+IF(H$3&lt;=$O$2,$D490,$D490-($D490-$I$481)*MIN(H$3-$O$2,$Q$2)/$Q$2))</f>
        <v>8524.01964805729</v>
      </c>
      <c r="I490" s="15" t="n">
        <f aca="false">H490*(1+IF(I$3&lt;=$O$2,$D490,$D490-($D490-$I$481)*MIN(I$3-$O$2,$Q$2)/$Q$2))</f>
        <v>8807.0437379342</v>
      </c>
      <c r="J490" s="15" t="n">
        <f aca="false">I490*(1+IF(J$3&lt;=$O$2,$D490,$D490-($D490-$I$481)*MIN(J$3-$O$2,$Q$2)/$Q$2))</f>
        <v>9082.02166104185</v>
      </c>
      <c r="K490" s="15" t="n">
        <f aca="false">J490*(1+IF(K$3&lt;=$O$2,$D490,$D490-($D490-$I$481)*MIN(K$3-$O$2,$Q$2)/$Q$2))</f>
        <v>9347.59700320132</v>
      </c>
      <c r="L490" s="15" t="n">
        <f aca="false">K490*(1+IF(L$3&lt;=$O$2,$D490,$D490-($D490-$I$481)*MIN(L$3-$O$2,$Q$2)/$Q$2))</f>
        <v>9602.42418200485</v>
      </c>
      <c r="M490" s="15" t="n">
        <f aca="false">L490*(1+IF(M$3&lt;=$O$2,$D490,$D490-($D490-$I$481)*MIN(M$3-$O$2,$Q$2)/$Q$2))</f>
        <v>9845.17946684104</v>
      </c>
      <c r="N490" s="15" t="n">
        <f aca="false">M490*(1+IF(N$3&lt;=$O$2,$D490,$D490-($D490-$I$481)*MIN(N$3-$O$2,$Q$2)/$Q$2))</f>
        <v>10074.5721484184</v>
      </c>
      <c r="O490" s="15" t="n">
        <f aca="false">SUMPRODUCT(E490:N490,1/(1+$F$481)^$E$3:$N$3)*$E$2</f>
        <v>9770.90326929108</v>
      </c>
      <c r="P490" s="15" t="n">
        <f aca="false">N490*$E$2*(1+$I$481)/($F$481-$I$481)/(1+$F$481)^$N$3</f>
        <v>12290.9933433473</v>
      </c>
      <c r="Q490" s="15" t="n">
        <f aca="false">O490+P490</f>
        <v>22061.8966126384</v>
      </c>
      <c r="R490" s="15" t="n">
        <f aca="false">Q490-$G$2+$I$2</f>
        <v>18945.6966126384</v>
      </c>
      <c r="S490" s="42" t="n">
        <f aca="false">R490/$K$2</f>
        <v>167.809535984397</v>
      </c>
      <c r="T490" s="43" t="n">
        <f aca="false">S490-$M$2</f>
        <v>-0.658134520474988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0.033203125</v>
      </c>
      <c r="C491" s="25" t="n">
        <f aca="false">IF(T490&gt;0,D490,C490)</f>
        <v>0.0390625</v>
      </c>
      <c r="D491" s="41" t="n">
        <f aca="false">(B491+C491)/2</f>
        <v>0.0361328125</v>
      </c>
      <c r="E491" s="15" t="n">
        <f aca="false">$C$2*(1+IF(E$3&lt;=$O$2,$D491,$D491-($D491-$I$481)*MIN(E$3-$O$2,$Q$2)/$Q$2))</f>
        <v>7750.2734375</v>
      </c>
      <c r="F491" s="15" t="n">
        <f aca="false">E491*(1+IF(F$3&lt;=$O$2,$D491,$D491-($D491-$I$481)*MIN(F$3-$O$2,$Q$2)/$Q$2))</f>
        <v>8030.31261444092</v>
      </c>
      <c r="G491" s="15" t="n">
        <f aca="false">F491*(1+IF(G$3&lt;=$O$2,$D491,$D491-($D491-$I$481)*MIN(G$3-$O$2,$Q$2)/$Q$2))</f>
        <v>8320.4703944549</v>
      </c>
      <c r="H491" s="15" t="n">
        <f aca="false">G491*(1+IF(H$3&lt;=$O$2,$D491,$D491-($D491-$I$481)*MIN(H$3-$O$2,$Q$2)/$Q$2))</f>
        <v>8621.11239112954</v>
      </c>
      <c r="I491" s="15" t="n">
        <f aca="false">H491*(1+IF(I$3&lt;=$O$2,$D491,$D491-($D491-$I$481)*MIN(I$3-$O$2,$Q$2)/$Q$2))</f>
        <v>8932.61742869965</v>
      </c>
      <c r="J491" s="15" t="n">
        <f aca="false">I491*(1+IF(J$3&lt;=$O$2,$D491,$D491-($D491-$I$481)*MIN(J$3-$O$2,$Q$2)/$Q$2))</f>
        <v>9232.45189846574</v>
      </c>
      <c r="K491" s="15" t="n">
        <f aca="false">J491*(1+IF(K$3&lt;=$O$2,$D491,$D491-($D491-$I$481)*MIN(K$3-$O$2,$Q$2)/$Q$2))</f>
        <v>9518.65502217696</v>
      </c>
      <c r="L491" s="15" t="n">
        <f aca="false">K491*(1+IF(L$3&lt;=$O$2,$D491,$D491-($D491-$I$481)*MIN(L$3-$O$2,$Q$2)/$Q$2))</f>
        <v>9789.30013025439</v>
      </c>
      <c r="M491" s="15" t="n">
        <f aca="false">L491*(1+IF(M$3&lt;=$O$2,$D491,$D491-($D491-$I$481)*MIN(M$3-$O$2,$Q$2)/$Q$2))</f>
        <v>10042.5156739049</v>
      </c>
      <c r="N491" s="15" t="n">
        <f aca="false">M491*(1+IF(N$3&lt;=$O$2,$D491,$D491-($D491-$I$481)*MIN(N$3-$O$2,$Q$2)/$Q$2))</f>
        <v>10276.5062891069</v>
      </c>
      <c r="O491" s="15" t="n">
        <f aca="false">SUMPRODUCT(E491:N491,1/(1+$F$481)^$E$3:$N$3)*$E$2</f>
        <v>9896.27952171264</v>
      </c>
      <c r="P491" s="15" t="n">
        <f aca="false">N491*$E$2*(1+$I$481)/($F$481-$I$481)/(1+$F$481)^$N$3</f>
        <v>12537.353302106</v>
      </c>
      <c r="Q491" s="15" t="n">
        <f aca="false">O491+P491</f>
        <v>22433.6328238186</v>
      </c>
      <c r="R491" s="15" t="n">
        <f aca="false">Q491-$G$2+$I$2</f>
        <v>19317.4328238186</v>
      </c>
      <c r="S491" s="42" t="n">
        <f aca="false">R491/$K$2</f>
        <v>171.102150786702</v>
      </c>
      <c r="T491" s="43" t="n">
        <f aca="false">S491-$M$2</f>
        <v>2.63448028183026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0.033203125</v>
      </c>
      <c r="C492" s="25" t="n">
        <f aca="false">IF(T491&gt;0,D491,C491)</f>
        <v>0.0361328125</v>
      </c>
      <c r="D492" s="41" t="n">
        <f aca="false">(B492+C492)/2</f>
        <v>0.03466796875</v>
      </c>
      <c r="E492" s="15" t="n">
        <f aca="false">$C$2*(1+IF(E$3&lt;=$O$2,$D492,$D492-($D492-$I$481)*MIN(E$3-$O$2,$Q$2)/$Q$2))</f>
        <v>7739.31640625</v>
      </c>
      <c r="F492" s="15" t="n">
        <f aca="false">E492*(1+IF(F$3&lt;=$O$2,$D492,$D492-($D492-$I$481)*MIN(F$3-$O$2,$Q$2)/$Q$2))</f>
        <v>8007.62278556824</v>
      </c>
      <c r="G492" s="15" t="n">
        <f aca="false">F492*(1+IF(G$3&lt;=$O$2,$D492,$D492-($D492-$I$481)*MIN(G$3-$O$2,$Q$2)/$Q$2))</f>
        <v>8285.23080206011</v>
      </c>
      <c r="H492" s="15" t="n">
        <f aca="false">G492*(1+IF(H$3&lt;=$O$2,$D492,$D492-($D492-$I$481)*MIN(H$3-$O$2,$Q$2)/$Q$2))</f>
        <v>8572.46292459246</v>
      </c>
      <c r="I492" s="15" t="n">
        <f aca="false">H492*(1+IF(I$3&lt;=$O$2,$D492,$D492-($D492-$I$481)*MIN(I$3-$O$2,$Q$2)/$Q$2))</f>
        <v>8869.65280137277</v>
      </c>
      <c r="J492" s="15" t="n">
        <f aca="false">I492*(1+IF(J$3&lt;=$O$2,$D492,$D492-($D492-$I$481)*MIN(J$3-$O$2,$Q$2)/$Q$2))</f>
        <v>9156.97966034024</v>
      </c>
      <c r="K492" s="15" t="n">
        <f aca="false">J492*(1+IF(K$3&lt;=$O$2,$D492,$D492-($D492-$I$481)*MIN(K$3-$O$2,$Q$2)/$Q$2))</f>
        <v>9432.79504160004</v>
      </c>
      <c r="L492" s="15" t="n">
        <f aca="false">K492*(1+IF(L$3&lt;=$O$2,$D492,$D492-($D492-$I$481)*MIN(L$3-$O$2,$Q$2)/$Q$2))</f>
        <v>9695.47185377255</v>
      </c>
      <c r="M492" s="15" t="n">
        <f aca="false">L492*(1+IF(M$3&lt;=$O$2,$D492,$D492-($D492-$I$481)*MIN(M$3-$O$2,$Q$2)/$Q$2))</f>
        <v>9943.41991217549</v>
      </c>
      <c r="N492" s="15" t="n">
        <f aca="false">M492*(1+IF(N$3&lt;=$O$2,$D492,$D492-($D492-$I$481)*MIN(N$3-$O$2,$Q$2)/$Q$2))</f>
        <v>10175.1015961292</v>
      </c>
      <c r="O492" s="15" t="n">
        <f aca="false">SUMPRODUCT(E492:N492,1/(1+$F$481)^$E$3:$N$3)*$E$2</f>
        <v>9833.38898366974</v>
      </c>
      <c r="P492" s="15" t="n">
        <f aca="false">N492*$E$2*(1+$I$481)/($F$481-$I$481)/(1+$F$481)^$N$3</f>
        <v>12413.6394224482</v>
      </c>
      <c r="Q492" s="15" t="n">
        <f aca="false">O492+P492</f>
        <v>22247.028406118</v>
      </c>
      <c r="R492" s="15" t="n">
        <f aca="false">Q492-$G$2+$I$2</f>
        <v>19130.828406118</v>
      </c>
      <c r="S492" s="42" t="n">
        <f aca="false">R492/$K$2</f>
        <v>169.449321577661</v>
      </c>
      <c r="T492" s="43" t="n">
        <f aca="false">S492-$M$2</f>
        <v>0.981651072789845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0.033203125</v>
      </c>
      <c r="C493" s="25" t="n">
        <f aca="false">IF(T492&gt;0,D492,C492)</f>
        <v>0.03466796875</v>
      </c>
      <c r="D493" s="41" t="n">
        <f aca="false">(B493+C493)/2</f>
        <v>0.033935546875</v>
      </c>
      <c r="E493" s="15" t="n">
        <f aca="false">$C$2*(1+IF(E$3&lt;=$O$2,$D493,$D493-($D493-$I$481)*MIN(E$3-$O$2,$Q$2)/$Q$2))</f>
        <v>7733.837890625</v>
      </c>
      <c r="F493" s="15" t="n">
        <f aca="false">E493*(1+IF(F$3&lt;=$O$2,$D493,$D493-($D493-$I$481)*MIN(F$3-$O$2,$Q$2)/$Q$2))</f>
        <v>7996.28990888596</v>
      </c>
      <c r="G493" s="15" t="n">
        <f aca="false">F493*(1+IF(G$3&lt;=$O$2,$D493,$D493-($D493-$I$481)*MIN(G$3-$O$2,$Q$2)/$Q$2))</f>
        <v>8267.64837991505</v>
      </c>
      <c r="H493" s="15" t="n">
        <f aca="false">G493*(1+IF(H$3&lt;=$O$2,$D493,$D493-($D493-$I$481)*MIN(H$3-$O$2,$Q$2)/$Q$2))</f>
        <v>8548.21554905767</v>
      </c>
      <c r="I493" s="15" t="n">
        <f aca="false">H493*(1+IF(I$3&lt;=$O$2,$D493,$D493-($D493-$I$481)*MIN(I$3-$O$2,$Q$2)/$Q$2))</f>
        <v>8838.30391852032</v>
      </c>
      <c r="J493" s="15" t="n">
        <f aca="false">I493*(1+IF(J$3&lt;=$O$2,$D493,$D493-($D493-$I$481)*MIN(J$3-$O$2,$Q$2)/$Q$2))</f>
        <v>9119.43655631858</v>
      </c>
      <c r="K493" s="15" t="n">
        <f aca="false">J493*(1+IF(K$3&lt;=$O$2,$D493,$D493-($D493-$I$481)*MIN(K$3-$O$2,$Q$2)/$Q$2))</f>
        <v>9390.11354506179</v>
      </c>
      <c r="L493" s="15" t="n">
        <f aca="false">K493*(1+IF(L$3&lt;=$O$2,$D493,$D493-($D493-$I$481)*MIN(L$3-$O$2,$Q$2)/$Q$2))</f>
        <v>9648.85078776976</v>
      </c>
      <c r="M493" s="15" t="n">
        <f aca="false">L493*(1+IF(M$3&lt;=$O$2,$D493,$D493-($D493-$I$481)*MIN(M$3-$O$2,$Q$2)/$Q$2))</f>
        <v>9894.19317209344</v>
      </c>
      <c r="N493" s="15" t="n">
        <f aca="false">M493*(1+IF(N$3&lt;=$O$2,$D493,$D493-($D493-$I$481)*MIN(N$3-$O$2,$Q$2)/$Q$2))</f>
        <v>10124.7278730032</v>
      </c>
      <c r="O493" s="15" t="n">
        <f aca="false">SUMPRODUCT(E493:N493,1/(1+$F$481)^$E$3:$N$3)*$E$2</f>
        <v>9802.09567690927</v>
      </c>
      <c r="P493" s="15" t="n">
        <f aca="false">N493*$E$2*(1+$I$481)/($F$481-$I$481)/(1+$F$481)^$N$3</f>
        <v>12352.1834036219</v>
      </c>
      <c r="Q493" s="15" t="n">
        <f aca="false">O493+P493</f>
        <v>22154.2790805311</v>
      </c>
      <c r="R493" s="15" t="n">
        <f aca="false">Q493-$G$2+$I$2</f>
        <v>19038.0790805311</v>
      </c>
      <c r="S493" s="42" t="n">
        <f aca="false">R493/$K$2</f>
        <v>168.627804079107</v>
      </c>
      <c r="T493" s="43" t="n">
        <f aca="false">S493-$M$2</f>
        <v>0.160133574235005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0.033203125</v>
      </c>
      <c r="C494" s="25" t="n">
        <f aca="false">IF(T493&gt;0,D493,C493)</f>
        <v>0.033935546875</v>
      </c>
      <c r="D494" s="41" t="n">
        <f aca="false">(B494+C494)/2</f>
        <v>0.0335693359375</v>
      </c>
      <c r="E494" s="15" t="n">
        <f aca="false">$C$2*(1+IF(E$3&lt;=$O$2,$D494,$D494-($D494-$I$481)*MIN(E$3-$O$2,$Q$2)/$Q$2))</f>
        <v>7731.0986328125</v>
      </c>
      <c r="F494" s="15" t="n">
        <f aca="false">E494*(1+IF(F$3&lt;=$O$2,$D494,$D494-($D494-$I$481)*MIN(F$3-$O$2,$Q$2)/$Q$2))</f>
        <v>7990.62647998333</v>
      </c>
      <c r="G494" s="15" t="n">
        <f aca="false">F494*(1+IF(G$3&lt;=$O$2,$D494,$D494-($D494-$I$481)*MIN(G$3-$O$2,$Q$2)/$Q$2))</f>
        <v>8258.86650464097</v>
      </c>
      <c r="H494" s="15" t="n">
        <f aca="false">G494*(1+IF(H$3&lt;=$O$2,$D494,$D494-($D494-$I$481)*MIN(H$3-$O$2,$Q$2)/$Q$2))</f>
        <v>8536.11116879823</v>
      </c>
      <c r="I494" s="15" t="n">
        <f aca="false">H494*(1+IF(I$3&lt;=$O$2,$D494,$D494-($D494-$I$481)*MIN(I$3-$O$2,$Q$2)/$Q$2))</f>
        <v>8822.66275222347</v>
      </c>
      <c r="J494" s="15" t="n">
        <f aca="false">I494*(1+IF(J$3&lt;=$O$2,$D494,$D494-($D494-$I$481)*MIN(J$3-$O$2,$Q$2)/$Q$2))</f>
        <v>9100.71310448295</v>
      </c>
      <c r="K494" s="15" t="n">
        <f aca="false">J494*(1+IF(K$3&lt;=$O$2,$D494,$D494-($D494-$I$481)*MIN(K$3-$O$2,$Q$2)/$Q$2))</f>
        <v>9368.83468790185</v>
      </c>
      <c r="L494" s="15" t="n">
        <f aca="false">K494*(1+IF(L$3&lt;=$O$2,$D494,$D494-($D494-$I$481)*MIN(L$3-$O$2,$Q$2)/$Q$2))</f>
        <v>9625.61322043115</v>
      </c>
      <c r="M494" s="15" t="n">
        <f aca="false">L494*(1+IF(M$3&lt;=$O$2,$D494,$D494-($D494-$I$481)*MIN(M$3-$O$2,$Q$2)/$Q$2))</f>
        <v>9869.65973962021</v>
      </c>
      <c r="N494" s="15" t="n">
        <f aca="false">M494*(1+IF(N$3&lt;=$O$2,$D494,$D494-($D494-$I$481)*MIN(N$3-$O$2,$Q$2)/$Q$2))</f>
        <v>10099.6228115534</v>
      </c>
      <c r="O494" s="15" t="n">
        <f aca="false">SUMPRODUCT(E494:N494,1/(1+$F$481)^$E$3:$N$3)*$E$2</f>
        <v>9786.48687983645</v>
      </c>
      <c r="P494" s="15" t="n">
        <f aca="false">N494*$E$2*(1+$I$481)/($F$481-$I$481)/(1+$F$481)^$N$3</f>
        <v>12321.5551904711</v>
      </c>
      <c r="Q494" s="15" t="n">
        <f aca="false">O494+P494</f>
        <v>22108.0420703076</v>
      </c>
      <c r="R494" s="15" t="n">
        <f aca="false">Q494-$G$2+$I$2</f>
        <v>18991.8420703076</v>
      </c>
      <c r="S494" s="42" t="n">
        <f aca="false">R494/$K$2</f>
        <v>168.21826457314</v>
      </c>
      <c r="T494" s="43" t="n">
        <f aca="false">S494-$M$2</f>
        <v>-0.249405931731189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0.0335693359375</v>
      </c>
      <c r="C495" s="25" t="n">
        <f aca="false">IF(T494&gt;0,D494,C494)</f>
        <v>0.033935546875</v>
      </c>
      <c r="D495" s="41" t="n">
        <f aca="false">(B495+C495)/2</f>
        <v>0.03375244140625</v>
      </c>
      <c r="E495" s="15" t="n">
        <f aca="false">$C$2*(1+IF(E$3&lt;=$O$2,$D495,$D495-($D495-$I$481)*MIN(E$3-$O$2,$Q$2)/$Q$2))</f>
        <v>7732.46826171875</v>
      </c>
      <c r="F495" s="15" t="n">
        <f aca="false">E495*(1+IF(F$3&lt;=$O$2,$D495,$D495-($D495-$I$481)*MIN(F$3-$O$2,$Q$2)/$Q$2))</f>
        <v>7993.4579436481</v>
      </c>
      <c r="G495" s="15" t="n">
        <f aca="false">F495*(1+IF(G$3&lt;=$O$2,$D495,$D495-($D495-$I$481)*MIN(G$3-$O$2,$Q$2)/$Q$2))</f>
        <v>8263.25666452441</v>
      </c>
      <c r="H495" s="15" t="n">
        <f aca="false">G495*(1+IF(H$3&lt;=$O$2,$D495,$D495-($D495-$I$481)*MIN(H$3-$O$2,$Q$2)/$Q$2))</f>
        <v>8542.16175091857</v>
      </c>
      <c r="I495" s="15" t="n">
        <f aca="false">H495*(1+IF(I$3&lt;=$O$2,$D495,$D495-($D495-$I$481)*MIN(I$3-$O$2,$Q$2)/$Q$2))</f>
        <v>8830.48056489916</v>
      </c>
      <c r="J495" s="15" t="n">
        <f aca="false">I495*(1+IF(J$3&lt;=$O$2,$D495,$D495-($D495-$I$481)*MIN(J$3-$O$2,$Q$2)/$Q$2))</f>
        <v>9110.07082661622</v>
      </c>
      <c r="K495" s="15" t="n">
        <f aca="false">J495*(1+IF(K$3&lt;=$O$2,$D495,$D495-($D495-$I$481)*MIN(K$3-$O$2,$Q$2)/$Q$2))</f>
        <v>9379.46896578958</v>
      </c>
      <c r="L495" s="15" t="n">
        <f aca="false">K495*(1+IF(L$3&lt;=$O$2,$D495,$D495-($D495-$I$481)*MIN(L$3-$O$2,$Q$2)/$Q$2))</f>
        <v>9637.22593260713</v>
      </c>
      <c r="M495" s="15" t="n">
        <f aca="false">L495*(1+IF(M$3&lt;=$O$2,$D495,$D495-($D495-$I$481)*MIN(M$3-$O$2,$Q$2)/$Q$2))</f>
        <v>9881.91980471275</v>
      </c>
      <c r="N495" s="15" t="n">
        <f aca="false">M495*(1+IF(N$3&lt;=$O$2,$D495,$D495-($D495-$I$481)*MIN(N$3-$O$2,$Q$2)/$Q$2))</f>
        <v>10112.1685361626</v>
      </c>
      <c r="O495" s="15" t="n">
        <f aca="false">SUMPRODUCT(E495:N495,1/(1+$F$481)^$E$3:$N$3)*$E$2</f>
        <v>9794.28812766777</v>
      </c>
      <c r="P495" s="15" t="n">
        <f aca="false">N495*$E$2*(1+$I$481)/($F$481-$I$481)/(1+$F$481)^$N$3</f>
        <v>12336.860993575</v>
      </c>
      <c r="Q495" s="15" t="n">
        <f aca="false">O495+P495</f>
        <v>22131.1491212427</v>
      </c>
      <c r="R495" s="15" t="n">
        <f aca="false">Q495-$G$2+$I$2</f>
        <v>19014.9491212427</v>
      </c>
      <c r="S495" s="42" t="n">
        <f aca="false">R495/$K$2</f>
        <v>168.422932871946</v>
      </c>
      <c r="T495" s="43" t="n">
        <f aca="false">S495-$M$2</f>
        <v>-0.044737632925461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0.03375244140625</v>
      </c>
      <c r="C496" s="25" t="n">
        <f aca="false">IF(T495&gt;0,D495,C495)</f>
        <v>0.033935546875</v>
      </c>
      <c r="D496" s="41" t="n">
        <f aca="false">(B496+C496)/2</f>
        <v>0.033843994140625</v>
      </c>
      <c r="E496" s="15" t="n">
        <f aca="false">$C$2*(1+IF(E$3&lt;=$O$2,$D496,$D496-($D496-$I$481)*MIN(E$3-$O$2,$Q$2)/$Q$2))</f>
        <v>7733.15307617188</v>
      </c>
      <c r="F496" s="15" t="n">
        <f aca="false">E496*(1+IF(F$3&lt;=$O$2,$D496,$D496-($D496-$I$481)*MIN(F$3-$O$2,$Q$2)/$Q$2))</f>
        <v>7994.87386357039</v>
      </c>
      <c r="G496" s="15" t="n">
        <f aca="false">F496*(1+IF(G$3&lt;=$O$2,$D496,$D496-($D496-$I$481)*MIN(G$3-$O$2,$Q$2)/$Q$2))</f>
        <v>8265.4523277641</v>
      </c>
      <c r="H496" s="15" t="n">
        <f aca="false">G496*(1+IF(H$3&lt;=$O$2,$D496,$D496-($D496-$I$481)*MIN(H$3-$O$2,$Q$2)/$Q$2))</f>
        <v>8545.18824791457</v>
      </c>
      <c r="I496" s="15" t="n">
        <f aca="false">H496*(1+IF(I$3&lt;=$O$2,$D496,$D496-($D496-$I$481)*MIN(I$3-$O$2,$Q$2)/$Q$2))</f>
        <v>8834.39154890753</v>
      </c>
      <c r="J496" s="15" t="n">
        <f aca="false">I496*(1+IF(J$3&lt;=$O$2,$D496,$D496-($D496-$I$481)*MIN(J$3-$O$2,$Q$2)/$Q$2))</f>
        <v>9114.75269017921</v>
      </c>
      <c r="K496" s="15" t="n">
        <f aca="false">J496*(1+IF(K$3&lt;=$O$2,$D496,$D496-($D496-$I$481)*MIN(K$3-$O$2,$Q$2)/$Q$2))</f>
        <v>9384.78996723548</v>
      </c>
      <c r="L496" s="15" t="n">
        <f aca="false">K496*(1+IF(L$3&lt;=$O$2,$D496,$D496-($D496-$I$481)*MIN(L$3-$O$2,$Q$2)/$Q$2))</f>
        <v>9643.03684164228</v>
      </c>
      <c r="M496" s="15" t="n">
        <f aca="false">L496*(1+IF(M$3&lt;=$O$2,$D496,$D496-($D496-$I$481)*MIN(M$3-$O$2,$Q$2)/$Q$2))</f>
        <v>9888.05482484376</v>
      </c>
      <c r="N496" s="15" t="n">
        <f aca="false">M496*(1+IF(N$3&lt;=$O$2,$D496,$D496-($D496-$I$481)*MIN(N$3-$O$2,$Q$2)/$Q$2))</f>
        <v>10118.4465022626</v>
      </c>
      <c r="O496" s="15" t="n">
        <f aca="false">SUMPRODUCT(E496:N496,1/(1+$F$481)^$E$3:$N$3)*$E$2</f>
        <v>9798.19111431343</v>
      </c>
      <c r="P496" s="15" t="n">
        <f aca="false">N496*$E$2*(1+$I$481)/($F$481-$I$481)/(1+$F$481)^$N$3</f>
        <v>12344.5201217651</v>
      </c>
      <c r="Q496" s="15" t="n">
        <f aca="false">O496+P496</f>
        <v>22142.7112360785</v>
      </c>
      <c r="R496" s="15" t="n">
        <f aca="false">Q496-$G$2+$I$2</f>
        <v>19026.5112360785</v>
      </c>
      <c r="S496" s="42" t="n">
        <f aca="false">R496/$K$2</f>
        <v>168.525343100784</v>
      </c>
      <c r="T496" s="43" t="n">
        <f aca="false">S496-$M$2</f>
        <v>0.0576725959125497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0.03375244140625</v>
      </c>
      <c r="C497" s="25" t="n">
        <f aca="false">IF(T496&gt;0,D496,C496)</f>
        <v>0.033843994140625</v>
      </c>
      <c r="D497" s="41" t="n">
        <f aca="false">(B497+C497)/2</f>
        <v>0.0337982177734375</v>
      </c>
      <c r="E497" s="15" t="n">
        <f aca="false">$C$2*(1+IF(E$3&lt;=$O$2,$D497,$D497-($D497-$I$481)*MIN(E$3-$O$2,$Q$2)/$Q$2))</f>
        <v>7732.81066894531</v>
      </c>
      <c r="F497" s="15" t="n">
        <f aca="false">E497*(1+IF(F$3&lt;=$O$2,$D497,$D497-($D497-$I$481)*MIN(F$3-$O$2,$Q$2)/$Q$2))</f>
        <v>7994.16588793509</v>
      </c>
      <c r="G497" s="15" t="n">
        <f aca="false">F497*(1+IF(G$3&lt;=$O$2,$D497,$D497-($D497-$I$481)*MIN(G$3-$O$2,$Q$2)/$Q$2))</f>
        <v>8264.3544475325</v>
      </c>
      <c r="H497" s="15" t="n">
        <f aca="false">G497*(1+IF(H$3&lt;=$O$2,$D497,$D497-($D497-$I$481)*MIN(H$3-$O$2,$Q$2)/$Q$2))</f>
        <v>8543.67489890708</v>
      </c>
      <c r="I497" s="15" t="n">
        <f aca="false">H497*(1+IF(I$3&lt;=$O$2,$D497,$D497-($D497-$I$481)*MIN(I$3-$O$2,$Q$2)/$Q$2))</f>
        <v>8832.4358837258</v>
      </c>
      <c r="J497" s="15" t="n">
        <f aca="false">I497*(1+IF(J$3&lt;=$O$2,$D497,$D497-($D497-$I$481)*MIN(J$3-$O$2,$Q$2)/$Q$2))</f>
        <v>9112.41150811843</v>
      </c>
      <c r="K497" s="15" t="n">
        <f aca="false">J497*(1+IF(K$3&lt;=$O$2,$D497,$D497-($D497-$I$481)*MIN(K$3-$O$2,$Q$2)/$Q$2))</f>
        <v>9382.12914452963</v>
      </c>
      <c r="L497" s="15" t="n">
        <f aca="false">K497*(1+IF(L$3&lt;=$O$2,$D497,$D497-($D497-$I$481)*MIN(L$3-$O$2,$Q$2)/$Q$2))</f>
        <v>9640.13100757229</v>
      </c>
      <c r="M497" s="15" t="n">
        <f aca="false">L497*(1+IF(M$3&lt;=$O$2,$D497,$D497-($D497-$I$481)*MIN(M$3-$O$2,$Q$2)/$Q$2))</f>
        <v>9884.98689898511</v>
      </c>
      <c r="N497" s="15" t="n">
        <f aca="false">M497*(1+IF(N$3&lt;=$O$2,$D497,$D497-($D497-$I$481)*MIN(N$3-$O$2,$Q$2)/$Q$2))</f>
        <v>10115.3070937315</v>
      </c>
      <c r="O497" s="15" t="n">
        <f aca="false">SUMPRODUCT(E497:N497,1/(1+$F$481)^$E$3:$N$3)*$E$2</f>
        <v>9796.23942403419</v>
      </c>
      <c r="P497" s="15" t="n">
        <f aca="false">N497*$E$2*(1+$I$481)/($F$481-$I$481)/(1+$F$481)^$N$3</f>
        <v>12340.6900385824</v>
      </c>
      <c r="Q497" s="15" t="n">
        <f aca="false">O497+P497</f>
        <v>22136.9294626166</v>
      </c>
      <c r="R497" s="15" t="n">
        <f aca="false">Q497-$G$2+$I$2</f>
        <v>19020.7294626166</v>
      </c>
      <c r="S497" s="42" t="n">
        <f aca="false">R497/$K$2</f>
        <v>168.47413164408</v>
      </c>
      <c r="T497" s="43" t="n">
        <f aca="false">S497-$M$2</f>
        <v>0.00646113920805647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0.03375244140625</v>
      </c>
      <c r="C498" s="25" t="n">
        <f aca="false">IF(T497&gt;0,D497,C497)</f>
        <v>0.0337982177734375</v>
      </c>
      <c r="D498" s="41" t="n">
        <f aca="false">(B498+C498)/2</f>
        <v>0.0337753295898438</v>
      </c>
      <c r="E498" s="15" t="n">
        <f aca="false">$C$2*(1+IF(E$3&lt;=$O$2,$D498,$D498-($D498-$I$481)*MIN(E$3-$O$2,$Q$2)/$Q$2))</f>
        <v>7732.63946533203</v>
      </c>
      <c r="F498" s="15" t="n">
        <f aca="false">E498*(1+IF(F$3&lt;=$O$2,$D498,$D498-($D498-$I$481)*MIN(F$3-$O$2,$Q$2)/$Q$2))</f>
        <v>7993.81191187305</v>
      </c>
      <c r="G498" s="15" t="n">
        <f aca="false">F498*(1+IF(G$3&lt;=$O$2,$D498,$D498-($D498-$I$481)*MIN(G$3-$O$2,$Q$2)/$Q$2))</f>
        <v>8263.80554387579</v>
      </c>
      <c r="H498" s="15" t="n">
        <f aca="false">G498*(1+IF(H$3&lt;=$O$2,$D498,$D498-($D498-$I$481)*MIN(H$3-$O$2,$Q$2)/$Q$2))</f>
        <v>8542.91829978657</v>
      </c>
      <c r="I498" s="15" t="n">
        <f aca="false">H498*(1+IF(I$3&lt;=$O$2,$D498,$D498-($D498-$I$481)*MIN(I$3-$O$2,$Q$2)/$Q$2))</f>
        <v>8831.45818102097</v>
      </c>
      <c r="J498" s="15" t="n">
        <f aca="false">I498*(1+IF(J$3&lt;=$O$2,$D498,$D498-($D498-$I$481)*MIN(J$3-$O$2,$Q$2)/$Q$2))</f>
        <v>9111.24110480285</v>
      </c>
      <c r="K498" s="15" t="n">
        <f aca="false">J498*(1+IF(K$3&lt;=$O$2,$D498,$D498-($D498-$I$481)*MIN(K$3-$O$2,$Q$2)/$Q$2))</f>
        <v>9380.79897467196</v>
      </c>
      <c r="L498" s="15" t="n">
        <f aca="false">K498*(1+IF(L$3&lt;=$O$2,$D498,$D498-($D498-$I$481)*MIN(L$3-$O$2,$Q$2)/$Q$2))</f>
        <v>9638.67837521212</v>
      </c>
      <c r="M498" s="15" t="n">
        <f aca="false">L498*(1+IF(M$3&lt;=$O$2,$D498,$D498-($D498-$I$481)*MIN(M$3-$O$2,$Q$2)/$Q$2))</f>
        <v>9883.45324791273</v>
      </c>
      <c r="N498" s="15" t="n">
        <f aca="false">M498*(1+IF(N$3&lt;=$O$2,$D498,$D498-($D498-$I$481)*MIN(N$3-$O$2,$Q$2)/$Q$2))</f>
        <v>10113.7377085891</v>
      </c>
      <c r="O498" s="15" t="n">
        <f aca="false">SUMPRODUCT(E498:N498,1/(1+$F$481)^$E$3:$N$3)*$E$2</f>
        <v>9795.26372661655</v>
      </c>
      <c r="P498" s="15" t="n">
        <f aca="false">N498*$E$2*(1+$I$481)/($F$481-$I$481)/(1+$F$481)^$N$3</f>
        <v>12338.7753863219</v>
      </c>
      <c r="Q498" s="15" t="n">
        <f aca="false">O498+P498</f>
        <v>22134.0391129384</v>
      </c>
      <c r="R498" s="15" t="n">
        <f aca="false">Q498-$G$2+$I$2</f>
        <v>19017.8391129384</v>
      </c>
      <c r="S498" s="42" t="n">
        <f aca="false">R498/$K$2</f>
        <v>168.448530672617</v>
      </c>
      <c r="T498" s="43" t="n">
        <f aca="false">S498-$M$2</f>
        <v>-0.019139832255064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0.0337753295898438</v>
      </c>
      <c r="C499" s="25" t="n">
        <f aca="false">IF(T498&gt;0,D498,C498)</f>
        <v>0.0337982177734375</v>
      </c>
      <c r="D499" s="41" t="n">
        <f aca="false">(B499+C499)/2</f>
        <v>0.0337867736816406</v>
      </c>
      <c r="E499" s="15" t="n">
        <f aca="false">$C$2*(1+IF(E$3&lt;=$O$2,$D499,$D499-($D499-$I$481)*MIN(E$3-$O$2,$Q$2)/$Q$2))</f>
        <v>7732.72506713867</v>
      </c>
      <c r="F499" s="15" t="n">
        <f aca="false">E499*(1+IF(F$3&lt;=$O$2,$D499,$D499-($D499-$I$481)*MIN(F$3-$O$2,$Q$2)/$Q$2))</f>
        <v>7993.98889892444</v>
      </c>
      <c r="G499" s="15" t="n">
        <f aca="false">F499*(1+IF(G$3&lt;=$O$2,$D499,$D499-($D499-$I$481)*MIN(G$3-$O$2,$Q$2)/$Q$2))</f>
        <v>8264.07999266594</v>
      </c>
      <c r="H499" s="15" t="n">
        <f aca="false">G499*(1+IF(H$3&lt;=$O$2,$D499,$D499-($D499-$I$481)*MIN(H$3-$O$2,$Q$2)/$Q$2))</f>
        <v>8543.29659306512</v>
      </c>
      <c r="I499" s="15" t="n">
        <f aca="false">H499*(1+IF(I$3&lt;=$O$2,$D499,$D499-($D499-$I$481)*MIN(I$3-$O$2,$Q$2)/$Q$2))</f>
        <v>8831.94702155015</v>
      </c>
      <c r="J499" s="15" t="n">
        <f aca="false">I499*(1+IF(J$3&lt;=$O$2,$D499,$D499-($D499-$I$481)*MIN(J$3-$O$2,$Q$2)/$Q$2))</f>
        <v>9111.82629081885</v>
      </c>
      <c r="K499" s="15" t="n">
        <f aca="false">J499*(1+IF(K$3&lt;=$O$2,$D499,$D499-($D499-$I$481)*MIN(K$3-$O$2,$Q$2)/$Q$2))</f>
        <v>9381.46403947788</v>
      </c>
      <c r="L499" s="15" t="n">
        <f aca="false">K499*(1+IF(L$3&lt;=$O$2,$D499,$D499-($D499-$I$481)*MIN(L$3-$O$2,$Q$2)/$Q$2))</f>
        <v>9639.4046676715</v>
      </c>
      <c r="M499" s="15" t="n">
        <f aca="false">L499*(1+IF(M$3&lt;=$O$2,$D499,$D499-($D499-$I$481)*MIN(M$3-$O$2,$Q$2)/$Q$2))</f>
        <v>9884.22004746337</v>
      </c>
      <c r="N499" s="15" t="n">
        <f aca="false">M499*(1+IF(N$3&lt;=$O$2,$D499,$D499-($D499-$I$481)*MIN(N$3-$O$2,$Q$2)/$Q$2))</f>
        <v>10114.5223745693</v>
      </c>
      <c r="O499" s="15" t="n">
        <f aca="false">SUMPRODUCT(E499:N499,1/(1+$F$481)^$E$3:$N$3)*$E$2</f>
        <v>9795.75156301618</v>
      </c>
      <c r="P499" s="15" t="n">
        <f aca="false">N499*$E$2*(1+$I$481)/($F$481-$I$481)/(1+$F$481)^$N$3</f>
        <v>12339.732680011</v>
      </c>
      <c r="Q499" s="15" t="n">
        <f aca="false">O499+P499</f>
        <v>22135.4842430272</v>
      </c>
      <c r="R499" s="15" t="n">
        <f aca="false">Q499-$G$2+$I$2</f>
        <v>19019.2842430272</v>
      </c>
      <c r="S499" s="42" t="n">
        <f aca="false">R499/$K$2</f>
        <v>168.461330761977</v>
      </c>
      <c r="T499" s="43" t="n">
        <f aca="false">S499-$M$2</f>
        <v>-0.0063397428943972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0.0337867736816406</v>
      </c>
      <c r="C500" s="25" t="n">
        <f aca="false">IF(T499&gt;0,D499,C499)</f>
        <v>0.0337982177734375</v>
      </c>
      <c r="D500" s="41" t="n">
        <f aca="false">(B500+C500)/2</f>
        <v>0.0337924957275391</v>
      </c>
      <c r="E500" s="15" t="n">
        <f aca="false">$C$2*(1+IF(E$3&lt;=$O$2,$D500,$D500-($D500-$I$481)*MIN(E$3-$O$2,$Q$2)/$Q$2))</f>
        <v>7732.76786804199</v>
      </c>
      <c r="F500" s="15" t="n">
        <f aca="false">E500*(1+IF(F$3&lt;=$O$2,$D500,$D500-($D500-$I$481)*MIN(F$3-$O$2,$Q$2)/$Q$2))</f>
        <v>7994.07739318485</v>
      </c>
      <c r="G500" s="15" t="n">
        <f aca="false">F500*(1+IF(G$3&lt;=$O$2,$D500,$D500-($D500-$I$481)*MIN(G$3-$O$2,$Q$2)/$Q$2))</f>
        <v>8264.21721933967</v>
      </c>
      <c r="H500" s="15" t="n">
        <f aca="false">G500*(1+IF(H$3&lt;=$O$2,$D500,$D500-($D500-$I$481)*MIN(H$3-$O$2,$Q$2)/$Q$2))</f>
        <v>8543.48574441566</v>
      </c>
      <c r="I500" s="15" t="n">
        <f aca="false">H500*(1+IF(I$3&lt;=$O$2,$D500,$D500-($D500-$I$481)*MIN(I$3-$O$2,$Q$2)/$Q$2))</f>
        <v>8832.19144993212</v>
      </c>
      <c r="J500" s="15" t="n">
        <f aca="false">I500*(1+IF(J$3&lt;=$O$2,$D500,$D500-($D500-$I$481)*MIN(J$3-$O$2,$Q$2)/$Q$2))</f>
        <v>9112.11889555811</v>
      </c>
      <c r="K500" s="15" t="n">
        <f aca="false">J500*(1+IF(K$3&lt;=$O$2,$D500,$D500-($D500-$I$481)*MIN(K$3-$O$2,$Q$2)/$Q$2))</f>
        <v>9381.7965869729</v>
      </c>
      <c r="L500" s="15" t="n">
        <f aca="false">K500*(1+IF(L$3&lt;=$O$2,$D500,$D500-($D500-$I$481)*MIN(L$3-$O$2,$Q$2)/$Q$2))</f>
        <v>9639.76783169155</v>
      </c>
      <c r="M500" s="15" t="n">
        <f aca="false">L500*(1+IF(M$3&lt;=$O$2,$D500,$D500-($D500-$I$481)*MIN(M$3-$O$2,$Q$2)/$Q$2))</f>
        <v>9884.60346672766</v>
      </c>
      <c r="N500" s="15" t="n">
        <f aca="false">M500*(1+IF(N$3&lt;=$O$2,$D500,$D500-($D500-$I$481)*MIN(N$3-$O$2,$Q$2)/$Q$2))</f>
        <v>10114.9147275024</v>
      </c>
      <c r="O500" s="15" t="n">
        <f aca="false">SUMPRODUCT(E500:N500,1/(1+$F$481)^$E$3:$N$3)*$E$2</f>
        <v>9795.99549044781</v>
      </c>
      <c r="P500" s="15" t="n">
        <f aca="false">N500*$E$2*(1+$I$481)/($F$481-$I$481)/(1+$F$481)^$N$3</f>
        <v>12340.2113511862</v>
      </c>
      <c r="Q500" s="15" t="n">
        <f aca="false">O500+P500</f>
        <v>22136.206841634</v>
      </c>
      <c r="R500" s="15" t="n">
        <f aca="false">Q500-$G$2+$I$2</f>
        <v>19020.006841634</v>
      </c>
      <c r="S500" s="42" t="n">
        <f aca="false">R500/$K$2</f>
        <v>168.467731103933</v>
      </c>
      <c r="T500" s="43" t="n">
        <f aca="false">S500-$M$2</f>
        <v>6.05990613848917E-005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0.0337867736816406</v>
      </c>
      <c r="C501" s="25" t="n">
        <f aca="false">IF(T500&gt;0,D500,C500)</f>
        <v>0.0337924957275391</v>
      </c>
      <c r="D501" s="41" t="n">
        <f aca="false">(B501+C501)/2</f>
        <v>0.0337896347045898</v>
      </c>
      <c r="E501" s="15" t="n">
        <f aca="false">$C$2*(1+IF(E$3&lt;=$O$2,$D501,$D501-($D501-$I$481)*MIN(E$3-$O$2,$Q$2)/$Q$2))</f>
        <v>7732.74646759033</v>
      </c>
      <c r="F501" s="15" t="n">
        <f aca="false">E501*(1+IF(F$3&lt;=$O$2,$D501,$D501-($D501-$I$481)*MIN(F$3-$O$2,$Q$2)/$Q$2))</f>
        <v>7994.03314599342</v>
      </c>
      <c r="G501" s="15" t="n">
        <f aca="false">F501*(1+IF(G$3&lt;=$O$2,$D501,$D501-($D501-$I$481)*MIN(G$3-$O$2,$Q$2)/$Q$2))</f>
        <v>8264.14860581292</v>
      </c>
      <c r="H501" s="15" t="n">
        <f aca="false">G501*(1+IF(H$3&lt;=$O$2,$D501,$D501-($D501-$I$481)*MIN(H$3-$O$2,$Q$2)/$Q$2))</f>
        <v>8543.39116834778</v>
      </c>
      <c r="I501" s="15" t="n">
        <f aca="false">H501*(1+IF(I$3&lt;=$O$2,$D501,$D501-($D501-$I$481)*MIN(I$3-$O$2,$Q$2)/$Q$2))</f>
        <v>8832.06923506467</v>
      </c>
      <c r="J501" s="15" t="n">
        <f aca="false">I501*(1+IF(J$3&lt;=$O$2,$D501,$D501-($D501-$I$481)*MIN(J$3-$O$2,$Q$2)/$Q$2))</f>
        <v>9111.97259221086</v>
      </c>
      <c r="K501" s="15" t="n">
        <f aca="false">J501*(1+IF(K$3&lt;=$O$2,$D501,$D501-($D501-$I$481)*MIN(K$3-$O$2,$Q$2)/$Q$2))</f>
        <v>9381.63031196769</v>
      </c>
      <c r="L501" s="15" t="n">
        <f aca="false">K501*(1+IF(L$3&lt;=$O$2,$D501,$D501-($D501-$I$481)*MIN(L$3-$O$2,$Q$2)/$Q$2))</f>
        <v>9639.58624819896</v>
      </c>
      <c r="M501" s="15" t="n">
        <f aca="false">L501*(1+IF(M$3&lt;=$O$2,$D501,$D501-($D501-$I$481)*MIN(M$3-$O$2,$Q$2)/$Q$2))</f>
        <v>9884.41175547139</v>
      </c>
      <c r="N501" s="15" t="n">
        <f aca="false">M501*(1+IF(N$3&lt;=$O$2,$D501,$D501-($D501-$I$481)*MIN(N$3-$O$2,$Q$2)/$Q$2))</f>
        <v>10114.7185493739</v>
      </c>
      <c r="O501" s="15" t="n">
        <f aca="false">SUMPRODUCT(E501:N501,1/(1+$F$481)^$E$3:$N$3)*$E$2</f>
        <v>9795.87352596266</v>
      </c>
      <c r="P501" s="15" t="n">
        <f aca="false">N501*$E$2*(1+$I$481)/($F$481-$I$481)/(1+$F$481)^$N$3</f>
        <v>12339.972013571</v>
      </c>
      <c r="Q501" s="15" t="n">
        <f aca="false">O501+P501</f>
        <v>22135.8455395337</v>
      </c>
      <c r="R501" s="15" t="n">
        <f aca="false">Q501-$G$2+$I$2</f>
        <v>19019.6455395337</v>
      </c>
      <c r="S501" s="42" t="n">
        <f aca="false">R501/$K$2</f>
        <v>168.464530908181</v>
      </c>
      <c r="T501" s="43" t="n">
        <f aca="false">S501-$M$2</f>
        <v>-0.00313959669014707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0.0337896347045898</v>
      </c>
      <c r="C502" s="25" t="n">
        <f aca="false">IF(T501&gt;0,D501,C501)</f>
        <v>0.0337924957275391</v>
      </c>
      <c r="D502" s="41" t="n">
        <f aca="false">(B502+C502)/2</f>
        <v>0.0337910652160645</v>
      </c>
      <c r="E502" s="15" t="n">
        <f aca="false">$C$2*(1+IF(E$3&lt;=$O$2,$D502,$D502-($D502-$I$481)*MIN(E$3-$O$2,$Q$2)/$Q$2))</f>
        <v>7732.75716781616</v>
      </c>
      <c r="F502" s="15" t="n">
        <f aca="false">E502*(1+IF(F$3&lt;=$O$2,$D502,$D502-($D502-$I$481)*MIN(F$3-$O$2,$Q$2)/$Q$2))</f>
        <v>7994.05526957383</v>
      </c>
      <c r="G502" s="15" t="n">
        <f aca="false">F502*(1+IF(G$3&lt;=$O$2,$D502,$D502-($D502-$I$481)*MIN(G$3-$O$2,$Q$2)/$Q$2))</f>
        <v>8264.18291252882</v>
      </c>
      <c r="H502" s="15" t="n">
        <f aca="false">G502*(1+IF(H$3&lt;=$O$2,$D502,$D502-($D502-$I$481)*MIN(H$3-$O$2,$Q$2)/$Q$2))</f>
        <v>8543.43845628357</v>
      </c>
      <c r="I502" s="15" t="n">
        <f aca="false">H502*(1+IF(I$3&lt;=$O$2,$D502,$D502-($D502-$I$481)*MIN(I$3-$O$2,$Q$2)/$Q$2))</f>
        <v>8832.13034232928</v>
      </c>
      <c r="J502" s="15" t="n">
        <f aca="false">I502*(1+IF(J$3&lt;=$O$2,$D502,$D502-($D502-$I$481)*MIN(J$3-$O$2,$Q$2)/$Q$2))</f>
        <v>9112.04574364008</v>
      </c>
      <c r="K502" s="15" t="n">
        <f aca="false">J502*(1+IF(K$3&lt;=$O$2,$D502,$D502-($D502-$I$481)*MIN(K$3-$O$2,$Q$2)/$Q$2))</f>
        <v>9381.71344915587</v>
      </c>
      <c r="L502" s="15" t="n">
        <f aca="false">K502*(1+IF(L$3&lt;=$O$2,$D502,$D502-($D502-$I$481)*MIN(L$3-$O$2,$Q$2)/$Q$2))</f>
        <v>9639.67703957461</v>
      </c>
      <c r="M502" s="15" t="n">
        <f aca="false">L502*(1+IF(M$3&lt;=$O$2,$D502,$D502-($D502-$I$481)*MIN(M$3-$O$2,$Q$2)/$Q$2))</f>
        <v>9884.50761069349</v>
      </c>
      <c r="N502" s="15" t="n">
        <f aca="false">M502*(1+IF(N$3&lt;=$O$2,$D502,$D502-($D502-$I$481)*MIN(N$3-$O$2,$Q$2)/$Q$2))</f>
        <v>10114.8166380227</v>
      </c>
      <c r="O502" s="15" t="n">
        <f aca="false">SUMPRODUCT(E502:N502,1/(1+$F$481)^$E$3:$N$3)*$E$2</f>
        <v>9795.9345080129</v>
      </c>
      <c r="P502" s="15" t="n">
        <f aca="false">N502*$E$2*(1+$I$481)/($F$481-$I$481)/(1+$F$481)^$N$3</f>
        <v>12340.0916818717</v>
      </c>
      <c r="Q502" s="15" t="n">
        <f aca="false">O502+P502</f>
        <v>22136.0261898846</v>
      </c>
      <c r="R502" s="15" t="n">
        <f aca="false">Q502-$G$2+$I$2</f>
        <v>19019.8261898846</v>
      </c>
      <c r="S502" s="42" t="n">
        <f aca="false">R502/$K$2</f>
        <v>168.466130999864</v>
      </c>
      <c r="T502" s="43" t="n">
        <f aca="false">S502-$M$2</f>
        <v>-0.00153950500782685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0.0337910652160645</v>
      </c>
      <c r="C503" s="25" t="n">
        <f aca="false">IF(T502&gt;0,D502,C502)</f>
        <v>0.0337924957275391</v>
      </c>
      <c r="D503" s="41" t="n">
        <f aca="false">(B503+C503)/2</f>
        <v>0.0337917804718018</v>
      </c>
      <c r="E503" s="15" t="n">
        <f aca="false">$C$2*(1+IF(E$3&lt;=$O$2,$D503,$D503-($D503-$I$481)*MIN(E$3-$O$2,$Q$2)/$Q$2))</f>
        <v>7732.76251792908</v>
      </c>
      <c r="F503" s="15" t="n">
        <f aca="false">E503*(1+IF(F$3&lt;=$O$2,$D503,$D503-($D503-$I$481)*MIN(F$3-$O$2,$Q$2)/$Q$2))</f>
        <v>7994.06633137551</v>
      </c>
      <c r="G503" s="15" t="n">
        <f aca="false">F503*(1+IF(G$3&lt;=$O$2,$D503,$D503-($D503-$I$481)*MIN(G$3-$O$2,$Q$2)/$Q$2))</f>
        <v>8264.20006592238</v>
      </c>
      <c r="H503" s="15" t="n">
        <f aca="false">G503*(1+IF(H$3&lt;=$O$2,$D503,$D503-($D503-$I$481)*MIN(H$3-$O$2,$Q$2)/$Q$2))</f>
        <v>8543.46210032508</v>
      </c>
      <c r="I503" s="15" t="n">
        <f aca="false">H503*(1+IF(I$3&lt;=$O$2,$D503,$D503-($D503-$I$481)*MIN(I$3-$O$2,$Q$2)/$Q$2))</f>
        <v>8832.16089608842</v>
      </c>
      <c r="J503" s="15" t="n">
        <f aca="false">I503*(1+IF(J$3&lt;=$O$2,$D503,$D503-($D503-$I$481)*MIN(J$3-$O$2,$Q$2)/$Q$2))</f>
        <v>9112.08231953799</v>
      </c>
      <c r="K503" s="15" t="n">
        <f aca="false">J503*(1+IF(K$3&lt;=$O$2,$D503,$D503-($D503-$I$481)*MIN(K$3-$O$2,$Q$2)/$Q$2))</f>
        <v>9381.75501798578</v>
      </c>
      <c r="L503" s="15" t="n">
        <f aca="false">K503*(1+IF(L$3&lt;=$O$2,$D503,$D503-($D503-$I$481)*MIN(L$3-$O$2,$Q$2)/$Q$2))</f>
        <v>9639.72243554042</v>
      </c>
      <c r="M503" s="15" t="n">
        <f aca="false">L503*(1+IF(M$3&lt;=$O$2,$D503,$D503-($D503-$I$481)*MIN(M$3-$O$2,$Q$2)/$Q$2))</f>
        <v>9884.55553860907</v>
      </c>
      <c r="N503" s="15" t="n">
        <f aca="false">M503*(1+IF(N$3&lt;=$O$2,$D503,$D503-($D503-$I$481)*MIN(N$3-$O$2,$Q$2)/$Q$2))</f>
        <v>10114.8656826587</v>
      </c>
      <c r="O503" s="15" t="n">
        <f aca="false">SUMPRODUCT(E503:N503,1/(1+$F$481)^$E$3:$N$3)*$E$2</f>
        <v>9795.96499918227</v>
      </c>
      <c r="P503" s="15" t="n">
        <f aca="false">N503*$E$2*(1+$I$481)/($F$481-$I$481)/(1+$F$481)^$N$3</f>
        <v>12340.1515164022</v>
      </c>
      <c r="Q503" s="15" t="n">
        <f aca="false">O503+P503</f>
        <v>22136.1165155845</v>
      </c>
      <c r="R503" s="15" t="n">
        <f aca="false">Q503-$G$2+$I$2</f>
        <v>19019.9165155845</v>
      </c>
      <c r="S503" s="42" t="n">
        <f aca="false">R503/$K$2</f>
        <v>168.46693105035</v>
      </c>
      <c r="T503" s="43" t="n">
        <f aca="false">S503-$M$2</f>
        <v>-0.000739454521635707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0.0337917804718018</v>
      </c>
      <c r="C504" s="25" t="n">
        <f aca="false">IF(T503&gt;0,D503,C503)</f>
        <v>0.0337924957275391</v>
      </c>
      <c r="D504" s="41" t="n">
        <f aca="false">(B504+C504)/2</f>
        <v>0.0337921380996704</v>
      </c>
      <c r="E504" s="15" t="n">
        <f aca="false">$C$2*(1+IF(E$3&lt;=$O$2,$D504,$D504-($D504-$I$481)*MIN(E$3-$O$2,$Q$2)/$Q$2))</f>
        <v>7732.76519298554</v>
      </c>
      <c r="F504" s="15" t="n">
        <f aca="false">E504*(1+IF(F$3&lt;=$O$2,$D504,$D504-($D504-$I$481)*MIN(F$3-$O$2,$Q$2)/$Q$2))</f>
        <v>7994.07186227923</v>
      </c>
      <c r="G504" s="15" t="n">
        <f aca="false">F504*(1+IF(G$3&lt;=$O$2,$D504,$D504-($D504-$I$481)*MIN(G$3-$O$2,$Q$2)/$Q$2))</f>
        <v>8264.20864262806</v>
      </c>
      <c r="H504" s="15" t="n">
        <f aca="false">G504*(1+IF(H$3&lt;=$O$2,$D504,$D504-($D504-$I$481)*MIN(H$3-$O$2,$Q$2)/$Q$2))</f>
        <v>8543.47392236423</v>
      </c>
      <c r="I504" s="15" t="n">
        <f aca="false">H504*(1+IF(I$3&lt;=$O$2,$D504,$D504-($D504-$I$481)*MIN(I$3-$O$2,$Q$2)/$Q$2))</f>
        <v>8832.1761729997</v>
      </c>
      <c r="J504" s="15" t="n">
        <f aca="false">I504*(1+IF(J$3&lt;=$O$2,$D504,$D504-($D504-$I$481)*MIN(J$3-$O$2,$Q$2)/$Q$2))</f>
        <v>9112.10060753278</v>
      </c>
      <c r="K504" s="15" t="n">
        <f aca="false">J504*(1+IF(K$3&lt;=$O$2,$D504,$D504-($D504-$I$481)*MIN(K$3-$O$2,$Q$2)/$Q$2))</f>
        <v>9381.77580245968</v>
      </c>
      <c r="L504" s="15" t="n">
        <f aca="false">K504*(1+IF(L$3&lt;=$O$2,$D504,$D504-($D504-$I$481)*MIN(L$3-$O$2,$Q$2)/$Q$2))</f>
        <v>9639.74513359282</v>
      </c>
      <c r="M504" s="15" t="n">
        <f aca="false">L504*(1+IF(M$3&lt;=$O$2,$D504,$D504-($D504-$I$481)*MIN(M$3-$O$2,$Q$2)/$Q$2))</f>
        <v>9884.57950264299</v>
      </c>
      <c r="N504" s="15" t="n">
        <f aca="false">M504*(1+IF(N$3&lt;=$O$2,$D504,$D504-($D504-$I$481)*MIN(N$3-$O$2,$Q$2)/$Q$2))</f>
        <v>10114.8902050546</v>
      </c>
      <c r="O504" s="15" t="n">
        <f aca="false">SUMPRODUCT(E504:N504,1/(1+$F$481)^$E$3:$N$3)*$E$2</f>
        <v>9795.98024480302</v>
      </c>
      <c r="P504" s="15" t="n">
        <f aca="false">N504*$E$2*(1+$I$481)/($F$481-$I$481)/(1+$F$481)^$N$3</f>
        <v>12340.1814337626</v>
      </c>
      <c r="Q504" s="15" t="n">
        <f aca="false">O504+P504</f>
        <v>22136.1616785656</v>
      </c>
      <c r="R504" s="15" t="n">
        <f aca="false">Q504-$G$2+$I$2</f>
        <v>19019.9616785656</v>
      </c>
      <c r="S504" s="42" t="n">
        <f aca="false">R504/$K$2</f>
        <v>168.467331076754</v>
      </c>
      <c r="T504" s="43" t="n">
        <f aca="false">S504-$M$2</f>
        <v>-0.000339428117200669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0.0337921380996704</v>
      </c>
      <c r="C505" s="25" t="n">
        <f aca="false">IF(T504&gt;0,D504,C504)</f>
        <v>0.0337924957275391</v>
      </c>
      <c r="D505" s="41" t="n">
        <f aca="false">(B505+C505)/2</f>
        <v>0.0337923169136047</v>
      </c>
      <c r="E505" s="15" t="n">
        <f aca="false">$C$2*(1+IF(E$3&lt;=$O$2,$D505,$D505-($D505-$I$481)*MIN(E$3-$O$2,$Q$2)/$Q$2))</f>
        <v>7732.76653051376</v>
      </c>
      <c r="F505" s="15" t="n">
        <f aca="false">E505*(1+IF(F$3&lt;=$O$2,$D505,$D505-($D505-$I$481)*MIN(F$3-$O$2,$Q$2)/$Q$2))</f>
        <v>7994.0746277318</v>
      </c>
      <c r="G505" s="15" t="n">
        <f aca="false">F505*(1+IF(G$3&lt;=$O$2,$D505,$D505-($D505-$I$481)*MIN(G$3-$O$2,$Q$2)/$Q$2))</f>
        <v>8264.21293098312</v>
      </c>
      <c r="H505" s="15" t="n">
        <f aca="false">G505*(1+IF(H$3&lt;=$O$2,$D505,$D505-($D505-$I$481)*MIN(H$3-$O$2,$Q$2)/$Q$2))</f>
        <v>8543.47983338841</v>
      </c>
      <c r="I505" s="15" t="n">
        <f aca="false">H505*(1+IF(I$3&lt;=$O$2,$D505,$D505-($D505-$I$481)*MIN(I$3-$O$2,$Q$2)/$Q$2))</f>
        <v>8832.18381146327</v>
      </c>
      <c r="J505" s="15" t="n">
        <f aca="false">I505*(1+IF(J$3&lt;=$O$2,$D505,$D505-($D505-$I$481)*MIN(J$3-$O$2,$Q$2)/$Q$2))</f>
        <v>9112.10975154162</v>
      </c>
      <c r="K505" s="15" t="n">
        <f aca="false">J505*(1+IF(K$3&lt;=$O$2,$D505,$D505-($D505-$I$481)*MIN(K$3-$O$2,$Q$2)/$Q$2))</f>
        <v>9381.78619471138</v>
      </c>
      <c r="L505" s="15" t="n">
        <f aca="false">K505*(1+IF(L$3&lt;=$O$2,$D505,$D505-($D505-$I$481)*MIN(L$3-$O$2,$Q$2)/$Q$2))</f>
        <v>9639.75648263639</v>
      </c>
      <c r="M505" s="15" t="n">
        <f aca="false">L505*(1+IF(M$3&lt;=$O$2,$D505,$D505-($D505-$I$481)*MIN(M$3-$O$2,$Q$2)/$Q$2))</f>
        <v>9884.59148467898</v>
      </c>
      <c r="N505" s="15" t="n">
        <f aca="false">M505*(1+IF(N$3&lt;=$O$2,$D505,$D505-($D505-$I$481)*MIN(N$3-$O$2,$Q$2)/$Q$2))</f>
        <v>10114.902466272</v>
      </c>
      <c r="O505" s="15" t="n">
        <f aca="false">SUMPRODUCT(E505:N505,1/(1+$F$481)^$E$3:$N$3)*$E$2</f>
        <v>9795.98786762241</v>
      </c>
      <c r="P505" s="15" t="n">
        <f aca="false">N505*$E$2*(1+$I$481)/($F$481-$I$481)/(1+$F$481)^$N$3</f>
        <v>12340.1963924665</v>
      </c>
      <c r="Q505" s="15" t="n">
        <f aca="false">O505+P505</f>
        <v>22136.1842600889</v>
      </c>
      <c r="R505" s="15" t="n">
        <f aca="false">Q505-$G$2+$I$2</f>
        <v>19019.9842600889</v>
      </c>
      <c r="S505" s="42" t="n">
        <f aca="false">R505/$K$2</f>
        <v>168.467531090247</v>
      </c>
      <c r="T505" s="43" t="n">
        <f aca="false">S505-$M$2</f>
        <v>-0.000139414624754863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0.0337923169136047</v>
      </c>
      <c r="C506" s="25" t="n">
        <f aca="false">IF(T505&gt;0,D505,C505)</f>
        <v>0.0337924957275391</v>
      </c>
      <c r="D506" s="41" t="n">
        <f aca="false">(B506+C506)/2</f>
        <v>0.0337924063205719</v>
      </c>
      <c r="E506" s="15" t="n">
        <f aca="false">$C$2*(1+IF(E$3&lt;=$O$2,$D506,$D506-($D506-$I$481)*MIN(E$3-$O$2,$Q$2)/$Q$2))</f>
        <v>7732.76719927788</v>
      </c>
      <c r="F506" s="15" t="n">
        <f aca="false">E506*(1+IF(F$3&lt;=$O$2,$D506,$D506-($D506-$I$481)*MIN(F$3-$O$2,$Q$2)/$Q$2))</f>
        <v>7994.07601045827</v>
      </c>
      <c r="G506" s="15" t="n">
        <f aca="false">F506*(1+IF(G$3&lt;=$O$2,$D506,$D506-($D506-$I$481)*MIN(G$3-$O$2,$Q$2)/$Q$2))</f>
        <v>8264.21507516121</v>
      </c>
      <c r="H506" s="15" t="n">
        <f aca="false">G506*(1+IF(H$3&lt;=$O$2,$D506,$D506-($D506-$I$481)*MIN(H$3-$O$2,$Q$2)/$Q$2))</f>
        <v>8543.48278890165</v>
      </c>
      <c r="I506" s="15" t="n">
        <f aca="false">H506*(1+IF(I$3&lt;=$O$2,$D506,$D506-($D506-$I$481)*MIN(I$3-$O$2,$Q$2)/$Q$2))</f>
        <v>8832.18763069703</v>
      </c>
      <c r="J506" s="15" t="n">
        <f aca="false">I506*(1+IF(J$3&lt;=$O$2,$D506,$D506-($D506-$I$481)*MIN(J$3-$O$2,$Q$2)/$Q$2))</f>
        <v>9112.11432354891</v>
      </c>
      <c r="K506" s="15" t="n">
        <f aca="false">J506*(1+IF(K$3&lt;=$O$2,$D506,$D506-($D506-$I$481)*MIN(K$3-$O$2,$Q$2)/$Q$2))</f>
        <v>9381.79139084091</v>
      </c>
      <c r="L506" s="15" t="n">
        <f aca="false">K506*(1+IF(L$3&lt;=$O$2,$D506,$D506-($D506-$I$481)*MIN(L$3-$O$2,$Q$2)/$Q$2))</f>
        <v>9639.76215716252</v>
      </c>
      <c r="M506" s="15" t="n">
        <f aca="false">L506*(1+IF(M$3&lt;=$O$2,$D506,$D506-($D506-$I$481)*MIN(M$3-$O$2,$Q$2)/$Q$2))</f>
        <v>9884.59747570173</v>
      </c>
      <c r="N506" s="15" t="n">
        <f aca="false">M506*(1+IF(N$3&lt;=$O$2,$D506,$D506-($D506-$I$481)*MIN(N$3-$O$2,$Q$2)/$Q$2))</f>
        <v>10114.9085968856</v>
      </c>
      <c r="O506" s="15" t="n">
        <f aca="false">SUMPRODUCT(E506:N506,1/(1+$F$481)^$E$3:$N$3)*$E$2</f>
        <v>9795.99167903436</v>
      </c>
      <c r="P506" s="15" t="n">
        <f aca="false">N506*$E$2*(1+$I$481)/($F$481-$I$481)/(1+$F$481)^$N$3</f>
        <v>12340.2038718244</v>
      </c>
      <c r="Q506" s="15" t="n">
        <f aca="false">O506+P506</f>
        <v>22136.1955508587</v>
      </c>
      <c r="R506" s="15" t="n">
        <f aca="false">Q506-$G$2+$I$2</f>
        <v>19019.9955508587</v>
      </c>
      <c r="S506" s="42" t="n">
        <f aca="false">R506/$K$2</f>
        <v>168.467631097066</v>
      </c>
      <c r="T506" s="43" t="n">
        <f aca="false">S506-$M$2</f>
        <v>-3.9407805928704E-005</v>
      </c>
    </row>
    <row r="508" customFormat="false" ht="15" hidden="false" customHeight="false" outlineLevel="0" collapsed="false">
      <c r="A508" s="38" t="s">
        <v>202</v>
      </c>
      <c r="E508" s="5" t="s">
        <v>11</v>
      </c>
      <c r="F508" s="12" t="n">
        <f aca="false">Sensitivity!$B$13</f>
        <v>0.0861268672746673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165</v>
      </c>
      <c r="B509" s="28" t="s">
        <v>166</v>
      </c>
      <c r="C509" s="28" t="s">
        <v>167</v>
      </c>
      <c r="D509" s="28" t="s">
        <v>168</v>
      </c>
      <c r="E509" s="28" t="s">
        <v>169</v>
      </c>
      <c r="F509" s="28" t="s">
        <v>170</v>
      </c>
      <c r="G509" s="28" t="s">
        <v>171</v>
      </c>
      <c r="H509" s="28" t="s">
        <v>172</v>
      </c>
      <c r="I509" s="28" t="s">
        <v>173</v>
      </c>
      <c r="J509" s="28" t="s">
        <v>174</v>
      </c>
      <c r="K509" s="28" t="s">
        <v>175</v>
      </c>
      <c r="L509" s="28" t="s">
        <v>176</v>
      </c>
      <c r="M509" s="28" t="s">
        <v>177</v>
      </c>
      <c r="N509" s="28" t="s">
        <v>178</v>
      </c>
      <c r="O509" s="28" t="s">
        <v>179</v>
      </c>
      <c r="P509" s="28" t="s">
        <v>180</v>
      </c>
      <c r="Q509" s="28" t="s">
        <v>181</v>
      </c>
      <c r="R509" s="28" t="s">
        <v>182</v>
      </c>
      <c r="S509" s="28" t="s">
        <v>183</v>
      </c>
      <c r="T509" s="28" t="s">
        <v>184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9350</v>
      </c>
      <c r="F510" s="15" t="n">
        <f aca="false">E510*(1+IF(F$3&lt;=$O$2,$D510,$D510-($D510-$I$508)*MIN(F$3-$O$2,$Q$2)/$Q$2))</f>
        <v>11687.5</v>
      </c>
      <c r="G510" s="15" t="n">
        <f aca="false">F510*(1+IF(G$3&lt;=$O$2,$D510,$D510-($D510-$I$508)*MIN(G$3-$O$2,$Q$2)/$Q$2))</f>
        <v>14609.375</v>
      </c>
      <c r="H510" s="15" t="n">
        <f aca="false">G510*(1+IF(H$3&lt;=$O$2,$D510,$D510-($D510-$I$508)*MIN(H$3-$O$2,$Q$2)/$Q$2))</f>
        <v>18261.71875</v>
      </c>
      <c r="I510" s="15" t="n">
        <f aca="false">H510*(1+IF(I$3&lt;=$O$2,$D510,$D510-($D510-$I$508)*MIN(I$3-$O$2,$Q$2)/$Q$2))</f>
        <v>22827.1484375</v>
      </c>
      <c r="J510" s="15" t="n">
        <f aca="false">I510*(1+IF(J$3&lt;=$O$2,$D510,$D510-($D510-$I$508)*MIN(J$3-$O$2,$Q$2)/$Q$2))</f>
        <v>27521.7797851563</v>
      </c>
      <c r="K510" s="15" t="n">
        <f aca="false">J510*(1+IF(K$3&lt;=$O$2,$D510,$D510-($D510-$I$508)*MIN(K$3-$O$2,$Q$2)/$Q$2))</f>
        <v>31961.5933000977</v>
      </c>
      <c r="L510" s="15" t="n">
        <f aca="false">K510*(1+IF(L$3&lt;=$O$2,$D510,$D510-($D510-$I$508)*MIN(L$3-$O$2,$Q$2)/$Q$2))</f>
        <v>35700.4604843431</v>
      </c>
      <c r="M510" s="15" t="n">
        <f aca="false">L510*(1+IF(M$3&lt;=$O$2,$D510,$D510-($D510-$I$508)*MIN(M$3-$O$2,$Q$2)/$Q$2))</f>
        <v>38293.7419339258</v>
      </c>
      <c r="N510" s="15" t="n">
        <f aca="false">M510*(1+IF(N$3&lt;=$O$2,$D510,$D510-($D510-$I$508)*MIN(N$3-$O$2,$Q$2)/$Q$2))</f>
        <v>39377.4548306559</v>
      </c>
      <c r="O510" s="15" t="n">
        <f aca="false">SUMPRODUCT(E510:N510,1/(1+$F$508)^$E$3:$N$3)*$E$2</f>
        <v>25105.3305990423</v>
      </c>
      <c r="P510" s="15" t="n">
        <f aca="false">N510*$E$2*(1+$I$508)/($F$508-$I$508)/(1+$F$508)^$N$3</f>
        <v>52449.4109997912</v>
      </c>
      <c r="Q510" s="15" t="n">
        <f aca="false">O510+P510</f>
        <v>77554.7415988335</v>
      </c>
      <c r="R510" s="15" t="n">
        <f aca="false">Q510-$G$2+$I$2</f>
        <v>74438.5415988335</v>
      </c>
      <c r="S510" s="42" t="n">
        <f aca="false">R510/$K$2</f>
        <v>659.331635064955</v>
      </c>
      <c r="T510" s="43" t="n">
        <f aca="false">S510-$M$2</f>
        <v>490.863964560084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6545</v>
      </c>
      <c r="F511" s="15" t="n">
        <f aca="false">E511*(1+IF(F$3&lt;=$O$2,$D511,$D511-($D511-$I$508)*MIN(F$3-$O$2,$Q$2)/$Q$2))</f>
        <v>5726.875</v>
      </c>
      <c r="G511" s="15" t="n">
        <f aca="false">F511*(1+IF(G$3&lt;=$O$2,$D511,$D511-($D511-$I$508)*MIN(G$3-$O$2,$Q$2)/$Q$2))</f>
        <v>5011.015625</v>
      </c>
      <c r="H511" s="15" t="n">
        <f aca="false">G511*(1+IF(H$3&lt;=$O$2,$D511,$D511-($D511-$I$508)*MIN(H$3-$O$2,$Q$2)/$Q$2))</f>
        <v>4384.638671875</v>
      </c>
      <c r="I511" s="15" t="n">
        <f aca="false">H511*(1+IF(I$3&lt;=$O$2,$D511,$D511-($D511-$I$508)*MIN(I$3-$O$2,$Q$2)/$Q$2))</f>
        <v>3836.55883789063</v>
      </c>
      <c r="J511" s="15" t="n">
        <f aca="false">I511*(1+IF(J$3&lt;=$O$2,$D511,$D511-($D511-$I$508)*MIN(J$3-$O$2,$Q$2)/$Q$2))</f>
        <v>3474.61787712402</v>
      </c>
      <c r="K511" s="15" t="n">
        <f aca="false">J511*(1+IF(K$3&lt;=$O$2,$D511,$D511-($D511-$I$508)*MIN(K$3-$O$2,$Q$2)/$Q$2))</f>
        <v>3253.35421070877</v>
      </c>
      <c r="L511" s="15" t="n">
        <f aca="false">K511*(1+IF(L$3&lt;=$O$2,$D511,$D511-($D511-$I$508)*MIN(L$3-$O$2,$Q$2)/$Q$2))</f>
        <v>3145.92845467116</v>
      </c>
      <c r="M511" s="15" t="n">
        <f aca="false">L511*(1+IF(M$3&lt;=$O$2,$D511,$D511-($D511-$I$508)*MIN(M$3-$O$2,$Q$2)/$Q$2))</f>
        <v>3138.50406351814</v>
      </c>
      <c r="N511" s="15" t="n">
        <f aca="false">M511*(1+IF(N$3&lt;=$O$2,$D511,$D511-($D511-$I$508)*MIN(N$3-$O$2,$Q$2)/$Q$2))</f>
        <v>3227.3237285157</v>
      </c>
      <c r="O511" s="15" t="n">
        <f aca="false">SUMPRODUCT(E511:N511,1/(1+$F$508)^$E$3:$N$3)*$E$2</f>
        <v>4954.17093896682</v>
      </c>
      <c r="P511" s="15" t="n">
        <f aca="false">N511*$E$2*(1+$I$508)/($F$508-$I$508)/(1+$F$508)^$N$3</f>
        <v>4298.68383810623</v>
      </c>
      <c r="Q511" s="15" t="n">
        <f aca="false">O511+P511</f>
        <v>9252.85477707305</v>
      </c>
      <c r="R511" s="15" t="n">
        <f aca="false">Q511-$G$2+$I$2</f>
        <v>6136.65477707305</v>
      </c>
      <c r="S511" s="42" t="n">
        <f aca="false">R511/$K$2</f>
        <v>54.3547810192476</v>
      </c>
      <c r="T511" s="43" t="n">
        <f aca="false">S511-$M$2</f>
        <v>-114.112889485624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7947.5</v>
      </c>
      <c r="F512" s="15" t="n">
        <f aca="false">E512*(1+IF(F$3&lt;=$O$2,$D512,$D512-($D512-$I$508)*MIN(F$3-$O$2,$Q$2)/$Q$2))</f>
        <v>8444.21875</v>
      </c>
      <c r="G512" s="15" t="n">
        <f aca="false">F512*(1+IF(G$3&lt;=$O$2,$D512,$D512-($D512-$I$508)*MIN(G$3-$O$2,$Q$2)/$Q$2))</f>
        <v>8971.982421875</v>
      </c>
      <c r="H512" s="15" t="n">
        <f aca="false">G512*(1+IF(H$3&lt;=$O$2,$D512,$D512-($D512-$I$508)*MIN(H$3-$O$2,$Q$2)/$Q$2))</f>
        <v>9532.73132324219</v>
      </c>
      <c r="I512" s="15" t="n">
        <f aca="false">H512*(1+IF(I$3&lt;=$O$2,$D512,$D512-($D512-$I$508)*MIN(I$3-$O$2,$Q$2)/$Q$2))</f>
        <v>10128.5270309448</v>
      </c>
      <c r="J512" s="15" t="n">
        <f aca="false">I512*(1+IF(J$3&lt;=$O$2,$D512,$D512-($D512-$I$508)*MIN(J$3-$O$2,$Q$2)/$Q$2))</f>
        <v>10692.2808454872</v>
      </c>
      <c r="K512" s="15" t="n">
        <f aca="false">J512*(1+IF(K$3&lt;=$O$2,$D512,$D512-($D512-$I$508)*MIN(K$3-$O$2,$Q$2)/$Q$2))</f>
        <v>11214.2779963639</v>
      </c>
      <c r="L512" s="15" t="n">
        <f aca="false">K512*(1+IF(L$3&lt;=$O$2,$D512,$D512-($D512-$I$508)*MIN(L$3-$O$2,$Q$2)/$Q$2))</f>
        <v>11685.0533866513</v>
      </c>
      <c r="M512" s="15" t="n">
        <f aca="false">L512*(1+IF(M$3&lt;=$O$2,$D512,$D512-($D512-$I$508)*MIN(M$3-$O$2,$Q$2)/$Q$2))</f>
        <v>12095.6661626582</v>
      </c>
      <c r="N512" s="15" t="n">
        <f aca="false">M512*(1+IF(N$3&lt;=$O$2,$D512,$D512-($D512-$I$508)*MIN(N$3-$O$2,$Q$2)/$Q$2))</f>
        <v>12437.9735150614</v>
      </c>
      <c r="O512" s="15" t="n">
        <f aca="false">SUMPRODUCT(E512:N512,1/(1+$F$508)^$E$3:$N$3)*$E$2</f>
        <v>11133.2511792446</v>
      </c>
      <c r="P512" s="15" t="n">
        <f aca="false">N512*$E$2*(1+$I$508)/($F$508-$I$508)/(1+$F$508)^$N$3</f>
        <v>16566.9515132832</v>
      </c>
      <c r="Q512" s="15" t="n">
        <f aca="false">O512+P512</f>
        <v>27700.2026925278</v>
      </c>
      <c r="R512" s="15" t="n">
        <f aca="false">Q512-$G$2+$I$2</f>
        <v>24584.0026925278</v>
      </c>
      <c r="S512" s="42" t="n">
        <f aca="false">R512/$K$2</f>
        <v>217.750245283683</v>
      </c>
      <c r="T512" s="43" t="n">
        <f aca="false">S512-$M$2</f>
        <v>49.2825747788112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-0.125</v>
      </c>
      <c r="C513" s="25" t="n">
        <f aca="false">IF(T512&gt;0,D512,C512)</f>
        <v>0.0625</v>
      </c>
      <c r="D513" s="41" t="n">
        <f aca="false">(B513+C513)/2</f>
        <v>-0.03125</v>
      </c>
      <c r="E513" s="15" t="n">
        <f aca="false">$C$2*(1+IF(E$3&lt;=$O$2,$D513,$D513-($D513-$I$508)*MIN(E$3-$O$2,$Q$2)/$Q$2))</f>
        <v>7246.25</v>
      </c>
      <c r="F513" s="15" t="n">
        <f aca="false">E513*(1+IF(F$3&lt;=$O$2,$D513,$D513-($D513-$I$508)*MIN(F$3-$O$2,$Q$2)/$Q$2))</f>
        <v>7019.8046875</v>
      </c>
      <c r="G513" s="15" t="n">
        <f aca="false">F513*(1+IF(G$3&lt;=$O$2,$D513,$D513-($D513-$I$508)*MIN(G$3-$O$2,$Q$2)/$Q$2))</f>
        <v>6800.43579101563</v>
      </c>
      <c r="H513" s="15" t="n">
        <f aca="false">G513*(1+IF(H$3&lt;=$O$2,$D513,$D513-($D513-$I$508)*MIN(H$3-$O$2,$Q$2)/$Q$2))</f>
        <v>6587.92217254639</v>
      </c>
      <c r="I513" s="15" t="n">
        <f aca="false">H513*(1+IF(I$3&lt;=$O$2,$D513,$D513-($D513-$I$508)*MIN(I$3-$O$2,$Q$2)/$Q$2))</f>
        <v>6382.04960465431</v>
      </c>
      <c r="J513" s="15" t="n">
        <f aca="false">I513*(1+IF(J$3&lt;=$O$2,$D513,$D513-($D513-$I$508)*MIN(J$3-$O$2,$Q$2)/$Q$2))</f>
        <v>6258.6207653003</v>
      </c>
      <c r="K513" s="15" t="n">
        <f aca="false">J513*(1+IF(K$3&lt;=$O$2,$D513,$D513-($D513-$I$508)*MIN(K$3-$O$2,$Q$2)/$Q$2))</f>
        <v>6212.11921301412</v>
      </c>
      <c r="L513" s="15" t="n">
        <f aca="false">K513*(1+IF(L$3&lt;=$O$2,$D513,$D513-($D513-$I$508)*MIN(L$3-$O$2,$Q$2)/$Q$2))</f>
        <v>6239.94950708842</v>
      </c>
      <c r="M513" s="15" t="n">
        <f aca="false">L513*(1+IF(M$3&lt;=$O$2,$D513,$D513-($D513-$I$508)*MIN(M$3-$O$2,$Q$2)/$Q$2))</f>
        <v>6342.2222795096</v>
      </c>
      <c r="N513" s="15" t="n">
        <f aca="false">M513*(1+IF(N$3&lt;=$O$2,$D513,$D513-($D513-$I$508)*MIN(N$3-$O$2,$Q$2)/$Q$2))</f>
        <v>6521.70717001972</v>
      </c>
      <c r="O513" s="15" t="n">
        <f aca="false">SUMPRODUCT(E513:N513,1/(1+$F$508)^$E$3:$N$3)*$E$2</f>
        <v>7405.26435859935</v>
      </c>
      <c r="P513" s="15" t="n">
        <f aca="false">N513*$E$2*(1+$I$508)/($F$508-$I$508)/(1+$F$508)^$N$3</f>
        <v>8686.6888998207</v>
      </c>
      <c r="Q513" s="15" t="n">
        <f aca="false">O513+P513</f>
        <v>16091.9532584201</v>
      </c>
      <c r="R513" s="15" t="n">
        <f aca="false">Q513-$G$2+$I$2</f>
        <v>12975.7532584201</v>
      </c>
      <c r="S513" s="42" t="n">
        <f aca="false">R513/$K$2</f>
        <v>114.931384042693</v>
      </c>
      <c r="T513" s="43" t="n">
        <f aca="false">S513-$M$2</f>
        <v>-53.5362864621785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-0.03125</v>
      </c>
      <c r="C514" s="25" t="n">
        <f aca="false">IF(T513&gt;0,D513,C513)</f>
        <v>0.0625</v>
      </c>
      <c r="D514" s="41" t="n">
        <f aca="false">(B514+C514)/2</f>
        <v>0.015625</v>
      </c>
      <c r="E514" s="15" t="n">
        <f aca="false">$C$2*(1+IF(E$3&lt;=$O$2,$D514,$D514-($D514-$I$508)*MIN(E$3-$O$2,$Q$2)/$Q$2))</f>
        <v>7596.875</v>
      </c>
      <c r="F514" s="15" t="n">
        <f aca="false">E514*(1+IF(F$3&lt;=$O$2,$D514,$D514-($D514-$I$508)*MIN(F$3-$O$2,$Q$2)/$Q$2))</f>
        <v>7715.576171875</v>
      </c>
      <c r="G514" s="15" t="n">
        <f aca="false">F514*(1+IF(G$3&lt;=$O$2,$D514,$D514-($D514-$I$508)*MIN(G$3-$O$2,$Q$2)/$Q$2))</f>
        <v>7836.13204956055</v>
      </c>
      <c r="H514" s="15" t="n">
        <f aca="false">G514*(1+IF(H$3&lt;=$O$2,$D514,$D514-($D514-$I$508)*MIN(H$3-$O$2,$Q$2)/$Q$2))</f>
        <v>7958.57161283493</v>
      </c>
      <c r="I514" s="15" t="n">
        <f aca="false">H514*(1+IF(I$3&lt;=$O$2,$D514,$D514-($D514-$I$508)*MIN(I$3-$O$2,$Q$2)/$Q$2))</f>
        <v>8082.92429428548</v>
      </c>
      <c r="J514" s="15" t="n">
        <f aca="false">I514*(1+IF(J$3&lt;=$O$2,$D514,$D514-($D514-$I$508)*MIN(J$3-$O$2,$Q$2)/$Q$2))</f>
        <v>8229.7101994697</v>
      </c>
      <c r="K514" s="15" t="n">
        <f aca="false">J514*(1+IF(K$3&lt;=$O$2,$D514,$D514-($D514-$I$508)*MIN(K$3-$O$2,$Q$2)/$Q$2))</f>
        <v>8400.02405204773</v>
      </c>
      <c r="L514" s="15" t="n">
        <f aca="false">K514*(1+IF(L$3&lt;=$O$2,$D514,$D514-($D514-$I$508)*MIN(L$3-$O$2,$Q$2)/$Q$2))</f>
        <v>8595.15661077679</v>
      </c>
      <c r="M514" s="15" t="n">
        <f aca="false">L514*(1+IF(M$3&lt;=$O$2,$D514,$D514-($D514-$I$508)*MIN(M$3-$O$2,$Q$2)/$Q$2))</f>
        <v>8816.61082085346</v>
      </c>
      <c r="N514" s="15" t="n">
        <f aca="false">M514*(1+IF(N$3&lt;=$O$2,$D514,$D514-($D514-$I$508)*MIN(N$3-$O$2,$Q$2)/$Q$2))</f>
        <v>9066.12090708361</v>
      </c>
      <c r="O514" s="15" t="n">
        <f aca="false">SUMPRODUCT(E514:N514,1/(1+$F$508)^$E$3:$N$3)*$E$2</f>
        <v>9076.3072851378</v>
      </c>
      <c r="P514" s="15" t="n">
        <f aca="false">N514*$E$2*(1+$I$508)/($F$508-$I$508)/(1+$F$508)^$N$3</f>
        <v>12075.7601951266</v>
      </c>
      <c r="Q514" s="15" t="n">
        <f aca="false">O514+P514</f>
        <v>21152.0674802644</v>
      </c>
      <c r="R514" s="15" t="n">
        <f aca="false">Q514-$G$2+$I$2</f>
        <v>18035.8674802644</v>
      </c>
      <c r="S514" s="42" t="n">
        <f aca="false">R514/$K$2</f>
        <v>159.750819134317</v>
      </c>
      <c r="T514" s="43" t="n">
        <f aca="false">S514-$M$2</f>
        <v>-8.71685137055491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0.015625</v>
      </c>
      <c r="C515" s="25" t="n">
        <f aca="false">IF(T514&gt;0,D514,C514)</f>
        <v>0.0625</v>
      </c>
      <c r="D515" s="41" t="n">
        <f aca="false">(B515+C515)/2</f>
        <v>0.0390625</v>
      </c>
      <c r="E515" s="15" t="n">
        <f aca="false">$C$2*(1+IF(E$3&lt;=$O$2,$D515,$D515-($D515-$I$508)*MIN(E$3-$O$2,$Q$2)/$Q$2))</f>
        <v>7772.1875</v>
      </c>
      <c r="F515" s="15" t="n">
        <f aca="false">E515*(1+IF(F$3&lt;=$O$2,$D515,$D515-($D515-$I$508)*MIN(F$3-$O$2,$Q$2)/$Q$2))</f>
        <v>8075.78857421875</v>
      </c>
      <c r="G515" s="15" t="n">
        <f aca="false">F515*(1+IF(G$3&lt;=$O$2,$D515,$D515-($D515-$I$508)*MIN(G$3-$O$2,$Q$2)/$Q$2))</f>
        <v>8391.24906539917</v>
      </c>
      <c r="H515" s="15" t="n">
        <f aca="false">G515*(1+IF(H$3&lt;=$O$2,$D515,$D515-($D515-$I$508)*MIN(H$3-$O$2,$Q$2)/$Q$2))</f>
        <v>8719.03223201633</v>
      </c>
      <c r="I515" s="15" t="n">
        <f aca="false">H515*(1+IF(I$3&lt;=$O$2,$D515,$D515-($D515-$I$508)*MIN(I$3-$O$2,$Q$2)/$Q$2))</f>
        <v>9059.61942857946</v>
      </c>
      <c r="J515" s="15" t="n">
        <f aca="false">I515*(1+IF(J$3&lt;=$O$2,$D515,$D515-($D515-$I$508)*MIN(J$3-$O$2,$Q$2)/$Q$2))</f>
        <v>9394.00998168833</v>
      </c>
      <c r="K515" s="15" t="n">
        <f aca="false">J515*(1+IF(K$3&lt;=$O$2,$D515,$D515-($D515-$I$508)*MIN(K$3-$O$2,$Q$2)/$Q$2))</f>
        <v>9720.52228362686</v>
      </c>
      <c r="L515" s="15" t="n">
        <f aca="false">K515*(1+IF(L$3&lt;=$O$2,$D515,$D515-($D515-$I$508)*MIN(L$3-$O$2,$Q$2)/$Q$2))</f>
        <v>10037.4599126845</v>
      </c>
      <c r="M515" s="15" t="n">
        <f aca="false">L515*(1+IF(M$3&lt;=$O$2,$D515,$D515-($D515-$I$508)*MIN(M$3-$O$2,$Q$2)/$Q$2))</f>
        <v>10343.1256606755</v>
      </c>
      <c r="N515" s="15" t="n">
        <f aca="false">M515*(1+IF(N$3&lt;=$O$2,$D515,$D515-($D515-$I$508)*MIN(N$3-$O$2,$Q$2)/$Q$2))</f>
        <v>10635.8361168727</v>
      </c>
      <c r="O515" s="15" t="n">
        <f aca="false">SUMPRODUCT(E515:N515,1/(1+$F$508)^$E$3:$N$3)*$E$2</f>
        <v>10051.7143536405</v>
      </c>
      <c r="P515" s="15" t="n">
        <f aca="false">N515*$E$2*(1+$I$508)/($F$508-$I$508)/(1+$F$508)^$N$3</f>
        <v>14166.5666869355</v>
      </c>
      <c r="Q515" s="15" t="n">
        <f aca="false">O515+P515</f>
        <v>24218.281040576</v>
      </c>
      <c r="R515" s="15" t="n">
        <f aca="false">Q515-$G$2+$I$2</f>
        <v>21102.081040576</v>
      </c>
      <c r="S515" s="42" t="n">
        <f aca="false">R515/$K$2</f>
        <v>186.909486630434</v>
      </c>
      <c r="T515" s="43" t="n">
        <f aca="false">S515-$M$2</f>
        <v>18.4418161255627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0.015625</v>
      </c>
      <c r="C516" s="25" t="n">
        <f aca="false">IF(T515&gt;0,D515,C515)</f>
        <v>0.0390625</v>
      </c>
      <c r="D516" s="41" t="n">
        <f aca="false">(B516+C516)/2</f>
        <v>0.02734375</v>
      </c>
      <c r="E516" s="15" t="n">
        <f aca="false">$C$2*(1+IF(E$3&lt;=$O$2,$D516,$D516-($D516-$I$508)*MIN(E$3-$O$2,$Q$2)/$Q$2))</f>
        <v>7684.53125</v>
      </c>
      <c r="F516" s="15" t="n">
        <f aca="false">E516*(1+IF(F$3&lt;=$O$2,$D516,$D516-($D516-$I$508)*MIN(F$3-$O$2,$Q$2)/$Q$2))</f>
        <v>7894.65515136719</v>
      </c>
      <c r="G516" s="15" t="n">
        <f aca="false">F516*(1+IF(G$3&lt;=$O$2,$D516,$D516-($D516-$I$508)*MIN(G$3-$O$2,$Q$2)/$Q$2))</f>
        <v>8110.52462816238</v>
      </c>
      <c r="H516" s="15" t="n">
        <f aca="false">G516*(1+IF(H$3&lt;=$O$2,$D516,$D516-($D516-$I$508)*MIN(H$3-$O$2,$Q$2)/$Q$2))</f>
        <v>8332.2967859637</v>
      </c>
      <c r="I516" s="15" t="n">
        <f aca="false">H516*(1+IF(I$3&lt;=$O$2,$D516,$D516-($D516-$I$508)*MIN(I$3-$O$2,$Q$2)/$Q$2))</f>
        <v>8560.13302620489</v>
      </c>
      <c r="J516" s="15" t="n">
        <f aca="false">I516*(1+IF(J$3&lt;=$O$2,$D516,$D516-($D516-$I$508)*MIN(J$3-$O$2,$Q$2)/$Q$2))</f>
        <v>8795.83628908145</v>
      </c>
      <c r="K516" s="15" t="n">
        <f aca="false">J516*(1+IF(K$3&lt;=$O$2,$D516,$D516-($D516-$I$508)*MIN(K$3-$O$2,$Q$2)/$Q$2))</f>
        <v>9039.71184499159</v>
      </c>
      <c r="L516" s="15" t="n">
        <f aca="false">K516*(1+IF(L$3&lt;=$O$2,$D516,$D516-($D516-$I$508)*MIN(L$3-$O$2,$Q$2)/$Q$2))</f>
        <v>9292.07800042414</v>
      </c>
      <c r="M516" s="15" t="n">
        <f aca="false">L516*(1+IF(M$3&lt;=$O$2,$D516,$D516-($D516-$I$508)*MIN(M$3-$O$2,$Q$2)/$Q$2))</f>
        <v>9553.26669791857</v>
      </c>
      <c r="N516" s="15" t="n">
        <f aca="false">M516*(1+IF(N$3&lt;=$O$2,$D516,$D516-($D516-$I$508)*MIN(N$3-$O$2,$Q$2)/$Q$2))</f>
        <v>9823.62414546966</v>
      </c>
      <c r="O516" s="15" t="n">
        <f aca="false">SUMPRODUCT(E516:N516,1/(1+$F$508)^$E$3:$N$3)*$E$2</f>
        <v>9551.38025065555</v>
      </c>
      <c r="P516" s="15" t="n">
        <f aca="false">N516*$E$2*(1+$I$508)/($F$508-$I$508)/(1+$F$508)^$N$3</f>
        <v>13084.7283687844</v>
      </c>
      <c r="Q516" s="15" t="n">
        <f aca="false">O516+P516</f>
        <v>22636.10861944</v>
      </c>
      <c r="R516" s="15" t="n">
        <f aca="false">Q516-$G$2+$I$2</f>
        <v>19519.90861944</v>
      </c>
      <c r="S516" s="42" t="n">
        <f aca="false">R516/$K$2</f>
        <v>172.895559073871</v>
      </c>
      <c r="T516" s="43" t="n">
        <f aca="false">S516-$M$2</f>
        <v>4.42788856899907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0.015625</v>
      </c>
      <c r="C517" s="25" t="n">
        <f aca="false">IF(T516&gt;0,D516,C516)</f>
        <v>0.02734375</v>
      </c>
      <c r="D517" s="41" t="n">
        <f aca="false">(B517+C517)/2</f>
        <v>0.021484375</v>
      </c>
      <c r="E517" s="15" t="n">
        <f aca="false">$C$2*(1+IF(E$3&lt;=$O$2,$D517,$D517-($D517-$I$508)*MIN(E$3-$O$2,$Q$2)/$Q$2))</f>
        <v>7640.703125</v>
      </c>
      <c r="F517" s="15" t="n">
        <f aca="false">E517*(1+IF(F$3&lt;=$O$2,$D517,$D517-($D517-$I$508)*MIN(F$3-$O$2,$Q$2)/$Q$2))</f>
        <v>7804.85885620117</v>
      </c>
      <c r="G517" s="15" t="n">
        <f aca="false">F517*(1+IF(G$3&lt;=$O$2,$D517,$D517-($D517-$I$508)*MIN(G$3-$O$2,$Q$2)/$Q$2))</f>
        <v>7972.54137068987</v>
      </c>
      <c r="H517" s="15" t="n">
        <f aca="false">G517*(1+IF(H$3&lt;=$O$2,$D517,$D517-($D517-$I$508)*MIN(H$3-$O$2,$Q$2)/$Q$2))</f>
        <v>8143.82643920078</v>
      </c>
      <c r="I517" s="15" t="n">
        <f aca="false">H517*(1+IF(I$3&lt;=$O$2,$D517,$D517-($D517-$I$508)*MIN(I$3-$O$2,$Q$2)/$Q$2))</f>
        <v>8318.79146035549</v>
      </c>
      <c r="J517" s="15" t="n">
        <f aca="false">I517*(1+IF(J$3&lt;=$O$2,$D517,$D517-($D517-$I$508)*MIN(J$3-$O$2,$Q$2)/$Q$2))</f>
        <v>8508.85504824596</v>
      </c>
      <c r="K517" s="15" t="n">
        <f aca="false">J517*(1+IF(K$3&lt;=$O$2,$D517,$D517-($D517-$I$508)*MIN(K$3-$O$2,$Q$2)/$Q$2))</f>
        <v>8714.8597469984</v>
      </c>
      <c r="L517" s="15" t="n">
        <f aca="false">K517*(1+IF(L$3&lt;=$O$2,$D517,$D517-($D517-$I$508)*MIN(L$3-$O$2,$Q$2)/$Q$2))</f>
        <v>8937.7313914532</v>
      </c>
      <c r="M517" s="15" t="n">
        <f aca="false">L517*(1+IF(M$3&lt;=$O$2,$D517,$D517-($D517-$I$508)*MIN(M$3-$O$2,$Q$2)/$Q$2))</f>
        <v>9178.48594472835</v>
      </c>
      <c r="N517" s="15" t="n">
        <f aca="false">M517*(1+IF(N$3&lt;=$O$2,$D517,$D517-($D517-$I$508)*MIN(N$3-$O$2,$Q$2)/$Q$2))</f>
        <v>9438.23709696416</v>
      </c>
      <c r="O517" s="15" t="n">
        <f aca="false">SUMPRODUCT(E517:N517,1/(1+$F$508)^$E$3:$N$3)*$E$2</f>
        <v>9310.76267152432</v>
      </c>
      <c r="P517" s="15" t="n">
        <f aca="false">N517*$E$2*(1+$I$508)/($F$508-$I$508)/(1+$F$508)^$N$3</f>
        <v>12571.4061190863</v>
      </c>
      <c r="Q517" s="15" t="n">
        <f aca="false">O517+P517</f>
        <v>21882.1687906106</v>
      </c>
      <c r="R517" s="15" t="n">
        <f aca="false">Q517-$G$2+$I$2</f>
        <v>18765.9687906106</v>
      </c>
      <c r="S517" s="42" t="n">
        <f aca="false">R517/$K$2</f>
        <v>166.217615505851</v>
      </c>
      <c r="T517" s="43" t="n">
        <f aca="false">S517-$M$2</f>
        <v>-2.25005499902068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0.021484375</v>
      </c>
      <c r="C518" s="25" t="n">
        <f aca="false">IF(T517&gt;0,D517,C517)</f>
        <v>0.02734375</v>
      </c>
      <c r="D518" s="41" t="n">
        <f aca="false">(B518+C518)/2</f>
        <v>0.0244140625</v>
      </c>
      <c r="E518" s="15" t="n">
        <f aca="false">$C$2*(1+IF(E$3&lt;=$O$2,$D518,$D518-($D518-$I$508)*MIN(E$3-$O$2,$Q$2)/$Q$2))</f>
        <v>7662.6171875</v>
      </c>
      <c r="F518" s="15" t="n">
        <f aca="false">E518*(1+IF(F$3&lt;=$O$2,$D518,$D518-($D518-$I$508)*MIN(F$3-$O$2,$Q$2)/$Q$2))</f>
        <v>7849.6928024292</v>
      </c>
      <c r="G518" s="15" t="n">
        <f aca="false">F518*(1+IF(G$3&lt;=$O$2,$D518,$D518-($D518-$I$508)*MIN(G$3-$O$2,$Q$2)/$Q$2))</f>
        <v>8041.33569311351</v>
      </c>
      <c r="H518" s="15" t="n">
        <f aca="false">G518*(1+IF(H$3&lt;=$O$2,$D518,$D518-($D518-$I$508)*MIN(H$3-$O$2,$Q$2)/$Q$2))</f>
        <v>8237.65736530866</v>
      </c>
      <c r="I518" s="15" t="n">
        <f aca="false">H518*(1+IF(I$3&lt;=$O$2,$D518,$D518-($D518-$I$508)*MIN(I$3-$O$2,$Q$2)/$Q$2))</f>
        <v>8438.77204707889</v>
      </c>
      <c r="J518" s="15" t="n">
        <f aca="false">I518*(1+IF(J$3&lt;=$O$2,$D518,$D518-($D518-$I$508)*MIN(J$3-$O$2,$Q$2)/$Q$2))</f>
        <v>8651.35526340987</v>
      </c>
      <c r="K518" s="15" t="n">
        <f aca="false">J518*(1+IF(K$3&lt;=$O$2,$D518,$D518-($D518-$I$508)*MIN(K$3-$O$2,$Q$2)/$Q$2))</f>
        <v>8876.01744185802</v>
      </c>
      <c r="L518" s="15" t="n">
        <f aca="false">K518*(1+IF(L$3&lt;=$O$2,$D518,$D518-($D518-$I$508)*MIN(L$3-$O$2,$Q$2)/$Q$2))</f>
        <v>9113.41207585142</v>
      </c>
      <c r="M518" s="15" t="n">
        <f aca="false">L518*(1+IF(M$3&lt;=$O$2,$D518,$D518-($D518-$I$508)*MIN(M$3-$O$2,$Q$2)/$Q$2))</f>
        <v>9364.23880765031</v>
      </c>
      <c r="N518" s="15" t="n">
        <f aca="false">M518*(1+IF(N$3&lt;=$O$2,$D518,$D518-($D518-$I$508)*MIN(N$3-$O$2,$Q$2)/$Q$2))</f>
        <v>9629.24676590681</v>
      </c>
      <c r="O518" s="15" t="n">
        <f aca="false">SUMPRODUCT(E518:N518,1/(1+$F$508)^$E$3:$N$3)*$E$2</f>
        <v>9430.29174576648</v>
      </c>
      <c r="P518" s="15" t="n">
        <f aca="false">N518*$E$2*(1+$I$508)/($F$508-$I$508)/(1+$F$508)^$N$3</f>
        <v>12825.8244067687</v>
      </c>
      <c r="Q518" s="15" t="n">
        <f aca="false">O518+P518</f>
        <v>22256.1161525352</v>
      </c>
      <c r="R518" s="15" t="n">
        <f aca="false">Q518-$G$2+$I$2</f>
        <v>19139.9161525352</v>
      </c>
      <c r="S518" s="42" t="n">
        <f aca="false">R518/$K$2</f>
        <v>169.52981534575</v>
      </c>
      <c r="T518" s="43" t="n">
        <f aca="false">S518-$M$2</f>
        <v>1.06214484087818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0.021484375</v>
      </c>
      <c r="C519" s="25" t="n">
        <f aca="false">IF(T518&gt;0,D518,C518)</f>
        <v>0.0244140625</v>
      </c>
      <c r="D519" s="41" t="n">
        <f aca="false">(B519+C519)/2</f>
        <v>0.02294921875</v>
      </c>
      <c r="E519" s="15" t="n">
        <f aca="false">$C$2*(1+IF(E$3&lt;=$O$2,$D519,$D519-($D519-$I$508)*MIN(E$3-$O$2,$Q$2)/$Q$2))</f>
        <v>7651.66015625</v>
      </c>
      <c r="F519" s="15" t="n">
        <f aca="false">E519*(1+IF(F$3&lt;=$O$2,$D519,$D519-($D519-$I$508)*MIN(F$3-$O$2,$Q$2)/$Q$2))</f>
        <v>7827.25977897644</v>
      </c>
      <c r="G519" s="15" t="n">
        <f aca="false">F519*(1+IF(G$3&lt;=$O$2,$D519,$D519-($D519-$I$508)*MIN(G$3-$O$2,$Q$2)/$Q$2))</f>
        <v>8006.88927585725</v>
      </c>
      <c r="H519" s="15" t="n">
        <f aca="false">G519*(1+IF(H$3&lt;=$O$2,$D519,$D519-($D519-$I$508)*MIN(H$3-$O$2,$Q$2)/$Q$2))</f>
        <v>8190.64112935593</v>
      </c>
      <c r="I519" s="15" t="n">
        <f aca="false">H519*(1+IF(I$3&lt;=$O$2,$D519,$D519-($D519-$I$508)*MIN(I$3-$O$2,$Q$2)/$Q$2))</f>
        <v>8378.60994433626</v>
      </c>
      <c r="J519" s="15" t="n">
        <f aca="false">I519*(1+IF(J$3&lt;=$O$2,$D519,$D519-($D519-$I$508)*MIN(J$3-$O$2,$Q$2)/$Q$2))</f>
        <v>8579.858918568</v>
      </c>
      <c r="K519" s="15" t="n">
        <f aca="false">J519*(1+IF(K$3&lt;=$O$2,$D519,$D519-($D519-$I$508)*MIN(K$3-$O$2,$Q$2)/$Q$2))</f>
        <v>8795.12355702601</v>
      </c>
      <c r="L519" s="15" t="n">
        <f aca="false">K519*(1+IF(L$3&lt;=$O$2,$D519,$D519-($D519-$I$508)*MIN(L$3-$O$2,$Q$2)/$Q$2))</f>
        <v>9025.20124080169</v>
      </c>
      <c r="M519" s="15" t="n">
        <f aca="false">L519*(1+IF(M$3&lt;=$O$2,$D519,$D519-($D519-$I$508)*MIN(M$3-$O$2,$Q$2)/$Q$2))</f>
        <v>9270.95606040103</v>
      </c>
      <c r="N519" s="15" t="n">
        <f aca="false">M519*(1+IF(N$3&lt;=$O$2,$D519,$D519-($D519-$I$508)*MIN(N$3-$O$2,$Q$2)/$Q$2))</f>
        <v>9533.32411691038</v>
      </c>
      <c r="O519" s="15" t="n">
        <f aca="false">SUMPRODUCT(E519:N519,1/(1+$F$508)^$E$3:$N$3)*$E$2</f>
        <v>9370.33346782905</v>
      </c>
      <c r="P519" s="15" t="n">
        <f aca="false">N519*$E$2*(1+$I$508)/($F$508-$I$508)/(1+$F$508)^$N$3</f>
        <v>12698.0587483979</v>
      </c>
      <c r="Q519" s="15" t="n">
        <f aca="false">O519+P519</f>
        <v>22068.392216227</v>
      </c>
      <c r="R519" s="15" t="n">
        <f aca="false">Q519-$G$2+$I$2</f>
        <v>18952.192216227</v>
      </c>
      <c r="S519" s="42" t="n">
        <f aca="false">R519/$K$2</f>
        <v>167.867070117157</v>
      </c>
      <c r="T519" s="43" t="n">
        <f aca="false">S519-$M$2</f>
        <v>-0.600600387714991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0.02294921875</v>
      </c>
      <c r="C520" s="25" t="n">
        <f aca="false">IF(T519&gt;0,D519,C519)</f>
        <v>0.0244140625</v>
      </c>
      <c r="D520" s="41" t="n">
        <f aca="false">(B520+C520)/2</f>
        <v>0.023681640625</v>
      </c>
      <c r="E520" s="15" t="n">
        <f aca="false">$C$2*(1+IF(E$3&lt;=$O$2,$D520,$D520-($D520-$I$508)*MIN(E$3-$O$2,$Q$2)/$Q$2))</f>
        <v>7657.138671875</v>
      </c>
      <c r="F520" s="15" t="n">
        <f aca="false">E520*(1+IF(F$3&lt;=$O$2,$D520,$D520-($D520-$I$508)*MIN(F$3-$O$2,$Q$2)/$Q$2))</f>
        <v>7838.47227811813</v>
      </c>
      <c r="G520" s="15" t="n">
        <f aca="false">F520*(1+IF(G$3&lt;=$O$2,$D520,$D520-($D520-$I$508)*MIN(G$3-$O$2,$Q$2)/$Q$2))</f>
        <v>8024.10016165755</v>
      </c>
      <c r="H520" s="15" t="n">
        <f aca="false">G520*(1+IF(H$3&lt;=$O$2,$D520,$D520-($D520-$I$508)*MIN(H$3-$O$2,$Q$2)/$Q$2))</f>
        <v>8214.12401802493</v>
      </c>
      <c r="I520" s="15" t="n">
        <f aca="false">H520*(1+IF(I$3&lt;=$O$2,$D520,$D520-($D520-$I$508)*MIN(I$3-$O$2,$Q$2)/$Q$2))</f>
        <v>8408.64795106898</v>
      </c>
      <c r="J520" s="15" t="n">
        <f aca="false">I520*(1+IF(J$3&lt;=$O$2,$D520,$D520-($D520-$I$508)*MIN(J$3-$O$2,$Q$2)/$Q$2))</f>
        <v>8615.54536160752</v>
      </c>
      <c r="K520" s="15" t="n">
        <f aca="false">J520*(1+IF(K$3&lt;=$O$2,$D520,$D520-($D520-$I$508)*MIN(K$3-$O$2,$Q$2)/$Q$2))</f>
        <v>8835.4914845261</v>
      </c>
      <c r="L520" s="15" t="n">
        <f aca="false">K520*(1+IF(L$3&lt;=$O$2,$D520,$D520-($D520-$I$508)*MIN(L$3-$O$2,$Q$2)/$Q$2))</f>
        <v>9069.21370356607</v>
      </c>
      <c r="M520" s="15" t="n">
        <f aca="false">L520*(1+IF(M$3&lt;=$O$2,$D520,$D520-($D520-$I$508)*MIN(M$3-$O$2,$Q$2)/$Q$2))</f>
        <v>9317.49547375064</v>
      </c>
      <c r="N520" s="15" t="n">
        <f aca="false">M520*(1+IF(N$3&lt;=$O$2,$D520,$D520-($D520-$I$508)*MIN(N$3-$O$2,$Q$2)/$Q$2))</f>
        <v>9581.18059565778</v>
      </c>
      <c r="O520" s="15" t="n">
        <f aca="false">SUMPRODUCT(E520:N520,1/(1+$F$508)^$E$3:$N$3)*$E$2</f>
        <v>9400.26402358554</v>
      </c>
      <c r="P520" s="15" t="n">
        <f aca="false">N520*$E$2*(1+$I$508)/($F$508-$I$508)/(1+$F$508)^$N$3</f>
        <v>12761.8019266612</v>
      </c>
      <c r="Q520" s="15" t="n">
        <f aca="false">O520+P520</f>
        <v>22162.0659502468</v>
      </c>
      <c r="R520" s="15" t="n">
        <f aca="false">Q520-$G$2+$I$2</f>
        <v>19045.8659502468</v>
      </c>
      <c r="S520" s="42" t="n">
        <f aca="false">R520/$K$2</f>
        <v>168.696775467199</v>
      </c>
      <c r="T520" s="43" t="n">
        <f aca="false">S520-$M$2</f>
        <v>0.229104962327341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0.02294921875</v>
      </c>
      <c r="C521" s="25" t="n">
        <f aca="false">IF(T520&gt;0,D520,C520)</f>
        <v>0.023681640625</v>
      </c>
      <c r="D521" s="41" t="n">
        <f aca="false">(B521+C521)/2</f>
        <v>0.0233154296875</v>
      </c>
      <c r="E521" s="15" t="n">
        <f aca="false">$C$2*(1+IF(E$3&lt;=$O$2,$D521,$D521-($D521-$I$508)*MIN(E$3-$O$2,$Q$2)/$Q$2))</f>
        <v>7654.3994140625</v>
      </c>
      <c r="F521" s="15" t="n">
        <f aca="false">E521*(1+IF(F$3&lt;=$O$2,$D521,$D521-($D521-$I$508)*MIN(F$3-$O$2,$Q$2)/$Q$2))</f>
        <v>7832.86502540112</v>
      </c>
      <c r="G521" s="15" t="n">
        <f aca="false">F521*(1+IF(G$3&lt;=$O$2,$D521,$D521-($D521-$I$508)*MIN(G$3-$O$2,$Q$2)/$Q$2))</f>
        <v>8015.49163915253</v>
      </c>
      <c r="H521" s="15" t="n">
        <f aca="false">G521*(1+IF(H$3&lt;=$O$2,$D521,$D521-($D521-$I$508)*MIN(H$3-$O$2,$Q$2)/$Q$2))</f>
        <v>8202.37627087594</v>
      </c>
      <c r="I521" s="15" t="n">
        <f aca="false">H521*(1+IF(I$3&lt;=$O$2,$D521,$D521-($D521-$I$508)*MIN(I$3-$O$2,$Q$2)/$Q$2))</f>
        <v>8393.61819808997</v>
      </c>
      <c r="J521" s="15" t="n">
        <f aca="false">I521*(1+IF(J$3&lt;=$O$2,$D521,$D521-($D521-$I$508)*MIN(J$3-$O$2,$Q$2)/$Q$2))</f>
        <v>8597.68672902818</v>
      </c>
      <c r="K521" s="15" t="n">
        <f aca="false">J521*(1+IF(K$3&lt;=$O$2,$D521,$D521-($D521-$I$508)*MIN(K$3-$O$2,$Q$2)/$Q$2))</f>
        <v>8815.28779904427</v>
      </c>
      <c r="L521" s="15" t="n">
        <f aca="false">K521*(1+IF(L$3&lt;=$O$2,$D521,$D521-($D521-$I$508)*MIN(L$3-$O$2,$Q$2)/$Q$2))</f>
        <v>9047.18427501352</v>
      </c>
      <c r="M521" s="15" t="n">
        <f aca="false">L521*(1+IF(M$3&lt;=$O$2,$D521,$D521-($D521-$I$508)*MIN(M$3-$O$2,$Q$2)/$Q$2))</f>
        <v>9294.20032476661</v>
      </c>
      <c r="N521" s="15" t="n">
        <f aca="false">M521*(1+IF(N$3&lt;=$O$2,$D521,$D521-($D521-$I$508)*MIN(N$3-$O$2,$Q$2)/$Q$2))</f>
        <v>9557.22619395751</v>
      </c>
      <c r="O521" s="15" t="n">
        <f aca="false">SUMPRODUCT(E521:N521,1/(1+$F$508)^$E$3:$N$3)*$E$2</f>
        <v>9385.28661843603</v>
      </c>
      <c r="P521" s="15" t="n">
        <f aca="false">N521*$E$2*(1+$I$508)/($F$508-$I$508)/(1+$F$508)^$N$3</f>
        <v>12729.8954902134</v>
      </c>
      <c r="Q521" s="15" t="n">
        <f aca="false">O521+P521</f>
        <v>22115.1821086494</v>
      </c>
      <c r="R521" s="15" t="n">
        <f aca="false">Q521-$G$2+$I$2</f>
        <v>18998.9821086494</v>
      </c>
      <c r="S521" s="42" t="n">
        <f aca="false">R521/$K$2</f>
        <v>168.281506719658</v>
      </c>
      <c r="T521" s="43" t="n">
        <f aca="false">S521-$M$2</f>
        <v>-0.186163785213324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0.0233154296875</v>
      </c>
      <c r="C522" s="25" t="n">
        <f aca="false">IF(T521&gt;0,D521,C521)</f>
        <v>0.023681640625</v>
      </c>
      <c r="D522" s="41" t="n">
        <f aca="false">(B522+C522)/2</f>
        <v>0.02349853515625</v>
      </c>
      <c r="E522" s="15" t="n">
        <f aca="false">$C$2*(1+IF(E$3&lt;=$O$2,$D522,$D522-($D522-$I$508)*MIN(E$3-$O$2,$Q$2)/$Q$2))</f>
        <v>7655.76904296875</v>
      </c>
      <c r="F522" s="15" t="n">
        <f aca="false">E522*(1+IF(F$3&lt;=$O$2,$D522,$D522-($D522-$I$508)*MIN(F$3-$O$2,$Q$2)/$Q$2))</f>
        <v>7835.66840097308</v>
      </c>
      <c r="G522" s="15" t="n">
        <f aca="false">F522*(1+IF(G$3&lt;=$O$2,$D522,$D522-($D522-$I$508)*MIN(G$3-$O$2,$Q$2)/$Q$2))</f>
        <v>8019.79513036607</v>
      </c>
      <c r="H522" s="15" t="n">
        <f aca="false">G522*(1+IF(H$3&lt;=$O$2,$D522,$D522-($D522-$I$508)*MIN(H$3-$O$2,$Q$2)/$Q$2))</f>
        <v>8208.2485681829</v>
      </c>
      <c r="I522" s="15" t="n">
        <f aca="false">H522*(1+IF(I$3&lt;=$O$2,$D522,$D522-($D522-$I$508)*MIN(I$3-$O$2,$Q$2)/$Q$2))</f>
        <v>8401.13038573358</v>
      </c>
      <c r="J522" s="15" t="n">
        <f aca="false">I522*(1+IF(J$3&lt;=$O$2,$D522,$D522-($D522-$I$508)*MIN(J$3-$O$2,$Q$2)/$Q$2))</f>
        <v>8606.61218989395</v>
      </c>
      <c r="K522" s="15" t="n">
        <f aca="false">J522*(1+IF(K$3&lt;=$O$2,$D522,$D522-($D522-$I$508)*MIN(K$3-$O$2,$Q$2)/$Q$2))</f>
        <v>8825.38470735581</v>
      </c>
      <c r="L522" s="15" t="n">
        <f aca="false">K522*(1+IF(L$3&lt;=$O$2,$D522,$D522-($D522-$I$508)*MIN(L$3-$O$2,$Q$2)/$Q$2))</f>
        <v>9058.193184812</v>
      </c>
      <c r="M522" s="15" t="n">
        <f aca="false">L522*(1+IF(M$3&lt;=$O$2,$D522,$D522-($D522-$I$508)*MIN(M$3-$O$2,$Q$2)/$Q$2))</f>
        <v>9305.84153271723</v>
      </c>
      <c r="N522" s="15" t="n">
        <f aca="false">M522*(1+IF(N$3&lt;=$O$2,$D522,$D522-($D522-$I$508)*MIN(N$3-$O$2,$Q$2)/$Q$2))</f>
        <v>9569.19684809313</v>
      </c>
      <c r="O522" s="15" t="n">
        <f aca="false">SUMPRODUCT(E522:N522,1/(1+$F$508)^$E$3:$N$3)*$E$2</f>
        <v>9392.77228687842</v>
      </c>
      <c r="P522" s="15" t="n">
        <f aca="false">N522*$E$2*(1+$I$508)/($F$508-$I$508)/(1+$F$508)^$N$3</f>
        <v>12745.8399884395</v>
      </c>
      <c r="Q522" s="15" t="n">
        <f aca="false">O522+P522</f>
        <v>22138.6122753179</v>
      </c>
      <c r="R522" s="15" t="n">
        <f aca="false">Q522-$G$2+$I$2</f>
        <v>19022.4122753179</v>
      </c>
      <c r="S522" s="42" t="n">
        <f aca="false">R522/$K$2</f>
        <v>168.489036982444</v>
      </c>
      <c r="T522" s="43" t="n">
        <f aca="false">S522-$M$2</f>
        <v>0.0213664775721441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0.0233154296875</v>
      </c>
      <c r="C523" s="25" t="n">
        <f aca="false">IF(T522&gt;0,D522,C522)</f>
        <v>0.02349853515625</v>
      </c>
      <c r="D523" s="41" t="n">
        <f aca="false">(B523+C523)/2</f>
        <v>0.023406982421875</v>
      </c>
      <c r="E523" s="15" t="n">
        <f aca="false">$C$2*(1+IF(E$3&lt;=$O$2,$D523,$D523-($D523-$I$508)*MIN(E$3-$O$2,$Q$2)/$Q$2))</f>
        <v>7655.08422851563</v>
      </c>
      <c r="F523" s="15" t="n">
        <f aca="false">E523*(1+IF(F$3&lt;=$O$2,$D523,$D523-($D523-$I$508)*MIN(F$3-$O$2,$Q$2)/$Q$2))</f>
        <v>7834.26665049046</v>
      </c>
      <c r="G523" s="15" t="n">
        <f aca="false">F523*(1+IF(G$3&lt;=$O$2,$D523,$D523-($D523-$I$508)*MIN(G$3-$O$2,$Q$2)/$Q$2))</f>
        <v>8017.64319226677</v>
      </c>
      <c r="H523" s="15" t="n">
        <f aca="false">G523*(1+IF(H$3&lt;=$O$2,$D523,$D523-($D523-$I$508)*MIN(H$3-$O$2,$Q$2)/$Q$2))</f>
        <v>8205.31202553303</v>
      </c>
      <c r="I523" s="15" t="n">
        <f aca="false">H523*(1+IF(I$3&lt;=$O$2,$D523,$D523-($D523-$I$508)*MIN(I$3-$O$2,$Q$2)/$Q$2))</f>
        <v>8397.37361988068</v>
      </c>
      <c r="J523" s="15" t="n">
        <f aca="false">I523*(1+IF(J$3&lt;=$O$2,$D523,$D523-($D523-$I$508)*MIN(J$3-$O$2,$Q$2)/$Q$2))</f>
        <v>8602.14849593758</v>
      </c>
      <c r="K523" s="15" t="n">
        <f aca="false">J523*(1+IF(K$3&lt;=$O$2,$D523,$D523-($D523-$I$508)*MIN(K$3-$O$2,$Q$2)/$Q$2))</f>
        <v>8820.33502009245</v>
      </c>
      <c r="L523" s="15" t="n">
        <f aca="false">K523*(1+IF(L$3&lt;=$O$2,$D523,$D523-($D523-$I$508)*MIN(L$3-$O$2,$Q$2)/$Q$2))</f>
        <v>9052.68727944176</v>
      </c>
      <c r="M523" s="15" t="n">
        <f aca="false">L523*(1+IF(M$3&lt;=$O$2,$D523,$D523-($D523-$I$508)*MIN(M$3-$O$2,$Q$2)/$Q$2))</f>
        <v>9300.01933785245</v>
      </c>
      <c r="N523" s="15" t="n">
        <f aca="false">M523*(1+IF(N$3&lt;=$O$2,$D523,$D523-($D523-$I$508)*MIN(N$3-$O$2,$Q$2)/$Q$2))</f>
        <v>9563.20988511367</v>
      </c>
      <c r="O523" s="15" t="n">
        <f aca="false">SUMPRODUCT(E523:N523,1/(1+$F$508)^$E$3:$N$3)*$E$2</f>
        <v>9389.02869441358</v>
      </c>
      <c r="P523" s="15" t="n">
        <f aca="false">N523*$E$2*(1+$I$508)/($F$508-$I$508)/(1+$F$508)^$N$3</f>
        <v>12737.8655603486</v>
      </c>
      <c r="Q523" s="15" t="n">
        <f aca="false">O523+P523</f>
        <v>22126.8942547622</v>
      </c>
      <c r="R523" s="15" t="n">
        <f aca="false">Q523-$G$2+$I$2</f>
        <v>19010.6942547621</v>
      </c>
      <c r="S523" s="42" t="n">
        <f aca="false">R523/$K$2</f>
        <v>168.385245834917</v>
      </c>
      <c r="T523" s="43" t="n">
        <f aca="false">S523-$M$2</f>
        <v>-0.0824246699544347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0.023406982421875</v>
      </c>
      <c r="C524" s="25" t="n">
        <f aca="false">IF(T523&gt;0,D523,C523)</f>
        <v>0.02349853515625</v>
      </c>
      <c r="D524" s="41" t="n">
        <f aca="false">(B524+C524)/2</f>
        <v>0.0234527587890625</v>
      </c>
      <c r="E524" s="15" t="n">
        <f aca="false">$C$2*(1+IF(E$3&lt;=$O$2,$D524,$D524-($D524-$I$508)*MIN(E$3-$O$2,$Q$2)/$Q$2))</f>
        <v>7655.42663574219</v>
      </c>
      <c r="F524" s="15" t="n">
        <f aca="false">E524*(1+IF(F$3&lt;=$O$2,$D524,$D524-($D524-$I$508)*MIN(F$3-$O$2,$Q$2)/$Q$2))</f>
        <v>7834.96751005761</v>
      </c>
      <c r="G524" s="15" t="n">
        <f aca="false">F524*(1+IF(G$3&lt;=$O$2,$D524,$D524-($D524-$I$508)*MIN(G$3-$O$2,$Q$2)/$Q$2))</f>
        <v>8018.71911319114</v>
      </c>
      <c r="H524" s="15" t="n">
        <f aca="false">G524*(1+IF(H$3&lt;=$O$2,$D524,$D524-($D524-$I$508)*MIN(H$3-$O$2,$Q$2)/$Q$2))</f>
        <v>8206.78019835005</v>
      </c>
      <c r="I524" s="15" t="n">
        <f aca="false">H524*(1+IF(I$3&lt;=$O$2,$D524,$D524-($D524-$I$508)*MIN(I$3-$O$2,$Q$2)/$Q$2))</f>
        <v>8399.25183477681</v>
      </c>
      <c r="J524" s="15" t="n">
        <f aca="false">I524*(1+IF(J$3&lt;=$O$2,$D524,$D524-($D524-$I$508)*MIN(J$3-$O$2,$Q$2)/$Q$2))</f>
        <v>8604.38010199334</v>
      </c>
      <c r="K524" s="15" t="n">
        <f aca="false">J524*(1+IF(K$3&lt;=$O$2,$D524,$D524-($D524-$I$508)*MIN(K$3-$O$2,$Q$2)/$Q$2))</f>
        <v>8822.85955538478</v>
      </c>
      <c r="L524" s="15" t="n">
        <f aca="false">K524*(1+IF(L$3&lt;=$O$2,$D524,$D524-($D524-$I$508)*MIN(L$3-$O$2,$Q$2)/$Q$2))</f>
        <v>9055.4398694281</v>
      </c>
      <c r="M524" s="15" t="n">
        <f aca="false">L524*(1+IF(M$3&lt;=$O$2,$D524,$D524-($D524-$I$508)*MIN(M$3-$O$2,$Q$2)/$Q$2))</f>
        <v>9302.93003746926</v>
      </c>
      <c r="N524" s="15" t="n">
        <f aca="false">M524*(1+IF(N$3&lt;=$O$2,$D524,$D524-($D524-$I$508)*MIN(N$3-$O$2,$Q$2)/$Q$2))</f>
        <v>9566.20295752964</v>
      </c>
      <c r="O524" s="15" t="n">
        <f aca="false">SUMPRODUCT(E524:N524,1/(1+$F$508)^$E$3:$N$3)*$E$2</f>
        <v>9390.90030104891</v>
      </c>
      <c r="P524" s="15" t="n">
        <f aca="false">N524*$E$2*(1+$I$508)/($F$508-$I$508)/(1+$F$508)^$N$3</f>
        <v>12741.8522295219</v>
      </c>
      <c r="Q524" s="15" t="n">
        <f aca="false">O524+P524</f>
        <v>22132.7525305708</v>
      </c>
      <c r="R524" s="15" t="n">
        <f aca="false">Q524-$G$2+$I$2</f>
        <v>19016.5525305708</v>
      </c>
      <c r="S524" s="42" t="n">
        <f aca="false">R524/$K$2</f>
        <v>168.437134903196</v>
      </c>
      <c r="T524" s="43" t="n">
        <f aca="false">S524-$M$2</f>
        <v>-0.0305356016757514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0.0234527587890625</v>
      </c>
      <c r="C525" s="25" t="n">
        <f aca="false">IF(T524&gt;0,D524,C524)</f>
        <v>0.02349853515625</v>
      </c>
      <c r="D525" s="41" t="n">
        <f aca="false">(B525+C525)/2</f>
        <v>0.0234756469726563</v>
      </c>
      <c r="E525" s="15" t="n">
        <f aca="false">$C$2*(1+IF(E$3&lt;=$O$2,$D525,$D525-($D525-$I$508)*MIN(E$3-$O$2,$Q$2)/$Q$2))</f>
        <v>7655.59783935547</v>
      </c>
      <c r="F525" s="15" t="n">
        <f aca="false">E525*(1+IF(F$3&lt;=$O$2,$D525,$D525-($D525-$I$508)*MIN(F$3-$O$2,$Q$2)/$Q$2))</f>
        <v>7835.31795159681</v>
      </c>
      <c r="G525" s="15" t="n">
        <f aca="false">F525*(1+IF(G$3&lt;=$O$2,$D525,$D525-($D525-$I$508)*MIN(G$3-$O$2,$Q$2)/$Q$2))</f>
        <v>8019.25710974701</v>
      </c>
      <c r="H525" s="15" t="n">
        <f aca="false">G525*(1+IF(H$3&lt;=$O$2,$D525,$D525-($D525-$I$508)*MIN(H$3-$O$2,$Q$2)/$Q$2))</f>
        <v>8207.5143586384</v>
      </c>
      <c r="I525" s="15" t="n">
        <f aca="false">H525*(1+IF(I$3&lt;=$O$2,$D525,$D525-($D525-$I$508)*MIN(I$3-$O$2,$Q$2)/$Q$2))</f>
        <v>8400.1910682448</v>
      </c>
      <c r="J525" s="15" t="n">
        <f aca="false">I525*(1+IF(J$3&lt;=$O$2,$D525,$D525-($D525-$I$508)*MIN(J$3-$O$2,$Q$2)/$Q$2))</f>
        <v>8605.49608570784</v>
      </c>
      <c r="K525" s="15" t="n">
        <f aca="false">J525*(1+IF(K$3&lt;=$O$2,$D525,$D525-($D525-$I$508)*MIN(K$3-$O$2,$Q$2)/$Q$2))</f>
        <v>8824.12205427765</v>
      </c>
      <c r="L525" s="15" t="n">
        <f aca="false">K525*(1+IF(L$3&lt;=$O$2,$D525,$D525-($D525-$I$508)*MIN(L$3-$O$2,$Q$2)/$Q$2))</f>
        <v>9056.81643643522</v>
      </c>
      <c r="M525" s="15" t="n">
        <f aca="false">L525*(1+IF(M$3&lt;=$O$2,$D525,$D525-($D525-$I$508)*MIN(M$3-$O$2,$Q$2)/$Q$2))</f>
        <v>9304.38568562769</v>
      </c>
      <c r="N525" s="15" t="n">
        <f aca="false">M525*(1+IF(N$3&lt;=$O$2,$D525,$D525-($D525-$I$508)*MIN(N$3-$O$2,$Q$2)/$Q$2))</f>
        <v>9567.69980053096</v>
      </c>
      <c r="O525" s="15" t="n">
        <f aca="false">SUMPRODUCT(E525:N525,1/(1+$F$508)^$E$3:$N$3)*$E$2</f>
        <v>9391.83624655988</v>
      </c>
      <c r="P525" s="15" t="n">
        <f aca="false">N525*$E$2*(1+$I$508)/($F$508-$I$508)/(1+$F$508)^$N$3</f>
        <v>12743.8459727467</v>
      </c>
      <c r="Q525" s="15" t="n">
        <f aca="false">O525+P525</f>
        <v>22135.6822193066</v>
      </c>
      <c r="R525" s="15" t="n">
        <f aca="false">Q525-$G$2+$I$2</f>
        <v>19019.4822193066</v>
      </c>
      <c r="S525" s="42" t="n">
        <f aca="false">R525/$K$2</f>
        <v>168.463084316267</v>
      </c>
      <c r="T525" s="43" t="n">
        <f aca="false">S525-$M$2</f>
        <v>-0.00458618860440652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0.0234756469726563</v>
      </c>
      <c r="C526" s="25" t="n">
        <f aca="false">IF(T525&gt;0,D525,C525)</f>
        <v>0.02349853515625</v>
      </c>
      <c r="D526" s="41" t="n">
        <f aca="false">(B526+C526)/2</f>
        <v>0.0234870910644531</v>
      </c>
      <c r="E526" s="15" t="n">
        <f aca="false">$C$2*(1+IF(E$3&lt;=$O$2,$D526,$D526-($D526-$I$508)*MIN(E$3-$O$2,$Q$2)/$Q$2))</f>
        <v>7655.68344116211</v>
      </c>
      <c r="F526" s="15" t="n">
        <f aca="false">E526*(1+IF(F$3&lt;=$O$2,$D526,$D526-($D526-$I$508)*MIN(F$3-$O$2,$Q$2)/$Q$2))</f>
        <v>7835.49317530531</v>
      </c>
      <c r="G526" s="15" t="n">
        <f aca="false">F526*(1+IF(G$3&lt;=$O$2,$D526,$D526-($D526-$I$508)*MIN(G$3-$O$2,$Q$2)/$Q$2))</f>
        <v>8019.52611704861</v>
      </c>
      <c r="H526" s="15" t="n">
        <f aca="false">G526*(1+IF(H$3&lt;=$O$2,$D526,$D526-($D526-$I$508)*MIN(H$3-$O$2,$Q$2)/$Q$2))</f>
        <v>8207.88145725349</v>
      </c>
      <c r="I526" s="15" t="n">
        <f aca="false">H526*(1+IF(I$3&lt;=$O$2,$D526,$D526-($D526-$I$508)*MIN(I$3-$O$2,$Q$2)/$Q$2))</f>
        <v>8400.66071648624</v>
      </c>
      <c r="J526" s="15" t="n">
        <f aca="false">I526*(1+IF(J$3&lt;=$O$2,$D526,$D526-($D526-$I$508)*MIN(J$3-$O$2,$Q$2)/$Q$2))</f>
        <v>8606.0541227413</v>
      </c>
      <c r="K526" s="15" t="n">
        <f aca="false">J526*(1+IF(K$3&lt;=$O$2,$D526,$D526-($D526-$I$508)*MIN(K$3-$O$2,$Q$2)/$Q$2))</f>
        <v>8824.75336154259</v>
      </c>
      <c r="L526" s="15" t="n">
        <f aca="false">K526*(1+IF(L$3&lt;=$O$2,$D526,$D526-($D526-$I$508)*MIN(L$3-$O$2,$Q$2)/$Q$2))</f>
        <v>9057.50478795114</v>
      </c>
      <c r="M526" s="15" t="n">
        <f aca="false">L526*(1+IF(M$3&lt;=$O$2,$D526,$D526-($D526-$I$508)*MIN(M$3-$O$2,$Q$2)/$Q$2))</f>
        <v>9305.11358430462</v>
      </c>
      <c r="N526" s="15" t="n">
        <f aca="false">M526*(1+IF(N$3&lt;=$O$2,$D526,$D526-($D526-$I$508)*MIN(N$3-$O$2,$Q$2)/$Q$2))</f>
        <v>9568.44829874044</v>
      </c>
      <c r="O526" s="15" t="n">
        <f aca="false">SUMPRODUCT(E526:N526,1/(1+$F$508)^$E$3:$N$3)*$E$2</f>
        <v>9392.30425486763</v>
      </c>
      <c r="P526" s="15" t="n">
        <f aca="false">N526*$E$2*(1+$I$508)/($F$508-$I$508)/(1+$F$508)^$N$3</f>
        <v>12744.8429465326</v>
      </c>
      <c r="Q526" s="15" t="n">
        <f aca="false">O526+P526</f>
        <v>22137.1472014002</v>
      </c>
      <c r="R526" s="15" t="n">
        <f aca="false">Q526-$G$2+$I$2</f>
        <v>19020.9472014002</v>
      </c>
      <c r="S526" s="42" t="n">
        <f aca="false">R526/$K$2</f>
        <v>168.476060242695</v>
      </c>
      <c r="T526" s="43" t="n">
        <f aca="false">S526-$M$2</f>
        <v>0.00838973782305175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0.0234756469726563</v>
      </c>
      <c r="C527" s="25" t="n">
        <f aca="false">IF(T526&gt;0,D526,C526)</f>
        <v>0.0234870910644531</v>
      </c>
      <c r="D527" s="41" t="n">
        <f aca="false">(B527+C527)/2</f>
        <v>0.0234813690185547</v>
      </c>
      <c r="E527" s="15" t="n">
        <f aca="false">$C$2*(1+IF(E$3&lt;=$O$2,$D527,$D527-($D527-$I$508)*MIN(E$3-$O$2,$Q$2)/$Q$2))</f>
        <v>7655.64064025879</v>
      </c>
      <c r="F527" s="15" t="n">
        <f aca="false">E527*(1+IF(F$3&lt;=$O$2,$D527,$D527-($D527-$I$508)*MIN(F$3-$O$2,$Q$2)/$Q$2))</f>
        <v>7835.40556320615</v>
      </c>
      <c r="G527" s="15" t="n">
        <f aca="false">F527*(1+IF(G$3&lt;=$O$2,$D527,$D527-($D527-$I$508)*MIN(G$3-$O$2,$Q$2)/$Q$2))</f>
        <v>8019.39161264583</v>
      </c>
      <c r="H527" s="15" t="n">
        <f aca="false">G527*(1+IF(H$3&lt;=$O$2,$D527,$D527-($D527-$I$508)*MIN(H$3-$O$2,$Q$2)/$Q$2))</f>
        <v>8207.69790640667</v>
      </c>
      <c r="I527" s="15" t="n">
        <f aca="false">H527*(1+IF(I$3&lt;=$O$2,$D527,$D527-($D527-$I$508)*MIN(I$3-$O$2,$Q$2)/$Q$2))</f>
        <v>8400.42588973982</v>
      </c>
      <c r="J527" s="15" t="n">
        <f aca="false">I527*(1+IF(J$3&lt;=$O$2,$D527,$D527-($D527-$I$508)*MIN(J$3-$O$2,$Q$2)/$Q$2))</f>
        <v>8605.77510045975</v>
      </c>
      <c r="K527" s="15" t="n">
        <f aca="false">J527*(1+IF(K$3&lt;=$O$2,$D527,$D527-($D527-$I$508)*MIN(K$3-$O$2,$Q$2)/$Q$2))</f>
        <v>8824.43770309171</v>
      </c>
      <c r="L527" s="15" t="n">
        <f aca="false">K527*(1+IF(L$3&lt;=$O$2,$D527,$D527-($D527-$I$508)*MIN(L$3-$O$2,$Q$2)/$Q$2))</f>
        <v>9057.16060652522</v>
      </c>
      <c r="M527" s="15" t="n">
        <f aca="false">L527*(1+IF(M$3&lt;=$O$2,$D527,$D527-($D527-$I$508)*MIN(M$3-$O$2,$Q$2)/$Q$2))</f>
        <v>9304.74962874938</v>
      </c>
      <c r="N527" s="15" t="n">
        <f aca="false">M527*(1+IF(N$3&lt;=$O$2,$D527,$D527-($D527-$I$508)*MIN(N$3-$O$2,$Q$2)/$Q$2))</f>
        <v>9568.07404324299</v>
      </c>
      <c r="O527" s="15" t="n">
        <f aca="false">SUMPRODUCT(E527:N527,1/(1+$F$508)^$E$3:$N$3)*$E$2</f>
        <v>9392.07024775095</v>
      </c>
      <c r="P527" s="15" t="n">
        <f aca="false">N527*$E$2*(1+$I$508)/($F$508-$I$508)/(1+$F$508)^$N$3</f>
        <v>12744.3444511248</v>
      </c>
      <c r="Q527" s="15" t="n">
        <f aca="false">O527+P527</f>
        <v>22136.4146988757</v>
      </c>
      <c r="R527" s="15" t="n">
        <f aca="false">Q527-$G$2+$I$2</f>
        <v>19020.2146988757</v>
      </c>
      <c r="S527" s="42" t="n">
        <f aca="false">R527/$K$2</f>
        <v>168.469572177819</v>
      </c>
      <c r="T527" s="43" t="n">
        <f aca="false">S527-$M$2</f>
        <v>0.00190167294695698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0.0234756469726563</v>
      </c>
      <c r="C528" s="25" t="n">
        <f aca="false">IF(T527&gt;0,D527,C527)</f>
        <v>0.0234813690185547</v>
      </c>
      <c r="D528" s="41" t="n">
        <f aca="false">(B528+C528)/2</f>
        <v>0.0234785079956055</v>
      </c>
      <c r="E528" s="15" t="n">
        <f aca="false">$C$2*(1+IF(E$3&lt;=$O$2,$D528,$D528-($D528-$I$508)*MIN(E$3-$O$2,$Q$2)/$Q$2))</f>
        <v>7655.61923980713</v>
      </c>
      <c r="F528" s="15" t="n">
        <f aca="false">E528*(1+IF(F$3&lt;=$O$2,$D528,$D528-($D528-$I$508)*MIN(F$3-$O$2,$Q$2)/$Q$2))</f>
        <v>7835.36175734025</v>
      </c>
      <c r="G528" s="15" t="n">
        <f aca="false">F528*(1+IF(G$3&lt;=$O$2,$D528,$D528-($D528-$I$508)*MIN(G$3-$O$2,$Q$2)/$Q$2))</f>
        <v>8019.32436100843</v>
      </c>
      <c r="H528" s="15" t="n">
        <f aca="false">G528*(1+IF(H$3&lt;=$O$2,$D528,$D528-($D528-$I$508)*MIN(H$3-$O$2,$Q$2)/$Q$2))</f>
        <v>8207.60613213772</v>
      </c>
      <c r="I528" s="15" t="n">
        <f aca="false">H528*(1+IF(I$3&lt;=$O$2,$D528,$D528-($D528-$I$508)*MIN(I$3-$O$2,$Q$2)/$Q$2))</f>
        <v>8400.30847833589</v>
      </c>
      <c r="J528" s="15" t="n">
        <f aca="false">I528*(1+IF(J$3&lt;=$O$2,$D528,$D528-($D528-$I$508)*MIN(J$3-$O$2,$Q$2)/$Q$2))</f>
        <v>8605.6355921426</v>
      </c>
      <c r="K528" s="15" t="n">
        <f aca="false">J528*(1+IF(K$3&lt;=$O$2,$D528,$D528-($D528-$I$508)*MIN(K$3-$O$2,$Q$2)/$Q$2))</f>
        <v>8824.27987748009</v>
      </c>
      <c r="L528" s="15" t="n">
        <f aca="false">K528*(1+IF(L$3&lt;=$O$2,$D528,$D528-($D528-$I$508)*MIN(L$3-$O$2,$Q$2)/$Q$2))</f>
        <v>9056.98852006325</v>
      </c>
      <c r="M528" s="15" t="n">
        <f aca="false">L528*(1+IF(M$3&lt;=$O$2,$D528,$D528-($D528-$I$508)*MIN(M$3-$O$2,$Q$2)/$Q$2))</f>
        <v>9304.56765563437</v>
      </c>
      <c r="N528" s="15" t="n">
        <f aca="false">M528*(1+IF(N$3&lt;=$O$2,$D528,$D528-($D528-$I$508)*MIN(N$3-$O$2,$Q$2)/$Q$2))</f>
        <v>9567.88692028882</v>
      </c>
      <c r="O528" s="15" t="n">
        <f aca="false">SUMPRODUCT(E528:N528,1/(1+$F$508)^$E$3:$N$3)*$E$2</f>
        <v>9391.95324641472</v>
      </c>
      <c r="P528" s="15" t="n">
        <f aca="false">N528*$E$2*(1+$I$508)/($F$508-$I$508)/(1+$F$508)^$N$3</f>
        <v>12744.0952098071</v>
      </c>
      <c r="Q528" s="15" t="n">
        <f aca="false">O528+P528</f>
        <v>22136.0484562218</v>
      </c>
      <c r="R528" s="15" t="n">
        <f aca="false">Q528-$G$2+$I$2</f>
        <v>19019.8484562218</v>
      </c>
      <c r="S528" s="42" t="n">
        <f aca="false">R528/$K$2</f>
        <v>168.466328221628</v>
      </c>
      <c r="T528" s="43" t="n">
        <f aca="false">S528-$M$2</f>
        <v>-0.00134228324390051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0.0234785079956055</v>
      </c>
      <c r="C529" s="25" t="n">
        <f aca="false">IF(T528&gt;0,D528,C528)</f>
        <v>0.0234813690185547</v>
      </c>
      <c r="D529" s="41" t="n">
        <f aca="false">(B529+C529)/2</f>
        <v>0.0234799385070801</v>
      </c>
      <c r="E529" s="15" t="n">
        <f aca="false">$C$2*(1+IF(E$3&lt;=$O$2,$D529,$D529-($D529-$I$508)*MIN(E$3-$O$2,$Q$2)/$Q$2))</f>
        <v>7655.62994003296</v>
      </c>
      <c r="F529" s="15" t="n">
        <f aca="false">E529*(1+IF(F$3&lt;=$O$2,$D529,$D529-($D529-$I$508)*MIN(F$3-$O$2,$Q$2)/$Q$2))</f>
        <v>7835.38366025789</v>
      </c>
      <c r="G529" s="15" t="n">
        <f aca="false">F529*(1+IF(G$3&lt;=$O$2,$D529,$D529-($D529-$I$508)*MIN(G$3-$O$2,$Q$2)/$Q$2))</f>
        <v>8019.35798678013</v>
      </c>
      <c r="H529" s="15" t="n">
        <f aca="false">G529*(1+IF(H$3&lt;=$O$2,$D529,$D529-($D529-$I$508)*MIN(H$3-$O$2,$Q$2)/$Q$2))</f>
        <v>8207.65201917599</v>
      </c>
      <c r="I529" s="15" t="n">
        <f aca="false">H529*(1+IF(I$3&lt;=$O$2,$D529,$D529-($D529-$I$508)*MIN(I$3-$O$2,$Q$2)/$Q$2))</f>
        <v>8400.36718387375</v>
      </c>
      <c r="J529" s="15" t="n">
        <f aca="false">I529*(1+IF(J$3&lt;=$O$2,$D529,$D529-($D529-$I$508)*MIN(J$3-$O$2,$Q$2)/$Q$2))</f>
        <v>8605.70534606588</v>
      </c>
      <c r="K529" s="15" t="n">
        <f aca="false">J529*(1+IF(K$3&lt;=$O$2,$D529,$D529-($D529-$I$508)*MIN(K$3-$O$2,$Q$2)/$Q$2))</f>
        <v>8824.35878998475</v>
      </c>
      <c r="L529" s="15" t="n">
        <f aca="false">K529*(1+IF(L$3&lt;=$O$2,$D529,$D529-($D529-$I$508)*MIN(L$3-$O$2,$Q$2)/$Q$2))</f>
        <v>9057.07456293999</v>
      </c>
      <c r="M529" s="15" t="n">
        <f aca="false">L529*(1+IF(M$3&lt;=$O$2,$D529,$D529-($D529-$I$508)*MIN(M$3-$O$2,$Q$2)/$Q$2))</f>
        <v>9304.65864180333</v>
      </c>
      <c r="N529" s="15" t="n">
        <f aca="false">M529*(1+IF(N$3&lt;=$O$2,$D529,$D529-($D529-$I$508)*MIN(N$3-$O$2,$Q$2)/$Q$2))</f>
        <v>9567.98048136636</v>
      </c>
      <c r="O529" s="15" t="n">
        <f aca="false">SUMPRODUCT(E529:N529,1/(1+$F$508)^$E$3:$N$3)*$E$2</f>
        <v>9392.01174689766</v>
      </c>
      <c r="P529" s="15" t="n">
        <f aca="false">N529*$E$2*(1+$I$508)/($F$508-$I$508)/(1+$F$508)^$N$3</f>
        <v>12744.2198299337</v>
      </c>
      <c r="Q529" s="15" t="n">
        <f aca="false">O529+P529</f>
        <v>22136.2315768314</v>
      </c>
      <c r="R529" s="15" t="n">
        <f aca="false">Q529-$G$2+$I$2</f>
        <v>19020.0315768314</v>
      </c>
      <c r="S529" s="42" t="n">
        <f aca="false">R529/$K$2</f>
        <v>168.467950193369</v>
      </c>
      <c r="T529" s="43" t="n">
        <f aca="false">S529-$M$2</f>
        <v>0.000279688497613506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0.0234785079956055</v>
      </c>
      <c r="C530" s="25" t="n">
        <f aca="false">IF(T529&gt;0,D529,C529)</f>
        <v>0.0234799385070801</v>
      </c>
      <c r="D530" s="41" t="n">
        <f aca="false">(B530+C530)/2</f>
        <v>0.0234792232513428</v>
      </c>
      <c r="E530" s="15" t="n">
        <f aca="false">$C$2*(1+IF(E$3&lt;=$O$2,$D530,$D530-($D530-$I$508)*MIN(E$3-$O$2,$Q$2)/$Q$2))</f>
        <v>7655.62458992004</v>
      </c>
      <c r="F530" s="15" t="n">
        <f aca="false">E530*(1+IF(F$3&lt;=$O$2,$D530,$D530-($D530-$I$508)*MIN(F$3-$O$2,$Q$2)/$Q$2))</f>
        <v>7835.37270879525</v>
      </c>
      <c r="G530" s="15" t="n">
        <f aca="false">F530*(1+IF(G$3&lt;=$O$2,$D530,$D530-($D530-$I$508)*MIN(G$3-$O$2,$Q$2)/$Q$2))</f>
        <v>8019.34117388253</v>
      </c>
      <c r="H530" s="15" t="n">
        <f aca="false">G530*(1+IF(H$3&lt;=$O$2,$D530,$D530-($D530-$I$508)*MIN(H$3-$O$2,$Q$2)/$Q$2))</f>
        <v>8207.6290756328</v>
      </c>
      <c r="I530" s="15" t="n">
        <f aca="false">H530*(1+IF(I$3&lt;=$O$2,$D530,$D530-($D530-$I$508)*MIN(I$3-$O$2,$Q$2)/$Q$2))</f>
        <v>8400.3378310638</v>
      </c>
      <c r="J530" s="15" t="n">
        <f aca="false">I530*(1+IF(J$3&lt;=$O$2,$D530,$D530-($D530-$I$508)*MIN(J$3-$O$2,$Q$2)/$Q$2))</f>
        <v>8605.67046904542</v>
      </c>
      <c r="K530" s="15" t="n">
        <f aca="false">J530*(1+IF(K$3&lt;=$O$2,$D530,$D530-($D530-$I$508)*MIN(K$3-$O$2,$Q$2)/$Q$2))</f>
        <v>8824.31933365713</v>
      </c>
      <c r="L530" s="15" t="n">
        <f aca="false">K530*(1+IF(L$3&lt;=$O$2,$D530,$D530-($D530-$I$508)*MIN(L$3-$O$2,$Q$2)/$Q$2))</f>
        <v>9057.03154141306</v>
      </c>
      <c r="M530" s="15" t="n">
        <f aca="false">L530*(1+IF(M$3&lt;=$O$2,$D530,$D530-($D530-$I$508)*MIN(M$3-$O$2,$Q$2)/$Q$2))</f>
        <v>9304.61314862171</v>
      </c>
      <c r="N530" s="15" t="n">
        <f aca="false">M530*(1+IF(N$3&lt;=$O$2,$D530,$D530-($D530-$I$508)*MIN(N$3-$O$2,$Q$2)/$Q$2))</f>
        <v>9567.9337007277</v>
      </c>
      <c r="O530" s="15" t="n">
        <f aca="false">SUMPRODUCT(E530:N530,1/(1+$F$508)^$E$3:$N$3)*$E$2</f>
        <v>9391.98249660989</v>
      </c>
      <c r="P530" s="15" t="n">
        <f aca="false">N530*$E$2*(1+$I$508)/($F$508-$I$508)/(1+$F$508)^$N$3</f>
        <v>12744.1575197373</v>
      </c>
      <c r="Q530" s="15" t="n">
        <f aca="false">O530+P530</f>
        <v>22136.1400163472</v>
      </c>
      <c r="R530" s="15" t="n">
        <f aca="false">Q530-$G$2+$I$2</f>
        <v>19019.9400163472</v>
      </c>
      <c r="S530" s="42" t="n">
        <f aca="false">R530/$K$2</f>
        <v>168.46713920591</v>
      </c>
      <c r="T530" s="43" t="n">
        <f aca="false">S530-$M$2</f>
        <v>-0.000531298961647053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0.0234792232513428</v>
      </c>
      <c r="C531" s="25" t="n">
        <f aca="false">IF(T530&gt;0,D530,C530)</f>
        <v>0.0234799385070801</v>
      </c>
      <c r="D531" s="41" t="n">
        <f aca="false">(B531+C531)/2</f>
        <v>0.0234795808792114</v>
      </c>
      <c r="E531" s="15" t="n">
        <f aca="false">$C$2*(1+IF(E$3&lt;=$O$2,$D531,$D531-($D531-$I$508)*MIN(E$3-$O$2,$Q$2)/$Q$2))</f>
        <v>7655.6272649765</v>
      </c>
      <c r="F531" s="15" t="n">
        <f aca="false">E531*(1+IF(F$3&lt;=$O$2,$D531,$D531-($D531-$I$508)*MIN(F$3-$O$2,$Q$2)/$Q$2))</f>
        <v>7835.37818452561</v>
      </c>
      <c r="G531" s="15" t="n">
        <f aca="false">F531*(1+IF(G$3&lt;=$O$2,$D531,$D531-($D531-$I$508)*MIN(G$3-$O$2,$Q$2)/$Q$2))</f>
        <v>8019.34958032839</v>
      </c>
      <c r="H531" s="15" t="n">
        <f aca="false">G531*(1+IF(H$3&lt;=$O$2,$D531,$D531-($D531-$I$508)*MIN(H$3-$O$2,$Q$2)/$Q$2))</f>
        <v>8207.64054739838</v>
      </c>
      <c r="I531" s="15" t="n">
        <f aca="false">H531*(1+IF(I$3&lt;=$O$2,$D531,$D531-($D531-$I$508)*MIN(I$3-$O$2,$Q$2)/$Q$2))</f>
        <v>8400.35250745852</v>
      </c>
      <c r="J531" s="15" t="n">
        <f aca="false">I531*(1+IF(J$3&lt;=$O$2,$D531,$D531-($D531-$I$508)*MIN(J$3-$O$2,$Q$2)/$Q$2))</f>
        <v>8605.68790754094</v>
      </c>
      <c r="K531" s="15" t="n">
        <f aca="false">J531*(1+IF(K$3&lt;=$O$2,$D531,$D531-($D531-$I$508)*MIN(K$3-$O$2,$Q$2)/$Q$2))</f>
        <v>8824.33906180212</v>
      </c>
      <c r="L531" s="15" t="n">
        <f aca="false">K531*(1+IF(L$3&lt;=$O$2,$D531,$D531-($D531-$I$508)*MIN(L$3-$O$2,$Q$2)/$Q$2))</f>
        <v>9057.05305215439</v>
      </c>
      <c r="M531" s="15" t="n">
        <f aca="false">L531*(1+IF(M$3&lt;=$O$2,$D531,$D531-($D531-$I$508)*MIN(M$3-$O$2,$Q$2)/$Q$2))</f>
        <v>9304.63589518824</v>
      </c>
      <c r="N531" s="15" t="n">
        <f aca="false">M531*(1+IF(N$3&lt;=$O$2,$D531,$D531-($D531-$I$508)*MIN(N$3-$O$2,$Q$2)/$Q$2))</f>
        <v>9567.95709102206</v>
      </c>
      <c r="O531" s="15" t="n">
        <f aca="false">SUMPRODUCT(E531:N531,1/(1+$F$508)^$E$3:$N$3)*$E$2</f>
        <v>9391.9971217422</v>
      </c>
      <c r="P531" s="15" t="n">
        <f aca="false">N531*$E$2*(1+$I$508)/($F$508-$I$508)/(1+$F$508)^$N$3</f>
        <v>12744.1886748023</v>
      </c>
      <c r="Q531" s="15" t="n">
        <f aca="false">O531+P531</f>
        <v>22136.1857965445</v>
      </c>
      <c r="R531" s="15" t="n">
        <f aca="false">Q531-$G$2+$I$2</f>
        <v>19019.9857965445</v>
      </c>
      <c r="S531" s="42" t="n">
        <f aca="false">R531/$K$2</f>
        <v>168.467544699243</v>
      </c>
      <c r="T531" s="43" t="n">
        <f aca="false">S531-$M$2</f>
        <v>-0.000125805629096476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0.0234795808792114</v>
      </c>
      <c r="C532" s="25" t="n">
        <f aca="false">IF(T531&gt;0,D531,C531)</f>
        <v>0.0234799385070801</v>
      </c>
      <c r="D532" s="41" t="n">
        <f aca="false">(B532+C532)/2</f>
        <v>0.0234797596931458</v>
      </c>
      <c r="E532" s="15" t="n">
        <f aca="false">$C$2*(1+IF(E$3&lt;=$O$2,$D532,$D532-($D532-$I$508)*MIN(E$3-$O$2,$Q$2)/$Q$2))</f>
        <v>7655.62860250473</v>
      </c>
      <c r="F532" s="15" t="n">
        <f aca="false">E532*(1+IF(F$3&lt;=$O$2,$D532,$D532-($D532-$I$508)*MIN(F$3-$O$2,$Q$2)/$Q$2))</f>
        <v>7835.38092239151</v>
      </c>
      <c r="G532" s="15" t="n">
        <f aca="false">F532*(1+IF(G$3&lt;=$O$2,$D532,$D532-($D532-$I$508)*MIN(G$3-$O$2,$Q$2)/$Q$2))</f>
        <v>8019.35378355353</v>
      </c>
      <c r="H532" s="15" t="n">
        <f aca="false">G532*(1+IF(H$3&lt;=$O$2,$D532,$D532-($D532-$I$508)*MIN(H$3-$O$2,$Q$2)/$Q$2))</f>
        <v>8207.64628328568</v>
      </c>
      <c r="I532" s="15" t="n">
        <f aca="false">H532*(1+IF(I$3&lt;=$O$2,$D532,$D532-($D532-$I$508)*MIN(I$3-$O$2,$Q$2)/$Q$2))</f>
        <v>8400.35984566357</v>
      </c>
      <c r="J532" s="15" t="n">
        <f aca="false">I532*(1+IF(J$3&lt;=$O$2,$D532,$D532-($D532-$I$508)*MIN(J$3-$O$2,$Q$2)/$Q$2))</f>
        <v>8605.69662679973</v>
      </c>
      <c r="K532" s="15" t="n">
        <f aca="false">J532*(1+IF(K$3&lt;=$O$2,$D532,$D532-($D532-$I$508)*MIN(K$3-$O$2,$Q$2)/$Q$2))</f>
        <v>8824.34892588873</v>
      </c>
      <c r="L532" s="15" t="n">
        <f aca="false">K532*(1+IF(L$3&lt;=$O$2,$D532,$D532-($D532-$I$508)*MIN(L$3-$O$2,$Q$2)/$Q$2))</f>
        <v>9057.06380754165</v>
      </c>
      <c r="M532" s="15" t="n">
        <f aca="false">L532*(1+IF(M$3&lt;=$O$2,$D532,$D532-($D532-$I$508)*MIN(M$3-$O$2,$Q$2)/$Q$2))</f>
        <v>9304.64726848971</v>
      </c>
      <c r="N532" s="15" t="n">
        <f aca="false">M532*(1+IF(N$3&lt;=$O$2,$D532,$D532-($D532-$I$508)*MIN(N$3-$O$2,$Q$2)/$Q$2))</f>
        <v>9567.96878618797</v>
      </c>
      <c r="O532" s="15" t="n">
        <f aca="false">SUMPRODUCT(E532:N532,1/(1+$F$508)^$E$3:$N$3)*$E$2</f>
        <v>9392.00443431704</v>
      </c>
      <c r="P532" s="15" t="n">
        <f aca="false">N532*$E$2*(1+$I$508)/($F$508-$I$508)/(1+$F$508)^$N$3</f>
        <v>12744.2042523597</v>
      </c>
      <c r="Q532" s="15" t="n">
        <f aca="false">O532+P532</f>
        <v>22136.2086866767</v>
      </c>
      <c r="R532" s="15" t="n">
        <f aca="false">Q532-$G$2+$I$2</f>
        <v>19020.0086866767</v>
      </c>
      <c r="S532" s="42" t="n">
        <f aca="false">R532/$K$2</f>
        <v>168.467747446207</v>
      </c>
      <c r="T532" s="43" t="n">
        <f aca="false">S532-$M$2</f>
        <v>7.6941334981484E-005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0.0234795808792114</v>
      </c>
      <c r="C533" s="25" t="n">
        <f aca="false">IF(T532&gt;0,D532,C532)</f>
        <v>0.0234797596931458</v>
      </c>
      <c r="D533" s="41" t="n">
        <f aca="false">(B533+C533)/2</f>
        <v>0.0234796702861786</v>
      </c>
      <c r="E533" s="15" t="n">
        <f aca="false">$C$2*(1+IF(E$3&lt;=$O$2,$D533,$D533-($D533-$I$508)*MIN(E$3-$O$2,$Q$2)/$Q$2))</f>
        <v>7655.62793374062</v>
      </c>
      <c r="F533" s="15" t="n">
        <f aca="false">E533*(1+IF(F$3&lt;=$O$2,$D533,$D533-($D533-$I$508)*MIN(F$3-$O$2,$Q$2)/$Q$2))</f>
        <v>7835.3795534585</v>
      </c>
      <c r="G533" s="15" t="n">
        <f aca="false">F533*(1+IF(G$3&lt;=$O$2,$D533,$D533-($D533-$I$508)*MIN(G$3-$O$2,$Q$2)/$Q$2))</f>
        <v>8019.35168194078</v>
      </c>
      <c r="H533" s="15" t="n">
        <f aca="false">G533*(1+IF(H$3&lt;=$O$2,$D533,$D533-($D533-$I$508)*MIN(H$3-$O$2,$Q$2)/$Q$2))</f>
        <v>8207.64341534166</v>
      </c>
      <c r="I533" s="15" t="n">
        <f aca="false">H533*(1+IF(I$3&lt;=$O$2,$D533,$D533-($D533-$I$508)*MIN(I$3-$O$2,$Q$2)/$Q$2))</f>
        <v>8400.3561765604</v>
      </c>
      <c r="J533" s="15" t="n">
        <f aca="false">I533*(1+IF(J$3&lt;=$O$2,$D533,$D533-($D533-$I$508)*MIN(J$3-$O$2,$Q$2)/$Q$2))</f>
        <v>8605.69226716942</v>
      </c>
      <c r="K533" s="15" t="n">
        <f aca="false">J533*(1+IF(K$3&lt;=$O$2,$D533,$D533-($D533-$I$508)*MIN(K$3-$O$2,$Q$2)/$Q$2))</f>
        <v>8824.34399384425</v>
      </c>
      <c r="L533" s="15" t="n">
        <f aca="false">K533*(1+IF(L$3&lt;=$O$2,$D533,$D533-($D533-$I$508)*MIN(L$3-$O$2,$Q$2)/$Q$2))</f>
        <v>9057.05842984664</v>
      </c>
      <c r="M533" s="15" t="n">
        <f aca="false">L533*(1+IF(M$3&lt;=$O$2,$D533,$D533-($D533-$I$508)*MIN(M$3-$O$2,$Q$2)/$Q$2))</f>
        <v>9304.64158183746</v>
      </c>
      <c r="N533" s="15" t="n">
        <f aca="false">M533*(1+IF(N$3&lt;=$O$2,$D533,$D533-($D533-$I$508)*MIN(N$3-$O$2,$Q$2)/$Q$2))</f>
        <v>9567.96293860346</v>
      </c>
      <c r="O533" s="15" t="n">
        <f aca="false">SUMPRODUCT(E533:N533,1/(1+$F$508)^$E$3:$N$3)*$E$2</f>
        <v>9392.0007780289</v>
      </c>
      <c r="P533" s="15" t="n">
        <f aca="false">N533*$E$2*(1+$I$508)/($F$508-$I$508)/(1+$F$508)^$N$3</f>
        <v>12744.1964635789</v>
      </c>
      <c r="Q533" s="15" t="n">
        <f aca="false">O533+P533</f>
        <v>22136.1972416078</v>
      </c>
      <c r="R533" s="15" t="n">
        <f aca="false">Q533-$G$2+$I$2</f>
        <v>19019.9972416078</v>
      </c>
      <c r="S533" s="42" t="n">
        <f aca="false">R533/$K$2</f>
        <v>168.4676460727</v>
      </c>
      <c r="T533" s="43" t="n">
        <f aca="false">S533-$M$2</f>
        <v>-2.44321718128049E-005</v>
      </c>
    </row>
    <row r="535" customFormat="false" ht="15" hidden="false" customHeight="false" outlineLevel="0" collapsed="false">
      <c r="A535" s="38" t="s">
        <v>203</v>
      </c>
      <c r="E535" s="5" t="s">
        <v>11</v>
      </c>
      <c r="F535" s="12" t="n">
        <f aca="false">Sensitivity!$B$13</f>
        <v>0.0861268672746673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165</v>
      </c>
      <c r="B536" s="28" t="s">
        <v>166</v>
      </c>
      <c r="C536" s="28" t="s">
        <v>167</v>
      </c>
      <c r="D536" s="28" t="s">
        <v>168</v>
      </c>
      <c r="E536" s="28" t="s">
        <v>169</v>
      </c>
      <c r="F536" s="28" t="s">
        <v>170</v>
      </c>
      <c r="G536" s="28" t="s">
        <v>171</v>
      </c>
      <c r="H536" s="28" t="s">
        <v>172</v>
      </c>
      <c r="I536" s="28" t="s">
        <v>173</v>
      </c>
      <c r="J536" s="28" t="s">
        <v>174</v>
      </c>
      <c r="K536" s="28" t="s">
        <v>175</v>
      </c>
      <c r="L536" s="28" t="s">
        <v>176</v>
      </c>
      <c r="M536" s="28" t="s">
        <v>177</v>
      </c>
      <c r="N536" s="28" t="s">
        <v>178</v>
      </c>
      <c r="O536" s="28" t="s">
        <v>179</v>
      </c>
      <c r="P536" s="28" t="s">
        <v>180</v>
      </c>
      <c r="Q536" s="28" t="s">
        <v>181</v>
      </c>
      <c r="R536" s="28" t="s">
        <v>182</v>
      </c>
      <c r="S536" s="28" t="s">
        <v>183</v>
      </c>
      <c r="T536" s="28" t="s">
        <v>184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9350</v>
      </c>
      <c r="F537" s="15" t="n">
        <f aca="false">E537*(1+IF(F$3&lt;=$O$2,$D537,$D537-($D537-$I$535)*MIN(F$3-$O$2,$Q$2)/$Q$2))</f>
        <v>11687.5</v>
      </c>
      <c r="G537" s="15" t="n">
        <f aca="false">F537*(1+IF(G$3&lt;=$O$2,$D537,$D537-($D537-$I$535)*MIN(G$3-$O$2,$Q$2)/$Q$2))</f>
        <v>14609.375</v>
      </c>
      <c r="H537" s="15" t="n">
        <f aca="false">G537*(1+IF(H$3&lt;=$O$2,$D537,$D537-($D537-$I$535)*MIN(H$3-$O$2,$Q$2)/$Q$2))</f>
        <v>18261.71875</v>
      </c>
      <c r="I537" s="15" t="n">
        <f aca="false">H537*(1+IF(I$3&lt;=$O$2,$D537,$D537-($D537-$I$535)*MIN(I$3-$O$2,$Q$2)/$Q$2))</f>
        <v>22827.1484375</v>
      </c>
      <c r="J537" s="15" t="n">
        <f aca="false">I537*(1+IF(J$3&lt;=$O$2,$D537,$D537-($D537-$I$535)*MIN(J$3-$O$2,$Q$2)/$Q$2))</f>
        <v>27544.6069335938</v>
      </c>
      <c r="K537" s="15" t="n">
        <f aca="false">J537*(1+IF(K$3&lt;=$O$2,$D537,$D537-($D537-$I$535)*MIN(K$3-$O$2,$Q$2)/$Q$2))</f>
        <v>32043.1921379883</v>
      </c>
      <c r="L537" s="15" t="n">
        <f aca="false">K537*(1+IF(L$3&lt;=$O$2,$D537,$D537-($D537-$I$535)*MIN(L$3-$O$2,$Q$2)/$Q$2))</f>
        <v>35887.7343307041</v>
      </c>
      <c r="M537" s="15" t="n">
        <f aca="false">L537*(1+IF(M$3&lt;=$O$2,$D537,$D537-($D537-$I$535)*MIN(M$3-$O$2,$Q$2)/$Q$2))</f>
        <v>38638.1702898093</v>
      </c>
      <c r="N537" s="15" t="n">
        <f aca="false">M537*(1+IF(N$3&lt;=$O$2,$D537,$D537-($D537-$I$535)*MIN(N$3-$O$2,$Q$2)/$Q$2))</f>
        <v>39924.8213604599</v>
      </c>
      <c r="O537" s="15" t="n">
        <f aca="false">SUMPRODUCT(E537:N537,1/(1+$F$535)^$E$3:$N$3)*$E$2</f>
        <v>25201.1097275614</v>
      </c>
      <c r="P537" s="15" t="n">
        <f aca="false">N537*$E$2*(1+$I$535)/($F$535-$I$535)/(1+$F$535)^$N$3</f>
        <v>58494.8130123477</v>
      </c>
      <c r="Q537" s="15" t="n">
        <f aca="false">O537+P537</f>
        <v>83695.9227399091</v>
      </c>
      <c r="R537" s="15" t="n">
        <f aca="false">Q537-$G$2+$I$2</f>
        <v>80579.7227399091</v>
      </c>
      <c r="S537" s="42" t="n">
        <f aca="false">R537/$K$2</f>
        <v>713.726507882277</v>
      </c>
      <c r="T537" s="43" t="n">
        <f aca="false">S537-$M$2</f>
        <v>545.258837377406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6545</v>
      </c>
      <c r="F538" s="15" t="n">
        <f aca="false">E538*(1+IF(F$3&lt;=$O$2,$D538,$D538-($D538-$I$535)*MIN(F$3-$O$2,$Q$2)/$Q$2))</f>
        <v>5726.875</v>
      </c>
      <c r="G538" s="15" t="n">
        <f aca="false">F538*(1+IF(G$3&lt;=$O$2,$D538,$D538-($D538-$I$535)*MIN(G$3-$O$2,$Q$2)/$Q$2))</f>
        <v>5011.015625</v>
      </c>
      <c r="H538" s="15" t="n">
        <f aca="false">G538*(1+IF(H$3&lt;=$O$2,$D538,$D538-($D538-$I$535)*MIN(H$3-$O$2,$Q$2)/$Q$2))</f>
        <v>4384.638671875</v>
      </c>
      <c r="I538" s="15" t="n">
        <f aca="false">H538*(1+IF(I$3&lt;=$O$2,$D538,$D538-($D538-$I$535)*MIN(I$3-$O$2,$Q$2)/$Q$2))</f>
        <v>3836.55883789063</v>
      </c>
      <c r="J538" s="15" t="n">
        <f aca="false">I538*(1+IF(J$3&lt;=$O$2,$D538,$D538-($D538-$I$535)*MIN(J$3-$O$2,$Q$2)/$Q$2))</f>
        <v>3478.45443596191</v>
      </c>
      <c r="K538" s="15" t="n">
        <f aca="false">J538*(1+IF(K$3&lt;=$O$2,$D538,$D538-($D538-$I$535)*MIN(K$3-$O$2,$Q$2)/$Q$2))</f>
        <v>3263.90336635178</v>
      </c>
      <c r="L538" s="15" t="n">
        <f aca="false">K538*(1+IF(L$3&lt;=$O$2,$D538,$D538-($D538-$I$535)*MIN(L$3-$O$2,$Q$2)/$Q$2))</f>
        <v>3165.9209872939</v>
      </c>
      <c r="M538" s="15" t="n">
        <f aca="false">L538*(1+IF(M$3&lt;=$O$2,$D538,$D538-($D538-$I$535)*MIN(M$3-$O$2,$Q$2)/$Q$2))</f>
        <v>3171.11309771307</v>
      </c>
      <c r="N538" s="15" t="n">
        <f aca="false">M538*(1+IF(N$3&lt;=$O$2,$D538,$D538-($D538-$I$535)*MIN(N$3-$O$2,$Q$2)/$Q$2))</f>
        <v>3276.71116386691</v>
      </c>
      <c r="O538" s="15" t="n">
        <f aca="false">SUMPRODUCT(E538:N538,1/(1+$F$535)^$E$3:$N$3)*$E$2</f>
        <v>4963.70205040349</v>
      </c>
      <c r="P538" s="15" t="n">
        <f aca="false">N538*$E$2*(1+$I$535)/($F$535-$I$535)/(1+$F$535)^$N$3</f>
        <v>4800.78808857716</v>
      </c>
      <c r="Q538" s="15" t="n">
        <f aca="false">O538+P538</f>
        <v>9764.49013898066</v>
      </c>
      <c r="R538" s="15" t="n">
        <f aca="false">Q538-$G$2+$I$2</f>
        <v>6648.29013898066</v>
      </c>
      <c r="S538" s="42" t="n">
        <f aca="false">R538/$K$2</f>
        <v>58.8865379891998</v>
      </c>
      <c r="T538" s="43" t="n">
        <f aca="false">S538-$M$2</f>
        <v>-109.581132515672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7947.5</v>
      </c>
      <c r="F539" s="15" t="n">
        <f aca="false">E539*(1+IF(F$3&lt;=$O$2,$D539,$D539-($D539-$I$535)*MIN(F$3-$O$2,$Q$2)/$Q$2))</f>
        <v>8444.21875</v>
      </c>
      <c r="G539" s="15" t="n">
        <f aca="false">F539*(1+IF(G$3&lt;=$O$2,$D539,$D539-($D539-$I$535)*MIN(G$3-$O$2,$Q$2)/$Q$2))</f>
        <v>8971.982421875</v>
      </c>
      <c r="H539" s="15" t="n">
        <f aca="false">G539*(1+IF(H$3&lt;=$O$2,$D539,$D539-($D539-$I$535)*MIN(H$3-$O$2,$Q$2)/$Q$2))</f>
        <v>9532.73132324219</v>
      </c>
      <c r="I539" s="15" t="n">
        <f aca="false">H539*(1+IF(I$3&lt;=$O$2,$D539,$D539-($D539-$I$535)*MIN(I$3-$O$2,$Q$2)/$Q$2))</f>
        <v>10128.5270309448</v>
      </c>
      <c r="J539" s="15" t="n">
        <f aca="false">I539*(1+IF(J$3&lt;=$O$2,$D539,$D539-($D539-$I$535)*MIN(J$3-$O$2,$Q$2)/$Q$2))</f>
        <v>10702.4093725182</v>
      </c>
      <c r="K539" s="15" t="n">
        <f aca="false">J539*(1+IF(K$3&lt;=$O$2,$D539,$D539-($D539-$I$535)*MIN(K$3-$O$2,$Q$2)/$Q$2))</f>
        <v>11246.3058168295</v>
      </c>
      <c r="L539" s="15" t="n">
        <f aca="false">K539*(1+IF(L$3&lt;=$O$2,$D539,$D539-($D539-$I$535)*MIN(L$3-$O$2,$Q$2)/$Q$2))</f>
        <v>11752.1646524705</v>
      </c>
      <c r="M539" s="15" t="n">
        <f aca="false">L539*(1+IF(M$3&lt;=$O$2,$D539,$D539-($D539-$I$535)*MIN(M$3-$O$2,$Q$2)/$Q$2))</f>
        <v>12212.1443769682</v>
      </c>
      <c r="N539" s="15" t="n">
        <f aca="false">M539*(1+IF(N$3&lt;=$O$2,$D539,$D539-($D539-$I$535)*MIN(N$3-$O$2,$Q$2)/$Q$2))</f>
        <v>12618.8087847213</v>
      </c>
      <c r="O539" s="15" t="n">
        <f aca="false">SUMPRODUCT(E539:N539,1/(1+$F$535)^$E$3:$N$3)*$E$2</f>
        <v>11166.3320730526</v>
      </c>
      <c r="P539" s="15" t="n">
        <f aca="false">N539*$E$2*(1+$I$535)/($F$535-$I$535)/(1+$F$535)^$N$3</f>
        <v>18488.1192989347</v>
      </c>
      <c r="Q539" s="15" t="n">
        <f aca="false">O539+P539</f>
        <v>29654.4513719874</v>
      </c>
      <c r="R539" s="15" t="n">
        <f aca="false">Q539-$G$2+$I$2</f>
        <v>26538.2513719874</v>
      </c>
      <c r="S539" s="42" t="n">
        <f aca="false">R539/$K$2</f>
        <v>235.059799574733</v>
      </c>
      <c r="T539" s="43" t="n">
        <f aca="false">S539-$M$2</f>
        <v>66.5921290698614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41" t="n">
        <f aca="false">(B540+C540)/2</f>
        <v>-0.03125</v>
      </c>
      <c r="E540" s="15" t="n">
        <f aca="false">$C$2*(1+IF(E$3&lt;=$O$2,$D540,$D540-($D540-$I$535)*MIN(E$3-$O$2,$Q$2)/$Q$2))</f>
        <v>7246.25</v>
      </c>
      <c r="F540" s="15" t="n">
        <f aca="false">E540*(1+IF(F$3&lt;=$O$2,$D540,$D540-($D540-$I$535)*MIN(F$3-$O$2,$Q$2)/$Q$2))</f>
        <v>7019.8046875</v>
      </c>
      <c r="G540" s="15" t="n">
        <f aca="false">F540*(1+IF(G$3&lt;=$O$2,$D540,$D540-($D540-$I$535)*MIN(G$3-$O$2,$Q$2)/$Q$2))</f>
        <v>6800.43579101563</v>
      </c>
      <c r="H540" s="15" t="n">
        <f aca="false">G540*(1+IF(H$3&lt;=$O$2,$D540,$D540-($D540-$I$535)*MIN(H$3-$O$2,$Q$2)/$Q$2))</f>
        <v>6587.92217254639</v>
      </c>
      <c r="I540" s="15" t="n">
        <f aca="false">H540*(1+IF(I$3&lt;=$O$2,$D540,$D540-($D540-$I$535)*MIN(I$3-$O$2,$Q$2)/$Q$2))</f>
        <v>6382.04960465431</v>
      </c>
      <c r="J540" s="15" t="n">
        <f aca="false">I540*(1+IF(J$3&lt;=$O$2,$D540,$D540-($D540-$I$535)*MIN(J$3-$O$2,$Q$2)/$Q$2))</f>
        <v>6265.00281490495</v>
      </c>
      <c r="K540" s="15" t="n">
        <f aca="false">J540*(1+IF(K$3&lt;=$O$2,$D540,$D540-($D540-$I$535)*MIN(K$3-$O$2,$Q$2)/$Q$2))</f>
        <v>6230.98384962002</v>
      </c>
      <c r="L540" s="15" t="n">
        <f aca="false">K540*(1+IF(L$3&lt;=$O$2,$D540,$D540-($D540-$I$535)*MIN(L$3-$O$2,$Q$2)/$Q$2))</f>
        <v>6277.59160881518</v>
      </c>
      <c r="M540" s="15" t="n">
        <f aca="false">L540*(1+IF(M$3&lt;=$O$2,$D540,$D540-($D540-$I$535)*MIN(M$3-$O$2,$Q$2)/$Q$2))</f>
        <v>6405.59170171892</v>
      </c>
      <c r="N540" s="15" t="n">
        <f aca="false">M540*(1+IF(N$3&lt;=$O$2,$D540,$D540-($D540-$I$535)*MIN(N$3-$O$2,$Q$2)/$Q$2))</f>
        <v>6618.89790538616</v>
      </c>
      <c r="O540" s="15" t="n">
        <f aca="false">SUMPRODUCT(E540:N540,1/(1+$F$535)^$E$3:$N$3)*$E$2</f>
        <v>7423.50155130809</v>
      </c>
      <c r="P540" s="15" t="n">
        <f aca="false">N540*$E$2*(1+$I$535)/($F$535-$I$535)/(1+$F$535)^$N$3</f>
        <v>9697.50601581459</v>
      </c>
      <c r="Q540" s="15" t="n">
        <f aca="false">O540+P540</f>
        <v>17121.0075671227</v>
      </c>
      <c r="R540" s="15" t="n">
        <f aca="false">Q540-$G$2+$I$2</f>
        <v>14004.8075671227</v>
      </c>
      <c r="S540" s="42" t="n">
        <f aca="false">R540/$K$2</f>
        <v>124.046125483815</v>
      </c>
      <c r="T540" s="43" t="n">
        <f aca="false">S540-$M$2</f>
        <v>-44.4215450210569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41" t="n">
        <f aca="false">(B541+C541)/2</f>
        <v>0.015625</v>
      </c>
      <c r="E541" s="15" t="n">
        <f aca="false">$C$2*(1+IF(E$3&lt;=$O$2,$D541,$D541-($D541-$I$535)*MIN(E$3-$O$2,$Q$2)/$Q$2))</f>
        <v>7596.875</v>
      </c>
      <c r="F541" s="15" t="n">
        <f aca="false">E541*(1+IF(F$3&lt;=$O$2,$D541,$D541-($D541-$I$535)*MIN(F$3-$O$2,$Q$2)/$Q$2))</f>
        <v>7715.576171875</v>
      </c>
      <c r="G541" s="15" t="n">
        <f aca="false">F541*(1+IF(G$3&lt;=$O$2,$D541,$D541-($D541-$I$535)*MIN(G$3-$O$2,$Q$2)/$Q$2))</f>
        <v>7836.13204956055</v>
      </c>
      <c r="H541" s="15" t="n">
        <f aca="false">G541*(1+IF(H$3&lt;=$O$2,$D541,$D541-($D541-$I$535)*MIN(H$3-$O$2,$Q$2)/$Q$2))</f>
        <v>7958.57161283493</v>
      </c>
      <c r="I541" s="15" t="n">
        <f aca="false">H541*(1+IF(I$3&lt;=$O$2,$D541,$D541-($D541-$I$535)*MIN(I$3-$O$2,$Q$2)/$Q$2))</f>
        <v>8082.92429428548</v>
      </c>
      <c r="J541" s="15" t="n">
        <f aca="false">I541*(1+IF(J$3&lt;=$O$2,$D541,$D541-($D541-$I$535)*MIN(J$3-$O$2,$Q$2)/$Q$2))</f>
        <v>8237.79312376399</v>
      </c>
      <c r="K541" s="15" t="n">
        <f aca="false">J541*(1+IF(K$3&lt;=$O$2,$D541,$D541-($D541-$I$535)*MIN(K$3-$O$2,$Q$2)/$Q$2))</f>
        <v>8424.74983870781</v>
      </c>
      <c r="L541" s="15" t="n">
        <f aca="false">K541*(1+IF(L$3&lt;=$O$2,$D541,$D541-($D541-$I$535)*MIN(L$3-$O$2,$Q$2)/$Q$2))</f>
        <v>8645.73102697711</v>
      </c>
      <c r="M541" s="15" t="n">
        <f aca="false">L541*(1+IF(M$3&lt;=$O$2,$D541,$D541-($D541-$I$535)*MIN(M$3-$O$2,$Q$2)/$Q$2))</f>
        <v>8903.07121099509</v>
      </c>
      <c r="N541" s="15" t="n">
        <f aca="false">M541*(1+IF(N$3&lt;=$O$2,$D541,$D541-($D541-$I$535)*MIN(N$3-$O$2,$Q$2)/$Q$2))</f>
        <v>9199.54348232123</v>
      </c>
      <c r="O541" s="15" t="n">
        <f aca="false">SUMPRODUCT(E541:N541,1/(1+$F$535)^$E$3:$N$3)*$E$2</f>
        <v>9101.01945809492</v>
      </c>
      <c r="P541" s="15" t="n">
        <f aca="false">N541*$E$2*(1+$I$535)/($F$535-$I$535)/(1+$F$535)^$N$3</f>
        <v>13478.471724116</v>
      </c>
      <c r="Q541" s="15" t="n">
        <f aca="false">O541+P541</f>
        <v>22579.4911822109</v>
      </c>
      <c r="R541" s="15" t="n">
        <f aca="false">Q541-$G$2+$I$2</f>
        <v>19463.2911822109</v>
      </c>
      <c r="S541" s="42" t="n">
        <f aca="false">R541/$K$2</f>
        <v>172.39407601604</v>
      </c>
      <c r="T541" s="43" t="n">
        <f aca="false">S541-$M$2</f>
        <v>3.9264055111685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-0.03125</v>
      </c>
      <c r="C542" s="25" t="n">
        <f aca="false">IF(T541&gt;0,D541,C541)</f>
        <v>0.015625</v>
      </c>
      <c r="D542" s="41" t="n">
        <f aca="false">(B542+C542)/2</f>
        <v>-0.0078125</v>
      </c>
      <c r="E542" s="15" t="n">
        <f aca="false">$C$2*(1+IF(E$3&lt;=$O$2,$D542,$D542-($D542-$I$535)*MIN(E$3-$O$2,$Q$2)/$Q$2))</f>
        <v>7421.5625</v>
      </c>
      <c r="F542" s="15" t="n">
        <f aca="false">E542*(1+IF(F$3&lt;=$O$2,$D542,$D542-($D542-$I$535)*MIN(F$3-$O$2,$Q$2)/$Q$2))</f>
        <v>7363.58154296875</v>
      </c>
      <c r="G542" s="15" t="n">
        <f aca="false">F542*(1+IF(G$3&lt;=$O$2,$D542,$D542-($D542-$I$535)*MIN(G$3-$O$2,$Q$2)/$Q$2))</f>
        <v>7306.05356216431</v>
      </c>
      <c r="H542" s="15" t="n">
        <f aca="false">G542*(1+IF(H$3&lt;=$O$2,$D542,$D542-($D542-$I$535)*MIN(H$3-$O$2,$Q$2)/$Q$2))</f>
        <v>7248.9750187099</v>
      </c>
      <c r="I542" s="15" t="n">
        <f aca="false">H542*(1+IF(I$3&lt;=$O$2,$D542,$D542-($D542-$I$535)*MIN(I$3-$O$2,$Q$2)/$Q$2))</f>
        <v>7192.34240137623</v>
      </c>
      <c r="J542" s="15" t="n">
        <f aca="false">I542*(1+IF(J$3&lt;=$O$2,$D542,$D542-($D542-$I$535)*MIN(J$3-$O$2,$Q$2)/$Q$2))</f>
        <v>7195.29126176079</v>
      </c>
      <c r="K542" s="15" t="n">
        <f aca="false">J542*(1+IF(K$3&lt;=$O$2,$D542,$D542-($D542-$I$535)*MIN(K$3-$O$2,$Q$2)/$Q$2))</f>
        <v>7257.40461357794</v>
      </c>
      <c r="L542" s="15" t="n">
        <f aca="false">K542*(1+IF(L$3&lt;=$O$2,$D542,$D542-($D542-$I$535)*MIN(L$3-$O$2,$Q$2)/$Q$2))</f>
        <v>7379.7281683398</v>
      </c>
      <c r="M542" s="15" t="n">
        <f aca="false">L542*(1+IF(M$3&lt;=$O$2,$D542,$D542-($D542-$I$535)*MIN(M$3-$O$2,$Q$2)/$Q$2))</f>
        <v>7564.79330148134</v>
      </c>
      <c r="N542" s="15" t="n">
        <f aca="false">M542*(1+IF(N$3&lt;=$O$2,$D542,$D542-($D542-$I$535)*MIN(N$3-$O$2,$Q$2)/$Q$2))</f>
        <v>7816.70091842067</v>
      </c>
      <c r="O542" s="15" t="n">
        <f aca="false">SUMPRODUCT(E542:N542,1/(1+$F$535)^$E$3:$N$3)*$E$2</f>
        <v>8218.43640059782</v>
      </c>
      <c r="P542" s="15" t="n">
        <f aca="false">N542*$E$2*(1+$I$535)/($F$535-$I$535)/(1+$F$535)^$N$3</f>
        <v>11452.4359287251</v>
      </c>
      <c r="Q542" s="15" t="n">
        <f aca="false">O542+P542</f>
        <v>19670.8723293229</v>
      </c>
      <c r="R542" s="15" t="n">
        <f aca="false">Q542-$G$2+$I$2</f>
        <v>16554.6723293229</v>
      </c>
      <c r="S542" s="42" t="n">
        <f aca="false">R542/$K$2</f>
        <v>146.631287239353</v>
      </c>
      <c r="T542" s="43" t="n">
        <f aca="false">S542-$M$2</f>
        <v>-21.8363832655188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-0.0078125</v>
      </c>
      <c r="C543" s="25" t="n">
        <f aca="false">IF(T542&gt;0,D542,C542)</f>
        <v>0.015625</v>
      </c>
      <c r="D543" s="41" t="n">
        <f aca="false">(B543+C543)/2</f>
        <v>0.00390625</v>
      </c>
      <c r="E543" s="15" t="n">
        <f aca="false">$C$2*(1+IF(E$3&lt;=$O$2,$D543,$D543-($D543-$I$535)*MIN(E$3-$O$2,$Q$2)/$Q$2))</f>
        <v>7509.21875</v>
      </c>
      <c r="F543" s="15" t="n">
        <f aca="false">E543*(1+IF(F$3&lt;=$O$2,$D543,$D543-($D543-$I$535)*MIN(F$3-$O$2,$Q$2)/$Q$2))</f>
        <v>7538.55163574219</v>
      </c>
      <c r="G543" s="15" t="n">
        <f aca="false">F543*(1+IF(G$3&lt;=$O$2,$D543,$D543-($D543-$I$535)*MIN(G$3-$O$2,$Q$2)/$Q$2))</f>
        <v>7567.99910306931</v>
      </c>
      <c r="H543" s="15" t="n">
        <f aca="false">G543*(1+IF(H$3&lt;=$O$2,$D543,$D543-($D543-$I$535)*MIN(H$3-$O$2,$Q$2)/$Q$2))</f>
        <v>7597.56159956567</v>
      </c>
      <c r="I543" s="15" t="n">
        <f aca="false">H543*(1+IF(I$3&lt;=$O$2,$D543,$D543-($D543-$I$535)*MIN(I$3-$O$2,$Q$2)/$Q$2))</f>
        <v>7627.23957456397</v>
      </c>
      <c r="J543" s="15" t="n">
        <f aca="false">I543*(1+IF(J$3&lt;=$O$2,$D543,$D543-($D543-$I$535)*MIN(J$3-$O$2,$Q$2)/$Q$2))</f>
        <v>7701.87211380108</v>
      </c>
      <c r="K543" s="15" t="n">
        <f aca="false">J543*(1+IF(K$3&lt;=$O$2,$D543,$D543-($D543-$I$535)*MIN(K$3-$O$2,$Q$2)/$Q$2))</f>
        <v>7822.51231312363</v>
      </c>
      <c r="L543" s="15" t="n">
        <f aca="false">K543*(1+IF(L$3&lt;=$O$2,$D543,$D543-($D543-$I$535)*MIN(L$3-$O$2,$Q$2)/$Q$2))</f>
        <v>7991.0287846291</v>
      </c>
      <c r="M543" s="15" t="n">
        <f aca="false">L543*(1+IF(M$3&lt;=$O$2,$D543,$D543-($D543-$I$535)*MIN(M$3-$O$2,$Q$2)/$Q$2))</f>
        <v>8210.15278268961</v>
      </c>
      <c r="N543" s="15" t="n">
        <f aca="false">M543*(1+IF(N$3&lt;=$O$2,$D543,$D543-($D543-$I$535)*MIN(N$3-$O$2,$Q$2)/$Q$2))</f>
        <v>8483.55087035318</v>
      </c>
      <c r="O543" s="15" t="n">
        <f aca="false">SUMPRODUCT(E543:N543,1/(1+$F$535)^$E$3:$N$3)*$E$2</f>
        <v>8648.22170344413</v>
      </c>
      <c r="P543" s="15" t="n">
        <f aca="false">N543*$E$2*(1+$I$535)/($F$535-$I$535)/(1+$F$535)^$N$3</f>
        <v>12429.4537816896</v>
      </c>
      <c r="Q543" s="15" t="n">
        <f aca="false">O543+P543</f>
        <v>21077.6754851337</v>
      </c>
      <c r="R543" s="15" t="n">
        <f aca="false">Q543-$G$2+$I$2</f>
        <v>17961.4754851337</v>
      </c>
      <c r="S543" s="42" t="n">
        <f aca="false">R543/$K$2</f>
        <v>159.091899779749</v>
      </c>
      <c r="T543" s="43" t="n">
        <f aca="false">S543-$M$2</f>
        <v>-9.37577072512249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0.00390625</v>
      </c>
      <c r="C544" s="25" t="n">
        <f aca="false">IF(T543&gt;0,D543,C543)</f>
        <v>0.015625</v>
      </c>
      <c r="D544" s="41" t="n">
        <f aca="false">(B544+C544)/2</f>
        <v>0.009765625</v>
      </c>
      <c r="E544" s="15" t="n">
        <f aca="false">$C$2*(1+IF(E$3&lt;=$O$2,$D544,$D544-($D544-$I$535)*MIN(E$3-$O$2,$Q$2)/$Q$2))</f>
        <v>7553.046875</v>
      </c>
      <c r="F544" s="15" t="n">
        <f aca="false">E544*(1+IF(F$3&lt;=$O$2,$D544,$D544-($D544-$I$535)*MIN(F$3-$O$2,$Q$2)/$Q$2))</f>
        <v>7626.80709838867</v>
      </c>
      <c r="G544" s="15" t="n">
        <f aca="false">F544*(1+IF(G$3&lt;=$O$2,$D544,$D544-($D544-$I$535)*MIN(G$3-$O$2,$Q$2)/$Q$2))</f>
        <v>7701.28763645887</v>
      </c>
      <c r="H544" s="15" t="n">
        <f aca="false">G544*(1+IF(H$3&lt;=$O$2,$D544,$D544-($D544-$I$535)*MIN(H$3-$O$2,$Q$2)/$Q$2))</f>
        <v>7776.49552353367</v>
      </c>
      <c r="I544" s="15" t="n">
        <f aca="false">H544*(1+IF(I$3&lt;=$O$2,$D544,$D544-($D544-$I$535)*MIN(I$3-$O$2,$Q$2)/$Q$2))</f>
        <v>7852.43786263068</v>
      </c>
      <c r="J544" s="15" t="n">
        <f aca="false">I544*(1+IF(J$3&lt;=$O$2,$D544,$D544-($D544-$I$535)*MIN(J$3-$O$2,$Q$2)/$Q$2))</f>
        <v>7966.0822695976</v>
      </c>
      <c r="K544" s="15" t="n">
        <f aca="false">J544*(1+IF(K$3&lt;=$O$2,$D544,$D544-($D544-$I$535)*MIN(K$3-$O$2,$Q$2)/$Q$2))</f>
        <v>8118.86674872706</v>
      </c>
      <c r="L544" s="15" t="n">
        <f aca="false">K544*(1+IF(L$3&lt;=$O$2,$D544,$D544-($D544-$I$535)*MIN(L$3-$O$2,$Q$2)/$Q$2))</f>
        <v>8312.79602960385</v>
      </c>
      <c r="M544" s="15" t="n">
        <f aca="false">L544*(1+IF(M$3&lt;=$O$2,$D544,$D544-($D544-$I$535)*MIN(M$3-$O$2,$Q$2)/$Q$2))</f>
        <v>8550.48484557781</v>
      </c>
      <c r="N544" s="15" t="n">
        <f aca="false">M544*(1+IF(N$3&lt;=$O$2,$D544,$D544-($D544-$I$535)*MIN(N$3-$O$2,$Q$2)/$Q$2))</f>
        <v>8835.21599093555</v>
      </c>
      <c r="O544" s="15" t="n">
        <f aca="false">SUMPRODUCT(E544:N544,1/(1+$F$535)^$E$3:$N$3)*$E$2</f>
        <v>8871.67261674926</v>
      </c>
      <c r="P544" s="15" t="n">
        <f aca="false">N544*$E$2*(1+$I$535)/($F$535-$I$535)/(1+$F$535)^$N$3</f>
        <v>12944.6867813744</v>
      </c>
      <c r="Q544" s="15" t="n">
        <f aca="false">O544+P544</f>
        <v>21816.3593981236</v>
      </c>
      <c r="R544" s="15" t="n">
        <f aca="false">Q544-$G$2+$I$2</f>
        <v>18700.1593981236</v>
      </c>
      <c r="S544" s="42" t="n">
        <f aca="false">R544/$K$2</f>
        <v>165.634715660971</v>
      </c>
      <c r="T544" s="43" t="n">
        <f aca="false">S544-$M$2</f>
        <v>-2.83295484390041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0.009765625</v>
      </c>
      <c r="C545" s="25" t="n">
        <f aca="false">IF(T544&gt;0,D544,C544)</f>
        <v>0.015625</v>
      </c>
      <c r="D545" s="41" t="n">
        <f aca="false">(B545+C545)/2</f>
        <v>0.0126953125</v>
      </c>
      <c r="E545" s="15" t="n">
        <f aca="false">$C$2*(1+IF(E$3&lt;=$O$2,$D545,$D545-($D545-$I$535)*MIN(E$3-$O$2,$Q$2)/$Q$2))</f>
        <v>7574.9609375</v>
      </c>
      <c r="F545" s="15" t="n">
        <f aca="false">E545*(1+IF(F$3&lt;=$O$2,$D545,$D545-($D545-$I$535)*MIN(F$3-$O$2,$Q$2)/$Q$2))</f>
        <v>7671.12743377686</v>
      </c>
      <c r="G545" s="15" t="n">
        <f aca="false">F545*(1+IF(G$3&lt;=$O$2,$D545,$D545-($D545-$I$535)*MIN(G$3-$O$2,$Q$2)/$Q$2))</f>
        <v>7768.51479377598</v>
      </c>
      <c r="H545" s="15" t="n">
        <f aca="false">G545*(1+IF(H$3&lt;=$O$2,$D545,$D545-($D545-$I$535)*MIN(H$3-$O$2,$Q$2)/$Q$2))</f>
        <v>7867.13851674384</v>
      </c>
      <c r="I545" s="15" t="n">
        <f aca="false">H545*(1+IF(I$3&lt;=$O$2,$D545,$D545-($D545-$I$535)*MIN(I$3-$O$2,$Q$2)/$Q$2))</f>
        <v>7967.01429869468</v>
      </c>
      <c r="J545" s="15" t="n">
        <f aca="false">I545*(1+IF(J$3&lt;=$O$2,$D545,$D545-($D545-$I$535)*MIN(J$3-$O$2,$Q$2)/$Q$2))</f>
        <v>8100.98960289511</v>
      </c>
      <c r="K545" s="15" t="n">
        <f aca="false">J545*(1+IF(K$3&lt;=$O$2,$D545,$D545-($D545-$I$535)*MIN(K$3-$O$2,$Q$2)/$Q$2))</f>
        <v>8270.60154114647</v>
      </c>
      <c r="L545" s="15" t="n">
        <f aca="false">K545*(1+IF(L$3&lt;=$O$2,$D545,$D545-($D545-$I$535)*MIN(L$3-$O$2,$Q$2)/$Q$2))</f>
        <v>8477.84730838971</v>
      </c>
      <c r="M545" s="15" t="n">
        <f aca="false">L545*(1+IF(M$3&lt;=$O$2,$D545,$D545-($D545-$I$535)*MIN(M$3-$O$2,$Q$2)/$Q$2))</f>
        <v>8725.22294486667</v>
      </c>
      <c r="N545" s="15" t="n">
        <f aca="false">M545*(1+IF(N$3&lt;=$O$2,$D545,$D545-($D545-$I$535)*MIN(N$3-$O$2,$Q$2)/$Q$2))</f>
        <v>9015.77286893074</v>
      </c>
      <c r="O545" s="15" t="n">
        <f aca="false">SUMPRODUCT(E545:N545,1/(1+$F$535)^$E$3:$N$3)*$E$2</f>
        <v>8985.59995150213</v>
      </c>
      <c r="P545" s="15" t="n">
        <f aca="false">N545*$E$2*(1+$I$535)/($F$535-$I$535)/(1+$F$535)^$N$3</f>
        <v>13209.2249923551</v>
      </c>
      <c r="Q545" s="15" t="n">
        <f aca="false">O545+P545</f>
        <v>22194.8249438572</v>
      </c>
      <c r="R545" s="15" t="n">
        <f aca="false">Q545-$G$2+$I$2</f>
        <v>19078.6249438572</v>
      </c>
      <c r="S545" s="42" t="n">
        <f aca="false">R545/$K$2</f>
        <v>168.986934843731</v>
      </c>
      <c r="T545" s="43" t="n">
        <f aca="false">S545-$M$2</f>
        <v>0.519264338859529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0.009765625</v>
      </c>
      <c r="C546" s="25" t="n">
        <f aca="false">IF(T545&gt;0,D545,C545)</f>
        <v>0.0126953125</v>
      </c>
      <c r="D546" s="41" t="n">
        <f aca="false">(B546+C546)/2</f>
        <v>0.01123046875</v>
      </c>
      <c r="E546" s="15" t="n">
        <f aca="false">$C$2*(1+IF(E$3&lt;=$O$2,$D546,$D546-($D546-$I$535)*MIN(E$3-$O$2,$Q$2)/$Q$2))</f>
        <v>7564.00390625</v>
      </c>
      <c r="F546" s="15" t="n">
        <f aca="false">E546*(1+IF(F$3&lt;=$O$2,$D546,$D546-($D546-$I$535)*MIN(F$3-$O$2,$Q$2)/$Q$2))</f>
        <v>7648.95121574402</v>
      </c>
      <c r="G546" s="15" t="n">
        <f aca="false">F546*(1+IF(G$3&lt;=$O$2,$D546,$D546-($D546-$I$535)*MIN(G$3-$O$2,$Q$2)/$Q$2))</f>
        <v>7734.85252334271</v>
      </c>
      <c r="H546" s="15" t="n">
        <f aca="false">G546*(1+IF(H$3&lt;=$O$2,$D546,$D546-($D546-$I$535)*MIN(H$3-$O$2,$Q$2)/$Q$2))</f>
        <v>7821.71854289197</v>
      </c>
      <c r="I546" s="15" t="n">
        <f aca="false">H546*(1+IF(I$3&lt;=$O$2,$D546,$D546-($D546-$I$535)*MIN(I$3-$O$2,$Q$2)/$Q$2))</f>
        <v>7909.56010855921</v>
      </c>
      <c r="J546" s="15" t="n">
        <f aca="false">I546*(1+IF(J$3&lt;=$O$2,$D546,$D546-($D546-$I$535)*MIN(J$3-$O$2,$Q$2)/$Q$2))</f>
        <v>8033.30023298255</v>
      </c>
      <c r="K546" s="15" t="n">
        <f aca="false">J546*(1+IF(K$3&lt;=$O$2,$D546,$D546-($D546-$I$535)*MIN(K$3-$O$2,$Q$2)/$Q$2))</f>
        <v>8194.43442842141</v>
      </c>
      <c r="L546" s="15" t="n">
        <f aca="false">K546*(1+IF(L$3&lt;=$O$2,$D546,$D546-($D546-$I$535)*MIN(L$3-$O$2,$Q$2)/$Q$2))</f>
        <v>8394.97016421019</v>
      </c>
      <c r="M546" s="15" t="n">
        <f aca="false">L546*(1+IF(M$3&lt;=$O$2,$D546,$D546-($D546-$I$535)*MIN(M$3-$O$2,$Q$2)/$Q$2))</f>
        <v>8637.46805940202</v>
      </c>
      <c r="N546" s="15" t="n">
        <f aca="false">M546*(1+IF(N$3&lt;=$O$2,$D546,$D546-($D546-$I$535)*MIN(N$3-$O$2,$Q$2)/$Q$2))</f>
        <v>8925.09574578011</v>
      </c>
      <c r="O546" s="15" t="n">
        <f aca="false">SUMPRODUCT(E546:N546,1/(1+$F$535)^$E$3:$N$3)*$E$2</f>
        <v>8928.45090714073</v>
      </c>
      <c r="P546" s="15" t="n">
        <f aca="false">N546*$E$2*(1+$I$535)/($F$535-$I$535)/(1+$F$535)^$N$3</f>
        <v>13076.3717651533</v>
      </c>
      <c r="Q546" s="15" t="n">
        <f aca="false">O546+P546</f>
        <v>22004.822672294</v>
      </c>
      <c r="R546" s="15" t="n">
        <f aca="false">Q546-$G$2+$I$2</f>
        <v>18888.622672294</v>
      </c>
      <c r="S546" s="42" t="n">
        <f aca="false">R546/$K$2</f>
        <v>167.304009497733</v>
      </c>
      <c r="T546" s="43" t="n">
        <f aca="false">S546-$M$2</f>
        <v>-1.16366100713896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0.01123046875</v>
      </c>
      <c r="C547" s="25" t="n">
        <f aca="false">IF(T546&gt;0,D546,C546)</f>
        <v>0.0126953125</v>
      </c>
      <c r="D547" s="41" t="n">
        <f aca="false">(B547+C547)/2</f>
        <v>0.011962890625</v>
      </c>
      <c r="E547" s="15" t="n">
        <f aca="false">$C$2*(1+IF(E$3&lt;=$O$2,$D547,$D547-($D547-$I$535)*MIN(E$3-$O$2,$Q$2)/$Q$2))</f>
        <v>7569.482421875</v>
      </c>
      <c r="F547" s="15" t="n">
        <f aca="false">E547*(1+IF(F$3&lt;=$O$2,$D547,$D547-($D547-$I$535)*MIN(F$3-$O$2,$Q$2)/$Q$2))</f>
        <v>7660.03531217575</v>
      </c>
      <c r="G547" s="15" t="n">
        <f aca="false">F547*(1+IF(G$3&lt;=$O$2,$D547,$D547-($D547-$I$535)*MIN(G$3-$O$2,$Q$2)/$Q$2))</f>
        <v>7751.67147679895</v>
      </c>
      <c r="H547" s="15" t="n">
        <f aca="false">G547*(1+IF(H$3&lt;=$O$2,$D547,$D547-($D547-$I$535)*MIN(H$3-$O$2,$Q$2)/$Q$2))</f>
        <v>7844.40387483683</v>
      </c>
      <c r="I547" s="15" t="n">
        <f aca="false">H547*(1+IF(I$3&lt;=$O$2,$D547,$D547-($D547-$I$535)*MIN(I$3-$O$2,$Q$2)/$Q$2))</f>
        <v>7938.24562040982</v>
      </c>
      <c r="J547" s="15" t="n">
        <f aca="false">I547*(1+IF(J$3&lt;=$O$2,$D547,$D547-($D547-$I$535)*MIN(J$3-$O$2,$Q$2)/$Q$2))</f>
        <v>8067.08582753083</v>
      </c>
      <c r="K547" s="15" t="n">
        <f aca="false">J547*(1+IF(K$3&lt;=$O$2,$D547,$D547-($D547-$I$535)*MIN(K$3-$O$2,$Q$2)/$Q$2))</f>
        <v>8232.44281000389</v>
      </c>
      <c r="L547" s="15" t="n">
        <f aca="false">K547*(1+IF(L$3&lt;=$O$2,$D547,$D547-($D547-$I$535)*MIN(L$3-$O$2,$Q$2)/$Q$2))</f>
        <v>8436.32054251282</v>
      </c>
      <c r="M547" s="15" t="n">
        <f aca="false">L547*(1+IF(M$3&lt;=$O$2,$D547,$D547-($D547-$I$535)*MIN(M$3-$O$2,$Q$2)/$Q$2))</f>
        <v>8681.24867775087</v>
      </c>
      <c r="N547" s="15" t="n">
        <f aca="false">M547*(1+IF(N$3&lt;=$O$2,$D547,$D547-($D547-$I$535)*MIN(N$3-$O$2,$Q$2)/$Q$2))</f>
        <v>8970.33425871997</v>
      </c>
      <c r="O547" s="15" t="n">
        <f aca="false">SUMPRODUCT(E547:N547,1/(1+$F$535)^$E$3:$N$3)*$E$2</f>
        <v>8956.97894249255</v>
      </c>
      <c r="P547" s="15" t="n">
        <f aca="false">N547*$E$2*(1+$I$535)/($F$535-$I$535)/(1+$F$535)^$N$3</f>
        <v>13142.6517950996</v>
      </c>
      <c r="Q547" s="15" t="n">
        <f aca="false">O547+P547</f>
        <v>22099.6307375922</v>
      </c>
      <c r="R547" s="15" t="n">
        <f aca="false">Q547-$G$2+$I$2</f>
        <v>18983.4307375922</v>
      </c>
      <c r="S547" s="42" t="n">
        <f aca="false">R547/$K$2</f>
        <v>168.143762069019</v>
      </c>
      <c r="T547" s="43" t="n">
        <f aca="false">S547-$M$2</f>
        <v>-0.323908435853099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0.011962890625</v>
      </c>
      <c r="C548" s="25" t="n">
        <f aca="false">IF(T547&gt;0,D547,C547)</f>
        <v>0.0126953125</v>
      </c>
      <c r="D548" s="41" t="n">
        <f aca="false">(B548+C548)/2</f>
        <v>0.0123291015625</v>
      </c>
      <c r="E548" s="15" t="n">
        <f aca="false">$C$2*(1+IF(E$3&lt;=$O$2,$D548,$D548-($D548-$I$535)*MIN(E$3-$O$2,$Q$2)/$Q$2))</f>
        <v>7572.2216796875</v>
      </c>
      <c r="F548" s="15" t="n">
        <f aca="false">E548*(1+IF(F$3&lt;=$O$2,$D548,$D548-($D548-$I$535)*MIN(F$3-$O$2,$Q$2)/$Q$2))</f>
        <v>7665.58036983013</v>
      </c>
      <c r="G548" s="15" t="n">
        <f aca="false">F548*(1+IF(G$3&lt;=$O$2,$D548,$D548-($D548-$I$535)*MIN(G$3-$O$2,$Q$2)/$Q$2))</f>
        <v>7760.09008874527</v>
      </c>
      <c r="H548" s="15" t="n">
        <f aca="false">G548*(1+IF(H$3&lt;=$O$2,$D548,$D548-($D548-$I$535)*MIN(H$3-$O$2,$Q$2)/$Q$2))</f>
        <v>7855.76502758356</v>
      </c>
      <c r="I548" s="15" t="n">
        <f aca="false">H548*(1+IF(I$3&lt;=$O$2,$D548,$D548-($D548-$I$535)*MIN(I$3-$O$2,$Q$2)/$Q$2))</f>
        <v>7952.61955245978</v>
      </c>
      <c r="J548" s="15" t="n">
        <f aca="false">I548*(1+IF(J$3&lt;=$O$2,$D548,$D548-($D548-$I$535)*MIN(J$3-$O$2,$Q$2)/$Q$2))</f>
        <v>8084.02292199932</v>
      </c>
      <c r="K548" s="15" t="n">
        <f aca="false">J548*(1+IF(K$3&lt;=$O$2,$D548,$D548-($D548-$I$535)*MIN(K$3-$O$2,$Q$2)/$Q$2))</f>
        <v>8251.5033511037</v>
      </c>
      <c r="L548" s="15" t="n">
        <f aca="false">K548*(1+IF(L$3&lt;=$O$2,$D548,$D548-($D548-$I$535)*MIN(L$3-$O$2,$Q$2)/$Q$2))</f>
        <v>8457.06183720237</v>
      </c>
      <c r="M548" s="15" t="n">
        <f aca="false">L548*(1+IF(M$3&lt;=$O$2,$D548,$D548-($D548-$I$535)*MIN(M$3-$O$2,$Q$2)/$Q$2))</f>
        <v>8703.21155940769</v>
      </c>
      <c r="N548" s="15" t="n">
        <f aca="false">M548*(1+IF(N$3&lt;=$O$2,$D548,$D548-($D548-$I$535)*MIN(N$3-$O$2,$Q$2)/$Q$2))</f>
        <v>8993.02850433597</v>
      </c>
      <c r="O548" s="15" t="n">
        <f aca="false">SUMPRODUCT(E548:N548,1/(1+$F$535)^$E$3:$N$3)*$E$2</f>
        <v>8971.27780742544</v>
      </c>
      <c r="P548" s="15" t="n">
        <f aca="false">N548*$E$2*(1+$I$535)/($F$535-$I$535)/(1+$F$535)^$N$3</f>
        <v>13175.9016784686</v>
      </c>
      <c r="Q548" s="15" t="n">
        <f aca="false">O548+P548</f>
        <v>22147.1794858941</v>
      </c>
      <c r="R548" s="15" t="n">
        <f aca="false">Q548-$G$2+$I$2</f>
        <v>19030.9794858941</v>
      </c>
      <c r="S548" s="42" t="n">
        <f aca="false">R548/$K$2</f>
        <v>168.564920158495</v>
      </c>
      <c r="T548" s="43" t="n">
        <f aca="false">S548-$M$2</f>
        <v>0.0972496536234644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0.011962890625</v>
      </c>
      <c r="C549" s="25" t="n">
        <f aca="false">IF(T548&gt;0,D548,C548)</f>
        <v>0.0123291015625</v>
      </c>
      <c r="D549" s="41" t="n">
        <f aca="false">(B549+C549)/2</f>
        <v>0.01214599609375</v>
      </c>
      <c r="E549" s="15" t="n">
        <f aca="false">$C$2*(1+IF(E$3&lt;=$O$2,$D549,$D549-($D549-$I$535)*MIN(E$3-$O$2,$Q$2)/$Q$2))</f>
        <v>7570.85205078125</v>
      </c>
      <c r="F549" s="15" t="n">
        <f aca="false">E549*(1+IF(F$3&lt;=$O$2,$D549,$D549-($D549-$I$535)*MIN(F$3-$O$2,$Q$2)/$Q$2))</f>
        <v>7662.8075902164</v>
      </c>
      <c r="G549" s="15" t="n">
        <f aca="false">F549*(1+IF(G$3&lt;=$O$2,$D549,$D549-($D549-$I$535)*MIN(G$3-$O$2,$Q$2)/$Q$2))</f>
        <v>7755.88002127432</v>
      </c>
      <c r="H549" s="15" t="n">
        <f aca="false">G549*(1+IF(H$3&lt;=$O$2,$D549,$D549-($D549-$I$535)*MIN(H$3-$O$2,$Q$2)/$Q$2))</f>
        <v>7850.08290971632</v>
      </c>
      <c r="I549" s="15" t="n">
        <f aca="false">H549*(1+IF(I$3&lt;=$O$2,$D549,$D549-($D549-$I$535)*MIN(I$3-$O$2,$Q$2)/$Q$2))</f>
        <v>7945.42998607334</v>
      </c>
      <c r="J549" s="15" t="n">
        <f aca="false">I549*(1+IF(J$3&lt;=$O$2,$D549,$D549-($D549-$I$535)*MIN(J$3-$O$2,$Q$2)/$Q$2))</f>
        <v>8075.5506790398</v>
      </c>
      <c r="K549" s="15" t="n">
        <f aca="false">J549*(1+IF(K$3&lt;=$O$2,$D549,$D549-($D549-$I$535)*MIN(K$3-$O$2,$Q$2)/$Q$2))</f>
        <v>8241.96837828611</v>
      </c>
      <c r="L549" s="15" t="n">
        <f aca="false">K549*(1+IF(L$3&lt;=$O$2,$D549,$D549-($D549-$I$535)*MIN(L$3-$O$2,$Q$2)/$Q$2))</f>
        <v>8446.68567277526</v>
      </c>
      <c r="M549" s="15" t="n">
        <f aca="false">L549*(1+IF(M$3&lt;=$O$2,$D549,$D549-($D549-$I$535)*MIN(M$3-$O$2,$Q$2)/$Q$2))</f>
        <v>8692.22406133532</v>
      </c>
      <c r="N549" s="15" t="n">
        <f aca="false">M549*(1+IF(N$3&lt;=$O$2,$D549,$D549-($D549-$I$535)*MIN(N$3-$O$2,$Q$2)/$Q$2))</f>
        <v>8981.67512257779</v>
      </c>
      <c r="O549" s="15" t="n">
        <f aca="false">SUMPRODUCT(E549:N549,1/(1+$F$535)^$E$3:$N$3)*$E$2</f>
        <v>8964.12546730098</v>
      </c>
      <c r="P549" s="15" t="n">
        <f aca="false">N549*$E$2*(1+$I$535)/($F$535-$I$535)/(1+$F$535)^$N$3</f>
        <v>13159.2675666462</v>
      </c>
      <c r="Q549" s="15" t="n">
        <f aca="false">O549+P549</f>
        <v>22123.3930339471</v>
      </c>
      <c r="R549" s="15" t="n">
        <f aca="false">Q549-$G$2+$I$2</f>
        <v>19007.1930339471</v>
      </c>
      <c r="S549" s="42" t="n">
        <f aca="false">R549/$K$2</f>
        <v>168.354234135936</v>
      </c>
      <c r="T549" s="43" t="n">
        <f aca="false">S549-$M$2</f>
        <v>-0.113436368935851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0.01214599609375</v>
      </c>
      <c r="C550" s="25" t="n">
        <f aca="false">IF(T549&gt;0,D549,C549)</f>
        <v>0.0123291015625</v>
      </c>
      <c r="D550" s="41" t="n">
        <f aca="false">(B550+C550)/2</f>
        <v>0.012237548828125</v>
      </c>
      <c r="E550" s="15" t="n">
        <f aca="false">$C$2*(1+IF(E$3&lt;=$O$2,$D550,$D550-($D550-$I$535)*MIN(E$3-$O$2,$Q$2)/$Q$2))</f>
        <v>7571.53686523438</v>
      </c>
      <c r="F550" s="15" t="n">
        <f aca="false">E550*(1+IF(F$3&lt;=$O$2,$D550,$D550-($D550-$I$535)*MIN(F$3-$O$2,$Q$2)/$Q$2))</f>
        <v>7664.19391732663</v>
      </c>
      <c r="G550" s="15" t="n">
        <f aca="false">F550*(1+IF(G$3&lt;=$O$2,$D550,$D550-($D550-$I$535)*MIN(G$3-$O$2,$Q$2)/$Q$2))</f>
        <v>7757.98486461813</v>
      </c>
      <c r="H550" s="15" t="n">
        <f aca="false">G550*(1+IF(H$3&lt;=$O$2,$D550,$D550-($D550-$I$535)*MIN(H$3-$O$2,$Q$2)/$Q$2))</f>
        <v>7852.92358320675</v>
      </c>
      <c r="I550" s="15" t="n">
        <f aca="false">H550*(1+IF(I$3&lt;=$O$2,$D550,$D550-($D550-$I$535)*MIN(I$3-$O$2,$Q$2)/$Q$2))</f>
        <v>7949.02411899978</v>
      </c>
      <c r="J550" s="15" t="n">
        <f aca="false">I550*(1+IF(J$3&lt;=$O$2,$D550,$D550-($D550-$I$535)*MIN(J$3-$O$2,$Q$2)/$Q$2))</f>
        <v>8079.78587626608</v>
      </c>
      <c r="K550" s="15" t="n">
        <f aca="false">J550*(1+IF(K$3&lt;=$O$2,$D550,$D550-($D550-$I$535)*MIN(K$3-$O$2,$Q$2)/$Q$2))</f>
        <v>8246.7346886469</v>
      </c>
      <c r="L550" s="15" t="n">
        <f aca="false">K550*(1+IF(L$3&lt;=$O$2,$D550,$D550-($D550-$I$535)*MIN(L$3-$O$2,$Q$2)/$Q$2))</f>
        <v>8451.87237509603</v>
      </c>
      <c r="M550" s="15" t="n">
        <f aca="false">L550*(1+IF(M$3&lt;=$O$2,$D550,$D550-($D550-$I$535)*MIN(M$3-$O$2,$Q$2)/$Q$2))</f>
        <v>8697.71629534445</v>
      </c>
      <c r="N550" s="15" t="n">
        <f aca="false">M550*(1+IF(N$3&lt;=$O$2,$D550,$D550-($D550-$I$535)*MIN(N$3-$O$2,$Q$2)/$Q$2))</f>
        <v>8987.35024797942</v>
      </c>
      <c r="O550" s="15" t="n">
        <f aca="false">SUMPRODUCT(E550:N550,1/(1+$F$535)^$E$3:$N$3)*$E$2</f>
        <v>8967.70091016945</v>
      </c>
      <c r="P550" s="15" t="n">
        <f aca="false">N550*$E$2*(1+$I$535)/($F$535-$I$535)/(1+$F$535)^$N$3</f>
        <v>13167.5823289389</v>
      </c>
      <c r="Q550" s="15" t="n">
        <f aca="false">O550+P550</f>
        <v>22135.2832391083</v>
      </c>
      <c r="R550" s="15" t="n">
        <f aca="false">Q550-$G$2+$I$2</f>
        <v>19019.0832391083</v>
      </c>
      <c r="S550" s="42" t="n">
        <f aca="false">R550/$K$2</f>
        <v>168.459550390685</v>
      </c>
      <c r="T550" s="43" t="n">
        <f aca="false">S550-$M$2</f>
        <v>-0.00812011418679504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0.012237548828125</v>
      </c>
      <c r="C551" s="25" t="n">
        <f aca="false">IF(T550&gt;0,D550,C550)</f>
        <v>0.0123291015625</v>
      </c>
      <c r="D551" s="41" t="n">
        <f aca="false">(B551+C551)/2</f>
        <v>0.0122833251953125</v>
      </c>
      <c r="E551" s="15" t="n">
        <f aca="false">$C$2*(1+IF(E$3&lt;=$O$2,$D551,$D551-($D551-$I$535)*MIN(E$3-$O$2,$Q$2)/$Q$2))</f>
        <v>7571.87927246094</v>
      </c>
      <c r="F551" s="15" t="n">
        <f aca="false">E551*(1+IF(F$3&lt;=$O$2,$D551,$D551-($D551-$I$535)*MIN(F$3-$O$2,$Q$2)/$Q$2))</f>
        <v>7664.88712790422</v>
      </c>
      <c r="G551" s="15" t="n">
        <f aca="false">F551*(1+IF(G$3&lt;=$O$2,$D551,$D551-($D551-$I$535)*MIN(G$3-$O$2,$Q$2)/$Q$2))</f>
        <v>7759.03742908163</v>
      </c>
      <c r="H551" s="15" t="n">
        <f aca="false">G551*(1+IF(H$3&lt;=$O$2,$D551,$D551-($D551-$I$535)*MIN(H$3-$O$2,$Q$2)/$Q$2))</f>
        <v>7854.34420902565</v>
      </c>
      <c r="I551" s="15" t="n">
        <f aca="false">H551*(1+IF(I$3&lt;=$O$2,$D551,$D551-($D551-$I$535)*MIN(I$3-$O$2,$Q$2)/$Q$2))</f>
        <v>7950.82167314103</v>
      </c>
      <c r="J551" s="15" t="n">
        <f aca="false">I551*(1+IF(J$3&lt;=$O$2,$D551,$D551-($D551-$I$535)*MIN(J$3-$O$2,$Q$2)/$Q$2))</f>
        <v>8081.90416802905</v>
      </c>
      <c r="K551" s="15" t="n">
        <f aca="false">J551*(1+IF(K$3&lt;=$O$2,$D551,$D551-($D551-$I$535)*MIN(K$3-$O$2,$Q$2)/$Q$2))</f>
        <v>8249.11872580315</v>
      </c>
      <c r="L551" s="15" t="n">
        <f aca="false">K551*(1+IF(L$3&lt;=$O$2,$D551,$D551-($D551-$I$535)*MIN(L$3-$O$2,$Q$2)/$Q$2))</f>
        <v>8454.46676109821</v>
      </c>
      <c r="M551" s="15" t="n">
        <f aca="false">L551*(1+IF(M$3&lt;=$O$2,$D551,$D551-($D551-$I$535)*MIN(M$3-$O$2,$Q$2)/$Q$2))</f>
        <v>8700.46354852977</v>
      </c>
      <c r="N551" s="15" t="n">
        <f aca="false">M551*(1+IF(N$3&lt;=$O$2,$D551,$D551-($D551-$I$535)*MIN(N$3-$O$2,$Q$2)/$Q$2))</f>
        <v>8990.18898469581</v>
      </c>
      <c r="O551" s="15" t="n">
        <f aca="false">SUMPRODUCT(E551:N551,1/(1+$F$535)^$E$3:$N$3)*$E$2</f>
        <v>8969.48917696409</v>
      </c>
      <c r="P551" s="15" t="n">
        <f aca="false">N551*$E$2*(1+$I$535)/($F$535-$I$535)/(1+$F$535)^$N$3</f>
        <v>13171.7414301636</v>
      </c>
      <c r="Q551" s="15" t="n">
        <f aca="false">O551+P551</f>
        <v>22141.2306071277</v>
      </c>
      <c r="R551" s="15" t="n">
        <f aca="false">Q551-$G$2+$I$2</f>
        <v>19025.0306071277</v>
      </c>
      <c r="S551" s="42" t="n">
        <f aca="false">R551/$K$2</f>
        <v>168.512228583947</v>
      </c>
      <c r="T551" s="43" t="n">
        <f aca="false">S551-$M$2</f>
        <v>0.0445580790757276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0.012237548828125</v>
      </c>
      <c r="C552" s="25" t="n">
        <f aca="false">IF(T551&gt;0,D551,C551)</f>
        <v>0.0122833251953125</v>
      </c>
      <c r="D552" s="41" t="n">
        <f aca="false">(B552+C552)/2</f>
        <v>0.0122604370117188</v>
      </c>
      <c r="E552" s="15" t="n">
        <f aca="false">$C$2*(1+IF(E$3&lt;=$O$2,$D552,$D552-($D552-$I$535)*MIN(E$3-$O$2,$Q$2)/$Q$2))</f>
        <v>7571.70806884766</v>
      </c>
      <c r="F552" s="15" t="n">
        <f aca="false">E552*(1+IF(F$3&lt;=$O$2,$D552,$D552-($D552-$I$535)*MIN(F$3-$O$2,$Q$2)/$Q$2))</f>
        <v>7664.54051869689</v>
      </c>
      <c r="G552" s="15" t="n">
        <f aca="false">F552*(1+IF(G$3&lt;=$O$2,$D552,$D552-($D552-$I$535)*MIN(G$3-$O$2,$Q$2)/$Q$2))</f>
        <v>7758.51113495014</v>
      </c>
      <c r="H552" s="15" t="n">
        <f aca="false">G552*(1+IF(H$3&lt;=$O$2,$D552,$D552-($D552-$I$535)*MIN(H$3-$O$2,$Q$2)/$Q$2))</f>
        <v>7853.63387202491</v>
      </c>
      <c r="I552" s="15" t="n">
        <f aca="false">H552*(1+IF(I$3&lt;=$O$2,$D552,$D552-($D552-$I$535)*MIN(I$3-$O$2,$Q$2)/$Q$2))</f>
        <v>7949.92285542597</v>
      </c>
      <c r="J552" s="15" t="n">
        <f aca="false">I552*(1+IF(J$3&lt;=$O$2,$D552,$D552-($D552-$I$535)*MIN(J$3-$O$2,$Q$2)/$Q$2))</f>
        <v>8080.84496437669</v>
      </c>
      <c r="K552" s="15" t="n">
        <f aca="false">J552*(1+IF(K$3&lt;=$O$2,$D552,$D552-($D552-$I$535)*MIN(K$3-$O$2,$Q$2)/$Q$2))</f>
        <v>8247.92663371451</v>
      </c>
      <c r="L552" s="15" t="n">
        <f aca="false">K552*(1+IF(L$3&lt;=$O$2,$D552,$D552-($D552-$I$535)*MIN(L$3-$O$2,$Q$2)/$Q$2))</f>
        <v>8453.1694818441</v>
      </c>
      <c r="M552" s="15" t="n">
        <f aca="false">L552*(1+IF(M$3&lt;=$O$2,$D552,$D552-($D552-$I$535)*MIN(M$3-$O$2,$Q$2)/$Q$2))</f>
        <v>8699.08982723673</v>
      </c>
      <c r="N552" s="15" t="n">
        <f aca="false">M552*(1+IF(N$3&lt;=$O$2,$D552,$D552-($D552-$I$535)*MIN(N$3-$O$2,$Q$2)/$Q$2))</f>
        <v>8988.76951848372</v>
      </c>
      <c r="O552" s="15" t="n">
        <f aca="false">SUMPRODUCT(E552:N552,1/(1+$F$535)^$E$3:$N$3)*$E$2</f>
        <v>8968.5949981128</v>
      </c>
      <c r="P552" s="15" t="n">
        <f aca="false">N552*$E$2*(1+$I$535)/($F$535-$I$535)/(1+$F$535)^$N$3</f>
        <v>13169.6617361831</v>
      </c>
      <c r="Q552" s="15" t="n">
        <f aca="false">O552+P552</f>
        <v>22138.2567342959</v>
      </c>
      <c r="R552" s="15" t="n">
        <f aca="false">Q552-$G$2+$I$2</f>
        <v>19022.0567342959</v>
      </c>
      <c r="S552" s="42" t="n">
        <f aca="false">R552/$K$2</f>
        <v>168.485887814844</v>
      </c>
      <c r="T552" s="43" t="n">
        <f aca="false">S552-$M$2</f>
        <v>0.0182173099725844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0.012237548828125</v>
      </c>
      <c r="C553" s="25" t="n">
        <f aca="false">IF(T552&gt;0,D552,C552)</f>
        <v>0.0122604370117188</v>
      </c>
      <c r="D553" s="41" t="n">
        <f aca="false">(B553+C553)/2</f>
        <v>0.0122489929199219</v>
      </c>
      <c r="E553" s="15" t="n">
        <f aca="false">$C$2*(1+IF(E$3&lt;=$O$2,$D553,$D553-($D553-$I$535)*MIN(E$3-$O$2,$Q$2)/$Q$2))</f>
        <v>7571.62246704102</v>
      </c>
      <c r="F553" s="15" t="n">
        <f aca="false">E553*(1+IF(F$3&lt;=$O$2,$D553,$D553-($D553-$I$535)*MIN(F$3-$O$2,$Q$2)/$Q$2))</f>
        <v>7664.36721703212</v>
      </c>
      <c r="G553" s="15" t="n">
        <f aca="false">F553*(1+IF(G$3&lt;=$O$2,$D553,$D553-($D553-$I$535)*MIN(G$3-$O$2,$Q$2)/$Q$2))</f>
        <v>7758.24799680923</v>
      </c>
      <c r="H553" s="15" t="n">
        <f aca="false">G553*(1+IF(H$3&lt;=$O$2,$D553,$D553-($D553-$I$535)*MIN(H$3-$O$2,$Q$2)/$Q$2))</f>
        <v>7853.27872159315</v>
      </c>
      <c r="I553" s="15" t="n">
        <f aca="false">H553*(1+IF(I$3&lt;=$O$2,$D553,$D553-($D553-$I$535)*MIN(I$3-$O$2,$Q$2)/$Q$2))</f>
        <v>7949.47347705211</v>
      </c>
      <c r="J553" s="15" t="n">
        <f aca="false">I553*(1+IF(J$3&lt;=$O$2,$D553,$D553-($D553-$I$535)*MIN(J$3-$O$2,$Q$2)/$Q$2))</f>
        <v>8080.31540587929</v>
      </c>
      <c r="K553" s="15" t="n">
        <f aca="false">J553*(1+IF(K$3&lt;=$O$2,$D553,$D553-($D553-$I$535)*MIN(K$3-$O$2,$Q$2)/$Q$2))</f>
        <v>8247.33064280402</v>
      </c>
      <c r="L553" s="15" t="n">
        <f aca="false">K553*(1+IF(L$3&lt;=$O$2,$D553,$D553-($D553-$I$535)*MIN(L$3-$O$2,$Q$2)/$Q$2))</f>
        <v>8452.52090690803</v>
      </c>
      <c r="M553" s="15" t="n">
        <f aca="false">L553*(1+IF(M$3&lt;=$O$2,$D553,$D553-($D553-$I$535)*MIN(M$3-$O$2,$Q$2)/$Q$2))</f>
        <v>8698.4030376169</v>
      </c>
      <c r="N553" s="15" t="n">
        <f aca="false">M553*(1+IF(N$3&lt;=$O$2,$D553,$D553-($D553-$I$535)*MIN(N$3-$O$2,$Q$2)/$Q$2))</f>
        <v>8988.05985876954</v>
      </c>
      <c r="O553" s="15" t="n">
        <f aca="false">SUMPRODUCT(E553:N553,1/(1+$F$535)^$E$3:$N$3)*$E$2</f>
        <v>8968.14794277818</v>
      </c>
      <c r="P553" s="15" t="n">
        <f aca="false">N553*$E$2*(1+$I$535)/($F$535-$I$535)/(1+$F$535)^$N$3</f>
        <v>13168.6219967211</v>
      </c>
      <c r="Q553" s="15" t="n">
        <f aca="false">O553+P553</f>
        <v>22136.7699394993</v>
      </c>
      <c r="R553" s="15" t="n">
        <f aca="false">Q553-$G$2+$I$2</f>
        <v>19020.5699394993</v>
      </c>
      <c r="S553" s="42" t="n">
        <f aca="false">R553/$K$2</f>
        <v>168.47271868467</v>
      </c>
      <c r="T553" s="43" t="n">
        <f aca="false">S553-$M$2</f>
        <v>0.00504817979853556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0.012237548828125</v>
      </c>
      <c r="C554" s="25" t="n">
        <f aca="false">IF(T553&gt;0,D553,C553)</f>
        <v>0.0122489929199219</v>
      </c>
      <c r="D554" s="41" t="n">
        <f aca="false">(B554+C554)/2</f>
        <v>0.0122432708740234</v>
      </c>
      <c r="E554" s="15" t="n">
        <f aca="false">$C$2*(1+IF(E$3&lt;=$O$2,$D554,$D554-($D554-$I$535)*MIN(E$3-$O$2,$Q$2)/$Q$2))</f>
        <v>7571.5796661377</v>
      </c>
      <c r="F554" s="15" t="n">
        <f aca="false">E554*(1+IF(F$3&lt;=$O$2,$D554,$D554-($D554-$I$535)*MIN(F$3-$O$2,$Q$2)/$Q$2))</f>
        <v>7664.28056693447</v>
      </c>
      <c r="G554" s="15" t="n">
        <f aca="false">F554*(1+IF(G$3&lt;=$O$2,$D554,$D554-($D554-$I$535)*MIN(G$3-$O$2,$Q$2)/$Q$2))</f>
        <v>7758.11642996996</v>
      </c>
      <c r="H554" s="15" t="n">
        <f aca="false">G554*(1+IF(H$3&lt;=$O$2,$D554,$D554-($D554-$I$535)*MIN(H$3-$O$2,$Q$2)/$Q$2))</f>
        <v>7853.10115089429</v>
      </c>
      <c r="I554" s="15" t="n">
        <f aca="false">H554*(1+IF(I$3&lt;=$O$2,$D554,$D554-($D554-$I$535)*MIN(I$3-$O$2,$Q$2)/$Q$2))</f>
        <v>7949.2487954858</v>
      </c>
      <c r="J554" s="15" t="n">
        <f aca="false">I554*(1+IF(J$3&lt;=$O$2,$D554,$D554-($D554-$I$535)*MIN(J$3-$O$2,$Q$2)/$Q$2))</f>
        <v>8080.05063746224</v>
      </c>
      <c r="K554" s="15" t="n">
        <f aca="false">J554*(1+IF(K$3&lt;=$O$2,$D554,$D554-($D554-$I$535)*MIN(K$3-$O$2,$Q$2)/$Q$2))</f>
        <v>8247.03266113141</v>
      </c>
      <c r="L554" s="15" t="n">
        <f aca="false">K554*(1+IF(L$3&lt;=$O$2,$D554,$D554-($D554-$I$535)*MIN(L$3-$O$2,$Q$2)/$Q$2))</f>
        <v>8452.19663561167</v>
      </c>
      <c r="M554" s="15" t="n">
        <f aca="false">L554*(1+IF(M$3&lt;=$O$2,$D554,$D554-($D554-$I$535)*MIN(M$3-$O$2,$Q$2)/$Q$2))</f>
        <v>8698.05966056243</v>
      </c>
      <c r="N554" s="15" t="n">
        <f aca="false">M554*(1+IF(N$3&lt;=$O$2,$D554,$D554-($D554-$I$535)*MIN(N$3-$O$2,$Q$2)/$Q$2))</f>
        <v>8987.70504725916</v>
      </c>
      <c r="O554" s="15" t="n">
        <f aca="false">SUMPRODUCT(E554:N554,1/(1+$F$535)^$E$3:$N$3)*$E$2</f>
        <v>8967.92442363315</v>
      </c>
      <c r="P554" s="15" t="n">
        <f aca="false">N554*$E$2*(1+$I$535)/($F$535-$I$535)/(1+$F$535)^$N$3</f>
        <v>13168.1021538703</v>
      </c>
      <c r="Q554" s="15" t="n">
        <f aca="false">O554+P554</f>
        <v>22136.0265775034</v>
      </c>
      <c r="R554" s="15" t="n">
        <f aca="false">Q554-$G$2+$I$2</f>
        <v>19019.8265775034</v>
      </c>
      <c r="S554" s="42" t="n">
        <f aca="false">R554/$K$2</f>
        <v>168.466134433157</v>
      </c>
      <c r="T554" s="43" t="n">
        <f aca="false">S554-$M$2</f>
        <v>-0.00153607171475301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0.0122432708740234</v>
      </c>
      <c r="C555" s="25" t="n">
        <f aca="false">IF(T554&gt;0,D554,C554)</f>
        <v>0.0122489929199219</v>
      </c>
      <c r="D555" s="41" t="n">
        <f aca="false">(B555+C555)/2</f>
        <v>0.0122461318969727</v>
      </c>
      <c r="E555" s="15" t="n">
        <f aca="false">$C$2*(1+IF(E$3&lt;=$O$2,$D555,$D555-($D555-$I$535)*MIN(E$3-$O$2,$Q$2)/$Q$2))</f>
        <v>7571.60106658936</v>
      </c>
      <c r="F555" s="15" t="n">
        <f aca="false">E555*(1+IF(F$3&lt;=$O$2,$D555,$D555-($D555-$I$535)*MIN(F$3-$O$2,$Q$2)/$Q$2))</f>
        <v>7664.32389192207</v>
      </c>
      <c r="G555" s="15" t="n">
        <f aca="false">F555*(1+IF(G$3&lt;=$O$2,$D555,$D555-($D555-$I$535)*MIN(G$3-$O$2,$Q$2)/$Q$2))</f>
        <v>7758.18221320366</v>
      </c>
      <c r="H555" s="15" t="n">
        <f aca="false">G555*(1+IF(H$3&lt;=$O$2,$D555,$D555-($D555-$I$535)*MIN(H$3-$O$2,$Q$2)/$Q$2))</f>
        <v>7853.1899358673</v>
      </c>
      <c r="I555" s="15" t="n">
        <f aca="false">H555*(1+IF(I$3&lt;=$O$2,$D555,$D555-($D555-$I$535)*MIN(I$3-$O$2,$Q$2)/$Q$2))</f>
        <v>7949.36113563391</v>
      </c>
      <c r="J555" s="15" t="n">
        <f aca="false">I555*(1+IF(J$3&lt;=$O$2,$D555,$D555-($D555-$I$535)*MIN(J$3-$O$2,$Q$2)/$Q$2))</f>
        <v>8080.18302076815</v>
      </c>
      <c r="K555" s="15" t="n">
        <f aca="false">J555*(1+IF(K$3&lt;=$O$2,$D555,$D555-($D555-$I$535)*MIN(K$3-$O$2,$Q$2)/$Q$2))</f>
        <v>8247.18165081918</v>
      </c>
      <c r="L555" s="15" t="n">
        <f aca="false">K555*(1+IF(L$3&lt;=$O$2,$D555,$D555-($D555-$I$535)*MIN(L$3-$O$2,$Q$2)/$Q$2))</f>
        <v>8452.35876991224</v>
      </c>
      <c r="M555" s="15" t="n">
        <f aca="false">L555*(1+IF(M$3&lt;=$O$2,$D555,$D555-($D555-$I$535)*MIN(M$3-$O$2,$Q$2)/$Q$2))</f>
        <v>8698.23134761008</v>
      </c>
      <c r="N555" s="15" t="n">
        <f aca="false">M555*(1+IF(N$3&lt;=$O$2,$D555,$D555-($D555-$I$535)*MIN(N$3-$O$2,$Q$2)/$Q$2))</f>
        <v>8987.88245148549</v>
      </c>
      <c r="O555" s="15" t="n">
        <f aca="false">SUMPRODUCT(E555:N555,1/(1+$F$535)^$E$3:$N$3)*$E$2</f>
        <v>8968.03618249549</v>
      </c>
      <c r="P555" s="15" t="n">
        <f aca="false">N555*$E$2*(1+$I$535)/($F$535-$I$535)/(1+$F$535)^$N$3</f>
        <v>13168.3620730557</v>
      </c>
      <c r="Q555" s="15" t="n">
        <f aca="false">O555+P555</f>
        <v>22136.3982555512</v>
      </c>
      <c r="R555" s="15" t="n">
        <f aca="false">Q555-$G$2+$I$2</f>
        <v>19020.1982555512</v>
      </c>
      <c r="S555" s="42" t="n">
        <f aca="false">R555/$K$2</f>
        <v>168.469426532783</v>
      </c>
      <c r="T555" s="43" t="n">
        <f aca="false">S555-$M$2</f>
        <v>0.00175602791134111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0.0122432708740234</v>
      </c>
      <c r="C556" s="25" t="n">
        <f aca="false">IF(T555&gt;0,D555,C555)</f>
        <v>0.0122461318969727</v>
      </c>
      <c r="D556" s="41" t="n">
        <f aca="false">(B556+C556)/2</f>
        <v>0.012244701385498</v>
      </c>
      <c r="E556" s="15" t="n">
        <f aca="false">$C$2*(1+IF(E$3&lt;=$O$2,$D556,$D556-($D556-$I$535)*MIN(E$3-$O$2,$Q$2)/$Q$2))</f>
        <v>7571.59036636353</v>
      </c>
      <c r="F556" s="15" t="n">
        <f aca="false">E556*(1+IF(F$3&lt;=$O$2,$D556,$D556-($D556-$I$535)*MIN(F$3-$O$2,$Q$2)/$Q$2))</f>
        <v>7664.30222941296</v>
      </c>
      <c r="G556" s="15" t="n">
        <f aca="false">F556*(1+IF(G$3&lt;=$O$2,$D556,$D556-($D556-$I$535)*MIN(G$3-$O$2,$Q$2)/$Q$2))</f>
        <v>7758.14932154033</v>
      </c>
      <c r="H556" s="15" t="n">
        <f aca="false">G556*(1+IF(H$3&lt;=$O$2,$D556,$D556-($D556-$I$535)*MIN(H$3-$O$2,$Q$2)/$Q$2))</f>
        <v>7853.14554328669</v>
      </c>
      <c r="I556" s="15" t="n">
        <f aca="false">H556*(1+IF(I$3&lt;=$O$2,$D556,$D556-($D556-$I$535)*MIN(I$3-$O$2,$Q$2)/$Q$2))</f>
        <v>7949.3049654011</v>
      </c>
      <c r="J556" s="15" t="n">
        <f aca="false">I556*(1+IF(J$3&lt;=$O$2,$D556,$D556-($D556-$I$535)*MIN(J$3-$O$2,$Q$2)/$Q$2))</f>
        <v>8080.11682888954</v>
      </c>
      <c r="K556" s="15" t="n">
        <f aca="false">J556*(1+IF(K$3&lt;=$O$2,$D556,$D556-($D556-$I$535)*MIN(K$3-$O$2,$Q$2)/$Q$2))</f>
        <v>8247.10715568816</v>
      </c>
      <c r="L556" s="15" t="n">
        <f aca="false">K556*(1+IF(L$3&lt;=$O$2,$D556,$D556-($D556-$I$535)*MIN(L$3-$O$2,$Q$2)/$Q$2))</f>
        <v>8452.27770242506</v>
      </c>
      <c r="M556" s="15" t="n">
        <f aca="false">L556*(1+IF(M$3&lt;=$O$2,$D556,$D556-($D556-$I$535)*MIN(M$3-$O$2,$Q$2)/$Q$2))</f>
        <v>8698.14550371636</v>
      </c>
      <c r="N556" s="15" t="n">
        <f aca="false">M556*(1+IF(N$3&lt;=$O$2,$D556,$D556-($D556-$I$535)*MIN(N$3-$O$2,$Q$2)/$Q$2))</f>
        <v>8987.79374899011</v>
      </c>
      <c r="O556" s="15" t="n">
        <f aca="false">SUMPRODUCT(E556:N556,1/(1+$F$535)^$E$3:$N$3)*$E$2</f>
        <v>8967.98030288677</v>
      </c>
      <c r="P556" s="15" t="n">
        <f aca="false">N556*$E$2*(1+$I$535)/($F$535-$I$535)/(1+$F$535)^$N$3</f>
        <v>13168.232112903</v>
      </c>
      <c r="Q556" s="15" t="n">
        <f aca="false">O556+P556</f>
        <v>22136.2124157898</v>
      </c>
      <c r="R556" s="15" t="n">
        <f aca="false">Q556-$G$2+$I$2</f>
        <v>19020.0124157898</v>
      </c>
      <c r="S556" s="42" t="n">
        <f aca="false">R556/$K$2</f>
        <v>168.467780476437</v>
      </c>
      <c r="T556" s="43" t="n">
        <f aca="false">S556-$M$2</f>
        <v>0.000109971565677824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0.0122432708740234</v>
      </c>
      <c r="C557" s="25" t="n">
        <f aca="false">IF(T556&gt;0,D556,C556)</f>
        <v>0.012244701385498</v>
      </c>
      <c r="D557" s="41" t="n">
        <f aca="false">(B557+C557)/2</f>
        <v>0.0122439861297607</v>
      </c>
      <c r="E557" s="15" t="n">
        <f aca="false">$C$2*(1+IF(E$3&lt;=$O$2,$D557,$D557-($D557-$I$535)*MIN(E$3-$O$2,$Q$2)/$Q$2))</f>
        <v>7571.58501625061</v>
      </c>
      <c r="F557" s="15" t="n">
        <f aca="false">E557*(1+IF(F$3&lt;=$O$2,$D557,$D557-($D557-$I$535)*MIN(F$3-$O$2,$Q$2)/$Q$2))</f>
        <v>7664.29139816989</v>
      </c>
      <c r="G557" s="15" t="n">
        <f aca="false">F557*(1+IF(G$3&lt;=$O$2,$D557,$D557-($D557-$I$535)*MIN(G$3-$O$2,$Q$2)/$Q$2))</f>
        <v>7758.13287574352</v>
      </c>
      <c r="H557" s="15" t="n">
        <f aca="false">G557*(1+IF(H$3&lt;=$O$2,$D557,$D557-($D557-$I$535)*MIN(H$3-$O$2,$Q$2)/$Q$2))</f>
        <v>7853.12334706697</v>
      </c>
      <c r="I557" s="15" t="n">
        <f aca="false">H557*(1+IF(I$3&lt;=$O$2,$D557,$D557-($D557-$I$535)*MIN(I$3-$O$2,$Q$2)/$Q$2))</f>
        <v>7949.27688040376</v>
      </c>
      <c r="J557" s="15" t="n">
        <f aca="false">I557*(1+IF(J$3&lt;=$O$2,$D557,$D557-($D557-$I$535)*MIN(J$3-$O$2,$Q$2)/$Q$2))</f>
        <v>8080.08373311948</v>
      </c>
      <c r="K557" s="15" t="n">
        <f aca="false">J557*(1+IF(K$3&lt;=$O$2,$D557,$D557-($D557-$I$535)*MIN(K$3-$O$2,$Q$2)/$Q$2))</f>
        <v>8247.069908338</v>
      </c>
      <c r="L557" s="15" t="n">
        <f aca="false">K557*(1+IF(L$3&lt;=$O$2,$D557,$D557-($D557-$I$535)*MIN(L$3-$O$2,$Q$2)/$Q$2))</f>
        <v>8452.23716893414</v>
      </c>
      <c r="M557" s="15" t="n">
        <f aca="false">L557*(1+IF(M$3&lt;=$O$2,$D557,$D557-($D557-$I$535)*MIN(M$3-$O$2,$Q$2)/$Q$2))</f>
        <v>8698.10258204692</v>
      </c>
      <c r="N557" s="15" t="n">
        <f aca="false">M557*(1+IF(N$3&lt;=$O$2,$D557,$D557-($D557-$I$535)*MIN(N$3-$O$2,$Q$2)/$Q$2))</f>
        <v>8987.74939802909</v>
      </c>
      <c r="O557" s="15" t="n">
        <f aca="false">SUMPRODUCT(E557:N557,1/(1+$F$535)^$E$3:$N$3)*$E$2</f>
        <v>8967.95236321557</v>
      </c>
      <c r="P557" s="15" t="n">
        <f aca="false">N557*$E$2*(1+$I$535)/($F$535-$I$535)/(1+$F$535)^$N$3</f>
        <v>13168.1671332466</v>
      </c>
      <c r="Q557" s="15" t="n">
        <f aca="false">O557+P557</f>
        <v>22136.1194964622</v>
      </c>
      <c r="R557" s="15" t="n">
        <f aca="false">Q557-$G$2+$I$2</f>
        <v>19019.9194964622</v>
      </c>
      <c r="S557" s="42" t="n">
        <f aca="false">R557/$K$2</f>
        <v>168.466957453164</v>
      </c>
      <c r="T557" s="43" t="n">
        <f aca="false">S557-$M$2</f>
        <v>-0.000713051707634804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0.0122439861297607</v>
      </c>
      <c r="C558" s="25" t="n">
        <f aca="false">IF(T557&gt;0,D557,C557)</f>
        <v>0.012244701385498</v>
      </c>
      <c r="D558" s="41" t="n">
        <f aca="false">(B558+C558)/2</f>
        <v>0.0122443437576294</v>
      </c>
      <c r="E558" s="15" t="n">
        <f aca="false">$C$2*(1+IF(E$3&lt;=$O$2,$D558,$D558-($D558-$I$535)*MIN(E$3-$O$2,$Q$2)/$Q$2))</f>
        <v>7571.58769130707</v>
      </c>
      <c r="F558" s="15" t="n">
        <f aca="false">E558*(1+IF(F$3&lt;=$O$2,$D558,$D558-($D558-$I$535)*MIN(F$3-$O$2,$Q$2)/$Q$2))</f>
        <v>7664.29681379047</v>
      </c>
      <c r="G558" s="15" t="n">
        <f aca="false">F558*(1+IF(G$3&lt;=$O$2,$D558,$D558-($D558-$I$535)*MIN(G$3-$O$2,$Q$2)/$Q$2))</f>
        <v>7758.14109863902</v>
      </c>
      <c r="H558" s="15" t="n">
        <f aca="false">G558*(1+IF(H$3&lt;=$O$2,$D558,$D558-($D558-$I$535)*MIN(H$3-$O$2,$Q$2)/$Q$2))</f>
        <v>7853.13444517095</v>
      </c>
      <c r="I558" s="15" t="n">
        <f aca="false">H558*(1+IF(I$3&lt;=$O$2,$D558,$D558-($D558-$I$535)*MIN(I$3-$O$2,$Q$2)/$Q$2))</f>
        <v>7949.2909228925</v>
      </c>
      <c r="J558" s="15" t="n">
        <f aca="false">I558*(1+IF(J$3&lt;=$O$2,$D558,$D558-($D558-$I$535)*MIN(J$3-$O$2,$Q$2)/$Q$2))</f>
        <v>8080.10028099041</v>
      </c>
      <c r="K558" s="15" t="n">
        <f aca="false">J558*(1+IF(K$3&lt;=$O$2,$D558,$D558-($D558-$I$535)*MIN(K$3-$O$2,$Q$2)/$Q$2))</f>
        <v>8247.08853199514</v>
      </c>
      <c r="L558" s="15" t="n">
        <f aca="false">K558*(1+IF(L$3&lt;=$O$2,$D558,$D558-($D558-$I$535)*MIN(L$3-$O$2,$Q$2)/$Q$2))</f>
        <v>8452.25743565854</v>
      </c>
      <c r="M558" s="15" t="n">
        <f aca="false">L558*(1+IF(M$3&lt;=$O$2,$D558,$D558-($D558-$I$535)*MIN(M$3-$O$2,$Q$2)/$Q$2))</f>
        <v>8698.12404285852</v>
      </c>
      <c r="N558" s="15" t="n">
        <f aca="false">M558*(1+IF(N$3&lt;=$O$2,$D558,$D558-($D558-$I$535)*MIN(N$3-$O$2,$Q$2)/$Q$2))</f>
        <v>8987.77157348571</v>
      </c>
      <c r="O558" s="15" t="n">
        <f aca="false">SUMPRODUCT(E558:N558,1/(1+$F$535)^$E$3:$N$3)*$E$2</f>
        <v>8967.96633304008</v>
      </c>
      <c r="P558" s="15" t="n">
        <f aca="false">N558*$E$2*(1+$I$535)/($F$535-$I$535)/(1+$F$535)^$N$3</f>
        <v>13168.1996230398</v>
      </c>
      <c r="Q558" s="15" t="n">
        <f aca="false">O558+P558</f>
        <v>22136.1659560799</v>
      </c>
      <c r="R558" s="15" t="n">
        <f aca="false">Q558-$G$2+$I$2</f>
        <v>19019.9659560799</v>
      </c>
      <c r="S558" s="42" t="n">
        <f aca="false">R558/$K$2</f>
        <v>168.467368964392</v>
      </c>
      <c r="T558" s="43" t="n">
        <f aca="false">S558-$M$2</f>
        <v>-0.000301540479284768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0.0122443437576294</v>
      </c>
      <c r="C559" s="25" t="n">
        <f aca="false">IF(T558&gt;0,D558,C558)</f>
        <v>0.012244701385498</v>
      </c>
      <c r="D559" s="41" t="n">
        <f aca="false">(B559+C559)/2</f>
        <v>0.0122445225715637</v>
      </c>
      <c r="E559" s="15" t="n">
        <f aca="false">$C$2*(1+IF(E$3&lt;=$O$2,$D559,$D559-($D559-$I$535)*MIN(E$3-$O$2,$Q$2)/$Q$2))</f>
        <v>7571.5890288353</v>
      </c>
      <c r="F559" s="15" t="n">
        <f aca="false">E559*(1+IF(F$3&lt;=$O$2,$D559,$D559-($D559-$I$535)*MIN(F$3-$O$2,$Q$2)/$Q$2))</f>
        <v>7664.29952160147</v>
      </c>
      <c r="G559" s="15" t="n">
        <f aca="false">F559*(1+IF(G$3&lt;=$O$2,$D559,$D559-($D559-$I$535)*MIN(G$3-$O$2,$Q$2)/$Q$2))</f>
        <v>7758.14521008895</v>
      </c>
      <c r="H559" s="15" t="n">
        <f aca="false">G559*(1+IF(H$3&lt;=$O$2,$D559,$D559-($D559-$I$535)*MIN(H$3-$O$2,$Q$2)/$Q$2))</f>
        <v>7853.13999422735</v>
      </c>
      <c r="I559" s="15" t="n">
        <f aca="false">H559*(1+IF(I$3&lt;=$O$2,$D559,$D559-($D559-$I$535)*MIN(I$3-$O$2,$Q$2)/$Q$2))</f>
        <v>7949.29794414432</v>
      </c>
      <c r="J559" s="15" t="n">
        <f aca="false">I559*(1+IF(J$3&lt;=$O$2,$D559,$D559-($D559-$I$535)*MIN(J$3-$O$2,$Q$2)/$Q$2))</f>
        <v>8080.10855493645</v>
      </c>
      <c r="K559" s="15" t="n">
        <f aca="false">J559*(1+IF(K$3&lt;=$O$2,$D559,$D559-($D559-$I$535)*MIN(K$3-$O$2,$Q$2)/$Q$2))</f>
        <v>8247.09784383716</v>
      </c>
      <c r="L559" s="15" t="n">
        <f aca="false">K559*(1+IF(L$3&lt;=$O$2,$D559,$D559-($D559-$I$535)*MIN(L$3-$O$2,$Q$2)/$Q$2))</f>
        <v>8452.26756903653</v>
      </c>
      <c r="M559" s="15" t="n">
        <f aca="false">L559*(1+IF(M$3&lt;=$O$2,$D559,$D559-($D559-$I$535)*MIN(M$3-$O$2,$Q$2)/$Q$2))</f>
        <v>8698.13477328166</v>
      </c>
      <c r="N559" s="15" t="n">
        <f aca="false">M559*(1+IF(N$3&lt;=$O$2,$D559,$D559-($D559-$I$535)*MIN(N$3-$O$2,$Q$2)/$Q$2))</f>
        <v>8987.78266123194</v>
      </c>
      <c r="O559" s="15" t="n">
        <f aca="false">SUMPRODUCT(E559:N559,1/(1+$F$535)^$E$3:$N$3)*$E$2</f>
        <v>8967.97331796065</v>
      </c>
      <c r="P559" s="15" t="n">
        <f aca="false">N559*$E$2*(1+$I$535)/($F$535-$I$535)/(1+$F$535)^$N$3</f>
        <v>13168.2158679627</v>
      </c>
      <c r="Q559" s="15" t="n">
        <f aca="false">O559+P559</f>
        <v>22136.1891859233</v>
      </c>
      <c r="R559" s="15" t="n">
        <f aca="false">Q559-$G$2+$I$2</f>
        <v>19019.9891859233</v>
      </c>
      <c r="S559" s="42" t="n">
        <f aca="false">R559/$K$2</f>
        <v>168.467574720313</v>
      </c>
      <c r="T559" s="43" t="n">
        <f aca="false">S559-$M$2</f>
        <v>-9.5784558880041E-005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0.0122445225715637</v>
      </c>
      <c r="C560" s="25" t="n">
        <f aca="false">IF(T559&gt;0,D559,C559)</f>
        <v>0.012244701385498</v>
      </c>
      <c r="D560" s="41" t="n">
        <f aca="false">(B560+C560)/2</f>
        <v>0.0122446119785309</v>
      </c>
      <c r="E560" s="15" t="n">
        <f aca="false">$C$2*(1+IF(E$3&lt;=$O$2,$D560,$D560-($D560-$I$535)*MIN(E$3-$O$2,$Q$2)/$Q$2))</f>
        <v>7571.58969759941</v>
      </c>
      <c r="F560" s="15" t="n">
        <f aca="false">E560*(1+IF(F$3&lt;=$O$2,$D560,$D560-($D560-$I$535)*MIN(F$3-$O$2,$Q$2)/$Q$2))</f>
        <v>7664.30087550716</v>
      </c>
      <c r="G560" s="15" t="n">
        <f aca="false">F560*(1+IF(G$3&lt;=$O$2,$D560,$D560-($D560-$I$535)*MIN(G$3-$O$2,$Q$2)/$Q$2))</f>
        <v>7758.14726581446</v>
      </c>
      <c r="H560" s="15" t="n">
        <f aca="false">G560*(1+IF(H$3&lt;=$O$2,$D560,$D560-($D560-$I$535)*MIN(H$3-$O$2,$Q$2)/$Q$2))</f>
        <v>7853.14276875666</v>
      </c>
      <c r="I560" s="15" t="n">
        <f aca="false">H560*(1+IF(I$3&lt;=$O$2,$D560,$D560-($D560-$I$535)*MIN(I$3-$O$2,$Q$2)/$Q$2))</f>
        <v>7949.30145477209</v>
      </c>
      <c r="J560" s="15" t="n">
        <f aca="false">I560*(1+IF(J$3&lt;=$O$2,$D560,$D560-($D560-$I$535)*MIN(J$3-$O$2,$Q$2)/$Q$2))</f>
        <v>8080.11269191211</v>
      </c>
      <c r="K560" s="15" t="n">
        <f aca="false">J560*(1+IF(K$3&lt;=$O$2,$D560,$D560-($D560-$I$535)*MIN(K$3-$O$2,$Q$2)/$Q$2))</f>
        <v>8247.10249976154</v>
      </c>
      <c r="L560" s="15" t="n">
        <f aca="false">K560*(1+IF(L$3&lt;=$O$2,$D560,$D560-($D560-$I$535)*MIN(L$3-$O$2,$Q$2)/$Q$2))</f>
        <v>8452.27263572948</v>
      </c>
      <c r="M560" s="15" t="n">
        <f aca="false">L560*(1+IF(M$3&lt;=$O$2,$D560,$D560-($D560-$I$535)*MIN(M$3-$O$2,$Q$2)/$Q$2))</f>
        <v>8698.14013849757</v>
      </c>
      <c r="N560" s="15" t="n">
        <f aca="false">M560*(1+IF(N$3&lt;=$O$2,$D560,$D560-($D560-$I$535)*MIN(N$3-$O$2,$Q$2)/$Q$2))</f>
        <v>8987.78820510954</v>
      </c>
      <c r="O560" s="15" t="n">
        <f aca="false">SUMPRODUCT(E560:N560,1/(1+$F$535)^$E$3:$N$3)*$E$2</f>
        <v>8967.97681042302</v>
      </c>
      <c r="P560" s="15" t="n">
        <f aca="false">N560*$E$2*(1+$I$535)/($F$535-$I$535)/(1+$F$535)^$N$3</f>
        <v>13168.2239904306</v>
      </c>
      <c r="Q560" s="15" t="n">
        <f aca="false">O560+P560</f>
        <v>22136.2008008537</v>
      </c>
      <c r="R560" s="15" t="n">
        <f aca="false">Q560-$G$2+$I$2</f>
        <v>19020.0008008537</v>
      </c>
      <c r="S560" s="42" t="n">
        <f aca="false">R560/$K$2</f>
        <v>168.46767759835</v>
      </c>
      <c r="T560" s="43" t="n">
        <f aca="false">S560-$M$2</f>
        <v>7.09347790461834E-006</v>
      </c>
    </row>
    <row r="562" customFormat="false" ht="15" hidden="false" customHeight="false" outlineLevel="0" collapsed="false">
      <c r="A562" s="38" t="s">
        <v>204</v>
      </c>
      <c r="E562" s="5" t="s">
        <v>11</v>
      </c>
      <c r="F562" s="12" t="n">
        <f aca="false">Sensitivity!$B$13</f>
        <v>0.0861268672746673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165</v>
      </c>
      <c r="B563" s="28" t="s">
        <v>166</v>
      </c>
      <c r="C563" s="28" t="s">
        <v>167</v>
      </c>
      <c r="D563" s="28" t="s">
        <v>168</v>
      </c>
      <c r="E563" s="28" t="s">
        <v>169</v>
      </c>
      <c r="F563" s="28" t="s">
        <v>170</v>
      </c>
      <c r="G563" s="28" t="s">
        <v>171</v>
      </c>
      <c r="H563" s="28" t="s">
        <v>172</v>
      </c>
      <c r="I563" s="28" t="s">
        <v>173</v>
      </c>
      <c r="J563" s="28" t="s">
        <v>174</v>
      </c>
      <c r="K563" s="28" t="s">
        <v>175</v>
      </c>
      <c r="L563" s="28" t="s">
        <v>176</v>
      </c>
      <c r="M563" s="28" t="s">
        <v>177</v>
      </c>
      <c r="N563" s="28" t="s">
        <v>178</v>
      </c>
      <c r="O563" s="28" t="s">
        <v>179</v>
      </c>
      <c r="P563" s="28" t="s">
        <v>180</v>
      </c>
      <c r="Q563" s="28" t="s">
        <v>181</v>
      </c>
      <c r="R563" s="28" t="s">
        <v>182</v>
      </c>
      <c r="S563" s="28" t="s">
        <v>183</v>
      </c>
      <c r="T563" s="28" t="s">
        <v>184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9350</v>
      </c>
      <c r="F564" s="15" t="n">
        <f aca="false">E564*(1+IF(F$3&lt;=$O$2,$D564,$D564-($D564-$I$562)*MIN(F$3-$O$2,$Q$2)/$Q$2))</f>
        <v>11687.5</v>
      </c>
      <c r="G564" s="15" t="n">
        <f aca="false">F564*(1+IF(G$3&lt;=$O$2,$D564,$D564-($D564-$I$562)*MIN(G$3-$O$2,$Q$2)/$Q$2))</f>
        <v>14609.375</v>
      </c>
      <c r="H564" s="15" t="n">
        <f aca="false">G564*(1+IF(H$3&lt;=$O$2,$D564,$D564-($D564-$I$562)*MIN(H$3-$O$2,$Q$2)/$Q$2))</f>
        <v>18261.71875</v>
      </c>
      <c r="I564" s="15" t="n">
        <f aca="false">H564*(1+IF(I$3&lt;=$O$2,$D564,$D564-($D564-$I$562)*MIN(I$3-$O$2,$Q$2)/$Q$2))</f>
        <v>22827.1484375</v>
      </c>
      <c r="J564" s="15" t="n">
        <f aca="false">I564*(1+IF(J$3&lt;=$O$2,$D564,$D564-($D564-$I$562)*MIN(J$3-$O$2,$Q$2)/$Q$2))</f>
        <v>27567.4340820313</v>
      </c>
      <c r="K564" s="15" t="n">
        <f aca="false">J564*(1+IF(K$3&lt;=$O$2,$D564,$D564-($D564-$I$562)*MIN(K$3-$O$2,$Q$2)/$Q$2))</f>
        <v>32124.8822844727</v>
      </c>
      <c r="L564" s="15" t="n">
        <f aca="false">K564*(1+IF(L$3&lt;=$O$2,$D564,$D564-($D564-$I$562)*MIN(L$3-$O$2,$Q$2)/$Q$2))</f>
        <v>36075.6003078171</v>
      </c>
      <c r="M564" s="15" t="n">
        <f aca="false">L564*(1+IF(M$3&lt;=$O$2,$D564,$D564-($D564-$I$562)*MIN(M$3-$O$2,$Q$2)/$Q$2))</f>
        <v>38984.7367166395</v>
      </c>
      <c r="N564" s="15" t="n">
        <f aca="false">M564*(1+IF(N$3&lt;=$O$2,$D564,$D564-($D564-$I$562)*MIN(N$3-$O$2,$Q$2)/$Q$2))</f>
        <v>40477.8521328868</v>
      </c>
      <c r="O564" s="15" t="n">
        <f aca="false">SUMPRODUCT(E564:N564,1/(1+$F$562)^$E$3:$N$3)*$E$2</f>
        <v>25297.5481554885</v>
      </c>
      <c r="P564" s="15" t="n">
        <f aca="false">N564*$E$2*(1+$I$562)/($F$562-$I$562)/(1+$F$562)^$N$3</f>
        <v>65822.0162981556</v>
      </c>
      <c r="Q564" s="15" t="n">
        <f aca="false">O564+P564</f>
        <v>91119.5644536441</v>
      </c>
      <c r="R564" s="15" t="n">
        <f aca="false">Q564-$G$2+$I$2</f>
        <v>88003.3644536441</v>
      </c>
      <c r="S564" s="42" t="n">
        <f aca="false">R564/$K$2</f>
        <v>779.480641750612</v>
      </c>
      <c r="T564" s="43" t="n">
        <f aca="false">S564-$M$2</f>
        <v>611.01297124574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6545</v>
      </c>
      <c r="F565" s="15" t="n">
        <f aca="false">E565*(1+IF(F$3&lt;=$O$2,$D565,$D565-($D565-$I$562)*MIN(F$3-$O$2,$Q$2)/$Q$2))</f>
        <v>5726.875</v>
      </c>
      <c r="G565" s="15" t="n">
        <f aca="false">F565*(1+IF(G$3&lt;=$O$2,$D565,$D565-($D565-$I$562)*MIN(G$3-$O$2,$Q$2)/$Q$2))</f>
        <v>5011.015625</v>
      </c>
      <c r="H565" s="15" t="n">
        <f aca="false">G565*(1+IF(H$3&lt;=$O$2,$D565,$D565-($D565-$I$562)*MIN(H$3-$O$2,$Q$2)/$Q$2))</f>
        <v>4384.638671875</v>
      </c>
      <c r="I565" s="15" t="n">
        <f aca="false">H565*(1+IF(I$3&lt;=$O$2,$D565,$D565-($D565-$I$562)*MIN(I$3-$O$2,$Q$2)/$Q$2))</f>
        <v>3836.55883789063</v>
      </c>
      <c r="J565" s="15" t="n">
        <f aca="false">I565*(1+IF(J$3&lt;=$O$2,$D565,$D565-($D565-$I$562)*MIN(J$3-$O$2,$Q$2)/$Q$2))</f>
        <v>3482.2909947998</v>
      </c>
      <c r="K565" s="15" t="n">
        <f aca="false">J565*(1+IF(K$3&lt;=$O$2,$D565,$D565-($D565-$I$562)*MIN(K$3-$O$2,$Q$2)/$Q$2))</f>
        <v>3274.46786823015</v>
      </c>
      <c r="L565" s="15" t="n">
        <f aca="false">K565*(1+IF(L$3&lt;=$O$2,$D565,$D565-($D565-$I$562)*MIN(L$3-$O$2,$Q$2)/$Q$2))</f>
        <v>3185.99174643057</v>
      </c>
      <c r="M565" s="15" t="n">
        <f aca="false">L565*(1+IF(M$3&lt;=$O$2,$D565,$D565-($D565-$I$562)*MIN(M$3-$O$2,$Q$2)/$Q$2))</f>
        <v>3203.96073988044</v>
      </c>
      <c r="N565" s="15" t="n">
        <f aca="false">M565*(1+IF(N$3&lt;=$O$2,$D565,$D565-($D565-$I$562)*MIN(N$3-$O$2,$Q$2)/$Q$2))</f>
        <v>3326.67243621786</v>
      </c>
      <c r="O565" s="15" t="n">
        <f aca="false">SUMPRODUCT(E565:N565,1/(1+$F$562)^$E$3:$N$3)*$E$2</f>
        <v>4973.30394125427</v>
      </c>
      <c r="P565" s="15" t="n">
        <f aca="false">N565*$E$2*(1+$I$562)/($F$562-$I$562)/(1+$F$562)^$N$3</f>
        <v>5409.58266749173</v>
      </c>
      <c r="Q565" s="15" t="n">
        <f aca="false">O565+P565</f>
        <v>10382.886608746</v>
      </c>
      <c r="R565" s="15" t="n">
        <f aca="false">Q565-$G$2+$I$2</f>
        <v>7266.68660874599</v>
      </c>
      <c r="S565" s="42" t="n">
        <f aca="false">R565/$K$2</f>
        <v>64.3639203609034</v>
      </c>
      <c r="T565" s="43" t="n">
        <f aca="false">S565-$M$2</f>
        <v>-104.103750143968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7947.5</v>
      </c>
      <c r="F566" s="15" t="n">
        <f aca="false">E566*(1+IF(F$3&lt;=$O$2,$D566,$D566-($D566-$I$562)*MIN(F$3-$O$2,$Q$2)/$Q$2))</f>
        <v>8444.21875</v>
      </c>
      <c r="G566" s="15" t="n">
        <f aca="false">F566*(1+IF(G$3&lt;=$O$2,$D566,$D566-($D566-$I$562)*MIN(G$3-$O$2,$Q$2)/$Q$2))</f>
        <v>8971.982421875</v>
      </c>
      <c r="H566" s="15" t="n">
        <f aca="false">G566*(1+IF(H$3&lt;=$O$2,$D566,$D566-($D566-$I$562)*MIN(H$3-$O$2,$Q$2)/$Q$2))</f>
        <v>9532.73132324219</v>
      </c>
      <c r="I566" s="15" t="n">
        <f aca="false">H566*(1+IF(I$3&lt;=$O$2,$D566,$D566-($D566-$I$562)*MIN(I$3-$O$2,$Q$2)/$Q$2))</f>
        <v>10128.5270309448</v>
      </c>
      <c r="J566" s="15" t="n">
        <f aca="false">I566*(1+IF(J$3&lt;=$O$2,$D566,$D566-($D566-$I$562)*MIN(J$3-$O$2,$Q$2)/$Q$2))</f>
        <v>10712.5378995491</v>
      </c>
      <c r="K566" s="15" t="n">
        <f aca="false">J566*(1+IF(K$3&lt;=$O$2,$D566,$D566-($D566-$I$562)*MIN(K$3-$O$2,$Q$2)/$Q$2))</f>
        <v>11278.3741514033</v>
      </c>
      <c r="L566" s="15" t="n">
        <f aca="false">K566*(1+IF(L$3&lt;=$O$2,$D566,$D566-($D566-$I$562)*MIN(L$3-$O$2,$Q$2)/$Q$2))</f>
        <v>11819.5105431876</v>
      </c>
      <c r="M566" s="15" t="n">
        <f aca="false">L566*(1+IF(M$3&lt;=$O$2,$D566,$D566-($D566-$I$562)*MIN(M$3-$O$2,$Q$2)/$Q$2))</f>
        <v>12329.4042280207</v>
      </c>
      <c r="N566" s="15" t="n">
        <f aca="false">M566*(1+IF(N$3&lt;=$O$2,$D566,$D566-($D566-$I$562)*MIN(N$3-$O$2,$Q$2)/$Q$2))</f>
        <v>12801.6204099539</v>
      </c>
      <c r="O566" s="15" t="n">
        <f aca="false">SUMPRODUCT(E566:N566,1/(1+$F$562)^$E$3:$N$3)*$E$2</f>
        <v>11199.6492130402</v>
      </c>
      <c r="P566" s="15" t="n">
        <f aca="false">N566*$E$2*(1+$I$562)/($F$562-$I$562)/(1+$F$562)^$N$3</f>
        <v>20817.0251845499</v>
      </c>
      <c r="Q566" s="15" t="n">
        <f aca="false">O566+P566</f>
        <v>32016.6743975901</v>
      </c>
      <c r="R566" s="15" t="n">
        <f aca="false">Q566-$G$2+$I$2</f>
        <v>28900.4743975901</v>
      </c>
      <c r="S566" s="42" t="n">
        <f aca="false">R566/$K$2</f>
        <v>255.98294417706</v>
      </c>
      <c r="T566" s="43" t="n">
        <f aca="false">S566-$M$2</f>
        <v>87.5152736721884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7246.25</v>
      </c>
      <c r="F567" s="15" t="n">
        <f aca="false">E567*(1+IF(F$3&lt;=$O$2,$D567,$D567-($D567-$I$562)*MIN(F$3-$O$2,$Q$2)/$Q$2))</f>
        <v>7019.8046875</v>
      </c>
      <c r="G567" s="15" t="n">
        <f aca="false">F567*(1+IF(G$3&lt;=$O$2,$D567,$D567-($D567-$I$562)*MIN(G$3-$O$2,$Q$2)/$Q$2))</f>
        <v>6800.43579101563</v>
      </c>
      <c r="H567" s="15" t="n">
        <f aca="false">G567*(1+IF(H$3&lt;=$O$2,$D567,$D567-($D567-$I$562)*MIN(H$3-$O$2,$Q$2)/$Q$2))</f>
        <v>6587.92217254639</v>
      </c>
      <c r="I567" s="15" t="n">
        <f aca="false">H567*(1+IF(I$3&lt;=$O$2,$D567,$D567-($D567-$I$562)*MIN(I$3-$O$2,$Q$2)/$Q$2))</f>
        <v>6382.04960465431</v>
      </c>
      <c r="J567" s="15" t="n">
        <f aca="false">I567*(1+IF(J$3&lt;=$O$2,$D567,$D567-($D567-$I$562)*MIN(J$3-$O$2,$Q$2)/$Q$2))</f>
        <v>6271.38486450961</v>
      </c>
      <c r="K567" s="15" t="n">
        <f aca="false">J567*(1+IF(K$3&lt;=$O$2,$D567,$D567-($D567-$I$562)*MIN(K$3-$O$2,$Q$2)/$Q$2))</f>
        <v>6249.87401442434</v>
      </c>
      <c r="L567" s="15" t="n">
        <f aca="false">K567*(1+IF(L$3&lt;=$O$2,$D567,$D567-($D567-$I$562)*MIN(L$3-$O$2,$Q$2)/$Q$2))</f>
        <v>6315.37269409551</v>
      </c>
      <c r="M567" s="15" t="n">
        <f aca="false">L567*(1+IF(M$3&lt;=$O$2,$D567,$D567-($D567-$I$562)*MIN(M$3-$O$2,$Q$2)/$Q$2))</f>
        <v>6469.40463410449</v>
      </c>
      <c r="N567" s="15" t="n">
        <f aca="false">M567*(1+IF(N$3&lt;=$O$2,$D567,$D567-($D567-$I$562)*MIN(N$3-$O$2,$Q$2)/$Q$2))</f>
        <v>6717.1828315907</v>
      </c>
      <c r="O567" s="15" t="n">
        <f aca="false">SUMPRODUCT(E567:N567,1/(1+$F$562)^$E$3:$N$3)*$E$2</f>
        <v>7441.87151537809</v>
      </c>
      <c r="P567" s="15" t="n">
        <f aca="false">N567*$E$2*(1+$I$562)/($F$562-$I$562)/(1+$F$562)^$N$3</f>
        <v>10922.9737874217</v>
      </c>
      <c r="Q567" s="15" t="n">
        <f aca="false">O567+P567</f>
        <v>18364.8453027998</v>
      </c>
      <c r="R567" s="15" t="n">
        <f aca="false">Q567-$G$2+$I$2</f>
        <v>15248.6453027998</v>
      </c>
      <c r="S567" s="42" t="n">
        <f aca="false">R567/$K$2</f>
        <v>135.063288775906</v>
      </c>
      <c r="T567" s="43" t="n">
        <f aca="false">S567-$M$2</f>
        <v>-33.4043817289656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41" t="n">
        <f aca="false">(B568+C568)/2</f>
        <v>0.015625</v>
      </c>
      <c r="E568" s="15" t="n">
        <f aca="false">$C$2*(1+IF(E$3&lt;=$O$2,$D568,$D568-($D568-$I$562)*MIN(E$3-$O$2,$Q$2)/$Q$2))</f>
        <v>7596.875</v>
      </c>
      <c r="F568" s="15" t="n">
        <f aca="false">E568*(1+IF(F$3&lt;=$O$2,$D568,$D568-($D568-$I$562)*MIN(F$3-$O$2,$Q$2)/$Q$2))</f>
        <v>7715.576171875</v>
      </c>
      <c r="G568" s="15" t="n">
        <f aca="false">F568*(1+IF(G$3&lt;=$O$2,$D568,$D568-($D568-$I$562)*MIN(G$3-$O$2,$Q$2)/$Q$2))</f>
        <v>7836.13204956055</v>
      </c>
      <c r="H568" s="15" t="n">
        <f aca="false">G568*(1+IF(H$3&lt;=$O$2,$D568,$D568-($D568-$I$562)*MIN(H$3-$O$2,$Q$2)/$Q$2))</f>
        <v>7958.57161283493</v>
      </c>
      <c r="I568" s="15" t="n">
        <f aca="false">H568*(1+IF(I$3&lt;=$O$2,$D568,$D568-($D568-$I$562)*MIN(I$3-$O$2,$Q$2)/$Q$2))</f>
        <v>8082.92429428548</v>
      </c>
      <c r="J568" s="15" t="n">
        <f aca="false">I568*(1+IF(J$3&lt;=$O$2,$D568,$D568-($D568-$I$562)*MIN(J$3-$O$2,$Q$2)/$Q$2))</f>
        <v>8245.87604805827</v>
      </c>
      <c r="K568" s="15" t="n">
        <f aca="false">J568*(1+IF(K$3&lt;=$O$2,$D568,$D568-($D568-$I$562)*MIN(K$3-$O$2,$Q$2)/$Q$2))</f>
        <v>8449.50795706507</v>
      </c>
      <c r="L568" s="15" t="n">
        <f aca="false">K568*(1+IF(L$3&lt;=$O$2,$D568,$D568-($D568-$I$562)*MIN(L$3-$O$2,$Q$2)/$Q$2))</f>
        <v>8696.48707465008</v>
      </c>
      <c r="M568" s="15" t="n">
        <f aca="false">L568*(1+IF(M$3&lt;=$O$2,$D568,$D568-($D568-$I$562)*MIN(M$3-$O$2,$Q$2)/$Q$2))</f>
        <v>8990.12396072565</v>
      </c>
      <c r="N568" s="15" t="n">
        <f aca="false">M568*(1+IF(N$3&lt;=$O$2,$D568,$D568-($D568-$I$562)*MIN(N$3-$O$2,$Q$2)/$Q$2))</f>
        <v>9334.44570842144</v>
      </c>
      <c r="O568" s="15" t="n">
        <f aca="false">SUMPRODUCT(E568:N568,1/(1+$F$562)^$E$3:$N$3)*$E$2</f>
        <v>9125.90980577005</v>
      </c>
      <c r="P568" s="15" t="n">
        <f aca="false">N568*$E$2*(1+$I$562)/($F$562-$I$562)/(1+$F$562)^$N$3</f>
        <v>15178.9683784821</v>
      </c>
      <c r="Q568" s="15" t="n">
        <f aca="false">O568+P568</f>
        <v>24304.8781842522</v>
      </c>
      <c r="R568" s="15" t="n">
        <f aca="false">Q568-$G$2+$I$2</f>
        <v>21188.6781842522</v>
      </c>
      <c r="S568" s="42" t="n">
        <f aca="false">R568/$K$2</f>
        <v>187.676511818</v>
      </c>
      <c r="T568" s="43" t="n">
        <f aca="false">S568-$M$2</f>
        <v>19.2088413131283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-0.03125</v>
      </c>
      <c r="C569" s="25" t="n">
        <f aca="false">IF(T568&gt;0,D568,C568)</f>
        <v>0.015625</v>
      </c>
      <c r="D569" s="41" t="n">
        <f aca="false">(B569+C569)/2</f>
        <v>-0.0078125</v>
      </c>
      <c r="E569" s="15" t="n">
        <f aca="false">$C$2*(1+IF(E$3&lt;=$O$2,$D569,$D569-($D569-$I$562)*MIN(E$3-$O$2,$Q$2)/$Q$2))</f>
        <v>7421.5625</v>
      </c>
      <c r="F569" s="15" t="n">
        <f aca="false">E569*(1+IF(F$3&lt;=$O$2,$D569,$D569-($D569-$I$562)*MIN(F$3-$O$2,$Q$2)/$Q$2))</f>
        <v>7363.58154296875</v>
      </c>
      <c r="G569" s="15" t="n">
        <f aca="false">F569*(1+IF(G$3&lt;=$O$2,$D569,$D569-($D569-$I$562)*MIN(G$3-$O$2,$Q$2)/$Q$2))</f>
        <v>7306.05356216431</v>
      </c>
      <c r="H569" s="15" t="n">
        <f aca="false">G569*(1+IF(H$3&lt;=$O$2,$D569,$D569-($D569-$I$562)*MIN(H$3-$O$2,$Q$2)/$Q$2))</f>
        <v>7248.9750187099</v>
      </c>
      <c r="I569" s="15" t="n">
        <f aca="false">H569*(1+IF(I$3&lt;=$O$2,$D569,$D569-($D569-$I$562)*MIN(I$3-$O$2,$Q$2)/$Q$2))</f>
        <v>7192.34240137623</v>
      </c>
      <c r="J569" s="15" t="n">
        <f aca="false">I569*(1+IF(J$3&lt;=$O$2,$D569,$D569-($D569-$I$562)*MIN(J$3-$O$2,$Q$2)/$Q$2))</f>
        <v>7202.48360416217</v>
      </c>
      <c r="K569" s="15" t="n">
        <f aca="false">J569*(1+IF(K$3&lt;=$O$2,$D569,$D569-($D569-$I$562)*MIN(K$3-$O$2,$Q$2)/$Q$2))</f>
        <v>7279.06401108342</v>
      </c>
      <c r="L569" s="15" t="n">
        <f aca="false">K569*(1+IF(L$3&lt;=$O$2,$D569,$D569-($D569-$I$562)*MIN(L$3-$O$2,$Q$2)/$Q$2))</f>
        <v>7423.58982702348</v>
      </c>
      <c r="M569" s="15" t="n">
        <f aca="false">L569*(1+IF(M$3&lt;=$O$2,$D569,$D569-($D569-$I$562)*MIN(M$3-$O$2,$Q$2)/$Q$2))</f>
        <v>7639.44926021876</v>
      </c>
      <c r="N569" s="15" t="n">
        <f aca="false">M569*(1+IF(N$3&lt;=$O$2,$D569,$D569-($D569-$I$562)*MIN(N$3-$O$2,$Q$2)/$Q$2))</f>
        <v>7932.04016688514</v>
      </c>
      <c r="O569" s="15" t="n">
        <f aca="false">SUMPRODUCT(E569:N569,1/(1+$F$562)^$E$3:$N$3)*$E$2</f>
        <v>8239.85344920959</v>
      </c>
      <c r="P569" s="15" t="n">
        <f aca="false">N569*$E$2*(1+$I$562)/($F$562-$I$562)/(1+$F$562)^$N$3</f>
        <v>12898.4827413347</v>
      </c>
      <c r="Q569" s="15" t="n">
        <f aca="false">O569+P569</f>
        <v>21138.3361905443</v>
      </c>
      <c r="R569" s="15" t="n">
        <f aca="false">Q569-$G$2+$I$2</f>
        <v>18022.1361905443</v>
      </c>
      <c r="S569" s="42" t="n">
        <f aca="false">R569/$K$2</f>
        <v>159.629195664697</v>
      </c>
      <c r="T569" s="43" t="n">
        <f aca="false">S569-$M$2</f>
        <v>-8.83847484017451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-0.0078125</v>
      </c>
      <c r="C570" s="25" t="n">
        <f aca="false">IF(T569&gt;0,D569,C569)</f>
        <v>0.015625</v>
      </c>
      <c r="D570" s="41" t="n">
        <f aca="false">(B570+C570)/2</f>
        <v>0.00390625</v>
      </c>
      <c r="E570" s="15" t="n">
        <f aca="false">$C$2*(1+IF(E$3&lt;=$O$2,$D570,$D570-($D570-$I$562)*MIN(E$3-$O$2,$Q$2)/$Q$2))</f>
        <v>7509.21875</v>
      </c>
      <c r="F570" s="15" t="n">
        <f aca="false">E570*(1+IF(F$3&lt;=$O$2,$D570,$D570-($D570-$I$562)*MIN(F$3-$O$2,$Q$2)/$Q$2))</f>
        <v>7538.55163574219</v>
      </c>
      <c r="G570" s="15" t="n">
        <f aca="false">F570*(1+IF(G$3&lt;=$O$2,$D570,$D570-($D570-$I$562)*MIN(G$3-$O$2,$Q$2)/$Q$2))</f>
        <v>7567.99910306931</v>
      </c>
      <c r="H570" s="15" t="n">
        <f aca="false">G570*(1+IF(H$3&lt;=$O$2,$D570,$D570-($D570-$I$562)*MIN(H$3-$O$2,$Q$2)/$Q$2))</f>
        <v>7597.56159956567</v>
      </c>
      <c r="I570" s="15" t="n">
        <f aca="false">H570*(1+IF(I$3&lt;=$O$2,$D570,$D570-($D570-$I$562)*MIN(I$3-$O$2,$Q$2)/$Q$2))</f>
        <v>7627.23957456397</v>
      </c>
      <c r="J570" s="15" t="n">
        <f aca="false">I570*(1+IF(J$3&lt;=$O$2,$D570,$D570-($D570-$I$562)*MIN(J$3-$O$2,$Q$2)/$Q$2))</f>
        <v>7709.49935337565</v>
      </c>
      <c r="K570" s="15" t="n">
        <f aca="false">J570*(1+IF(K$3&lt;=$O$2,$D570,$D570-($D570-$I$562)*MIN(K$3-$O$2,$Q$2)/$Q$2))</f>
        <v>7845.67802257884</v>
      </c>
      <c r="L570" s="15" t="n">
        <f aca="false">K570*(1+IF(L$3&lt;=$O$2,$D570,$D570-($D570-$I$562)*MIN(L$3-$O$2,$Q$2)/$Q$2))</f>
        <v>8038.23057544798</v>
      </c>
      <c r="M570" s="15" t="n">
        <f aca="false">L570*(1+IF(M$3&lt;=$O$2,$D570,$D570-($D570-$I$562)*MIN(M$3-$O$2,$Q$2)/$Q$2))</f>
        <v>8290.80182791677</v>
      </c>
      <c r="N570" s="15" t="n">
        <f aca="false">M570*(1+IF(N$3&lt;=$O$2,$D570,$D570-($D570-$I$562)*MIN(N$3-$O$2,$Q$2)/$Q$2))</f>
        <v>8608.33953792598</v>
      </c>
      <c r="O570" s="15" t="n">
        <f aca="false">SUMPRODUCT(E570:N570,1/(1+$F$562)^$E$3:$N$3)*$E$2</f>
        <v>8671.3191504043</v>
      </c>
      <c r="P570" s="15" t="n">
        <f aca="false">N570*$E$2*(1+$I$562)/($F$562-$I$562)/(1+$F$562)^$N$3</f>
        <v>13998.2295381</v>
      </c>
      <c r="Q570" s="15" t="n">
        <f aca="false">O570+P570</f>
        <v>22669.5486885044</v>
      </c>
      <c r="R570" s="15" t="n">
        <f aca="false">Q570-$G$2+$I$2</f>
        <v>19553.3486885044</v>
      </c>
      <c r="S570" s="42" t="n">
        <f aca="false">R570/$K$2</f>
        <v>173.191751005353</v>
      </c>
      <c r="T570" s="43" t="n">
        <f aca="false">S570-$M$2</f>
        <v>4.72408050048136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-0.0078125</v>
      </c>
      <c r="C571" s="25" t="n">
        <f aca="false">IF(T570&gt;0,D570,C570)</f>
        <v>0.00390625</v>
      </c>
      <c r="D571" s="41" t="n">
        <f aca="false">(B571+C571)/2</f>
        <v>-0.001953125</v>
      </c>
      <c r="E571" s="15" t="n">
        <f aca="false">$C$2*(1+IF(E$3&lt;=$O$2,$D571,$D571-($D571-$I$562)*MIN(E$3-$O$2,$Q$2)/$Q$2))</f>
        <v>7465.390625</v>
      </c>
      <c r="F571" s="15" t="n">
        <f aca="false">E571*(1+IF(F$3&lt;=$O$2,$D571,$D571-($D571-$I$562)*MIN(F$3-$O$2,$Q$2)/$Q$2))</f>
        <v>7450.80978393555</v>
      </c>
      <c r="G571" s="15" t="n">
        <f aca="false">F571*(1+IF(G$3&lt;=$O$2,$D571,$D571-($D571-$I$562)*MIN(G$3-$O$2,$Q$2)/$Q$2))</f>
        <v>7436.2574210763</v>
      </c>
      <c r="H571" s="15" t="n">
        <f aca="false">G571*(1+IF(H$3&lt;=$O$2,$D571,$D571-($D571-$I$562)*MIN(H$3-$O$2,$Q$2)/$Q$2))</f>
        <v>7421.73348080076</v>
      </c>
      <c r="I571" s="15" t="n">
        <f aca="false">H571*(1+IF(I$3&lt;=$O$2,$D571,$D571-($D571-$I$562)*MIN(I$3-$O$2,$Q$2)/$Q$2))</f>
        <v>7407.23790759607</v>
      </c>
      <c r="J571" s="15" t="n">
        <f aca="false">I571*(1+IF(J$3&lt;=$O$2,$D571,$D571-($D571-$I$562)*MIN(J$3-$O$2,$Q$2)/$Q$2))</f>
        <v>7452.40354073764</v>
      </c>
      <c r="K571" s="15" t="n">
        <f aca="false">J571*(1+IF(K$3&lt;=$O$2,$D571,$D571-($D571-$I$562)*MIN(K$3-$O$2,$Q$2)/$Q$2))</f>
        <v>7557.84107758244</v>
      </c>
      <c r="L571" s="15" t="n">
        <f aca="false">K571*(1+IF(L$3&lt;=$O$2,$D571,$D571-($D571-$I$562)*MIN(L$3-$O$2,$Q$2)/$Q$2))</f>
        <v>7725.61570220342</v>
      </c>
      <c r="M571" s="15" t="n">
        <f aca="false">L571*(1+IF(M$3&lt;=$O$2,$D571,$D571-($D571-$I$562)*MIN(M$3-$O$2,$Q$2)/$Q$2))</f>
        <v>7959.31074868526</v>
      </c>
      <c r="N571" s="15" t="n">
        <f aca="false">M571*(1+IF(N$3&lt;=$O$2,$D571,$D571-($D571-$I$562)*MIN(N$3-$O$2,$Q$2)/$Q$2))</f>
        <v>8264.1523503599</v>
      </c>
      <c r="O571" s="15" t="n">
        <f aca="false">SUMPRODUCT(E571:N571,1/(1+$F$562)^$E$3:$N$3)*$E$2</f>
        <v>8452.76670478051</v>
      </c>
      <c r="P571" s="15" t="n">
        <f aca="false">N571*$E$2*(1+$I$562)/($F$562-$I$562)/(1+$F$562)^$N$3</f>
        <v>13438.5384113274</v>
      </c>
      <c r="Q571" s="15" t="n">
        <f aca="false">O571+P571</f>
        <v>21891.3051161079</v>
      </c>
      <c r="R571" s="15" t="n">
        <f aca="false">Q571-$G$2+$I$2</f>
        <v>18775.1051161079</v>
      </c>
      <c r="S571" s="42" t="n">
        <f aca="false">R571/$K$2</f>
        <v>166.298539558086</v>
      </c>
      <c r="T571" s="43" t="n">
        <f aca="false">S571-$M$2</f>
        <v>-2.16913094678537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-0.001953125</v>
      </c>
      <c r="C572" s="25" t="n">
        <f aca="false">IF(T571&gt;0,D571,C571)</f>
        <v>0.00390625</v>
      </c>
      <c r="D572" s="41" t="n">
        <f aca="false">(B572+C572)/2</f>
        <v>0.0009765625</v>
      </c>
      <c r="E572" s="15" t="n">
        <f aca="false">$C$2*(1+IF(E$3&lt;=$O$2,$D572,$D572-($D572-$I$562)*MIN(E$3-$O$2,$Q$2)/$Q$2))</f>
        <v>7487.3046875</v>
      </c>
      <c r="F572" s="15" t="n">
        <f aca="false">E572*(1+IF(F$3&lt;=$O$2,$D572,$D572-($D572-$I$562)*MIN(F$3-$O$2,$Q$2)/$Q$2))</f>
        <v>7494.61650848389</v>
      </c>
      <c r="G572" s="15" t="n">
        <f aca="false">F572*(1+IF(G$3&lt;=$O$2,$D572,$D572-($D572-$I$562)*MIN(G$3-$O$2,$Q$2)/$Q$2))</f>
        <v>7501.93546991795</v>
      </c>
      <c r="H572" s="15" t="n">
        <f aca="false">G572*(1+IF(H$3&lt;=$O$2,$D572,$D572-($D572-$I$562)*MIN(H$3-$O$2,$Q$2)/$Q$2))</f>
        <v>7509.2615787753</v>
      </c>
      <c r="I572" s="15" t="n">
        <f aca="false">H572*(1+IF(I$3&lt;=$O$2,$D572,$D572-($D572-$I$562)*MIN(I$3-$O$2,$Q$2)/$Q$2))</f>
        <v>7516.59484203582</v>
      </c>
      <c r="J572" s="15" t="n">
        <f aca="false">I572*(1+IF(J$3&lt;=$O$2,$D572,$D572-($D572-$I$562)*MIN(J$3-$O$2,$Q$2)/$Q$2))</f>
        <v>7580.04429824615</v>
      </c>
      <c r="K572" s="15" t="n">
        <f aca="false">J572*(1+IF(K$3&lt;=$O$2,$D572,$D572-($D572-$I$562)*MIN(K$3-$O$2,$Q$2)/$Q$2))</f>
        <v>7700.61200910129</v>
      </c>
      <c r="L572" s="15" t="n">
        <f aca="false">K572*(1+IF(L$3&lt;=$O$2,$D572,$D572-($D572-$I$562)*MIN(L$3-$O$2,$Q$2)/$Q$2))</f>
        <v>7880.58012463649</v>
      </c>
      <c r="M572" s="15" t="n">
        <f aca="false">L572*(1+IF(M$3&lt;=$O$2,$D572,$D572-($D572-$I$562)*MIN(M$3-$O$2,$Q$2)/$Q$2))</f>
        <v>8123.58027546095</v>
      </c>
      <c r="N572" s="15" t="n">
        <f aca="false">M572*(1+IF(N$3&lt;=$O$2,$D572,$D572-($D572-$I$562)*MIN(N$3-$O$2,$Q$2)/$Q$2))</f>
        <v>8434.7134000111</v>
      </c>
      <c r="O572" s="15" t="n">
        <f aca="false">SUMPRODUCT(E572:N572,1/(1+$F$562)^$E$3:$N$3)*$E$2</f>
        <v>8561.3292704621</v>
      </c>
      <c r="P572" s="15" t="n">
        <f aca="false">N572*$E$2*(1+$I$562)/($F$562-$I$562)/(1+$F$562)^$N$3</f>
        <v>13715.8918675611</v>
      </c>
      <c r="Q572" s="15" t="n">
        <f aca="false">O572+P572</f>
        <v>22277.2211380232</v>
      </c>
      <c r="R572" s="15" t="n">
        <f aca="false">Q572-$G$2+$I$2</f>
        <v>19161.0211380232</v>
      </c>
      <c r="S572" s="42" t="n">
        <f aca="false">R572/$K$2</f>
        <v>169.716750558221</v>
      </c>
      <c r="T572" s="43" t="n">
        <f aca="false">S572-$M$2</f>
        <v>1.24908005334973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-0.001953125</v>
      </c>
      <c r="C573" s="25" t="n">
        <f aca="false">IF(T572&gt;0,D572,C572)</f>
        <v>0.0009765625</v>
      </c>
      <c r="D573" s="41" t="n">
        <f aca="false">(B573+C573)/2</f>
        <v>-0.00048828125</v>
      </c>
      <c r="E573" s="15" t="n">
        <f aca="false">$C$2*(1+IF(E$3&lt;=$O$2,$D573,$D573-($D573-$I$562)*MIN(E$3-$O$2,$Q$2)/$Q$2))</f>
        <v>7476.34765625</v>
      </c>
      <c r="F573" s="15" t="n">
        <f aca="false">E573*(1+IF(F$3&lt;=$O$2,$D573,$D573-($D573-$I$562)*MIN(F$3-$O$2,$Q$2)/$Q$2))</f>
        <v>7472.69709587097</v>
      </c>
      <c r="G573" s="15" t="n">
        <f aca="false">F573*(1+IF(G$3&lt;=$O$2,$D573,$D573-($D573-$I$562)*MIN(G$3-$O$2,$Q$2)/$Q$2))</f>
        <v>7469.04831799213</v>
      </c>
      <c r="H573" s="15" t="n">
        <f aca="false">G573*(1+IF(H$3&lt;=$O$2,$D573,$D573-($D573-$I$562)*MIN(H$3-$O$2,$Q$2)/$Q$2))</f>
        <v>7465.40132174311</v>
      </c>
      <c r="I573" s="15" t="n">
        <f aca="false">H573*(1+IF(I$3&lt;=$O$2,$D573,$D573-($D573-$I$562)*MIN(I$3-$O$2,$Q$2)/$Q$2))</f>
        <v>7461.75610625398</v>
      </c>
      <c r="J573" s="15" t="n">
        <f aca="false">I573*(1+IF(J$3&lt;=$O$2,$D573,$D573-($D573-$I$562)*MIN(J$3-$O$2,$Q$2)/$Q$2))</f>
        <v>7515.99840954888</v>
      </c>
      <c r="K573" s="15" t="n">
        <f aca="false">J573*(1+IF(K$3&lt;=$O$2,$D573,$D573-($D573-$I$562)*MIN(K$3-$O$2,$Q$2)/$Q$2))</f>
        <v>7628.94155252412</v>
      </c>
      <c r="L573" s="15" t="n">
        <f aca="false">K573*(1+IF(L$3&lt;=$O$2,$D573,$D573-($D573-$I$562)*MIN(L$3-$O$2,$Q$2)/$Q$2))</f>
        <v>7802.76460175414</v>
      </c>
      <c r="M573" s="15" t="n">
        <f aca="false">L573*(1+IF(M$3&lt;=$O$2,$D573,$D573-($D573-$I$562)*MIN(M$3-$O$2,$Q$2)/$Q$2))</f>
        <v>8041.07932042125</v>
      </c>
      <c r="N573" s="15" t="n">
        <f aca="false">M573*(1+IF(N$3&lt;=$O$2,$D573,$D573-($D573-$I$562)*MIN(N$3-$O$2,$Q$2)/$Q$2))</f>
        <v>8349.05265839339</v>
      </c>
      <c r="O573" s="15" t="n">
        <f aca="false">SUMPRODUCT(E573:N573,1/(1+$F$562)^$E$3:$N$3)*$E$2</f>
        <v>8506.87067554076</v>
      </c>
      <c r="P573" s="15" t="n">
        <f aca="false">N573*$E$2*(1+$I$562)/($F$562-$I$562)/(1+$F$562)^$N$3</f>
        <v>13576.5968597044</v>
      </c>
      <c r="Q573" s="15" t="n">
        <f aca="false">O573+P573</f>
        <v>22083.4675352451</v>
      </c>
      <c r="R573" s="15" t="n">
        <f aca="false">Q573-$G$2+$I$2</f>
        <v>18967.2675352451</v>
      </c>
      <c r="S573" s="42" t="n">
        <f aca="false">R573/$K$2</f>
        <v>168.000598186405</v>
      </c>
      <c r="T573" s="43" t="n">
        <f aca="false">S573-$M$2</f>
        <v>-0.467072318466421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-0.00048828125</v>
      </c>
      <c r="C574" s="25" t="n">
        <f aca="false">IF(T573&gt;0,D573,C573)</f>
        <v>0.0009765625</v>
      </c>
      <c r="D574" s="41" t="n">
        <f aca="false">(B574+C574)/2</f>
        <v>0.000244140625</v>
      </c>
      <c r="E574" s="15" t="n">
        <f aca="false">$C$2*(1+IF(E$3&lt;=$O$2,$D574,$D574-($D574-$I$562)*MIN(E$3-$O$2,$Q$2)/$Q$2))</f>
        <v>7481.826171875</v>
      </c>
      <c r="F574" s="15" t="n">
        <f aca="false">E574*(1+IF(F$3&lt;=$O$2,$D574,$D574-($D574-$I$562)*MIN(F$3-$O$2,$Q$2)/$Q$2))</f>
        <v>7483.65278959274</v>
      </c>
      <c r="G574" s="15" t="n">
        <f aca="false">F574*(1+IF(G$3&lt;=$O$2,$D574,$D574-($D574-$I$562)*MIN(G$3-$O$2,$Q$2)/$Q$2))</f>
        <v>7485.47985326208</v>
      </c>
      <c r="H574" s="15" t="n">
        <f aca="false">G574*(1+IF(H$3&lt;=$O$2,$D574,$D574-($D574-$I$562)*MIN(H$3-$O$2,$Q$2)/$Q$2))</f>
        <v>7487.30736299188</v>
      </c>
      <c r="I574" s="15" t="n">
        <f aca="false">H574*(1+IF(I$3&lt;=$O$2,$D574,$D574-($D574-$I$562)*MIN(I$3-$O$2,$Q$2)/$Q$2))</f>
        <v>7489.13531889105</v>
      </c>
      <c r="J574" s="15" t="n">
        <f aca="false">I574*(1+IF(J$3&lt;=$O$2,$D574,$D574-($D574-$I$562)*MIN(J$3-$O$2,$Q$2)/$Q$2))</f>
        <v>7547.96481717572</v>
      </c>
      <c r="K574" s="15" t="n">
        <f aca="false">J574*(1+IF(K$3&lt;=$O$2,$D574,$D574-($D574-$I$562)*MIN(K$3-$O$2,$Q$2)/$Q$2))</f>
        <v>7664.70529708362</v>
      </c>
      <c r="L574" s="15" t="n">
        <f aca="false">K574*(1+IF(L$3&lt;=$O$2,$D574,$D574-($D574-$I$562)*MIN(L$3-$O$2,$Q$2)/$Q$2))</f>
        <v>7841.58873118727</v>
      </c>
      <c r="M574" s="15" t="n">
        <f aca="false">L574*(1+IF(M$3&lt;=$O$2,$D574,$D574-($D574-$I$562)*MIN(M$3-$O$2,$Q$2)/$Q$2))</f>
        <v>8082.23789998561</v>
      </c>
      <c r="N574" s="15" t="n">
        <f aca="false">M574*(1+IF(N$3&lt;=$O$2,$D574,$D574-($D574-$I$562)*MIN(N$3-$O$2,$Q$2)/$Q$2))</f>
        <v>8391.78761155506</v>
      </c>
      <c r="O574" s="15" t="n">
        <f aca="false">SUMPRODUCT(E574:N574,1/(1+$F$562)^$E$3:$N$3)*$E$2</f>
        <v>8534.05550767115</v>
      </c>
      <c r="P574" s="15" t="n">
        <f aca="false">N574*$E$2*(1+$I$562)/($F$562-$I$562)/(1+$F$562)^$N$3</f>
        <v>13646.0892026843</v>
      </c>
      <c r="Q574" s="15" t="n">
        <f aca="false">O574+P574</f>
        <v>22180.1447103554</v>
      </c>
      <c r="R574" s="15" t="n">
        <f aca="false">Q574-$G$2+$I$2</f>
        <v>19063.9447103554</v>
      </c>
      <c r="S574" s="42" t="n">
        <f aca="false">R574/$K$2</f>
        <v>168.856906203325</v>
      </c>
      <c r="T574" s="43" t="n">
        <f aca="false">S574-$M$2</f>
        <v>0.389235698453831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-0.00048828125</v>
      </c>
      <c r="C575" s="25" t="n">
        <f aca="false">IF(T574&gt;0,D574,C574)</f>
        <v>0.000244140625</v>
      </c>
      <c r="D575" s="41" t="n">
        <f aca="false">(B575+C575)/2</f>
        <v>-0.0001220703125</v>
      </c>
      <c r="E575" s="15" t="n">
        <f aca="false">$C$2*(1+IF(E$3&lt;=$O$2,$D575,$D575-($D575-$I$562)*MIN(E$3-$O$2,$Q$2)/$Q$2))</f>
        <v>7479.0869140625</v>
      </c>
      <c r="F575" s="15" t="n">
        <f aca="false">E575*(1+IF(F$3&lt;=$O$2,$D575,$D575-($D575-$I$562)*MIN(F$3-$O$2,$Q$2)/$Q$2))</f>
        <v>7478.17393958569</v>
      </c>
      <c r="G575" s="15" t="n">
        <f aca="false">F575*(1+IF(G$3&lt;=$O$2,$D575,$D575-($D575-$I$562)*MIN(G$3-$O$2,$Q$2)/$Q$2))</f>
        <v>7477.26107655595</v>
      </c>
      <c r="H575" s="15" t="n">
        <f aca="false">G575*(1+IF(H$3&lt;=$O$2,$D575,$D575-($D575-$I$562)*MIN(H$3-$O$2,$Q$2)/$Q$2))</f>
        <v>7476.34832495969</v>
      </c>
      <c r="I575" s="15" t="n">
        <f aca="false">H575*(1+IF(I$3&lt;=$O$2,$D575,$D575-($D575-$I$562)*MIN(I$3-$O$2,$Q$2)/$Q$2))</f>
        <v>7475.43568478331</v>
      </c>
      <c r="J575" s="15" t="n">
        <f aca="false">I575*(1+IF(J$3&lt;=$O$2,$D575,$D575-($D575-$I$562)*MIN(J$3-$O$2,$Q$2)/$Q$2))</f>
        <v>7531.96749911265</v>
      </c>
      <c r="K575" s="15" t="n">
        <f aca="false">J575*(1+IF(K$3&lt;=$O$2,$D575,$D575-($D575-$I$562)*MIN(K$3-$O$2,$Q$2)/$Q$2))</f>
        <v>7646.80558342325</v>
      </c>
      <c r="L575" s="15" t="n">
        <f aca="false">K575*(1+IF(L$3&lt;=$O$2,$D575,$D575-($D575-$I$562)*MIN(L$3-$O$2,$Q$2)/$Q$2))</f>
        <v>7822.15579655143</v>
      </c>
      <c r="M575" s="15" t="n">
        <f aca="false">L575*(1+IF(M$3&lt;=$O$2,$D575,$D575-($D575-$I$562)*MIN(M$3-$O$2,$Q$2)/$Q$2))</f>
        <v>8061.63567955727</v>
      </c>
      <c r="N575" s="15" t="n">
        <f aca="false">M575*(1+IF(N$3&lt;=$O$2,$D575,$D575-($D575-$I$562)*MIN(N$3-$O$2,$Q$2)/$Q$2))</f>
        <v>8370.39632608431</v>
      </c>
      <c r="O575" s="15" t="n">
        <f aca="false">SUMPRODUCT(E575:N575,1/(1+$F$562)^$E$3:$N$3)*$E$2</f>
        <v>8520.45199246615</v>
      </c>
      <c r="P575" s="15" t="n">
        <f aca="false">N575*$E$2*(1+$I$562)/($F$562-$I$562)/(1+$F$562)^$N$3</f>
        <v>13611.3043149815</v>
      </c>
      <c r="Q575" s="15" t="n">
        <f aca="false">O575+P575</f>
        <v>22131.7563074476</v>
      </c>
      <c r="R575" s="15" t="n">
        <f aca="false">Q575-$G$2+$I$2</f>
        <v>19015.5563074476</v>
      </c>
      <c r="S575" s="42" t="n">
        <f aca="false">R575/$K$2</f>
        <v>168.428310960563</v>
      </c>
      <c r="T575" s="43" t="n">
        <f aca="false">S575-$M$2</f>
        <v>-0.0393595443081551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-0.0001220703125</v>
      </c>
      <c r="C576" s="25" t="n">
        <f aca="false">IF(T575&gt;0,D575,C575)</f>
        <v>0.000244140625</v>
      </c>
      <c r="D576" s="41" t="n">
        <f aca="false">(B576+C576)/2</f>
        <v>6.103515625E-005</v>
      </c>
      <c r="E576" s="15" t="n">
        <f aca="false">$C$2*(1+IF(E$3&lt;=$O$2,$D576,$D576-($D576-$I$562)*MIN(E$3-$O$2,$Q$2)/$Q$2))</f>
        <v>7480.45654296875</v>
      </c>
      <c r="F576" s="15" t="n">
        <f aca="false">E576*(1+IF(F$3&lt;=$O$2,$D576,$D576-($D576-$I$562)*MIN(F$3-$O$2,$Q$2)/$Q$2))</f>
        <v>7480.91311380267</v>
      </c>
      <c r="G576" s="15" t="n">
        <f aca="false">F576*(1+IF(G$3&lt;=$O$2,$D576,$D576-($D576-$I$562)*MIN(G$3-$O$2,$Q$2)/$Q$2))</f>
        <v>7481.36971250347</v>
      </c>
      <c r="H576" s="15" t="n">
        <f aca="false">G576*(1+IF(H$3&lt;=$O$2,$D576,$D576-($D576-$I$562)*MIN(H$3-$O$2,$Q$2)/$Q$2))</f>
        <v>7481.82633907283</v>
      </c>
      <c r="I576" s="15" t="n">
        <f aca="false">H576*(1+IF(I$3&lt;=$O$2,$D576,$D576-($D576-$I$562)*MIN(I$3-$O$2,$Q$2)/$Q$2))</f>
        <v>7482.28299351247</v>
      </c>
      <c r="J576" s="15" t="n">
        <f aca="false">I576*(1+IF(J$3&lt;=$O$2,$D576,$D576-($D576-$I$562)*MIN(J$3-$O$2,$Q$2)/$Q$2))</f>
        <v>7539.96262709207</v>
      </c>
      <c r="K576" s="15" t="n">
        <f aca="false">J576*(1+IF(K$3&lt;=$O$2,$D576,$D576-($D576-$I$562)*MIN(K$3-$O$2,$Q$2)/$Q$2))</f>
        <v>7655.75097621736</v>
      </c>
      <c r="L576" s="15" t="n">
        <f aca="false">K576*(1+IF(L$3&lt;=$O$2,$D576,$D576-($D576-$I$562)*MIN(L$3-$O$2,$Q$2)/$Q$2))</f>
        <v>7831.86704163365</v>
      </c>
      <c r="M576" s="15" t="n">
        <f aca="false">L576*(1+IF(M$3&lt;=$O$2,$D576,$D576-($D576-$I$562)*MIN(M$3-$O$2,$Q$2)/$Q$2))</f>
        <v>8071.93105163503</v>
      </c>
      <c r="N576" s="15" t="n">
        <f aca="false">M576*(1+IF(N$3&lt;=$O$2,$D576,$D576-($D576-$I$562)*MIN(N$3-$O$2,$Q$2)/$Q$2))</f>
        <v>8381.08601091265</v>
      </c>
      <c r="O576" s="15" t="n">
        <f aca="false">SUMPRODUCT(E576:N576,1/(1+$F$562)^$E$3:$N$3)*$E$2</f>
        <v>8527.25097313642</v>
      </c>
      <c r="P576" s="15" t="n">
        <f aca="false">N576*$E$2*(1+$I$562)/($F$562-$I$562)/(1+$F$562)^$N$3</f>
        <v>13628.6870705359</v>
      </c>
      <c r="Q576" s="15" t="n">
        <f aca="false">O576+P576</f>
        <v>22155.9380436723</v>
      </c>
      <c r="R576" s="15" t="n">
        <f aca="false">Q576-$G$2+$I$2</f>
        <v>19039.7380436723</v>
      </c>
      <c r="S576" s="42" t="n">
        <f aca="false">R576/$K$2</f>
        <v>168.642498172474</v>
      </c>
      <c r="T576" s="43" t="n">
        <f aca="false">S576-$M$2</f>
        <v>0.174827667602102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-0.0001220703125</v>
      </c>
      <c r="C577" s="25" t="n">
        <f aca="false">IF(T576&gt;0,D576,C576)</f>
        <v>6.103515625E-005</v>
      </c>
      <c r="D577" s="41" t="n">
        <f aca="false">(B577+C577)/2</f>
        <v>-3.0517578125E-005</v>
      </c>
      <c r="E577" s="15" t="n">
        <f aca="false">$C$2*(1+IF(E$3&lt;=$O$2,$D577,$D577-($D577-$I$562)*MIN(E$3-$O$2,$Q$2)/$Q$2))</f>
        <v>7479.77172851563</v>
      </c>
      <c r="F577" s="15" t="n">
        <f aca="false">E577*(1+IF(F$3&lt;=$O$2,$D577,$D577-($D577-$I$562)*MIN(F$3-$O$2,$Q$2)/$Q$2))</f>
        <v>7479.54346399754</v>
      </c>
      <c r="G577" s="15" t="n">
        <f aca="false">F577*(1+IF(G$3&lt;=$O$2,$D577,$D577-($D577-$I$562)*MIN(G$3-$O$2,$Q$2)/$Q$2))</f>
        <v>7479.31520644554</v>
      </c>
      <c r="H577" s="15" t="n">
        <f aca="false">G577*(1+IF(H$3&lt;=$O$2,$D577,$D577-($D577-$I$562)*MIN(H$3-$O$2,$Q$2)/$Q$2))</f>
        <v>7479.08695585941</v>
      </c>
      <c r="I577" s="15" t="n">
        <f aca="false">H577*(1+IF(I$3&lt;=$O$2,$D577,$D577-($D577-$I$562)*MIN(I$3-$O$2,$Q$2)/$Q$2))</f>
        <v>7478.85871223893</v>
      </c>
      <c r="J577" s="15" t="n">
        <f aca="false">I577*(1+IF(J$3&lt;=$O$2,$D577,$D577-($D577-$I$562)*MIN(J$3-$O$2,$Q$2)/$Q$2))</f>
        <v>7535.96418065065</v>
      </c>
      <c r="K577" s="15" t="n">
        <f aca="false">J577*(1+IF(K$3&lt;=$O$2,$D577,$D577-($D577-$I$562)*MIN(K$3-$O$2,$Q$2)/$Q$2))</f>
        <v>7651.27716427284</v>
      </c>
      <c r="L577" s="15" t="n">
        <f aca="false">K577*(1+IF(L$3&lt;=$O$2,$D577,$D577-($D577-$I$562)*MIN(L$3-$O$2,$Q$2)/$Q$2))</f>
        <v>7827.01011412838</v>
      </c>
      <c r="M577" s="15" t="n">
        <f aca="false">L577*(1+IF(M$3&lt;=$O$2,$D577,$D577-($D577-$I$562)*MIN(M$3-$O$2,$Q$2)/$Q$2))</f>
        <v>8066.78193174675</v>
      </c>
      <c r="N577" s="15" t="n">
        <f aca="false">M577*(1+IF(N$3&lt;=$O$2,$D577,$D577-($D577-$I$562)*MIN(N$3-$O$2,$Q$2)/$Q$2))</f>
        <v>8375.73967973265</v>
      </c>
      <c r="O577" s="15" t="n">
        <f aca="false">SUMPRODUCT(E577:N577,1/(1+$F$562)^$E$3:$N$3)*$E$2</f>
        <v>8523.85078883675</v>
      </c>
      <c r="P577" s="15" t="n">
        <f aca="false">N577*$E$2*(1+$I$562)/($F$562-$I$562)/(1+$F$562)^$N$3</f>
        <v>13619.9932718405</v>
      </c>
      <c r="Q577" s="15" t="n">
        <f aca="false">O577+P577</f>
        <v>22143.8440606772</v>
      </c>
      <c r="R577" s="15" t="n">
        <f aca="false">Q577-$G$2+$I$2</f>
        <v>19027.6440606772</v>
      </c>
      <c r="S577" s="42" t="n">
        <f aca="false">R577/$K$2</f>
        <v>168.535376976769</v>
      </c>
      <c r="T577" s="43" t="n">
        <f aca="false">S577-$M$2</f>
        <v>0.0677064718973384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-0.0001220703125</v>
      </c>
      <c r="C578" s="25" t="n">
        <f aca="false">IF(T577&gt;0,D577,C577)</f>
        <v>-3.0517578125E-005</v>
      </c>
      <c r="D578" s="41" t="n">
        <f aca="false">(B578+C578)/2</f>
        <v>-7.62939453125E-005</v>
      </c>
      <c r="E578" s="15" t="n">
        <f aca="false">$C$2*(1+IF(E$3&lt;=$O$2,$D578,$D578-($D578-$I$562)*MIN(E$3-$O$2,$Q$2)/$Q$2))</f>
        <v>7479.42932128906</v>
      </c>
      <c r="F578" s="15" t="n">
        <f aca="false">E578*(1+IF(F$3&lt;=$O$2,$D578,$D578-($D578-$I$562)*MIN(F$3-$O$2,$Q$2)/$Q$2))</f>
        <v>7478.85868611746</v>
      </c>
      <c r="G578" s="15" t="n">
        <f aca="false">F578*(1+IF(G$3&lt;=$O$2,$D578,$D578-($D578-$I$562)*MIN(G$3-$O$2,$Q$2)/$Q$2))</f>
        <v>7478.28809448186</v>
      </c>
      <c r="H578" s="15" t="n">
        <f aca="false">G578*(1+IF(H$3&lt;=$O$2,$D578,$D578-($D578-$I$562)*MIN(H$3-$O$2,$Q$2)/$Q$2))</f>
        <v>7477.71754637895</v>
      </c>
      <c r="I578" s="15" t="n">
        <f aca="false">H578*(1+IF(I$3&lt;=$O$2,$D578,$D578-($D578-$I$562)*MIN(I$3-$O$2,$Q$2)/$Q$2))</f>
        <v>7477.1470418054</v>
      </c>
      <c r="J578" s="15" t="n">
        <f aca="false">I578*(1+IF(J$3&lt;=$O$2,$D578,$D578-($D578-$I$562)*MIN(J$3-$O$2,$Q$2)/$Q$2))</f>
        <v>7533.96561930763</v>
      </c>
      <c r="K578" s="15" t="n">
        <f aca="false">J578*(1+IF(K$3&lt;=$O$2,$D578,$D578-($D578-$I$562)*MIN(K$3-$O$2,$Q$2)/$Q$2))</f>
        <v>7649.04109501885</v>
      </c>
      <c r="L578" s="15" t="n">
        <f aca="false">K578*(1+IF(L$3&lt;=$O$2,$D578,$D578-($D578-$I$562)*MIN(L$3-$O$2,$Q$2)/$Q$2))</f>
        <v>7824.58262917319</v>
      </c>
      <c r="M578" s="15" t="n">
        <f aca="false">L578*(1+IF(M$3&lt;=$O$2,$D578,$D578-($D578-$I$562)*MIN(M$3-$O$2,$Q$2)/$Q$2))</f>
        <v>8064.20844727521</v>
      </c>
      <c r="N578" s="15" t="n">
        <f aca="false">M578*(1+IF(N$3&lt;=$O$2,$D578,$D578-($D578-$I$562)*MIN(N$3-$O$2,$Q$2)/$Q$2))</f>
        <v>8373.06763080586</v>
      </c>
      <c r="O578" s="15" t="n">
        <f aca="false">SUMPRODUCT(E578:N578,1/(1+$F$562)^$E$3:$N$3)*$E$2</f>
        <v>8522.15121719387</v>
      </c>
      <c r="P578" s="15" t="n">
        <f aca="false">N578*$E$2*(1+$I$562)/($F$562-$I$562)/(1+$F$562)^$N$3</f>
        <v>13615.6481883259</v>
      </c>
      <c r="Q578" s="15" t="n">
        <f aca="false">O578+P578</f>
        <v>22137.7994055197</v>
      </c>
      <c r="R578" s="15" t="n">
        <f aca="false">Q578-$G$2+$I$2</f>
        <v>19021.5994055197</v>
      </c>
      <c r="S578" s="42" t="n">
        <f aca="false">R578/$K$2</f>
        <v>168.481837072806</v>
      </c>
      <c r="T578" s="43" t="n">
        <f aca="false">S578-$M$2</f>
        <v>0.0141665679338985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-0.0001220703125</v>
      </c>
      <c r="C579" s="25" t="n">
        <f aca="false">IF(T578&gt;0,D578,C578)</f>
        <v>-7.62939453125E-005</v>
      </c>
      <c r="D579" s="41" t="n">
        <f aca="false">(B579+C579)/2</f>
        <v>-9.918212890625E-005</v>
      </c>
      <c r="E579" s="15" t="n">
        <f aca="false">$C$2*(1+IF(E$3&lt;=$O$2,$D579,$D579-($D579-$I$562)*MIN(E$3-$O$2,$Q$2)/$Q$2))</f>
        <v>7479.25811767578</v>
      </c>
      <c r="F579" s="15" t="n">
        <f aca="false">E579*(1+IF(F$3&lt;=$O$2,$D579,$D579-($D579-$I$562)*MIN(F$3-$O$2,$Q$2)/$Q$2))</f>
        <v>7478.51630893303</v>
      </c>
      <c r="G579" s="15" t="n">
        <f aca="false">F579*(1+IF(G$3&lt;=$O$2,$D579,$D579-($D579-$I$562)*MIN(G$3-$O$2,$Q$2)/$Q$2))</f>
        <v>7477.77457376445</v>
      </c>
      <c r="H579" s="15" t="n">
        <f aca="false">G579*(1+IF(H$3&lt;=$O$2,$D579,$D579-($D579-$I$562)*MIN(H$3-$O$2,$Q$2)/$Q$2))</f>
        <v>7477.03291216274</v>
      </c>
      <c r="I579" s="15" t="n">
        <f aca="false">H579*(1+IF(I$3&lt;=$O$2,$D579,$D579-($D579-$I$562)*MIN(I$3-$O$2,$Q$2)/$Q$2))</f>
        <v>7476.29132412061</v>
      </c>
      <c r="J579" s="15" t="n">
        <f aca="false">I579*(1+IF(J$3&lt;=$O$2,$D579,$D579-($D579-$I$562)*MIN(J$3-$O$2,$Q$2)/$Q$2))</f>
        <v>7532.9665040715</v>
      </c>
      <c r="K579" s="15" t="n">
        <f aca="false">J579*(1+IF(K$3&lt;=$O$2,$D579,$D579-($D579-$I$562)*MIN(K$3-$O$2,$Q$2)/$Q$2))</f>
        <v>7647.92326952096</v>
      </c>
      <c r="L579" s="15" t="n">
        <f aca="false">K579*(1+IF(L$3&lt;=$O$2,$D579,$D579-($D579-$I$562)*MIN(L$3-$O$2,$Q$2)/$Q$2))</f>
        <v>7823.36913132992</v>
      </c>
      <c r="M579" s="15" t="n">
        <f aca="false">L579*(1+IF(M$3&lt;=$O$2,$D579,$D579-($D579-$I$562)*MIN(M$3-$O$2,$Q$2)/$Q$2))</f>
        <v>8062.92197383274</v>
      </c>
      <c r="N579" s="15" t="n">
        <f aca="false">M579*(1+IF(N$3&lt;=$O$2,$D579,$D579-($D579-$I$562)*MIN(N$3-$O$2,$Q$2)/$Q$2))</f>
        <v>8371.73188543053</v>
      </c>
      <c r="O579" s="15" t="n">
        <f aca="false">SUMPRODUCT(E579:N579,1/(1+$F$562)^$E$3:$N$3)*$E$2</f>
        <v>8521.30156146981</v>
      </c>
      <c r="P579" s="15" t="n">
        <f aca="false">N579*$E$2*(1+$I$562)/($F$562-$I$562)/(1+$F$562)^$N$3</f>
        <v>13613.4761004004</v>
      </c>
      <c r="Q579" s="15" t="n">
        <f aca="false">O579+P579</f>
        <v>22134.7776618703</v>
      </c>
      <c r="R579" s="15" t="n">
        <f aca="false">Q579-$G$2+$I$2</f>
        <v>19018.5776618703</v>
      </c>
      <c r="S579" s="42" t="n">
        <f aca="false">R579/$K$2</f>
        <v>168.455072292916</v>
      </c>
      <c r="T579" s="43" t="n">
        <f aca="false">S579-$M$2</f>
        <v>-0.0125982119552646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-9.918212890625E-005</v>
      </c>
      <c r="C580" s="25" t="n">
        <f aca="false">IF(T579&gt;0,D579,C579)</f>
        <v>-7.62939453125E-005</v>
      </c>
      <c r="D580" s="41" t="n">
        <f aca="false">(B580+C580)/2</f>
        <v>-8.7738037109375E-005</v>
      </c>
      <c r="E580" s="15" t="n">
        <f aca="false">$C$2*(1+IF(E$3&lt;=$O$2,$D580,$D580-($D580-$I$562)*MIN(E$3-$O$2,$Q$2)/$Q$2))</f>
        <v>7479.34371948242</v>
      </c>
      <c r="F580" s="15" t="n">
        <f aca="false">E580*(1+IF(F$3&lt;=$O$2,$D580,$D580-($D580-$I$562)*MIN(F$3-$O$2,$Q$2)/$Q$2))</f>
        <v>7478.68749654561</v>
      </c>
      <c r="G580" s="15" t="n">
        <f aca="false">F580*(1+IF(G$3&lt;=$O$2,$D580,$D580-($D580-$I$562)*MIN(G$3-$O$2,$Q$2)/$Q$2))</f>
        <v>7478.03133118451</v>
      </c>
      <c r="H580" s="15" t="n">
        <f aca="false">G580*(1+IF(H$3&lt;=$O$2,$D580,$D580-($D580-$I$562)*MIN(H$3-$O$2,$Q$2)/$Q$2))</f>
        <v>7477.37522339407</v>
      </c>
      <c r="I580" s="15" t="n">
        <f aca="false">H580*(1+IF(I$3&lt;=$O$2,$D580,$D580-($D580-$I$562)*MIN(I$3-$O$2,$Q$2)/$Q$2))</f>
        <v>7476.71917316924</v>
      </c>
      <c r="J580" s="15" t="n">
        <f aca="false">I580*(1+IF(J$3&lt;=$O$2,$D580,$D580-($D580-$I$562)*MIN(J$3-$O$2,$Q$2)/$Q$2))</f>
        <v>7533.46604790429</v>
      </c>
      <c r="K580" s="15" t="n">
        <f aca="false">J580*(1+IF(K$3&lt;=$O$2,$D580,$D580-($D580-$I$562)*MIN(K$3-$O$2,$Q$2)/$Q$2))</f>
        <v>7648.48216484398</v>
      </c>
      <c r="L580" s="15" t="n">
        <f aca="false">K580*(1+IF(L$3&lt;=$O$2,$D580,$D580-($D580-$I$562)*MIN(L$3-$O$2,$Q$2)/$Q$2))</f>
        <v>7823.97585986729</v>
      </c>
      <c r="M580" s="15" t="n">
        <f aca="false">L580*(1+IF(M$3&lt;=$O$2,$D580,$D580-($D580-$I$562)*MIN(M$3-$O$2,$Q$2)/$Q$2))</f>
        <v>8063.56518815676</v>
      </c>
      <c r="N580" s="15" t="n">
        <f aca="false">M580*(1+IF(N$3&lt;=$O$2,$D580,$D580-($D580-$I$562)*MIN(N$3-$O$2,$Q$2)/$Q$2))</f>
        <v>8372.39973486317</v>
      </c>
      <c r="O580" s="15" t="n">
        <f aca="false">SUMPRODUCT(E580:N580,1/(1+$F$562)^$E$3:$N$3)*$E$2</f>
        <v>8521.72637849127</v>
      </c>
      <c r="P580" s="15" t="n">
        <f aca="false">N580*$E$2*(1+$I$562)/($F$562-$I$562)/(1+$F$562)^$N$3</f>
        <v>13614.5621065476</v>
      </c>
      <c r="Q580" s="15" t="n">
        <f aca="false">O580+P580</f>
        <v>22136.2884850389</v>
      </c>
      <c r="R580" s="15" t="n">
        <f aca="false">Q580-$G$2+$I$2</f>
        <v>19020.0884850389</v>
      </c>
      <c r="S580" s="42" t="n">
        <f aca="false">R580/$K$2</f>
        <v>168.468454251894</v>
      </c>
      <c r="T580" s="43" t="n">
        <f aca="false">S580-$M$2</f>
        <v>0.000783747022609305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-9.918212890625E-005</v>
      </c>
      <c r="C581" s="25" t="n">
        <f aca="false">IF(T580&gt;0,D580,C580)</f>
        <v>-8.7738037109375E-005</v>
      </c>
      <c r="D581" s="41" t="n">
        <f aca="false">(B581+C581)/2</f>
        <v>-9.34600830078125E-005</v>
      </c>
      <c r="E581" s="15" t="n">
        <f aca="false">$C$2*(1+IF(E$3&lt;=$O$2,$D581,$D581-($D581-$I$562)*MIN(E$3-$O$2,$Q$2)/$Q$2))</f>
        <v>7479.3009185791</v>
      </c>
      <c r="F581" s="15" t="n">
        <f aca="false">E581*(1+IF(F$3&lt;=$O$2,$D581,$D581-($D581-$I$562)*MIN(F$3-$O$2,$Q$2)/$Q$2))</f>
        <v>7478.60190249441</v>
      </c>
      <c r="G581" s="15" t="n">
        <f aca="false">F581*(1+IF(G$3&lt;=$O$2,$D581,$D581-($D581-$I$562)*MIN(G$3-$O$2,$Q$2)/$Q$2))</f>
        <v>7477.90295173982</v>
      </c>
      <c r="H581" s="15" t="n">
        <f aca="false">G581*(1+IF(H$3&lt;=$O$2,$D581,$D581-($D581-$I$562)*MIN(H$3-$O$2,$Q$2)/$Q$2))</f>
        <v>7477.20406630923</v>
      </c>
      <c r="I581" s="15" t="n">
        <f aca="false">H581*(1+IF(I$3&lt;=$O$2,$D581,$D581-($D581-$I$562)*MIN(I$3-$O$2,$Q$2)/$Q$2))</f>
        <v>7476.50524619652</v>
      </c>
      <c r="J581" s="15" t="n">
        <f aca="false">I581*(1+IF(J$3&lt;=$O$2,$D581,$D581-($D581-$I$562)*MIN(J$3-$O$2,$Q$2)/$Q$2))</f>
        <v>7533.21627254166</v>
      </c>
      <c r="K581" s="15" t="n">
        <f aca="false">J581*(1+IF(K$3&lt;=$O$2,$D581,$D581-($D581-$I$562)*MIN(K$3-$O$2,$Q$2)/$Q$2))</f>
        <v>7648.20271282611</v>
      </c>
      <c r="L581" s="15" t="n">
        <f aca="false">K581*(1+IF(L$3&lt;=$O$2,$D581,$D581-($D581-$I$562)*MIN(L$3-$O$2,$Q$2)/$Q$2))</f>
        <v>7823.67249050269</v>
      </c>
      <c r="M581" s="15" t="n">
        <f aca="false">L581*(1+IF(M$3&lt;=$O$2,$D581,$D581-($D581-$I$562)*MIN(M$3-$O$2,$Q$2)/$Q$2))</f>
        <v>8063.24357539561</v>
      </c>
      <c r="N581" s="15" t="n">
        <f aca="false">M581*(1+IF(N$3&lt;=$O$2,$D581,$D581-($D581-$I$562)*MIN(N$3-$O$2,$Q$2)/$Q$2))</f>
        <v>8372.06580433326</v>
      </c>
      <c r="O581" s="15" t="n">
        <f aca="false">SUMPRODUCT(E581:N581,1/(1+$F$562)^$E$3:$N$3)*$E$2</f>
        <v>8521.51396727046</v>
      </c>
      <c r="P581" s="15" t="n">
        <f aca="false">N581*$E$2*(1+$I$562)/($F$562-$I$562)/(1+$F$562)^$N$3</f>
        <v>13614.0190940204</v>
      </c>
      <c r="Q581" s="15" t="n">
        <f aca="false">O581+P581</f>
        <v>22135.5330612909</v>
      </c>
      <c r="R581" s="15" t="n">
        <f aca="false">Q581-$G$2+$I$2</f>
        <v>19019.3330612909</v>
      </c>
      <c r="S581" s="42" t="n">
        <f aca="false">R581/$K$2</f>
        <v>168.461763164667</v>
      </c>
      <c r="T581" s="43" t="n">
        <f aca="false">S581-$M$2</f>
        <v>-0.00590734020488526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-9.34600830078125E-005</v>
      </c>
      <c r="C582" s="25" t="n">
        <f aca="false">IF(T581&gt;0,D581,C581)</f>
        <v>-8.7738037109375E-005</v>
      </c>
      <c r="D582" s="41" t="n">
        <f aca="false">(B582+C582)/2</f>
        <v>-9.05990600585938E-005</v>
      </c>
      <c r="E582" s="15" t="n">
        <f aca="false">$C$2*(1+IF(E$3&lt;=$O$2,$D582,$D582-($D582-$I$562)*MIN(E$3-$O$2,$Q$2)/$Q$2))</f>
        <v>7479.32231903076</v>
      </c>
      <c r="F582" s="15" t="n">
        <f aca="false">E582*(1+IF(F$3&lt;=$O$2,$D582,$D582-($D582-$I$562)*MIN(F$3-$O$2,$Q$2)/$Q$2))</f>
        <v>7478.64469945878</v>
      </c>
      <c r="G582" s="15" t="n">
        <f aca="false">F582*(1+IF(G$3&lt;=$O$2,$D582,$D582-($D582-$I$562)*MIN(G$3-$O$2,$Q$2)/$Q$2))</f>
        <v>7477.9671412785</v>
      </c>
      <c r="H582" s="15" t="n">
        <f aca="false">G582*(1+IF(H$3&lt;=$O$2,$D582,$D582-($D582-$I$562)*MIN(H$3-$O$2,$Q$2)/$Q$2))</f>
        <v>7477.28964448435</v>
      </c>
      <c r="I582" s="15" t="n">
        <f aca="false">H582*(1+IF(I$3&lt;=$O$2,$D582,$D582-($D582-$I$562)*MIN(I$3-$O$2,$Q$2)/$Q$2))</f>
        <v>7476.61220907077</v>
      </c>
      <c r="J582" s="15" t="n">
        <f aca="false">I582*(1+IF(J$3&lt;=$O$2,$D582,$D582-($D582-$I$562)*MIN(J$3-$O$2,$Q$2)/$Q$2))</f>
        <v>7533.34115936141</v>
      </c>
      <c r="K582" s="15" t="n">
        <f aca="false">J582*(1+IF(K$3&lt;=$O$2,$D582,$D582-($D582-$I$562)*MIN(K$3-$O$2,$Q$2)/$Q$2))</f>
        <v>7648.34243774594</v>
      </c>
      <c r="L582" s="15" t="n">
        <f aca="false">K582*(1+IF(L$3&lt;=$O$2,$D582,$D582-($D582-$I$562)*MIN(L$3-$O$2,$Q$2)/$Q$2))</f>
        <v>7823.82417391099</v>
      </c>
      <c r="M582" s="15" t="n">
        <f aca="false">L582*(1+IF(M$3&lt;=$O$2,$D582,$D582-($D582-$I$562)*MIN(M$3-$O$2,$Q$2)/$Q$2))</f>
        <v>8063.40438037638</v>
      </c>
      <c r="N582" s="15" t="n">
        <f aca="false">M582*(1+IF(N$3&lt;=$O$2,$D582,$D582-($D582-$I$562)*MIN(N$3-$O$2,$Q$2)/$Q$2))</f>
        <v>8372.2327681448</v>
      </c>
      <c r="O582" s="15" t="n">
        <f aca="false">SUMPRODUCT(E582:N582,1/(1+$F$562)^$E$3:$N$3)*$E$2</f>
        <v>8521.62017220334</v>
      </c>
      <c r="P582" s="15" t="n">
        <f aca="false">N582*$E$2*(1+$I$562)/($F$562-$I$562)/(1+$F$562)^$N$3</f>
        <v>13614.2905979206</v>
      </c>
      <c r="Q582" s="15" t="n">
        <f aca="false">O582+P582</f>
        <v>22135.9107701239</v>
      </c>
      <c r="R582" s="15" t="n">
        <f aca="false">Q582-$G$2+$I$2</f>
        <v>19019.7107701239</v>
      </c>
      <c r="S582" s="42" t="n">
        <f aca="false">R582/$K$2</f>
        <v>168.465108681345</v>
      </c>
      <c r="T582" s="43" t="n">
        <f aca="false">S582-$M$2</f>
        <v>-0.002561823526122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-9.05990600585938E-005</v>
      </c>
      <c r="C583" s="25" t="n">
        <f aca="false">IF(T582&gt;0,D582,C582)</f>
        <v>-8.7738037109375E-005</v>
      </c>
      <c r="D583" s="41" t="n">
        <f aca="false">(B583+C583)/2</f>
        <v>-8.91685485839844E-005</v>
      </c>
      <c r="E583" s="15" t="n">
        <f aca="false">$C$2*(1+IF(E$3&lt;=$O$2,$D583,$D583-($D583-$I$562)*MIN(E$3-$O$2,$Q$2)/$Q$2))</f>
        <v>7479.33301925659</v>
      </c>
      <c r="F583" s="15" t="n">
        <f aca="false">E583*(1+IF(F$3&lt;=$O$2,$D583,$D583-($D583-$I$562)*MIN(F$3-$O$2,$Q$2)/$Q$2))</f>
        <v>7478.66609798689</v>
      </c>
      <c r="G583" s="15" t="n">
        <f aca="false">F583*(1+IF(G$3&lt;=$O$2,$D583,$D583-($D583-$I$562)*MIN(G$3-$O$2,$Q$2)/$Q$2))</f>
        <v>7477.99923618559</v>
      </c>
      <c r="H583" s="15" t="n">
        <f aca="false">G583*(1+IF(H$3&lt;=$O$2,$D583,$D583-($D583-$I$562)*MIN(H$3-$O$2,$Q$2)/$Q$2))</f>
        <v>7477.33243384738</v>
      </c>
      <c r="I583" s="15" t="n">
        <f aca="false">H583*(1+IF(I$3&lt;=$O$2,$D583,$D583-($D583-$I$562)*MIN(I$3-$O$2,$Q$2)/$Q$2))</f>
        <v>7476.66569096698</v>
      </c>
      <c r="J583" s="15" t="n">
        <f aca="false">I583*(1+IF(J$3&lt;=$O$2,$D583,$D583-($D583-$I$562)*MIN(J$3-$O$2,$Q$2)/$Q$2))</f>
        <v>7533.40360341746</v>
      </c>
      <c r="K583" s="15" t="n">
        <f aca="false">J583*(1+IF(K$3&lt;=$O$2,$D583,$D583-($D583-$I$562)*MIN(K$3-$O$2,$Q$2)/$Q$2))</f>
        <v>7648.41230102268</v>
      </c>
      <c r="L583" s="15" t="n">
        <f aca="false">K583*(1+IF(L$3&lt;=$O$2,$D583,$D583-($D583-$I$562)*MIN(L$3-$O$2,$Q$2)/$Q$2))</f>
        <v>7823.90001657064</v>
      </c>
      <c r="M583" s="15" t="n">
        <f aca="false">L583*(1+IF(M$3&lt;=$O$2,$D583,$D583-($D583-$I$562)*MIN(M$3-$O$2,$Q$2)/$Q$2))</f>
        <v>8063.48478391662</v>
      </c>
      <c r="N583" s="15" t="n">
        <f aca="false">M583*(1+IF(N$3&lt;=$O$2,$D583,$D583-($D583-$I$562)*MIN(N$3-$O$2,$Q$2)/$Q$2))</f>
        <v>8372.31625114062</v>
      </c>
      <c r="O583" s="15" t="n">
        <f aca="false">SUMPRODUCT(E583:N583,1/(1+$F$562)^$E$3:$N$3)*$E$2</f>
        <v>8521.67327517792</v>
      </c>
      <c r="P583" s="15" t="n">
        <f aca="false">N583*$E$2*(1+$I$562)/($F$562-$I$562)/(1+$F$562)^$N$3</f>
        <v>13614.4263516432</v>
      </c>
      <c r="Q583" s="15" t="n">
        <f aca="false">O583+P583</f>
        <v>22136.0996268211</v>
      </c>
      <c r="R583" s="15" t="n">
        <f aca="false">Q583-$G$2+$I$2</f>
        <v>19019.8996268211</v>
      </c>
      <c r="S583" s="42" t="n">
        <f aca="false">R583/$K$2</f>
        <v>168.466781459886</v>
      </c>
      <c r="T583" s="43" t="n">
        <f aca="false">S583-$M$2</f>
        <v>-0.000889044985569854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-8.91685485839844E-005</v>
      </c>
      <c r="C584" s="25" t="n">
        <f aca="false">IF(T583&gt;0,D583,C583)</f>
        <v>-8.7738037109375E-005</v>
      </c>
      <c r="D584" s="41" t="n">
        <f aca="false">(B584+C584)/2</f>
        <v>-8.84532928466797E-005</v>
      </c>
      <c r="E584" s="15" t="n">
        <f aca="false">$C$2*(1+IF(E$3&lt;=$O$2,$D584,$D584-($D584-$I$562)*MIN(E$3-$O$2,$Q$2)/$Q$2))</f>
        <v>7479.33836936951</v>
      </c>
      <c r="F584" s="15" t="n">
        <f aca="false">E584*(1+IF(F$3&lt;=$O$2,$D584,$D584-($D584-$I$562)*MIN(F$3-$O$2,$Q$2)/$Q$2))</f>
        <v>7478.67679726242</v>
      </c>
      <c r="G584" s="15" t="n">
        <f aca="false">F584*(1+IF(G$3&lt;=$O$2,$D584,$D584-($D584-$I$562)*MIN(G$3-$O$2,$Q$2)/$Q$2))</f>
        <v>7478.01528367357</v>
      </c>
      <c r="H584" s="15" t="n">
        <f aca="false">G584*(1+IF(H$3&lt;=$O$2,$D584,$D584-($D584-$I$562)*MIN(H$3-$O$2,$Q$2)/$Q$2))</f>
        <v>7477.35382859777</v>
      </c>
      <c r="I584" s="15" t="n">
        <f aca="false">H584*(1+IF(I$3&lt;=$O$2,$D584,$D584-($D584-$I$562)*MIN(I$3-$O$2,$Q$2)/$Q$2))</f>
        <v>7476.69243202985</v>
      </c>
      <c r="J584" s="15" t="n">
        <f aca="false">I584*(1+IF(J$3&lt;=$O$2,$D584,$D584-($D584-$I$562)*MIN(J$3-$O$2,$Q$2)/$Q$2))</f>
        <v>7533.43482560703</v>
      </c>
      <c r="K584" s="15" t="n">
        <f aca="false">J584*(1+IF(K$3&lt;=$O$2,$D584,$D584-($D584-$I$562)*MIN(K$3-$O$2,$Q$2)/$Q$2))</f>
        <v>7648.44723286527</v>
      </c>
      <c r="L584" s="15" t="n">
        <f aca="false">K584*(1+IF(L$3&lt;=$O$2,$D584,$D584-($D584-$I$562)*MIN(L$3-$O$2,$Q$2)/$Q$2))</f>
        <v>7823.93793813934</v>
      </c>
      <c r="M584" s="15" t="n">
        <f aca="false">L584*(1+IF(M$3&lt;=$O$2,$D584,$D584-($D584-$I$562)*MIN(M$3-$O$2,$Q$2)/$Q$2))</f>
        <v>8063.5249859492</v>
      </c>
      <c r="N584" s="15" t="n">
        <f aca="false">M584*(1+IF(N$3&lt;=$O$2,$D584,$D584-($D584-$I$562)*MIN(N$3-$O$2,$Q$2)/$Q$2))</f>
        <v>8372.35799291106</v>
      </c>
      <c r="O584" s="15" t="n">
        <f aca="false">SUMPRODUCT(E584:N584,1/(1+$F$562)^$E$3:$N$3)*$E$2</f>
        <v>8521.69982679225</v>
      </c>
      <c r="P584" s="15" t="n">
        <f aca="false">N584*$E$2*(1+$I$562)/($F$562-$I$562)/(1+$F$562)^$N$3</f>
        <v>13614.4942289477</v>
      </c>
      <c r="Q584" s="15" t="n">
        <f aca="false">O584+P584</f>
        <v>22136.1940557399</v>
      </c>
      <c r="R584" s="15" t="n">
        <f aca="false">Q584-$G$2+$I$2</f>
        <v>19019.9940557399</v>
      </c>
      <c r="S584" s="42" t="n">
        <f aca="false">R584/$K$2</f>
        <v>168.467617854207</v>
      </c>
      <c r="T584" s="43" t="n">
        <f aca="false">S584-$M$2</f>
        <v>-5.26506648554914E-005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-8.84532928466797E-005</v>
      </c>
      <c r="C585" s="25" t="n">
        <f aca="false">IF(T584&gt;0,D584,C584)</f>
        <v>-8.7738037109375E-005</v>
      </c>
      <c r="D585" s="41" t="n">
        <f aca="false">(B585+C585)/2</f>
        <v>-8.80956649780273E-005</v>
      </c>
      <c r="E585" s="15" t="n">
        <f aca="false">$C$2*(1+IF(E$3&lt;=$O$2,$D585,$D585-($D585-$I$562)*MIN(E$3-$O$2,$Q$2)/$Q$2))</f>
        <v>7479.34104442596</v>
      </c>
      <c r="F585" s="15" t="n">
        <f aca="false">E585*(1+IF(F$3&lt;=$O$2,$D585,$D585-($D585-$I$562)*MIN(F$3-$O$2,$Q$2)/$Q$2))</f>
        <v>7478.68214690306</v>
      </c>
      <c r="G585" s="15" t="n">
        <f aca="false">F585*(1+IF(G$3&lt;=$O$2,$D585,$D585-($D585-$I$562)*MIN(G$3-$O$2,$Q$2)/$Q$2))</f>
        <v>7478.02330742617</v>
      </c>
      <c r="H585" s="15" t="n">
        <f aca="false">G585*(1+IF(H$3&lt;=$O$2,$D585,$D585-($D585-$I$562)*MIN(H$3-$O$2,$Q$2)/$Q$2))</f>
        <v>7477.36452599018</v>
      </c>
      <c r="I585" s="15" t="n">
        <f aca="false">H585*(1+IF(I$3&lt;=$O$2,$D585,$D585-($D585-$I$562)*MIN(I$3-$O$2,$Q$2)/$Q$2))</f>
        <v>7476.70580258998</v>
      </c>
      <c r="J585" s="15" t="n">
        <f aca="false">I585*(1+IF(J$3&lt;=$O$2,$D585,$D585-($D585-$I$562)*MIN(J$3-$O$2,$Q$2)/$Q$2))</f>
        <v>7533.4504367422</v>
      </c>
      <c r="K585" s="15" t="n">
        <f aca="false">J585*(1+IF(K$3&lt;=$O$2,$D585,$D585-($D585-$I$562)*MIN(K$3-$O$2,$Q$2)/$Q$2))</f>
        <v>7648.46469883761</v>
      </c>
      <c r="L585" s="15" t="n">
        <f aca="false">K585*(1+IF(L$3&lt;=$O$2,$D585,$D585-($D585-$I$562)*MIN(L$3-$O$2,$Q$2)/$Q$2))</f>
        <v>7823.95689898341</v>
      </c>
      <c r="M585" s="15" t="n">
        <f aca="false">L585*(1+IF(M$3&lt;=$O$2,$D585,$D585-($D585-$I$562)*MIN(M$3-$O$2,$Q$2)/$Q$2))</f>
        <v>8063.54508703111</v>
      </c>
      <c r="N585" s="15" t="n">
        <f aca="false">M585*(1+IF(N$3&lt;=$O$2,$D585,$D585-($D585-$I$562)*MIN(N$3-$O$2,$Q$2)/$Q$2))</f>
        <v>8372.3788638644</v>
      </c>
      <c r="O585" s="15" t="n">
        <f aca="false">SUMPRODUCT(E585:N585,1/(1+$F$562)^$E$3:$N$3)*$E$2</f>
        <v>8521.71310263117</v>
      </c>
      <c r="P585" s="15" t="n">
        <f aca="false">N585*$E$2*(1+$I$562)/($F$562-$I$562)/(1+$F$562)^$N$3</f>
        <v>13614.5281677107</v>
      </c>
      <c r="Q585" s="15" t="n">
        <f aca="false">O585+P585</f>
        <v>22136.2412703419</v>
      </c>
      <c r="R585" s="15" t="n">
        <f aca="false">Q585-$G$2+$I$2</f>
        <v>19020.0412703419</v>
      </c>
      <c r="S585" s="42" t="n">
        <f aca="false">R585/$K$2</f>
        <v>168.46803605263</v>
      </c>
      <c r="T585" s="43" t="n">
        <f aca="false">S585-$M$2</f>
        <v>0.000365547758065077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-8.84532928466797E-005</v>
      </c>
      <c r="C586" s="25" t="n">
        <f aca="false">IF(T585&gt;0,D585,C585)</f>
        <v>-8.80956649780273E-005</v>
      </c>
      <c r="D586" s="41" t="n">
        <f aca="false">(B586+C586)/2</f>
        <v>-8.82744789123535E-005</v>
      </c>
      <c r="E586" s="15" t="n">
        <f aca="false">$C$2*(1+IF(E$3&lt;=$O$2,$D586,$D586-($D586-$I$562)*MIN(E$3-$O$2,$Q$2)/$Q$2))</f>
        <v>7479.33970689774</v>
      </c>
      <c r="F586" s="15" t="n">
        <f aca="false">E586*(1+IF(F$3&lt;=$O$2,$D586,$D586-($D586-$I$562)*MIN(F$3-$O$2,$Q$2)/$Q$2))</f>
        <v>7478.6794720825</v>
      </c>
      <c r="G586" s="15" t="n">
        <f aca="false">F586*(1+IF(G$3&lt;=$O$2,$D586,$D586-($D586-$I$562)*MIN(G$3-$O$2,$Q$2)/$Q$2))</f>
        <v>7478.01929554915</v>
      </c>
      <c r="H586" s="15" t="n">
        <f aca="false">G586*(1+IF(H$3&lt;=$O$2,$D586,$D586-($D586-$I$562)*MIN(H$3-$O$2,$Q$2)/$Q$2))</f>
        <v>7477.35917729254</v>
      </c>
      <c r="I586" s="15" t="n">
        <f aca="false">H586*(1+IF(I$3&lt;=$O$2,$D586,$D586-($D586-$I$562)*MIN(I$3-$O$2,$Q$2)/$Q$2))</f>
        <v>7476.69911730752</v>
      </c>
      <c r="J586" s="15" t="n">
        <f aca="false">I586*(1+IF(J$3&lt;=$O$2,$D586,$D586-($D586-$I$562)*MIN(J$3-$O$2,$Q$2)/$Q$2))</f>
        <v>7533.44263117125</v>
      </c>
      <c r="K586" s="15" t="n">
        <f aca="false">J586*(1+IF(K$3&lt;=$O$2,$D586,$D586-($D586-$I$562)*MIN(K$3-$O$2,$Q$2)/$Q$2))</f>
        <v>7648.45596584718</v>
      </c>
      <c r="L586" s="15" t="n">
        <f aca="false">K586*(1+IF(L$3&lt;=$O$2,$D586,$D586-($D586-$I$562)*MIN(L$3-$O$2,$Q$2)/$Q$2))</f>
        <v>7823.9474185564</v>
      </c>
      <c r="M586" s="15" t="n">
        <f aca="false">L586*(1+IF(M$3&lt;=$O$2,$D586,$D586-($D586-$I$562)*MIN(M$3-$O$2,$Q$2)/$Q$2))</f>
        <v>8063.53503648469</v>
      </c>
      <c r="N586" s="15" t="n">
        <f aca="false">M586*(1+IF(N$3&lt;=$O$2,$D586,$D586-($D586-$I$562)*MIN(N$3-$O$2,$Q$2)/$Q$2))</f>
        <v>8372.36842838205</v>
      </c>
      <c r="O586" s="15" t="n">
        <f aca="false">SUMPRODUCT(E586:N586,1/(1+$F$562)^$E$3:$N$3)*$E$2</f>
        <v>8521.70646470906</v>
      </c>
      <c r="P586" s="15" t="n">
        <f aca="false">N586*$E$2*(1+$I$562)/($F$562-$I$562)/(1+$F$562)^$N$3</f>
        <v>13614.51119832</v>
      </c>
      <c r="Q586" s="15" t="n">
        <f aca="false">O586+P586</f>
        <v>22136.217663029</v>
      </c>
      <c r="R586" s="15" t="n">
        <f aca="false">Q586-$G$2+$I$2</f>
        <v>19020.017663029</v>
      </c>
      <c r="S586" s="42" t="n">
        <f aca="false">R586/$K$2</f>
        <v>168.467826953313</v>
      </c>
      <c r="T586" s="43" t="n">
        <f aca="false">S586-$M$2</f>
        <v>0.000156448441373414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-8.84532928466797E-005</v>
      </c>
      <c r="C587" s="25" t="n">
        <f aca="false">IF(T586&gt;0,D586,C586)</f>
        <v>-8.82744789123535E-005</v>
      </c>
      <c r="D587" s="41" t="n">
        <f aca="false">(B587+C587)/2</f>
        <v>-8.83638858795166E-005</v>
      </c>
      <c r="E587" s="15" t="n">
        <f aca="false">$C$2*(1+IF(E$3&lt;=$O$2,$D587,$D587-($D587-$I$562)*MIN(E$3-$O$2,$Q$2)/$Q$2))</f>
        <v>7479.33903813362</v>
      </c>
      <c r="F587" s="15" t="n">
        <f aca="false">E587*(1+IF(F$3&lt;=$O$2,$D587,$D587-($D587-$I$562)*MIN(F$3-$O$2,$Q$2)/$Q$2))</f>
        <v>7478.6781346724</v>
      </c>
      <c r="G587" s="15" t="n">
        <f aca="false">F587*(1+IF(G$3&lt;=$O$2,$D587,$D587-($D587-$I$562)*MIN(G$3-$O$2,$Q$2)/$Q$2))</f>
        <v>7478.01728961118</v>
      </c>
      <c r="H587" s="15" t="n">
        <f aca="false">G587*(1+IF(H$3&lt;=$O$2,$D587,$D587-($D587-$I$562)*MIN(H$3-$O$2,$Q$2)/$Q$2))</f>
        <v>7477.3565029448</v>
      </c>
      <c r="I587" s="15" t="n">
        <f aca="false">H587*(1+IF(I$3&lt;=$O$2,$D587,$D587-($D587-$I$562)*MIN(I$3-$O$2,$Q$2)/$Q$2))</f>
        <v>7476.69577466809</v>
      </c>
      <c r="J587" s="15" t="n">
        <f aca="false">I587*(1+IF(J$3&lt;=$O$2,$D587,$D587-($D587-$I$562)*MIN(J$3-$O$2,$Q$2)/$Q$2))</f>
        <v>7533.4387283883</v>
      </c>
      <c r="K587" s="15" t="n">
        <f aca="false">J587*(1+IF(K$3&lt;=$O$2,$D587,$D587-($D587-$I$562)*MIN(K$3-$O$2,$Q$2)/$Q$2))</f>
        <v>7648.45159935516</v>
      </c>
      <c r="L587" s="15" t="n">
        <f aca="false">K587*(1+IF(L$3&lt;=$O$2,$D587,$D587-($D587-$I$562)*MIN(L$3-$O$2,$Q$2)/$Q$2))</f>
        <v>7823.94267834663</v>
      </c>
      <c r="M587" s="15" t="n">
        <f aca="false">L587*(1+IF(M$3&lt;=$O$2,$D587,$D587-($D587-$I$562)*MIN(M$3-$O$2,$Q$2)/$Q$2))</f>
        <v>8063.53001121558</v>
      </c>
      <c r="N587" s="15" t="n">
        <f aca="false">M587*(1+IF(N$3&lt;=$O$2,$D587,$D587-($D587-$I$562)*MIN(N$3-$O$2,$Q$2)/$Q$2))</f>
        <v>8372.36321064513</v>
      </c>
      <c r="O587" s="15" t="n">
        <f aca="false">SUMPRODUCT(E587:N587,1/(1+$F$562)^$E$3:$N$3)*$E$2</f>
        <v>8521.70314574999</v>
      </c>
      <c r="P587" s="15" t="n">
        <f aca="false">N587*$E$2*(1+$I$562)/($F$562-$I$562)/(1+$F$562)^$N$3</f>
        <v>13614.5027136315</v>
      </c>
      <c r="Q587" s="15" t="n">
        <f aca="false">O587+P587</f>
        <v>22136.2058593815</v>
      </c>
      <c r="R587" s="15" t="n">
        <f aca="false">Q587-$G$2+$I$2</f>
        <v>19020.0058593815</v>
      </c>
      <c r="S587" s="42" t="n">
        <f aca="false">R587/$K$2</f>
        <v>168.467722403734</v>
      </c>
      <c r="T587" s="43" t="n">
        <f aca="false">S587-$M$2</f>
        <v>5.18988619262473E-005</v>
      </c>
    </row>
    <row r="589" customFormat="false" ht="15" hidden="false" customHeight="false" outlineLevel="0" collapsed="false">
      <c r="A589" s="38" t="s">
        <v>205</v>
      </c>
      <c r="E589" s="5" t="s">
        <v>11</v>
      </c>
      <c r="F589" s="12" t="n">
        <f aca="false">Sensitivity!$B$14</f>
        <v>0.0911268672746673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165</v>
      </c>
      <c r="B590" s="28" t="s">
        <v>166</v>
      </c>
      <c r="C590" s="28" t="s">
        <v>167</v>
      </c>
      <c r="D590" s="28" t="s">
        <v>168</v>
      </c>
      <c r="E590" s="28" t="s">
        <v>169</v>
      </c>
      <c r="F590" s="28" t="s">
        <v>170</v>
      </c>
      <c r="G590" s="28" t="s">
        <v>171</v>
      </c>
      <c r="H590" s="28" t="s">
        <v>172</v>
      </c>
      <c r="I590" s="28" t="s">
        <v>173</v>
      </c>
      <c r="J590" s="28" t="s">
        <v>174</v>
      </c>
      <c r="K590" s="28" t="s">
        <v>175</v>
      </c>
      <c r="L590" s="28" t="s">
        <v>176</v>
      </c>
      <c r="M590" s="28" t="s">
        <v>177</v>
      </c>
      <c r="N590" s="28" t="s">
        <v>178</v>
      </c>
      <c r="O590" s="28" t="s">
        <v>179</v>
      </c>
      <c r="P590" s="28" t="s">
        <v>180</v>
      </c>
      <c r="Q590" s="28" t="s">
        <v>181</v>
      </c>
      <c r="R590" s="28" t="s">
        <v>182</v>
      </c>
      <c r="S590" s="28" t="s">
        <v>183</v>
      </c>
      <c r="T590" s="28" t="s">
        <v>184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9350</v>
      </c>
      <c r="F591" s="15" t="n">
        <f aca="false">E591*(1+IF(F$3&lt;=$O$2,$D591,$D591-($D591-$I$589)*MIN(F$3-$O$2,$Q$2)/$Q$2))</f>
        <v>11687.5</v>
      </c>
      <c r="G591" s="15" t="n">
        <f aca="false">F591*(1+IF(G$3&lt;=$O$2,$D591,$D591-($D591-$I$589)*MIN(G$3-$O$2,$Q$2)/$Q$2))</f>
        <v>14609.375</v>
      </c>
      <c r="H591" s="15" t="n">
        <f aca="false">G591*(1+IF(H$3&lt;=$O$2,$D591,$D591-($D591-$I$589)*MIN(H$3-$O$2,$Q$2)/$Q$2))</f>
        <v>18261.71875</v>
      </c>
      <c r="I591" s="15" t="n">
        <f aca="false">H591*(1+IF(I$3&lt;=$O$2,$D591,$D591-($D591-$I$589)*MIN(I$3-$O$2,$Q$2)/$Q$2))</f>
        <v>22827.1484375</v>
      </c>
      <c r="J591" s="15" t="n">
        <f aca="false">I591*(1+IF(J$3&lt;=$O$2,$D591,$D591-($D591-$I$589)*MIN(J$3-$O$2,$Q$2)/$Q$2))</f>
        <v>27476.1254882813</v>
      </c>
      <c r="K591" s="15" t="n">
        <f aca="false">J591*(1+IF(K$3&lt;=$O$2,$D591,$D591-($D591-$I$589)*MIN(K$3-$O$2,$Q$2)/$Q$2))</f>
        <v>31798.6695500977</v>
      </c>
      <c r="L591" s="15" t="n">
        <f aca="false">K591*(1+IF(L$3&lt;=$O$2,$D591,$D591-($D591-$I$589)*MIN(L$3-$O$2,$Q$2)/$Q$2))</f>
        <v>35327.6858967675</v>
      </c>
      <c r="M591" s="15" t="n">
        <f aca="false">L591*(1+IF(M$3&lt;=$O$2,$D591,$D591-($D591-$I$589)*MIN(M$3-$O$2,$Q$2)/$Q$2))</f>
        <v>37611.2675131345</v>
      </c>
      <c r="N591" s="15" t="n">
        <f aca="false">M591*(1+IF(N$3&lt;=$O$2,$D591,$D591-($D591-$I$589)*MIN(N$3-$O$2,$Q$2)/$Q$2))</f>
        <v>38299.5537086249</v>
      </c>
      <c r="O591" s="15" t="n">
        <f aca="false">SUMPRODUCT(E591:N591,1/(1+$F$589)^$E$3:$N$3)*$E$2</f>
        <v>24227.5199776853</v>
      </c>
      <c r="P591" s="15" t="n">
        <f aca="false">N591*$E$2*(1+$I$589)/($F$589-$I$589)/(1+$F$589)^$N$3</f>
        <v>38311.901100739</v>
      </c>
      <c r="Q591" s="15" t="n">
        <f aca="false">O591+P591</f>
        <v>62539.4210784243</v>
      </c>
      <c r="R591" s="15" t="n">
        <f aca="false">Q591-$G$2+$I$2</f>
        <v>59423.2210784243</v>
      </c>
      <c r="S591" s="42" t="n">
        <f aca="false">R591/$K$2</f>
        <v>526.334996265937</v>
      </c>
      <c r="T591" s="43" t="n">
        <f aca="false">S591-$M$2</f>
        <v>357.867325761065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6545</v>
      </c>
      <c r="F592" s="15" t="n">
        <f aca="false">E592*(1+IF(F$3&lt;=$O$2,$D592,$D592-($D592-$I$589)*MIN(F$3-$O$2,$Q$2)/$Q$2))</f>
        <v>5726.875</v>
      </c>
      <c r="G592" s="15" t="n">
        <f aca="false">F592*(1+IF(G$3&lt;=$O$2,$D592,$D592-($D592-$I$589)*MIN(G$3-$O$2,$Q$2)/$Q$2))</f>
        <v>5011.015625</v>
      </c>
      <c r="H592" s="15" t="n">
        <f aca="false">G592*(1+IF(H$3&lt;=$O$2,$D592,$D592-($D592-$I$589)*MIN(H$3-$O$2,$Q$2)/$Q$2))</f>
        <v>4384.638671875</v>
      </c>
      <c r="I592" s="15" t="n">
        <f aca="false">H592*(1+IF(I$3&lt;=$O$2,$D592,$D592-($D592-$I$589)*MIN(I$3-$O$2,$Q$2)/$Q$2))</f>
        <v>3836.55883789063</v>
      </c>
      <c r="J592" s="15" t="n">
        <f aca="false">I592*(1+IF(J$3&lt;=$O$2,$D592,$D592-($D592-$I$589)*MIN(J$3-$O$2,$Q$2)/$Q$2))</f>
        <v>3466.94475944824</v>
      </c>
      <c r="K592" s="15" t="n">
        <f aca="false">J592*(1+IF(K$3&lt;=$O$2,$D592,$D592-($D592-$I$589)*MIN(K$3-$O$2,$Q$2)/$Q$2))</f>
        <v>3232.30193812879</v>
      </c>
      <c r="L592" s="15" t="n">
        <f aca="false">K592*(1+IF(L$3&lt;=$O$2,$D592,$D592-($D592-$I$589)*MIN(L$3-$O$2,$Q$2)/$Q$2))</f>
        <v>3106.177516503</v>
      </c>
      <c r="M592" s="15" t="n">
        <f aca="false">L592*(1+IF(M$3&lt;=$O$2,$D592,$D592-($D592-$I$589)*MIN(M$3-$O$2,$Q$2)/$Q$2))</f>
        <v>3073.99751743203</v>
      </c>
      <c r="N592" s="15" t="n">
        <f aca="false">M592*(1+IF(N$3&lt;=$O$2,$D592,$D592-($D592-$I$589)*MIN(N$3-$O$2,$Q$2)/$Q$2))</f>
        <v>3130.25167200104</v>
      </c>
      <c r="O592" s="15" t="n">
        <f aca="false">SUMPRODUCT(E592:N592,1/(1+$F$589)^$E$3:$N$3)*$E$2</f>
        <v>4843.97121123351</v>
      </c>
      <c r="P592" s="15" t="n">
        <f aca="false">N592*$E$2*(1+$I$589)/($F$589-$I$589)/(1+$F$589)^$N$3</f>
        <v>3131.26083375535</v>
      </c>
      <c r="Q592" s="15" t="n">
        <f aca="false">O592+P592</f>
        <v>7975.23204498886</v>
      </c>
      <c r="R592" s="15" t="n">
        <f aca="false">Q592-$G$2+$I$2</f>
        <v>4859.03204498886</v>
      </c>
      <c r="S592" s="42" t="n">
        <f aca="false">R592/$K$2</f>
        <v>43.0383706376338</v>
      </c>
      <c r="T592" s="43" t="n">
        <f aca="false">S592-$M$2</f>
        <v>-125.429299867238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7947.5</v>
      </c>
      <c r="F593" s="15" t="n">
        <f aca="false">E593*(1+IF(F$3&lt;=$O$2,$D593,$D593-($D593-$I$589)*MIN(F$3-$O$2,$Q$2)/$Q$2))</f>
        <v>8444.21875</v>
      </c>
      <c r="G593" s="15" t="n">
        <f aca="false">F593*(1+IF(G$3&lt;=$O$2,$D593,$D593-($D593-$I$589)*MIN(G$3-$O$2,$Q$2)/$Q$2))</f>
        <v>8971.982421875</v>
      </c>
      <c r="H593" s="15" t="n">
        <f aca="false">G593*(1+IF(H$3&lt;=$O$2,$D593,$D593-($D593-$I$589)*MIN(H$3-$O$2,$Q$2)/$Q$2))</f>
        <v>9532.73132324219</v>
      </c>
      <c r="I593" s="15" t="n">
        <f aca="false">H593*(1+IF(I$3&lt;=$O$2,$D593,$D593-($D593-$I$589)*MIN(I$3-$O$2,$Q$2)/$Q$2))</f>
        <v>10128.5270309448</v>
      </c>
      <c r="J593" s="15" t="n">
        <f aca="false">I593*(1+IF(J$3&lt;=$O$2,$D593,$D593-($D593-$I$589)*MIN(J$3-$O$2,$Q$2)/$Q$2))</f>
        <v>10672.0237914253</v>
      </c>
      <c r="K593" s="15" t="n">
        <f aca="false">J593*(1+IF(K$3&lt;=$O$2,$D593,$D593-($D593-$I$589)*MIN(K$3-$O$2,$Q$2)/$Q$2))</f>
        <v>11150.343897757</v>
      </c>
      <c r="L593" s="15" t="n">
        <f aca="false">K593*(1+IF(L$3&lt;=$O$2,$D593,$D593-($D593-$I$589)*MIN(L$3-$O$2,$Q$2)/$Q$2))</f>
        <v>11551.5332711983</v>
      </c>
      <c r="M593" s="15" t="n">
        <f aca="false">L593*(1+IF(M$3&lt;=$O$2,$D593,$D593-($D593-$I$589)*MIN(M$3-$O$2,$Q$2)/$Q$2))</f>
        <v>11865.0418841786</v>
      </c>
      <c r="N593" s="15" t="n">
        <f aca="false">M593*(1+IF(N$3&lt;=$O$2,$D593,$D593-($D593-$I$589)*MIN(N$3-$O$2,$Q$2)/$Q$2))</f>
        <v>12082.1721506591</v>
      </c>
      <c r="O593" s="15" t="n">
        <f aca="false">SUMPRODUCT(E593:N593,1/(1+$F$589)^$E$3:$N$3)*$E$2</f>
        <v>10806.4508001405</v>
      </c>
      <c r="P593" s="15" t="n">
        <f aca="false">N593*$E$2*(1+$I$589)/($F$589-$I$589)/(1+$F$589)^$N$3</f>
        <v>12086.0673218214</v>
      </c>
      <c r="Q593" s="15" t="n">
        <f aca="false">O593+P593</f>
        <v>22892.5181219619</v>
      </c>
      <c r="R593" s="15" t="n">
        <f aca="false">Q593-$G$2+$I$2</f>
        <v>19776.3181219619</v>
      </c>
      <c r="S593" s="42" t="n">
        <f aca="false">R593/$K$2</f>
        <v>175.166679556792</v>
      </c>
      <c r="T593" s="43" t="n">
        <f aca="false">S593-$M$2</f>
        <v>6.69900905192085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-0.125</v>
      </c>
      <c r="C594" s="25" t="n">
        <f aca="false">IF(T593&gt;0,D593,C593)</f>
        <v>0.0625</v>
      </c>
      <c r="D594" s="41" t="n">
        <f aca="false">(B594+C594)/2</f>
        <v>-0.03125</v>
      </c>
      <c r="E594" s="15" t="n">
        <f aca="false">$C$2*(1+IF(E$3&lt;=$O$2,$D594,$D594-($D594-$I$589)*MIN(E$3-$O$2,$Q$2)/$Q$2))</f>
        <v>7246.25</v>
      </c>
      <c r="F594" s="15" t="n">
        <f aca="false">E594*(1+IF(F$3&lt;=$O$2,$D594,$D594-($D594-$I$589)*MIN(F$3-$O$2,$Q$2)/$Q$2))</f>
        <v>7019.8046875</v>
      </c>
      <c r="G594" s="15" t="n">
        <f aca="false">F594*(1+IF(G$3&lt;=$O$2,$D594,$D594-($D594-$I$589)*MIN(G$3-$O$2,$Q$2)/$Q$2))</f>
        <v>6800.43579101563</v>
      </c>
      <c r="H594" s="15" t="n">
        <f aca="false">G594*(1+IF(H$3&lt;=$O$2,$D594,$D594-($D594-$I$589)*MIN(H$3-$O$2,$Q$2)/$Q$2))</f>
        <v>6587.92217254639</v>
      </c>
      <c r="I594" s="15" t="n">
        <f aca="false">H594*(1+IF(I$3&lt;=$O$2,$D594,$D594-($D594-$I$589)*MIN(I$3-$O$2,$Q$2)/$Q$2))</f>
        <v>6382.04960465431</v>
      </c>
      <c r="J594" s="15" t="n">
        <f aca="false">I594*(1+IF(J$3&lt;=$O$2,$D594,$D594-($D594-$I$589)*MIN(J$3-$O$2,$Q$2)/$Q$2))</f>
        <v>6245.85666609099</v>
      </c>
      <c r="K594" s="15" t="n">
        <f aca="false">J594*(1+IF(K$3&lt;=$O$2,$D594,$D594-($D594-$I$589)*MIN(K$3-$O$2,$Q$2)/$Q$2))</f>
        <v>6174.46652439757</v>
      </c>
      <c r="L594" s="15" t="n">
        <f aca="false">K594*(1+IF(L$3&lt;=$O$2,$D594,$D594-($D594-$I$589)*MIN(L$3-$O$2,$Q$2)/$Q$2))</f>
        <v>6165.08133528048</v>
      </c>
      <c r="M594" s="15" t="n">
        <f aca="false">L594*(1+IF(M$3&lt;=$O$2,$D594,$D594-($D594-$I$589)*MIN(M$3-$O$2,$Q$2)/$Q$2))</f>
        <v>6216.80636768349</v>
      </c>
      <c r="N594" s="15" t="n">
        <f aca="false">M594*(1+IF(N$3&lt;=$O$2,$D594,$D594-($D594-$I$589)*MIN(N$3-$O$2,$Q$2)/$Q$2))</f>
        <v>6330.5739242121</v>
      </c>
      <c r="O594" s="15" t="n">
        <f aca="false">SUMPRODUCT(E594:N594,1/(1+$F$589)^$E$3:$N$3)*$E$2</f>
        <v>7213.19733679121</v>
      </c>
      <c r="P594" s="15" t="n">
        <f aca="false">N594*$E$2*(1+$I$589)/($F$589-$I$589)/(1+$F$589)^$N$3</f>
        <v>6332.61483777323</v>
      </c>
      <c r="Q594" s="15" t="n">
        <f aca="false">O594+P594</f>
        <v>13545.8121745644</v>
      </c>
      <c r="R594" s="15" t="n">
        <f aca="false">Q594-$G$2+$I$2</f>
        <v>10429.6121745644</v>
      </c>
      <c r="S594" s="42" t="n">
        <f aca="false">R594/$K$2</f>
        <v>92.379204380553</v>
      </c>
      <c r="T594" s="43" t="n">
        <f aca="false">S594-$M$2</f>
        <v>-76.0884661243186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-0.03125</v>
      </c>
      <c r="C595" s="25" t="n">
        <f aca="false">IF(T594&gt;0,D594,C594)</f>
        <v>0.0625</v>
      </c>
      <c r="D595" s="41" t="n">
        <f aca="false">(B595+C595)/2</f>
        <v>0.015625</v>
      </c>
      <c r="E595" s="15" t="n">
        <f aca="false">$C$2*(1+IF(E$3&lt;=$O$2,$D595,$D595-($D595-$I$589)*MIN(E$3-$O$2,$Q$2)/$Q$2))</f>
        <v>7596.875</v>
      </c>
      <c r="F595" s="15" t="n">
        <f aca="false">E595*(1+IF(F$3&lt;=$O$2,$D595,$D595-($D595-$I$589)*MIN(F$3-$O$2,$Q$2)/$Q$2))</f>
        <v>7715.576171875</v>
      </c>
      <c r="G595" s="15" t="n">
        <f aca="false">F595*(1+IF(G$3&lt;=$O$2,$D595,$D595-($D595-$I$589)*MIN(G$3-$O$2,$Q$2)/$Q$2))</f>
        <v>7836.13204956055</v>
      </c>
      <c r="H595" s="15" t="n">
        <f aca="false">G595*(1+IF(H$3&lt;=$O$2,$D595,$D595-($D595-$I$589)*MIN(H$3-$O$2,$Q$2)/$Q$2))</f>
        <v>7958.57161283493</v>
      </c>
      <c r="I595" s="15" t="n">
        <f aca="false">H595*(1+IF(I$3&lt;=$O$2,$D595,$D595-($D595-$I$589)*MIN(I$3-$O$2,$Q$2)/$Q$2))</f>
        <v>8082.92429428548</v>
      </c>
      <c r="J595" s="15" t="n">
        <f aca="false">I595*(1+IF(J$3&lt;=$O$2,$D595,$D595-($D595-$I$589)*MIN(J$3-$O$2,$Q$2)/$Q$2))</f>
        <v>8213.54435088113</v>
      </c>
      <c r="K595" s="15" t="n">
        <f aca="false">J595*(1+IF(K$3&lt;=$O$2,$D595,$D595-($D595-$I$589)*MIN(K$3-$O$2,$Q$2)/$Q$2))</f>
        <v>8350.66947381909</v>
      </c>
      <c r="L595" s="15" t="n">
        <f aca="false">K595*(1+IF(L$3&lt;=$O$2,$D595,$D595-($D595-$I$589)*MIN(L$3-$O$2,$Q$2)/$Q$2))</f>
        <v>8494.55150885299</v>
      </c>
      <c r="M595" s="15" t="n">
        <f aca="false">L595*(1+IF(M$3&lt;=$O$2,$D595,$D595-($D595-$I$589)*MIN(M$3-$O$2,$Q$2)/$Q$2))</f>
        <v>8645.45721640777</v>
      </c>
      <c r="N595" s="15" t="n">
        <f aca="false">M595*(1+IF(N$3&lt;=$O$2,$D595,$D595-($D595-$I$589)*MIN(N$3-$O$2,$Q$2)/$Q$2))</f>
        <v>8803.66908346803</v>
      </c>
      <c r="O595" s="15" t="n">
        <f aca="false">SUMPRODUCT(E595:N595,1/(1+$F$589)^$E$3:$N$3)*$E$2</f>
        <v>8824.99094218514</v>
      </c>
      <c r="P595" s="15" t="n">
        <f aca="false">N595*$E$2*(1+$I$589)/($F$589-$I$589)/(1+$F$589)^$N$3</f>
        <v>8806.50729811259</v>
      </c>
      <c r="Q595" s="15" t="n">
        <f aca="false">O595+P595</f>
        <v>17631.4982402977</v>
      </c>
      <c r="R595" s="15" t="n">
        <f aca="false">Q595-$G$2+$I$2</f>
        <v>14515.2982402977</v>
      </c>
      <c r="S595" s="42" t="n">
        <f aca="false">R595/$K$2</f>
        <v>128.567743492451</v>
      </c>
      <c r="T595" s="43" t="n">
        <f aca="false">S595-$M$2</f>
        <v>-39.8999270124205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0.015625</v>
      </c>
      <c r="C596" s="25" t="n">
        <f aca="false">IF(T595&gt;0,D595,C595)</f>
        <v>0.0625</v>
      </c>
      <c r="D596" s="41" t="n">
        <f aca="false">(B596+C596)/2</f>
        <v>0.0390625</v>
      </c>
      <c r="E596" s="15" t="n">
        <f aca="false">$C$2*(1+IF(E$3&lt;=$O$2,$D596,$D596-($D596-$I$589)*MIN(E$3-$O$2,$Q$2)/$Q$2))</f>
        <v>7772.1875</v>
      </c>
      <c r="F596" s="15" t="n">
        <f aca="false">E596*(1+IF(F$3&lt;=$O$2,$D596,$D596-($D596-$I$589)*MIN(F$3-$O$2,$Q$2)/$Q$2))</f>
        <v>8075.78857421875</v>
      </c>
      <c r="G596" s="15" t="n">
        <f aca="false">F596*(1+IF(G$3&lt;=$O$2,$D596,$D596-($D596-$I$589)*MIN(G$3-$O$2,$Q$2)/$Q$2))</f>
        <v>8391.24906539917</v>
      </c>
      <c r="H596" s="15" t="n">
        <f aca="false">G596*(1+IF(H$3&lt;=$O$2,$D596,$D596-($D596-$I$589)*MIN(H$3-$O$2,$Q$2)/$Q$2))</f>
        <v>8719.03223201633</v>
      </c>
      <c r="I596" s="15" t="n">
        <f aca="false">H596*(1+IF(I$3&lt;=$O$2,$D596,$D596-($D596-$I$589)*MIN(I$3-$O$2,$Q$2)/$Q$2))</f>
        <v>9059.61942857946</v>
      </c>
      <c r="J596" s="15" t="n">
        <f aca="false">I596*(1+IF(J$3&lt;=$O$2,$D596,$D596-($D596-$I$589)*MIN(J$3-$O$2,$Q$2)/$Q$2))</f>
        <v>9375.89074283117</v>
      </c>
      <c r="K596" s="15" t="n">
        <f aca="false">J596*(1+IF(K$3&lt;=$O$2,$D596,$D596-($D596-$I$589)*MIN(K$3-$O$2,$Q$2)/$Q$2))</f>
        <v>9664.2697023538</v>
      </c>
      <c r="L596" s="15" t="n">
        <f aca="false">K596*(1+IF(L$3&lt;=$O$2,$D596,$D596-($D596-$I$589)*MIN(L$3-$O$2,$Q$2)/$Q$2))</f>
        <v>9921.38759778493</v>
      </c>
      <c r="M596" s="15" t="n">
        <f aca="false">L596*(1+IF(M$3&lt;=$O$2,$D596,$D596-($D596-$I$589)*MIN(M$3-$O$2,$Q$2)/$Q$2))</f>
        <v>10144.1475528242</v>
      </c>
      <c r="N596" s="15" t="n">
        <f aca="false">M596*(1+IF(N$3&lt;=$O$2,$D596,$D596-($D596-$I$589)*MIN(N$3-$O$2,$Q$2)/$Q$2))</f>
        <v>10329.7854530409</v>
      </c>
      <c r="O596" s="15" t="n">
        <f aca="false">SUMPRODUCT(E596:N596,1/(1+$F$589)^$E$3:$N$3)*$E$2</f>
        <v>9764.90538372783</v>
      </c>
      <c r="P596" s="15" t="n">
        <f aca="false">N596*$E$2*(1+$I$589)/($F$589-$I$589)/(1+$F$589)^$N$3</f>
        <v>10333.1156723017</v>
      </c>
      <c r="Q596" s="15" t="n">
        <f aca="false">O596+P596</f>
        <v>20098.0210560296</v>
      </c>
      <c r="R596" s="15" t="n">
        <f aca="false">Q596-$G$2+$I$2</f>
        <v>16981.8210560296</v>
      </c>
      <c r="S596" s="42" t="n">
        <f aca="false">R596/$K$2</f>
        <v>150.414712630908</v>
      </c>
      <c r="T596" s="43" t="n">
        <f aca="false">S596-$M$2</f>
        <v>-18.0529578739631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0.0390625</v>
      </c>
      <c r="C597" s="25" t="n">
        <f aca="false">IF(T596&gt;0,D596,C596)</f>
        <v>0.0625</v>
      </c>
      <c r="D597" s="41" t="n">
        <f aca="false">(B597+C597)/2</f>
        <v>0.05078125</v>
      </c>
      <c r="E597" s="15" t="n">
        <f aca="false">$C$2*(1+IF(E$3&lt;=$O$2,$D597,$D597-($D597-$I$589)*MIN(E$3-$O$2,$Q$2)/$Q$2))</f>
        <v>7859.84375</v>
      </c>
      <c r="F597" s="15" t="n">
        <f aca="false">E597*(1+IF(F$3&lt;=$O$2,$D597,$D597-($D597-$I$589)*MIN(F$3-$O$2,$Q$2)/$Q$2))</f>
        <v>8258.97644042969</v>
      </c>
      <c r="G597" s="15" t="n">
        <f aca="false">F597*(1+IF(G$3&lt;=$O$2,$D597,$D597-($D597-$I$589)*MIN(G$3-$O$2,$Q$2)/$Q$2))</f>
        <v>8678.37758779526</v>
      </c>
      <c r="H597" s="15" t="n">
        <f aca="false">G597*(1+IF(H$3&lt;=$O$2,$D597,$D597-($D597-$I$589)*MIN(H$3-$O$2,$Q$2)/$Q$2))</f>
        <v>9119.07644967549</v>
      </c>
      <c r="I597" s="15" t="n">
        <f aca="false">H597*(1+IF(I$3&lt;=$O$2,$D597,$D597-($D597-$I$589)*MIN(I$3-$O$2,$Q$2)/$Q$2))</f>
        <v>9582.15455063557</v>
      </c>
      <c r="J597" s="15" t="n">
        <f aca="false">I597*(1+IF(J$3&lt;=$O$2,$D597,$D597-($D597-$I$589)*MIN(J$3-$O$2,$Q$2)/$Q$2))</f>
        <v>10006.5002649105</v>
      </c>
      <c r="K597" s="15" t="n">
        <f aca="false">J597*(1+IF(K$3&lt;=$O$2,$D597,$D597-($D597-$I$589)*MIN(K$3-$O$2,$Q$2)/$Q$2))</f>
        <v>10384.6334017961</v>
      </c>
      <c r="L597" s="15" t="n">
        <f aca="false">K597*(1+IF(L$3&lt;=$O$2,$D597,$D597-($D597-$I$589)*MIN(L$3-$O$2,$Q$2)/$Q$2))</f>
        <v>10709.5945425218</v>
      </c>
      <c r="M597" s="15" t="n">
        <f aca="false">L597*(1+IF(M$3&lt;=$O$2,$D597,$D597-($D597-$I$589)*MIN(M$3-$O$2,$Q$2)/$Q$2))</f>
        <v>10975.1523261968</v>
      </c>
      <c r="N597" s="15" t="n">
        <f aca="false">M597*(1+IF(N$3&lt;=$O$2,$D597,$D597-($D597-$I$589)*MIN(N$3-$O$2,$Q$2)/$Q$2))</f>
        <v>11175.9976137662</v>
      </c>
      <c r="O597" s="15" t="n">
        <f aca="false">SUMPRODUCT(E597:N597,1/(1+$F$589)^$E$3:$N$3)*$E$2</f>
        <v>10272.3547220195</v>
      </c>
      <c r="P597" s="15" t="n">
        <f aca="false">N597*$E$2*(1+$I$589)/($F$589-$I$589)/(1+$F$589)^$N$3</f>
        <v>11179.6006433433</v>
      </c>
      <c r="Q597" s="15" t="n">
        <f aca="false">O597+P597</f>
        <v>21451.9553653629</v>
      </c>
      <c r="R597" s="15" t="n">
        <f aca="false">Q597-$G$2+$I$2</f>
        <v>18335.7553653629</v>
      </c>
      <c r="S597" s="42" t="n">
        <f aca="false">R597/$K$2</f>
        <v>162.407044865925</v>
      </c>
      <c r="T597" s="43" t="n">
        <f aca="false">S597-$M$2</f>
        <v>-6.0606256389471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0.05078125</v>
      </c>
      <c r="C598" s="25" t="n">
        <f aca="false">IF(T597&gt;0,D597,C597)</f>
        <v>0.0625</v>
      </c>
      <c r="D598" s="41" t="n">
        <f aca="false">(B598+C598)/2</f>
        <v>0.056640625</v>
      </c>
      <c r="E598" s="15" t="n">
        <f aca="false">$C$2*(1+IF(E$3&lt;=$O$2,$D598,$D598-($D598-$I$589)*MIN(E$3-$O$2,$Q$2)/$Q$2))</f>
        <v>7903.671875</v>
      </c>
      <c r="F598" s="15" t="n">
        <f aca="false">E598*(1+IF(F$3&lt;=$O$2,$D598,$D598-($D598-$I$589)*MIN(F$3-$O$2,$Q$2)/$Q$2))</f>
        <v>8351.34078979492</v>
      </c>
      <c r="G598" s="15" t="n">
        <f aca="false">F598*(1+IF(G$3&lt;=$O$2,$D598,$D598-($D598-$I$589)*MIN(G$3-$O$2,$Q$2)/$Q$2))</f>
        <v>8824.3659517169</v>
      </c>
      <c r="H598" s="15" t="n">
        <f aca="false">G598*(1+IF(H$3&lt;=$O$2,$D598,$D598-($D598-$I$589)*MIN(H$3-$O$2,$Q$2)/$Q$2))</f>
        <v>9324.18355445087</v>
      </c>
      <c r="I598" s="15" t="n">
        <f aca="false">H598*(1+IF(I$3&lt;=$O$2,$D598,$D598-($D598-$I$589)*MIN(I$3-$O$2,$Q$2)/$Q$2))</f>
        <v>9852.31113858968</v>
      </c>
      <c r="J598" s="15" t="n">
        <f aca="false">I598*(1+IF(J$3&lt;=$O$2,$D598,$D598-($D598-$I$589)*MIN(J$3-$O$2,$Q$2)/$Q$2))</f>
        <v>10334.8034458243</v>
      </c>
      <c r="K598" s="15" t="n">
        <f aca="false">J598*(1+IF(K$3&lt;=$O$2,$D598,$D598-($D598-$I$589)*MIN(K$3-$O$2,$Q$2)/$Q$2))</f>
        <v>10761.6760429019</v>
      </c>
      <c r="L598" s="15" t="n">
        <f aca="false">K598*(1+IF(L$3&lt;=$O$2,$D598,$D598-($D598-$I$589)*MIN(L$3-$O$2,$Q$2)/$Q$2))</f>
        <v>11123.6584686999</v>
      </c>
      <c r="M598" s="15" t="n">
        <f aca="false">L598*(1+IF(M$3&lt;=$O$2,$D598,$D598-($D598-$I$589)*MIN(M$3-$O$2,$Q$2)/$Q$2))</f>
        <v>11412.5190222725</v>
      </c>
      <c r="N598" s="15" t="n">
        <f aca="false">M598*(1+IF(N$3&lt;=$O$2,$D598,$D598-($D598-$I$589)*MIN(N$3-$O$2,$Q$2)/$Q$2))</f>
        <v>11621.36812038</v>
      </c>
      <c r="O598" s="15" t="n">
        <f aca="false">SUMPRODUCT(E598:N598,1/(1+$F$589)^$E$3:$N$3)*$E$2</f>
        <v>10535.991611822</v>
      </c>
      <c r="P598" s="15" t="n">
        <f aca="false">N598*$E$2*(1+$I$589)/($F$589-$I$589)/(1+$F$589)^$N$3</f>
        <v>11625.1147329431</v>
      </c>
      <c r="Q598" s="15" t="n">
        <f aca="false">O598+P598</f>
        <v>22161.1063447651</v>
      </c>
      <c r="R598" s="15" t="n">
        <f aca="false">Q598-$G$2+$I$2</f>
        <v>19044.9063447651</v>
      </c>
      <c r="S598" s="42" t="n">
        <f aca="false">R598/$K$2</f>
        <v>168.688275861515</v>
      </c>
      <c r="T598" s="43" t="n">
        <f aca="false">S598-$M$2</f>
        <v>0.220605356643574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0.05078125</v>
      </c>
      <c r="C599" s="25" t="n">
        <f aca="false">IF(T598&gt;0,D598,C598)</f>
        <v>0.056640625</v>
      </c>
      <c r="D599" s="41" t="n">
        <f aca="false">(B599+C599)/2</f>
        <v>0.0537109375</v>
      </c>
      <c r="E599" s="15" t="n">
        <f aca="false">$C$2*(1+IF(E$3&lt;=$O$2,$D599,$D599-($D599-$I$589)*MIN(E$3-$O$2,$Q$2)/$Q$2))</f>
        <v>7881.7578125</v>
      </c>
      <c r="F599" s="15" t="n">
        <f aca="false">E599*(1+IF(F$3&lt;=$O$2,$D599,$D599-($D599-$I$589)*MIN(F$3-$O$2,$Q$2)/$Q$2))</f>
        <v>8305.09441375732</v>
      </c>
      <c r="G599" s="15" t="n">
        <f aca="false">F599*(1+IF(G$3&lt;=$O$2,$D599,$D599-($D599-$I$589)*MIN(G$3-$O$2,$Q$2)/$Q$2))</f>
        <v>8751.16882074624</v>
      </c>
      <c r="H599" s="15" t="n">
        <f aca="false">G599*(1+IF(H$3&lt;=$O$2,$D599,$D599-($D599-$I$589)*MIN(H$3-$O$2,$Q$2)/$Q$2))</f>
        <v>9221.20230232929</v>
      </c>
      <c r="I599" s="15" t="n">
        <f aca="false">H599*(1+IF(I$3&lt;=$O$2,$D599,$D599-($D599-$I$589)*MIN(I$3-$O$2,$Q$2)/$Q$2))</f>
        <v>9716.48172286456</v>
      </c>
      <c r="J599" s="15" t="n">
        <f aca="false">I599*(1+IF(J$3&lt;=$O$2,$D599,$D599-($D599-$I$589)*MIN(J$3-$O$2,$Q$2)/$Q$2))</f>
        <v>10169.5491199996</v>
      </c>
      <c r="K599" s="15" t="n">
        <f aca="false">J599*(1+IF(K$3&lt;=$O$2,$D599,$D599-($D599-$I$589)*MIN(K$3-$O$2,$Q$2)/$Q$2))</f>
        <v>10571.7198298705</v>
      </c>
      <c r="L599" s="15" t="n">
        <f aca="false">K599*(1+IF(L$3&lt;=$O$2,$D599,$D599-($D599-$I$589)*MIN(L$3-$O$2,$Q$2)/$Q$2))</f>
        <v>10914.9241068223</v>
      </c>
      <c r="M599" s="15" t="n">
        <f aca="false">L599*(1+IF(M$3&lt;=$O$2,$D599,$D599-($D599-$I$589)*MIN(M$3-$O$2,$Q$2)/$Q$2))</f>
        <v>11191.9687570499</v>
      </c>
      <c r="N599" s="15" t="n">
        <f aca="false">M599*(1+IF(N$3&lt;=$O$2,$D599,$D599-($D599-$I$589)*MIN(N$3-$O$2,$Q$2)/$Q$2))</f>
        <v>11396.781785304</v>
      </c>
      <c r="O599" s="15" t="n">
        <f aca="false">SUMPRODUCT(E599:N599,1/(1+$F$589)^$E$3:$N$3)*$E$2</f>
        <v>10403.3305489489</v>
      </c>
      <c r="P599" s="15" t="n">
        <f aca="false">N599*$E$2*(1+$I$589)/($F$589-$I$589)/(1+$F$589)^$N$3</f>
        <v>11400.4559934844</v>
      </c>
      <c r="Q599" s="15" t="n">
        <f aca="false">O599+P599</f>
        <v>21803.7865424333</v>
      </c>
      <c r="R599" s="15" t="n">
        <f aca="false">Q599-$G$2+$I$2</f>
        <v>18687.5865424333</v>
      </c>
      <c r="S599" s="42" t="n">
        <f aca="false">R599/$K$2</f>
        <v>165.523352900206</v>
      </c>
      <c r="T599" s="43" t="n">
        <f aca="false">S599-$M$2</f>
        <v>-2.94431760466554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0.0537109375</v>
      </c>
      <c r="C600" s="25" t="n">
        <f aca="false">IF(T599&gt;0,D599,C599)</f>
        <v>0.056640625</v>
      </c>
      <c r="D600" s="41" t="n">
        <f aca="false">(B600+C600)/2</f>
        <v>0.05517578125</v>
      </c>
      <c r="E600" s="15" t="n">
        <f aca="false">$C$2*(1+IF(E$3&lt;=$O$2,$D600,$D600-($D600-$I$589)*MIN(E$3-$O$2,$Q$2)/$Q$2))</f>
        <v>7892.71484375</v>
      </c>
      <c r="F600" s="15" t="n">
        <f aca="false">E600*(1+IF(F$3&lt;=$O$2,$D600,$D600-($D600-$I$589)*MIN(F$3-$O$2,$Q$2)/$Q$2))</f>
        <v>8328.20155143738</v>
      </c>
      <c r="G600" s="15" t="n">
        <f aca="false">F600*(1+IF(G$3&lt;=$O$2,$D600,$D600-($D600-$I$589)*MIN(G$3-$O$2,$Q$2)/$Q$2))</f>
        <v>8787.7165784454</v>
      </c>
      <c r="H600" s="15" t="n">
        <f aca="false">G600*(1+IF(H$3&lt;=$O$2,$D600,$D600-($D600-$I$589)*MIN(H$3-$O$2,$Q$2)/$Q$2))</f>
        <v>9272.5857060647</v>
      </c>
      <c r="I600" s="15" t="n">
        <f aca="false">H600*(1+IF(I$3&lt;=$O$2,$D600,$D600-($D600-$I$589)*MIN(I$3-$O$2,$Q$2)/$Q$2))</f>
        <v>9784.2078666044</v>
      </c>
      <c r="J600" s="15" t="n">
        <f aca="false">I600*(1+IF(J$3&lt;=$O$2,$D600,$D600-($D600-$I$589)*MIN(J$3-$O$2,$Q$2)/$Q$2))</f>
        <v>10251.899117758</v>
      </c>
      <c r="K600" s="15" t="n">
        <f aca="false">J600*(1+IF(K$3&lt;=$O$2,$D600,$D600-($D600-$I$589)*MIN(K$3-$O$2,$Q$2)/$Q$2))</f>
        <v>10666.3369451711</v>
      </c>
      <c r="L600" s="15" t="n">
        <f aca="false">K600*(1+IF(L$3&lt;=$O$2,$D600,$D600-($D600-$I$589)*MIN(L$3-$O$2,$Q$2)/$Q$2))</f>
        <v>11018.8627144393</v>
      </c>
      <c r="M600" s="15" t="n">
        <f aca="false">L600*(1+IF(M$3&lt;=$O$2,$D600,$D600-($D600-$I$589)*MIN(M$3-$O$2,$Q$2)/$Q$2))</f>
        <v>11301.7737363298</v>
      </c>
      <c r="N600" s="15" t="n">
        <f aca="false">M600*(1+IF(N$3&lt;=$O$2,$D600,$D600-($D600-$I$589)*MIN(N$3-$O$2,$Q$2)/$Q$2))</f>
        <v>11508.5961957047</v>
      </c>
      <c r="O600" s="15" t="n">
        <f aca="false">SUMPRODUCT(E600:N600,1/(1+$F$589)^$E$3:$N$3)*$E$2</f>
        <v>10469.4491629895</v>
      </c>
      <c r="P600" s="15" t="n">
        <f aca="false">N600*$E$2*(1+$I$589)/($F$589-$I$589)/(1+$F$589)^$N$3</f>
        <v>11512.3064517299</v>
      </c>
      <c r="Q600" s="15" t="n">
        <f aca="false">O600+P600</f>
        <v>21981.7556147193</v>
      </c>
      <c r="R600" s="15" t="n">
        <f aca="false">Q600-$G$2+$I$2</f>
        <v>18865.5556147193</v>
      </c>
      <c r="S600" s="42" t="n">
        <f aca="false">R600/$K$2</f>
        <v>167.099695435955</v>
      </c>
      <c r="T600" s="43" t="n">
        <f aca="false">S600-$M$2</f>
        <v>-1.36797506891637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0.05517578125</v>
      </c>
      <c r="C601" s="25" t="n">
        <f aca="false">IF(T600&gt;0,D600,C600)</f>
        <v>0.056640625</v>
      </c>
      <c r="D601" s="41" t="n">
        <f aca="false">(B601+C601)/2</f>
        <v>0.055908203125</v>
      </c>
      <c r="E601" s="15" t="n">
        <f aca="false">$C$2*(1+IF(E$3&lt;=$O$2,$D601,$D601-($D601-$I$589)*MIN(E$3-$O$2,$Q$2)/$Q$2))</f>
        <v>7898.193359375</v>
      </c>
      <c r="F601" s="15" t="n">
        <f aca="false">E601*(1+IF(F$3&lt;=$O$2,$D601,$D601-($D601-$I$589)*MIN(F$3-$O$2,$Q$2)/$Q$2))</f>
        <v>8339.76715803146</v>
      </c>
      <c r="G601" s="15" t="n">
        <f aca="false">F601*(1+IF(G$3&lt;=$O$2,$D601,$D601-($D601-$I$589)*MIN(G$3-$O$2,$Q$2)/$Q$2))</f>
        <v>8806.02855431789</v>
      </c>
      <c r="H601" s="15" t="n">
        <f aca="false">G601*(1+IF(H$3&lt;=$O$2,$D601,$D601-($D601-$I$589)*MIN(H$3-$O$2,$Q$2)/$Q$2))</f>
        <v>9298.35778745725</v>
      </c>
      <c r="I601" s="15" t="n">
        <f aca="false">H601*(1+IF(I$3&lt;=$O$2,$D601,$D601-($D601-$I$589)*MIN(I$3-$O$2,$Q$2)/$Q$2))</f>
        <v>9818.21226336733</v>
      </c>
      <c r="J601" s="15" t="n">
        <f aca="false">I601*(1+IF(J$3&lt;=$O$2,$D601,$D601-($D601-$I$589)*MIN(J$3-$O$2,$Q$2)/$Q$2))</f>
        <v>10293.281804687</v>
      </c>
      <c r="K601" s="15" t="n">
        <f aca="false">J601*(1+IF(K$3&lt;=$O$2,$D601,$D601-($D601-$I$589)*MIN(K$3-$O$2,$Q$2)/$Q$2))</f>
        <v>10713.9159614729</v>
      </c>
      <c r="L601" s="15" t="n">
        <f aca="false">K601*(1+IF(L$3&lt;=$O$2,$D601,$D601-($D601-$I$589)*MIN(L$3-$O$2,$Q$2)/$Q$2))</f>
        <v>11071.1530746652</v>
      </c>
      <c r="M601" s="15" t="n">
        <f aca="false">L601*(1+IF(M$3&lt;=$O$2,$D601,$D601-($D601-$I$589)*MIN(M$3-$O$2,$Q$2)/$Q$2))</f>
        <v>11357.0284106635</v>
      </c>
      <c r="N601" s="15" t="n">
        <f aca="false">M601*(1+IF(N$3&lt;=$O$2,$D601,$D601-($D601-$I$589)*MIN(N$3-$O$2,$Q$2)/$Q$2))</f>
        <v>11564.8620305787</v>
      </c>
      <c r="O601" s="15" t="n">
        <f aca="false">SUMPRODUCT(E601:N601,1/(1+$F$589)^$E$3:$N$3)*$E$2</f>
        <v>10502.6672494735</v>
      </c>
      <c r="P601" s="15" t="n">
        <f aca="false">N601*$E$2*(1+$I$589)/($F$589-$I$589)/(1+$F$589)^$N$3</f>
        <v>11568.5904261449</v>
      </c>
      <c r="Q601" s="15" t="n">
        <f aca="false">O601+P601</f>
        <v>22071.2576756184</v>
      </c>
      <c r="R601" s="15" t="n">
        <f aca="false">Q601-$G$2+$I$2</f>
        <v>18955.0576756184</v>
      </c>
      <c r="S601" s="42" t="n">
        <f aca="false">R601/$K$2</f>
        <v>167.892450625495</v>
      </c>
      <c r="T601" s="43" t="n">
        <f aca="false">S601-$M$2</f>
        <v>-0.575219879376419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0.055908203125</v>
      </c>
      <c r="C602" s="25" t="n">
        <f aca="false">IF(T601&gt;0,D601,C601)</f>
        <v>0.056640625</v>
      </c>
      <c r="D602" s="41" t="n">
        <f aca="false">(B602+C602)/2</f>
        <v>0.0562744140625</v>
      </c>
      <c r="E602" s="15" t="n">
        <f aca="false">$C$2*(1+IF(E$3&lt;=$O$2,$D602,$D602-($D602-$I$589)*MIN(E$3-$O$2,$Q$2)/$Q$2))</f>
        <v>7900.9326171875</v>
      </c>
      <c r="F602" s="15" t="n">
        <f aca="false">E602*(1+IF(F$3&lt;=$O$2,$D602,$D602-($D602-$I$589)*MIN(F$3-$O$2,$Q$2)/$Q$2))</f>
        <v>8345.55297076702</v>
      </c>
      <c r="G602" s="15" t="n">
        <f aca="false">F602*(1+IF(G$3&lt;=$O$2,$D602,$D602-($D602-$I$589)*MIN(G$3-$O$2,$Q$2)/$Q$2))</f>
        <v>8815.19407422449</v>
      </c>
      <c r="H602" s="15" t="n">
        <f aca="false">G602*(1+IF(H$3&lt;=$O$2,$D602,$D602-($D602-$I$589)*MIN(H$3-$O$2,$Q$2)/$Q$2))</f>
        <v>9311.2639555987</v>
      </c>
      <c r="I602" s="15" t="n">
        <f aca="false">H602*(1+IF(I$3&lt;=$O$2,$D602,$D602-($D602-$I$589)*MIN(I$3-$O$2,$Q$2)/$Q$2))</f>
        <v>9835.24987888129</v>
      </c>
      <c r="J602" s="15" t="n">
        <f aca="false">I602*(1+IF(J$3&lt;=$O$2,$D602,$D602-($D602-$I$589)*MIN(J$3-$O$2,$Q$2)/$Q$2))</f>
        <v>10314.0252327118</v>
      </c>
      <c r="K602" s="15" t="n">
        <f aca="false">J602*(1+IF(K$3&lt;=$O$2,$D602,$D602-($D602-$I$589)*MIN(K$3-$O$2,$Q$2)/$Q$2))</f>
        <v>10737.7733333733</v>
      </c>
      <c r="L602" s="15" t="n">
        <f aca="false">K602*(1+IF(L$3&lt;=$O$2,$D602,$D602-($D602-$I$589)*MIN(L$3-$O$2,$Q$2)/$Q$2))</f>
        <v>11097.3788456424</v>
      </c>
      <c r="M602" s="15" t="n">
        <f aca="false">L602*(1+IF(M$3&lt;=$O$2,$D602,$D602-($D602-$I$589)*MIN(M$3-$O$2,$Q$2)/$Q$2))</f>
        <v>11384.7441703762</v>
      </c>
      <c r="N602" s="15" t="n">
        <f aca="false">M602*(1+IF(N$3&lt;=$O$2,$D602,$D602-($D602-$I$589)*MIN(N$3-$O$2,$Q$2)/$Q$2))</f>
        <v>11593.0849886941</v>
      </c>
      <c r="O602" s="15" t="n">
        <f aca="false">SUMPRODUCT(E602:N602,1/(1+$F$589)^$E$3:$N$3)*$E$2</f>
        <v>10519.3161262966</v>
      </c>
      <c r="P602" s="15" t="n">
        <f aca="false">N602*$E$2*(1+$I$589)/($F$589-$I$589)/(1+$F$589)^$N$3</f>
        <v>11596.8224830591</v>
      </c>
      <c r="Q602" s="15" t="n">
        <f aca="false">O602+P602</f>
        <v>22116.1386093556</v>
      </c>
      <c r="R602" s="15" t="n">
        <f aca="false">Q602-$G$2+$I$2</f>
        <v>18999.9386093556</v>
      </c>
      <c r="S602" s="42" t="n">
        <f aca="false">R602/$K$2</f>
        <v>168.289978825116</v>
      </c>
      <c r="T602" s="43" t="n">
        <f aca="false">S602-$M$2</f>
        <v>-0.177691679755213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0.0562744140625</v>
      </c>
      <c r="C603" s="25" t="n">
        <f aca="false">IF(T602&gt;0,D602,C602)</f>
        <v>0.056640625</v>
      </c>
      <c r="D603" s="41" t="n">
        <f aca="false">(B603+C603)/2</f>
        <v>0.05645751953125</v>
      </c>
      <c r="E603" s="15" t="n">
        <f aca="false">$C$2*(1+IF(E$3&lt;=$O$2,$D603,$D603-($D603-$I$589)*MIN(E$3-$O$2,$Q$2)/$Q$2))</f>
        <v>7902.30224609375</v>
      </c>
      <c r="F603" s="15" t="n">
        <f aca="false">E603*(1+IF(F$3&lt;=$O$2,$D603,$D603-($D603-$I$589)*MIN(F$3-$O$2,$Q$2)/$Q$2))</f>
        <v>8348.44662949443</v>
      </c>
      <c r="G603" s="15" t="n">
        <f aca="false">F603*(1+IF(G$3&lt;=$O$2,$D603,$D603-($D603-$I$589)*MIN(G$3-$O$2,$Q$2)/$Q$2))</f>
        <v>8819.77921813471</v>
      </c>
      <c r="H603" s="15" t="n">
        <f aca="false">G603*(1+IF(H$3&lt;=$O$2,$D603,$D603-($D603-$I$589)*MIN(H$3-$O$2,$Q$2)/$Q$2))</f>
        <v>9317.72207560386</v>
      </c>
      <c r="I603" s="15" t="n">
        <f aca="false">H603*(1+IF(I$3&lt;=$O$2,$D603,$D603-($D603-$I$589)*MIN(I$3-$O$2,$Q$2)/$Q$2))</f>
        <v>9843.77755167403</v>
      </c>
      <c r="J603" s="15" t="n">
        <f aca="false">I603*(1+IF(J$3&lt;=$O$2,$D603,$D603-($D603-$I$589)*MIN(J$3-$O$2,$Q$2)/$Q$2))</f>
        <v>10324.4099882211</v>
      </c>
      <c r="K603" s="15" t="n">
        <f aca="false">J603*(1+IF(K$3&lt;=$O$2,$D603,$D603-($D603-$I$589)*MIN(K$3-$O$2,$Q$2)/$Q$2))</f>
        <v>10749.71901647</v>
      </c>
      <c r="L603" s="15" t="n">
        <f aca="false">K603*(1+IF(L$3&lt;=$O$2,$D603,$D603-($D603-$I$589)*MIN(L$3-$O$2,$Q$2)/$Q$2))</f>
        <v>11110.511919802</v>
      </c>
      <c r="M603" s="15" t="n">
        <f aca="false">L603*(1+IF(M$3&lt;=$O$2,$D603,$D603-($D603-$I$589)*MIN(M$3-$O$2,$Q$2)/$Q$2))</f>
        <v>11398.6242030508</v>
      </c>
      <c r="N603" s="15" t="n">
        <f aca="false">M603*(1+IF(N$3&lt;=$O$2,$D603,$D603-($D603-$I$589)*MIN(N$3-$O$2,$Q$2)/$Q$2))</f>
        <v>11607.2190259666</v>
      </c>
      <c r="O603" s="15" t="n">
        <f aca="false">SUMPRODUCT(E603:N603,1/(1+$F$589)^$E$3:$N$3)*$E$2</f>
        <v>10527.6505404852</v>
      </c>
      <c r="P603" s="15" t="n">
        <f aca="false">N603*$E$2*(1+$I$589)/($F$589-$I$589)/(1+$F$589)^$N$3</f>
        <v>11610.9610770035</v>
      </c>
      <c r="Q603" s="15" t="n">
        <f aca="false">O603+P603</f>
        <v>22138.6116174887</v>
      </c>
      <c r="R603" s="15" t="n">
        <f aca="false">Q603-$G$2+$I$2</f>
        <v>19022.4116174887</v>
      </c>
      <c r="S603" s="42" t="n">
        <f aca="false">R603/$K$2</f>
        <v>168.48903115579</v>
      </c>
      <c r="T603" s="43" t="n">
        <f aca="false">S603-$M$2</f>
        <v>0.0213606509180693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0.0562744140625</v>
      </c>
      <c r="C604" s="25" t="n">
        <f aca="false">IF(T603&gt;0,D603,C603)</f>
        <v>0.05645751953125</v>
      </c>
      <c r="D604" s="41" t="n">
        <f aca="false">(B604+C604)/2</f>
        <v>0.056365966796875</v>
      </c>
      <c r="E604" s="15" t="n">
        <f aca="false">$C$2*(1+IF(E$3&lt;=$O$2,$D604,$D604-($D604-$I$589)*MIN(E$3-$O$2,$Q$2)/$Q$2))</f>
        <v>7901.61743164063</v>
      </c>
      <c r="F604" s="15" t="n">
        <f aca="false">E604*(1+IF(F$3&lt;=$O$2,$D604,$D604-($D604-$I$589)*MIN(F$3-$O$2,$Q$2)/$Q$2))</f>
        <v>8346.99973743409</v>
      </c>
      <c r="G604" s="15" t="n">
        <f aca="false">F604*(1+IF(G$3&lt;=$O$2,$D604,$D604-($D604-$I$589)*MIN(G$3-$O$2,$Q$2)/$Q$2))</f>
        <v>8817.48644748782</v>
      </c>
      <c r="H604" s="15" t="n">
        <f aca="false">G604*(1+IF(H$3&lt;=$O$2,$D604,$D604-($D604-$I$589)*MIN(H$3-$O$2,$Q$2)/$Q$2))</f>
        <v>9314.49259581882</v>
      </c>
      <c r="I604" s="15" t="n">
        <f aca="false">H604*(1+IF(I$3&lt;=$O$2,$D604,$D604-($D604-$I$589)*MIN(I$3-$O$2,$Q$2)/$Q$2))</f>
        <v>9839.51297620448</v>
      </c>
      <c r="J604" s="15" t="n">
        <f aca="false">I604*(1+IF(J$3&lt;=$O$2,$D604,$D604-($D604-$I$589)*MIN(J$3-$O$2,$Q$2)/$Q$2))</f>
        <v>10319.2165230687</v>
      </c>
      <c r="K604" s="15" t="n">
        <f aca="false">J604*(1+IF(K$3&lt;=$O$2,$D604,$D604-($D604-$I$589)*MIN(K$3-$O$2,$Q$2)/$Q$2))</f>
        <v>10743.744757563</v>
      </c>
      <c r="L604" s="15" t="n">
        <f aca="false">K604*(1+IF(L$3&lt;=$O$2,$D604,$D604-($D604-$I$589)*MIN(L$3-$O$2,$Q$2)/$Q$2))</f>
        <v>11103.9436991126</v>
      </c>
      <c r="M604" s="15" t="n">
        <f aca="false">L604*(1+IF(M$3&lt;=$O$2,$D604,$D604-($D604-$I$589)*MIN(M$3-$O$2,$Q$2)/$Q$2))</f>
        <v>11391.6823392393</v>
      </c>
      <c r="N604" s="15" t="n">
        <f aca="false">M604*(1+IF(N$3&lt;=$O$2,$D604,$D604-($D604-$I$589)*MIN(N$3-$O$2,$Q$2)/$Q$2))</f>
        <v>11600.1501260474</v>
      </c>
      <c r="O604" s="15" t="n">
        <f aca="false">SUMPRODUCT(E604:N604,1/(1+$F$589)^$E$3:$N$3)*$E$2</f>
        <v>10523.4825015583</v>
      </c>
      <c r="P604" s="15" t="n">
        <f aca="false">N604*$E$2*(1+$I$589)/($F$589-$I$589)/(1+$F$589)^$N$3</f>
        <v>11603.8898981418</v>
      </c>
      <c r="Q604" s="15" t="n">
        <f aca="false">O604+P604</f>
        <v>22127.3723997001</v>
      </c>
      <c r="R604" s="15" t="n">
        <f aca="false">Q604-$G$2+$I$2</f>
        <v>19011.1723997001</v>
      </c>
      <c r="S604" s="42" t="n">
        <f aca="false">R604/$K$2</f>
        <v>168.389480953942</v>
      </c>
      <c r="T604" s="43" t="n">
        <f aca="false">S604-$M$2</f>
        <v>-0.0781895509292383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0.056365966796875</v>
      </c>
      <c r="C605" s="25" t="n">
        <f aca="false">IF(T604&gt;0,D604,C604)</f>
        <v>0.05645751953125</v>
      </c>
      <c r="D605" s="41" t="n">
        <f aca="false">(B605+C605)/2</f>
        <v>0.0564117431640625</v>
      </c>
      <c r="E605" s="15" t="n">
        <f aca="false">$C$2*(1+IF(E$3&lt;=$O$2,$D605,$D605-($D605-$I$589)*MIN(E$3-$O$2,$Q$2)/$Q$2))</f>
        <v>7901.95983886719</v>
      </c>
      <c r="F605" s="15" t="n">
        <f aca="false">E605*(1+IF(F$3&lt;=$O$2,$D605,$D605-($D605-$I$589)*MIN(F$3-$O$2,$Q$2)/$Q$2))</f>
        <v>8347.7231677901</v>
      </c>
      <c r="G605" s="15" t="n">
        <f aca="false">F605*(1+IF(G$3&lt;=$O$2,$D605,$D605-($D605-$I$589)*MIN(G$3-$O$2,$Q$2)/$Q$2))</f>
        <v>8818.63278313617</v>
      </c>
      <c r="H605" s="15" t="n">
        <f aca="false">G605*(1+IF(H$3&lt;=$O$2,$D605,$D605-($D605-$I$589)*MIN(H$3-$O$2,$Q$2)/$Q$2))</f>
        <v>9316.10723075663</v>
      </c>
      <c r="I605" s="15" t="n">
        <f aca="false">H605*(1+IF(I$3&lt;=$O$2,$D605,$D605-($D605-$I$589)*MIN(I$3-$O$2,$Q$2)/$Q$2))</f>
        <v>9841.64507914694</v>
      </c>
      <c r="J605" s="15" t="n">
        <f aca="false">I605*(1+IF(J$3&lt;=$O$2,$D605,$D605-($D605-$I$589)*MIN(J$3-$O$2,$Q$2)/$Q$2))</f>
        <v>10321.81298375</v>
      </c>
      <c r="K605" s="15" t="n">
        <f aca="false">J605*(1+IF(K$3&lt;=$O$2,$D605,$D605-($D605-$I$589)*MIN(K$3-$O$2,$Q$2)/$Q$2))</f>
        <v>10746.7315326071</v>
      </c>
      <c r="L605" s="15" t="n">
        <f aca="false">K605*(1+IF(L$3&lt;=$O$2,$D605,$D605-($D605-$I$589)*MIN(L$3-$O$2,$Q$2)/$Q$2))</f>
        <v>11107.2273884633</v>
      </c>
      <c r="M605" s="15" t="n">
        <f aca="false">L605*(1+IF(M$3&lt;=$O$2,$D605,$D605-($D605-$I$589)*MIN(M$3-$O$2,$Q$2)/$Q$2))</f>
        <v>11395.152809171</v>
      </c>
      <c r="N605" s="15" t="n">
        <f aca="false">M605*(1+IF(N$3&lt;=$O$2,$D605,$D605-($D605-$I$589)*MIN(N$3-$O$2,$Q$2)/$Q$2))</f>
        <v>11603.6841055788</v>
      </c>
      <c r="O605" s="15" t="n">
        <f aca="false">SUMPRODUCT(E605:N605,1/(1+$F$589)^$E$3:$N$3)*$E$2</f>
        <v>10525.5663130247</v>
      </c>
      <c r="P605" s="15" t="n">
        <f aca="false">N605*$E$2*(1+$I$589)/($F$589-$I$589)/(1+$F$589)^$N$3</f>
        <v>11607.4250169928</v>
      </c>
      <c r="Q605" s="15" t="n">
        <f aca="false">O605+P605</f>
        <v>22132.9913300175</v>
      </c>
      <c r="R605" s="15" t="n">
        <f aca="false">Q605-$G$2+$I$2</f>
        <v>19016.7913300175</v>
      </c>
      <c r="S605" s="42" t="n">
        <f aca="false">R605/$K$2</f>
        <v>168.439250044442</v>
      </c>
      <c r="T605" s="43" t="n">
        <f aca="false">S605-$M$2</f>
        <v>-0.028420460429345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0.0564117431640625</v>
      </c>
      <c r="C606" s="25" t="n">
        <f aca="false">IF(T605&gt;0,D605,C605)</f>
        <v>0.05645751953125</v>
      </c>
      <c r="D606" s="41" t="n">
        <f aca="false">(B606+C606)/2</f>
        <v>0.0564346313476563</v>
      </c>
      <c r="E606" s="15" t="n">
        <f aca="false">$C$2*(1+IF(E$3&lt;=$O$2,$D606,$D606-($D606-$I$589)*MIN(E$3-$O$2,$Q$2)/$Q$2))</f>
        <v>7902.13104248047</v>
      </c>
      <c r="F606" s="15" t="n">
        <f aca="false">E606*(1+IF(F$3&lt;=$O$2,$D606,$D606-($D606-$I$589)*MIN(F$3-$O$2,$Q$2)/$Q$2))</f>
        <v>8348.08489472373</v>
      </c>
      <c r="G606" s="15" t="n">
        <f aca="false">F606*(1+IF(G$3&lt;=$O$2,$D606,$D606-($D606-$I$589)*MIN(G$3-$O$2,$Q$2)/$Q$2))</f>
        <v>8819.2059882164</v>
      </c>
      <c r="H606" s="15" t="n">
        <f aca="false">G606*(1+IF(H$3&lt;=$O$2,$D606,$D606-($D606-$I$589)*MIN(H$3-$O$2,$Q$2)/$Q$2))</f>
        <v>9316.91462694043</v>
      </c>
      <c r="I606" s="15" t="n">
        <f aca="false">H606*(1+IF(I$3&lt;=$O$2,$D606,$D606-($D606-$I$589)*MIN(I$3-$O$2,$Q$2)/$Q$2))</f>
        <v>9842.7112692094</v>
      </c>
      <c r="J606" s="15" t="n">
        <f aca="false">I606*(1+IF(J$3&lt;=$O$2,$D606,$D606-($D606-$I$589)*MIN(J$3-$O$2,$Q$2)/$Q$2))</f>
        <v>10323.1114180061</v>
      </c>
      <c r="K606" s="15" t="n">
        <f aca="false">J606*(1+IF(K$3&lt;=$O$2,$D606,$D606-($D606-$I$589)*MIN(K$3-$O$2,$Q$2)/$Q$2))</f>
        <v>10748.2251859275</v>
      </c>
      <c r="L606" s="15" t="n">
        <f aca="false">K606*(1+IF(L$3&lt;=$O$2,$D606,$D606-($D606-$I$589)*MIN(L$3-$O$2,$Q$2)/$Q$2))</f>
        <v>11108.8695488727</v>
      </c>
      <c r="M606" s="15" t="n">
        <f aca="false">L606*(1+IF(M$3&lt;=$O$2,$D606,$D606-($D606-$I$589)*MIN(M$3-$O$2,$Q$2)/$Q$2))</f>
        <v>11396.8883906042</v>
      </c>
      <c r="N606" s="15" t="n">
        <f aca="false">M606*(1+IF(N$3&lt;=$O$2,$D606,$D606-($D606-$I$589)*MIN(N$3-$O$2,$Q$2)/$Q$2))</f>
        <v>11605.4514481523</v>
      </c>
      <c r="O606" s="15" t="n">
        <f aca="false">SUMPRODUCT(E606:N606,1/(1+$F$589)^$E$3:$N$3)*$E$2</f>
        <v>10526.6083747508</v>
      </c>
      <c r="P606" s="15" t="n">
        <f aca="false">N606*$E$2*(1+$I$589)/($F$589-$I$589)/(1+$F$589)^$N$3</f>
        <v>11609.1929293398</v>
      </c>
      <c r="Q606" s="15" t="n">
        <f aca="false">O606+P606</f>
        <v>22135.8013040906</v>
      </c>
      <c r="R606" s="15" t="n">
        <f aca="false">Q606-$G$2+$I$2</f>
        <v>19019.6013040906</v>
      </c>
      <c r="S606" s="42" t="n">
        <f aca="false">R606/$K$2</f>
        <v>168.464139097348</v>
      </c>
      <c r="T606" s="43" t="n">
        <f aca="false">S606-$M$2</f>
        <v>-0.00353140752358172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0.0564346313476563</v>
      </c>
      <c r="C607" s="25" t="n">
        <f aca="false">IF(T606&gt;0,D606,C606)</f>
        <v>0.05645751953125</v>
      </c>
      <c r="D607" s="41" t="n">
        <f aca="false">(B607+C607)/2</f>
        <v>0.0564460754394531</v>
      </c>
      <c r="E607" s="15" t="n">
        <f aca="false">$C$2*(1+IF(E$3&lt;=$O$2,$D607,$D607-($D607-$I$589)*MIN(E$3-$O$2,$Q$2)/$Q$2))</f>
        <v>7902.21664428711</v>
      </c>
      <c r="F607" s="15" t="n">
        <f aca="false">E607*(1+IF(F$3&lt;=$O$2,$D607,$D607-($D607-$I$589)*MIN(F$3-$O$2,$Q$2)/$Q$2))</f>
        <v>8348.26576112944</v>
      </c>
      <c r="G607" s="15" t="n">
        <f aca="false">F607*(1+IF(G$3&lt;=$O$2,$D607,$D607-($D607-$I$589)*MIN(G$3-$O$2,$Q$2)/$Q$2))</f>
        <v>8819.49260007076</v>
      </c>
      <c r="H607" s="15" t="n">
        <f aca="false">G607*(1+IF(H$3&lt;=$O$2,$D607,$D607-($D607-$I$589)*MIN(H$3-$O$2,$Q$2)/$Q$2))</f>
        <v>9317.31834471205</v>
      </c>
      <c r="I607" s="15" t="n">
        <f aca="false">H607*(1+IF(I$3&lt;=$O$2,$D607,$D607-($D607-$I$589)*MIN(I$3-$O$2,$Q$2)/$Q$2))</f>
        <v>9843.24439889107</v>
      </c>
      <c r="J607" s="15" t="n">
        <f aca="false">I607*(1+IF(J$3&lt;=$O$2,$D607,$D607-($D607-$I$589)*MIN(J$3-$O$2,$Q$2)/$Q$2))</f>
        <v>10323.760686118</v>
      </c>
      <c r="K607" s="15" t="n">
        <f aca="false">J607*(1+IF(K$3&lt;=$O$2,$D607,$D607-($D607-$I$589)*MIN(K$3-$O$2,$Q$2)/$Q$2))</f>
        <v>10748.9720790449</v>
      </c>
      <c r="L607" s="15" t="n">
        <f aca="false">K607*(1+IF(L$3&lt;=$O$2,$D607,$D607-($D607-$I$589)*MIN(L$3-$O$2,$Q$2)/$Q$2))</f>
        <v>11109.690708021</v>
      </c>
      <c r="M607" s="15" t="n">
        <f aca="false">L607*(1+IF(M$3&lt;=$O$2,$D607,$D607-($D607-$I$589)*MIN(M$3-$O$2,$Q$2)/$Q$2))</f>
        <v>11397.7562679492</v>
      </c>
      <c r="N607" s="15" t="n">
        <f aca="false">M607*(1+IF(N$3&lt;=$O$2,$D607,$D607-($D607-$I$589)*MIN(N$3-$O$2,$Q$2)/$Q$2))</f>
        <v>11606.3352076526</v>
      </c>
      <c r="O607" s="15" t="n">
        <f aca="false">SUMPRODUCT(E607:N607,1/(1+$F$589)^$E$3:$N$3)*$E$2</f>
        <v>10527.1294446164</v>
      </c>
      <c r="P607" s="15" t="n">
        <f aca="false">N607*$E$2*(1+$I$589)/($F$589-$I$589)/(1+$F$589)^$N$3</f>
        <v>11610.0769737554</v>
      </c>
      <c r="Q607" s="15" t="n">
        <f aca="false">O607+P607</f>
        <v>22137.2064183717</v>
      </c>
      <c r="R607" s="15" t="n">
        <f aca="false">Q607-$G$2+$I$2</f>
        <v>19021.0064183717</v>
      </c>
      <c r="S607" s="42" t="n">
        <f aca="false">R607/$K$2</f>
        <v>168.476584750857</v>
      </c>
      <c r="T607" s="43" t="n">
        <f aca="false">S607-$M$2</f>
        <v>0.00891424598498247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0.0564346313476563</v>
      </c>
      <c r="C608" s="25" t="n">
        <f aca="false">IF(T607&gt;0,D607,C607)</f>
        <v>0.0564460754394531</v>
      </c>
      <c r="D608" s="41" t="n">
        <f aca="false">(B608+C608)/2</f>
        <v>0.0564403533935547</v>
      </c>
      <c r="E608" s="15" t="n">
        <f aca="false">$C$2*(1+IF(E$3&lt;=$O$2,$D608,$D608-($D608-$I$589)*MIN(E$3-$O$2,$Q$2)/$Q$2))</f>
        <v>7902.17384338379</v>
      </c>
      <c r="F608" s="15" t="n">
        <f aca="false">E608*(1+IF(F$3&lt;=$O$2,$D608,$D608-($D608-$I$589)*MIN(F$3-$O$2,$Q$2)/$Q$2))</f>
        <v>8348.17532768167</v>
      </c>
      <c r="G608" s="15" t="n">
        <f aca="false">F608*(1+IF(G$3&lt;=$O$2,$D608,$D608-($D608-$I$589)*MIN(G$3-$O$2,$Q$2)/$Q$2))</f>
        <v>8819.34929336738</v>
      </c>
      <c r="H608" s="15" t="n">
        <f aca="false">G608*(1+IF(H$3&lt;=$O$2,$D608,$D608-($D608-$I$589)*MIN(H$3-$O$2,$Q$2)/$Q$2))</f>
        <v>9317.11648418623</v>
      </c>
      <c r="I608" s="15" t="n">
        <f aca="false">H608*(1+IF(I$3&lt;=$O$2,$D608,$D608-($D608-$I$589)*MIN(I$3-$O$2,$Q$2)/$Q$2))</f>
        <v>9842.97783116262</v>
      </c>
      <c r="J608" s="15" t="n">
        <f aca="false">I608*(1+IF(J$3&lt;=$O$2,$D608,$D608-($D608-$I$589)*MIN(J$3-$O$2,$Q$2)/$Q$2))</f>
        <v>10323.4360478133</v>
      </c>
      <c r="K608" s="15" t="n">
        <f aca="false">J608*(1+IF(K$3&lt;=$O$2,$D608,$D608-($D608-$I$589)*MIN(K$3-$O$2,$Q$2)/$Q$2))</f>
        <v>10748.5986269479</v>
      </c>
      <c r="L608" s="15" t="n">
        <f aca="false">K608*(1+IF(L$3&lt;=$O$2,$D608,$D608-($D608-$I$589)*MIN(L$3-$O$2,$Q$2)/$Q$2))</f>
        <v>11109.2801218679</v>
      </c>
      <c r="M608" s="15" t="n">
        <f aca="false">L608*(1+IF(M$3&lt;=$O$2,$D608,$D608-($D608-$I$589)*MIN(M$3-$O$2,$Q$2)/$Q$2))</f>
        <v>11397.3223220573</v>
      </c>
      <c r="N608" s="15" t="n">
        <f aca="false">M608*(1+IF(N$3&lt;=$O$2,$D608,$D608-($D608-$I$589)*MIN(N$3-$O$2,$Q$2)/$Q$2))</f>
        <v>11605.893320551</v>
      </c>
      <c r="O608" s="15" t="n">
        <f aca="false">SUMPRODUCT(E608:N608,1/(1+$F$589)^$E$3:$N$3)*$E$2</f>
        <v>10526.8689064333</v>
      </c>
      <c r="P608" s="15" t="n">
        <f aca="false">N608*$E$2*(1+$I$589)/($F$589-$I$589)/(1+$F$589)^$N$3</f>
        <v>11609.6349441937</v>
      </c>
      <c r="Q608" s="15" t="n">
        <f aca="false">O608+P608</f>
        <v>22136.503850627</v>
      </c>
      <c r="R608" s="15" t="n">
        <f aca="false">Q608-$G$2+$I$2</f>
        <v>19020.303850627</v>
      </c>
      <c r="S608" s="42" t="n">
        <f aca="false">R608/$K$2</f>
        <v>168.470361830177</v>
      </c>
      <c r="T608" s="43" t="n">
        <f aca="false">S608-$M$2</f>
        <v>0.00269132530513616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0.0564346313476563</v>
      </c>
      <c r="C609" s="25" t="n">
        <f aca="false">IF(T608&gt;0,D608,C608)</f>
        <v>0.0564403533935547</v>
      </c>
      <c r="D609" s="41" t="n">
        <f aca="false">(B609+C609)/2</f>
        <v>0.0564374923706055</v>
      </c>
      <c r="E609" s="15" t="n">
        <f aca="false">$C$2*(1+IF(E$3&lt;=$O$2,$D609,$D609-($D609-$I$589)*MIN(E$3-$O$2,$Q$2)/$Q$2))</f>
        <v>7902.15244293213</v>
      </c>
      <c r="F609" s="15" t="n">
        <f aca="false">E609*(1+IF(F$3&lt;=$O$2,$D609,$D609-($D609-$I$589)*MIN(F$3-$O$2,$Q$2)/$Q$2))</f>
        <v>8348.13011114147</v>
      </c>
      <c r="G609" s="15" t="n">
        <f aca="false">F609*(1+IF(G$3&lt;=$O$2,$D609,$D609-($D609-$I$589)*MIN(G$3-$O$2,$Q$2)/$Q$2))</f>
        <v>8819.27764059784</v>
      </c>
      <c r="H609" s="15" t="n">
        <f aca="false">G609*(1+IF(H$3&lt;=$O$2,$D609,$D609-($D609-$I$589)*MIN(H$3-$O$2,$Q$2)/$Q$2))</f>
        <v>9317.01555515333</v>
      </c>
      <c r="I609" s="15" t="n">
        <f aca="false">H609*(1+IF(I$3&lt;=$O$2,$D609,$D609-($D609-$I$589)*MIN(I$3-$O$2,$Q$2)/$Q$2))</f>
        <v>9842.84454946411</v>
      </c>
      <c r="J609" s="15" t="n">
        <f aca="false">I609*(1+IF(J$3&lt;=$O$2,$D609,$D609-($D609-$I$589)*MIN(J$3-$O$2,$Q$2)/$Q$2))</f>
        <v>10323.2737318475</v>
      </c>
      <c r="K609" s="15" t="n">
        <f aca="false">J609*(1+IF(K$3&lt;=$O$2,$D609,$D609-($D609-$I$589)*MIN(K$3-$O$2,$Q$2)/$Q$2))</f>
        <v>10748.4119050531</v>
      </c>
      <c r="L609" s="15" t="n">
        <f aca="false">K609*(1+IF(L$3&lt;=$O$2,$D609,$D609-($D609-$I$589)*MIN(L$3-$O$2,$Q$2)/$Q$2))</f>
        <v>11109.0748337256</v>
      </c>
      <c r="M609" s="15" t="n">
        <f aca="false">L609*(1+IF(M$3&lt;=$O$2,$D609,$D609-($D609-$I$589)*MIN(M$3-$O$2,$Q$2)/$Q$2))</f>
        <v>11397.1053545259</v>
      </c>
      <c r="N609" s="15" t="n">
        <f aca="false">M609*(1+IF(N$3&lt;=$O$2,$D609,$D609-($D609-$I$589)*MIN(N$3-$O$2,$Q$2)/$Q$2))</f>
        <v>11605.6723825138</v>
      </c>
      <c r="O609" s="15" t="n">
        <f aca="false">SUMPRODUCT(E609:N609,1/(1+$F$589)^$E$3:$N$3)*$E$2</f>
        <v>10526.7386397795</v>
      </c>
      <c r="P609" s="15" t="n">
        <f aca="false">N609*$E$2*(1+$I$589)/($F$589-$I$589)/(1+$F$589)^$N$3</f>
        <v>11609.4139349283</v>
      </c>
      <c r="Q609" s="15" t="n">
        <f aca="false">O609+P609</f>
        <v>22136.1525747078</v>
      </c>
      <c r="R609" s="15" t="n">
        <f aca="false">Q609-$G$2+$I$2</f>
        <v>19019.9525747078</v>
      </c>
      <c r="S609" s="42" t="n">
        <f aca="false">R609/$K$2</f>
        <v>168.467250440281</v>
      </c>
      <c r="T609" s="43" t="n">
        <f aca="false">S609-$M$2</f>
        <v>-0.000420064590286984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0.0564374923706055</v>
      </c>
      <c r="C610" s="25" t="n">
        <f aca="false">IF(T609&gt;0,D609,C609)</f>
        <v>0.0564403533935547</v>
      </c>
      <c r="D610" s="41" t="n">
        <f aca="false">(B610+C610)/2</f>
        <v>0.0564389228820801</v>
      </c>
      <c r="E610" s="15" t="n">
        <f aca="false">$C$2*(1+IF(E$3&lt;=$O$2,$D610,$D610-($D610-$I$589)*MIN(E$3-$O$2,$Q$2)/$Q$2))</f>
        <v>7902.16314315796</v>
      </c>
      <c r="F610" s="15" t="n">
        <f aca="false">E610*(1+IF(F$3&lt;=$O$2,$D610,$D610-($D610-$I$589)*MIN(F$3-$O$2,$Q$2)/$Q$2))</f>
        <v>8348.15271939627</v>
      </c>
      <c r="G610" s="15" t="n">
        <f aca="false">F610*(1+IF(G$3&lt;=$O$2,$D610,$D610-($D610-$I$589)*MIN(G$3-$O$2,$Q$2)/$Q$2))</f>
        <v>8819.3134669341</v>
      </c>
      <c r="H610" s="15" t="n">
        <f aca="false">G610*(1+IF(H$3&lt;=$O$2,$D610,$D610-($D610-$I$589)*MIN(H$3-$O$2,$Q$2)/$Q$2))</f>
        <v>9317.06601956728</v>
      </c>
      <c r="I610" s="15" t="n">
        <f aca="false">H610*(1+IF(I$3&lt;=$O$2,$D610,$D610-($D610-$I$589)*MIN(I$3-$O$2,$Q$2)/$Q$2))</f>
        <v>9842.91119013289</v>
      </c>
      <c r="J610" s="15" t="n">
        <f aca="false">I610*(1+IF(J$3&lt;=$O$2,$D610,$D610-($D610-$I$589)*MIN(J$3-$O$2,$Q$2)/$Q$2))</f>
        <v>10323.3548895648</v>
      </c>
      <c r="K610" s="15" t="n">
        <f aca="false">J610*(1+IF(K$3&lt;=$O$2,$D610,$D610-($D610-$I$589)*MIN(K$3-$O$2,$Q$2)/$Q$2))</f>
        <v>10748.5052656543</v>
      </c>
      <c r="L610" s="15" t="n">
        <f aca="false">K610*(1+IF(L$3&lt;=$O$2,$D610,$D610-($D610-$I$589)*MIN(L$3-$O$2,$Q$2)/$Q$2))</f>
        <v>11109.1774773856</v>
      </c>
      <c r="M610" s="15" t="n">
        <f aca="false">L610*(1+IF(M$3&lt;=$O$2,$D610,$D610-($D610-$I$589)*MIN(M$3-$O$2,$Q$2)/$Q$2))</f>
        <v>11397.2138378404</v>
      </c>
      <c r="N610" s="15" t="n">
        <f aca="false">M610*(1+IF(N$3&lt;=$O$2,$D610,$D610-($D610-$I$589)*MIN(N$3-$O$2,$Q$2)/$Q$2))</f>
        <v>11605.7828510729</v>
      </c>
      <c r="O610" s="15" t="n">
        <f aca="false">SUMPRODUCT(E610:N610,1/(1+$F$589)^$E$3:$N$3)*$E$2</f>
        <v>10526.8037729032</v>
      </c>
      <c r="P610" s="15" t="n">
        <f aca="false">N610*$E$2*(1+$I$589)/($F$589-$I$589)/(1+$F$589)^$N$3</f>
        <v>11609.5244391014</v>
      </c>
      <c r="Q610" s="15" t="n">
        <f aca="false">O610+P610</f>
        <v>22136.3282120046</v>
      </c>
      <c r="R610" s="15" t="n">
        <f aca="false">Q610-$G$2+$I$2</f>
        <v>19020.1282120046</v>
      </c>
      <c r="S610" s="42" t="n">
        <f aca="false">R610/$K$2</f>
        <v>168.468806129359</v>
      </c>
      <c r="T610" s="43" t="n">
        <f aca="false">S610-$M$2</f>
        <v>0.0011356244871763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0.0564374923706055</v>
      </c>
      <c r="C611" s="25" t="n">
        <f aca="false">IF(T610&gt;0,D610,C610)</f>
        <v>0.0564389228820801</v>
      </c>
      <c r="D611" s="41" t="n">
        <f aca="false">(B611+C611)/2</f>
        <v>0.0564382076263428</v>
      </c>
      <c r="E611" s="15" t="n">
        <f aca="false">$C$2*(1+IF(E$3&lt;=$O$2,$D611,$D611-($D611-$I$589)*MIN(E$3-$O$2,$Q$2)/$Q$2))</f>
        <v>7902.15779304504</v>
      </c>
      <c r="F611" s="15" t="n">
        <f aca="false">E611*(1+IF(F$3&lt;=$O$2,$D611,$D611-($D611-$I$589)*MIN(F$3-$O$2,$Q$2)/$Q$2))</f>
        <v>8348.14141526504</v>
      </c>
      <c r="G611" s="15" t="n">
        <f aca="false">F611*(1+IF(G$3&lt;=$O$2,$D611,$D611-($D611-$I$589)*MIN(G$3-$O$2,$Q$2)/$Q$2))</f>
        <v>8819.29555375384</v>
      </c>
      <c r="H611" s="15" t="n">
        <f aca="false">G611*(1+IF(H$3&lt;=$O$2,$D611,$D611-($D611-$I$589)*MIN(H$3-$O$2,$Q$2)/$Q$2))</f>
        <v>9317.04078733468</v>
      </c>
      <c r="I611" s="15" t="n">
        <f aca="false">H611*(1+IF(I$3&lt;=$O$2,$D611,$D611-($D611-$I$589)*MIN(I$3-$O$2,$Q$2)/$Q$2))</f>
        <v>9842.87786975338</v>
      </c>
      <c r="J611" s="15" t="n">
        <f aca="false">I611*(1+IF(J$3&lt;=$O$2,$D611,$D611-($D611-$I$589)*MIN(J$3-$O$2,$Q$2)/$Q$2))</f>
        <v>10323.3143106398</v>
      </c>
      <c r="K611" s="15" t="n">
        <f aca="false">J611*(1+IF(K$3&lt;=$O$2,$D611,$D611-($D611-$I$589)*MIN(K$3-$O$2,$Q$2)/$Q$2))</f>
        <v>10748.4585852672</v>
      </c>
      <c r="L611" s="15" t="n">
        <f aca="false">K611*(1+IF(L$3&lt;=$O$2,$D611,$D611-($D611-$I$589)*MIN(L$3-$O$2,$Q$2)/$Q$2))</f>
        <v>11109.1261554528</v>
      </c>
      <c r="M611" s="15" t="n">
        <f aca="false">L611*(1+IF(M$3&lt;=$O$2,$D611,$D611-($D611-$I$589)*MIN(M$3-$O$2,$Q$2)/$Q$2))</f>
        <v>11397.1595960704</v>
      </c>
      <c r="N611" s="15" t="n">
        <f aca="false">M611*(1+IF(N$3&lt;=$O$2,$D611,$D611-($D611-$I$589)*MIN(N$3-$O$2,$Q$2)/$Q$2))</f>
        <v>11605.7276166785</v>
      </c>
      <c r="O611" s="15" t="n">
        <f aca="false">SUMPRODUCT(E611:N611,1/(1+$F$589)^$E$3:$N$3)*$E$2</f>
        <v>10526.7712062906</v>
      </c>
      <c r="P611" s="15" t="n">
        <f aca="false">N611*$E$2*(1+$I$589)/($F$589-$I$589)/(1+$F$589)^$N$3</f>
        <v>11609.4691868999</v>
      </c>
      <c r="Q611" s="15" t="n">
        <f aca="false">O611+P611</f>
        <v>22136.2403931905</v>
      </c>
      <c r="R611" s="15" t="n">
        <f aca="false">Q611-$G$2+$I$2</f>
        <v>19020.0403931905</v>
      </c>
      <c r="S611" s="42" t="n">
        <f aca="false">R611/$K$2</f>
        <v>168.468028283352</v>
      </c>
      <c r="T611" s="43" t="n">
        <f aca="false">S611-$M$2</f>
        <v>0.000357778480832849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0.0564374923706055</v>
      </c>
      <c r="C612" s="25" t="n">
        <f aca="false">IF(T611&gt;0,D611,C611)</f>
        <v>0.0564382076263428</v>
      </c>
      <c r="D612" s="41" t="n">
        <f aca="false">(B612+C612)/2</f>
        <v>0.0564378499984741</v>
      </c>
      <c r="E612" s="15" t="n">
        <f aca="false">$C$2*(1+IF(E$3&lt;=$O$2,$D612,$D612-($D612-$I$589)*MIN(E$3-$O$2,$Q$2)/$Q$2))</f>
        <v>7902.15511798859</v>
      </c>
      <c r="F612" s="15" t="n">
        <f aca="false">E612*(1+IF(F$3&lt;=$O$2,$D612,$D612-($D612-$I$589)*MIN(F$3-$O$2,$Q$2)/$Q$2))</f>
        <v>8348.1357632023</v>
      </c>
      <c r="G612" s="15" t="n">
        <f aca="false">F612*(1+IF(G$3&lt;=$O$2,$D612,$D612-($D612-$I$589)*MIN(G$3-$O$2,$Q$2)/$Q$2))</f>
        <v>8819.28659717281</v>
      </c>
      <c r="H612" s="15" t="n">
        <f aca="false">G612*(1+IF(H$3&lt;=$O$2,$D612,$D612-($D612-$I$589)*MIN(H$3-$O$2,$Q$2)/$Q$2))</f>
        <v>9317.0281712376</v>
      </c>
      <c r="I612" s="15" t="n">
        <f aca="false">H612*(1+IF(I$3&lt;=$O$2,$D612,$D612-($D612-$I$589)*MIN(I$3-$O$2,$Q$2)/$Q$2))</f>
        <v>9842.86120959747</v>
      </c>
      <c r="J612" s="15" t="n">
        <f aca="false">I612*(1+IF(J$3&lt;=$O$2,$D612,$D612-($D612-$I$589)*MIN(J$3-$O$2,$Q$2)/$Q$2))</f>
        <v>10323.294021227</v>
      </c>
      <c r="K612" s="15" t="n">
        <f aca="false">J612*(1+IF(K$3&lt;=$O$2,$D612,$D612-($D612-$I$589)*MIN(K$3-$O$2,$Q$2)/$Q$2))</f>
        <v>10748.4352451385</v>
      </c>
      <c r="L612" s="15" t="n">
        <f aca="false">K612*(1+IF(L$3&lt;=$O$2,$D612,$D612-($D612-$I$589)*MIN(L$3-$O$2,$Q$2)/$Q$2))</f>
        <v>11109.1004945635</v>
      </c>
      <c r="M612" s="15" t="n">
        <f aca="false">L612*(1+IF(M$3&lt;=$O$2,$D612,$D612-($D612-$I$589)*MIN(M$3-$O$2,$Q$2)/$Q$2))</f>
        <v>11397.13247527</v>
      </c>
      <c r="N612" s="15" t="n">
        <f aca="false">M612*(1+IF(N$3&lt;=$O$2,$D612,$D612-($D612-$I$589)*MIN(N$3-$O$2,$Q$2)/$Q$2))</f>
        <v>11605.6999995674</v>
      </c>
      <c r="O612" s="15" t="n">
        <f aca="false">SUMPRODUCT(E612:N612,1/(1+$F$589)^$E$3:$N$3)*$E$2</f>
        <v>10526.7549230223</v>
      </c>
      <c r="P612" s="15" t="n">
        <f aca="false">N612*$E$2*(1+$I$589)/($F$589-$I$589)/(1+$F$589)^$N$3</f>
        <v>11609.4415608854</v>
      </c>
      <c r="Q612" s="15" t="n">
        <f aca="false">O612+P612</f>
        <v>22136.1964839077</v>
      </c>
      <c r="R612" s="15" t="n">
        <f aca="false">Q612-$G$2+$I$2</f>
        <v>19019.9964839077</v>
      </c>
      <c r="S612" s="42" t="n">
        <f aca="false">R612/$K$2</f>
        <v>168.46763936145</v>
      </c>
      <c r="T612" s="43" t="n">
        <f aca="false">S612-$M$2</f>
        <v>-3.11434216087037E-005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0.0564378499984741</v>
      </c>
      <c r="C613" s="25" t="n">
        <f aca="false">IF(T612&gt;0,D612,C612)</f>
        <v>0.0564382076263428</v>
      </c>
      <c r="D613" s="41" t="n">
        <f aca="false">(B613+C613)/2</f>
        <v>0.0564380288124085</v>
      </c>
      <c r="E613" s="15" t="n">
        <f aca="false">$C$2*(1+IF(E$3&lt;=$O$2,$D613,$D613-($D613-$I$589)*MIN(E$3-$O$2,$Q$2)/$Q$2))</f>
        <v>7902.15645551682</v>
      </c>
      <c r="F613" s="15" t="n">
        <f aca="false">E613*(1+IF(F$3&lt;=$O$2,$D613,$D613-($D613-$I$589)*MIN(F$3-$O$2,$Q$2)/$Q$2))</f>
        <v>8348.13858923343</v>
      </c>
      <c r="G613" s="15" t="n">
        <f aca="false">F613*(1+IF(G$3&lt;=$O$2,$D613,$D613-($D613-$I$589)*MIN(G$3-$O$2,$Q$2)/$Q$2))</f>
        <v>8819.29107546257</v>
      </c>
      <c r="H613" s="15" t="n">
        <f aca="false">G613*(1+IF(H$3&lt;=$O$2,$D613,$D613-($D613-$I$589)*MIN(H$3-$O$2,$Q$2)/$Q$2))</f>
        <v>9317.03447928454</v>
      </c>
      <c r="I613" s="15" t="n">
        <f aca="false">H613*(1+IF(I$3&lt;=$O$2,$D613,$D613-($D613-$I$589)*MIN(I$3-$O$2,$Q$2)/$Q$2))</f>
        <v>9842.86953967261</v>
      </c>
      <c r="J613" s="15" t="n">
        <f aca="false">I613*(1+IF(J$3&lt;=$O$2,$D613,$D613-($D613-$I$589)*MIN(J$3-$O$2,$Q$2)/$Q$2))</f>
        <v>10323.3041659293</v>
      </c>
      <c r="K613" s="15" t="n">
        <f aca="false">J613*(1+IF(K$3&lt;=$O$2,$D613,$D613-($D613-$I$589)*MIN(K$3-$O$2,$Q$2)/$Q$2))</f>
        <v>10748.4469151974</v>
      </c>
      <c r="L613" s="15" t="n">
        <f aca="false">K613*(1+IF(L$3&lt;=$O$2,$D613,$D613-($D613-$I$589)*MIN(L$3-$O$2,$Q$2)/$Q$2))</f>
        <v>11109.1133250017</v>
      </c>
      <c r="M613" s="15" t="n">
        <f aca="false">L613*(1+IF(M$3&lt;=$O$2,$D613,$D613-($D613-$I$589)*MIN(M$3-$O$2,$Q$2)/$Q$2))</f>
        <v>11397.1460356631</v>
      </c>
      <c r="N613" s="15" t="n">
        <f aca="false">M613*(1+IF(N$3&lt;=$O$2,$D613,$D613-($D613-$I$589)*MIN(N$3-$O$2,$Q$2)/$Q$2))</f>
        <v>11605.7138081157</v>
      </c>
      <c r="O613" s="15" t="n">
        <f aca="false">SUMPRODUCT(E613:N613,1/(1+$F$589)^$E$3:$N$3)*$E$2</f>
        <v>10526.7630646533</v>
      </c>
      <c r="P613" s="15" t="n">
        <f aca="false">N613*$E$2*(1+$I$589)/($F$589-$I$589)/(1+$F$589)^$N$3</f>
        <v>11609.4553738855</v>
      </c>
      <c r="Q613" s="15" t="n">
        <f aca="false">O613+P613</f>
        <v>22136.2184385387</v>
      </c>
      <c r="R613" s="15" t="n">
        <f aca="false">Q613-$G$2+$I$2</f>
        <v>19020.0184385387</v>
      </c>
      <c r="S613" s="42" t="n">
        <f aca="false">R613/$K$2</f>
        <v>168.467833822309</v>
      </c>
      <c r="T613" s="43" t="n">
        <f aca="false">S613-$M$2</f>
        <v>0.000163317437881005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0.0564378499984741</v>
      </c>
      <c r="C614" s="25" t="n">
        <f aca="false">IF(T613&gt;0,D613,C613)</f>
        <v>0.0564380288124085</v>
      </c>
      <c r="D614" s="41" t="n">
        <f aca="false">(B614+C614)/2</f>
        <v>0.0564379394054413</v>
      </c>
      <c r="E614" s="15" t="n">
        <f aca="false">$C$2*(1+IF(E$3&lt;=$O$2,$D614,$D614-($D614-$I$589)*MIN(E$3-$O$2,$Q$2)/$Q$2))</f>
        <v>7902.1557867527</v>
      </c>
      <c r="F614" s="15" t="n">
        <f aca="false">E614*(1+IF(F$3&lt;=$O$2,$D614,$D614-($D614-$I$589)*MIN(F$3-$O$2,$Q$2)/$Q$2))</f>
        <v>8348.13717621781</v>
      </c>
      <c r="G614" s="15" t="n">
        <f aca="false">F614*(1+IF(G$3&lt;=$O$2,$D614,$D614-($D614-$I$589)*MIN(G$3-$O$2,$Q$2)/$Q$2))</f>
        <v>8819.2888363175</v>
      </c>
      <c r="H614" s="15" t="n">
        <f aca="false">G614*(1+IF(H$3&lt;=$O$2,$D614,$D614-($D614-$I$589)*MIN(H$3-$O$2,$Q$2)/$Q$2))</f>
        <v>9317.03132526067</v>
      </c>
      <c r="I614" s="15" t="n">
        <f aca="false">H614*(1+IF(I$3&lt;=$O$2,$D614,$D614-($D614-$I$589)*MIN(I$3-$O$2,$Q$2)/$Q$2))</f>
        <v>9842.86537463433</v>
      </c>
      <c r="J614" s="15" t="n">
        <f aca="false">I614*(1+IF(J$3&lt;=$O$2,$D614,$D614-($D614-$I$589)*MIN(J$3-$O$2,$Q$2)/$Q$2))</f>
        <v>10323.2990935771</v>
      </c>
      <c r="K614" s="15" t="n">
        <f aca="false">J614*(1+IF(K$3&lt;=$O$2,$D614,$D614-($D614-$I$589)*MIN(K$3-$O$2,$Q$2)/$Q$2))</f>
        <v>10748.4410801666</v>
      </c>
      <c r="L614" s="15" t="n">
        <f aca="false">K614*(1+IF(L$3&lt;=$O$2,$D614,$D614-($D614-$I$589)*MIN(L$3-$O$2,$Q$2)/$Q$2))</f>
        <v>11109.106909781</v>
      </c>
      <c r="M614" s="15" t="n">
        <f aca="false">L614*(1+IF(M$3&lt;=$O$2,$D614,$D614-($D614-$I$589)*MIN(M$3-$O$2,$Q$2)/$Q$2))</f>
        <v>11397.1392554648</v>
      </c>
      <c r="N614" s="15" t="n">
        <f aca="false">M614*(1+IF(N$3&lt;=$O$2,$D614,$D614-($D614-$I$589)*MIN(N$3-$O$2,$Q$2)/$Q$2))</f>
        <v>11605.7069038398</v>
      </c>
      <c r="O614" s="15" t="n">
        <f aca="false">SUMPRODUCT(E614:N614,1/(1+$F$589)^$E$3:$N$3)*$E$2</f>
        <v>10526.758993837</v>
      </c>
      <c r="P614" s="15" t="n">
        <f aca="false">N614*$E$2*(1+$I$589)/($F$589-$I$589)/(1+$F$589)^$N$3</f>
        <v>11609.4484673836</v>
      </c>
      <c r="Q614" s="15" t="n">
        <f aca="false">O614+P614</f>
        <v>22136.2074612206</v>
      </c>
      <c r="R614" s="15" t="n">
        <f aca="false">Q614-$G$2+$I$2</f>
        <v>19020.0074612206</v>
      </c>
      <c r="S614" s="42" t="n">
        <f aca="false">R614/$K$2</f>
        <v>168.467736591857</v>
      </c>
      <c r="T614" s="43" t="n">
        <f aca="false">S614-$M$2</f>
        <v>6.60869852140422E-005</v>
      </c>
    </row>
    <row r="616" customFormat="false" ht="15" hidden="false" customHeight="false" outlineLevel="0" collapsed="false">
      <c r="A616" s="38" t="s">
        <v>206</v>
      </c>
      <c r="E616" s="5" t="s">
        <v>11</v>
      </c>
      <c r="F616" s="12" t="n">
        <f aca="false">Sensitivity!$B$14</f>
        <v>0.0911268672746673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165</v>
      </c>
      <c r="B617" s="28" t="s">
        <v>166</v>
      </c>
      <c r="C617" s="28" t="s">
        <v>167</v>
      </c>
      <c r="D617" s="28" t="s">
        <v>168</v>
      </c>
      <c r="E617" s="28" t="s">
        <v>169</v>
      </c>
      <c r="F617" s="28" t="s">
        <v>170</v>
      </c>
      <c r="G617" s="28" t="s">
        <v>171</v>
      </c>
      <c r="H617" s="28" t="s">
        <v>172</v>
      </c>
      <c r="I617" s="28" t="s">
        <v>173</v>
      </c>
      <c r="J617" s="28" t="s">
        <v>174</v>
      </c>
      <c r="K617" s="28" t="s">
        <v>175</v>
      </c>
      <c r="L617" s="28" t="s">
        <v>176</v>
      </c>
      <c r="M617" s="28" t="s">
        <v>177</v>
      </c>
      <c r="N617" s="28" t="s">
        <v>178</v>
      </c>
      <c r="O617" s="28" t="s">
        <v>179</v>
      </c>
      <c r="P617" s="28" t="s">
        <v>180</v>
      </c>
      <c r="Q617" s="28" t="s">
        <v>181</v>
      </c>
      <c r="R617" s="28" t="s">
        <v>182</v>
      </c>
      <c r="S617" s="28" t="s">
        <v>183</v>
      </c>
      <c r="T617" s="28" t="s">
        <v>184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9350</v>
      </c>
      <c r="F618" s="15" t="n">
        <f aca="false">E618*(1+IF(F$3&lt;=$O$2,$D618,$D618-($D618-$I$616)*MIN(F$3-$O$2,$Q$2)/$Q$2))</f>
        <v>11687.5</v>
      </c>
      <c r="G618" s="15" t="n">
        <f aca="false">F618*(1+IF(G$3&lt;=$O$2,$D618,$D618-($D618-$I$616)*MIN(G$3-$O$2,$Q$2)/$Q$2))</f>
        <v>14609.375</v>
      </c>
      <c r="H618" s="15" t="n">
        <f aca="false">G618*(1+IF(H$3&lt;=$O$2,$D618,$D618-($D618-$I$616)*MIN(H$3-$O$2,$Q$2)/$Q$2))</f>
        <v>18261.71875</v>
      </c>
      <c r="I618" s="15" t="n">
        <f aca="false">H618*(1+IF(I$3&lt;=$O$2,$D618,$D618-($D618-$I$616)*MIN(I$3-$O$2,$Q$2)/$Q$2))</f>
        <v>22827.1484375</v>
      </c>
      <c r="J618" s="15" t="n">
        <f aca="false">I618*(1+IF(J$3&lt;=$O$2,$D618,$D618-($D618-$I$616)*MIN(J$3-$O$2,$Q$2)/$Q$2))</f>
        <v>27498.9526367188</v>
      </c>
      <c r="K618" s="15" t="n">
        <f aca="false">J618*(1+IF(K$3&lt;=$O$2,$D618,$D618-($D618-$I$616)*MIN(K$3-$O$2,$Q$2)/$Q$2))</f>
        <v>31880.0857708008</v>
      </c>
      <c r="L618" s="15" t="n">
        <f aca="false">K618*(1+IF(L$3&lt;=$O$2,$D618,$D618-($D618-$I$616)*MIN(L$3-$O$2,$Q$2)/$Q$2))</f>
        <v>35513.7779469567</v>
      </c>
      <c r="M618" s="15" t="n">
        <f aca="false">L618*(1+IF(M$3&lt;=$O$2,$D618,$D618-($D618-$I$616)*MIN(M$3-$O$2,$Q$2)/$Q$2))</f>
        <v>37951.4436652358</v>
      </c>
      <c r="N618" s="15" t="n">
        <f aca="false">M618*(1+IF(N$3&lt;=$O$2,$D618,$D618-($D618-$I$616)*MIN(N$3-$O$2,$Q$2)/$Q$2))</f>
        <v>38835.7123026357</v>
      </c>
      <c r="O618" s="15" t="n">
        <f aca="false">SUMPRODUCT(E618:N618,1/(1+$F$616)^$E$3:$N$3)*$E$2</f>
        <v>24318.1630947929</v>
      </c>
      <c r="P618" s="15" t="n">
        <f aca="false">N618*$E$2*(1+$I$616)/($F$616-$I$616)/(1+$F$616)^$N$3</f>
        <v>41916.8236131893</v>
      </c>
      <c r="Q618" s="15" t="n">
        <f aca="false">O618+P618</f>
        <v>66234.9867079821</v>
      </c>
      <c r="R618" s="15" t="n">
        <f aca="false">Q618-$G$2+$I$2</f>
        <v>63118.7867079821</v>
      </c>
      <c r="S618" s="42" t="n">
        <f aca="false">R618/$K$2</f>
        <v>559.068084215962</v>
      </c>
      <c r="T618" s="43" t="n">
        <f aca="false">S618-$M$2</f>
        <v>390.600413711091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6545</v>
      </c>
      <c r="F619" s="15" t="n">
        <f aca="false">E619*(1+IF(F$3&lt;=$O$2,$D619,$D619-($D619-$I$616)*MIN(F$3-$O$2,$Q$2)/$Q$2))</f>
        <v>5726.875</v>
      </c>
      <c r="G619" s="15" t="n">
        <f aca="false">F619*(1+IF(G$3&lt;=$O$2,$D619,$D619-($D619-$I$616)*MIN(G$3-$O$2,$Q$2)/$Q$2))</f>
        <v>5011.015625</v>
      </c>
      <c r="H619" s="15" t="n">
        <f aca="false">G619*(1+IF(H$3&lt;=$O$2,$D619,$D619-($D619-$I$616)*MIN(H$3-$O$2,$Q$2)/$Q$2))</f>
        <v>4384.638671875</v>
      </c>
      <c r="I619" s="15" t="n">
        <f aca="false">H619*(1+IF(I$3&lt;=$O$2,$D619,$D619-($D619-$I$616)*MIN(I$3-$O$2,$Q$2)/$Q$2))</f>
        <v>3836.55883789063</v>
      </c>
      <c r="J619" s="15" t="n">
        <f aca="false">I619*(1+IF(J$3&lt;=$O$2,$D619,$D619-($D619-$I$616)*MIN(J$3-$O$2,$Q$2)/$Q$2))</f>
        <v>3470.78131828613</v>
      </c>
      <c r="K619" s="15" t="n">
        <f aca="false">J619*(1+IF(K$3&lt;=$O$2,$D619,$D619-($D619-$I$616)*MIN(K$3-$O$2,$Q$2)/$Q$2))</f>
        <v>3242.8204013011</v>
      </c>
      <c r="L619" s="15" t="n">
        <f aca="false">K619*(1+IF(L$3&lt;=$O$2,$D619,$D619-($D619-$I$616)*MIN(L$3-$O$2,$Q$2)/$Q$2))</f>
        <v>3126.01401044623</v>
      </c>
      <c r="M619" s="15" t="n">
        <f aca="false">L619*(1+IF(M$3&lt;=$O$2,$D619,$D619-($D619-$I$616)*MIN(M$3-$O$2,$Q$2)/$Q$2))</f>
        <v>3106.1325613398</v>
      </c>
      <c r="N619" s="15" t="n">
        <f aca="false">M619*(1+IF(N$3&lt;=$O$2,$D619,$D619-($D619-$I$616)*MIN(N$3-$O$2,$Q$2)/$Q$2))</f>
        <v>3178.50545001901</v>
      </c>
      <c r="O619" s="15" t="n">
        <f aca="false">SUMPRODUCT(E619:N619,1/(1+$F$616)^$E$3:$N$3)*$E$2</f>
        <v>4852.9879516237</v>
      </c>
      <c r="P619" s="15" t="n">
        <f aca="false">N619*$E$2*(1+$I$616)/($F$616-$I$616)/(1+$F$616)^$N$3</f>
        <v>3430.67873362954</v>
      </c>
      <c r="Q619" s="15" t="n">
        <f aca="false">O619+P619</f>
        <v>8283.66668525324</v>
      </c>
      <c r="R619" s="15" t="n">
        <f aca="false">Q619-$G$2+$I$2</f>
        <v>5167.46668525324</v>
      </c>
      <c r="S619" s="42" t="n">
        <f aca="false">R619/$K$2</f>
        <v>45.7702983636248</v>
      </c>
      <c r="T619" s="43" t="n">
        <f aca="false">S619-$M$2</f>
        <v>-122.697372141247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7947.5</v>
      </c>
      <c r="F620" s="15" t="n">
        <f aca="false">E620*(1+IF(F$3&lt;=$O$2,$D620,$D620-($D620-$I$616)*MIN(F$3-$O$2,$Q$2)/$Q$2))</f>
        <v>8444.21875</v>
      </c>
      <c r="G620" s="15" t="n">
        <f aca="false">F620*(1+IF(G$3&lt;=$O$2,$D620,$D620-($D620-$I$616)*MIN(G$3-$O$2,$Q$2)/$Q$2))</f>
        <v>8971.982421875</v>
      </c>
      <c r="H620" s="15" t="n">
        <f aca="false">G620*(1+IF(H$3&lt;=$O$2,$D620,$D620-($D620-$I$616)*MIN(H$3-$O$2,$Q$2)/$Q$2))</f>
        <v>9532.73132324219</v>
      </c>
      <c r="I620" s="15" t="n">
        <f aca="false">H620*(1+IF(I$3&lt;=$O$2,$D620,$D620-($D620-$I$616)*MIN(I$3-$O$2,$Q$2)/$Q$2))</f>
        <v>10128.5270309448</v>
      </c>
      <c r="J620" s="15" t="n">
        <f aca="false">I620*(1+IF(J$3&lt;=$O$2,$D620,$D620-($D620-$I$616)*MIN(J$3-$O$2,$Q$2)/$Q$2))</f>
        <v>10682.1523184563</v>
      </c>
      <c r="K620" s="15" t="n">
        <f aca="false">J620*(1+IF(K$3&lt;=$O$2,$D620,$D620-($D620-$I$616)*MIN(K$3-$O$2,$Q$2)/$Q$2))</f>
        <v>11182.2906900064</v>
      </c>
      <c r="L620" s="15" t="n">
        <f aca="false">K620*(1+IF(L$3&lt;=$O$2,$D620,$D620-($D620-$I$616)*MIN(L$3-$O$2,$Q$2)/$Q$2))</f>
        <v>11618.1763811028</v>
      </c>
      <c r="M620" s="15" t="n">
        <f aca="false">L620*(1+IF(M$3&lt;=$O$2,$D620,$D620-($D620-$I$616)*MIN(M$3-$O$2,$Q$2)/$Q$2))</f>
        <v>11979.9663936104</v>
      </c>
      <c r="N620" s="15" t="n">
        <f aca="false">M620*(1+IF(N$3&lt;=$O$2,$D620,$D620-($D620-$I$616)*MIN(N$3-$O$2,$Q$2)/$Q$2))</f>
        <v>12259.0996105815</v>
      </c>
      <c r="O620" s="15" t="n">
        <f aca="false">SUMPRODUCT(E620:N620,1/(1+$F$616)^$E$3:$N$3)*$E$2</f>
        <v>10837.7517731751</v>
      </c>
      <c r="P620" s="15" t="n">
        <f aca="false">N620*$E$2*(1+$I$616)/($F$616-$I$616)/(1+$F$616)^$N$3</f>
        <v>13231.7005551199</v>
      </c>
      <c r="Q620" s="15" t="n">
        <f aca="false">O620+P620</f>
        <v>24069.452328295</v>
      </c>
      <c r="R620" s="15" t="n">
        <f aca="false">Q620-$G$2+$I$2</f>
        <v>20953.252328295</v>
      </c>
      <c r="S620" s="42" t="n">
        <f aca="false">R620/$K$2</f>
        <v>185.591251800664</v>
      </c>
      <c r="T620" s="43" t="n">
        <f aca="false">S620-$M$2</f>
        <v>17.1235812957924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-0.125</v>
      </c>
      <c r="C621" s="25" t="n">
        <f aca="false">IF(T620&gt;0,D620,C620)</f>
        <v>0.0625</v>
      </c>
      <c r="D621" s="41" t="n">
        <f aca="false">(B621+C621)/2</f>
        <v>-0.03125</v>
      </c>
      <c r="E621" s="15" t="n">
        <f aca="false">$C$2*(1+IF(E$3&lt;=$O$2,$D621,$D621-($D621-$I$616)*MIN(E$3-$O$2,$Q$2)/$Q$2))</f>
        <v>7246.25</v>
      </c>
      <c r="F621" s="15" t="n">
        <f aca="false">E621*(1+IF(F$3&lt;=$O$2,$D621,$D621-($D621-$I$616)*MIN(F$3-$O$2,$Q$2)/$Q$2))</f>
        <v>7019.8046875</v>
      </c>
      <c r="G621" s="15" t="n">
        <f aca="false">F621*(1+IF(G$3&lt;=$O$2,$D621,$D621-($D621-$I$616)*MIN(G$3-$O$2,$Q$2)/$Q$2))</f>
        <v>6800.43579101563</v>
      </c>
      <c r="H621" s="15" t="n">
        <f aca="false">G621*(1+IF(H$3&lt;=$O$2,$D621,$D621-($D621-$I$616)*MIN(H$3-$O$2,$Q$2)/$Q$2))</f>
        <v>6587.92217254639</v>
      </c>
      <c r="I621" s="15" t="n">
        <f aca="false">H621*(1+IF(I$3&lt;=$O$2,$D621,$D621-($D621-$I$616)*MIN(I$3-$O$2,$Q$2)/$Q$2))</f>
        <v>6382.04960465431</v>
      </c>
      <c r="J621" s="15" t="n">
        <f aca="false">I621*(1+IF(J$3&lt;=$O$2,$D621,$D621-($D621-$I$616)*MIN(J$3-$O$2,$Q$2)/$Q$2))</f>
        <v>6252.23871569564</v>
      </c>
      <c r="K621" s="15" t="n">
        <f aca="false">J621*(1+IF(K$3&lt;=$O$2,$D621,$D621-($D621-$I$616)*MIN(K$3-$O$2,$Q$2)/$Q$2))</f>
        <v>6193.28010460663</v>
      </c>
      <c r="L621" s="15" t="n">
        <f aca="false">K621*(1+IF(L$3&lt;=$O$2,$D621,$D621-($D621-$I$616)*MIN(L$3-$O$2,$Q$2)/$Q$2))</f>
        <v>6202.44615916145</v>
      </c>
      <c r="M621" s="15" t="n">
        <f aca="false">L621*(1+IF(M$3&lt;=$O$2,$D621,$D621-($D621-$I$616)*MIN(M$3-$O$2,$Q$2)/$Q$2))</f>
        <v>6279.29446707346</v>
      </c>
      <c r="N621" s="15" t="n">
        <f aca="false">M621*(1+IF(N$3&lt;=$O$2,$D621,$D621-($D621-$I$616)*MIN(N$3-$O$2,$Q$2)/$Q$2))</f>
        <v>6425.60202815627</v>
      </c>
      <c r="O621" s="15" t="n">
        <f aca="false">SUMPRODUCT(E621:N621,1/(1+$F$616)^$E$3:$N$3)*$E$2</f>
        <v>7230.45172999542</v>
      </c>
      <c r="P621" s="15" t="n">
        <f aca="false">N621*$E$2*(1+$I$616)/($F$616-$I$616)/(1+$F$616)^$N$3</f>
        <v>6935.39041395406</v>
      </c>
      <c r="Q621" s="15" t="n">
        <f aca="false">O621+P621</f>
        <v>14165.8421439495</v>
      </c>
      <c r="R621" s="15" t="n">
        <f aca="false">Q621-$G$2+$I$2</f>
        <v>11049.6421439495</v>
      </c>
      <c r="S621" s="42" t="n">
        <f aca="false">R621/$K$2</f>
        <v>97.8710553051327</v>
      </c>
      <c r="T621" s="43" t="n">
        <f aca="false">S621-$M$2</f>
        <v>-70.5966151997389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-0.03125</v>
      </c>
      <c r="C622" s="25" t="n">
        <f aca="false">IF(T621&gt;0,D621,C621)</f>
        <v>0.0625</v>
      </c>
      <c r="D622" s="41" t="n">
        <f aca="false">(B622+C622)/2</f>
        <v>0.015625</v>
      </c>
      <c r="E622" s="15" t="n">
        <f aca="false">$C$2*(1+IF(E$3&lt;=$O$2,$D622,$D622-($D622-$I$616)*MIN(E$3-$O$2,$Q$2)/$Q$2))</f>
        <v>7596.875</v>
      </c>
      <c r="F622" s="15" t="n">
        <f aca="false">E622*(1+IF(F$3&lt;=$O$2,$D622,$D622-($D622-$I$616)*MIN(F$3-$O$2,$Q$2)/$Q$2))</f>
        <v>7715.576171875</v>
      </c>
      <c r="G622" s="15" t="n">
        <f aca="false">F622*(1+IF(G$3&lt;=$O$2,$D622,$D622-($D622-$I$616)*MIN(G$3-$O$2,$Q$2)/$Q$2))</f>
        <v>7836.13204956055</v>
      </c>
      <c r="H622" s="15" t="n">
        <f aca="false">G622*(1+IF(H$3&lt;=$O$2,$D622,$D622-($D622-$I$616)*MIN(H$3-$O$2,$Q$2)/$Q$2))</f>
        <v>7958.57161283493</v>
      </c>
      <c r="I622" s="15" t="n">
        <f aca="false">H622*(1+IF(I$3&lt;=$O$2,$D622,$D622-($D622-$I$616)*MIN(I$3-$O$2,$Q$2)/$Q$2))</f>
        <v>8082.92429428548</v>
      </c>
      <c r="J622" s="15" t="n">
        <f aca="false">I622*(1+IF(J$3&lt;=$O$2,$D622,$D622-($D622-$I$616)*MIN(J$3-$O$2,$Q$2)/$Q$2))</f>
        <v>8221.62727517542</v>
      </c>
      <c r="K622" s="15" t="n">
        <f aca="false">J622*(1+IF(K$3&lt;=$O$2,$D622,$D622-($D622-$I$616)*MIN(K$3-$O$2,$Q$2)/$Q$2))</f>
        <v>8375.33059708482</v>
      </c>
      <c r="L622" s="15" t="n">
        <f aca="false">K622*(1+IF(L$3&lt;=$O$2,$D622,$D622-($D622-$I$616)*MIN(L$3-$O$2,$Q$2)/$Q$2))</f>
        <v>8544.76353506384</v>
      </c>
      <c r="M622" s="15" t="n">
        <f aca="false">L622*(1+IF(M$3&lt;=$O$2,$D622,$D622-($D622-$I$616)*MIN(M$3-$O$2,$Q$2)/$Q$2))</f>
        <v>8730.74031340451</v>
      </c>
      <c r="N622" s="15" t="n">
        <f aca="false">M622*(1+IF(N$3&lt;=$O$2,$D622,$D622-($D622-$I$616)*MIN(N$3-$O$2,$Q$2)/$Q$2))</f>
        <v>8934.16656270683</v>
      </c>
      <c r="O622" s="15" t="n">
        <f aca="false">SUMPRODUCT(E622:N622,1/(1+$F$616)^$E$3:$N$3)*$E$2</f>
        <v>8848.37240956184</v>
      </c>
      <c r="P622" s="15" t="n">
        <f aca="false">N622*$E$2*(1+$I$616)/($F$616-$I$616)/(1+$F$616)^$N$3</f>
        <v>9642.977088241</v>
      </c>
      <c r="Q622" s="15" t="n">
        <f aca="false">O622+P622</f>
        <v>18491.3494978028</v>
      </c>
      <c r="R622" s="15" t="n">
        <f aca="false">Q622-$G$2+$I$2</f>
        <v>15375.1494978028</v>
      </c>
      <c r="S622" s="42" t="n">
        <f aca="false">R622/$K$2</f>
        <v>136.183786517297</v>
      </c>
      <c r="T622" s="43" t="n">
        <f aca="false">S622-$M$2</f>
        <v>-32.2838839875745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0.015625</v>
      </c>
      <c r="C623" s="25" t="n">
        <f aca="false">IF(T622&gt;0,D622,C622)</f>
        <v>0.0625</v>
      </c>
      <c r="D623" s="41" t="n">
        <f aca="false">(B623+C623)/2</f>
        <v>0.0390625</v>
      </c>
      <c r="E623" s="15" t="n">
        <f aca="false">$C$2*(1+IF(E$3&lt;=$O$2,$D623,$D623-($D623-$I$616)*MIN(E$3-$O$2,$Q$2)/$Q$2))</f>
        <v>7772.1875</v>
      </c>
      <c r="F623" s="15" t="n">
        <f aca="false">E623*(1+IF(F$3&lt;=$O$2,$D623,$D623-($D623-$I$616)*MIN(F$3-$O$2,$Q$2)/$Q$2))</f>
        <v>8075.78857421875</v>
      </c>
      <c r="G623" s="15" t="n">
        <f aca="false">F623*(1+IF(G$3&lt;=$O$2,$D623,$D623-($D623-$I$616)*MIN(G$3-$O$2,$Q$2)/$Q$2))</f>
        <v>8391.24906539917</v>
      </c>
      <c r="H623" s="15" t="n">
        <f aca="false">G623*(1+IF(H$3&lt;=$O$2,$D623,$D623-($D623-$I$616)*MIN(H$3-$O$2,$Q$2)/$Q$2))</f>
        <v>8719.03223201633</v>
      </c>
      <c r="I623" s="15" t="n">
        <f aca="false">H623*(1+IF(I$3&lt;=$O$2,$D623,$D623-($D623-$I$616)*MIN(I$3-$O$2,$Q$2)/$Q$2))</f>
        <v>9059.61942857946</v>
      </c>
      <c r="J623" s="15" t="n">
        <f aca="false">I623*(1+IF(J$3&lt;=$O$2,$D623,$D623-($D623-$I$616)*MIN(J$3-$O$2,$Q$2)/$Q$2))</f>
        <v>9384.95036225975</v>
      </c>
      <c r="K623" s="15" t="n">
        <f aca="false">J623*(1+IF(K$3&lt;=$O$2,$D623,$D623-($D623-$I$616)*MIN(K$3-$O$2,$Q$2)/$Q$2))</f>
        <v>9692.37787375147</v>
      </c>
      <c r="L623" s="15" t="n">
        <f aca="false">K623*(1+IF(L$3&lt;=$O$2,$D623,$D623-($D623-$I$616)*MIN(L$3-$O$2,$Q$2)/$Q$2))</f>
        <v>9979.32072070389</v>
      </c>
      <c r="M623" s="15" t="n">
        <f aca="false">L623*(1+IF(M$3&lt;=$O$2,$D623,$D623-($D623-$I$616)*MIN(M$3-$O$2,$Q$2)/$Q$2))</f>
        <v>10243.2987020683</v>
      </c>
      <c r="N623" s="15" t="n">
        <f aca="false">M623*(1+IF(N$3&lt;=$O$2,$D623,$D623-($D623-$I$616)*MIN(N$3-$O$2,$Q$2)/$Q$2))</f>
        <v>10481.9675618265</v>
      </c>
      <c r="O623" s="15" t="n">
        <f aca="false">SUMPRODUCT(E623:N623,1/(1+$F$616)^$E$3:$N$3)*$E$2</f>
        <v>9791.99777087904</v>
      </c>
      <c r="P623" s="15" t="n">
        <f aca="false">N623*$E$2*(1+$I$616)/($F$616-$I$616)/(1+$F$616)^$N$3</f>
        <v>11313.5760710235</v>
      </c>
      <c r="Q623" s="15" t="n">
        <f aca="false">O623+P623</f>
        <v>21105.5738419025</v>
      </c>
      <c r="R623" s="15" t="n">
        <f aca="false">Q623-$G$2+$I$2</f>
        <v>17989.3738419025</v>
      </c>
      <c r="S623" s="42" t="n">
        <f aca="false">R623/$K$2</f>
        <v>159.339006571325</v>
      </c>
      <c r="T623" s="43" t="n">
        <f aca="false">S623-$M$2</f>
        <v>-9.12866393354705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0.0390625</v>
      </c>
      <c r="C624" s="25" t="n">
        <f aca="false">IF(T623&gt;0,D623,C623)</f>
        <v>0.0625</v>
      </c>
      <c r="D624" s="41" t="n">
        <f aca="false">(B624+C624)/2</f>
        <v>0.05078125</v>
      </c>
      <c r="E624" s="15" t="n">
        <f aca="false">$C$2*(1+IF(E$3&lt;=$O$2,$D624,$D624-($D624-$I$616)*MIN(E$3-$O$2,$Q$2)/$Q$2))</f>
        <v>7859.84375</v>
      </c>
      <c r="F624" s="15" t="n">
        <f aca="false">E624*(1+IF(F$3&lt;=$O$2,$D624,$D624-($D624-$I$616)*MIN(F$3-$O$2,$Q$2)/$Q$2))</f>
        <v>8258.97644042969</v>
      </c>
      <c r="G624" s="15" t="n">
        <f aca="false">F624*(1+IF(G$3&lt;=$O$2,$D624,$D624-($D624-$I$616)*MIN(G$3-$O$2,$Q$2)/$Q$2))</f>
        <v>8678.37758779526</v>
      </c>
      <c r="H624" s="15" t="n">
        <f aca="false">G624*(1+IF(H$3&lt;=$O$2,$D624,$D624-($D624-$I$616)*MIN(H$3-$O$2,$Q$2)/$Q$2))</f>
        <v>9119.07644967549</v>
      </c>
      <c r="I624" s="15" t="n">
        <f aca="false">H624*(1+IF(I$3&lt;=$O$2,$D624,$D624-($D624-$I$616)*MIN(I$3-$O$2,$Q$2)/$Q$2))</f>
        <v>9582.15455063557</v>
      </c>
      <c r="J624" s="15" t="n">
        <f aca="false">I624*(1+IF(J$3&lt;=$O$2,$D624,$D624-($D624-$I$616)*MIN(J$3-$O$2,$Q$2)/$Q$2))</f>
        <v>10016.0824194611</v>
      </c>
      <c r="K624" s="15" t="n">
        <f aca="false">J624*(1+IF(K$3&lt;=$O$2,$D624,$D624-($D624-$I$616)*MIN(K$3-$O$2,$Q$2)/$Q$2))</f>
        <v>10414.6098188284</v>
      </c>
      <c r="L624" s="15" t="n">
        <f aca="false">K624*(1+IF(L$3&lt;=$O$2,$D624,$D624-($D624-$I$616)*MIN(L$3-$O$2,$Q$2)/$Q$2))</f>
        <v>10771.7528260406</v>
      </c>
      <c r="M624" s="15" t="n">
        <f aca="false">L624*(1+IF(M$3&lt;=$O$2,$D624,$D624-($D624-$I$616)*MIN(M$3-$O$2,$Q$2)/$Q$2))</f>
        <v>11081.9389133575</v>
      </c>
      <c r="N624" s="15" t="n">
        <f aca="false">M624*(1+IF(N$3&lt;=$O$2,$D624,$D624-($D624-$I$616)*MIN(N$3-$O$2,$Q$2)/$Q$2))</f>
        <v>11340.1480900387</v>
      </c>
      <c r="O624" s="15" t="n">
        <f aca="false">SUMPRODUCT(E624:N624,1/(1+$F$616)^$E$3:$N$3)*$E$2</f>
        <v>10301.4858526612</v>
      </c>
      <c r="P624" s="15" t="n">
        <f aca="false">N624*$E$2*(1+$I$616)/($F$616-$I$616)/(1+$F$616)^$N$3</f>
        <v>12239.8421209165</v>
      </c>
      <c r="Q624" s="15" t="n">
        <f aca="false">O624+P624</f>
        <v>22541.3279735777</v>
      </c>
      <c r="R624" s="15" t="n">
        <f aca="false">Q624-$G$2+$I$2</f>
        <v>19425.1279735777</v>
      </c>
      <c r="S624" s="42" t="n">
        <f aca="false">R624/$K$2</f>
        <v>172.056049367385</v>
      </c>
      <c r="T624" s="43" t="n">
        <f aca="false">S624-$M$2</f>
        <v>3.58837886251303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0.0390625</v>
      </c>
      <c r="C625" s="25" t="n">
        <f aca="false">IF(T624&gt;0,D624,C624)</f>
        <v>0.05078125</v>
      </c>
      <c r="D625" s="41" t="n">
        <f aca="false">(B625+C625)/2</f>
        <v>0.044921875</v>
      </c>
      <c r="E625" s="15" t="n">
        <f aca="false">$C$2*(1+IF(E$3&lt;=$O$2,$D625,$D625-($D625-$I$616)*MIN(E$3-$O$2,$Q$2)/$Q$2))</f>
        <v>7816.015625</v>
      </c>
      <c r="F625" s="15" t="n">
        <f aca="false">E625*(1+IF(F$3&lt;=$O$2,$D625,$D625-($D625-$I$616)*MIN(F$3-$O$2,$Q$2)/$Q$2))</f>
        <v>8167.1257019043</v>
      </c>
      <c r="G625" s="15" t="n">
        <f aca="false">F625*(1+IF(G$3&lt;=$O$2,$D625,$D625-($D625-$I$616)*MIN(G$3-$O$2,$Q$2)/$Q$2))</f>
        <v>8534.00830179453</v>
      </c>
      <c r="H625" s="15" t="n">
        <f aca="false">G625*(1+IF(H$3&lt;=$O$2,$D625,$D625-($D625-$I$616)*MIN(H$3-$O$2,$Q$2)/$Q$2))</f>
        <v>8917.37195597671</v>
      </c>
      <c r="I625" s="15" t="n">
        <f aca="false">H625*(1+IF(I$3&lt;=$O$2,$D625,$D625-($D625-$I$616)*MIN(I$3-$O$2,$Q$2)/$Q$2))</f>
        <v>9317.9570243116</v>
      </c>
      <c r="J625" s="15" t="n">
        <f aca="false">I625*(1+IF(J$3&lt;=$O$2,$D625,$D625-($D625-$I$616)*MIN(J$3-$O$2,$Q$2)/$Q$2))</f>
        <v>9696.24278460609</v>
      </c>
      <c r="K625" s="15" t="n">
        <f aca="false">J625*(1+IF(K$3&lt;=$O$2,$D625,$D625-($D625-$I$616)*MIN(K$3-$O$2,$Q$2)/$Q$2))</f>
        <v>10047.9558111625</v>
      </c>
      <c r="L625" s="15" t="n">
        <f aca="false">K625*(1+IF(L$3&lt;=$O$2,$D625,$D625-($D625-$I$616)*MIN(L$3-$O$2,$Q$2)/$Q$2))</f>
        <v>10368.9754393843</v>
      </c>
      <c r="M625" s="15" t="n">
        <f aca="false">L625*(1+IF(M$3&lt;=$O$2,$D625,$D625-($D625-$I$616)*MIN(M$3-$O$2,$Q$2)/$Q$2))</f>
        <v>10655.4119052877</v>
      </c>
      <c r="N625" s="15" t="n">
        <f aca="false">M625*(1+IF(N$3&lt;=$O$2,$D625,$D625-($D625-$I$616)*MIN(N$3-$O$2,$Q$2)/$Q$2))</f>
        <v>10903.6830026809</v>
      </c>
      <c r="O625" s="15" t="n">
        <f aca="false">SUMPRODUCT(E625:N625,1/(1+$F$616)^$E$3:$N$3)*$E$2</f>
        <v>10043.4744836835</v>
      </c>
      <c r="P625" s="15" t="n">
        <f aca="false">N625*$E$2*(1+$I$616)/($F$616-$I$616)/(1+$F$616)^$N$3</f>
        <v>11768.7491759095</v>
      </c>
      <c r="Q625" s="15" t="n">
        <f aca="false">O625+P625</f>
        <v>21812.2236595931</v>
      </c>
      <c r="R625" s="15" t="n">
        <f aca="false">Q625-$G$2+$I$2</f>
        <v>18696.0236595931</v>
      </c>
      <c r="S625" s="42" t="n">
        <f aca="false">R625/$K$2</f>
        <v>165.598083787361</v>
      </c>
      <c r="T625" s="43" t="n">
        <f aca="false">S625-$M$2</f>
        <v>-2.86958671751046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0.044921875</v>
      </c>
      <c r="C626" s="25" t="n">
        <f aca="false">IF(T625&gt;0,D625,C625)</f>
        <v>0.05078125</v>
      </c>
      <c r="D626" s="41" t="n">
        <f aca="false">(B626+C626)/2</f>
        <v>0.0478515625</v>
      </c>
      <c r="E626" s="15" t="n">
        <f aca="false">$C$2*(1+IF(E$3&lt;=$O$2,$D626,$D626-($D626-$I$616)*MIN(E$3-$O$2,$Q$2)/$Q$2))</f>
        <v>7837.9296875</v>
      </c>
      <c r="F626" s="15" t="n">
        <f aca="false">E626*(1+IF(F$3&lt;=$O$2,$D626,$D626-($D626-$I$616)*MIN(F$3-$O$2,$Q$2)/$Q$2))</f>
        <v>8212.98686981201</v>
      </c>
      <c r="G626" s="15" t="n">
        <f aca="false">F626*(1+IF(G$3&lt;=$O$2,$D626,$D626-($D626-$I$616)*MIN(G$3-$O$2,$Q$2)/$Q$2))</f>
        <v>8605.9911243245</v>
      </c>
      <c r="H626" s="15" t="n">
        <f aca="false">G626*(1+IF(H$3&lt;=$O$2,$D626,$D626-($D626-$I$616)*MIN(H$3-$O$2,$Q$2)/$Q$2))</f>
        <v>9017.80124648456</v>
      </c>
      <c r="I626" s="15" t="n">
        <f aca="false">H626*(1+IF(I$3&lt;=$O$2,$D626,$D626-($D626-$I$616)*MIN(I$3-$O$2,$Q$2)/$Q$2))</f>
        <v>9449.31712644329</v>
      </c>
      <c r="J626" s="15" t="n">
        <f aca="false">I626*(1+IF(J$3&lt;=$O$2,$D626,$D626-($D626-$I$616)*MIN(J$3-$O$2,$Q$2)/$Q$2))</f>
        <v>9855.08261549918</v>
      </c>
      <c r="K626" s="15" t="n">
        <f aca="false">J626*(1+IF(K$3&lt;=$O$2,$D626,$D626-($D626-$I$616)*MIN(K$3-$O$2,$Q$2)/$Q$2))</f>
        <v>10229.8806465066</v>
      </c>
      <c r="L626" s="15" t="n">
        <f aca="false">K626*(1+IF(L$3&lt;=$O$2,$D626,$D626-($D626-$I$616)*MIN(L$3-$O$2,$Q$2)/$Q$2))</f>
        <v>10568.7006871943</v>
      </c>
      <c r="M626" s="15" t="n">
        <f aca="false">L626*(1+IF(M$3&lt;=$O$2,$D626,$D626-($D626-$I$616)*MIN(M$3-$O$2,$Q$2)/$Q$2))</f>
        <v>10866.847036299</v>
      </c>
      <c r="N626" s="15" t="n">
        <f aca="false">M626*(1+IF(N$3&lt;=$O$2,$D626,$D626-($D626-$I$616)*MIN(N$3-$O$2,$Q$2)/$Q$2))</f>
        <v>11120.0445722447</v>
      </c>
      <c r="O626" s="15" t="n">
        <f aca="false">SUMPRODUCT(E626:N626,1/(1+$F$616)^$E$3:$N$3)*$E$2</f>
        <v>10171.6534788031</v>
      </c>
      <c r="P626" s="15" t="n">
        <f aca="false">N626*$E$2*(1+$I$616)/($F$616-$I$616)/(1+$F$616)^$N$3</f>
        <v>12002.2762367088</v>
      </c>
      <c r="Q626" s="15" t="n">
        <f aca="false">O626+P626</f>
        <v>22173.929715512</v>
      </c>
      <c r="R626" s="15" t="n">
        <f aca="false">Q626-$G$2+$I$2</f>
        <v>19057.729715512</v>
      </c>
      <c r="S626" s="42" t="n">
        <f aca="false">R626/$K$2</f>
        <v>168.801857533321</v>
      </c>
      <c r="T626" s="43" t="n">
        <f aca="false">S626-$M$2</f>
        <v>0.33418702844952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0.044921875</v>
      </c>
      <c r="C627" s="25" t="n">
        <f aca="false">IF(T626&gt;0,D626,C626)</f>
        <v>0.0478515625</v>
      </c>
      <c r="D627" s="41" t="n">
        <f aca="false">(B627+C627)/2</f>
        <v>0.04638671875</v>
      </c>
      <c r="E627" s="15" t="n">
        <f aca="false">$C$2*(1+IF(E$3&lt;=$O$2,$D627,$D627-($D627-$I$616)*MIN(E$3-$O$2,$Q$2)/$Q$2))</f>
        <v>7826.97265625</v>
      </c>
      <c r="F627" s="15" t="n">
        <f aca="false">E627*(1+IF(F$3&lt;=$O$2,$D627,$D627-($D627-$I$616)*MIN(F$3-$O$2,$Q$2)/$Q$2))</f>
        <v>8190.04023551941</v>
      </c>
      <c r="G627" s="15" t="n">
        <f aca="false">F627*(1+IF(G$3&lt;=$O$2,$D627,$D627-($D627-$I$616)*MIN(G$3-$O$2,$Q$2)/$Q$2))</f>
        <v>8569.94932847563</v>
      </c>
      <c r="H627" s="15" t="n">
        <f aca="false">G627*(1+IF(H$3&lt;=$O$2,$D627,$D627-($D627-$I$616)*MIN(H$3-$O$2,$Q$2)/$Q$2))</f>
        <v>8967.48115767738</v>
      </c>
      <c r="I627" s="15" t="n">
        <f aca="false">H627*(1+IF(I$3&lt;=$O$2,$D627,$D627-($D627-$I$616)*MIN(I$3-$O$2,$Q$2)/$Q$2))</f>
        <v>9383.45318403449</v>
      </c>
      <c r="J627" s="15" t="n">
        <f aca="false">I627*(1+IF(J$3&lt;=$O$2,$D627,$D627-($D627-$I$616)*MIN(J$3-$O$2,$Q$2)/$Q$2))</f>
        <v>9775.39415887337</v>
      </c>
      <c r="K627" s="15" t="n">
        <f aca="false">J627*(1+IF(K$3&lt;=$O$2,$D627,$D627-($D627-$I$616)*MIN(K$3-$O$2,$Q$2)/$Q$2))</f>
        <v>10138.5699081449</v>
      </c>
      <c r="L627" s="15" t="n">
        <f aca="false">K627*(1+IF(L$3&lt;=$O$2,$D627,$D627-($D627-$I$616)*MIN(L$3-$O$2,$Q$2)/$Q$2))</f>
        <v>10468.4251118033</v>
      </c>
      <c r="M627" s="15" t="n">
        <f aca="false">L627*(1+IF(M$3&lt;=$O$2,$D627,$D627-($D627-$I$616)*MIN(M$3-$O$2,$Q$2)/$Q$2))</f>
        <v>10760.6757341706</v>
      </c>
      <c r="N627" s="15" t="n">
        <f aca="false">M627*(1+IF(N$3&lt;=$O$2,$D627,$D627-($D627-$I$616)*MIN(N$3-$O$2,$Q$2)/$Q$2))</f>
        <v>11011.3994787768</v>
      </c>
      <c r="O627" s="15" t="n">
        <f aca="false">SUMPRODUCT(E627:N627,1/(1+$F$616)^$E$3:$N$3)*$E$2</f>
        <v>10107.3585491404</v>
      </c>
      <c r="P627" s="15" t="n">
        <f aca="false">N627*$E$2*(1+$I$616)/($F$616-$I$616)/(1+$F$616)^$N$3</f>
        <v>11885.0115607362</v>
      </c>
      <c r="Q627" s="15" t="n">
        <f aca="false">O627+P627</f>
        <v>21992.3701098767</v>
      </c>
      <c r="R627" s="15" t="n">
        <f aca="false">Q627-$G$2+$I$2</f>
        <v>18876.1701098767</v>
      </c>
      <c r="S627" s="42" t="n">
        <f aca="false">R627/$K$2</f>
        <v>167.193712222114</v>
      </c>
      <c r="T627" s="43" t="n">
        <f aca="false">S627-$M$2</f>
        <v>-1.27395828275755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0.04638671875</v>
      </c>
      <c r="C628" s="25" t="n">
        <f aca="false">IF(T627&gt;0,D627,C627)</f>
        <v>0.0478515625</v>
      </c>
      <c r="D628" s="41" t="n">
        <f aca="false">(B628+C628)/2</f>
        <v>0.047119140625</v>
      </c>
      <c r="E628" s="15" t="n">
        <f aca="false">$C$2*(1+IF(E$3&lt;=$O$2,$D628,$D628-($D628-$I$616)*MIN(E$3-$O$2,$Q$2)/$Q$2))</f>
        <v>7832.451171875</v>
      </c>
      <c r="F628" s="15" t="n">
        <f aca="false">E628*(1+IF(F$3&lt;=$O$2,$D628,$D628-($D628-$I$616)*MIN(F$3-$O$2,$Q$2)/$Q$2))</f>
        <v>8201.50954008102</v>
      </c>
      <c r="G628" s="15" t="n">
        <f aca="false">F628*(1+IF(G$3&lt;=$O$2,$D628,$D628-($D628-$I$616)*MIN(G$3-$O$2,$Q$2)/$Q$2))</f>
        <v>8587.95762143738</v>
      </c>
      <c r="H628" s="15" t="n">
        <f aca="false">G628*(1+IF(H$3&lt;=$O$2,$D628,$D628-($D628-$I$616)*MIN(H$3-$O$2,$Q$2)/$Q$2))</f>
        <v>8992.61480428343</v>
      </c>
      <c r="I628" s="15" t="n">
        <f aca="false">H628*(1+IF(I$3&lt;=$O$2,$D628,$D628-($D628-$I$616)*MIN(I$3-$O$2,$Q$2)/$Q$2))</f>
        <v>9416.33908583292</v>
      </c>
      <c r="J628" s="15" t="n">
        <f aca="false">I628*(1+IF(J$3&lt;=$O$2,$D628,$D628-($D628-$I$616)*MIN(J$3-$O$2,$Q$2)/$Q$2))</f>
        <v>9815.17107041934</v>
      </c>
      <c r="K628" s="15" t="n">
        <f aca="false">J628*(1+IF(K$3&lt;=$O$2,$D628,$D628-($D628-$I$616)*MIN(K$3-$O$2,$Q$2)/$Q$2))</f>
        <v>10184.137920351</v>
      </c>
      <c r="L628" s="15" t="n">
        <f aca="false">K628*(1+IF(L$3&lt;=$O$2,$D628,$D628-($D628-$I$616)*MIN(L$3-$O$2,$Q$2)/$Q$2))</f>
        <v>10518.4592992028</v>
      </c>
      <c r="M628" s="15" t="n">
        <f aca="false">L628*(1+IF(M$3&lt;=$O$2,$D628,$D628-($D628-$I$616)*MIN(M$3-$O$2,$Q$2)/$Q$2))</f>
        <v>10813.6475331155</v>
      </c>
      <c r="N628" s="15" t="n">
        <f aca="false">M628*(1+IF(N$3&lt;=$O$2,$D628,$D628-($D628-$I$616)*MIN(N$3-$O$2,$Q$2)/$Q$2))</f>
        <v>11065.6055206371</v>
      </c>
      <c r="O628" s="15" t="n">
        <f aca="false">SUMPRODUCT(E628:N628,1/(1+$F$616)^$E$3:$N$3)*$E$2</f>
        <v>10139.454501423</v>
      </c>
      <c r="P628" s="15" t="n">
        <f aca="false">N628*$E$2*(1+$I$616)/($F$616-$I$616)/(1+$F$616)^$N$3</f>
        <v>11943.5181506944</v>
      </c>
      <c r="Q628" s="15" t="n">
        <f aca="false">O628+P628</f>
        <v>22082.9726521174</v>
      </c>
      <c r="R628" s="15" t="n">
        <f aca="false">Q628-$G$2+$I$2</f>
        <v>18966.7726521174</v>
      </c>
      <c r="S628" s="42" t="n">
        <f aca="false">R628/$K$2</f>
        <v>167.996214810606</v>
      </c>
      <c r="T628" s="43" t="n">
        <f aca="false">S628-$M$2</f>
        <v>-0.471455694265785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0.047119140625</v>
      </c>
      <c r="C629" s="25" t="n">
        <f aca="false">IF(T628&gt;0,D628,C628)</f>
        <v>0.0478515625</v>
      </c>
      <c r="D629" s="41" t="n">
        <f aca="false">(B629+C629)/2</f>
        <v>0.0474853515625</v>
      </c>
      <c r="E629" s="15" t="n">
        <f aca="false">$C$2*(1+IF(E$3&lt;=$O$2,$D629,$D629-($D629-$I$616)*MIN(E$3-$O$2,$Q$2)/$Q$2))</f>
        <v>7835.1904296875</v>
      </c>
      <c r="F629" s="15" t="n">
        <f aca="false">E629*(1+IF(F$3&lt;=$O$2,$D629,$D629-($D629-$I$616)*MIN(F$3-$O$2,$Q$2)/$Q$2))</f>
        <v>8207.24720180035</v>
      </c>
      <c r="G629" s="15" t="n">
        <f aca="false">F629*(1+IF(G$3&lt;=$O$2,$D629,$D629-($D629-$I$616)*MIN(G$3-$O$2,$Q$2)/$Q$2))</f>
        <v>8596.97122053818</v>
      </c>
      <c r="H629" s="15" t="n">
        <f aca="false">G629*(1+IF(H$3&lt;=$O$2,$D629,$D629-($D629-$I$616)*MIN(H$3-$O$2,$Q$2)/$Q$2))</f>
        <v>9005.20142131813</v>
      </c>
      <c r="I629" s="15" t="n">
        <f aca="false">H629*(1+IF(I$3&lt;=$O$2,$D629,$D629-($D629-$I$616)*MIN(I$3-$O$2,$Q$2)/$Q$2))</f>
        <v>9432.81657670055</v>
      </c>
      <c r="J629" s="15" t="n">
        <f aca="false">I629*(1+IF(J$3&lt;=$O$2,$D629,$D629-($D629-$I$616)*MIN(J$3-$O$2,$Q$2)/$Q$2))</f>
        <v>9835.10999104333</v>
      </c>
      <c r="K629" s="15" t="n">
        <f aca="false">J629*(1+IF(K$3&lt;=$O$2,$D629,$D629-($D629-$I$616)*MIN(K$3-$O$2,$Q$2)/$Q$2))</f>
        <v>10206.9874095082</v>
      </c>
      <c r="L629" s="15" t="n">
        <f aca="false">K629*(1+IF(L$3&lt;=$O$2,$D629,$D629-($D629-$I$616)*MIN(L$3-$O$2,$Q$2)/$Q$2))</f>
        <v>10543.5540477069</v>
      </c>
      <c r="M629" s="15" t="n">
        <f aca="false">L629*(1+IF(M$3&lt;=$O$2,$D629,$D629-($D629-$I$616)*MIN(M$3-$O$2,$Q$2)/$Q$2))</f>
        <v>10840.2187692909</v>
      </c>
      <c r="N629" s="15" t="n">
        <f aca="false">M629*(1+IF(N$3&lt;=$O$2,$D629,$D629-($D629-$I$616)*MIN(N$3-$O$2,$Q$2)/$Q$2))</f>
        <v>11092.7958666154</v>
      </c>
      <c r="O629" s="15" t="n">
        <f aca="false">SUMPRODUCT(E629:N629,1/(1+$F$616)^$E$3:$N$3)*$E$2</f>
        <v>10155.5410926162</v>
      </c>
      <c r="P629" s="15" t="n">
        <f aca="false">N629*$E$2*(1+$I$616)/($F$616-$I$616)/(1+$F$616)^$N$3</f>
        <v>11972.8656988345</v>
      </c>
      <c r="Q629" s="15" t="n">
        <f aca="false">O629+P629</f>
        <v>22128.4067914507</v>
      </c>
      <c r="R629" s="15" t="n">
        <f aca="false">Q629-$G$2+$I$2</f>
        <v>19012.2067914507</v>
      </c>
      <c r="S629" s="42" t="n">
        <f aca="false">R629/$K$2</f>
        <v>168.398642971219</v>
      </c>
      <c r="T629" s="43" t="n">
        <f aca="false">S629-$M$2</f>
        <v>-0.069027533652303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0.0474853515625</v>
      </c>
      <c r="C630" s="25" t="n">
        <f aca="false">IF(T629&gt;0,D629,C629)</f>
        <v>0.0478515625</v>
      </c>
      <c r="D630" s="41" t="n">
        <f aca="false">(B630+C630)/2</f>
        <v>0.04766845703125</v>
      </c>
      <c r="E630" s="15" t="n">
        <f aca="false">$C$2*(1+IF(E$3&lt;=$O$2,$D630,$D630-($D630-$I$616)*MIN(E$3-$O$2,$Q$2)/$Q$2))</f>
        <v>7836.56005859375</v>
      </c>
      <c r="F630" s="15" t="n">
        <f aca="false">E630*(1+IF(F$3&lt;=$O$2,$D630,$D630-($D630-$I$616)*MIN(F$3-$O$2,$Q$2)/$Q$2))</f>
        <v>8210.11678501964</v>
      </c>
      <c r="G630" s="15" t="n">
        <f aca="false">F630*(1+IF(G$3&lt;=$O$2,$D630,$D630-($D630-$I$616)*MIN(G$3-$O$2,$Q$2)/$Q$2))</f>
        <v>8601.48038420789</v>
      </c>
      <c r="H630" s="15" t="n">
        <f aca="false">G630*(1+IF(H$3&lt;=$O$2,$D630,$D630-($D630-$I$616)*MIN(H$3-$O$2,$Q$2)/$Q$2))</f>
        <v>9011.49968230764</v>
      </c>
      <c r="I630" s="15" t="n">
        <f aca="false">H630*(1+IF(I$3&lt;=$O$2,$D630,$D630-($D630-$I$616)*MIN(I$3-$O$2,$Q$2)/$Q$2))</f>
        <v>9441.06396770085</v>
      </c>
      <c r="J630" s="15" t="n">
        <f aca="false">I630*(1+IF(J$3&lt;=$O$2,$D630,$D630-($D630-$I$616)*MIN(J$3-$O$2,$Q$2)/$Q$2))</f>
        <v>9845.09208744924</v>
      </c>
      <c r="K630" s="15" t="n">
        <f aca="false">J630*(1+IF(K$3&lt;=$O$2,$D630,$D630-($D630-$I$616)*MIN(K$3-$O$2,$Q$2)/$Q$2))</f>
        <v>10218.4285551878</v>
      </c>
      <c r="L630" s="15" t="n">
        <f aca="false">K630*(1+IF(L$3&lt;=$O$2,$D630,$D630-($D630-$I$616)*MIN(L$3-$O$2,$Q$2)/$Q$2))</f>
        <v>10556.1208753933</v>
      </c>
      <c r="M630" s="15" t="n">
        <f aca="false">L630*(1+IF(M$3&lt;=$O$2,$D630,$D630-($D630-$I$616)*MIN(M$3-$O$2,$Q$2)/$Q$2))</f>
        <v>10853.5257673837</v>
      </c>
      <c r="N630" s="15" t="n">
        <f aca="false">M630*(1+IF(N$3&lt;=$O$2,$D630,$D630-($D630-$I$616)*MIN(N$3-$O$2,$Q$2)/$Q$2))</f>
        <v>11106.4129177637</v>
      </c>
      <c r="O630" s="15" t="n">
        <f aca="false">SUMPRODUCT(E630:N630,1/(1+$F$616)^$E$3:$N$3)*$E$2</f>
        <v>10163.5940589127</v>
      </c>
      <c r="P630" s="15" t="n">
        <f aca="false">N630*$E$2*(1+$I$616)/($F$616-$I$616)/(1+$F$616)^$N$3</f>
        <v>11987.5630868126</v>
      </c>
      <c r="Q630" s="15" t="n">
        <f aca="false">O630+P630</f>
        <v>22151.1571457253</v>
      </c>
      <c r="R630" s="15" t="n">
        <f aca="false">Q630-$G$2+$I$2</f>
        <v>19034.9571457253</v>
      </c>
      <c r="S630" s="42" t="n">
        <f aca="false">R630/$K$2</f>
        <v>168.600151866477</v>
      </c>
      <c r="T630" s="43" t="n">
        <f aca="false">S630-$M$2</f>
        <v>0.132481361605869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0.0474853515625</v>
      </c>
      <c r="C631" s="25" t="n">
        <f aca="false">IF(T630&gt;0,D630,C630)</f>
        <v>0.04766845703125</v>
      </c>
      <c r="D631" s="41" t="n">
        <f aca="false">(B631+C631)/2</f>
        <v>0.047576904296875</v>
      </c>
      <c r="E631" s="15" t="n">
        <f aca="false">$C$2*(1+IF(E$3&lt;=$O$2,$D631,$D631-($D631-$I$616)*MIN(E$3-$O$2,$Q$2)/$Q$2))</f>
        <v>7835.87524414063</v>
      </c>
      <c r="F631" s="15" t="n">
        <f aca="false">E631*(1+IF(F$3&lt;=$O$2,$D631,$D631-($D631-$I$616)*MIN(F$3-$O$2,$Q$2)/$Q$2))</f>
        <v>8208.68193071336</v>
      </c>
      <c r="G631" s="15" t="n">
        <f aca="false">F631*(1+IF(G$3&lt;=$O$2,$D631,$D631-($D631-$I$616)*MIN(G$3-$O$2,$Q$2)/$Q$2))</f>
        <v>8599.22560533439</v>
      </c>
      <c r="H631" s="15" t="n">
        <f aca="false">G631*(1+IF(H$3&lt;=$O$2,$D631,$D631-($D631-$I$616)*MIN(H$3-$O$2,$Q$2)/$Q$2))</f>
        <v>9008.35013898662</v>
      </c>
      <c r="I631" s="15" t="n">
        <f aca="false">H631*(1+IF(I$3&lt;=$O$2,$D631,$D631-($D631-$I$616)*MIN(I$3-$O$2,$Q$2)/$Q$2))</f>
        <v>9436.93955142193</v>
      </c>
      <c r="J631" s="15" t="n">
        <f aca="false">I631*(1+IF(J$3&lt;=$O$2,$D631,$D631-($D631-$I$616)*MIN(J$3-$O$2,$Q$2)/$Q$2))</f>
        <v>9840.09998564627</v>
      </c>
      <c r="K631" s="15" t="n">
        <f aca="false">J631*(1+IF(K$3&lt;=$O$2,$D631,$D631-($D631-$I$616)*MIN(K$3-$O$2,$Q$2)/$Q$2))</f>
        <v>10212.7066146858</v>
      </c>
      <c r="L631" s="15" t="n">
        <f aca="false">K631*(1+IF(L$3&lt;=$O$2,$D631,$D631-($D631-$I$616)*MIN(L$3-$O$2,$Q$2)/$Q$2))</f>
        <v>10549.8358392467</v>
      </c>
      <c r="M631" s="15" t="n">
        <f aca="false">L631*(1+IF(M$3&lt;=$O$2,$D631,$D631-($D631-$I$616)*MIN(M$3-$O$2,$Q$2)/$Q$2))</f>
        <v>10846.8704853045</v>
      </c>
      <c r="N631" s="15" t="n">
        <f aca="false">M631*(1+IF(N$3&lt;=$O$2,$D631,$D631-($D631-$I$616)*MIN(N$3-$O$2,$Q$2)/$Q$2))</f>
        <v>11099.6025676121</v>
      </c>
      <c r="O631" s="15" t="n">
        <f aca="false">SUMPRODUCT(E631:N631,1/(1+$F$616)^$E$3:$N$3)*$E$2</f>
        <v>10159.5667693682</v>
      </c>
      <c r="P631" s="15" t="n">
        <f aca="false">N631*$E$2*(1+$I$616)/($F$616-$I$616)/(1+$F$616)^$N$3</f>
        <v>11980.2124234895</v>
      </c>
      <c r="Q631" s="15" t="n">
        <f aca="false">O631+P631</f>
        <v>22139.7791928577</v>
      </c>
      <c r="R631" s="15" t="n">
        <f aca="false">Q631-$G$2+$I$2</f>
        <v>19023.5791928577</v>
      </c>
      <c r="S631" s="42" t="n">
        <f aca="false">R631/$K$2</f>
        <v>168.499372833106</v>
      </c>
      <c r="T631" s="43" t="n">
        <f aca="false">S631-$M$2</f>
        <v>0.0317023282344735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0.0474853515625</v>
      </c>
      <c r="C632" s="25" t="n">
        <f aca="false">IF(T631&gt;0,D631,C631)</f>
        <v>0.047576904296875</v>
      </c>
      <c r="D632" s="41" t="n">
        <f aca="false">(B632+C632)/2</f>
        <v>0.0475311279296875</v>
      </c>
      <c r="E632" s="15" t="n">
        <f aca="false">$C$2*(1+IF(E$3&lt;=$O$2,$D632,$D632-($D632-$I$616)*MIN(E$3-$O$2,$Q$2)/$Q$2))</f>
        <v>7835.53283691406</v>
      </c>
      <c r="F632" s="15" t="n">
        <f aca="false">E632*(1+IF(F$3&lt;=$O$2,$D632,$D632-($D632-$I$616)*MIN(F$3-$O$2,$Q$2)/$Q$2))</f>
        <v>8207.96455058269</v>
      </c>
      <c r="G632" s="15" t="n">
        <f aca="false">F632*(1+IF(G$3&lt;=$O$2,$D632,$D632-($D632-$I$616)*MIN(G$3-$O$2,$Q$2)/$Q$2))</f>
        <v>8598.09836367878</v>
      </c>
      <c r="H632" s="15" t="n">
        <f aca="false">G632*(1+IF(H$3&lt;=$O$2,$D632,$D632-($D632-$I$616)*MIN(H$3-$O$2,$Q$2)/$Q$2))</f>
        <v>9006.77567695483</v>
      </c>
      <c r="I632" s="15" t="n">
        <f aca="false">H632*(1+IF(I$3&lt;=$O$2,$D632,$D632-($D632-$I$616)*MIN(I$3-$O$2,$Q$2)/$Q$2))</f>
        <v>9434.87788389017</v>
      </c>
      <c r="J632" s="15" t="n">
        <f aca="false">I632*(1+IF(J$3&lt;=$O$2,$D632,$D632-($D632-$I$616)*MIN(J$3-$O$2,$Q$2)/$Q$2))</f>
        <v>9837.60472498923</v>
      </c>
      <c r="K632" s="15" t="n">
        <f aca="false">J632*(1+IF(K$3&lt;=$O$2,$D632,$D632-($D632-$I$616)*MIN(K$3-$O$2,$Q$2)/$Q$2))</f>
        <v>10209.8466702492</v>
      </c>
      <c r="L632" s="15" t="n">
        <f aca="false">K632*(1+IF(L$3&lt;=$O$2,$D632,$D632-($D632-$I$616)*MIN(L$3-$O$2,$Q$2)/$Q$2))</f>
        <v>10546.6945379898</v>
      </c>
      <c r="M632" s="15" t="n">
        <f aca="false">L632*(1+IF(M$3&lt;=$O$2,$D632,$D632-($D632-$I$616)*MIN(M$3-$O$2,$Q$2)/$Q$2))</f>
        <v>10843.544181642</v>
      </c>
      <c r="N632" s="15" t="n">
        <f aca="false">M632*(1+IF(N$3&lt;=$O$2,$D632,$D632-($D632-$I$616)*MIN(N$3-$O$2,$Q$2)/$Q$2))</f>
        <v>11096.1987610742</v>
      </c>
      <c r="O632" s="15" t="n">
        <f aca="false">SUMPRODUCT(E632:N632,1/(1+$F$616)^$E$3:$N$3)*$E$2</f>
        <v>10157.553729431</v>
      </c>
      <c r="P632" s="15" t="n">
        <f aca="false">N632*$E$2*(1+$I$616)/($F$616-$I$616)/(1+$F$616)^$N$3</f>
        <v>11976.5385689416</v>
      </c>
      <c r="Q632" s="15" t="n">
        <f aca="false">O632+P632</f>
        <v>22134.0922983726</v>
      </c>
      <c r="R632" s="15" t="n">
        <f aca="false">Q632-$G$2+$I$2</f>
        <v>19017.8922983726</v>
      </c>
      <c r="S632" s="42" t="n">
        <f aca="false">R632/$K$2</f>
        <v>168.449001757065</v>
      </c>
      <c r="T632" s="43" t="n">
        <f aca="false">S632-$M$2</f>
        <v>-0.0186687478066574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0.0475311279296875</v>
      </c>
      <c r="C633" s="25" t="n">
        <f aca="false">IF(T632&gt;0,D632,C632)</f>
        <v>0.047576904296875</v>
      </c>
      <c r="D633" s="41" t="n">
        <f aca="false">(B633+C633)/2</f>
        <v>0.0475540161132813</v>
      </c>
      <c r="E633" s="15" t="n">
        <f aca="false">$C$2*(1+IF(E$3&lt;=$O$2,$D633,$D633-($D633-$I$616)*MIN(E$3-$O$2,$Q$2)/$Q$2))</f>
        <v>7835.70404052734</v>
      </c>
      <c r="F633" s="15" t="n">
        <f aca="false">E633*(1+IF(F$3&lt;=$O$2,$D633,$D633-($D633-$I$616)*MIN(F$3-$O$2,$Q$2)/$Q$2))</f>
        <v>8208.32323672948</v>
      </c>
      <c r="G633" s="15" t="n">
        <f aca="false">F633*(1+IF(G$3&lt;=$O$2,$D633,$D633-($D633-$I$616)*MIN(G$3-$O$2,$Q$2)/$Q$2))</f>
        <v>8598.66197219194</v>
      </c>
      <c r="H633" s="15" t="n">
        <f aca="false">G633*(1+IF(H$3&lt;=$O$2,$D633,$D633-($D633-$I$616)*MIN(H$3-$O$2,$Q$2)/$Q$2))</f>
        <v>9007.56288217021</v>
      </c>
      <c r="I633" s="15" t="n">
        <f aca="false">H633*(1+IF(I$3&lt;=$O$2,$D633,$D633-($D633-$I$616)*MIN(I$3-$O$2,$Q$2)/$Q$2))</f>
        <v>9435.90867261033</v>
      </c>
      <c r="J633" s="15" t="n">
        <f aca="false">I633*(1+IF(J$3&lt;=$O$2,$D633,$D633-($D633-$I$616)*MIN(J$3-$O$2,$Q$2)/$Q$2))</f>
        <v>9838.85228947331</v>
      </c>
      <c r="K633" s="15" t="n">
        <f aca="false">J633*(1+IF(K$3&lt;=$O$2,$D633,$D633-($D633-$I$616)*MIN(K$3-$O$2,$Q$2)/$Q$2))</f>
        <v>10211.2765569971</v>
      </c>
      <c r="L633" s="15" t="n">
        <f aca="false">K633*(1+IF(L$3&lt;=$O$2,$D633,$D633-($D633-$I$616)*MIN(L$3-$O$2,$Q$2)/$Q$2))</f>
        <v>10548.2650872353</v>
      </c>
      <c r="M633" s="15" t="n">
        <f aca="false">L633*(1+IF(M$3&lt;=$O$2,$D633,$D633-($D633-$I$616)*MIN(M$3-$O$2,$Q$2)/$Q$2))</f>
        <v>10845.2072220465</v>
      </c>
      <c r="N633" s="15" t="n">
        <f aca="false">M633*(1+IF(N$3&lt;=$O$2,$D633,$D633-($D633-$I$616)*MIN(N$3-$O$2,$Q$2)/$Q$2))</f>
        <v>11097.9005503202</v>
      </c>
      <c r="O633" s="15" t="n">
        <f aca="false">SUMPRODUCT(E633:N633,1/(1+$F$616)^$E$3:$N$3)*$E$2</f>
        <v>10158.5601990046</v>
      </c>
      <c r="P633" s="15" t="n">
        <f aca="false">N633*$E$2*(1+$I$616)/($F$616-$I$616)/(1+$F$616)^$N$3</f>
        <v>11978.3753731463</v>
      </c>
      <c r="Q633" s="15" t="n">
        <f aca="false">O633+P633</f>
        <v>22136.9355721509</v>
      </c>
      <c r="R633" s="15" t="n">
        <f aca="false">Q633-$G$2+$I$2</f>
        <v>19020.7355721509</v>
      </c>
      <c r="S633" s="42" t="n">
        <f aca="false">R633/$K$2</f>
        <v>168.474185758644</v>
      </c>
      <c r="T633" s="43" t="n">
        <f aca="false">S633-$M$2</f>
        <v>0.00651525377222129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0.0475311279296875</v>
      </c>
      <c r="C634" s="25" t="n">
        <f aca="false">IF(T633&gt;0,D633,C633)</f>
        <v>0.0475540161132813</v>
      </c>
      <c r="D634" s="41" t="n">
        <f aca="false">(B634+C634)/2</f>
        <v>0.0475425720214844</v>
      </c>
      <c r="E634" s="15" t="n">
        <f aca="false">$C$2*(1+IF(E$3&lt;=$O$2,$D634,$D634-($D634-$I$616)*MIN(E$3-$O$2,$Q$2)/$Q$2))</f>
        <v>7835.6184387207</v>
      </c>
      <c r="F634" s="15" t="n">
        <f aca="false">E634*(1+IF(F$3&lt;=$O$2,$D634,$D634-($D634-$I$616)*MIN(F$3-$O$2,$Q$2)/$Q$2))</f>
        <v>8208.14389267645</v>
      </c>
      <c r="G634" s="15" t="n">
        <f aca="false">F634*(1+IF(G$3&lt;=$O$2,$D634,$D634-($D634-$I$616)*MIN(G$3-$O$2,$Q$2)/$Q$2))</f>
        <v>8598.38016485673</v>
      </c>
      <c r="H634" s="15" t="n">
        <f aca="false">G634*(1+IF(H$3&lt;=$O$2,$D634,$D634-($D634-$I$616)*MIN(H$3-$O$2,$Q$2)/$Q$2))</f>
        <v>9007.16927311253</v>
      </c>
      <c r="I634" s="15" t="n">
        <f aca="false">H634*(1+IF(I$3&lt;=$O$2,$D634,$D634-($D634-$I$616)*MIN(I$3-$O$2,$Q$2)/$Q$2))</f>
        <v>9435.39326698919</v>
      </c>
      <c r="J634" s="15" t="n">
        <f aca="false">I634*(1+IF(J$3&lt;=$O$2,$D634,$D634-($D634-$I$616)*MIN(J$3-$O$2,$Q$2)/$Q$2))</f>
        <v>9838.22849077085</v>
      </c>
      <c r="K634" s="15" t="n">
        <f aca="false">J634*(1+IF(K$3&lt;=$O$2,$D634,$D634-($D634-$I$616)*MIN(K$3-$O$2,$Q$2)/$Q$2))</f>
        <v>10210.5615922566</v>
      </c>
      <c r="L634" s="15" t="n">
        <f aca="false">K634*(1+IF(L$3&lt;=$O$2,$D634,$D634-($D634-$I$616)*MIN(L$3-$O$2,$Q$2)/$Q$2))</f>
        <v>10547.4797872682</v>
      </c>
      <c r="M634" s="15" t="n">
        <f aca="false">L634*(1+IF(M$3&lt;=$O$2,$D634,$D634-($D634-$I$616)*MIN(M$3-$O$2,$Q$2)/$Q$2))</f>
        <v>10844.3756739892</v>
      </c>
      <c r="N634" s="15" t="n">
        <f aca="false">M634*(1+IF(N$3&lt;=$O$2,$D634,$D634-($D634-$I$616)*MIN(N$3-$O$2,$Q$2)/$Q$2))</f>
        <v>11097.0496271931</v>
      </c>
      <c r="O634" s="15" t="n">
        <f aca="false">SUMPRODUCT(E634:N634,1/(1+$F$616)^$E$3:$N$3)*$E$2</f>
        <v>10158.0569516196</v>
      </c>
      <c r="P634" s="15" t="n">
        <f aca="false">N634*$E$2*(1+$I$616)/($F$616-$I$616)/(1+$F$616)^$N$3</f>
        <v>11977.4569402784</v>
      </c>
      <c r="Q634" s="15" t="n">
        <f aca="false">O634+P634</f>
        <v>22135.513891898</v>
      </c>
      <c r="R634" s="15" t="n">
        <f aca="false">Q634-$G$2+$I$2</f>
        <v>19019.313891898</v>
      </c>
      <c r="S634" s="42" t="n">
        <f aca="false">R634/$K$2</f>
        <v>168.461593373765</v>
      </c>
      <c r="T634" s="43" t="n">
        <f aca="false">S634-$M$2</f>
        <v>-0.00607713110682084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0.0475425720214844</v>
      </c>
      <c r="C635" s="25" t="n">
        <f aca="false">IF(T634&gt;0,D634,C634)</f>
        <v>0.0475540161132813</v>
      </c>
      <c r="D635" s="41" t="n">
        <f aca="false">(B635+C635)/2</f>
        <v>0.0475482940673828</v>
      </c>
      <c r="E635" s="15" t="n">
        <f aca="false">$C$2*(1+IF(E$3&lt;=$O$2,$D635,$D635-($D635-$I$616)*MIN(E$3-$O$2,$Q$2)/$Q$2))</f>
        <v>7835.66123962402</v>
      </c>
      <c r="F635" s="15" t="n">
        <f aca="false">E635*(1+IF(F$3&lt;=$O$2,$D635,$D635-($D635-$I$616)*MIN(F$3-$O$2,$Q$2)/$Q$2))</f>
        <v>8208.23356445806</v>
      </c>
      <c r="G635" s="15" t="n">
        <f aca="false">F635*(1+IF(G$3&lt;=$O$2,$D635,$D635-($D635-$I$616)*MIN(G$3-$O$2,$Q$2)/$Q$2))</f>
        <v>8598.52106775467</v>
      </c>
      <c r="H635" s="15" t="n">
        <f aca="false">G635*(1+IF(H$3&lt;=$O$2,$D635,$D635-($D635-$I$616)*MIN(H$3-$O$2,$Q$2)/$Q$2))</f>
        <v>9007.36607602886</v>
      </c>
      <c r="I635" s="15" t="n">
        <f aca="false">H635*(1+IF(I$3&lt;=$O$2,$D635,$D635-($D635-$I$616)*MIN(I$3-$O$2,$Q$2)/$Q$2))</f>
        <v>9435.65096698445</v>
      </c>
      <c r="J635" s="15" t="n">
        <f aca="false">I635*(1+IF(J$3&lt;=$O$2,$D635,$D635-($D635-$I$616)*MIN(J$3-$O$2,$Q$2)/$Q$2))</f>
        <v>9838.54038600688</v>
      </c>
      <c r="K635" s="15" t="n">
        <f aca="false">J635*(1+IF(K$3&lt;=$O$2,$D635,$D635-($D635-$I$616)*MIN(K$3-$O$2,$Q$2)/$Q$2))</f>
        <v>10210.9190692851</v>
      </c>
      <c r="L635" s="15" t="n">
        <f aca="false">K635*(1+IF(L$3&lt;=$O$2,$D635,$D635-($D635-$I$616)*MIN(L$3-$O$2,$Q$2)/$Q$2))</f>
        <v>10547.8724309155</v>
      </c>
      <c r="M635" s="15" t="n">
        <f aca="false">L635*(1+IF(M$3&lt;=$O$2,$D635,$D635-($D635-$I$616)*MIN(M$3-$O$2,$Q$2)/$Q$2))</f>
        <v>10844.7914410539</v>
      </c>
      <c r="N635" s="15" t="n">
        <f aca="false">M635*(1+IF(N$3&lt;=$O$2,$D635,$D635-($D635-$I$616)*MIN(N$3-$O$2,$Q$2)/$Q$2))</f>
        <v>11097.4750816304</v>
      </c>
      <c r="O635" s="15" t="n">
        <f aca="false">SUMPRODUCT(E635:N635,1/(1+$F$616)^$E$3:$N$3)*$E$2</f>
        <v>10158.3085721625</v>
      </c>
      <c r="P635" s="15" t="n">
        <f aca="false">N635*$E$2*(1+$I$616)/($F$616-$I$616)/(1+$F$616)^$N$3</f>
        <v>11977.9161490208</v>
      </c>
      <c r="Q635" s="15" t="n">
        <f aca="false">O635+P635</f>
        <v>22136.2247211833</v>
      </c>
      <c r="R635" s="15" t="n">
        <f aca="false">Q635-$G$2+$I$2</f>
        <v>19020.0247211833</v>
      </c>
      <c r="S635" s="42" t="n">
        <f aca="false">R635/$K$2</f>
        <v>168.467889470179</v>
      </c>
      <c r="T635" s="43" t="n">
        <f aca="false">S635-$M$2</f>
        <v>0.000218965307766439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0.0475425720214844</v>
      </c>
      <c r="C636" s="25" t="n">
        <f aca="false">IF(T635&gt;0,D635,C635)</f>
        <v>0.0475482940673828</v>
      </c>
      <c r="D636" s="41" t="n">
        <f aca="false">(B636+C636)/2</f>
        <v>0.0475454330444336</v>
      </c>
      <c r="E636" s="15" t="n">
        <f aca="false">$C$2*(1+IF(E$3&lt;=$O$2,$D636,$D636-($D636-$I$616)*MIN(E$3-$O$2,$Q$2)/$Q$2))</f>
        <v>7835.63983917236</v>
      </c>
      <c r="F636" s="15" t="n">
        <f aca="false">E636*(1+IF(F$3&lt;=$O$2,$D636,$D636-($D636-$I$616)*MIN(F$3-$O$2,$Q$2)/$Q$2))</f>
        <v>8208.18872850603</v>
      </c>
      <c r="G636" s="15" t="n">
        <f aca="false">F636*(1+IF(G$3&lt;=$O$2,$D636,$D636-($D636-$I$616)*MIN(G$3-$O$2,$Q$2)/$Q$2))</f>
        <v>8598.45061611329</v>
      </c>
      <c r="H636" s="15" t="n">
        <f aca="false">G636*(1+IF(H$3&lt;=$O$2,$D636,$D636-($D636-$I$616)*MIN(H$3-$O$2,$Q$2)/$Q$2))</f>
        <v>9007.26767416757</v>
      </c>
      <c r="I636" s="15" t="n">
        <f aca="false">H636*(1+IF(I$3&lt;=$O$2,$D636,$D636-($D636-$I$616)*MIN(I$3-$O$2,$Q$2)/$Q$2))</f>
        <v>9435.522116283</v>
      </c>
      <c r="J636" s="15" t="n">
        <f aca="false">I636*(1+IF(J$3&lt;=$O$2,$D636,$D636-($D636-$I$616)*MIN(J$3-$O$2,$Q$2)/$Q$2))</f>
        <v>9838.38443736008</v>
      </c>
      <c r="K636" s="15" t="n">
        <f aca="false">J636*(1+IF(K$3&lt;=$O$2,$D636,$D636-($D636-$I$616)*MIN(K$3-$O$2,$Q$2)/$Q$2))</f>
        <v>10210.7403294354</v>
      </c>
      <c r="L636" s="15" t="n">
        <f aca="false">K636*(1+IF(L$3&lt;=$O$2,$D636,$D636-($D636-$I$616)*MIN(L$3-$O$2,$Q$2)/$Q$2))</f>
        <v>10547.6761075078</v>
      </c>
      <c r="M636" s="15" t="n">
        <f aca="false">L636*(1+IF(M$3&lt;=$O$2,$D636,$D636-($D636-$I$616)*MIN(M$3-$O$2,$Q$2)/$Q$2))</f>
        <v>10844.5835557806</v>
      </c>
      <c r="N636" s="15" t="n">
        <f aca="false">M636*(1+IF(N$3&lt;=$O$2,$D636,$D636-($D636-$I$616)*MIN(N$3-$O$2,$Q$2)/$Q$2))</f>
        <v>11097.2623526302</v>
      </c>
      <c r="O636" s="15" t="n">
        <f aca="false">SUMPRODUCT(E636:N636,1/(1+$F$616)^$E$3:$N$3)*$E$2</f>
        <v>10158.1827611036</v>
      </c>
      <c r="P636" s="15" t="n">
        <f aca="false">N636*$E$2*(1+$I$616)/($F$616-$I$616)/(1+$F$616)^$N$3</f>
        <v>11977.6865427267</v>
      </c>
      <c r="Q636" s="15" t="n">
        <f aca="false">O636+P636</f>
        <v>22135.8693038304</v>
      </c>
      <c r="R636" s="15" t="n">
        <f aca="false">Q636-$G$2+$I$2</f>
        <v>19019.6693038304</v>
      </c>
      <c r="S636" s="42" t="n">
        <f aca="false">R636/$K$2</f>
        <v>168.464741397966</v>
      </c>
      <c r="T636" s="43" t="n">
        <f aca="false">S636-$M$2</f>
        <v>-0.00292910690541248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0.0475454330444336</v>
      </c>
      <c r="C637" s="25" t="n">
        <f aca="false">IF(T636&gt;0,D636,C636)</f>
        <v>0.0475482940673828</v>
      </c>
      <c r="D637" s="41" t="n">
        <f aca="false">(B637+C637)/2</f>
        <v>0.0475468635559082</v>
      </c>
      <c r="E637" s="15" t="n">
        <f aca="false">$C$2*(1+IF(E$3&lt;=$O$2,$D637,$D637-($D637-$I$616)*MIN(E$3-$O$2,$Q$2)/$Q$2))</f>
        <v>7835.65053939819</v>
      </c>
      <c r="F637" s="15" t="n">
        <f aca="false">E637*(1+IF(F$3&lt;=$O$2,$D637,$D637-($D637-$I$616)*MIN(F$3-$O$2,$Q$2)/$Q$2))</f>
        <v>8208.21114646674</v>
      </c>
      <c r="G637" s="15" t="n">
        <f aca="false">F637*(1+IF(G$3&lt;=$O$2,$D637,$D637-($D637-$I$616)*MIN(G$3-$O$2,$Q$2)/$Q$2))</f>
        <v>8598.48584188588</v>
      </c>
      <c r="H637" s="15" t="n">
        <f aca="false">G637*(1+IF(H$3&lt;=$O$2,$D637,$D637-($D637-$I$616)*MIN(H$3-$O$2,$Q$2)/$Q$2))</f>
        <v>9007.31687499743</v>
      </c>
      <c r="I637" s="15" t="n">
        <f aca="false">H637*(1+IF(I$3&lt;=$O$2,$D637,$D637-($D637-$I$616)*MIN(I$3-$O$2,$Q$2)/$Q$2))</f>
        <v>9435.58654145776</v>
      </c>
      <c r="J637" s="15" t="n">
        <f aca="false">I637*(1+IF(J$3&lt;=$O$2,$D637,$D637-($D637-$I$616)*MIN(J$3-$O$2,$Q$2)/$Q$2))</f>
        <v>9838.46241142628</v>
      </c>
      <c r="K637" s="15" t="n">
        <f aca="false">J637*(1+IF(K$3&lt;=$O$2,$D637,$D637-($D637-$I$616)*MIN(K$3-$O$2,$Q$2)/$Q$2))</f>
        <v>10210.8296990264</v>
      </c>
      <c r="L637" s="15" t="n">
        <f aca="false">K637*(1+IF(L$3&lt;=$O$2,$D637,$D637-($D637-$I$616)*MIN(L$3-$O$2,$Q$2)/$Q$2))</f>
        <v>10547.7742688157</v>
      </c>
      <c r="M637" s="15" t="n">
        <f aca="false">L637*(1+IF(M$3&lt;=$O$2,$D637,$D637-($D637-$I$616)*MIN(M$3-$O$2,$Q$2)/$Q$2))</f>
        <v>10844.687497982</v>
      </c>
      <c r="N637" s="15" t="n">
        <f aca="false">M637*(1+IF(N$3&lt;=$O$2,$D637,$D637-($D637-$I$616)*MIN(N$3-$O$2,$Q$2)/$Q$2))</f>
        <v>11097.3687166849</v>
      </c>
      <c r="O637" s="15" t="n">
        <f aca="false">SUMPRODUCT(E637:N637,1/(1+$F$616)^$E$3:$N$3)*$E$2</f>
        <v>10158.2456664362</v>
      </c>
      <c r="P637" s="15" t="n">
        <f aca="false">N637*$E$2*(1+$I$616)/($F$616-$I$616)/(1+$F$616)^$N$3</f>
        <v>11977.801345393</v>
      </c>
      <c r="Q637" s="15" t="n">
        <f aca="false">O637+P637</f>
        <v>22136.0470118292</v>
      </c>
      <c r="R637" s="15" t="n">
        <f aca="false">Q637-$G$2+$I$2</f>
        <v>19019.8470118292</v>
      </c>
      <c r="S637" s="42" t="n">
        <f aca="false">R637/$K$2</f>
        <v>168.466315428071</v>
      </c>
      <c r="T637" s="43" t="n">
        <f aca="false">S637-$M$2</f>
        <v>-0.00135507680039382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0.0475468635559082</v>
      </c>
      <c r="C638" s="25" t="n">
        <f aca="false">IF(T637&gt;0,D637,C637)</f>
        <v>0.0475482940673828</v>
      </c>
      <c r="D638" s="41" t="n">
        <f aca="false">(B638+C638)/2</f>
        <v>0.0475475788116455</v>
      </c>
      <c r="E638" s="15" t="n">
        <f aca="false">$C$2*(1+IF(E$3&lt;=$O$2,$D638,$D638-($D638-$I$616)*MIN(E$3-$O$2,$Q$2)/$Q$2))</f>
        <v>7835.65588951111</v>
      </c>
      <c r="F638" s="15" t="n">
        <f aca="false">E638*(1+IF(F$3&lt;=$O$2,$D638,$D638-($D638-$I$616)*MIN(F$3-$O$2,$Q$2)/$Q$2))</f>
        <v>8208.22235545857</v>
      </c>
      <c r="G638" s="15" t="n">
        <f aca="false">F638*(1+IF(G$3&lt;=$O$2,$D638,$D638-($D638-$I$616)*MIN(G$3-$O$2,$Q$2)/$Q$2))</f>
        <v>8598.50345480825</v>
      </c>
      <c r="H638" s="15" t="n">
        <f aca="false">G638*(1+IF(H$3&lt;=$O$2,$D638,$D638-($D638-$I$616)*MIN(H$3-$O$2,$Q$2)/$Q$2))</f>
        <v>9007.34147548795</v>
      </c>
      <c r="I638" s="15" t="n">
        <f aca="false">H638*(1+IF(I$3&lt;=$O$2,$D638,$D638-($D638-$I$616)*MIN(I$3-$O$2,$Q$2)/$Q$2))</f>
        <v>9435.61875417712</v>
      </c>
      <c r="J638" s="15" t="n">
        <f aca="false">I638*(1+IF(J$3&lt;=$O$2,$D638,$D638-($D638-$I$616)*MIN(J$3-$O$2,$Q$2)/$Q$2))</f>
        <v>9838.50139865228</v>
      </c>
      <c r="K638" s="15" t="n">
        <f aca="false">J638*(1+IF(K$3&lt;=$O$2,$D638,$D638-($D638-$I$616)*MIN(K$3-$O$2,$Q$2)/$Q$2))</f>
        <v>10210.8743840723</v>
      </c>
      <c r="L638" s="15" t="n">
        <f aca="false">K638*(1+IF(L$3&lt;=$O$2,$D638,$D638-($D638-$I$616)*MIN(L$3-$O$2,$Q$2)/$Q$2))</f>
        <v>10547.8233497666</v>
      </c>
      <c r="M638" s="15" t="n">
        <f aca="false">L638*(1+IF(M$3&lt;=$O$2,$D638,$D638-($D638-$I$616)*MIN(M$3-$O$2,$Q$2)/$Q$2))</f>
        <v>10844.7394694091</v>
      </c>
      <c r="N638" s="15" t="n">
        <f aca="false">M638*(1+IF(N$3&lt;=$O$2,$D638,$D638-($D638-$I$616)*MIN(N$3-$O$2,$Q$2)/$Q$2))</f>
        <v>11097.4218990463</v>
      </c>
      <c r="O638" s="15" t="n">
        <f aca="false">SUMPRODUCT(E638:N638,1/(1+$F$616)^$E$3:$N$3)*$E$2</f>
        <v>10158.2771192501</v>
      </c>
      <c r="P638" s="15" t="n">
        <f aca="false">N638*$E$2*(1+$I$616)/($F$616-$I$616)/(1+$F$616)^$N$3</f>
        <v>11977.8587470867</v>
      </c>
      <c r="Q638" s="15" t="n">
        <f aca="false">O638+P638</f>
        <v>22136.1358663369</v>
      </c>
      <c r="R638" s="15" t="n">
        <f aca="false">Q638-$G$2+$I$2</f>
        <v>19019.9358663369</v>
      </c>
      <c r="S638" s="42" t="n">
        <f aca="false">R638/$K$2</f>
        <v>168.467102447625</v>
      </c>
      <c r="T638" s="43" t="n">
        <f aca="false">S638-$M$2</f>
        <v>-0.000568057246624676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0.0475475788116455</v>
      </c>
      <c r="C639" s="25" t="n">
        <f aca="false">IF(T638&gt;0,D638,C638)</f>
        <v>0.0475482940673828</v>
      </c>
      <c r="D639" s="41" t="n">
        <f aca="false">(B639+C639)/2</f>
        <v>0.0475479364395142</v>
      </c>
      <c r="E639" s="15" t="n">
        <f aca="false">$C$2*(1+IF(E$3&lt;=$O$2,$D639,$D639-($D639-$I$616)*MIN(E$3-$O$2,$Q$2)/$Q$2))</f>
        <v>7835.65856456757</v>
      </c>
      <c r="F639" s="15" t="n">
        <f aca="false">E639*(1+IF(F$3&lt;=$O$2,$D639,$D639-($D639-$I$616)*MIN(F$3-$O$2,$Q$2)/$Q$2))</f>
        <v>8208.22795995736</v>
      </c>
      <c r="G639" s="15" t="n">
        <f aca="false">F639*(1+IF(G$3&lt;=$O$2,$D639,$D639-($D639-$I$616)*MIN(G$3-$O$2,$Q$2)/$Q$2))</f>
        <v>8598.51226127845</v>
      </c>
      <c r="H639" s="15" t="n">
        <f aca="false">G639*(1+IF(H$3&lt;=$O$2,$D639,$D639-($D639-$I$616)*MIN(H$3-$O$2,$Q$2)/$Q$2))</f>
        <v>9007.35377575211</v>
      </c>
      <c r="I639" s="15" t="n">
        <f aca="false">H639*(1+IF(I$3&lt;=$O$2,$D639,$D639-($D639-$I$616)*MIN(I$3-$O$2,$Q$2)/$Q$2))</f>
        <v>9435.63486056979</v>
      </c>
      <c r="J639" s="15" t="n">
        <f aca="false">I639*(1+IF(J$3&lt;=$O$2,$D639,$D639-($D639-$I$616)*MIN(J$3-$O$2,$Q$2)/$Q$2))</f>
        <v>9838.52089231351</v>
      </c>
      <c r="K639" s="15" t="n">
        <f aca="false">J639*(1+IF(K$3&lt;=$O$2,$D639,$D639-($D639-$I$616)*MIN(K$3-$O$2,$Q$2)/$Q$2))</f>
        <v>10210.8967266578</v>
      </c>
      <c r="L639" s="15" t="n">
        <f aca="false">K639*(1+IF(L$3&lt;=$O$2,$D639,$D639-($D639-$I$616)*MIN(L$3-$O$2,$Q$2)/$Q$2))</f>
        <v>10547.8478903163</v>
      </c>
      <c r="M639" s="15" t="n">
        <f aca="false">L639*(1+IF(M$3&lt;=$O$2,$D639,$D639-($D639-$I$616)*MIN(M$3-$O$2,$Q$2)/$Q$2))</f>
        <v>10844.7654552043</v>
      </c>
      <c r="N639" s="15" t="n">
        <f aca="false">M639*(1+IF(N$3&lt;=$O$2,$D639,$D639-($D639-$I$616)*MIN(N$3-$O$2,$Q$2)/$Q$2))</f>
        <v>11097.4484903106</v>
      </c>
      <c r="O639" s="15" t="n">
        <f aca="false">SUMPRODUCT(E639:N639,1/(1+$F$616)^$E$3:$N$3)*$E$2</f>
        <v>10158.292845694</v>
      </c>
      <c r="P639" s="15" t="n">
        <f aca="false">N639*$E$2*(1+$I$616)/($F$616-$I$616)/(1+$F$616)^$N$3</f>
        <v>11977.8874480237</v>
      </c>
      <c r="Q639" s="15" t="n">
        <f aca="false">O639+P639</f>
        <v>22136.1802937177</v>
      </c>
      <c r="R639" s="15" t="n">
        <f aca="false">Q639-$G$2+$I$2</f>
        <v>19019.9802937177</v>
      </c>
      <c r="S639" s="42" t="n">
        <f aca="false">R639/$K$2</f>
        <v>168.467495958527</v>
      </c>
      <c r="T639" s="43" t="n">
        <f aca="false">S639-$M$2</f>
        <v>-0.00017454634453884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0.0475479364395142</v>
      </c>
      <c r="C640" s="25" t="n">
        <f aca="false">IF(T639&gt;0,D639,C639)</f>
        <v>0.0475482940673828</v>
      </c>
      <c r="D640" s="41" t="n">
        <f aca="false">(B640+C640)/2</f>
        <v>0.0475481152534485</v>
      </c>
      <c r="E640" s="15" t="n">
        <f aca="false">$C$2*(1+IF(E$3&lt;=$O$2,$D640,$D640-($D640-$I$616)*MIN(E$3-$O$2,$Q$2)/$Q$2))</f>
        <v>7835.6599020958</v>
      </c>
      <c r="F640" s="15" t="n">
        <f aca="false">E640*(1+IF(F$3&lt;=$O$2,$D640,$D640-($D640-$I$616)*MIN(F$3-$O$2,$Q$2)/$Q$2))</f>
        <v>8208.23076220747</v>
      </c>
      <c r="G640" s="15" t="n">
        <f aca="false">F640*(1+IF(G$3&lt;=$O$2,$D640,$D640-($D640-$I$616)*MIN(G$3-$O$2,$Q$2)/$Q$2))</f>
        <v>8598.51666451581</v>
      </c>
      <c r="H640" s="15" t="n">
        <f aca="false">G640*(1+IF(H$3&lt;=$O$2,$D640,$D640-($D640-$I$616)*MIN(H$3-$O$2,$Q$2)/$Q$2))</f>
        <v>9007.35992588891</v>
      </c>
      <c r="I640" s="15" t="n">
        <f aca="false">H640*(1+IF(I$3&lt;=$O$2,$D640,$D640-($D640-$I$616)*MIN(I$3-$O$2,$Q$2)/$Q$2))</f>
        <v>9435.64291377437</v>
      </c>
      <c r="J640" s="15" t="n">
        <f aca="false">I640*(1+IF(J$3&lt;=$O$2,$D640,$D640-($D640-$I$616)*MIN(J$3-$O$2,$Q$2)/$Q$2))</f>
        <v>9838.53063915618</v>
      </c>
      <c r="K640" s="15" t="n">
        <f aca="false">J640*(1+IF(K$3&lt;=$O$2,$D640,$D640-($D640-$I$616)*MIN(K$3-$O$2,$Q$2)/$Q$2))</f>
        <v>10210.9078979662</v>
      </c>
      <c r="L640" s="15" t="n">
        <f aca="false">K640*(1+IF(L$3&lt;=$O$2,$D640,$D640-($D640-$I$616)*MIN(L$3-$O$2,$Q$2)/$Q$2))</f>
        <v>10547.8601606097</v>
      </c>
      <c r="M640" s="15" t="n">
        <f aca="false">L640*(1+IF(M$3&lt;=$O$2,$D640,$D640-($D640-$I$616)*MIN(M$3-$O$2,$Q$2)/$Q$2))</f>
        <v>10844.7784481223</v>
      </c>
      <c r="N640" s="15" t="n">
        <f aca="false">M640*(1+IF(N$3&lt;=$O$2,$D640,$D640-($D640-$I$616)*MIN(N$3-$O$2,$Q$2)/$Q$2))</f>
        <v>11097.4617859635</v>
      </c>
      <c r="O640" s="15" t="n">
        <f aca="false">SUMPRODUCT(E640:N640,1/(1+$F$616)^$E$3:$N$3)*$E$2</f>
        <v>10158.3007089251</v>
      </c>
      <c r="P640" s="15" t="n">
        <f aca="false">N640*$E$2*(1+$I$616)/($F$616-$I$616)/(1+$F$616)^$N$3</f>
        <v>11977.9017985147</v>
      </c>
      <c r="Q640" s="15" t="n">
        <f aca="false">O640+P640</f>
        <v>22136.2025074399</v>
      </c>
      <c r="R640" s="15" t="n">
        <f aca="false">Q640-$G$2+$I$2</f>
        <v>19020.0025074399</v>
      </c>
      <c r="S640" s="42" t="n">
        <f aca="false">R640/$K$2</f>
        <v>168.467692714259</v>
      </c>
      <c r="T640" s="43" t="n">
        <f aca="false">S640-$M$2</f>
        <v>2.22093877653151E-005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0.0475479364395142</v>
      </c>
      <c r="C641" s="25" t="n">
        <f aca="false">IF(T640&gt;0,D640,C640)</f>
        <v>0.0475481152534485</v>
      </c>
      <c r="D641" s="41" t="n">
        <f aca="false">(B641+C641)/2</f>
        <v>0.0475480258464813</v>
      </c>
      <c r="E641" s="15" t="n">
        <f aca="false">$C$2*(1+IF(E$3&lt;=$O$2,$D641,$D641-($D641-$I$616)*MIN(E$3-$O$2,$Q$2)/$Q$2))</f>
        <v>7835.65923333168</v>
      </c>
      <c r="F641" s="15" t="n">
        <f aca="false">E641*(1+IF(F$3&lt;=$O$2,$D641,$D641-($D641-$I$616)*MIN(F$3-$O$2,$Q$2)/$Q$2))</f>
        <v>8208.22936108235</v>
      </c>
      <c r="G641" s="15" t="n">
        <f aca="false">F641*(1+IF(G$3&lt;=$O$2,$D641,$D641-($D641-$I$616)*MIN(G$3-$O$2,$Q$2)/$Q$2))</f>
        <v>8598.51446289695</v>
      </c>
      <c r="H641" s="15" t="n">
        <f aca="false">G641*(1+IF(H$3&lt;=$O$2,$D641,$D641-($D641-$I$616)*MIN(H$3-$O$2,$Q$2)/$Q$2))</f>
        <v>9007.35685082011</v>
      </c>
      <c r="I641" s="15" t="n">
        <f aca="false">H641*(1+IF(I$3&lt;=$O$2,$D641,$D641-($D641-$I$616)*MIN(I$3-$O$2,$Q$2)/$Q$2))</f>
        <v>9435.63888717139</v>
      </c>
      <c r="J641" s="15" t="n">
        <f aca="false">I641*(1+IF(J$3&lt;=$O$2,$D641,$D641-($D641-$I$616)*MIN(J$3-$O$2,$Q$2)/$Q$2))</f>
        <v>9838.52576573384</v>
      </c>
      <c r="K641" s="15" t="n">
        <f aca="false">J641*(1+IF(K$3&lt;=$O$2,$D641,$D641-($D641-$I$616)*MIN(K$3-$O$2,$Q$2)/$Q$2))</f>
        <v>10210.9023123107</v>
      </c>
      <c r="L641" s="15" t="n">
        <f aca="false">K641*(1+IF(L$3&lt;=$O$2,$D641,$D641-($D641-$I$616)*MIN(L$3-$O$2,$Q$2)/$Q$2))</f>
        <v>10547.8540254615</v>
      </c>
      <c r="M641" s="15" t="n">
        <f aca="false">L641*(1+IF(M$3&lt;=$O$2,$D641,$D641-($D641-$I$616)*MIN(M$3-$O$2,$Q$2)/$Q$2))</f>
        <v>10844.7719516616</v>
      </c>
      <c r="N641" s="15" t="n">
        <f aca="false">M641*(1+IF(N$3&lt;=$O$2,$D641,$D641-($D641-$I$616)*MIN(N$3-$O$2,$Q$2)/$Q$2))</f>
        <v>11097.4551381353</v>
      </c>
      <c r="O641" s="15" t="n">
        <f aca="false">SUMPRODUCT(E641:N641,1/(1+$F$616)^$E$3:$N$3)*$E$2</f>
        <v>10158.2967773088</v>
      </c>
      <c r="P641" s="15" t="n">
        <f aca="false">N641*$E$2*(1+$I$616)/($F$616-$I$616)/(1+$F$616)^$N$3</f>
        <v>11977.8946232673</v>
      </c>
      <c r="Q641" s="15" t="n">
        <f aca="false">O641+P641</f>
        <v>22136.1914005761</v>
      </c>
      <c r="R641" s="15" t="n">
        <f aca="false">Q641-$G$2+$I$2</f>
        <v>19019.9914005761</v>
      </c>
      <c r="S641" s="42" t="n">
        <f aca="false">R641/$K$2</f>
        <v>168.46759433637</v>
      </c>
      <c r="T641" s="43" t="n">
        <f aca="false">S641-$M$2</f>
        <v>-7.61685018630942E-005</v>
      </c>
    </row>
    <row r="643" customFormat="false" ht="15" hidden="false" customHeight="false" outlineLevel="0" collapsed="false">
      <c r="A643" s="38" t="s">
        <v>207</v>
      </c>
      <c r="E643" s="5" t="s">
        <v>11</v>
      </c>
      <c r="F643" s="12" t="n">
        <f aca="false">Sensitivity!$B$14</f>
        <v>0.0911268672746673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165</v>
      </c>
      <c r="B644" s="28" t="s">
        <v>166</v>
      </c>
      <c r="C644" s="28" t="s">
        <v>167</v>
      </c>
      <c r="D644" s="28" t="s">
        <v>168</v>
      </c>
      <c r="E644" s="28" t="s">
        <v>169</v>
      </c>
      <c r="F644" s="28" t="s">
        <v>170</v>
      </c>
      <c r="G644" s="28" t="s">
        <v>171</v>
      </c>
      <c r="H644" s="28" t="s">
        <v>172</v>
      </c>
      <c r="I644" s="28" t="s">
        <v>173</v>
      </c>
      <c r="J644" s="28" t="s">
        <v>174</v>
      </c>
      <c r="K644" s="28" t="s">
        <v>175</v>
      </c>
      <c r="L644" s="28" t="s">
        <v>176</v>
      </c>
      <c r="M644" s="28" t="s">
        <v>177</v>
      </c>
      <c r="N644" s="28" t="s">
        <v>178</v>
      </c>
      <c r="O644" s="28" t="s">
        <v>179</v>
      </c>
      <c r="P644" s="28" t="s">
        <v>180</v>
      </c>
      <c r="Q644" s="28" t="s">
        <v>181</v>
      </c>
      <c r="R644" s="28" t="s">
        <v>182</v>
      </c>
      <c r="S644" s="28" t="s">
        <v>183</v>
      </c>
      <c r="T644" s="28" t="s">
        <v>184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9350</v>
      </c>
      <c r="F645" s="15" t="n">
        <f aca="false">E645*(1+IF(F$3&lt;=$O$2,$D645,$D645-($D645-$I$643)*MIN(F$3-$O$2,$Q$2)/$Q$2))</f>
        <v>11687.5</v>
      </c>
      <c r="G645" s="15" t="n">
        <f aca="false">F645*(1+IF(G$3&lt;=$O$2,$D645,$D645-($D645-$I$643)*MIN(G$3-$O$2,$Q$2)/$Q$2))</f>
        <v>14609.375</v>
      </c>
      <c r="H645" s="15" t="n">
        <f aca="false">G645*(1+IF(H$3&lt;=$O$2,$D645,$D645-($D645-$I$643)*MIN(H$3-$O$2,$Q$2)/$Q$2))</f>
        <v>18261.71875</v>
      </c>
      <c r="I645" s="15" t="n">
        <f aca="false">H645*(1+IF(I$3&lt;=$O$2,$D645,$D645-($D645-$I$643)*MIN(I$3-$O$2,$Q$2)/$Q$2))</f>
        <v>22827.1484375</v>
      </c>
      <c r="J645" s="15" t="n">
        <f aca="false">I645*(1+IF(J$3&lt;=$O$2,$D645,$D645-($D645-$I$643)*MIN(J$3-$O$2,$Q$2)/$Q$2))</f>
        <v>27521.7797851563</v>
      </c>
      <c r="K645" s="15" t="n">
        <f aca="false">J645*(1+IF(K$3&lt;=$O$2,$D645,$D645-($D645-$I$643)*MIN(K$3-$O$2,$Q$2)/$Q$2))</f>
        <v>31961.5933000977</v>
      </c>
      <c r="L645" s="15" t="n">
        <f aca="false">K645*(1+IF(L$3&lt;=$O$2,$D645,$D645-($D645-$I$643)*MIN(L$3-$O$2,$Q$2)/$Q$2))</f>
        <v>35700.4604843431</v>
      </c>
      <c r="M645" s="15" t="n">
        <f aca="false">L645*(1+IF(M$3&lt;=$O$2,$D645,$D645-($D645-$I$643)*MIN(M$3-$O$2,$Q$2)/$Q$2))</f>
        <v>38293.7419339258</v>
      </c>
      <c r="N645" s="15" t="n">
        <f aca="false">M645*(1+IF(N$3&lt;=$O$2,$D645,$D645-($D645-$I$643)*MIN(N$3-$O$2,$Q$2)/$Q$2))</f>
        <v>39377.4548306559</v>
      </c>
      <c r="O645" s="15" t="n">
        <f aca="false">SUMPRODUCT(E645:N645,1/(1+$F$643)^$E$3:$N$3)*$E$2</f>
        <v>24409.4301262144</v>
      </c>
      <c r="P645" s="15" t="n">
        <f aca="false">N645*$E$2*(1+$I$643)/($F$643-$I$643)/(1+$F$643)^$N$3</f>
        <v>46108.1765342154</v>
      </c>
      <c r="Q645" s="15" t="n">
        <f aca="false">O645+P645</f>
        <v>70517.6066604298</v>
      </c>
      <c r="R645" s="15" t="n">
        <f aca="false">Q645-$G$2+$I$2</f>
        <v>67401.4066604298</v>
      </c>
      <c r="S645" s="42" t="n">
        <f aca="false">R645/$K$2</f>
        <v>597.000944733657</v>
      </c>
      <c r="T645" s="43" t="n">
        <f aca="false">S645-$M$2</f>
        <v>428.533274228785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6545</v>
      </c>
      <c r="F646" s="15" t="n">
        <f aca="false">E646*(1+IF(F$3&lt;=$O$2,$D646,$D646-($D646-$I$643)*MIN(F$3-$O$2,$Q$2)/$Q$2))</f>
        <v>5726.875</v>
      </c>
      <c r="G646" s="15" t="n">
        <f aca="false">F646*(1+IF(G$3&lt;=$O$2,$D646,$D646-($D646-$I$643)*MIN(G$3-$O$2,$Q$2)/$Q$2))</f>
        <v>5011.015625</v>
      </c>
      <c r="H646" s="15" t="n">
        <f aca="false">G646*(1+IF(H$3&lt;=$O$2,$D646,$D646-($D646-$I$643)*MIN(H$3-$O$2,$Q$2)/$Q$2))</f>
        <v>4384.638671875</v>
      </c>
      <c r="I646" s="15" t="n">
        <f aca="false">H646*(1+IF(I$3&lt;=$O$2,$D646,$D646-($D646-$I$643)*MIN(I$3-$O$2,$Q$2)/$Q$2))</f>
        <v>3836.55883789063</v>
      </c>
      <c r="J646" s="15" t="n">
        <f aca="false">I646*(1+IF(J$3&lt;=$O$2,$D646,$D646-($D646-$I$643)*MIN(J$3-$O$2,$Q$2)/$Q$2))</f>
        <v>3474.61787712402</v>
      </c>
      <c r="K646" s="15" t="n">
        <f aca="false">J646*(1+IF(K$3&lt;=$O$2,$D646,$D646-($D646-$I$643)*MIN(K$3-$O$2,$Q$2)/$Q$2))</f>
        <v>3253.35421070877</v>
      </c>
      <c r="L646" s="15" t="n">
        <f aca="false">K646*(1+IF(L$3&lt;=$O$2,$D646,$D646-($D646-$I$643)*MIN(L$3-$O$2,$Q$2)/$Q$2))</f>
        <v>3145.92845467116</v>
      </c>
      <c r="M646" s="15" t="n">
        <f aca="false">L646*(1+IF(M$3&lt;=$O$2,$D646,$D646-($D646-$I$643)*MIN(M$3-$O$2,$Q$2)/$Q$2))</f>
        <v>3138.50406351814</v>
      </c>
      <c r="N646" s="15" t="n">
        <f aca="false">M646*(1+IF(N$3&lt;=$O$2,$D646,$D646-($D646-$I$643)*MIN(N$3-$O$2,$Q$2)/$Q$2))</f>
        <v>3227.3237285157</v>
      </c>
      <c r="O646" s="15" t="n">
        <f aca="false">SUMPRODUCT(E646:N646,1/(1+$F$643)^$E$3:$N$3)*$E$2</f>
        <v>4862.07160060257</v>
      </c>
      <c r="P646" s="15" t="n">
        <f aca="false">N646*$E$2*(1+$I$643)/($F$643-$I$643)/(1+$F$643)^$N$3</f>
        <v>3778.96471083288</v>
      </c>
      <c r="Q646" s="15" t="n">
        <f aca="false">O646+P646</f>
        <v>8641.03631143545</v>
      </c>
      <c r="R646" s="15" t="n">
        <f aca="false">Q646-$G$2+$I$2</f>
        <v>5524.83631143545</v>
      </c>
      <c r="S646" s="42" t="n">
        <f aca="false">R646/$K$2</f>
        <v>48.9356626345035</v>
      </c>
      <c r="T646" s="43" t="n">
        <f aca="false">S646-$M$2</f>
        <v>-119.532007870368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7947.5</v>
      </c>
      <c r="F647" s="15" t="n">
        <f aca="false">E647*(1+IF(F$3&lt;=$O$2,$D647,$D647-($D647-$I$643)*MIN(F$3-$O$2,$Q$2)/$Q$2))</f>
        <v>8444.21875</v>
      </c>
      <c r="G647" s="15" t="n">
        <f aca="false">F647*(1+IF(G$3&lt;=$O$2,$D647,$D647-($D647-$I$643)*MIN(G$3-$O$2,$Q$2)/$Q$2))</f>
        <v>8971.982421875</v>
      </c>
      <c r="H647" s="15" t="n">
        <f aca="false">G647*(1+IF(H$3&lt;=$O$2,$D647,$D647-($D647-$I$643)*MIN(H$3-$O$2,$Q$2)/$Q$2))</f>
        <v>9532.73132324219</v>
      </c>
      <c r="I647" s="15" t="n">
        <f aca="false">H647*(1+IF(I$3&lt;=$O$2,$D647,$D647-($D647-$I$643)*MIN(I$3-$O$2,$Q$2)/$Q$2))</f>
        <v>10128.5270309448</v>
      </c>
      <c r="J647" s="15" t="n">
        <f aca="false">I647*(1+IF(J$3&lt;=$O$2,$D647,$D647-($D647-$I$643)*MIN(J$3-$O$2,$Q$2)/$Q$2))</f>
        <v>10692.2808454872</v>
      </c>
      <c r="K647" s="15" t="n">
        <f aca="false">J647*(1+IF(K$3&lt;=$O$2,$D647,$D647-($D647-$I$643)*MIN(K$3-$O$2,$Q$2)/$Q$2))</f>
        <v>11214.2779963639</v>
      </c>
      <c r="L647" s="15" t="n">
        <f aca="false">K647*(1+IF(L$3&lt;=$O$2,$D647,$D647-($D647-$I$643)*MIN(L$3-$O$2,$Q$2)/$Q$2))</f>
        <v>11685.0533866513</v>
      </c>
      <c r="M647" s="15" t="n">
        <f aca="false">L647*(1+IF(M$3&lt;=$O$2,$D647,$D647-($D647-$I$643)*MIN(M$3-$O$2,$Q$2)/$Q$2))</f>
        <v>12095.6661626582</v>
      </c>
      <c r="N647" s="15" t="n">
        <f aca="false">M647*(1+IF(N$3&lt;=$O$2,$D647,$D647-($D647-$I$643)*MIN(N$3-$O$2,$Q$2)/$Q$2))</f>
        <v>12437.9735150614</v>
      </c>
      <c r="O647" s="15" t="n">
        <f aca="false">SUMPRODUCT(E647:N647,1/(1+$F$643)^$E$3:$N$3)*$E$2</f>
        <v>10869.2762011985</v>
      </c>
      <c r="P647" s="15" t="n">
        <f aca="false">N647*$E$2*(1+$I$643)/($F$643-$I$643)/(1+$F$643)^$N$3</f>
        <v>14563.9752753618</v>
      </c>
      <c r="Q647" s="15" t="n">
        <f aca="false">O647+P647</f>
        <v>25433.2514765602</v>
      </c>
      <c r="R647" s="15" t="n">
        <f aca="false">Q647-$G$2+$I$2</f>
        <v>22317.0514765602</v>
      </c>
      <c r="S647" s="42" t="n">
        <f aca="false">R647/$K$2</f>
        <v>197.670960819843</v>
      </c>
      <c r="T647" s="43" t="n">
        <f aca="false">S647-$M$2</f>
        <v>29.2032903149711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-0.125</v>
      </c>
      <c r="C648" s="25" t="n">
        <f aca="false">IF(T647&gt;0,D647,C647)</f>
        <v>0.0625</v>
      </c>
      <c r="D648" s="41" t="n">
        <f aca="false">(B648+C648)/2</f>
        <v>-0.03125</v>
      </c>
      <c r="E648" s="15" t="n">
        <f aca="false">$C$2*(1+IF(E$3&lt;=$O$2,$D648,$D648-($D648-$I$643)*MIN(E$3-$O$2,$Q$2)/$Q$2))</f>
        <v>7246.25</v>
      </c>
      <c r="F648" s="15" t="n">
        <f aca="false">E648*(1+IF(F$3&lt;=$O$2,$D648,$D648-($D648-$I$643)*MIN(F$3-$O$2,$Q$2)/$Q$2))</f>
        <v>7019.8046875</v>
      </c>
      <c r="G648" s="15" t="n">
        <f aca="false">F648*(1+IF(G$3&lt;=$O$2,$D648,$D648-($D648-$I$643)*MIN(G$3-$O$2,$Q$2)/$Q$2))</f>
        <v>6800.43579101563</v>
      </c>
      <c r="H648" s="15" t="n">
        <f aca="false">G648*(1+IF(H$3&lt;=$O$2,$D648,$D648-($D648-$I$643)*MIN(H$3-$O$2,$Q$2)/$Q$2))</f>
        <v>6587.92217254639</v>
      </c>
      <c r="I648" s="15" t="n">
        <f aca="false">H648*(1+IF(I$3&lt;=$O$2,$D648,$D648-($D648-$I$643)*MIN(I$3-$O$2,$Q$2)/$Q$2))</f>
        <v>6382.04960465431</v>
      </c>
      <c r="J648" s="15" t="n">
        <f aca="false">I648*(1+IF(J$3&lt;=$O$2,$D648,$D648-($D648-$I$643)*MIN(J$3-$O$2,$Q$2)/$Q$2))</f>
        <v>6258.6207653003</v>
      </c>
      <c r="K648" s="15" t="n">
        <f aca="false">J648*(1+IF(K$3&lt;=$O$2,$D648,$D648-($D648-$I$643)*MIN(K$3-$O$2,$Q$2)/$Q$2))</f>
        <v>6212.11921301412</v>
      </c>
      <c r="L648" s="15" t="n">
        <f aca="false">K648*(1+IF(L$3&lt;=$O$2,$D648,$D648-($D648-$I$643)*MIN(L$3-$O$2,$Q$2)/$Q$2))</f>
        <v>6239.94950708842</v>
      </c>
      <c r="M648" s="15" t="n">
        <f aca="false">L648*(1+IF(M$3&lt;=$O$2,$D648,$D648-($D648-$I$643)*MIN(M$3-$O$2,$Q$2)/$Q$2))</f>
        <v>6342.2222795096</v>
      </c>
      <c r="N648" s="15" t="n">
        <f aca="false">M648*(1+IF(N$3&lt;=$O$2,$D648,$D648-($D648-$I$643)*MIN(N$3-$O$2,$Q$2)/$Q$2))</f>
        <v>6521.70717001972</v>
      </c>
      <c r="O648" s="15" t="n">
        <f aca="false">SUMPRODUCT(E648:N648,1/(1+$F$643)^$E$3:$N$3)*$E$2</f>
        <v>7247.83167103224</v>
      </c>
      <c r="P648" s="15" t="n">
        <f aca="false">N648*$E$2*(1+$I$643)/($F$643-$I$643)/(1+$F$643)^$N$3</f>
        <v>7636.45153788928</v>
      </c>
      <c r="Q648" s="15" t="n">
        <f aca="false">O648+P648</f>
        <v>14884.2832089215</v>
      </c>
      <c r="R648" s="15" t="n">
        <f aca="false">Q648-$G$2+$I$2</f>
        <v>11768.0832089215</v>
      </c>
      <c r="S648" s="42" t="n">
        <f aca="false">R648/$K$2</f>
        <v>104.234572266798</v>
      </c>
      <c r="T648" s="43" t="n">
        <f aca="false">S648-$M$2</f>
        <v>-64.2330982380735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-0.03125</v>
      </c>
      <c r="C649" s="25" t="n">
        <f aca="false">IF(T648&gt;0,D648,C648)</f>
        <v>0.0625</v>
      </c>
      <c r="D649" s="41" t="n">
        <f aca="false">(B649+C649)/2</f>
        <v>0.015625</v>
      </c>
      <c r="E649" s="15" t="n">
        <f aca="false">$C$2*(1+IF(E$3&lt;=$O$2,$D649,$D649-($D649-$I$643)*MIN(E$3-$O$2,$Q$2)/$Q$2))</f>
        <v>7596.875</v>
      </c>
      <c r="F649" s="15" t="n">
        <f aca="false">E649*(1+IF(F$3&lt;=$O$2,$D649,$D649-($D649-$I$643)*MIN(F$3-$O$2,$Q$2)/$Q$2))</f>
        <v>7715.576171875</v>
      </c>
      <c r="G649" s="15" t="n">
        <f aca="false">F649*(1+IF(G$3&lt;=$O$2,$D649,$D649-($D649-$I$643)*MIN(G$3-$O$2,$Q$2)/$Q$2))</f>
        <v>7836.13204956055</v>
      </c>
      <c r="H649" s="15" t="n">
        <f aca="false">G649*(1+IF(H$3&lt;=$O$2,$D649,$D649-($D649-$I$643)*MIN(H$3-$O$2,$Q$2)/$Q$2))</f>
        <v>7958.57161283493</v>
      </c>
      <c r="I649" s="15" t="n">
        <f aca="false">H649*(1+IF(I$3&lt;=$O$2,$D649,$D649-($D649-$I$643)*MIN(I$3-$O$2,$Q$2)/$Q$2))</f>
        <v>8082.92429428548</v>
      </c>
      <c r="J649" s="15" t="n">
        <f aca="false">I649*(1+IF(J$3&lt;=$O$2,$D649,$D649-($D649-$I$643)*MIN(J$3-$O$2,$Q$2)/$Q$2))</f>
        <v>8229.7101994697</v>
      </c>
      <c r="K649" s="15" t="n">
        <f aca="false">J649*(1+IF(K$3&lt;=$O$2,$D649,$D649-($D649-$I$643)*MIN(K$3-$O$2,$Q$2)/$Q$2))</f>
        <v>8400.02405204773</v>
      </c>
      <c r="L649" s="15" t="n">
        <f aca="false">K649*(1+IF(L$3&lt;=$O$2,$D649,$D649-($D649-$I$643)*MIN(L$3-$O$2,$Q$2)/$Q$2))</f>
        <v>8595.15661077679</v>
      </c>
      <c r="M649" s="15" t="n">
        <f aca="false">L649*(1+IF(M$3&lt;=$O$2,$D649,$D649-($D649-$I$643)*MIN(M$3-$O$2,$Q$2)/$Q$2))</f>
        <v>8816.61082085346</v>
      </c>
      <c r="N649" s="15" t="n">
        <f aca="false">M649*(1+IF(N$3&lt;=$O$2,$D649,$D649-($D649-$I$643)*MIN(N$3-$O$2,$Q$2)/$Q$2))</f>
        <v>9066.12090708361</v>
      </c>
      <c r="O649" s="15" t="n">
        <f aca="false">SUMPRODUCT(E649:N649,1/(1+$F$643)^$E$3:$N$3)*$E$2</f>
        <v>8871.9223817166</v>
      </c>
      <c r="P649" s="15" t="n">
        <f aca="false">N649*$E$2*(1+$I$643)/($F$643-$I$643)/(1+$F$643)^$N$3</f>
        <v>10615.7776083313</v>
      </c>
      <c r="Q649" s="15" t="n">
        <f aca="false">O649+P649</f>
        <v>19487.6999900479</v>
      </c>
      <c r="R649" s="15" t="n">
        <f aca="false">Q649-$G$2+$I$2</f>
        <v>16371.4999900479</v>
      </c>
      <c r="S649" s="42" t="n">
        <f aca="false">R649/$K$2</f>
        <v>145.008857307776</v>
      </c>
      <c r="T649" s="43" t="n">
        <f aca="false">S649-$M$2</f>
        <v>-23.4588131970961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0.015625</v>
      </c>
      <c r="C650" s="25" t="n">
        <f aca="false">IF(T649&gt;0,D649,C649)</f>
        <v>0.0625</v>
      </c>
      <c r="D650" s="41" t="n">
        <f aca="false">(B650+C650)/2</f>
        <v>0.0390625</v>
      </c>
      <c r="E650" s="15" t="n">
        <f aca="false">$C$2*(1+IF(E$3&lt;=$O$2,$D650,$D650-($D650-$I$643)*MIN(E$3-$O$2,$Q$2)/$Q$2))</f>
        <v>7772.1875</v>
      </c>
      <c r="F650" s="15" t="n">
        <f aca="false">E650*(1+IF(F$3&lt;=$O$2,$D650,$D650-($D650-$I$643)*MIN(F$3-$O$2,$Q$2)/$Q$2))</f>
        <v>8075.78857421875</v>
      </c>
      <c r="G650" s="15" t="n">
        <f aca="false">F650*(1+IF(G$3&lt;=$O$2,$D650,$D650-($D650-$I$643)*MIN(G$3-$O$2,$Q$2)/$Q$2))</f>
        <v>8391.24906539917</v>
      </c>
      <c r="H650" s="15" t="n">
        <f aca="false">G650*(1+IF(H$3&lt;=$O$2,$D650,$D650-($D650-$I$643)*MIN(H$3-$O$2,$Q$2)/$Q$2))</f>
        <v>8719.03223201633</v>
      </c>
      <c r="I650" s="15" t="n">
        <f aca="false">H650*(1+IF(I$3&lt;=$O$2,$D650,$D650-($D650-$I$643)*MIN(I$3-$O$2,$Q$2)/$Q$2))</f>
        <v>9059.61942857946</v>
      </c>
      <c r="J650" s="15" t="n">
        <f aca="false">I650*(1+IF(J$3&lt;=$O$2,$D650,$D650-($D650-$I$643)*MIN(J$3-$O$2,$Q$2)/$Q$2))</f>
        <v>9394.00998168833</v>
      </c>
      <c r="K650" s="15" t="n">
        <f aca="false">J650*(1+IF(K$3&lt;=$O$2,$D650,$D650-($D650-$I$643)*MIN(K$3-$O$2,$Q$2)/$Q$2))</f>
        <v>9720.52228362686</v>
      </c>
      <c r="L650" s="15" t="n">
        <f aca="false">K650*(1+IF(L$3&lt;=$O$2,$D650,$D650-($D650-$I$643)*MIN(L$3-$O$2,$Q$2)/$Q$2))</f>
        <v>10037.4599126845</v>
      </c>
      <c r="M650" s="15" t="n">
        <f aca="false">L650*(1+IF(M$3&lt;=$O$2,$D650,$D650-($D650-$I$643)*MIN(M$3-$O$2,$Q$2)/$Q$2))</f>
        <v>10343.1256606755</v>
      </c>
      <c r="N650" s="15" t="n">
        <f aca="false">M650*(1+IF(N$3&lt;=$O$2,$D650,$D650-($D650-$I$643)*MIN(N$3-$O$2,$Q$2)/$Q$2))</f>
        <v>10635.8361168727</v>
      </c>
      <c r="O650" s="15" t="n">
        <f aca="false">SUMPRODUCT(E650:N650,1/(1+$F$643)^$E$3:$N$3)*$E$2</f>
        <v>9819.28448185543</v>
      </c>
      <c r="P650" s="15" t="n">
        <f aca="false">N650*$E$2*(1+$I$643)/($F$643-$I$643)/(1+$F$643)^$N$3</f>
        <v>12453.8015820151</v>
      </c>
      <c r="Q650" s="15" t="n">
        <f aca="false">O650+P650</f>
        <v>22273.0860638705</v>
      </c>
      <c r="R650" s="15" t="n">
        <f aca="false">Q650-$G$2+$I$2</f>
        <v>19156.8860638705</v>
      </c>
      <c r="S650" s="42" t="n">
        <f aca="false">R650/$K$2</f>
        <v>169.680124569269</v>
      </c>
      <c r="T650" s="43" t="n">
        <f aca="false">S650-$M$2</f>
        <v>1.21245406439758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0.015625</v>
      </c>
      <c r="C651" s="25" t="n">
        <f aca="false">IF(T650&gt;0,D650,C650)</f>
        <v>0.0390625</v>
      </c>
      <c r="D651" s="41" t="n">
        <f aca="false">(B651+C651)/2</f>
        <v>0.02734375</v>
      </c>
      <c r="E651" s="15" t="n">
        <f aca="false">$C$2*(1+IF(E$3&lt;=$O$2,$D651,$D651-($D651-$I$643)*MIN(E$3-$O$2,$Q$2)/$Q$2))</f>
        <v>7684.53125</v>
      </c>
      <c r="F651" s="15" t="n">
        <f aca="false">E651*(1+IF(F$3&lt;=$O$2,$D651,$D651-($D651-$I$643)*MIN(F$3-$O$2,$Q$2)/$Q$2))</f>
        <v>7894.65515136719</v>
      </c>
      <c r="G651" s="15" t="n">
        <f aca="false">F651*(1+IF(G$3&lt;=$O$2,$D651,$D651-($D651-$I$643)*MIN(G$3-$O$2,$Q$2)/$Q$2))</f>
        <v>8110.52462816238</v>
      </c>
      <c r="H651" s="15" t="n">
        <f aca="false">G651*(1+IF(H$3&lt;=$O$2,$D651,$D651-($D651-$I$643)*MIN(H$3-$O$2,$Q$2)/$Q$2))</f>
        <v>8332.2967859637</v>
      </c>
      <c r="I651" s="15" t="n">
        <f aca="false">H651*(1+IF(I$3&lt;=$O$2,$D651,$D651-($D651-$I$643)*MIN(I$3-$O$2,$Q$2)/$Q$2))</f>
        <v>8560.13302620489</v>
      </c>
      <c r="J651" s="15" t="n">
        <f aca="false">I651*(1+IF(J$3&lt;=$O$2,$D651,$D651-($D651-$I$643)*MIN(J$3-$O$2,$Q$2)/$Q$2))</f>
        <v>8795.83628908145</v>
      </c>
      <c r="K651" s="15" t="n">
        <f aca="false">J651*(1+IF(K$3&lt;=$O$2,$D651,$D651-($D651-$I$643)*MIN(K$3-$O$2,$Q$2)/$Q$2))</f>
        <v>9039.71184499159</v>
      </c>
      <c r="L651" s="15" t="n">
        <f aca="false">K651*(1+IF(L$3&lt;=$O$2,$D651,$D651-($D651-$I$643)*MIN(L$3-$O$2,$Q$2)/$Q$2))</f>
        <v>9292.07800042414</v>
      </c>
      <c r="M651" s="15" t="n">
        <f aca="false">L651*(1+IF(M$3&lt;=$O$2,$D651,$D651-($D651-$I$643)*MIN(M$3-$O$2,$Q$2)/$Q$2))</f>
        <v>9553.26669791857</v>
      </c>
      <c r="N651" s="15" t="n">
        <f aca="false">M651*(1+IF(N$3&lt;=$O$2,$D651,$D651-($D651-$I$643)*MIN(N$3-$O$2,$Q$2)/$Q$2))</f>
        <v>9823.62414546966</v>
      </c>
      <c r="O651" s="15" t="n">
        <f aca="false">SUMPRODUCT(E651:N651,1/(1+$F$643)^$E$3:$N$3)*$E$2</f>
        <v>9333.38789394948</v>
      </c>
      <c r="P651" s="15" t="n">
        <f aca="false">N651*$E$2*(1+$I$643)/($F$643-$I$643)/(1+$F$643)^$N$3</f>
        <v>11502.7595930976</v>
      </c>
      <c r="Q651" s="15" t="n">
        <f aca="false">O651+P651</f>
        <v>20836.1474870471</v>
      </c>
      <c r="R651" s="15" t="n">
        <f aca="false">Q651-$G$2+$I$2</f>
        <v>17719.9474870471</v>
      </c>
      <c r="S651" s="42" t="n">
        <f aca="false">R651/$K$2</f>
        <v>156.95259067358</v>
      </c>
      <c r="T651" s="43" t="n">
        <f aca="false">S651-$M$2</f>
        <v>-11.5150798312921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0.02734375</v>
      </c>
      <c r="C652" s="25" t="n">
        <f aca="false">IF(T651&gt;0,D651,C651)</f>
        <v>0.0390625</v>
      </c>
      <c r="D652" s="41" t="n">
        <f aca="false">(B652+C652)/2</f>
        <v>0.033203125</v>
      </c>
      <c r="E652" s="15" t="n">
        <f aca="false">$C$2*(1+IF(E$3&lt;=$O$2,$D652,$D652-($D652-$I$643)*MIN(E$3-$O$2,$Q$2)/$Q$2))</f>
        <v>7728.359375</v>
      </c>
      <c r="F652" s="15" t="n">
        <f aca="false">E652*(1+IF(F$3&lt;=$O$2,$D652,$D652-($D652-$I$643)*MIN(F$3-$O$2,$Q$2)/$Q$2))</f>
        <v>7984.96505737305</v>
      </c>
      <c r="G652" s="15" t="n">
        <f aca="false">F652*(1+IF(G$3&lt;=$O$2,$D652,$D652-($D652-$I$643)*MIN(G$3-$O$2,$Q$2)/$Q$2))</f>
        <v>8250.09085029364</v>
      </c>
      <c r="H652" s="15" t="n">
        <f aca="false">G652*(1+IF(H$3&lt;=$O$2,$D652,$D652-($D652-$I$643)*MIN(H$3-$O$2,$Q$2)/$Q$2))</f>
        <v>8524.01964805729</v>
      </c>
      <c r="I652" s="15" t="n">
        <f aca="false">H652*(1+IF(I$3&lt;=$O$2,$D652,$D652-($D652-$I$643)*MIN(I$3-$O$2,$Q$2)/$Q$2))</f>
        <v>8807.0437379342</v>
      </c>
      <c r="J652" s="15" t="n">
        <f aca="false">I652*(1+IF(J$3&lt;=$O$2,$D652,$D652-($D652-$I$643)*MIN(J$3-$O$2,$Q$2)/$Q$2))</f>
        <v>9090.82870477978</v>
      </c>
      <c r="K652" s="15" t="n">
        <f aca="false">J652*(1+IF(K$3&lt;=$O$2,$D652,$D652-($D652-$I$643)*MIN(K$3-$O$2,$Q$2)/$Q$2))</f>
        <v>9374.84323882092</v>
      </c>
      <c r="L652" s="15" t="n">
        <f aca="false">K652*(1+IF(L$3&lt;=$O$2,$D652,$D652-($D652-$I$643)*MIN(L$3-$O$2,$Q$2)/$Q$2))</f>
        <v>9658.53771378169</v>
      </c>
      <c r="M652" s="15" t="n">
        <f aca="false">L652*(1+IF(M$3&lt;=$O$2,$D652,$D652-($D652-$I$643)*MIN(M$3-$O$2,$Q$2)/$Q$2))</f>
        <v>9941.34573462729</v>
      </c>
      <c r="N652" s="15" t="n">
        <f aca="false">M652*(1+IF(N$3&lt;=$O$2,$D652,$D652-($D652-$I$643)*MIN(N$3-$O$2,$Q$2)/$Q$2))</f>
        <v>10222.6858189172</v>
      </c>
      <c r="O652" s="15" t="n">
        <f aca="false">SUMPRODUCT(E652:N652,1/(1+$F$643)^$E$3:$N$3)*$E$2</f>
        <v>9573.20767370993</v>
      </c>
      <c r="P652" s="15" t="n">
        <f aca="false">N652*$E$2*(1+$I$643)/($F$643-$I$643)/(1+$F$643)^$N$3</f>
        <v>11970.0322029321</v>
      </c>
      <c r="Q652" s="15" t="n">
        <f aca="false">O652+P652</f>
        <v>21543.2398766421</v>
      </c>
      <c r="R652" s="15" t="n">
        <f aca="false">Q652-$G$2+$I$2</f>
        <v>18427.0398766421</v>
      </c>
      <c r="S652" s="42" t="n">
        <f aca="false">R652/$K$2</f>
        <v>163.215587924199</v>
      </c>
      <c r="T652" s="43" t="n">
        <f aca="false">S652-$M$2</f>
        <v>-5.25208258067255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0.033203125</v>
      </c>
      <c r="C653" s="25" t="n">
        <f aca="false">IF(T652&gt;0,D652,C652)</f>
        <v>0.0390625</v>
      </c>
      <c r="D653" s="41" t="n">
        <f aca="false">(B653+C653)/2</f>
        <v>0.0361328125</v>
      </c>
      <c r="E653" s="15" t="n">
        <f aca="false">$C$2*(1+IF(E$3&lt;=$O$2,$D653,$D653-($D653-$I$643)*MIN(E$3-$O$2,$Q$2)/$Q$2))</f>
        <v>7750.2734375</v>
      </c>
      <c r="F653" s="15" t="n">
        <f aca="false">E653*(1+IF(F$3&lt;=$O$2,$D653,$D653-($D653-$I$643)*MIN(F$3-$O$2,$Q$2)/$Q$2))</f>
        <v>8030.31261444092</v>
      </c>
      <c r="G653" s="15" t="n">
        <f aca="false">F653*(1+IF(G$3&lt;=$O$2,$D653,$D653-($D653-$I$643)*MIN(G$3-$O$2,$Q$2)/$Q$2))</f>
        <v>8320.4703944549</v>
      </c>
      <c r="H653" s="15" t="n">
        <f aca="false">G653*(1+IF(H$3&lt;=$O$2,$D653,$D653-($D653-$I$643)*MIN(H$3-$O$2,$Q$2)/$Q$2))</f>
        <v>8621.11239112954</v>
      </c>
      <c r="I653" s="15" t="n">
        <f aca="false">H653*(1+IF(I$3&lt;=$O$2,$D653,$D653-($D653-$I$643)*MIN(I$3-$O$2,$Q$2)/$Q$2))</f>
        <v>8932.61742869965</v>
      </c>
      <c r="J653" s="15" t="n">
        <f aca="false">I653*(1+IF(J$3&lt;=$O$2,$D653,$D653-($D653-$I$643)*MIN(J$3-$O$2,$Q$2)/$Q$2))</f>
        <v>9241.38451589444</v>
      </c>
      <c r="K653" s="15" t="n">
        <f aca="false">J653*(1+IF(K$3&lt;=$O$2,$D653,$D653-($D653-$I$643)*MIN(K$3-$O$2,$Q$2)/$Q$2))</f>
        <v>9546.34731698629</v>
      </c>
      <c r="L653" s="15" t="n">
        <f aca="false">K653*(1+IF(L$3&lt;=$O$2,$D653,$D653-($D653-$I$643)*MIN(L$3-$O$2,$Q$2)/$Q$2))</f>
        <v>9846.41884549453</v>
      </c>
      <c r="M653" s="15" t="n">
        <f aca="false">L653*(1+IF(M$3&lt;=$O$2,$D653,$D653-($D653-$I$643)*MIN(M$3-$O$2,$Q$2)/$Q$2))</f>
        <v>10140.4975293447</v>
      </c>
      <c r="N653" s="15" t="n">
        <f aca="false">M653*(1+IF(N$3&lt;=$O$2,$D653,$D653-($D653-$I$643)*MIN(N$3-$O$2,$Q$2)/$Q$2))</f>
        <v>10427.4736094251</v>
      </c>
      <c r="O653" s="15" t="n">
        <f aca="false">SUMPRODUCT(E653:N653,1/(1+$F$643)^$E$3:$N$3)*$E$2</f>
        <v>9695.4544468964</v>
      </c>
      <c r="P653" s="15" t="n">
        <f aca="false">N653*$E$2*(1+$I$643)/($F$643-$I$643)/(1+$F$643)^$N$3</f>
        <v>12209.8240238458</v>
      </c>
      <c r="Q653" s="15" t="n">
        <f aca="false">O653+P653</f>
        <v>21905.2784707422</v>
      </c>
      <c r="R653" s="15" t="n">
        <f aca="false">Q653-$G$2+$I$2</f>
        <v>18789.0784707422</v>
      </c>
      <c r="S653" s="42" t="n">
        <f aca="false">R653/$K$2</f>
        <v>166.422307092491</v>
      </c>
      <c r="T653" s="43" t="n">
        <f aca="false">S653-$M$2</f>
        <v>-2.04536341238062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0.0361328125</v>
      </c>
      <c r="C654" s="25" t="n">
        <f aca="false">IF(T653&gt;0,D653,C653)</f>
        <v>0.0390625</v>
      </c>
      <c r="D654" s="41" t="n">
        <f aca="false">(B654+C654)/2</f>
        <v>0.03759765625</v>
      </c>
      <c r="E654" s="15" t="n">
        <f aca="false">$C$2*(1+IF(E$3&lt;=$O$2,$D654,$D654-($D654-$I$643)*MIN(E$3-$O$2,$Q$2)/$Q$2))</f>
        <v>7761.23046875</v>
      </c>
      <c r="F654" s="15" t="n">
        <f aca="false">E654*(1+IF(F$3&lt;=$O$2,$D654,$D654-($D654-$I$643)*MIN(F$3-$O$2,$Q$2)/$Q$2))</f>
        <v>8053.03454399109</v>
      </c>
      <c r="G654" s="15" t="n">
        <f aca="false">F654*(1+IF(G$3&lt;=$O$2,$D654,$D654-($D654-$I$643)*MIN(G$3-$O$2,$Q$2)/$Q$2))</f>
        <v>8355.80976854544</v>
      </c>
      <c r="H654" s="15" t="n">
        <f aca="false">G654*(1+IF(H$3&lt;=$O$2,$D654,$D654-($D654-$I$643)*MIN(H$3-$O$2,$Q$2)/$Q$2))</f>
        <v>8669.96863191361</v>
      </c>
      <c r="I654" s="15" t="n">
        <f aca="false">H654*(1+IF(I$3&lt;=$O$2,$D654,$D654-($D654-$I$643)*MIN(I$3-$O$2,$Q$2)/$Q$2))</f>
        <v>8995.93913223458</v>
      </c>
      <c r="J654" s="15" t="n">
        <f aca="false">I654*(1+IF(J$3&lt;=$O$2,$D654,$D654-($D654-$I$643)*MIN(J$3-$O$2,$Q$2)/$Q$2))</f>
        <v>9317.43712943477</v>
      </c>
      <c r="K654" s="15" t="n">
        <f aca="false">J654*(1+IF(K$3&lt;=$O$2,$D654,$D654-($D654-$I$643)*MIN(K$3-$O$2,$Q$2)/$Q$2))</f>
        <v>9633.09879673405</v>
      </c>
      <c r="L654" s="15" t="n">
        <f aca="false">K654*(1+IF(L$3&lt;=$O$2,$D654,$D654-($D654-$I$643)*MIN(L$3-$O$2,$Q$2)/$Q$2))</f>
        <v>9941.54158917536</v>
      </c>
      <c r="M654" s="15" t="n">
        <f aca="false">L654*(1+IF(M$3&lt;=$O$2,$D654,$D654-($D654-$I$643)*MIN(M$3-$O$2,$Q$2)/$Q$2))</f>
        <v>10241.3738234073</v>
      </c>
      <c r="N654" s="15" t="n">
        <f aca="false">M654*(1+IF(N$3&lt;=$O$2,$D654,$D654-($D654-$I$643)*MIN(N$3-$O$2,$Q$2)/$Q$2))</f>
        <v>10531.2047026097</v>
      </c>
      <c r="O654" s="15" t="n">
        <f aca="false">SUMPRODUCT(E654:N654,1/(1+$F$643)^$E$3:$N$3)*$E$2</f>
        <v>9757.17035786815</v>
      </c>
      <c r="P654" s="15" t="n">
        <f aca="false">N654*$E$2*(1+$I$643)/($F$643-$I$643)/(1+$F$643)^$N$3</f>
        <v>12331.2856972122</v>
      </c>
      <c r="Q654" s="15" t="n">
        <f aca="false">O654+P654</f>
        <v>22088.4560550804</v>
      </c>
      <c r="R654" s="15" t="n">
        <f aca="false">Q654-$G$2+$I$2</f>
        <v>18972.2560550804</v>
      </c>
      <c r="S654" s="42" t="n">
        <f aca="false">R654/$K$2</f>
        <v>168.044783481668</v>
      </c>
      <c r="T654" s="43" t="n">
        <f aca="false">S654-$M$2</f>
        <v>-0.422887023203145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0.03759765625</v>
      </c>
      <c r="C655" s="25" t="n">
        <f aca="false">IF(T654&gt;0,D654,C654)</f>
        <v>0.0390625</v>
      </c>
      <c r="D655" s="41" t="n">
        <f aca="false">(B655+C655)/2</f>
        <v>0.038330078125</v>
      </c>
      <c r="E655" s="15" t="n">
        <f aca="false">$C$2*(1+IF(E$3&lt;=$O$2,$D655,$D655-($D655-$I$643)*MIN(E$3-$O$2,$Q$2)/$Q$2))</f>
        <v>7766.708984375</v>
      </c>
      <c r="F655" s="15" t="n">
        <f aca="false">E655*(1+IF(F$3&lt;=$O$2,$D655,$D655-($D655-$I$643)*MIN(F$3-$O$2,$Q$2)/$Q$2))</f>
        <v>8064.40754652023</v>
      </c>
      <c r="G655" s="15" t="n">
        <f aca="false">F655*(1+IF(G$3&lt;=$O$2,$D655,$D655-($D655-$I$643)*MIN(G$3-$O$2,$Q$2)/$Q$2))</f>
        <v>8373.51691781019</v>
      </c>
      <c r="H655" s="15" t="n">
        <f aca="false">G655*(1+IF(H$3&lt;=$O$2,$D655,$D655-($D655-$I$643)*MIN(H$3-$O$2,$Q$2)/$Q$2))</f>
        <v>8694.47447545087</v>
      </c>
      <c r="I655" s="15" t="n">
        <f aca="false">H655*(1+IF(I$3&lt;=$O$2,$D655,$D655-($D655-$I$643)*MIN(I$3-$O$2,$Q$2)/$Q$2))</f>
        <v>9027.73436135072</v>
      </c>
      <c r="J655" s="15" t="n">
        <f aca="false">I655*(1+IF(J$3&lt;=$O$2,$D655,$D655-($D655-$I$643)*MIN(J$3-$O$2,$Q$2)/$Q$2))</f>
        <v>9355.65834852582</v>
      </c>
      <c r="K655" s="15" t="n">
        <f aca="false">J655*(1+IF(K$3&lt;=$O$2,$D655,$D655-($D655-$I$643)*MIN(K$3-$O$2,$Q$2)/$Q$2))</f>
        <v>9676.72627027701</v>
      </c>
      <c r="L655" s="15" t="n">
        <f aca="false">K655*(1+IF(L$3&lt;=$O$2,$D655,$D655-($D655-$I$643)*MIN(L$3-$O$2,$Q$2)/$Q$2))</f>
        <v>9989.4009519199</v>
      </c>
      <c r="M655" s="15" t="n">
        <f aca="false">L655*(1+IF(M$3&lt;=$O$2,$D655,$D655-($D655-$I$643)*MIN(M$3-$O$2,$Q$2)/$Q$2))</f>
        <v>10292.1398932532</v>
      </c>
      <c r="N655" s="15" t="n">
        <f aca="false">M655*(1+IF(N$3&lt;=$O$2,$D655,$D655-($D655-$I$643)*MIN(N$3-$O$2,$Q$2)/$Q$2))</f>
        <v>10583.4074522322</v>
      </c>
      <c r="O655" s="15" t="n">
        <f aca="false">SUMPRODUCT(E655:N655,1/(1+$F$643)^$E$3:$N$3)*$E$2</f>
        <v>9788.17749269496</v>
      </c>
      <c r="P655" s="15" t="n">
        <f aca="false">N655*$E$2*(1+$I$643)/($F$643-$I$643)/(1+$F$643)^$N$3</f>
        <v>12392.4113744689</v>
      </c>
      <c r="Q655" s="15" t="n">
        <f aca="false">O655+P655</f>
        <v>22180.5888671638</v>
      </c>
      <c r="R655" s="15" t="n">
        <f aca="false">Q655-$G$2+$I$2</f>
        <v>19064.3888671638</v>
      </c>
      <c r="S655" s="42" t="n">
        <f aca="false">R655/$K$2</f>
        <v>168.860840276031</v>
      </c>
      <c r="T655" s="43" t="n">
        <f aca="false">S655-$M$2</f>
        <v>0.39316977115891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0.03759765625</v>
      </c>
      <c r="C656" s="25" t="n">
        <f aca="false">IF(T655&gt;0,D655,C655)</f>
        <v>0.038330078125</v>
      </c>
      <c r="D656" s="41" t="n">
        <f aca="false">(B656+C656)/2</f>
        <v>0.0379638671875</v>
      </c>
      <c r="E656" s="15" t="n">
        <f aca="false">$C$2*(1+IF(E$3&lt;=$O$2,$D656,$D656-($D656-$I$643)*MIN(E$3-$O$2,$Q$2)/$Q$2))</f>
        <v>7763.9697265625</v>
      </c>
      <c r="F656" s="15" t="n">
        <f aca="false">E656*(1+IF(F$3&lt;=$O$2,$D656,$D656-($D656-$I$643)*MIN(F$3-$O$2,$Q$2)/$Q$2))</f>
        <v>8058.72004210949</v>
      </c>
      <c r="G656" s="15" t="n">
        <f aca="false">F656*(1+IF(G$3&lt;=$O$2,$D656,$D656-($D656-$I$643)*MIN(G$3-$O$2,$Q$2)/$Q$2))</f>
        <v>8364.66021948938</v>
      </c>
      <c r="H656" s="15" t="n">
        <f aca="false">G656*(1+IF(H$3&lt;=$O$2,$D656,$D656-($D656-$I$643)*MIN(H$3-$O$2,$Q$2)/$Q$2))</f>
        <v>8682.21506913064</v>
      </c>
      <c r="I656" s="15" t="n">
        <f aca="false">H656*(1+IF(I$3&lt;=$O$2,$D656,$D656-($D656-$I$643)*MIN(I$3-$O$2,$Q$2)/$Q$2))</f>
        <v>9011.82552890843</v>
      </c>
      <c r="J656" s="15" t="n">
        <f aca="false">I656*(1+IF(J$3&lt;=$O$2,$D656,$D656-($D656-$I$643)*MIN(J$3-$O$2,$Q$2)/$Q$2))</f>
        <v>9336.53145939917</v>
      </c>
      <c r="K656" s="15" t="n">
        <f aca="false">J656*(1+IF(K$3&lt;=$O$2,$D656,$D656-($D656-$I$643)*MIN(K$3-$O$2,$Q$2)/$Q$2))</f>
        <v>9654.89149970949</v>
      </c>
      <c r="L656" s="15" t="n">
        <f aca="false">K656*(1+IF(L$3&lt;=$O$2,$D656,$D656-($D656-$I$643)*MIN(L$3-$O$2,$Q$2)/$Q$2))</f>
        <v>9965.44636481644</v>
      </c>
      <c r="M656" s="15" t="n">
        <f aca="false">L656*(1+IF(M$3&lt;=$O$2,$D656,$D656-($D656-$I$643)*MIN(M$3-$O$2,$Q$2)/$Q$2))</f>
        <v>10266.7294469675</v>
      </c>
      <c r="N656" s="15" t="n">
        <f aca="false">M656*(1+IF(N$3&lt;=$O$2,$D656,$D656-($D656-$I$643)*MIN(N$3-$O$2,$Q$2)/$Q$2))</f>
        <v>10557.2778903167</v>
      </c>
      <c r="O656" s="15" t="n">
        <f aca="false">SUMPRODUCT(E656:N656,1/(1+$F$643)^$E$3:$N$3)*$E$2</f>
        <v>9772.66146233829</v>
      </c>
      <c r="P656" s="15" t="n">
        <f aca="false">N656*$E$2*(1+$I$643)/($F$643-$I$643)/(1+$F$643)^$N$3</f>
        <v>12361.8155307622</v>
      </c>
      <c r="Q656" s="15" t="n">
        <f aca="false">O656+P656</f>
        <v>22134.4769931005</v>
      </c>
      <c r="R656" s="15" t="n">
        <f aca="false">Q656-$G$2+$I$2</f>
        <v>19018.2769931005</v>
      </c>
      <c r="S656" s="42" t="n">
        <f aca="false">R656/$K$2</f>
        <v>168.45240915058</v>
      </c>
      <c r="T656" s="43" t="n">
        <f aca="false">S656-$M$2</f>
        <v>-0.0152613542911979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0.0379638671875</v>
      </c>
      <c r="C657" s="25" t="n">
        <f aca="false">IF(T656&gt;0,D656,C656)</f>
        <v>0.038330078125</v>
      </c>
      <c r="D657" s="41" t="n">
        <f aca="false">(B657+C657)/2</f>
        <v>0.03814697265625</v>
      </c>
      <c r="E657" s="15" t="n">
        <f aca="false">$C$2*(1+IF(E$3&lt;=$O$2,$D657,$D657-($D657-$I$643)*MIN(E$3-$O$2,$Q$2)/$Q$2))</f>
        <v>7765.33935546875</v>
      </c>
      <c r="F657" s="15" t="n">
        <f aca="false">E657*(1+IF(F$3&lt;=$O$2,$D657,$D657-($D657-$I$643)*MIN(F$3-$O$2,$Q$2)/$Q$2))</f>
        <v>8061.56354352832</v>
      </c>
      <c r="G657" s="15" t="n">
        <f aca="false">F657*(1+IF(G$3&lt;=$O$2,$D657,$D657-($D657-$I$643)*MIN(G$3-$O$2,$Q$2)/$Q$2))</f>
        <v>8369.08778758992</v>
      </c>
      <c r="H657" s="15" t="n">
        <f aca="false">G657*(1+IF(H$3&lt;=$O$2,$D657,$D657-($D657-$I$643)*MIN(H$3-$O$2,$Q$2)/$Q$2))</f>
        <v>8688.34315058086</v>
      </c>
      <c r="I657" s="15" t="n">
        <f aca="false">H657*(1+IF(I$3&lt;=$O$2,$D657,$D657-($D657-$I$643)*MIN(I$3-$O$2,$Q$2)/$Q$2))</f>
        <v>9019.77713917419</v>
      </c>
      <c r="J657" s="15" t="n">
        <f aca="false">I657*(1+IF(J$3&lt;=$O$2,$D657,$D657-($D657-$I$643)*MIN(J$3-$O$2,$Q$2)/$Q$2))</f>
        <v>9346.09083129675</v>
      </c>
      <c r="K657" s="15" t="n">
        <f aca="false">J657*(1+IF(K$3&lt;=$O$2,$D657,$D657-($D657-$I$643)*MIN(K$3-$O$2,$Q$2)/$Q$2))</f>
        <v>9665.80362233762</v>
      </c>
      <c r="L657" s="15" t="n">
        <f aca="false">K657*(1+IF(L$3&lt;=$O$2,$D657,$D657-($D657-$I$643)*MIN(L$3-$O$2,$Q$2)/$Q$2))</f>
        <v>9977.41742643771</v>
      </c>
      <c r="M657" s="15" t="n">
        <f aca="false">L657*(1+IF(M$3&lt;=$O$2,$D657,$D657-($D657-$I$643)*MIN(M$3-$O$2,$Q$2)/$Q$2))</f>
        <v>10279.4278109215</v>
      </c>
      <c r="N657" s="15" t="n">
        <f aca="false">M657*(1+IF(N$3&lt;=$O$2,$D657,$D657-($D657-$I$643)*MIN(N$3-$O$2,$Q$2)/$Q$2))</f>
        <v>10570.3356179706</v>
      </c>
      <c r="O657" s="15" t="n">
        <f aca="false">SUMPRODUCT(E657:N657,1/(1+$F$643)^$E$3:$N$3)*$E$2</f>
        <v>9780.41635942669</v>
      </c>
      <c r="P657" s="15" t="n">
        <f aca="false">N657*$E$2*(1+$I$643)/($F$643-$I$643)/(1+$F$643)^$N$3</f>
        <v>12377.1051937024</v>
      </c>
      <c r="Q657" s="15" t="n">
        <f aca="false">O657+P657</f>
        <v>22157.5215531291</v>
      </c>
      <c r="R657" s="15" t="n">
        <f aca="false">Q657-$G$2+$I$2</f>
        <v>19041.3215531291</v>
      </c>
      <c r="S657" s="42" t="n">
        <f aca="false">R657/$K$2</f>
        <v>168.656523942685</v>
      </c>
      <c r="T657" s="43" t="n">
        <f aca="false">S657-$M$2</f>
        <v>0.188853437813151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0.0379638671875</v>
      </c>
      <c r="C658" s="25" t="n">
        <f aca="false">IF(T657&gt;0,D657,C657)</f>
        <v>0.03814697265625</v>
      </c>
      <c r="D658" s="41" t="n">
        <f aca="false">(B658+C658)/2</f>
        <v>0.038055419921875</v>
      </c>
      <c r="E658" s="15" t="n">
        <f aca="false">$C$2*(1+IF(E$3&lt;=$O$2,$D658,$D658-($D658-$I$643)*MIN(E$3-$O$2,$Q$2)/$Q$2))</f>
        <v>7764.65454101563</v>
      </c>
      <c r="F658" s="15" t="n">
        <f aca="false">E658*(1+IF(F$3&lt;=$O$2,$D658,$D658-($D658-$I$643)*MIN(F$3-$O$2,$Q$2)/$Q$2))</f>
        <v>8060.14173012227</v>
      </c>
      <c r="G658" s="15" t="n">
        <f aca="false">F658*(1+IF(G$3&lt;=$O$2,$D658,$D658-($D658-$I$643)*MIN(G$3-$O$2,$Q$2)/$Q$2))</f>
        <v>8366.8738082919</v>
      </c>
      <c r="H658" s="15" t="n">
        <f aca="false">G658*(1+IF(H$3&lt;=$O$2,$D658,$D658-($D658-$I$643)*MIN(H$3-$O$2,$Q$2)/$Q$2))</f>
        <v>8685.27870449978</v>
      </c>
      <c r="I658" s="15" t="n">
        <f aca="false">H658*(1+IF(I$3&lt;=$O$2,$D658,$D658-($D658-$I$643)*MIN(I$3-$O$2,$Q$2)/$Q$2))</f>
        <v>9015.80063273804</v>
      </c>
      <c r="J658" s="15" t="n">
        <f aca="false">I658*(1+IF(J$3&lt;=$O$2,$D658,$D658-($D658-$I$643)*MIN(J$3-$O$2,$Q$2)/$Q$2))</f>
        <v>9341.31012752794</v>
      </c>
      <c r="K658" s="15" t="n">
        <f aca="false">J658*(1+IF(K$3&lt;=$O$2,$D658,$D658-($D658-$I$643)*MIN(K$3-$O$2,$Q$2)/$Q$2))</f>
        <v>9660.34624588568</v>
      </c>
      <c r="L658" s="15" t="n">
        <f aca="false">K658*(1+IF(L$3&lt;=$O$2,$D658,$D658-($D658-$I$643)*MIN(L$3-$O$2,$Q$2)/$Q$2))</f>
        <v>9971.43033833198</v>
      </c>
      <c r="M658" s="15" t="n">
        <f aca="false">L658*(1+IF(M$3&lt;=$O$2,$D658,$D658-($D658-$I$643)*MIN(M$3-$O$2,$Q$2)/$Q$2))</f>
        <v>10273.0769149412</v>
      </c>
      <c r="N658" s="15" t="n">
        <f aca="false">M658*(1+IF(N$3&lt;=$O$2,$D658,$D658-($D658-$I$643)*MIN(N$3-$O$2,$Q$2)/$Q$2))</f>
        <v>10563.804991634</v>
      </c>
      <c r="O658" s="15" t="n">
        <f aca="false">SUMPRODUCT(E658:N658,1/(1+$F$643)^$E$3:$N$3)*$E$2</f>
        <v>9776.53813165439</v>
      </c>
      <c r="P658" s="15" t="n">
        <f aca="false">N658*$E$2*(1+$I$643)/($F$643-$I$643)/(1+$F$643)^$N$3</f>
        <v>12369.45829846</v>
      </c>
      <c r="Q658" s="15" t="n">
        <f aca="false">O658+P658</f>
        <v>22145.9964301143</v>
      </c>
      <c r="R658" s="15" t="n">
        <f aca="false">Q658-$G$2+$I$2</f>
        <v>19029.7964301143</v>
      </c>
      <c r="S658" s="42" t="n">
        <f aca="false">R658/$K$2</f>
        <v>168.554441365052</v>
      </c>
      <c r="T658" s="43" t="n">
        <f aca="false">S658-$M$2</f>
        <v>0.0867708601801667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0.0379638671875</v>
      </c>
      <c r="C659" s="25" t="n">
        <f aca="false">IF(T658&gt;0,D658,C658)</f>
        <v>0.038055419921875</v>
      </c>
      <c r="D659" s="41" t="n">
        <f aca="false">(B659+C659)/2</f>
        <v>0.0380096435546875</v>
      </c>
      <c r="E659" s="15" t="n">
        <f aca="false">$C$2*(1+IF(E$3&lt;=$O$2,$D659,$D659-($D659-$I$643)*MIN(E$3-$O$2,$Q$2)/$Q$2))</f>
        <v>7764.31213378906</v>
      </c>
      <c r="F659" s="15" t="n">
        <f aca="false">E659*(1+IF(F$3&lt;=$O$2,$D659,$D659-($D659-$I$643)*MIN(F$3-$O$2,$Q$2)/$Q$2))</f>
        <v>8059.43087044172</v>
      </c>
      <c r="G659" s="15" t="n">
        <f aca="false">F659*(1+IF(G$3&lt;=$O$2,$D659,$D659-($D659-$I$643)*MIN(G$3-$O$2,$Q$2)/$Q$2))</f>
        <v>8365.76696508086</v>
      </c>
      <c r="H659" s="15" t="n">
        <f aca="false">G659*(1+IF(H$3&lt;=$O$2,$D659,$D659-($D659-$I$643)*MIN(H$3-$O$2,$Q$2)/$Q$2))</f>
        <v>8683.74678548516</v>
      </c>
      <c r="I659" s="15" t="n">
        <f aca="false">H659*(1+IF(I$3&lt;=$O$2,$D659,$D659-($D659-$I$643)*MIN(I$3-$O$2,$Q$2)/$Q$2))</f>
        <v>9013.81290552061</v>
      </c>
      <c r="J659" s="15" t="n">
        <f aca="false">I659*(1+IF(J$3&lt;=$O$2,$D659,$D659-($D659-$I$643)*MIN(J$3-$O$2,$Q$2)/$Q$2))</f>
        <v>9338.92053905184</v>
      </c>
      <c r="K659" s="15" t="n">
        <f aca="false">J659*(1+IF(K$3&lt;=$O$2,$D659,$D659-($D659-$I$643)*MIN(K$3-$O$2,$Q$2)/$Q$2))</f>
        <v>9657.61854407886</v>
      </c>
      <c r="L659" s="15" t="n">
        <f aca="false">K659*(1+IF(L$3&lt;=$O$2,$D659,$D659-($D659-$I$643)*MIN(L$3-$O$2,$Q$2)/$Q$2))</f>
        <v>9968.43796233635</v>
      </c>
      <c r="M659" s="15" t="n">
        <f aca="false">L659*(1+IF(M$3&lt;=$O$2,$D659,$D659-($D659-$I$643)*MIN(M$3-$O$2,$Q$2)/$Q$2))</f>
        <v>10269.9027525527</v>
      </c>
      <c r="N659" s="15" t="n">
        <f aca="false">M659*(1+IF(N$3&lt;=$O$2,$D659,$D659-($D659-$I$643)*MIN(N$3-$O$2,$Q$2)/$Q$2))</f>
        <v>10560.54100045</v>
      </c>
      <c r="O659" s="15" t="n">
        <f aca="false">SUMPRODUCT(E659:N659,1/(1+$F$643)^$E$3:$N$3)*$E$2</f>
        <v>9774.59960222611</v>
      </c>
      <c r="P659" s="15" t="n">
        <f aca="false">N659*$E$2*(1+$I$643)/($F$643-$I$643)/(1+$F$643)^$N$3</f>
        <v>12365.6363987875</v>
      </c>
      <c r="Q659" s="15" t="n">
        <f aca="false">O659+P659</f>
        <v>22140.2360010136</v>
      </c>
      <c r="R659" s="15" t="n">
        <f aca="false">Q659-$G$2+$I$2</f>
        <v>19024.0360010136</v>
      </c>
      <c r="S659" s="42" t="n">
        <f aca="false">R659/$K$2</f>
        <v>168.503418963805</v>
      </c>
      <c r="T659" s="43" t="n">
        <f aca="false">S659-$M$2</f>
        <v>0.0357484589331421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0.0379638671875</v>
      </c>
      <c r="C660" s="25" t="n">
        <f aca="false">IF(T659&gt;0,D659,C659)</f>
        <v>0.0380096435546875</v>
      </c>
      <c r="D660" s="41" t="n">
        <f aca="false">(B660+C660)/2</f>
        <v>0.0379867553710938</v>
      </c>
      <c r="E660" s="15" t="n">
        <f aca="false">$C$2*(1+IF(E$3&lt;=$O$2,$D660,$D660-($D660-$I$643)*MIN(E$3-$O$2,$Q$2)/$Q$2))</f>
        <v>7764.14093017578</v>
      </c>
      <c r="F660" s="15" t="n">
        <f aca="false">E660*(1+IF(F$3&lt;=$O$2,$D660,$D660-($D660-$I$643)*MIN(F$3-$O$2,$Q$2)/$Q$2))</f>
        <v>8059.07545235707</v>
      </c>
      <c r="G660" s="15" t="n">
        <f aca="false">F660*(1+IF(G$3&lt;=$O$2,$D660,$D660-($D660-$I$643)*MIN(G$3-$O$2,$Q$2)/$Q$2))</f>
        <v>8365.21358008294</v>
      </c>
      <c r="H660" s="15" t="n">
        <f aca="false">G660*(1+IF(H$3&lt;=$O$2,$D660,$D660-($D660-$I$643)*MIN(H$3-$O$2,$Q$2)/$Q$2))</f>
        <v>8682.9809019765</v>
      </c>
      <c r="I660" s="15" t="n">
        <f aca="false">H660*(1+IF(I$3&lt;=$O$2,$D660,$D660-($D660-$I$643)*MIN(I$3-$O$2,$Q$2)/$Q$2))</f>
        <v>9012.81917339176</v>
      </c>
      <c r="J660" s="15" t="n">
        <f aca="false">I660*(1+IF(J$3&lt;=$O$2,$D660,$D660-($D660-$I$643)*MIN(J$3-$O$2,$Q$2)/$Q$2))</f>
        <v>9337.72593562799</v>
      </c>
      <c r="K660" s="15" t="n">
        <f aca="false">J660*(1+IF(K$3&lt;=$O$2,$D660,$D660-($D660-$I$643)*MIN(K$3-$O$2,$Q$2)/$Q$2))</f>
        <v>9656.25493972271</v>
      </c>
      <c r="L660" s="15" t="n">
        <f aca="false">K660*(1+IF(L$3&lt;=$O$2,$D660,$D660-($D660-$I$643)*MIN(L$3-$O$2,$Q$2)/$Q$2))</f>
        <v>9966.94206627766</v>
      </c>
      <c r="M660" s="15" t="n">
        <f aca="false">L660*(1+IF(M$3&lt;=$O$2,$D660,$D660-($D660-$I$643)*MIN(M$3-$O$2,$Q$2)/$Q$2))</f>
        <v>10268.3159926721</v>
      </c>
      <c r="N660" s="15" t="n">
        <f aca="false">M660*(1+IF(N$3&lt;=$O$2,$D660,$D660-($D660-$I$643)*MIN(N$3-$O$2,$Q$2)/$Q$2))</f>
        <v>10558.9093352647</v>
      </c>
      <c r="O660" s="15" t="n">
        <f aca="false">SUMPRODUCT(E660:N660,1/(1+$F$643)^$E$3:$N$3)*$E$2</f>
        <v>9773.63048359424</v>
      </c>
      <c r="P660" s="15" t="n">
        <f aca="false">N660*$E$2*(1+$I$643)/($F$643-$I$643)/(1+$F$643)^$N$3</f>
        <v>12363.7258358339</v>
      </c>
      <c r="Q660" s="15" t="n">
        <f aca="false">O660+P660</f>
        <v>22137.3563194281</v>
      </c>
      <c r="R660" s="15" t="n">
        <f aca="false">Q660-$G$2+$I$2</f>
        <v>19021.1563194281</v>
      </c>
      <c r="S660" s="42" t="n">
        <f aca="false">R660/$K$2</f>
        <v>168.477912483863</v>
      </c>
      <c r="T660" s="43" t="n">
        <f aca="false">S660-$M$2</f>
        <v>0.0102419789910471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0.0379638671875</v>
      </c>
      <c r="C661" s="25" t="n">
        <f aca="false">IF(T660&gt;0,D660,C660)</f>
        <v>0.0379867553710938</v>
      </c>
      <c r="D661" s="41" t="n">
        <f aca="false">(B661+C661)/2</f>
        <v>0.0379753112792969</v>
      </c>
      <c r="E661" s="15" t="n">
        <f aca="false">$C$2*(1+IF(E$3&lt;=$O$2,$D661,$D661-($D661-$I$643)*MIN(E$3-$O$2,$Q$2)/$Q$2))</f>
        <v>7764.05532836914</v>
      </c>
      <c r="F661" s="15" t="n">
        <f aca="false">E661*(1+IF(F$3&lt;=$O$2,$D661,$D661-($D661-$I$643)*MIN(F$3-$O$2,$Q$2)/$Q$2))</f>
        <v>8058.89774625364</v>
      </c>
      <c r="G661" s="15" t="n">
        <f aca="false">F661*(1+IF(G$3&lt;=$O$2,$D661,$D661-($D661-$I$643)*MIN(G$3-$O$2,$Q$2)/$Q$2))</f>
        <v>8364.93689673565</v>
      </c>
      <c r="H661" s="15" t="n">
        <f aca="false">G661*(1+IF(H$3&lt;=$O$2,$D661,$D661-($D661-$I$643)*MIN(H$3-$O$2,$Q$2)/$Q$2))</f>
        <v>8682.59797922086</v>
      </c>
      <c r="I661" s="15" t="n">
        <f aca="false">H661*(1+IF(I$3&lt;=$O$2,$D661,$D661-($D661-$I$643)*MIN(I$3-$O$2,$Q$2)/$Q$2))</f>
        <v>9012.32234019477</v>
      </c>
      <c r="J661" s="15" t="n">
        <f aca="false">I661*(1+IF(J$3&lt;=$O$2,$D661,$D661-($D661-$I$643)*MIN(J$3-$O$2,$Q$2)/$Q$2))</f>
        <v>9337.12868161487</v>
      </c>
      <c r="K661" s="15" t="n">
        <f aca="false">J661*(1+IF(K$3&lt;=$O$2,$D661,$D661-($D661-$I$643)*MIN(K$3-$O$2,$Q$2)/$Q$2))</f>
        <v>9655.57319917426</v>
      </c>
      <c r="L661" s="15" t="n">
        <f aca="false">K661*(1+IF(L$3&lt;=$O$2,$D661,$D661-($D661-$I$643)*MIN(L$3-$O$2,$Q$2)/$Q$2))</f>
        <v>9966.19419122371</v>
      </c>
      <c r="M661" s="15" t="n">
        <f aca="false">L661*(1+IF(M$3&lt;=$O$2,$D661,$D661-($D661-$I$643)*MIN(M$3-$O$2,$Q$2)/$Q$2))</f>
        <v>10267.5226930493</v>
      </c>
      <c r="N661" s="15" t="n">
        <f aca="false">M661*(1+IF(N$3&lt;=$O$2,$D661,$D661-($D661-$I$643)*MIN(N$3-$O$2,$Q$2)/$Q$2))</f>
        <v>10558.0935852626</v>
      </c>
      <c r="O661" s="15" t="n">
        <f aca="false">SUMPRODUCT(E661:N661,1/(1+$F$643)^$E$3:$N$3)*$E$2</f>
        <v>9773.14596079485</v>
      </c>
      <c r="P661" s="15" t="n">
        <f aca="false">N661*$E$2*(1+$I$643)/($F$643-$I$643)/(1+$F$643)^$N$3</f>
        <v>12362.7706510647</v>
      </c>
      <c r="Q661" s="15" t="n">
        <f aca="false">O661+P661</f>
        <v>22135.9166118595</v>
      </c>
      <c r="R661" s="15" t="n">
        <f aca="false">Q661-$G$2+$I$2</f>
        <v>19019.7166118595</v>
      </c>
      <c r="S661" s="42" t="n">
        <f aca="false">R661/$K$2</f>
        <v>168.465160423911</v>
      </c>
      <c r="T661" s="43" t="n">
        <f aca="false">S661-$M$2</f>
        <v>-0.00251008096091709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0.0379753112792969</v>
      </c>
      <c r="C662" s="25" t="n">
        <f aca="false">IF(T661&gt;0,D661,C661)</f>
        <v>0.0379867553710938</v>
      </c>
      <c r="D662" s="41" t="n">
        <f aca="false">(B662+C662)/2</f>
        <v>0.0379810333251953</v>
      </c>
      <c r="E662" s="15" t="n">
        <f aca="false">$C$2*(1+IF(E$3&lt;=$O$2,$D662,$D662-($D662-$I$643)*MIN(E$3-$O$2,$Q$2)/$Q$2))</f>
        <v>7764.09812927246</v>
      </c>
      <c r="F662" s="15" t="n">
        <f aca="false">E662*(1+IF(F$3&lt;=$O$2,$D662,$D662-($D662-$I$643)*MIN(F$3-$O$2,$Q$2)/$Q$2))</f>
        <v>8058.98659906045</v>
      </c>
      <c r="G662" s="15" t="n">
        <f aca="false">F662*(1+IF(G$3&lt;=$O$2,$D662,$D662-($D662-$I$643)*MIN(G$3-$O$2,$Q$2)/$Q$2))</f>
        <v>8365.07523764666</v>
      </c>
      <c r="H662" s="15" t="n">
        <f aca="false">G662*(1+IF(H$3&lt;=$O$2,$D662,$D662-($D662-$I$643)*MIN(H$3-$O$2,$Q$2)/$Q$2))</f>
        <v>8682.78943901549</v>
      </c>
      <c r="I662" s="15" t="n">
        <f aca="false">H662*(1+IF(I$3&lt;=$O$2,$D662,$D662-($D662-$I$643)*MIN(I$3-$O$2,$Q$2)/$Q$2))</f>
        <v>9012.57075405439</v>
      </c>
      <c r="J662" s="15" t="n">
        <f aca="false">I662*(1+IF(J$3&lt;=$O$2,$D662,$D662-($D662-$I$643)*MIN(J$3-$O$2,$Q$2)/$Q$2))</f>
        <v>9337.42730464667</v>
      </c>
      <c r="K662" s="15" t="n">
        <f aca="false">J662*(1+IF(K$3&lt;=$O$2,$D662,$D662-($D662-$I$643)*MIN(K$3-$O$2,$Q$2)/$Q$2))</f>
        <v>9655.9140643129</v>
      </c>
      <c r="L662" s="15" t="n">
        <f aca="false">K662*(1+IF(L$3&lt;=$O$2,$D662,$D662-($D662-$I$643)*MIN(L$3-$O$2,$Q$2)/$Q$2))</f>
        <v>9966.56812266969</v>
      </c>
      <c r="M662" s="15" t="n">
        <f aca="false">L662*(1+IF(M$3&lt;=$O$2,$D662,$D662-($D662-$I$643)*MIN(M$3-$O$2,$Q$2)/$Q$2))</f>
        <v>10267.9193361679</v>
      </c>
      <c r="N662" s="15" t="n">
        <f aca="false">M662*(1+IF(N$3&lt;=$O$2,$D662,$D662-($D662-$I$643)*MIN(N$3-$O$2,$Q$2)/$Q$2))</f>
        <v>10558.5014533815</v>
      </c>
      <c r="O662" s="15" t="n">
        <f aca="false">SUMPRODUCT(E662:N662,1/(1+$F$643)^$E$3:$N$3)*$E$2</f>
        <v>9773.38821915162</v>
      </c>
      <c r="P662" s="15" t="n">
        <f aca="false">N662*$E$2*(1+$I$643)/($F$643-$I$643)/(1+$F$643)^$N$3</f>
        <v>12363.2482353907</v>
      </c>
      <c r="Q662" s="15" t="n">
        <f aca="false">O662+P662</f>
        <v>22136.6364545423</v>
      </c>
      <c r="R662" s="15" t="n">
        <f aca="false">Q662-$G$2+$I$2</f>
        <v>19020.4364545423</v>
      </c>
      <c r="S662" s="42" t="n">
        <f aca="false">R662/$K$2</f>
        <v>168.471536355556</v>
      </c>
      <c r="T662" s="43" t="n">
        <f aca="false">S662-$M$2</f>
        <v>0.00386585068469003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0.0379753112792969</v>
      </c>
      <c r="C663" s="25" t="n">
        <f aca="false">IF(T662&gt;0,D662,C662)</f>
        <v>0.0379810333251953</v>
      </c>
      <c r="D663" s="41" t="n">
        <f aca="false">(B663+C663)/2</f>
        <v>0.0379781723022461</v>
      </c>
      <c r="E663" s="15" t="n">
        <f aca="false">$C$2*(1+IF(E$3&lt;=$O$2,$D663,$D663-($D663-$I$643)*MIN(E$3-$O$2,$Q$2)/$Q$2))</f>
        <v>7764.0767288208</v>
      </c>
      <c r="F663" s="15" t="n">
        <f aca="false">E663*(1+IF(F$3&lt;=$O$2,$D663,$D663-($D663-$I$643)*MIN(F$3-$O$2,$Q$2)/$Q$2))</f>
        <v>8058.94217259582</v>
      </c>
      <c r="G663" s="15" t="n">
        <f aca="false">F663*(1+IF(G$3&lt;=$O$2,$D663,$D663-($D663-$I$643)*MIN(G$3-$O$2,$Q$2)/$Q$2))</f>
        <v>8365.0060670005</v>
      </c>
      <c r="H663" s="15" t="n">
        <f aca="false">G663*(1+IF(H$3&lt;=$O$2,$D663,$D663-($D663-$I$643)*MIN(H$3-$O$2,$Q$2)/$Q$2))</f>
        <v>8682.69370872238</v>
      </c>
      <c r="I663" s="15" t="n">
        <f aca="false">H663*(1+IF(I$3&lt;=$O$2,$D663,$D663-($D663-$I$643)*MIN(I$3-$O$2,$Q$2)/$Q$2))</f>
        <v>9012.44654643986</v>
      </c>
      <c r="J663" s="15" t="n">
        <f aca="false">I663*(1+IF(J$3&lt;=$O$2,$D663,$D663-($D663-$I$643)*MIN(J$3-$O$2,$Q$2)/$Q$2))</f>
        <v>9337.27799213709</v>
      </c>
      <c r="K663" s="15" t="n">
        <f aca="false">J663*(1+IF(K$3&lt;=$O$2,$D663,$D663-($D663-$I$643)*MIN(K$3-$O$2,$Q$2)/$Q$2))</f>
        <v>9655.7436304597</v>
      </c>
      <c r="L663" s="15" t="n">
        <f aca="false">K663*(1+IF(L$3&lt;=$O$2,$D663,$D663-($D663-$I$643)*MIN(L$3-$O$2,$Q$2)/$Q$2))</f>
        <v>9966.38115542647</v>
      </c>
      <c r="M663" s="15" t="n">
        <f aca="false">L663*(1+IF(M$3&lt;=$O$2,$D663,$D663-($D663-$I$643)*MIN(M$3-$O$2,$Q$2)/$Q$2))</f>
        <v>10267.7210129355</v>
      </c>
      <c r="N663" s="15" t="n">
        <f aca="false">M663*(1+IF(N$3&lt;=$O$2,$D663,$D663-($D663-$I$643)*MIN(N$3-$O$2,$Q$2)/$Q$2))</f>
        <v>10558.2975176015</v>
      </c>
      <c r="O663" s="15" t="n">
        <f aca="false">SUMPRODUCT(E663:N663,1/(1+$F$643)^$E$3:$N$3)*$E$2</f>
        <v>9773.26708921251</v>
      </c>
      <c r="P663" s="15" t="n">
        <f aca="false">N663*$E$2*(1+$I$643)/($F$643-$I$643)/(1+$F$643)^$N$3</f>
        <v>12363.0094412131</v>
      </c>
      <c r="Q663" s="15" t="n">
        <f aca="false">O663+P663</f>
        <v>22136.2765304256</v>
      </c>
      <c r="R663" s="15" t="n">
        <f aca="false">Q663-$G$2+$I$2</f>
        <v>19020.0765304256</v>
      </c>
      <c r="S663" s="42" t="n">
        <f aca="false">R663/$K$2</f>
        <v>168.468348365151</v>
      </c>
      <c r="T663" s="43" t="n">
        <f aca="false">S663-$M$2</f>
        <v>0.000677860279608922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0.0379753112792969</v>
      </c>
      <c r="C664" s="25" t="n">
        <f aca="false">IF(T663&gt;0,D663,C663)</f>
        <v>0.0379781723022461</v>
      </c>
      <c r="D664" s="41" t="n">
        <f aca="false">(B664+C664)/2</f>
        <v>0.0379767417907715</v>
      </c>
      <c r="E664" s="15" t="n">
        <f aca="false">$C$2*(1+IF(E$3&lt;=$O$2,$D664,$D664-($D664-$I$643)*MIN(E$3-$O$2,$Q$2)/$Q$2))</f>
        <v>7764.06602859497</v>
      </c>
      <c r="F664" s="15" t="n">
        <f aca="false">E664*(1+IF(F$3&lt;=$O$2,$D664,$D664-($D664-$I$643)*MIN(F$3-$O$2,$Q$2)/$Q$2))</f>
        <v>8058.91995940942</v>
      </c>
      <c r="G664" s="15" t="n">
        <f aca="false">F664*(1+IF(G$3&lt;=$O$2,$D664,$D664-($D664-$I$643)*MIN(G$3-$O$2,$Q$2)/$Q$2))</f>
        <v>8364.97148182041</v>
      </c>
      <c r="H664" s="15" t="n">
        <f aca="false">G664*(1+IF(H$3&lt;=$O$2,$D664,$D664-($D664-$I$643)*MIN(H$3-$O$2,$Q$2)/$Q$2))</f>
        <v>8682.64584387267</v>
      </c>
      <c r="I664" s="15" t="n">
        <f aca="false">H664*(1+IF(I$3&lt;=$O$2,$D664,$D664-($D664-$I$643)*MIN(I$3-$O$2,$Q$2)/$Q$2))</f>
        <v>9012.38444314614</v>
      </c>
      <c r="J664" s="15" t="n">
        <f aca="false">I664*(1+IF(J$3&lt;=$O$2,$D664,$D664-($D664-$I$643)*MIN(J$3-$O$2,$Q$2)/$Q$2))</f>
        <v>9337.20333662757</v>
      </c>
      <c r="K664" s="15" t="n">
        <f aca="false">J664*(1+IF(K$3&lt;=$O$2,$D664,$D664-($D664-$I$643)*MIN(K$3-$O$2,$Q$2)/$Q$2))</f>
        <v>9655.65841449601</v>
      </c>
      <c r="L664" s="15" t="n">
        <f aca="false">K664*(1+IF(L$3&lt;=$O$2,$D664,$D664-($D664-$I$643)*MIN(L$3-$O$2,$Q$2)/$Q$2))</f>
        <v>9966.28767294504</v>
      </c>
      <c r="M664" s="15" t="n">
        <f aca="false">L664*(1+IF(M$3&lt;=$O$2,$D664,$D664-($D664-$I$643)*MIN(M$3-$O$2,$Q$2)/$Q$2))</f>
        <v>10267.6218525741</v>
      </c>
      <c r="N664" s="15" t="n">
        <f aca="false">M664*(1+IF(N$3&lt;=$O$2,$D664,$D664-($D664-$I$643)*MIN(N$3-$O$2,$Q$2)/$Q$2))</f>
        <v>10558.195551002</v>
      </c>
      <c r="O664" s="15" t="n">
        <f aca="false">SUMPRODUCT(E664:N664,1/(1+$F$643)^$E$3:$N$3)*$E$2</f>
        <v>9773.2065248135</v>
      </c>
      <c r="P664" s="15" t="n">
        <f aca="false">N664*$E$2*(1+$I$643)/($F$643-$I$643)/(1+$F$643)^$N$3</f>
        <v>12362.8900456352</v>
      </c>
      <c r="Q664" s="15" t="n">
        <f aca="false">O664+P664</f>
        <v>22136.0965704487</v>
      </c>
      <c r="R664" s="15" t="n">
        <f aca="false">Q664-$G$2+$I$2</f>
        <v>19019.8965704487</v>
      </c>
      <c r="S664" s="42" t="n">
        <f aca="false">R664/$K$2</f>
        <v>168.466754388385</v>
      </c>
      <c r="T664" s="43" t="n">
        <f aca="false">S664-$M$2</f>
        <v>-0.000916116486166629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0.0379767417907715</v>
      </c>
      <c r="C665" s="25" t="n">
        <f aca="false">IF(T664&gt;0,D664,C664)</f>
        <v>0.0379781723022461</v>
      </c>
      <c r="D665" s="41" t="n">
        <f aca="false">(B665+C665)/2</f>
        <v>0.0379774570465088</v>
      </c>
      <c r="E665" s="15" t="n">
        <f aca="false">$C$2*(1+IF(E$3&lt;=$O$2,$D665,$D665-($D665-$I$643)*MIN(E$3-$O$2,$Q$2)/$Q$2))</f>
        <v>7764.07137870789</v>
      </c>
      <c r="F665" s="15" t="n">
        <f aca="false">E665*(1+IF(F$3&lt;=$O$2,$D665,$D665-($D665-$I$643)*MIN(F$3-$O$2,$Q$2)/$Q$2))</f>
        <v>8058.93106599879</v>
      </c>
      <c r="G665" s="15" t="n">
        <f aca="false">F665*(1+IF(G$3&lt;=$O$2,$D665,$D665-($D665-$I$643)*MIN(G$3-$O$2,$Q$2)/$Q$2))</f>
        <v>8364.98877439854</v>
      </c>
      <c r="H665" s="15" t="n">
        <f aca="false">G665*(1+IF(H$3&lt;=$O$2,$D665,$D665-($D665-$I$643)*MIN(H$3-$O$2,$Q$2)/$Q$2))</f>
        <v>8682.66977627279</v>
      </c>
      <c r="I665" s="15" t="n">
        <f aca="false">H665*(1+IF(I$3&lt;=$O$2,$D665,$D665-($D665-$I$643)*MIN(I$3-$O$2,$Q$2)/$Q$2))</f>
        <v>9012.41549475021</v>
      </c>
      <c r="J665" s="15" t="n">
        <f aca="false">I665*(1+IF(J$3&lt;=$O$2,$D665,$D665-($D665-$I$643)*MIN(J$3-$O$2,$Q$2)/$Q$2))</f>
        <v>9337.24066432023</v>
      </c>
      <c r="K665" s="15" t="n">
        <f aca="false">J665*(1+IF(K$3&lt;=$O$2,$D665,$D665-($D665-$I$643)*MIN(K$3-$O$2,$Q$2)/$Q$2))</f>
        <v>9655.70102239761</v>
      </c>
      <c r="L665" s="15" t="n">
        <f aca="false">K665*(1+IF(L$3&lt;=$O$2,$D665,$D665-($D665-$I$643)*MIN(L$3-$O$2,$Q$2)/$Q$2))</f>
        <v>9966.33441409074</v>
      </c>
      <c r="M665" s="15" t="n">
        <f aca="false">L665*(1+IF(M$3&lt;=$O$2,$D665,$D665-($D665-$I$643)*MIN(M$3-$O$2,$Q$2)/$Q$2))</f>
        <v>10267.6714326502</v>
      </c>
      <c r="N665" s="15" t="n">
        <f aca="false">M665*(1+IF(N$3&lt;=$O$2,$D665,$D665-($D665-$I$643)*MIN(N$3-$O$2,$Q$2)/$Q$2))</f>
        <v>10558.2465341942</v>
      </c>
      <c r="O665" s="15" t="n">
        <f aca="false">SUMPRODUCT(E665:N665,1/(1+$F$643)^$E$3:$N$3)*$E$2</f>
        <v>9773.23680696546</v>
      </c>
      <c r="P665" s="15" t="n">
        <f aca="false">N665*$E$2*(1+$I$643)/($F$643-$I$643)/(1+$F$643)^$N$3</f>
        <v>12362.9497432982</v>
      </c>
      <c r="Q665" s="15" t="n">
        <f aca="false">O665+P665</f>
        <v>22136.1865502637</v>
      </c>
      <c r="R665" s="15" t="n">
        <f aca="false">Q665-$G$2+$I$2</f>
        <v>19019.9865502637</v>
      </c>
      <c r="S665" s="42" t="n">
        <f aca="false">R665/$K$2</f>
        <v>168.467551375232</v>
      </c>
      <c r="T665" s="43" t="n">
        <f aca="false">S665-$M$2</f>
        <v>-0.000119129639671201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0.0379774570465088</v>
      </c>
      <c r="C666" s="25" t="n">
        <f aca="false">IF(T665&gt;0,D665,C665)</f>
        <v>0.0379781723022461</v>
      </c>
      <c r="D666" s="41" t="n">
        <f aca="false">(B666+C666)/2</f>
        <v>0.0379778146743774</v>
      </c>
      <c r="E666" s="15" t="n">
        <f aca="false">$C$2*(1+IF(E$3&lt;=$O$2,$D666,$D666-($D666-$I$643)*MIN(E$3-$O$2,$Q$2)/$Q$2))</f>
        <v>7764.07405376434</v>
      </c>
      <c r="F666" s="15" t="n">
        <f aca="false">E666*(1+IF(F$3&lt;=$O$2,$D666,$D666-($D666-$I$643)*MIN(F$3-$O$2,$Q$2)/$Q$2))</f>
        <v>8058.93661929635</v>
      </c>
      <c r="G666" s="15" t="n">
        <f aca="false">F666*(1+IF(G$3&lt;=$O$2,$D666,$D666-($D666-$I$643)*MIN(G$3-$O$2,$Q$2)/$Q$2))</f>
        <v>8364.99742069654</v>
      </c>
      <c r="H666" s="15" t="n">
        <f aca="false">G666*(1+IF(H$3&lt;=$O$2,$D666,$D666-($D666-$I$643)*MIN(H$3-$O$2,$Q$2)/$Q$2))</f>
        <v>8682.6817424914</v>
      </c>
      <c r="I666" s="15" t="n">
        <f aca="false">H666*(1+IF(I$3&lt;=$O$2,$D666,$D666-($D666-$I$643)*MIN(I$3-$O$2,$Q$2)/$Q$2))</f>
        <v>9012.43102058434</v>
      </c>
      <c r="J666" s="15" t="n">
        <f aca="false">I666*(1+IF(J$3&lt;=$O$2,$D666,$D666-($D666-$I$643)*MIN(J$3-$O$2,$Q$2)/$Q$2))</f>
        <v>9337.25932821313</v>
      </c>
      <c r="K666" s="15" t="n">
        <f aca="false">J666*(1+IF(K$3&lt;=$O$2,$D666,$D666-($D666-$I$643)*MIN(K$3-$O$2,$Q$2)/$Q$2))</f>
        <v>9655.72232640859</v>
      </c>
      <c r="L666" s="15" t="n">
        <f aca="false">K666*(1+IF(L$3&lt;=$O$2,$D666,$D666-($D666-$I$643)*MIN(L$3-$O$2,$Q$2)/$Q$2))</f>
        <v>9966.35778473485</v>
      </c>
      <c r="M666" s="15" t="n">
        <f aca="false">L666*(1+IF(M$3&lt;=$O$2,$D666,$D666-($D666-$I$643)*MIN(M$3-$O$2,$Q$2)/$Q$2))</f>
        <v>10267.6962227667</v>
      </c>
      <c r="N666" s="15" t="n">
        <f aca="false">M666*(1+IF(N$3&lt;=$O$2,$D666,$D666-($D666-$I$643)*MIN(N$3-$O$2,$Q$2)/$Q$2))</f>
        <v>10558.272025871</v>
      </c>
      <c r="O666" s="15" t="n">
        <f aca="false">SUMPRODUCT(E666:N666,1/(1+$F$643)^$E$3:$N$3)*$E$2</f>
        <v>9773.2519480771</v>
      </c>
      <c r="P666" s="15" t="n">
        <f aca="false">N666*$E$2*(1+$I$643)/($F$643-$I$643)/(1+$F$643)^$N$3</f>
        <v>12362.9795922242</v>
      </c>
      <c r="Q666" s="15" t="n">
        <f aca="false">O666+P666</f>
        <v>22136.2315403013</v>
      </c>
      <c r="R666" s="15" t="n">
        <f aca="false">Q666-$G$2+$I$2</f>
        <v>19020.0315403013</v>
      </c>
      <c r="S666" s="42" t="n">
        <f aca="false">R666/$K$2</f>
        <v>168.467949869807</v>
      </c>
      <c r="T666" s="43" t="n">
        <f aca="false">S666-$M$2</f>
        <v>0.00027936493589209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0.0379774570465088</v>
      </c>
      <c r="C667" s="25" t="n">
        <f aca="false">IF(T666&gt;0,D666,C666)</f>
        <v>0.0379778146743774</v>
      </c>
      <c r="D667" s="41" t="n">
        <f aca="false">(B667+C667)/2</f>
        <v>0.0379776358604431</v>
      </c>
      <c r="E667" s="15" t="n">
        <f aca="false">$C$2*(1+IF(E$3&lt;=$O$2,$D667,$D667-($D667-$I$643)*MIN(E$3-$O$2,$Q$2)/$Q$2))</f>
        <v>7764.07271623611</v>
      </c>
      <c r="F667" s="15" t="n">
        <f aca="false">E667*(1+IF(F$3&lt;=$O$2,$D667,$D667-($D667-$I$643)*MIN(F$3-$O$2,$Q$2)/$Q$2))</f>
        <v>8058.93384264733</v>
      </c>
      <c r="G667" s="15" t="n">
        <f aca="false">F667*(1+IF(G$3&lt;=$O$2,$D667,$D667-($D667-$I$643)*MIN(G$3-$O$2,$Q$2)/$Q$2))</f>
        <v>8364.99309754679</v>
      </c>
      <c r="H667" s="15" t="n">
        <f aca="false">G667*(1+IF(H$3&lt;=$O$2,$D667,$D667-($D667-$I$643)*MIN(H$3-$O$2,$Q$2)/$Q$2))</f>
        <v>8682.67575938055</v>
      </c>
      <c r="I667" s="15" t="n">
        <f aca="false">H667*(1+IF(I$3&lt;=$O$2,$D667,$D667-($D667-$I$643)*MIN(I$3-$O$2,$Q$2)/$Q$2))</f>
        <v>9012.4232576646</v>
      </c>
      <c r="J667" s="15" t="n">
        <f aca="false">I667*(1+IF(J$3&lt;=$O$2,$D667,$D667-($D667-$I$643)*MIN(J$3-$O$2,$Q$2)/$Q$2))</f>
        <v>9337.2499962628</v>
      </c>
      <c r="K667" s="15" t="n">
        <f aca="false">J667*(1+IF(K$3&lt;=$O$2,$D667,$D667-($D667-$I$643)*MIN(K$3-$O$2,$Q$2)/$Q$2))</f>
        <v>9655.71167439809</v>
      </c>
      <c r="L667" s="15" t="n">
        <f aca="false">K667*(1+IF(L$3&lt;=$O$2,$D667,$D667-($D667-$I$643)*MIN(L$3-$O$2,$Q$2)/$Q$2))</f>
        <v>9966.34609940686</v>
      </c>
      <c r="M667" s="15" t="n">
        <f aca="false">L667*(1+IF(M$3&lt;=$O$2,$D667,$D667-($D667-$I$643)*MIN(M$3-$O$2,$Q$2)/$Q$2))</f>
        <v>10267.6838277019</v>
      </c>
      <c r="N667" s="15" t="n">
        <f aca="false">M667*(1+IF(N$3&lt;=$O$2,$D667,$D667-($D667-$I$643)*MIN(N$3-$O$2,$Q$2)/$Q$2))</f>
        <v>10558.2592800259</v>
      </c>
      <c r="O667" s="15" t="n">
        <f aca="false">SUMPRODUCT(E667:N667,1/(1+$F$643)^$E$3:$N$3)*$E$2</f>
        <v>9773.24437751831</v>
      </c>
      <c r="P667" s="15" t="n">
        <f aca="false">N667*$E$2*(1+$I$643)/($F$643-$I$643)/(1+$F$643)^$N$3</f>
        <v>12362.9646677533</v>
      </c>
      <c r="Q667" s="15" t="n">
        <f aca="false">O667+P667</f>
        <v>22136.2090452716</v>
      </c>
      <c r="R667" s="15" t="n">
        <f aca="false">Q667-$G$2+$I$2</f>
        <v>19020.0090452716</v>
      </c>
      <c r="S667" s="42" t="n">
        <f aca="false">R667/$K$2</f>
        <v>168.467750622424</v>
      </c>
      <c r="T667" s="43" t="n">
        <f aca="false">S667-$M$2</f>
        <v>8.01175521019104E-005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0.0379774570465088</v>
      </c>
      <c r="C668" s="25" t="n">
        <f aca="false">IF(T667&gt;0,D667,C667)</f>
        <v>0.0379776358604431</v>
      </c>
      <c r="D668" s="41" t="n">
        <f aca="false">(B668+C668)/2</f>
        <v>0.037977546453476</v>
      </c>
      <c r="E668" s="15" t="n">
        <f aca="false">$C$2*(1+IF(E$3&lt;=$O$2,$D668,$D668-($D668-$I$643)*MIN(E$3-$O$2,$Q$2)/$Q$2))</f>
        <v>7764.072047472</v>
      </c>
      <c r="F668" s="15" t="n">
        <f aca="false">E668*(1+IF(F$3&lt;=$O$2,$D668,$D668-($D668-$I$643)*MIN(F$3-$O$2,$Q$2)/$Q$2))</f>
        <v>8058.932454323</v>
      </c>
      <c r="G668" s="15" t="n">
        <f aca="false">F668*(1+IF(G$3&lt;=$O$2,$D668,$D668-($D668-$I$643)*MIN(G$3-$O$2,$Q$2)/$Q$2))</f>
        <v>8364.99093597248</v>
      </c>
      <c r="H668" s="15" t="n">
        <f aca="false">G668*(1+IF(H$3&lt;=$O$2,$D668,$D668-($D668-$I$643)*MIN(H$3-$O$2,$Q$2)/$Q$2))</f>
        <v>8682.67276782628</v>
      </c>
      <c r="I668" s="15" t="n">
        <f aca="false">H668*(1+IF(I$3&lt;=$O$2,$D668,$D668-($D668-$I$643)*MIN(I$3-$O$2,$Q$2)/$Q$2))</f>
        <v>9012.41937620673</v>
      </c>
      <c r="J668" s="15" t="n">
        <f aca="false">I668*(1+IF(J$3&lt;=$O$2,$D668,$D668-($D668-$I$643)*MIN(J$3-$O$2,$Q$2)/$Q$2))</f>
        <v>9337.24533029054</v>
      </c>
      <c r="K668" s="15" t="n">
        <f aca="false">J668*(1+IF(K$3&lt;=$O$2,$D668,$D668-($D668-$I$643)*MIN(K$3-$O$2,$Q$2)/$Q$2))</f>
        <v>9655.7063483966</v>
      </c>
      <c r="L668" s="15" t="n">
        <f aca="false">K668*(1+IF(L$3&lt;=$O$2,$D668,$D668-($D668-$I$643)*MIN(L$3-$O$2,$Q$2)/$Q$2))</f>
        <v>9966.34025674731</v>
      </c>
      <c r="M668" s="15" t="n">
        <f aca="false">L668*(1+IF(M$3&lt;=$O$2,$D668,$D668-($D668-$I$643)*MIN(M$3-$O$2,$Q$2)/$Q$2))</f>
        <v>10267.6776301744</v>
      </c>
      <c r="N668" s="15" t="n">
        <f aca="false">M668*(1+IF(N$3&lt;=$O$2,$D668,$D668-($D668-$I$643)*MIN(N$3-$O$2,$Q$2)/$Q$2))</f>
        <v>10558.2529071084</v>
      </c>
      <c r="O668" s="15" t="n">
        <f aca="false">SUMPRODUCT(E668:N668,1/(1+$F$643)^$E$3:$N$3)*$E$2</f>
        <v>9773.24059224114</v>
      </c>
      <c r="P668" s="15" t="n">
        <f aca="false">N668*$E$2*(1+$I$643)/($F$643-$I$643)/(1+$F$643)^$N$3</f>
        <v>12362.9572055238</v>
      </c>
      <c r="Q668" s="15" t="n">
        <f aca="false">O668+P668</f>
        <v>22136.197797765</v>
      </c>
      <c r="R668" s="15" t="n">
        <f aca="false">Q668-$G$2+$I$2</f>
        <v>19019.997797765</v>
      </c>
      <c r="S668" s="42" t="n">
        <f aca="false">R668/$K$2</f>
        <v>168.467650998804</v>
      </c>
      <c r="T668" s="43" t="n">
        <f aca="false">S668-$M$2</f>
        <v>-1.95060677867787E-005</v>
      </c>
    </row>
    <row r="670" customFormat="false" ht="15" hidden="false" customHeight="false" outlineLevel="0" collapsed="false">
      <c r="A670" s="38" t="s">
        <v>208</v>
      </c>
      <c r="E670" s="5" t="s">
        <v>11</v>
      </c>
      <c r="F670" s="12" t="n">
        <f aca="false">Sensitivity!$B$14</f>
        <v>0.0911268672746673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165</v>
      </c>
      <c r="B671" s="28" t="s">
        <v>166</v>
      </c>
      <c r="C671" s="28" t="s">
        <v>167</v>
      </c>
      <c r="D671" s="28" t="s">
        <v>168</v>
      </c>
      <c r="E671" s="28" t="s">
        <v>169</v>
      </c>
      <c r="F671" s="28" t="s">
        <v>170</v>
      </c>
      <c r="G671" s="28" t="s">
        <v>171</v>
      </c>
      <c r="H671" s="28" t="s">
        <v>172</v>
      </c>
      <c r="I671" s="28" t="s">
        <v>173</v>
      </c>
      <c r="J671" s="28" t="s">
        <v>174</v>
      </c>
      <c r="K671" s="28" t="s">
        <v>175</v>
      </c>
      <c r="L671" s="28" t="s">
        <v>176</v>
      </c>
      <c r="M671" s="28" t="s">
        <v>177</v>
      </c>
      <c r="N671" s="28" t="s">
        <v>178</v>
      </c>
      <c r="O671" s="28" t="s">
        <v>179</v>
      </c>
      <c r="P671" s="28" t="s">
        <v>180</v>
      </c>
      <c r="Q671" s="28" t="s">
        <v>181</v>
      </c>
      <c r="R671" s="28" t="s">
        <v>182</v>
      </c>
      <c r="S671" s="28" t="s">
        <v>183</v>
      </c>
      <c r="T671" s="28" t="s">
        <v>184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9350</v>
      </c>
      <c r="F672" s="15" t="n">
        <f aca="false">E672*(1+IF(F$3&lt;=$O$2,$D672,$D672-($D672-$I$670)*MIN(F$3-$O$2,$Q$2)/$Q$2))</f>
        <v>11687.5</v>
      </c>
      <c r="G672" s="15" t="n">
        <f aca="false">F672*(1+IF(G$3&lt;=$O$2,$D672,$D672-($D672-$I$670)*MIN(G$3-$O$2,$Q$2)/$Q$2))</f>
        <v>14609.375</v>
      </c>
      <c r="H672" s="15" t="n">
        <f aca="false">G672*(1+IF(H$3&lt;=$O$2,$D672,$D672-($D672-$I$670)*MIN(H$3-$O$2,$Q$2)/$Q$2))</f>
        <v>18261.71875</v>
      </c>
      <c r="I672" s="15" t="n">
        <f aca="false">H672*(1+IF(I$3&lt;=$O$2,$D672,$D672-($D672-$I$670)*MIN(I$3-$O$2,$Q$2)/$Q$2))</f>
        <v>22827.1484375</v>
      </c>
      <c r="J672" s="15" t="n">
        <f aca="false">I672*(1+IF(J$3&lt;=$O$2,$D672,$D672-($D672-$I$670)*MIN(J$3-$O$2,$Q$2)/$Q$2))</f>
        <v>27544.6069335938</v>
      </c>
      <c r="K672" s="15" t="n">
        <f aca="false">J672*(1+IF(K$3&lt;=$O$2,$D672,$D672-($D672-$I$670)*MIN(K$3-$O$2,$Q$2)/$Q$2))</f>
        <v>32043.1921379883</v>
      </c>
      <c r="L672" s="15" t="n">
        <f aca="false">K672*(1+IF(L$3&lt;=$O$2,$D672,$D672-($D672-$I$670)*MIN(L$3-$O$2,$Q$2)/$Q$2))</f>
        <v>35887.7343307041</v>
      </c>
      <c r="M672" s="15" t="n">
        <f aca="false">L672*(1+IF(M$3&lt;=$O$2,$D672,$D672-($D672-$I$670)*MIN(M$3-$O$2,$Q$2)/$Q$2))</f>
        <v>38638.1702898093</v>
      </c>
      <c r="N672" s="15" t="n">
        <f aca="false">M672*(1+IF(N$3&lt;=$O$2,$D672,$D672-($D672-$I$670)*MIN(N$3-$O$2,$Q$2)/$Q$2))</f>
        <v>39924.8213604599</v>
      </c>
      <c r="O672" s="15" t="n">
        <f aca="false">SUMPRODUCT(E672:N672,1/(1+$F$670)^$E$3:$N$3)*$E$2</f>
        <v>24501.3246306275</v>
      </c>
      <c r="P672" s="15" t="n">
        <f aca="false">N672*$E$2*(1+$I$670)/($F$670-$I$670)/(1+$F$670)^$N$3</f>
        <v>51038.2318216047</v>
      </c>
      <c r="Q672" s="15" t="n">
        <f aca="false">O672+P672</f>
        <v>75539.5564522322</v>
      </c>
      <c r="R672" s="15" t="n">
        <f aca="false">Q672-$G$2+$I$2</f>
        <v>72423.3564522322</v>
      </c>
      <c r="S672" s="42" t="n">
        <f aca="false">R672/$K$2</f>
        <v>641.482342358124</v>
      </c>
      <c r="T672" s="43" t="n">
        <f aca="false">S672-$M$2</f>
        <v>473.014671853253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6545</v>
      </c>
      <c r="F673" s="15" t="n">
        <f aca="false">E673*(1+IF(F$3&lt;=$O$2,$D673,$D673-($D673-$I$670)*MIN(F$3-$O$2,$Q$2)/$Q$2))</f>
        <v>5726.875</v>
      </c>
      <c r="G673" s="15" t="n">
        <f aca="false">F673*(1+IF(G$3&lt;=$O$2,$D673,$D673-($D673-$I$670)*MIN(G$3-$O$2,$Q$2)/$Q$2))</f>
        <v>5011.015625</v>
      </c>
      <c r="H673" s="15" t="n">
        <f aca="false">G673*(1+IF(H$3&lt;=$O$2,$D673,$D673-($D673-$I$670)*MIN(H$3-$O$2,$Q$2)/$Q$2))</f>
        <v>4384.638671875</v>
      </c>
      <c r="I673" s="15" t="n">
        <f aca="false">H673*(1+IF(I$3&lt;=$O$2,$D673,$D673-($D673-$I$670)*MIN(I$3-$O$2,$Q$2)/$Q$2))</f>
        <v>3836.55883789063</v>
      </c>
      <c r="J673" s="15" t="n">
        <f aca="false">I673*(1+IF(J$3&lt;=$O$2,$D673,$D673-($D673-$I$670)*MIN(J$3-$O$2,$Q$2)/$Q$2))</f>
        <v>3478.45443596191</v>
      </c>
      <c r="K673" s="15" t="n">
        <f aca="false">J673*(1+IF(K$3&lt;=$O$2,$D673,$D673-($D673-$I$670)*MIN(K$3-$O$2,$Q$2)/$Q$2))</f>
        <v>3263.90336635178</v>
      </c>
      <c r="L673" s="15" t="n">
        <f aca="false">K673*(1+IF(L$3&lt;=$O$2,$D673,$D673-($D673-$I$670)*MIN(L$3-$O$2,$Q$2)/$Q$2))</f>
        <v>3165.9209872939</v>
      </c>
      <c r="M673" s="15" t="n">
        <f aca="false">L673*(1+IF(M$3&lt;=$O$2,$D673,$D673-($D673-$I$670)*MIN(M$3-$O$2,$Q$2)/$Q$2))</f>
        <v>3171.11309771307</v>
      </c>
      <c r="N673" s="15" t="n">
        <f aca="false">M673*(1+IF(N$3&lt;=$O$2,$D673,$D673-($D673-$I$670)*MIN(N$3-$O$2,$Q$2)/$Q$2))</f>
        <v>3276.71116386691</v>
      </c>
      <c r="O673" s="15" t="n">
        <f aca="false">SUMPRODUCT(E673:N673,1/(1+$F$670)^$E$3:$N$3)*$E$2</f>
        <v>4871.22258687356</v>
      </c>
      <c r="P673" s="15" t="n">
        <f aca="false">N673*$E$2*(1+$I$670)/($F$670-$I$670)/(1+$F$670)^$N$3</f>
        <v>4188.81132827072</v>
      </c>
      <c r="Q673" s="15" t="n">
        <f aca="false">O673+P673</f>
        <v>9060.03391514429</v>
      </c>
      <c r="R673" s="15" t="n">
        <f aca="false">Q673-$G$2+$I$2</f>
        <v>5943.83391514429</v>
      </c>
      <c r="S673" s="42" t="n">
        <f aca="false">R673/$K$2</f>
        <v>52.6468903024295</v>
      </c>
      <c r="T673" s="43" t="n">
        <f aca="false">S673-$M$2</f>
        <v>-115.820780202442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7947.5</v>
      </c>
      <c r="F674" s="15" t="n">
        <f aca="false">E674*(1+IF(F$3&lt;=$O$2,$D674,$D674-($D674-$I$670)*MIN(F$3-$O$2,$Q$2)/$Q$2))</f>
        <v>8444.21875</v>
      </c>
      <c r="G674" s="15" t="n">
        <f aca="false">F674*(1+IF(G$3&lt;=$O$2,$D674,$D674-($D674-$I$670)*MIN(G$3-$O$2,$Q$2)/$Q$2))</f>
        <v>8971.982421875</v>
      </c>
      <c r="H674" s="15" t="n">
        <f aca="false">G674*(1+IF(H$3&lt;=$O$2,$D674,$D674-($D674-$I$670)*MIN(H$3-$O$2,$Q$2)/$Q$2))</f>
        <v>9532.73132324219</v>
      </c>
      <c r="I674" s="15" t="n">
        <f aca="false">H674*(1+IF(I$3&lt;=$O$2,$D674,$D674-($D674-$I$670)*MIN(I$3-$O$2,$Q$2)/$Q$2))</f>
        <v>10128.5270309448</v>
      </c>
      <c r="J674" s="15" t="n">
        <f aca="false">I674*(1+IF(J$3&lt;=$O$2,$D674,$D674-($D674-$I$670)*MIN(J$3-$O$2,$Q$2)/$Q$2))</f>
        <v>10702.4093725182</v>
      </c>
      <c r="K674" s="15" t="n">
        <f aca="false">J674*(1+IF(K$3&lt;=$O$2,$D674,$D674-($D674-$I$670)*MIN(K$3-$O$2,$Q$2)/$Q$2))</f>
        <v>11246.3058168295</v>
      </c>
      <c r="L674" s="15" t="n">
        <f aca="false">K674*(1+IF(L$3&lt;=$O$2,$D674,$D674-($D674-$I$670)*MIN(L$3-$O$2,$Q$2)/$Q$2))</f>
        <v>11752.1646524705</v>
      </c>
      <c r="M674" s="15" t="n">
        <f aca="false">L674*(1+IF(M$3&lt;=$O$2,$D674,$D674-($D674-$I$670)*MIN(M$3-$O$2,$Q$2)/$Q$2))</f>
        <v>12212.1443769682</v>
      </c>
      <c r="N674" s="15" t="n">
        <f aca="false">M674*(1+IF(N$3&lt;=$O$2,$D674,$D674-($D674-$I$670)*MIN(N$3-$O$2,$Q$2)/$Q$2))</f>
        <v>12618.8087847213</v>
      </c>
      <c r="O674" s="15" t="n">
        <f aca="false">SUMPRODUCT(E674:N674,1/(1+$F$670)^$E$3:$N$3)*$E$2</f>
        <v>10901.0254313788</v>
      </c>
      <c r="P674" s="15" t="n">
        <f aca="false">N674*$E$2*(1+$I$670)/($F$670-$I$670)/(1+$F$670)^$N$3</f>
        <v>16131.3605451706</v>
      </c>
      <c r="Q674" s="15" t="n">
        <f aca="false">O674+P674</f>
        <v>27032.3859765494</v>
      </c>
      <c r="R674" s="15" t="n">
        <f aca="false">Q674-$G$2+$I$2</f>
        <v>23916.1859765494</v>
      </c>
      <c r="S674" s="42" t="n">
        <f aca="false">R674/$K$2</f>
        <v>211.835128224529</v>
      </c>
      <c r="T674" s="43" t="n">
        <f aca="false">S674-$M$2</f>
        <v>43.3674577196577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-0.125</v>
      </c>
      <c r="C675" s="25" t="n">
        <f aca="false">IF(T674&gt;0,D674,C674)</f>
        <v>0.0625</v>
      </c>
      <c r="D675" s="41" t="n">
        <f aca="false">(B675+C675)/2</f>
        <v>-0.03125</v>
      </c>
      <c r="E675" s="15" t="n">
        <f aca="false">$C$2*(1+IF(E$3&lt;=$O$2,$D675,$D675-($D675-$I$670)*MIN(E$3-$O$2,$Q$2)/$Q$2))</f>
        <v>7246.25</v>
      </c>
      <c r="F675" s="15" t="n">
        <f aca="false">E675*(1+IF(F$3&lt;=$O$2,$D675,$D675-($D675-$I$670)*MIN(F$3-$O$2,$Q$2)/$Q$2))</f>
        <v>7019.8046875</v>
      </c>
      <c r="G675" s="15" t="n">
        <f aca="false">F675*(1+IF(G$3&lt;=$O$2,$D675,$D675-($D675-$I$670)*MIN(G$3-$O$2,$Q$2)/$Q$2))</f>
        <v>6800.43579101563</v>
      </c>
      <c r="H675" s="15" t="n">
        <f aca="false">G675*(1+IF(H$3&lt;=$O$2,$D675,$D675-($D675-$I$670)*MIN(H$3-$O$2,$Q$2)/$Q$2))</f>
        <v>6587.92217254639</v>
      </c>
      <c r="I675" s="15" t="n">
        <f aca="false">H675*(1+IF(I$3&lt;=$O$2,$D675,$D675-($D675-$I$670)*MIN(I$3-$O$2,$Q$2)/$Q$2))</f>
        <v>6382.04960465431</v>
      </c>
      <c r="J675" s="15" t="n">
        <f aca="false">I675*(1+IF(J$3&lt;=$O$2,$D675,$D675-($D675-$I$670)*MIN(J$3-$O$2,$Q$2)/$Q$2))</f>
        <v>6265.00281490495</v>
      </c>
      <c r="K675" s="15" t="n">
        <f aca="false">J675*(1+IF(K$3&lt;=$O$2,$D675,$D675-($D675-$I$670)*MIN(K$3-$O$2,$Q$2)/$Q$2))</f>
        <v>6230.98384962002</v>
      </c>
      <c r="L675" s="15" t="n">
        <f aca="false">K675*(1+IF(L$3&lt;=$O$2,$D675,$D675-($D675-$I$670)*MIN(L$3-$O$2,$Q$2)/$Q$2))</f>
        <v>6277.59160881518</v>
      </c>
      <c r="M675" s="15" t="n">
        <f aca="false">L675*(1+IF(M$3&lt;=$O$2,$D675,$D675-($D675-$I$670)*MIN(M$3-$O$2,$Q$2)/$Q$2))</f>
        <v>6405.59170171892</v>
      </c>
      <c r="N675" s="15" t="n">
        <f aca="false">M675*(1+IF(N$3&lt;=$O$2,$D675,$D675-($D675-$I$670)*MIN(N$3-$O$2,$Q$2)/$Q$2))</f>
        <v>6618.89790538616</v>
      </c>
      <c r="O675" s="15" t="n">
        <f aca="false">SUMPRODUCT(E675:N675,1/(1+$F$670)^$E$3:$N$3)*$E$2</f>
        <v>7265.33793960629</v>
      </c>
      <c r="P675" s="15" t="n">
        <f aca="false">N675*$E$2*(1+$I$670)/($F$670-$I$670)/(1+$F$670)^$N$3</f>
        <v>8461.32391297795</v>
      </c>
      <c r="Q675" s="15" t="n">
        <f aca="false">O675+P675</f>
        <v>15726.6618525842</v>
      </c>
      <c r="R675" s="15" t="n">
        <f aca="false">Q675-$G$2+$I$2</f>
        <v>12610.4618525842</v>
      </c>
      <c r="S675" s="42" t="n">
        <f aca="false">R675/$K$2</f>
        <v>111.695853432987</v>
      </c>
      <c r="T675" s="43" t="n">
        <f aca="false">S675-$M$2</f>
        <v>-56.7718170718845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-0.03125</v>
      </c>
      <c r="C676" s="25" t="n">
        <f aca="false">IF(T675&gt;0,D675,C675)</f>
        <v>0.0625</v>
      </c>
      <c r="D676" s="41" t="n">
        <f aca="false">(B676+C676)/2</f>
        <v>0.015625</v>
      </c>
      <c r="E676" s="15" t="n">
        <f aca="false">$C$2*(1+IF(E$3&lt;=$O$2,$D676,$D676-($D676-$I$670)*MIN(E$3-$O$2,$Q$2)/$Q$2))</f>
        <v>7596.875</v>
      </c>
      <c r="F676" s="15" t="n">
        <f aca="false">E676*(1+IF(F$3&lt;=$O$2,$D676,$D676-($D676-$I$670)*MIN(F$3-$O$2,$Q$2)/$Q$2))</f>
        <v>7715.576171875</v>
      </c>
      <c r="G676" s="15" t="n">
        <f aca="false">F676*(1+IF(G$3&lt;=$O$2,$D676,$D676-($D676-$I$670)*MIN(G$3-$O$2,$Q$2)/$Q$2))</f>
        <v>7836.13204956055</v>
      </c>
      <c r="H676" s="15" t="n">
        <f aca="false">G676*(1+IF(H$3&lt;=$O$2,$D676,$D676-($D676-$I$670)*MIN(H$3-$O$2,$Q$2)/$Q$2))</f>
        <v>7958.57161283493</v>
      </c>
      <c r="I676" s="15" t="n">
        <f aca="false">H676*(1+IF(I$3&lt;=$O$2,$D676,$D676-($D676-$I$670)*MIN(I$3-$O$2,$Q$2)/$Q$2))</f>
        <v>8082.92429428548</v>
      </c>
      <c r="J676" s="15" t="n">
        <f aca="false">I676*(1+IF(J$3&lt;=$O$2,$D676,$D676-($D676-$I$670)*MIN(J$3-$O$2,$Q$2)/$Q$2))</f>
        <v>8237.79312376399</v>
      </c>
      <c r="K676" s="15" t="n">
        <f aca="false">J676*(1+IF(K$3&lt;=$O$2,$D676,$D676-($D676-$I$670)*MIN(K$3-$O$2,$Q$2)/$Q$2))</f>
        <v>8424.74983870781</v>
      </c>
      <c r="L676" s="15" t="n">
        <f aca="false">K676*(1+IF(L$3&lt;=$O$2,$D676,$D676-($D676-$I$670)*MIN(L$3-$O$2,$Q$2)/$Q$2))</f>
        <v>8645.73102697711</v>
      </c>
      <c r="M676" s="15" t="n">
        <f aca="false">L676*(1+IF(M$3&lt;=$O$2,$D676,$D676-($D676-$I$670)*MIN(M$3-$O$2,$Q$2)/$Q$2))</f>
        <v>8903.07121099509</v>
      </c>
      <c r="N676" s="15" t="n">
        <f aca="false">M676*(1+IF(N$3&lt;=$O$2,$D676,$D676-($D676-$I$670)*MIN(N$3-$O$2,$Q$2)/$Q$2))</f>
        <v>9199.54348232123</v>
      </c>
      <c r="O676" s="15" t="n">
        <f aca="false">SUMPRODUCT(E676:N676,1/(1+$F$670)^$E$3:$N$3)*$E$2</f>
        <v>8895.6418895348</v>
      </c>
      <c r="P676" s="15" t="n">
        <f aca="false">N676*$E$2*(1+$I$670)/($F$670-$I$670)/(1+$F$670)^$N$3</f>
        <v>11760.3139326416</v>
      </c>
      <c r="Q676" s="15" t="n">
        <f aca="false">O676+P676</f>
        <v>20655.9558221764</v>
      </c>
      <c r="R676" s="15" t="n">
        <f aca="false">Q676-$G$2+$I$2</f>
        <v>17539.7558221764</v>
      </c>
      <c r="S676" s="42" t="n">
        <f aca="false">R676/$K$2</f>
        <v>155.356561755327</v>
      </c>
      <c r="T676" s="43" t="n">
        <f aca="false">S676-$M$2</f>
        <v>-13.1111087495449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0.015625</v>
      </c>
      <c r="C677" s="25" t="n">
        <f aca="false">IF(T676&gt;0,D676,C676)</f>
        <v>0.0625</v>
      </c>
      <c r="D677" s="41" t="n">
        <f aca="false">(B677+C677)/2</f>
        <v>0.0390625</v>
      </c>
      <c r="E677" s="15" t="n">
        <f aca="false">$C$2*(1+IF(E$3&lt;=$O$2,$D677,$D677-($D677-$I$670)*MIN(E$3-$O$2,$Q$2)/$Q$2))</f>
        <v>7772.1875</v>
      </c>
      <c r="F677" s="15" t="n">
        <f aca="false">E677*(1+IF(F$3&lt;=$O$2,$D677,$D677-($D677-$I$670)*MIN(F$3-$O$2,$Q$2)/$Q$2))</f>
        <v>8075.78857421875</v>
      </c>
      <c r="G677" s="15" t="n">
        <f aca="false">F677*(1+IF(G$3&lt;=$O$2,$D677,$D677-($D677-$I$670)*MIN(G$3-$O$2,$Q$2)/$Q$2))</f>
        <v>8391.24906539917</v>
      </c>
      <c r="H677" s="15" t="n">
        <f aca="false">G677*(1+IF(H$3&lt;=$O$2,$D677,$D677-($D677-$I$670)*MIN(H$3-$O$2,$Q$2)/$Q$2))</f>
        <v>8719.03223201633</v>
      </c>
      <c r="I677" s="15" t="n">
        <f aca="false">H677*(1+IF(I$3&lt;=$O$2,$D677,$D677-($D677-$I$670)*MIN(I$3-$O$2,$Q$2)/$Q$2))</f>
        <v>9059.61942857946</v>
      </c>
      <c r="J677" s="15" t="n">
        <f aca="false">I677*(1+IF(J$3&lt;=$O$2,$D677,$D677-($D677-$I$670)*MIN(J$3-$O$2,$Q$2)/$Q$2))</f>
        <v>9403.06960111691</v>
      </c>
      <c r="K677" s="15" t="n">
        <f aca="false">J677*(1+IF(K$3&lt;=$O$2,$D677,$D677-($D677-$I$670)*MIN(K$3-$O$2,$Q$2)/$Q$2))</f>
        <v>9748.70293197997</v>
      </c>
      <c r="L677" s="15" t="n">
        <f aca="false">K677*(1+IF(L$3&lt;=$O$2,$D677,$D677-($D677-$I$670)*MIN(L$3-$O$2,$Q$2)/$Q$2))</f>
        <v>10095.8054998731</v>
      </c>
      <c r="M677" s="15" t="n">
        <f aca="false">L677*(1+IF(M$3&lt;=$O$2,$D677,$D677-($D677-$I$670)*MIN(M$3-$O$2,$Q$2)/$Q$2))</f>
        <v>10443.6312388575</v>
      </c>
      <c r="N677" s="15" t="n">
        <f aca="false">M677*(1+IF(N$3&lt;=$O$2,$D677,$D677-($D677-$I$670)*MIN(N$3-$O$2,$Q$2)/$Q$2))</f>
        <v>10791.4041591114</v>
      </c>
      <c r="O677" s="15" t="n">
        <f aca="false">SUMPRODUCT(E677:N677,1/(1+$F$670)^$E$3:$N$3)*$E$2</f>
        <v>9846.76669676576</v>
      </c>
      <c r="P677" s="15" t="n">
        <f aca="false">N677*$E$2*(1+$I$670)/($F$670-$I$670)/(1+$F$670)^$N$3</f>
        <v>13795.2824429873</v>
      </c>
      <c r="Q677" s="15" t="n">
        <f aca="false">O677+P677</f>
        <v>23642.0491397531</v>
      </c>
      <c r="R677" s="15" t="n">
        <f aca="false">Q677-$G$2+$I$2</f>
        <v>20525.8491397531</v>
      </c>
      <c r="S677" s="42" t="n">
        <f aca="false">R677/$K$2</f>
        <v>181.805572539886</v>
      </c>
      <c r="T677" s="43" t="n">
        <f aca="false">S677-$M$2</f>
        <v>13.3379020350142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0.015625</v>
      </c>
      <c r="C678" s="25" t="n">
        <f aca="false">IF(T677&gt;0,D677,C677)</f>
        <v>0.0390625</v>
      </c>
      <c r="D678" s="41" t="n">
        <f aca="false">(B678+C678)/2</f>
        <v>0.02734375</v>
      </c>
      <c r="E678" s="15" t="n">
        <f aca="false">$C$2*(1+IF(E$3&lt;=$O$2,$D678,$D678-($D678-$I$670)*MIN(E$3-$O$2,$Q$2)/$Q$2))</f>
        <v>7684.53125</v>
      </c>
      <c r="F678" s="15" t="n">
        <f aca="false">E678*(1+IF(F$3&lt;=$O$2,$D678,$D678-($D678-$I$670)*MIN(F$3-$O$2,$Q$2)/$Q$2))</f>
        <v>7894.65515136719</v>
      </c>
      <c r="G678" s="15" t="n">
        <f aca="false">F678*(1+IF(G$3&lt;=$O$2,$D678,$D678-($D678-$I$670)*MIN(G$3-$O$2,$Q$2)/$Q$2))</f>
        <v>8110.52462816238</v>
      </c>
      <c r="H678" s="15" t="n">
        <f aca="false">G678*(1+IF(H$3&lt;=$O$2,$D678,$D678-($D678-$I$670)*MIN(H$3-$O$2,$Q$2)/$Q$2))</f>
        <v>8332.2967859637</v>
      </c>
      <c r="I678" s="15" t="n">
        <f aca="false">H678*(1+IF(I$3&lt;=$O$2,$D678,$D678-($D678-$I$670)*MIN(I$3-$O$2,$Q$2)/$Q$2))</f>
        <v>8560.13302620489</v>
      </c>
      <c r="J678" s="15" t="n">
        <f aca="false">I678*(1+IF(J$3&lt;=$O$2,$D678,$D678-($D678-$I$670)*MIN(J$3-$O$2,$Q$2)/$Q$2))</f>
        <v>8804.39642210765</v>
      </c>
      <c r="K678" s="15" t="n">
        <f aca="false">J678*(1+IF(K$3&lt;=$O$2,$D678,$D678-($D678-$I$670)*MIN(K$3-$O$2,$Q$2)/$Q$2))</f>
        <v>9066.11811125033</v>
      </c>
      <c r="L678" s="15" t="n">
        <f aca="false">K678*(1+IF(L$3&lt;=$O$2,$D678,$D678-($D678-$I$670)*MIN(L$3-$O$2,$Q$2)/$Q$2))</f>
        <v>9346.41981795491</v>
      </c>
      <c r="M678" s="15" t="n">
        <f aca="false">L678*(1+IF(M$3&lt;=$O$2,$D678,$D678-($D678-$I$670)*MIN(M$3-$O$2,$Q$2)/$Q$2))</f>
        <v>9646.52167528467</v>
      </c>
      <c r="N678" s="15" t="n">
        <f aca="false">M678*(1+IF(N$3&lt;=$O$2,$D678,$D678-($D678-$I$670)*MIN(N$3-$O$2,$Q$2)/$Q$2))</f>
        <v>9967.75084707165</v>
      </c>
      <c r="O678" s="15" t="n">
        <f aca="false">SUMPRODUCT(E678:N678,1/(1+$F$670)^$E$3:$N$3)*$E$2</f>
        <v>9358.92902725473</v>
      </c>
      <c r="P678" s="15" t="n">
        <f aca="false">N678*$E$2*(1+$I$670)/($F$670-$I$670)/(1+$F$670)^$N$3</f>
        <v>12742.3582908419</v>
      </c>
      <c r="Q678" s="15" t="n">
        <f aca="false">O678+P678</f>
        <v>22101.2873180967</v>
      </c>
      <c r="R678" s="15" t="n">
        <f aca="false">Q678-$G$2+$I$2</f>
        <v>18985.0873180967</v>
      </c>
      <c r="S678" s="42" t="n">
        <f aca="false">R678/$K$2</f>
        <v>168.158435058429</v>
      </c>
      <c r="T678" s="43" t="n">
        <f aca="false">S678-$M$2</f>
        <v>-0.309235446442358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0.02734375</v>
      </c>
      <c r="C679" s="25" t="n">
        <f aca="false">IF(T678&gt;0,D678,C678)</f>
        <v>0.0390625</v>
      </c>
      <c r="D679" s="41" t="n">
        <f aca="false">(B679+C679)/2</f>
        <v>0.033203125</v>
      </c>
      <c r="E679" s="15" t="n">
        <f aca="false">$C$2*(1+IF(E$3&lt;=$O$2,$D679,$D679-($D679-$I$670)*MIN(E$3-$O$2,$Q$2)/$Q$2))</f>
        <v>7728.359375</v>
      </c>
      <c r="F679" s="15" t="n">
        <f aca="false">E679*(1+IF(F$3&lt;=$O$2,$D679,$D679-($D679-$I$670)*MIN(F$3-$O$2,$Q$2)/$Q$2))</f>
        <v>7984.96505737305</v>
      </c>
      <c r="G679" s="15" t="n">
        <f aca="false">F679*(1+IF(G$3&lt;=$O$2,$D679,$D679-($D679-$I$670)*MIN(G$3-$O$2,$Q$2)/$Q$2))</f>
        <v>8250.09085029364</v>
      </c>
      <c r="H679" s="15" t="n">
        <f aca="false">G679*(1+IF(H$3&lt;=$O$2,$D679,$D679-($D679-$I$670)*MIN(H$3-$O$2,$Q$2)/$Q$2))</f>
        <v>8524.01964805729</v>
      </c>
      <c r="I679" s="15" t="n">
        <f aca="false">H679*(1+IF(I$3&lt;=$O$2,$D679,$D679-($D679-$I$670)*MIN(I$3-$O$2,$Q$2)/$Q$2))</f>
        <v>8807.0437379342</v>
      </c>
      <c r="J679" s="15" t="n">
        <f aca="false">I679*(1+IF(J$3&lt;=$O$2,$D679,$D679-($D679-$I$670)*MIN(J$3-$O$2,$Q$2)/$Q$2))</f>
        <v>9099.63574851771</v>
      </c>
      <c r="K679" s="15" t="n">
        <f aca="false">J679*(1+IF(K$3&lt;=$O$2,$D679,$D679-($D679-$I$670)*MIN(K$3-$O$2,$Q$2)/$Q$2))</f>
        <v>9402.12470261547</v>
      </c>
      <c r="L679" s="15" t="n">
        <f aca="false">K679*(1+IF(L$3&lt;=$O$2,$D679,$D679-($D679-$I$670)*MIN(L$3-$O$2,$Q$2)/$Q$2))</f>
        <v>9714.85112288034</v>
      </c>
      <c r="M679" s="15" t="n">
        <f aca="false">L679*(1+IF(M$3&lt;=$O$2,$D679,$D679-($D679-$I$670)*MIN(M$3-$O$2,$Q$2)/$Q$2))</f>
        <v>10038.1674400318</v>
      </c>
      <c r="N679" s="15" t="n">
        <f aca="false">M679*(1+IF(N$3&lt;=$O$2,$D679,$D679-($D679-$I$670)*MIN(N$3-$O$2,$Q$2)/$Q$2))</f>
        <v>10372.4384157848</v>
      </c>
      <c r="O679" s="15" t="n">
        <f aca="false">SUMPRODUCT(E679:N679,1/(1+$F$670)^$E$3:$N$3)*$E$2</f>
        <v>9599.7040132717</v>
      </c>
      <c r="P679" s="15" t="n">
        <f aca="false">N679*$E$2*(1+$I$670)/($F$670-$I$670)/(1+$F$670)^$N$3</f>
        <v>13259.6940544969</v>
      </c>
      <c r="Q679" s="15" t="n">
        <f aca="false">O679+P679</f>
        <v>22859.3980677686</v>
      </c>
      <c r="R679" s="15" t="n">
        <f aca="false">Q679-$G$2+$I$2</f>
        <v>19743.1980677686</v>
      </c>
      <c r="S679" s="42" t="n">
        <f aca="false">R679/$K$2</f>
        <v>174.873322123726</v>
      </c>
      <c r="T679" s="43" t="n">
        <f aca="false">S679-$M$2</f>
        <v>6.40565161885422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0.02734375</v>
      </c>
      <c r="C680" s="25" t="n">
        <f aca="false">IF(T679&gt;0,D679,C679)</f>
        <v>0.033203125</v>
      </c>
      <c r="D680" s="41" t="n">
        <f aca="false">(B680+C680)/2</f>
        <v>0.0302734375</v>
      </c>
      <c r="E680" s="15" t="n">
        <f aca="false">$C$2*(1+IF(E$3&lt;=$O$2,$D680,$D680-($D680-$I$670)*MIN(E$3-$O$2,$Q$2)/$Q$2))</f>
        <v>7706.4453125</v>
      </c>
      <c r="F680" s="15" t="n">
        <f aca="false">E680*(1+IF(F$3&lt;=$O$2,$D680,$D680-($D680-$I$670)*MIN(F$3-$O$2,$Q$2)/$Q$2))</f>
        <v>7939.74590301514</v>
      </c>
      <c r="G680" s="15" t="n">
        <f aca="false">F680*(1+IF(G$3&lt;=$O$2,$D680,$D680-($D680-$I$670)*MIN(G$3-$O$2,$Q$2)/$Q$2))</f>
        <v>8180.10930437595</v>
      </c>
      <c r="H680" s="15" t="n">
        <f aca="false">G680*(1+IF(H$3&lt;=$O$2,$D680,$D680-($D680-$I$670)*MIN(H$3-$O$2,$Q$2)/$Q$2))</f>
        <v>8427.74933214514</v>
      </c>
      <c r="I680" s="15" t="n">
        <f aca="false">H680*(1+IF(I$3&lt;=$O$2,$D680,$D680-($D680-$I$670)*MIN(I$3-$O$2,$Q$2)/$Q$2))</f>
        <v>8682.8862748175</v>
      </c>
      <c r="J680" s="15" t="n">
        <f aca="false">I680*(1+IF(J$3&lt;=$O$2,$D680,$D680-($D680-$I$670)*MIN(J$3-$O$2,$Q$2)/$Q$2))</f>
        <v>8951.00294937603</v>
      </c>
      <c r="K680" s="15" t="n">
        <f aca="false">J680*(1+IF(K$3&lt;=$O$2,$D680,$D680-($D680-$I$670)*MIN(K$3-$O$2,$Q$2)/$Q$2))</f>
        <v>9232.81688567186</v>
      </c>
      <c r="L680" s="15" t="n">
        <f aca="false">K680*(1+IF(L$3&lt;=$O$2,$D680,$D680-($D680-$I$670)*MIN(L$3-$O$2,$Q$2)/$Q$2))</f>
        <v>9529.09220902252</v>
      </c>
      <c r="M680" s="15" t="n">
        <f aca="false">L680*(1+IF(M$3&lt;=$O$2,$D680,$D680-($D680-$I$670)*MIN(M$3-$O$2,$Q$2)/$Q$2))</f>
        <v>9840.6429009552</v>
      </c>
      <c r="N680" s="15" t="n">
        <f aca="false">M680*(1+IF(N$3&lt;=$O$2,$D680,$D680-($D680-$I$670)*MIN(N$3-$O$2,$Q$2)/$Q$2))</f>
        <v>10168.336309557</v>
      </c>
      <c r="O680" s="15" t="n">
        <f aca="false">SUMPRODUCT(E680:N680,1/(1+$F$670)^$E$3:$N$3)*$E$2</f>
        <v>9478.54006138514</v>
      </c>
      <c r="P680" s="15" t="n">
        <f aca="false">N680*$E$2*(1+$I$670)/($F$670-$I$670)/(1+$F$670)^$N$3</f>
        <v>12998.7784070885</v>
      </c>
      <c r="Q680" s="15" t="n">
        <f aca="false">O680+P680</f>
        <v>22477.3184684736</v>
      </c>
      <c r="R680" s="15" t="n">
        <f aca="false">Q680-$G$2+$I$2</f>
        <v>19361.1184684736</v>
      </c>
      <c r="S680" s="42" t="n">
        <f aca="false">R680/$K$2</f>
        <v>171.489091837676</v>
      </c>
      <c r="T680" s="43" t="n">
        <f aca="false">S680-$M$2</f>
        <v>3.02142133280421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0.02734375</v>
      </c>
      <c r="C681" s="25" t="n">
        <f aca="false">IF(T680&gt;0,D680,C680)</f>
        <v>0.0302734375</v>
      </c>
      <c r="D681" s="41" t="n">
        <f aca="false">(B681+C681)/2</f>
        <v>0.02880859375</v>
      </c>
      <c r="E681" s="15" t="n">
        <f aca="false">$C$2*(1+IF(E$3&lt;=$O$2,$D681,$D681-($D681-$I$670)*MIN(E$3-$O$2,$Q$2)/$Q$2))</f>
        <v>7695.48828125</v>
      </c>
      <c r="F681" s="15" t="n">
        <f aca="false">E681*(1+IF(F$3&lt;=$O$2,$D681,$D681-($D681-$I$670)*MIN(F$3-$O$2,$Q$2)/$Q$2))</f>
        <v>7917.18447685242</v>
      </c>
      <c r="G681" s="15" t="n">
        <f aca="false">F681*(1+IF(G$3&lt;=$O$2,$D681,$D681-($D681-$I$670)*MIN(G$3-$O$2,$Q$2)/$Q$2))</f>
        <v>8145.26742808987</v>
      </c>
      <c r="H681" s="15" t="n">
        <f aca="false">G681*(1+IF(H$3&lt;=$O$2,$D681,$D681-($D681-$I$670)*MIN(H$3-$O$2,$Q$2)/$Q$2))</f>
        <v>8379.92112841081</v>
      </c>
      <c r="I681" s="15" t="n">
        <f aca="false">H681*(1+IF(I$3&lt;=$O$2,$D681,$D681-($D681-$I$670)*MIN(I$3-$O$2,$Q$2)/$Q$2))</f>
        <v>8621.33487185624</v>
      </c>
      <c r="J681" s="15" t="n">
        <f aca="false">I681*(1+IF(J$3&lt;=$O$2,$D681,$D681-($D681-$I$670)*MIN(J$3-$O$2,$Q$2)/$Q$2))</f>
        <v>8877.44778922762</v>
      </c>
      <c r="K681" s="15" t="n">
        <f aca="false">J681*(1+IF(K$3&lt;=$O$2,$D681,$D681-($D681-$I$670)*MIN(K$3-$O$2,$Q$2)/$Q$2))</f>
        <v>9149.14346591814</v>
      </c>
      <c r="L681" s="15" t="n">
        <f aca="false">K681*(1+IF(L$3&lt;=$O$2,$D681,$D681-($D681-$I$670)*MIN(L$3-$O$2,$Q$2)/$Q$2))</f>
        <v>9437.37293527523</v>
      </c>
      <c r="M681" s="15" t="n">
        <f aca="false">L681*(1+IF(M$3&lt;=$O$2,$D681,$D681-($D681-$I$670)*MIN(M$3-$O$2,$Q$2)/$Q$2))</f>
        <v>9743.16003886288</v>
      </c>
      <c r="N681" s="15" t="n">
        <f aca="false">M681*(1+IF(N$3&lt;=$O$2,$D681,$D681-($D681-$I$670)*MIN(N$3-$O$2,$Q$2)/$Q$2))</f>
        <v>10067.607268157</v>
      </c>
      <c r="O681" s="15" t="n">
        <f aca="false">SUMPRODUCT(E681:N681,1/(1+$F$670)^$E$3:$N$3)*$E$2</f>
        <v>9418.54160655427</v>
      </c>
      <c r="P681" s="15" t="n">
        <f aca="false">N681*$E$2*(1+$I$670)/($F$670-$I$670)/(1+$F$670)^$N$3</f>
        <v>12870.0105881989</v>
      </c>
      <c r="Q681" s="15" t="n">
        <f aca="false">O681+P681</f>
        <v>22288.5521947532</v>
      </c>
      <c r="R681" s="15" t="n">
        <f aca="false">Q681-$G$2+$I$2</f>
        <v>19172.3521947532</v>
      </c>
      <c r="S681" s="42" t="n">
        <f aca="false">R681/$K$2</f>
        <v>169.817114213934</v>
      </c>
      <c r="T681" s="43" t="n">
        <f aca="false">S681-$M$2</f>
        <v>1.34944370906283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0.02734375</v>
      </c>
      <c r="C682" s="25" t="n">
        <f aca="false">IF(T681&gt;0,D681,C681)</f>
        <v>0.02880859375</v>
      </c>
      <c r="D682" s="41" t="n">
        <f aca="false">(B682+C682)/2</f>
        <v>0.028076171875</v>
      </c>
      <c r="E682" s="15" t="n">
        <f aca="false">$C$2*(1+IF(E$3&lt;=$O$2,$D682,$D682-($D682-$I$670)*MIN(E$3-$O$2,$Q$2)/$Q$2))</f>
        <v>7690.009765625</v>
      </c>
      <c r="F682" s="15" t="n">
        <f aca="false">E682*(1+IF(F$3&lt;=$O$2,$D682,$D682-($D682-$I$670)*MIN(F$3-$O$2,$Q$2)/$Q$2))</f>
        <v>7905.91580152512</v>
      </c>
      <c r="G682" s="15" t="n">
        <f aca="false">F682*(1+IF(G$3&lt;=$O$2,$D682,$D682-($D682-$I$670)*MIN(G$3-$O$2,$Q$2)/$Q$2))</f>
        <v>8127.88365239801</v>
      </c>
      <c r="H682" s="15" t="n">
        <f aca="false">G682*(1+IF(H$3&lt;=$O$2,$D682,$D682-($D682-$I$670)*MIN(H$3-$O$2,$Q$2)/$Q$2))</f>
        <v>8356.08351080274</v>
      </c>
      <c r="I682" s="15" t="n">
        <f aca="false">H682*(1+IF(I$3&lt;=$O$2,$D682,$D682-($D682-$I$670)*MIN(I$3-$O$2,$Q$2)/$Q$2))</f>
        <v>8590.69034765389</v>
      </c>
      <c r="J682" s="15" t="n">
        <f aca="false">I682*(1+IF(J$3&lt;=$O$2,$D682,$D682-($D682-$I$670)*MIN(J$3-$O$2,$Q$2)/$Q$2))</f>
        <v>8840.85930434978</v>
      </c>
      <c r="K682" s="15" t="n">
        <f aca="false">J682*(1+IF(K$3&lt;=$O$2,$D682,$D682-($D682-$I$670)*MIN(K$3-$O$2,$Q$2)/$Q$2))</f>
        <v>9107.55004149469</v>
      </c>
      <c r="L682" s="15" t="n">
        <f aca="false">K682*(1+IF(L$3&lt;=$O$2,$D682,$D682-($D682-$I$670)*MIN(L$3-$O$2,$Q$2)/$Q$2))</f>
        <v>9391.80094745382</v>
      </c>
      <c r="M682" s="15" t="n">
        <f aca="false">L682*(1+IF(M$3&lt;=$O$2,$D682,$D682-($D682-$I$670)*MIN(M$3-$O$2,$Q$2)/$Q$2))</f>
        <v>9694.73568821729</v>
      </c>
      <c r="N682" s="15" t="n">
        <f aca="false">M682*(1+IF(N$3&lt;=$O$2,$D682,$D682-($D682-$I$670)*MIN(N$3-$O$2,$Q$2)/$Q$2))</f>
        <v>10017.5703866349</v>
      </c>
      <c r="O682" s="15" t="n">
        <f aca="false">SUMPRODUCT(E682:N682,1/(1+$F$670)^$E$3:$N$3)*$E$2</f>
        <v>9388.68722890182</v>
      </c>
      <c r="P682" s="15" t="n">
        <f aca="false">N682*$E$2*(1+$I$670)/($F$670-$I$670)/(1+$F$670)^$N$3</f>
        <v>12806.0455190582</v>
      </c>
      <c r="Q682" s="15" t="n">
        <f aca="false">O682+P682</f>
        <v>22194.73274796</v>
      </c>
      <c r="R682" s="15" t="n">
        <f aca="false">Q682-$G$2+$I$2</f>
        <v>19078.53274796</v>
      </c>
      <c r="S682" s="42" t="n">
        <f aca="false">R682/$K$2</f>
        <v>168.986118228166</v>
      </c>
      <c r="T682" s="43" t="n">
        <f aca="false">S682-$M$2</f>
        <v>0.51844772329477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0.02734375</v>
      </c>
      <c r="C683" s="25" t="n">
        <f aca="false">IF(T682&gt;0,D682,C682)</f>
        <v>0.028076171875</v>
      </c>
      <c r="D683" s="41" t="n">
        <f aca="false">(B683+C683)/2</f>
        <v>0.0277099609375</v>
      </c>
      <c r="E683" s="15" t="n">
        <f aca="false">$C$2*(1+IF(E$3&lt;=$O$2,$D683,$D683-($D683-$I$670)*MIN(E$3-$O$2,$Q$2)/$Q$2))</f>
        <v>7687.2705078125</v>
      </c>
      <c r="F683" s="15" t="n">
        <f aca="false">E683*(1+IF(F$3&lt;=$O$2,$D683,$D683-($D683-$I$670)*MIN(F$3-$O$2,$Q$2)/$Q$2))</f>
        <v>7900.28447329998</v>
      </c>
      <c r="G683" s="15" t="n">
        <f aca="false">F683*(1+IF(G$3&lt;=$O$2,$D683,$D683-($D683-$I$670)*MIN(G$3-$O$2,$Q$2)/$Q$2))</f>
        <v>8119.20104745026</v>
      </c>
      <c r="H683" s="15" t="n">
        <f aca="false">G683*(1+IF(H$3&lt;=$O$2,$D683,$D683-($D683-$I$670)*MIN(H$3-$O$2,$Q$2)/$Q$2))</f>
        <v>8344.18379131882</v>
      </c>
      <c r="I683" s="15" t="n">
        <f aca="false">H683*(1+IF(I$3&lt;=$O$2,$D683,$D683-($D683-$I$670)*MIN(I$3-$O$2,$Q$2)/$Q$2))</f>
        <v>8575.40079823158</v>
      </c>
      <c r="J683" s="15" t="n">
        <f aca="false">I683*(1+IF(J$3&lt;=$O$2,$D683,$D683-($D683-$I$670)*MIN(J$3-$O$2,$Q$2)/$Q$2))</f>
        <v>8822.61218446173</v>
      </c>
      <c r="K683" s="15" t="n">
        <f aca="false">J683*(1+IF(K$3&lt;=$O$2,$D683,$D683-($D683-$I$670)*MIN(K$3-$O$2,$Q$2)/$Q$2))</f>
        <v>9086.81392215764</v>
      </c>
      <c r="L683" s="15" t="n">
        <f aca="false">K683*(1+IF(L$3&lt;=$O$2,$D683,$D683-($D683-$I$670)*MIN(L$3-$O$2,$Q$2)/$Q$2))</f>
        <v>9369.08656785408</v>
      </c>
      <c r="M683" s="15" t="n">
        <f aca="false">L683*(1+IF(M$3&lt;=$O$2,$D683,$D683-($D683-$I$670)*MIN(M$3-$O$2,$Q$2)/$Q$2))</f>
        <v>9670.60243858477</v>
      </c>
      <c r="N683" s="15" t="n">
        <f aca="false">M683*(1+IF(N$3&lt;=$O$2,$D683,$D683-($D683-$I$670)*MIN(N$3-$O$2,$Q$2)/$Q$2))</f>
        <v>9992.63349978965</v>
      </c>
      <c r="O683" s="15" t="n">
        <f aca="false">SUMPRODUCT(E683:N683,1/(1+$F$670)^$E$3:$N$3)*$E$2</f>
        <v>9373.79612434006</v>
      </c>
      <c r="P683" s="15" t="n">
        <f aca="false">N683*$E$2*(1+$I$670)/($F$670-$I$670)/(1+$F$670)^$N$3</f>
        <v>12774.1672396232</v>
      </c>
      <c r="Q683" s="15" t="n">
        <f aca="false">O683+P683</f>
        <v>22147.9633639633</v>
      </c>
      <c r="R683" s="15" t="n">
        <f aca="false">Q683-$G$2+$I$2</f>
        <v>19031.7633639633</v>
      </c>
      <c r="S683" s="42" t="n">
        <f aca="false">R683/$K$2</f>
        <v>168.571863276911</v>
      </c>
      <c r="T683" s="43" t="n">
        <f aca="false">S683-$M$2</f>
        <v>0.10419277203971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0.02734375</v>
      </c>
      <c r="C684" s="25" t="n">
        <f aca="false">IF(T683&gt;0,D683,C683)</f>
        <v>0.0277099609375</v>
      </c>
      <c r="D684" s="41" t="n">
        <f aca="false">(B684+C684)/2</f>
        <v>0.02752685546875</v>
      </c>
      <c r="E684" s="15" t="n">
        <f aca="false">$C$2*(1+IF(E$3&lt;=$O$2,$D684,$D684-($D684-$I$670)*MIN(E$3-$O$2,$Q$2)/$Q$2))</f>
        <v>7685.90087890625</v>
      </c>
      <c r="F684" s="15" t="n">
        <f aca="false">E684*(1+IF(F$3&lt;=$O$2,$D684,$D684-($D684-$I$670)*MIN(F$3-$O$2,$Q$2)/$Q$2))</f>
        <v>7897.46956154704</v>
      </c>
      <c r="G684" s="15" t="n">
        <f aca="false">F684*(1+IF(G$3&lt;=$O$2,$D684,$D684-($D684-$I$670)*MIN(G$3-$O$2,$Q$2)/$Q$2))</f>
        <v>8114.8620647366</v>
      </c>
      <c r="H684" s="15" t="n">
        <f aca="false">G684*(1+IF(H$3&lt;=$O$2,$D684,$D684-($D684-$I$670)*MIN(H$3-$O$2,$Q$2)/$Q$2))</f>
        <v>8338.23869994145</v>
      </c>
      <c r="I684" s="15" t="n">
        <f aca="false">H684*(1+IF(I$3&lt;=$O$2,$D684,$D684-($D684-$I$670)*MIN(I$3-$O$2,$Q$2)/$Q$2))</f>
        <v>8567.76419149867</v>
      </c>
      <c r="J684" s="15" t="n">
        <f aca="false">I684*(1+IF(J$3&lt;=$O$2,$D684,$D684-($D684-$I$670)*MIN(J$3-$O$2,$Q$2)/$Q$2))</f>
        <v>8813.50038628583</v>
      </c>
      <c r="K684" s="15" t="n">
        <f aca="false">J684*(1+IF(K$3&lt;=$O$2,$D684,$D684-($D684-$I$670)*MIN(K$3-$O$2,$Q$2)/$Q$2))</f>
        <v>9076.46098221539</v>
      </c>
      <c r="L684" s="15" t="n">
        <f aca="false">K684*(1+IF(L$3&lt;=$O$2,$D684,$D684-($D684-$I$670)*MIN(L$3-$O$2,$Q$2)/$Q$2))</f>
        <v>9357.74724449013</v>
      </c>
      <c r="M684" s="15" t="n">
        <f aca="false">L684*(1+IF(M$3&lt;=$O$2,$D684,$D684-($D684-$I$670)*MIN(M$3-$O$2,$Q$2)/$Q$2))</f>
        <v>9658.55550226578</v>
      </c>
      <c r="N684" s="15" t="n">
        <f aca="false">M684*(1+IF(N$3&lt;=$O$2,$D684,$D684-($D684-$I$670)*MIN(N$3-$O$2,$Q$2)/$Q$2))</f>
        <v>9980.18540049123</v>
      </c>
      <c r="O684" s="15" t="n">
        <f aca="false">SUMPRODUCT(E684:N684,1/(1+$F$670)^$E$3:$N$3)*$E$2</f>
        <v>9366.359577143</v>
      </c>
      <c r="P684" s="15" t="n">
        <f aca="false">N684*$E$2*(1+$I$670)/($F$670-$I$670)/(1+$F$670)^$N$3</f>
        <v>12758.2541069884</v>
      </c>
      <c r="Q684" s="15" t="n">
        <f aca="false">O684+P684</f>
        <v>22124.6136841314</v>
      </c>
      <c r="R684" s="15" t="n">
        <f aca="false">Q684-$G$2+$I$2</f>
        <v>19008.4136841314</v>
      </c>
      <c r="S684" s="42" t="n">
        <f aca="false">R684/$K$2</f>
        <v>168.365045917904</v>
      </c>
      <c r="T684" s="43" t="n">
        <f aca="false">S684-$M$2</f>
        <v>-0.10262458696721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0.02752685546875</v>
      </c>
      <c r="C685" s="25" t="n">
        <f aca="false">IF(T684&gt;0,D684,C684)</f>
        <v>0.0277099609375</v>
      </c>
      <c r="D685" s="41" t="n">
        <f aca="false">(B685+C685)/2</f>
        <v>0.027618408203125</v>
      </c>
      <c r="E685" s="15" t="n">
        <f aca="false">$C$2*(1+IF(E$3&lt;=$O$2,$D685,$D685-($D685-$I$670)*MIN(E$3-$O$2,$Q$2)/$Q$2))</f>
        <v>7686.58569335938</v>
      </c>
      <c r="F685" s="15" t="n">
        <f aca="false">E685*(1+IF(F$3&lt;=$O$2,$D685,$D685-($D685-$I$670)*MIN(F$3-$O$2,$Q$2)/$Q$2))</f>
        <v>7898.87695472688</v>
      </c>
      <c r="G685" s="15" t="n">
        <f aca="false">F685*(1+IF(G$3&lt;=$O$2,$D685,$D685-($D685-$I$670)*MIN(G$3-$O$2,$Q$2)/$Q$2))</f>
        <v>8117.03136280878</v>
      </c>
      <c r="H685" s="15" t="n">
        <f aca="false">G685*(1+IF(H$3&lt;=$O$2,$D685,$D685-($D685-$I$670)*MIN(H$3-$O$2,$Q$2)/$Q$2))</f>
        <v>8341.2108483844</v>
      </c>
      <c r="I685" s="15" t="n">
        <f aca="false">H685*(1+IF(I$3&lt;=$O$2,$D685,$D685-($D685-$I$670)*MIN(I$3-$O$2,$Q$2)/$Q$2))</f>
        <v>8571.58181450342</v>
      </c>
      <c r="J685" s="15" t="n">
        <f aca="false">I685*(1+IF(J$3&lt;=$O$2,$D685,$D685-($D685-$I$670)*MIN(J$3-$O$2,$Q$2)/$Q$2))</f>
        <v>8818.05530578756</v>
      </c>
      <c r="K685" s="15" t="n">
        <f aca="false">J685*(1+IF(K$3&lt;=$O$2,$D685,$D685-($D685-$I$670)*MIN(K$3-$O$2,$Q$2)/$Q$2))</f>
        <v>9081.63619305643</v>
      </c>
      <c r="L685" s="15" t="n">
        <f aca="false">K685*(1+IF(L$3&lt;=$O$2,$D685,$D685-($D685-$I$670)*MIN(L$3-$O$2,$Q$2)/$Q$2))</f>
        <v>9363.41541840655</v>
      </c>
      <c r="M685" s="15" t="n">
        <f aca="false">L685*(1+IF(M$3&lt;=$O$2,$D685,$D685-($D685-$I$670)*MIN(M$3-$O$2,$Q$2)/$Q$2))</f>
        <v>9664.57733099309</v>
      </c>
      <c r="N685" s="15" t="n">
        <f aca="false">M685*(1+IF(N$3&lt;=$O$2,$D685,$D685-($D685-$I$670)*MIN(N$3-$O$2,$Q$2)/$Q$2))</f>
        <v>9986.40775611516</v>
      </c>
      <c r="O685" s="15" t="n">
        <f aca="false">SUMPRODUCT(E685:N685,1/(1+$F$670)^$E$3:$N$3)*$E$2</f>
        <v>9370.07710079303</v>
      </c>
      <c r="P685" s="15" t="n">
        <f aca="false">N685*$E$2*(1+$I$670)/($F$670-$I$670)/(1+$F$670)^$N$3</f>
        <v>12766.2085077343</v>
      </c>
      <c r="Q685" s="15" t="n">
        <f aca="false">O685+P685</f>
        <v>22136.2856085274</v>
      </c>
      <c r="R685" s="15" t="n">
        <f aca="false">Q685-$G$2+$I$2</f>
        <v>19020.0856085274</v>
      </c>
      <c r="S685" s="42" t="n">
        <f aca="false">R685/$K$2</f>
        <v>168.468428773493</v>
      </c>
      <c r="T685" s="43" t="n">
        <f aca="false">S685-$M$2</f>
        <v>0.000758268621382285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0.02752685546875</v>
      </c>
      <c r="C686" s="25" t="n">
        <f aca="false">IF(T685&gt;0,D685,C685)</f>
        <v>0.027618408203125</v>
      </c>
      <c r="D686" s="41" t="n">
        <f aca="false">(B686+C686)/2</f>
        <v>0.0275726318359375</v>
      </c>
      <c r="E686" s="15" t="n">
        <f aca="false">$C$2*(1+IF(E$3&lt;=$O$2,$D686,$D686-($D686-$I$670)*MIN(E$3-$O$2,$Q$2)/$Q$2))</f>
        <v>7686.24328613281</v>
      </c>
      <c r="F686" s="15" t="n">
        <f aca="false">E686*(1+IF(F$3&lt;=$O$2,$D686,$D686-($D686-$I$670)*MIN(F$3-$O$2,$Q$2)/$Q$2))</f>
        <v>7898.1732424628</v>
      </c>
      <c r="G686" s="15" t="n">
        <f aca="false">F686*(1+IF(G$3&lt;=$O$2,$D686,$D686-($D686-$I$670)*MIN(G$3-$O$2,$Q$2)/$Q$2))</f>
        <v>8115.94666545368</v>
      </c>
      <c r="H686" s="15" t="n">
        <f aca="false">G686*(1+IF(H$3&lt;=$O$2,$D686,$D686-($D686-$I$670)*MIN(H$3-$O$2,$Q$2)/$Q$2))</f>
        <v>8339.72467486034</v>
      </c>
      <c r="I686" s="15" t="n">
        <f aca="false">H686*(1+IF(I$3&lt;=$O$2,$D686,$D686-($D686-$I$670)*MIN(I$3-$O$2,$Q$2)/$Q$2))</f>
        <v>8569.67283293335</v>
      </c>
      <c r="J686" s="15" t="n">
        <f aca="false">I686*(1+IF(J$3&lt;=$O$2,$D686,$D686-($D686-$I$670)*MIN(J$3-$O$2,$Q$2)/$Q$2))</f>
        <v>8815.77760118221</v>
      </c>
      <c r="K686" s="15" t="n">
        <f aca="false">J686*(1+IF(K$3&lt;=$O$2,$D686,$D686-($D686-$I$670)*MIN(K$3-$O$2,$Q$2)/$Q$2))</f>
        <v>9079.04827291689</v>
      </c>
      <c r="L686" s="15" t="n">
        <f aca="false">K686*(1+IF(L$3&lt;=$O$2,$D686,$D686-($D686-$I$670)*MIN(L$3-$O$2,$Q$2)/$Q$2))</f>
        <v>9360.58095958971</v>
      </c>
      <c r="M686" s="15" t="n">
        <f aca="false">L686*(1+IF(M$3&lt;=$O$2,$D686,$D686-($D686-$I$670)*MIN(M$3-$O$2,$Q$2)/$Q$2))</f>
        <v>9661.56600686703</v>
      </c>
      <c r="N686" s="15" t="n">
        <f aca="false">M686*(1+IF(N$3&lt;=$O$2,$D686,$D686-($D686-$I$670)*MIN(N$3-$O$2,$Q$2)/$Q$2))</f>
        <v>9983.2961548957</v>
      </c>
      <c r="O686" s="15" t="n">
        <f aca="false">SUMPRODUCT(E686:N686,1/(1+$F$670)^$E$3:$N$3)*$E$2</f>
        <v>9368.21815151651</v>
      </c>
      <c r="P686" s="15" t="n">
        <f aca="false">N686*$E$2*(1+$I$670)/($F$670-$I$670)/(1+$F$670)^$N$3</f>
        <v>12762.2307660948</v>
      </c>
      <c r="Q686" s="15" t="n">
        <f aca="false">O686+P686</f>
        <v>22130.4489176113</v>
      </c>
      <c r="R686" s="15" t="n">
        <f aca="false">Q686-$G$2+$I$2</f>
        <v>19014.2489176113</v>
      </c>
      <c r="S686" s="42" t="n">
        <f aca="false">R686/$K$2</f>
        <v>168.416730891155</v>
      </c>
      <c r="T686" s="43" t="n">
        <f aca="false">S686-$M$2</f>
        <v>-0.0509396137171052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0.0275726318359375</v>
      </c>
      <c r="C687" s="25" t="n">
        <f aca="false">IF(T686&gt;0,D686,C686)</f>
        <v>0.027618408203125</v>
      </c>
      <c r="D687" s="41" t="n">
        <f aca="false">(B687+C687)/2</f>
        <v>0.0275955200195313</v>
      </c>
      <c r="E687" s="15" t="n">
        <f aca="false">$C$2*(1+IF(E$3&lt;=$O$2,$D687,$D687-($D687-$I$670)*MIN(E$3-$O$2,$Q$2)/$Q$2))</f>
        <v>7686.41448974609</v>
      </c>
      <c r="F687" s="15" t="n">
        <f aca="false">E687*(1+IF(F$3&lt;=$O$2,$D687,$D687-($D687-$I$670)*MIN(F$3-$O$2,$Q$2)/$Q$2))</f>
        <v>7898.5250946763</v>
      </c>
      <c r="G687" s="15" t="n">
        <f aca="false">F687*(1+IF(G$3&lt;=$O$2,$D687,$D687-($D687-$I$670)*MIN(G$3-$O$2,$Q$2)/$Q$2))</f>
        <v>8116.48900205121</v>
      </c>
      <c r="H687" s="15" t="n">
        <f aca="false">G687*(1+IF(H$3&lt;=$O$2,$D687,$D687-($D687-$I$670)*MIN(H$3-$O$2,$Q$2)/$Q$2))</f>
        <v>8340.46773679562</v>
      </c>
      <c r="I687" s="15" t="n">
        <f aca="false">H687*(1+IF(I$3&lt;=$O$2,$D687,$D687-($D687-$I$670)*MIN(I$3-$O$2,$Q$2)/$Q$2))</f>
        <v>8570.62728119861</v>
      </c>
      <c r="J687" s="15" t="n">
        <f aca="false">I687*(1+IF(J$3&lt;=$O$2,$D687,$D687-($D687-$I$670)*MIN(J$3-$O$2,$Q$2)/$Q$2))</f>
        <v>8816.916392266</v>
      </c>
      <c r="K687" s="15" t="n">
        <f aca="false">J687*(1+IF(K$3&lt;=$O$2,$D687,$D687-($D687-$I$670)*MIN(K$3-$O$2,$Q$2)/$Q$2))</f>
        <v>9080.34215429897</v>
      </c>
      <c r="L687" s="15" t="n">
        <f aca="false">K687*(1+IF(L$3&lt;=$O$2,$D687,$D687-($D687-$I$670)*MIN(L$3-$O$2,$Q$2)/$Q$2))</f>
        <v>9361.99809602312</v>
      </c>
      <c r="M687" s="15" t="n">
        <f aca="false">L687*(1+IF(M$3&lt;=$O$2,$D687,$D687-($D687-$I$670)*MIN(M$3-$O$2,$Q$2)/$Q$2))</f>
        <v>9663.0715664775</v>
      </c>
      <c r="N687" s="15" t="n">
        <f aca="false">M687*(1+IF(N$3&lt;=$O$2,$D687,$D687-($D687-$I$670)*MIN(N$3-$O$2,$Q$2)/$Q$2))</f>
        <v>9984.85184964121</v>
      </c>
      <c r="O687" s="15" t="n">
        <f aca="false">SUMPRODUCT(E687:N687,1/(1+$F$670)^$E$3:$N$3)*$E$2</f>
        <v>9369.14757928744</v>
      </c>
      <c r="P687" s="15" t="n">
        <f aca="false">N687*$E$2*(1+$I$670)/($F$670-$I$670)/(1+$F$670)^$N$3</f>
        <v>12764.2195015822</v>
      </c>
      <c r="Q687" s="15" t="n">
        <f aca="false">O687+P687</f>
        <v>22133.3670808696</v>
      </c>
      <c r="R687" s="15" t="n">
        <f aca="false">Q687-$G$2+$I$2</f>
        <v>19017.1670808696</v>
      </c>
      <c r="S687" s="42" t="n">
        <f aca="false">R687/$K$2</f>
        <v>168.442578218508</v>
      </c>
      <c r="T687" s="43" t="n">
        <f aca="false">S687-$M$2</f>
        <v>-0.0250922863632468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0.0275955200195313</v>
      </c>
      <c r="C688" s="25" t="n">
        <f aca="false">IF(T687&gt;0,D687,C687)</f>
        <v>0.027618408203125</v>
      </c>
      <c r="D688" s="41" t="n">
        <f aca="false">(B688+C688)/2</f>
        <v>0.0276069641113281</v>
      </c>
      <c r="E688" s="15" t="n">
        <f aca="false">$C$2*(1+IF(E$3&lt;=$O$2,$D688,$D688-($D688-$I$670)*MIN(E$3-$O$2,$Q$2)/$Q$2))</f>
        <v>7686.50009155273</v>
      </c>
      <c r="F688" s="15" t="n">
        <f aca="false">E688*(1+IF(F$3&lt;=$O$2,$D688,$D688-($D688-$I$670)*MIN(F$3-$O$2,$Q$2)/$Q$2))</f>
        <v>7898.70102372195</v>
      </c>
      <c r="G688" s="15" t="n">
        <f aca="false">F688*(1+IF(G$3&lt;=$O$2,$D688,$D688-($D688-$I$670)*MIN(G$3-$O$2,$Q$2)/$Q$2))</f>
        <v>8116.76017940995</v>
      </c>
      <c r="H688" s="15" t="n">
        <f aca="false">G688*(1+IF(H$3&lt;=$O$2,$D688,$D688-($D688-$I$670)*MIN(H$3-$O$2,$Q$2)/$Q$2))</f>
        <v>8340.83928638318</v>
      </c>
      <c r="I688" s="15" t="n">
        <f aca="false">H688*(1+IF(I$3&lt;=$O$2,$D688,$D688-($D688-$I$670)*MIN(I$3-$O$2,$Q$2)/$Q$2))</f>
        <v>8571.10453722072</v>
      </c>
      <c r="J688" s="15" t="n">
        <f aca="false">I688*(1+IF(J$3&lt;=$O$2,$D688,$D688-($D688-$I$670)*MIN(J$3-$O$2,$Q$2)/$Q$2))</f>
        <v>8817.4858337214</v>
      </c>
      <c r="K688" s="15" t="n">
        <f aca="false">J688*(1+IF(K$3&lt;=$O$2,$D688,$D688-($D688-$I$670)*MIN(K$3-$O$2,$Q$2)/$Q$2))</f>
        <v>9080.98915400479</v>
      </c>
      <c r="L688" s="15" t="n">
        <f aca="false">K688*(1+IF(L$3&lt;=$O$2,$D688,$D688-($D688-$I$670)*MIN(L$3-$O$2,$Q$2)/$Q$2))</f>
        <v>9362.70673396979</v>
      </c>
      <c r="M688" s="15" t="n">
        <f aca="false">L688*(1+IF(M$3&lt;=$O$2,$D688,$D688-($D688-$I$670)*MIN(M$3-$O$2,$Q$2)/$Q$2))</f>
        <v>9663.82442312067</v>
      </c>
      <c r="N688" s="15" t="n">
        <f aca="false">M688*(1+IF(N$3&lt;=$O$2,$D688,$D688-($D688-$I$670)*MIN(N$3-$O$2,$Q$2)/$Q$2))</f>
        <v>9985.62977641059</v>
      </c>
      <c r="O688" s="15" t="n">
        <f aca="false">SUMPRODUCT(E688:N688,1/(1+$F$670)^$E$3:$N$3)*$E$2</f>
        <v>9369.61232832285</v>
      </c>
      <c r="P688" s="15" t="n">
        <f aca="false">N688*$E$2*(1+$I$670)/($F$670-$I$670)/(1+$F$670)^$N$3</f>
        <v>12765.2139708232</v>
      </c>
      <c r="Q688" s="15" t="n">
        <f aca="false">O688+P688</f>
        <v>22134.826299146</v>
      </c>
      <c r="R688" s="15" t="n">
        <f aca="false">Q688-$G$2+$I$2</f>
        <v>19018.626299146</v>
      </c>
      <c r="S688" s="42" t="n">
        <f aca="false">R688/$K$2</f>
        <v>168.455503092524</v>
      </c>
      <c r="T688" s="43" t="n">
        <f aca="false">S688-$M$2</f>
        <v>-0.0121674123471109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0.0276069641113281</v>
      </c>
      <c r="C689" s="25" t="n">
        <f aca="false">IF(T688&gt;0,D688,C688)</f>
        <v>0.027618408203125</v>
      </c>
      <c r="D689" s="41" t="n">
        <f aca="false">(B689+C689)/2</f>
        <v>0.0276126861572266</v>
      </c>
      <c r="E689" s="15" t="n">
        <f aca="false">$C$2*(1+IF(E$3&lt;=$O$2,$D689,$D689-($D689-$I$670)*MIN(E$3-$O$2,$Q$2)/$Q$2))</f>
        <v>7686.54289245606</v>
      </c>
      <c r="F689" s="15" t="n">
        <f aca="false">E689*(1+IF(F$3&lt;=$O$2,$D689,$D689-($D689-$I$670)*MIN(F$3-$O$2,$Q$2)/$Q$2))</f>
        <v>7898.7889889795</v>
      </c>
      <c r="G689" s="15" t="n">
        <f aca="false">F689*(1+IF(G$3&lt;=$O$2,$D689,$D689-($D689-$I$670)*MIN(G$3-$O$2,$Q$2)/$Q$2))</f>
        <v>8116.89577035435</v>
      </c>
      <c r="H689" s="15" t="n">
        <f aca="false">G689*(1+IF(H$3&lt;=$O$2,$D689,$D689-($D689-$I$670)*MIN(H$3-$O$2,$Q$2)/$Q$2))</f>
        <v>8341.02506583207</v>
      </c>
      <c r="I689" s="15" t="n">
        <f aca="false">H689*(1+IF(I$3&lt;=$O$2,$D689,$D689-($D689-$I$670)*MIN(I$3-$O$2,$Q$2)/$Q$2))</f>
        <v>8571.34317320445</v>
      </c>
      <c r="J689" s="15" t="n">
        <f aca="false">I689*(1+IF(J$3&lt;=$O$2,$D689,$D689-($D689-$I$670)*MIN(J$3-$O$2,$Q$2)/$Q$2))</f>
        <v>8817.77056592805</v>
      </c>
      <c r="K689" s="15" t="n">
        <f aca="false">J689*(1+IF(K$3&lt;=$O$2,$D689,$D689-($D689-$I$670)*MIN(K$3-$O$2,$Q$2)/$Q$2))</f>
        <v>9081.31266861225</v>
      </c>
      <c r="L689" s="15" t="n">
        <f aca="false">K689*(1+IF(L$3&lt;=$O$2,$D689,$D689-($D689-$I$670)*MIN(L$3-$O$2,$Q$2)/$Q$2))</f>
        <v>9363.06107037674</v>
      </c>
      <c r="M689" s="15" t="n">
        <f aca="false">L689*(1+IF(M$3&lt;=$O$2,$D689,$D689-($D689-$I$670)*MIN(M$3-$O$2,$Q$2)/$Q$2))</f>
        <v>9664.20087065303</v>
      </c>
      <c r="N689" s="15" t="n">
        <f aca="false">M689*(1+IF(N$3&lt;=$O$2,$D689,$D689-($D689-$I$670)*MIN(N$3-$O$2,$Q$2)/$Q$2))</f>
        <v>9986.01875964578</v>
      </c>
      <c r="O689" s="15" t="n">
        <f aca="false">SUMPRODUCT(E689:N689,1/(1+$F$670)^$E$3:$N$3)*$E$2</f>
        <v>9369.84471162852</v>
      </c>
      <c r="P689" s="15" t="n">
        <f aca="false">N689*$E$2*(1+$I$670)/($F$670-$I$670)/(1+$F$670)^$N$3</f>
        <v>12765.7112308197</v>
      </c>
      <c r="Q689" s="15" t="n">
        <f aca="false">O689+P689</f>
        <v>22135.5559424483</v>
      </c>
      <c r="R689" s="15" t="n">
        <f aca="false">Q689-$G$2+$I$2</f>
        <v>19019.3559424483</v>
      </c>
      <c r="S689" s="42" t="n">
        <f aca="false">R689/$K$2</f>
        <v>168.461965832137</v>
      </c>
      <c r="T689" s="43" t="n">
        <f aca="false">S689-$M$2</f>
        <v>-0.00570467273476538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0.0276126861572266</v>
      </c>
      <c r="C690" s="25" t="n">
        <f aca="false">IF(T689&gt;0,D689,C689)</f>
        <v>0.027618408203125</v>
      </c>
      <c r="D690" s="41" t="n">
        <f aca="false">(B690+C690)/2</f>
        <v>0.0276155471801758</v>
      </c>
      <c r="E690" s="15" t="n">
        <f aca="false">$C$2*(1+IF(E$3&lt;=$O$2,$D690,$D690-($D690-$I$670)*MIN(E$3-$O$2,$Q$2)/$Q$2))</f>
        <v>7686.56429290772</v>
      </c>
      <c r="F690" s="15" t="n">
        <f aca="false">E690*(1+IF(F$3&lt;=$O$2,$D690,$D690-($D690-$I$670)*MIN(F$3-$O$2,$Q$2)/$Q$2))</f>
        <v>7898.83297179196</v>
      </c>
      <c r="G690" s="15" t="n">
        <f aca="false">F690*(1+IF(G$3&lt;=$O$2,$D690,$D690-($D690-$I$670)*MIN(G$3-$O$2,$Q$2)/$Q$2))</f>
        <v>8116.96356639281</v>
      </c>
      <c r="H690" s="15" t="n">
        <f aca="false">G690*(1+IF(H$3&lt;=$O$2,$D690,$D690-($D690-$I$670)*MIN(H$3-$O$2,$Q$2)/$Q$2))</f>
        <v>8341.1179567203</v>
      </c>
      <c r="I690" s="15" t="n">
        <f aca="false">H690*(1+IF(I$3&lt;=$O$2,$D690,$D690-($D690-$I$670)*MIN(I$3-$O$2,$Q$2)/$Q$2))</f>
        <v>8571.46249318952</v>
      </c>
      <c r="J690" s="15" t="n">
        <f aca="false">I690*(1+IF(J$3&lt;=$O$2,$D690,$D690-($D690-$I$670)*MIN(J$3-$O$2,$Q$2)/$Q$2))</f>
        <v>8817.91293490119</v>
      </c>
      <c r="K690" s="15" t="n">
        <f aca="false">J690*(1+IF(K$3&lt;=$O$2,$D690,$D690-($D690-$I$670)*MIN(K$3-$O$2,$Q$2)/$Q$2))</f>
        <v>9081.47442960474</v>
      </c>
      <c r="L690" s="15" t="n">
        <f aca="false">K690*(1+IF(L$3&lt;=$O$2,$D690,$D690-($D690-$I$670)*MIN(L$3-$O$2,$Q$2)/$Q$2))</f>
        <v>9363.23824293877</v>
      </c>
      <c r="M690" s="15" t="n">
        <f aca="false">L690*(1+IF(M$3&lt;=$O$2,$D690,$D690-($D690-$I$670)*MIN(M$3-$O$2,$Q$2)/$Q$2))</f>
        <v>9664.38909922208</v>
      </c>
      <c r="N690" s="15" t="n">
        <f aca="false">M690*(1+IF(N$3&lt;=$O$2,$D690,$D690-($D690-$I$670)*MIN(N$3-$O$2,$Q$2)/$Q$2))</f>
        <v>9986.21325622617</v>
      </c>
      <c r="O690" s="15" t="n">
        <f aca="false">SUMPRODUCT(E690:N690,1/(1+$F$670)^$E$3:$N$3)*$E$2</f>
        <v>9369.96090547841</v>
      </c>
      <c r="P690" s="15" t="n">
        <f aca="false">N690*$E$2*(1+$I$670)/($F$670-$I$670)/(1+$F$670)^$N$3</f>
        <v>12765.9598671622</v>
      </c>
      <c r="Q690" s="15" t="n">
        <f aca="false">O690+P690</f>
        <v>22135.9207726407</v>
      </c>
      <c r="R690" s="15" t="n">
        <f aca="false">Q690-$G$2+$I$2</f>
        <v>19019.7207726407</v>
      </c>
      <c r="S690" s="42" t="n">
        <f aca="false">R690/$K$2</f>
        <v>168.465197277597</v>
      </c>
      <c r="T690" s="43" t="n">
        <f aca="false">S690-$M$2</f>
        <v>-0.00247322727503274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0.0276155471801758</v>
      </c>
      <c r="C691" s="25" t="n">
        <f aca="false">IF(T690&gt;0,D690,C690)</f>
        <v>0.027618408203125</v>
      </c>
      <c r="D691" s="41" t="n">
        <f aca="false">(B691+C691)/2</f>
        <v>0.0276169776916504</v>
      </c>
      <c r="E691" s="15" t="n">
        <f aca="false">$C$2*(1+IF(E$3&lt;=$O$2,$D691,$D691-($D691-$I$670)*MIN(E$3-$O$2,$Q$2)/$Q$2))</f>
        <v>7686.57499313355</v>
      </c>
      <c r="F691" s="15" t="n">
        <f aca="false">E691*(1+IF(F$3&lt;=$O$2,$D691,$D691-($D691-$I$670)*MIN(F$3-$O$2,$Q$2)/$Q$2))</f>
        <v>7898.85496324411</v>
      </c>
      <c r="G691" s="15" t="n">
        <f aca="false">F691*(1+IF(G$3&lt;=$O$2,$D691,$D691-($D691-$I$670)*MIN(G$3-$O$2,$Q$2)/$Q$2))</f>
        <v>8116.99746455361</v>
      </c>
      <c r="H691" s="15" t="n">
        <f aca="false">G691*(1+IF(H$3&lt;=$O$2,$D691,$D691-($D691-$I$670)*MIN(H$3-$O$2,$Q$2)/$Q$2))</f>
        <v>8341.16440245537</v>
      </c>
      <c r="I691" s="15" t="n">
        <f aca="false">H691*(1+IF(I$3&lt;=$O$2,$D691,$D691-($D691-$I$670)*MIN(I$3-$O$2,$Q$2)/$Q$2))</f>
        <v>8571.52215368036</v>
      </c>
      <c r="J691" s="15" t="n">
        <f aca="false">I691*(1+IF(J$3&lt;=$O$2,$D691,$D691-($D691-$I$670)*MIN(J$3-$O$2,$Q$2)/$Q$2))</f>
        <v>8817.98412010522</v>
      </c>
      <c r="K691" s="15" t="n">
        <f aca="false">J691*(1+IF(K$3&lt;=$O$2,$D691,$D691-($D691-$I$670)*MIN(K$3-$O$2,$Q$2)/$Q$2))</f>
        <v>9081.55531102318</v>
      </c>
      <c r="L691" s="15" t="n">
        <f aca="false">K691*(1+IF(L$3&lt;=$O$2,$D691,$D691-($D691-$I$670)*MIN(L$3-$O$2,$Q$2)/$Q$2))</f>
        <v>9363.32683030943</v>
      </c>
      <c r="M691" s="15" t="n">
        <f aca="false">L691*(1+IF(M$3&lt;=$O$2,$D691,$D691-($D691-$I$670)*MIN(M$3-$O$2,$Q$2)/$Q$2))</f>
        <v>9664.48321470733</v>
      </c>
      <c r="N691" s="15" t="n">
        <f aca="false">M691*(1+IF(N$3&lt;=$O$2,$D691,$D691-($D691-$I$670)*MIN(N$3-$O$2,$Q$2)/$Q$2))</f>
        <v>9986.31050575709</v>
      </c>
      <c r="O691" s="15" t="n">
        <f aca="false">SUMPRODUCT(E691:N691,1/(1+$F$670)^$E$3:$N$3)*$E$2</f>
        <v>9370.01900295263</v>
      </c>
      <c r="P691" s="15" t="n">
        <f aca="false">N691*$E$2*(1+$I$670)/($F$670-$I$670)/(1+$F$670)^$N$3</f>
        <v>12766.0841869196</v>
      </c>
      <c r="Q691" s="15" t="n">
        <f aca="false">O691+P691</f>
        <v>22136.1031898722</v>
      </c>
      <c r="R691" s="15" t="n">
        <f aca="false">Q691-$G$2+$I$2</f>
        <v>19019.9031898722</v>
      </c>
      <c r="S691" s="42" t="n">
        <f aca="false">R691/$K$2</f>
        <v>168.46681301924</v>
      </c>
      <c r="T691" s="43" t="n">
        <f aca="false">S691-$M$2</f>
        <v>-0.000857485631456711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0.0276169776916504</v>
      </c>
      <c r="C692" s="25" t="n">
        <f aca="false">IF(T691&gt;0,D691,C691)</f>
        <v>0.027618408203125</v>
      </c>
      <c r="D692" s="41" t="n">
        <f aca="false">(B692+C692)/2</f>
        <v>0.0276176929473877</v>
      </c>
      <c r="E692" s="15" t="n">
        <f aca="false">$C$2*(1+IF(E$3&lt;=$O$2,$D692,$D692-($D692-$I$670)*MIN(E$3-$O$2,$Q$2)/$Q$2))</f>
        <v>7686.58034324646</v>
      </c>
      <c r="F692" s="15" t="n">
        <f aca="false">E692*(1+IF(F$3&lt;=$O$2,$D692,$D692-($D692-$I$670)*MIN(F$3-$O$2,$Q$2)/$Q$2))</f>
        <v>7898.86595898167</v>
      </c>
      <c r="G692" s="15" t="n">
        <f aca="false">F692*(1+IF(G$3&lt;=$O$2,$D692,$D692-($D692-$I$670)*MIN(G$3-$O$2,$Q$2)/$Q$2))</f>
        <v>8117.0144136694</v>
      </c>
      <c r="H692" s="15" t="n">
        <f aca="false">G692*(1+IF(H$3&lt;=$O$2,$D692,$D692-($D692-$I$670)*MIN(H$3-$O$2,$Q$2)/$Q$2))</f>
        <v>8341.18762539564</v>
      </c>
      <c r="I692" s="15" t="n">
        <f aca="false">H692*(1+IF(I$3&lt;=$O$2,$D692,$D692-($D692-$I$670)*MIN(I$3-$O$2,$Q$2)/$Q$2))</f>
        <v>8571.55198405036</v>
      </c>
      <c r="J692" s="15" t="n">
        <f aca="false">I692*(1+IF(J$3&lt;=$O$2,$D692,$D692-($D692-$I$670)*MIN(J$3-$O$2,$Q$2)/$Q$2))</f>
        <v>8818.0197128866</v>
      </c>
      <c r="K692" s="15" t="n">
        <f aca="false">J692*(1+IF(K$3&lt;=$O$2,$D692,$D692-($D692-$I$670)*MIN(K$3-$O$2,$Q$2)/$Q$2))</f>
        <v>9081.59575196296</v>
      </c>
      <c r="L692" s="15" t="n">
        <f aca="false">K692*(1+IF(L$3&lt;=$O$2,$D692,$D692-($D692-$I$670)*MIN(L$3-$O$2,$Q$2)/$Q$2))</f>
        <v>9363.37112426718</v>
      </c>
      <c r="M692" s="15" t="n">
        <f aca="false">L692*(1+IF(M$3&lt;=$O$2,$D692,$D692-($D692-$I$670)*MIN(M$3-$O$2,$Q$2)/$Q$2))</f>
        <v>9664.53027275015</v>
      </c>
      <c r="N692" s="15" t="n">
        <f aca="false">M692*(1+IF(N$3&lt;=$O$2,$D692,$D692-($D692-$I$670)*MIN(N$3-$O$2,$Q$2)/$Q$2))</f>
        <v>9986.35913083273</v>
      </c>
      <c r="O692" s="15" t="n">
        <f aca="false">SUMPRODUCT(E692:N692,1/(1+$F$670)^$E$3:$N$3)*$E$2</f>
        <v>9370.04805182706</v>
      </c>
      <c r="P692" s="15" t="n">
        <f aca="false">N692*$E$2*(1+$I$670)/($F$670-$I$670)/(1+$F$670)^$N$3</f>
        <v>12766.1463471948</v>
      </c>
      <c r="Q692" s="15" t="n">
        <f aca="false">O692+P692</f>
        <v>22136.1943990218</v>
      </c>
      <c r="R692" s="15" t="n">
        <f aca="false">Q692-$G$2+$I$2</f>
        <v>19019.9943990218</v>
      </c>
      <c r="S692" s="42" t="n">
        <f aca="false">R692/$K$2</f>
        <v>168.46762089479</v>
      </c>
      <c r="T692" s="43" t="n">
        <f aca="false">S692-$M$2</f>
        <v>-4.96100811631095E-005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0.0276176929473877</v>
      </c>
      <c r="C693" s="25" t="n">
        <f aca="false">IF(T692&gt;0,D692,C692)</f>
        <v>0.027618408203125</v>
      </c>
      <c r="D693" s="41" t="n">
        <f aca="false">(B693+C693)/2</f>
        <v>0.0276180505752563</v>
      </c>
      <c r="E693" s="15" t="n">
        <f aca="false">$C$2*(1+IF(E$3&lt;=$O$2,$D693,$D693-($D693-$I$670)*MIN(E$3-$O$2,$Q$2)/$Q$2))</f>
        <v>7686.58301830292</v>
      </c>
      <c r="F693" s="15" t="n">
        <f aca="false">E693*(1+IF(F$3&lt;=$O$2,$D693,$D693-($D693-$I$670)*MIN(F$3-$O$2,$Q$2)/$Q$2))</f>
        <v>7898.87145685331</v>
      </c>
      <c r="G693" s="15" t="n">
        <f aca="false">F693*(1+IF(G$3&lt;=$O$2,$D693,$D693-($D693-$I$670)*MIN(G$3-$O$2,$Q$2)/$Q$2))</f>
        <v>8117.02288823614</v>
      </c>
      <c r="H693" s="15" t="n">
        <f aca="false">G693*(1+IF(H$3&lt;=$O$2,$D693,$D693-($D693-$I$670)*MIN(H$3-$O$2,$Q$2)/$Q$2))</f>
        <v>8341.19923688396</v>
      </c>
      <c r="I693" s="15" t="n">
        <f aca="false">H693*(1+IF(I$3&lt;=$O$2,$D693,$D693-($D693-$I$670)*MIN(I$3-$O$2,$Q$2)/$Q$2))</f>
        <v>8571.56689926651</v>
      </c>
      <c r="J693" s="15" t="n">
        <f aca="false">I693*(1+IF(J$3&lt;=$O$2,$D693,$D693-($D693-$I$670)*MIN(J$3-$O$2,$Q$2)/$Q$2))</f>
        <v>8818.03750932213</v>
      </c>
      <c r="K693" s="15" t="n">
        <f aca="false">J693*(1+IF(K$3&lt;=$O$2,$D693,$D693-($D693-$I$670)*MIN(K$3-$O$2,$Q$2)/$Q$2))</f>
        <v>9081.61597249048</v>
      </c>
      <c r="L693" s="15" t="n">
        <f aca="false">K693*(1+IF(L$3&lt;=$O$2,$D693,$D693-($D693-$I$670)*MIN(L$3-$O$2,$Q$2)/$Q$2))</f>
        <v>9363.39327131416</v>
      </c>
      <c r="M693" s="15" t="n">
        <f aca="false">L693*(1+IF(M$3&lt;=$O$2,$D693,$D693-($D693-$I$670)*MIN(M$3-$O$2,$Q$2)/$Q$2))</f>
        <v>9664.5538018466</v>
      </c>
      <c r="N693" s="15" t="n">
        <f aca="false">M693*(1+IF(N$3&lt;=$O$2,$D693,$D693-($D693-$I$670)*MIN(N$3-$O$2,$Q$2)/$Q$2))</f>
        <v>9986.38344344809</v>
      </c>
      <c r="O693" s="15" t="n">
        <f aca="false">SUMPRODUCT(E693:N693,1/(1+$F$670)^$E$3:$N$3)*$E$2</f>
        <v>9370.0625762986</v>
      </c>
      <c r="P693" s="15" t="n">
        <f aca="false">N693*$E$2*(1+$I$670)/($F$670-$I$670)/(1+$F$670)^$N$3</f>
        <v>12766.1774274315</v>
      </c>
      <c r="Q693" s="15" t="n">
        <f aca="false">O693+P693</f>
        <v>22136.2400037301</v>
      </c>
      <c r="R693" s="15" t="n">
        <f aca="false">Q693-$G$2+$I$2</f>
        <v>19020.0400037301</v>
      </c>
      <c r="S693" s="42" t="n">
        <f aca="false">R693/$K$2</f>
        <v>168.468024833748</v>
      </c>
      <c r="T693" s="43" t="n">
        <f aca="false">S693-$M$2</f>
        <v>0.000354328875999954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0.0276176929473877</v>
      </c>
      <c r="C694" s="25" t="n">
        <f aca="false">IF(T693&gt;0,D693,C693)</f>
        <v>0.0276180505752563</v>
      </c>
      <c r="D694" s="41" t="n">
        <f aca="false">(B694+C694)/2</f>
        <v>0.027617871761322</v>
      </c>
      <c r="E694" s="15" t="n">
        <f aca="false">$C$2*(1+IF(E$3&lt;=$O$2,$D694,$D694-($D694-$I$670)*MIN(E$3-$O$2,$Q$2)/$Q$2))</f>
        <v>7686.58168077469</v>
      </c>
      <c r="F694" s="15" t="n">
        <f aca="false">E694*(1+IF(F$3&lt;=$O$2,$D694,$D694-($D694-$I$670)*MIN(F$3-$O$2,$Q$2)/$Q$2))</f>
        <v>7898.86870791725</v>
      </c>
      <c r="G694" s="15" t="n">
        <f aca="false">F694*(1+IF(G$3&lt;=$O$2,$D694,$D694-($D694-$I$670)*MIN(G$3-$O$2,$Q$2)/$Q$2))</f>
        <v>8117.01865095203</v>
      </c>
      <c r="H694" s="15" t="n">
        <f aca="false">G694*(1+IF(H$3&lt;=$O$2,$D694,$D694-($D694-$I$670)*MIN(H$3-$O$2,$Q$2)/$Q$2))</f>
        <v>8341.19343113828</v>
      </c>
      <c r="I694" s="15" t="n">
        <f aca="false">H694*(1+IF(I$3&lt;=$O$2,$D694,$D694-($D694-$I$670)*MIN(I$3-$O$2,$Q$2)/$Q$2))</f>
        <v>8571.55944165584</v>
      </c>
      <c r="J694" s="15" t="n">
        <f aca="false">I694*(1+IF(J$3&lt;=$O$2,$D694,$D694-($D694-$I$670)*MIN(J$3-$O$2,$Q$2)/$Q$2))</f>
        <v>8818.02861110063</v>
      </c>
      <c r="K694" s="15" t="n">
        <f aca="false">J694*(1+IF(K$3&lt;=$O$2,$D694,$D694-($D694-$I$670)*MIN(K$3-$O$2,$Q$2)/$Q$2))</f>
        <v>9081.60586222192</v>
      </c>
      <c r="L694" s="15" t="n">
        <f aca="false">K694*(1+IF(L$3&lt;=$O$2,$D694,$D694-($D694-$I$670)*MIN(L$3-$O$2,$Q$2)/$Q$2))</f>
        <v>9363.382197785</v>
      </c>
      <c r="M694" s="15" t="n">
        <f aca="false">L694*(1+IF(M$3&lt;=$O$2,$D694,$D694-($D694-$I$670)*MIN(M$3-$O$2,$Q$2)/$Q$2))</f>
        <v>9664.54203729212</v>
      </c>
      <c r="N694" s="15" t="n">
        <f aca="false">M694*(1+IF(N$3&lt;=$O$2,$D694,$D694-($D694-$I$670)*MIN(N$3-$O$2,$Q$2)/$Q$2))</f>
        <v>9986.37128713395</v>
      </c>
      <c r="O694" s="15" t="n">
        <f aca="false">SUMPRODUCT(E694:N694,1/(1+$F$670)^$E$3:$N$3)*$E$2</f>
        <v>9370.05531405997</v>
      </c>
      <c r="P694" s="15" t="n">
        <f aca="false">N694*$E$2*(1+$I$670)/($F$670-$I$670)/(1+$F$670)^$N$3</f>
        <v>12766.1618873049</v>
      </c>
      <c r="Q694" s="15" t="n">
        <f aca="false">O694+P694</f>
        <v>22136.2172013649</v>
      </c>
      <c r="R694" s="15" t="n">
        <f aca="false">Q694-$G$2+$I$2</f>
        <v>19020.0172013648</v>
      </c>
      <c r="S694" s="42" t="n">
        <f aca="false">R694/$K$2</f>
        <v>168.46782286417</v>
      </c>
      <c r="T694" s="43" t="n">
        <f aca="false">S694-$M$2</f>
        <v>0.000152359298880356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0.0276176929473877</v>
      </c>
      <c r="C695" s="25" t="n">
        <f aca="false">IF(T694&gt;0,D694,C694)</f>
        <v>0.027617871761322</v>
      </c>
      <c r="D695" s="41" t="n">
        <f aca="false">(B695+C695)/2</f>
        <v>0.0276177823543549</v>
      </c>
      <c r="E695" s="15" t="n">
        <f aca="false">$C$2*(1+IF(E$3&lt;=$O$2,$D695,$D695-($D695-$I$670)*MIN(E$3-$O$2,$Q$2)/$Q$2))</f>
        <v>7686.58101201057</v>
      </c>
      <c r="F695" s="15" t="n">
        <f aca="false">E695*(1+IF(F$3&lt;=$O$2,$D695,$D695-($D695-$I$670)*MIN(F$3-$O$2,$Q$2)/$Q$2))</f>
        <v>7898.8673334494</v>
      </c>
      <c r="G695" s="15" t="n">
        <f aca="false">F695*(1+IF(G$3&lt;=$O$2,$D695,$D695-($D695-$I$670)*MIN(G$3-$O$2,$Q$2)/$Q$2))</f>
        <v>8117.01653231053</v>
      </c>
      <c r="H695" s="15" t="n">
        <f aca="false">G695*(1+IF(H$3&lt;=$O$2,$D695,$D695-($D695-$I$670)*MIN(H$3-$O$2,$Q$2)/$Q$2))</f>
        <v>8341.19052826658</v>
      </c>
      <c r="I695" s="15" t="n">
        <f aca="false">H695*(1+IF(I$3&lt;=$O$2,$D695,$D695-($D695-$I$670)*MIN(I$3-$O$2,$Q$2)/$Q$2))</f>
        <v>8571.55571285245</v>
      </c>
      <c r="J695" s="15" t="n">
        <f aca="false">I695*(1+IF(J$3&lt;=$O$2,$D695,$D695-($D695-$I$670)*MIN(J$3-$O$2,$Q$2)/$Q$2))</f>
        <v>8818.02416199268</v>
      </c>
      <c r="K695" s="15" t="n">
        <f aca="false">J695*(1+IF(K$3&lt;=$O$2,$D695,$D695-($D695-$I$670)*MIN(K$3-$O$2,$Q$2)/$Q$2))</f>
        <v>9081.60080709123</v>
      </c>
      <c r="L695" s="15" t="n">
        <f aca="false">K695*(1+IF(L$3&lt;=$O$2,$D695,$D695-($D695-$I$670)*MIN(L$3-$O$2,$Q$2)/$Q$2))</f>
        <v>9363.37666102467</v>
      </c>
      <c r="M695" s="15" t="n">
        <f aca="false">L695*(1+IF(M$3&lt;=$O$2,$D695,$D695-($D695-$I$670)*MIN(M$3-$O$2,$Q$2)/$Q$2))</f>
        <v>9664.53615501957</v>
      </c>
      <c r="N695" s="15" t="n">
        <f aca="false">M695*(1+IF(N$3&lt;=$O$2,$D695,$D695-($D695-$I$670)*MIN(N$3-$O$2,$Q$2)/$Q$2))</f>
        <v>9986.36520898172</v>
      </c>
      <c r="O695" s="15" t="n">
        <f aca="false">SUMPRODUCT(E695:N695,1/(1+$F$670)^$E$3:$N$3)*$E$2</f>
        <v>9370.0516829428</v>
      </c>
      <c r="P695" s="15" t="n">
        <f aca="false">N695*$E$2*(1+$I$670)/($F$670-$I$670)/(1+$F$670)^$N$3</f>
        <v>12766.1541172478</v>
      </c>
      <c r="Q695" s="15" t="n">
        <f aca="false">O695+P695</f>
        <v>22136.2058001906</v>
      </c>
      <c r="R695" s="15" t="n">
        <f aca="false">Q695-$G$2+$I$2</f>
        <v>19020.0058001906</v>
      </c>
      <c r="S695" s="42" t="n">
        <f aca="false">R695/$K$2</f>
        <v>168.467721879456</v>
      </c>
      <c r="T695" s="43" t="n">
        <f aca="false">S695-$M$2</f>
        <v>5.13745841601576E-005</v>
      </c>
    </row>
    <row r="697" customFormat="false" ht="15" hidden="false" customHeight="false" outlineLevel="0" collapsed="false">
      <c r="A697" s="38" t="s">
        <v>209</v>
      </c>
      <c r="E697" s="5" t="s">
        <v>11</v>
      </c>
      <c r="F697" s="12" t="n">
        <f aca="false">Sensitivity!$B$14</f>
        <v>0.0911268672746673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165</v>
      </c>
      <c r="B698" s="28" t="s">
        <v>166</v>
      </c>
      <c r="C698" s="28" t="s">
        <v>167</v>
      </c>
      <c r="D698" s="28" t="s">
        <v>168</v>
      </c>
      <c r="E698" s="28" t="s">
        <v>169</v>
      </c>
      <c r="F698" s="28" t="s">
        <v>170</v>
      </c>
      <c r="G698" s="28" t="s">
        <v>171</v>
      </c>
      <c r="H698" s="28" t="s">
        <v>172</v>
      </c>
      <c r="I698" s="28" t="s">
        <v>173</v>
      </c>
      <c r="J698" s="28" t="s">
        <v>174</v>
      </c>
      <c r="K698" s="28" t="s">
        <v>175</v>
      </c>
      <c r="L698" s="28" t="s">
        <v>176</v>
      </c>
      <c r="M698" s="28" t="s">
        <v>177</v>
      </c>
      <c r="N698" s="28" t="s">
        <v>178</v>
      </c>
      <c r="O698" s="28" t="s">
        <v>179</v>
      </c>
      <c r="P698" s="28" t="s">
        <v>180</v>
      </c>
      <c r="Q698" s="28" t="s">
        <v>181</v>
      </c>
      <c r="R698" s="28" t="s">
        <v>182</v>
      </c>
      <c r="S698" s="28" t="s">
        <v>183</v>
      </c>
      <c r="T698" s="28" t="s">
        <v>184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9350</v>
      </c>
      <c r="F699" s="15" t="n">
        <f aca="false">E699*(1+IF(F$3&lt;=$O$2,$D699,$D699-($D699-$I$697)*MIN(F$3-$O$2,$Q$2)/$Q$2))</f>
        <v>11687.5</v>
      </c>
      <c r="G699" s="15" t="n">
        <f aca="false">F699*(1+IF(G$3&lt;=$O$2,$D699,$D699-($D699-$I$697)*MIN(G$3-$O$2,$Q$2)/$Q$2))</f>
        <v>14609.375</v>
      </c>
      <c r="H699" s="15" t="n">
        <f aca="false">G699*(1+IF(H$3&lt;=$O$2,$D699,$D699-($D699-$I$697)*MIN(H$3-$O$2,$Q$2)/$Q$2))</f>
        <v>18261.71875</v>
      </c>
      <c r="I699" s="15" t="n">
        <f aca="false">H699*(1+IF(I$3&lt;=$O$2,$D699,$D699-($D699-$I$697)*MIN(I$3-$O$2,$Q$2)/$Q$2))</f>
        <v>22827.1484375</v>
      </c>
      <c r="J699" s="15" t="n">
        <f aca="false">I699*(1+IF(J$3&lt;=$O$2,$D699,$D699-($D699-$I$697)*MIN(J$3-$O$2,$Q$2)/$Q$2))</f>
        <v>27567.4340820313</v>
      </c>
      <c r="K699" s="15" t="n">
        <f aca="false">J699*(1+IF(K$3&lt;=$O$2,$D699,$D699-($D699-$I$697)*MIN(K$3-$O$2,$Q$2)/$Q$2))</f>
        <v>32124.8822844727</v>
      </c>
      <c r="L699" s="15" t="n">
        <f aca="false">K699*(1+IF(L$3&lt;=$O$2,$D699,$D699-($D699-$I$697)*MIN(L$3-$O$2,$Q$2)/$Q$2))</f>
        <v>36075.6003078171</v>
      </c>
      <c r="M699" s="15" t="n">
        <f aca="false">L699*(1+IF(M$3&lt;=$O$2,$D699,$D699-($D699-$I$697)*MIN(M$3-$O$2,$Q$2)/$Q$2))</f>
        <v>38984.7367166395</v>
      </c>
      <c r="N699" s="15" t="n">
        <f aca="false">M699*(1+IF(N$3&lt;=$O$2,$D699,$D699-($D699-$I$697)*MIN(N$3-$O$2,$Q$2)/$Q$2))</f>
        <v>40477.8521328868</v>
      </c>
      <c r="O699" s="15" t="n">
        <f aca="false">SUMPRODUCT(E699:N699,1/(1+$F$697)^$E$3:$N$3)*$E$2</f>
        <v>24593.8501801171</v>
      </c>
      <c r="P699" s="15" t="n">
        <f aca="false">N699*$E$2*(1+$I$697)/($F$697-$I$697)/(1+$F$697)^$N$3</f>
        <v>56916.9121987143</v>
      </c>
      <c r="Q699" s="15" t="n">
        <f aca="false">O699+P699</f>
        <v>81510.7623788315</v>
      </c>
      <c r="R699" s="15" t="n">
        <f aca="false">Q699-$G$2+$I$2</f>
        <v>78394.5623788315</v>
      </c>
      <c r="S699" s="42" t="n">
        <f aca="false">R699/$K$2</f>
        <v>694.37167740329</v>
      </c>
      <c r="T699" s="43" t="n">
        <f aca="false">S699-$M$2</f>
        <v>525.904006898419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6545</v>
      </c>
      <c r="F700" s="15" t="n">
        <f aca="false">E700*(1+IF(F$3&lt;=$O$2,$D700,$D700-($D700-$I$697)*MIN(F$3-$O$2,$Q$2)/$Q$2))</f>
        <v>5726.875</v>
      </c>
      <c r="G700" s="15" t="n">
        <f aca="false">F700*(1+IF(G$3&lt;=$O$2,$D700,$D700-($D700-$I$697)*MIN(G$3-$O$2,$Q$2)/$Q$2))</f>
        <v>5011.015625</v>
      </c>
      <c r="H700" s="15" t="n">
        <f aca="false">G700*(1+IF(H$3&lt;=$O$2,$D700,$D700-($D700-$I$697)*MIN(H$3-$O$2,$Q$2)/$Q$2))</f>
        <v>4384.638671875</v>
      </c>
      <c r="I700" s="15" t="n">
        <f aca="false">H700*(1+IF(I$3&lt;=$O$2,$D700,$D700-($D700-$I$697)*MIN(I$3-$O$2,$Q$2)/$Q$2))</f>
        <v>3836.55883789063</v>
      </c>
      <c r="J700" s="15" t="n">
        <f aca="false">I700*(1+IF(J$3&lt;=$O$2,$D700,$D700-($D700-$I$697)*MIN(J$3-$O$2,$Q$2)/$Q$2))</f>
        <v>3482.2909947998</v>
      </c>
      <c r="K700" s="15" t="n">
        <f aca="false">J700*(1+IF(K$3&lt;=$O$2,$D700,$D700-($D700-$I$697)*MIN(K$3-$O$2,$Q$2)/$Q$2))</f>
        <v>3274.46786823015</v>
      </c>
      <c r="L700" s="15" t="n">
        <f aca="false">K700*(1+IF(L$3&lt;=$O$2,$D700,$D700-($D700-$I$697)*MIN(L$3-$O$2,$Q$2)/$Q$2))</f>
        <v>3185.99174643057</v>
      </c>
      <c r="M700" s="15" t="n">
        <f aca="false">L700*(1+IF(M$3&lt;=$O$2,$D700,$D700-($D700-$I$697)*MIN(M$3-$O$2,$Q$2)/$Q$2))</f>
        <v>3203.96073988044</v>
      </c>
      <c r="N700" s="15" t="n">
        <f aca="false">M700*(1+IF(N$3&lt;=$O$2,$D700,$D700-($D700-$I$697)*MIN(N$3-$O$2,$Q$2)/$Q$2))</f>
        <v>3326.67243621786</v>
      </c>
      <c r="O700" s="15" t="n">
        <f aca="false">SUMPRODUCT(E700:N700,1/(1+$F$697)^$E$3:$N$3)*$E$2</f>
        <v>4880.44134101311</v>
      </c>
      <c r="P700" s="15" t="n">
        <f aca="false">N700*$E$2*(1+$I$697)/($F$697-$I$697)/(1+$F$697)^$N$3</f>
        <v>4677.71665217039</v>
      </c>
      <c r="Q700" s="15" t="n">
        <f aca="false">O700+P700</f>
        <v>9558.1579931835</v>
      </c>
      <c r="R700" s="15" t="n">
        <f aca="false">Q700-$G$2+$I$2</f>
        <v>6441.9579931835</v>
      </c>
      <c r="S700" s="42" t="n">
        <f aca="false">R700/$K$2</f>
        <v>57.0589724816962</v>
      </c>
      <c r="T700" s="43" t="n">
        <f aca="false">S700-$M$2</f>
        <v>-111.408698023175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7947.5</v>
      </c>
      <c r="F701" s="15" t="n">
        <f aca="false">E701*(1+IF(F$3&lt;=$O$2,$D701,$D701-($D701-$I$697)*MIN(F$3-$O$2,$Q$2)/$Q$2))</f>
        <v>8444.21875</v>
      </c>
      <c r="G701" s="15" t="n">
        <f aca="false">F701*(1+IF(G$3&lt;=$O$2,$D701,$D701-($D701-$I$697)*MIN(G$3-$O$2,$Q$2)/$Q$2))</f>
        <v>8971.982421875</v>
      </c>
      <c r="H701" s="15" t="n">
        <f aca="false">G701*(1+IF(H$3&lt;=$O$2,$D701,$D701-($D701-$I$697)*MIN(H$3-$O$2,$Q$2)/$Q$2))</f>
        <v>9532.73132324219</v>
      </c>
      <c r="I701" s="15" t="n">
        <f aca="false">H701*(1+IF(I$3&lt;=$O$2,$D701,$D701-($D701-$I$697)*MIN(I$3-$O$2,$Q$2)/$Q$2))</f>
        <v>10128.5270309448</v>
      </c>
      <c r="J701" s="15" t="n">
        <f aca="false">I701*(1+IF(J$3&lt;=$O$2,$D701,$D701-($D701-$I$697)*MIN(J$3-$O$2,$Q$2)/$Q$2))</f>
        <v>10712.5378995491</v>
      </c>
      <c r="K701" s="15" t="n">
        <f aca="false">J701*(1+IF(K$3&lt;=$O$2,$D701,$D701-($D701-$I$697)*MIN(K$3-$O$2,$Q$2)/$Q$2))</f>
        <v>11278.3741514033</v>
      </c>
      <c r="L701" s="15" t="n">
        <f aca="false">K701*(1+IF(L$3&lt;=$O$2,$D701,$D701-($D701-$I$697)*MIN(L$3-$O$2,$Q$2)/$Q$2))</f>
        <v>11819.5105431876</v>
      </c>
      <c r="M701" s="15" t="n">
        <f aca="false">L701*(1+IF(M$3&lt;=$O$2,$D701,$D701-($D701-$I$697)*MIN(M$3-$O$2,$Q$2)/$Q$2))</f>
        <v>12329.4042280207</v>
      </c>
      <c r="N701" s="15" t="n">
        <f aca="false">M701*(1+IF(N$3&lt;=$O$2,$D701,$D701-($D701-$I$697)*MIN(N$3-$O$2,$Q$2)/$Q$2))</f>
        <v>12801.6204099539</v>
      </c>
      <c r="O701" s="15" t="n">
        <f aca="false">SUMPRODUCT(E701:N701,1/(1+$F$697)^$E$3:$N$3)*$E$2</f>
        <v>10933.000816331</v>
      </c>
      <c r="P701" s="15" t="n">
        <f aca="false">N701*$E$2*(1+$I$697)/($F$697-$I$697)/(1+$F$697)^$N$3</f>
        <v>18000.6760853458</v>
      </c>
      <c r="Q701" s="15" t="n">
        <f aca="false">O701+P701</f>
        <v>28933.6769016768</v>
      </c>
      <c r="R701" s="15" t="n">
        <f aca="false">Q701-$G$2+$I$2</f>
        <v>25817.4769016768</v>
      </c>
      <c r="S701" s="42" t="n">
        <f aca="false">R701/$K$2</f>
        <v>228.675614718129</v>
      </c>
      <c r="T701" s="43" t="n">
        <f aca="false">S701-$M$2</f>
        <v>60.2079442132578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41" t="n">
        <f aca="false">(B702+C702)/2</f>
        <v>-0.03125</v>
      </c>
      <c r="E702" s="15" t="n">
        <f aca="false">$C$2*(1+IF(E$3&lt;=$O$2,$D702,$D702-($D702-$I$697)*MIN(E$3-$O$2,$Q$2)/$Q$2))</f>
        <v>7246.25</v>
      </c>
      <c r="F702" s="15" t="n">
        <f aca="false">E702*(1+IF(F$3&lt;=$O$2,$D702,$D702-($D702-$I$697)*MIN(F$3-$O$2,$Q$2)/$Q$2))</f>
        <v>7019.8046875</v>
      </c>
      <c r="G702" s="15" t="n">
        <f aca="false">F702*(1+IF(G$3&lt;=$O$2,$D702,$D702-($D702-$I$697)*MIN(G$3-$O$2,$Q$2)/$Q$2))</f>
        <v>6800.43579101563</v>
      </c>
      <c r="H702" s="15" t="n">
        <f aca="false">G702*(1+IF(H$3&lt;=$O$2,$D702,$D702-($D702-$I$697)*MIN(H$3-$O$2,$Q$2)/$Q$2))</f>
        <v>6587.92217254639</v>
      </c>
      <c r="I702" s="15" t="n">
        <f aca="false">H702*(1+IF(I$3&lt;=$O$2,$D702,$D702-($D702-$I$697)*MIN(I$3-$O$2,$Q$2)/$Q$2))</f>
        <v>6382.04960465431</v>
      </c>
      <c r="J702" s="15" t="n">
        <f aca="false">I702*(1+IF(J$3&lt;=$O$2,$D702,$D702-($D702-$I$697)*MIN(J$3-$O$2,$Q$2)/$Q$2))</f>
        <v>6271.38486450961</v>
      </c>
      <c r="K702" s="15" t="n">
        <f aca="false">J702*(1+IF(K$3&lt;=$O$2,$D702,$D702-($D702-$I$697)*MIN(K$3-$O$2,$Q$2)/$Q$2))</f>
        <v>6249.87401442434</v>
      </c>
      <c r="L702" s="15" t="n">
        <f aca="false">K702*(1+IF(L$3&lt;=$O$2,$D702,$D702-($D702-$I$697)*MIN(L$3-$O$2,$Q$2)/$Q$2))</f>
        <v>6315.37269409551</v>
      </c>
      <c r="M702" s="15" t="n">
        <f aca="false">L702*(1+IF(M$3&lt;=$O$2,$D702,$D702-($D702-$I$697)*MIN(M$3-$O$2,$Q$2)/$Q$2))</f>
        <v>6469.40463410449</v>
      </c>
      <c r="N702" s="15" t="n">
        <f aca="false">M702*(1+IF(N$3&lt;=$O$2,$D702,$D702-($D702-$I$697)*MIN(N$3-$O$2,$Q$2)/$Q$2))</f>
        <v>6717.1828315907</v>
      </c>
      <c r="O702" s="15" t="n">
        <f aca="false">SUMPRODUCT(E702:N702,1/(1+$F$697)^$E$3:$N$3)*$E$2</f>
        <v>7282.97131869614</v>
      </c>
      <c r="P702" s="15" t="n">
        <f aca="false">N702*$E$2*(1+$I$697)/($F$697-$I$697)/(1+$F$697)^$N$3</f>
        <v>9445.19744262164</v>
      </c>
      <c r="Q702" s="15" t="n">
        <f aca="false">O702+P702</f>
        <v>16728.1687613178</v>
      </c>
      <c r="R702" s="15" t="n">
        <f aca="false">Q702-$G$2+$I$2</f>
        <v>13611.9687613178</v>
      </c>
      <c r="S702" s="42" t="n">
        <f aca="false">R702/$K$2</f>
        <v>120.566596645862</v>
      </c>
      <c r="T702" s="43" t="n">
        <f aca="false">S702-$M$2</f>
        <v>-47.90107385901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41" t="n">
        <f aca="false">(B703+C703)/2</f>
        <v>0.015625</v>
      </c>
      <c r="E703" s="15" t="n">
        <f aca="false">$C$2*(1+IF(E$3&lt;=$O$2,$D703,$D703-($D703-$I$697)*MIN(E$3-$O$2,$Q$2)/$Q$2))</f>
        <v>7596.875</v>
      </c>
      <c r="F703" s="15" t="n">
        <f aca="false">E703*(1+IF(F$3&lt;=$O$2,$D703,$D703-($D703-$I$697)*MIN(F$3-$O$2,$Q$2)/$Q$2))</f>
        <v>7715.576171875</v>
      </c>
      <c r="G703" s="15" t="n">
        <f aca="false">F703*(1+IF(G$3&lt;=$O$2,$D703,$D703-($D703-$I$697)*MIN(G$3-$O$2,$Q$2)/$Q$2))</f>
        <v>7836.13204956055</v>
      </c>
      <c r="H703" s="15" t="n">
        <f aca="false">G703*(1+IF(H$3&lt;=$O$2,$D703,$D703-($D703-$I$697)*MIN(H$3-$O$2,$Q$2)/$Q$2))</f>
        <v>7958.57161283493</v>
      </c>
      <c r="I703" s="15" t="n">
        <f aca="false">H703*(1+IF(I$3&lt;=$O$2,$D703,$D703-($D703-$I$697)*MIN(I$3-$O$2,$Q$2)/$Q$2))</f>
        <v>8082.92429428548</v>
      </c>
      <c r="J703" s="15" t="n">
        <f aca="false">I703*(1+IF(J$3&lt;=$O$2,$D703,$D703-($D703-$I$697)*MIN(J$3-$O$2,$Q$2)/$Q$2))</f>
        <v>8245.87604805827</v>
      </c>
      <c r="K703" s="15" t="n">
        <f aca="false">J703*(1+IF(K$3&lt;=$O$2,$D703,$D703-($D703-$I$697)*MIN(K$3-$O$2,$Q$2)/$Q$2))</f>
        <v>8449.50795706507</v>
      </c>
      <c r="L703" s="15" t="n">
        <f aca="false">K703*(1+IF(L$3&lt;=$O$2,$D703,$D703-($D703-$I$697)*MIN(L$3-$O$2,$Q$2)/$Q$2))</f>
        <v>8696.48707465008</v>
      </c>
      <c r="M703" s="15" t="n">
        <f aca="false">L703*(1+IF(M$3&lt;=$O$2,$D703,$D703-($D703-$I$697)*MIN(M$3-$O$2,$Q$2)/$Q$2))</f>
        <v>8990.12396072565</v>
      </c>
      <c r="N703" s="15" t="n">
        <f aca="false">M703*(1+IF(N$3&lt;=$O$2,$D703,$D703-($D703-$I$697)*MIN(N$3-$O$2,$Q$2)/$Q$2))</f>
        <v>9334.44570842144</v>
      </c>
      <c r="O703" s="15" t="n">
        <f aca="false">SUMPRODUCT(E703:N703,1/(1+$F$697)^$E$3:$N$3)*$E$2</f>
        <v>8919.53196814842</v>
      </c>
      <c r="P703" s="15" t="n">
        <f aca="false">N703*$E$2*(1+$I$697)/($F$697-$I$697)/(1+$F$697)^$N$3</f>
        <v>13125.39571185</v>
      </c>
      <c r="Q703" s="15" t="n">
        <f aca="false">O703+P703</f>
        <v>22044.9276799984</v>
      </c>
      <c r="R703" s="15" t="n">
        <f aca="false">Q703-$G$2+$I$2</f>
        <v>18928.7276799984</v>
      </c>
      <c r="S703" s="42" t="n">
        <f aca="false">R703/$K$2</f>
        <v>167.659235429569</v>
      </c>
      <c r="T703" s="43" t="n">
        <f aca="false">S703-$M$2</f>
        <v>-0.808435075302214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0.015625</v>
      </c>
      <c r="C704" s="25" t="n">
        <f aca="false">IF(T703&gt;0,D703,C703)</f>
        <v>0.0625</v>
      </c>
      <c r="D704" s="41" t="n">
        <f aca="false">(B704+C704)/2</f>
        <v>0.0390625</v>
      </c>
      <c r="E704" s="15" t="n">
        <f aca="false">$C$2*(1+IF(E$3&lt;=$O$2,$D704,$D704-($D704-$I$697)*MIN(E$3-$O$2,$Q$2)/$Q$2))</f>
        <v>7772.1875</v>
      </c>
      <c r="F704" s="15" t="n">
        <f aca="false">E704*(1+IF(F$3&lt;=$O$2,$D704,$D704-($D704-$I$697)*MIN(F$3-$O$2,$Q$2)/$Q$2))</f>
        <v>8075.78857421875</v>
      </c>
      <c r="G704" s="15" t="n">
        <f aca="false">F704*(1+IF(G$3&lt;=$O$2,$D704,$D704-($D704-$I$697)*MIN(G$3-$O$2,$Q$2)/$Q$2))</f>
        <v>8391.24906539917</v>
      </c>
      <c r="H704" s="15" t="n">
        <f aca="false">G704*(1+IF(H$3&lt;=$O$2,$D704,$D704-($D704-$I$697)*MIN(H$3-$O$2,$Q$2)/$Q$2))</f>
        <v>8719.03223201633</v>
      </c>
      <c r="I704" s="15" t="n">
        <f aca="false">H704*(1+IF(I$3&lt;=$O$2,$D704,$D704-($D704-$I$697)*MIN(I$3-$O$2,$Q$2)/$Q$2))</f>
        <v>9059.61942857946</v>
      </c>
      <c r="J704" s="15" t="n">
        <f aca="false">I704*(1+IF(J$3&lt;=$O$2,$D704,$D704-($D704-$I$697)*MIN(J$3-$O$2,$Q$2)/$Q$2))</f>
        <v>9412.12922054549</v>
      </c>
      <c r="K704" s="15" t="n">
        <f aca="false">J704*(1+IF(K$3&lt;=$O$2,$D704,$D704-($D704-$I$697)*MIN(K$3-$O$2,$Q$2)/$Q$2))</f>
        <v>9776.91981881078</v>
      </c>
      <c r="L704" s="15" t="n">
        <f aca="false">K704*(1+IF(L$3&lt;=$O$2,$D704,$D704-($D704-$I$697)*MIN(L$3-$O$2,$Q$2)/$Q$2))</f>
        <v>10154.357808416</v>
      </c>
      <c r="M704" s="15" t="n">
        <f aca="false">L704*(1+IF(M$3&lt;=$O$2,$D704,$D704-($D704-$I$697)*MIN(M$3-$O$2,$Q$2)/$Q$2))</f>
        <v>10544.8182520441</v>
      </c>
      <c r="N704" s="15" t="n">
        <f aca="false">M704*(1+IF(N$3&lt;=$O$2,$D704,$D704-($D704-$I$697)*MIN(N$3-$O$2,$Q$2)/$Q$2))</f>
        <v>10948.6847910974</v>
      </c>
      <c r="O704" s="15" t="n">
        <f aca="false">SUMPRODUCT(E704:N704,1/(1+$F$697)^$E$3:$N$3)*$E$2</f>
        <v>9874.44560053466</v>
      </c>
      <c r="P704" s="15" t="n">
        <f aca="false">N704*$E$2*(1+$I$697)/($F$697-$I$697)/(1+$F$697)^$N$3</f>
        <v>15395.2173376311</v>
      </c>
      <c r="Q704" s="15" t="n">
        <f aca="false">O704+P704</f>
        <v>25269.6629381658</v>
      </c>
      <c r="R704" s="15" t="n">
        <f aca="false">Q704-$G$2+$I$2</f>
        <v>22153.4629381658</v>
      </c>
      <c r="S704" s="42" t="n">
        <f aca="false">R704/$K$2</f>
        <v>196.221992366393</v>
      </c>
      <c r="T704" s="43" t="n">
        <f aca="false">S704-$M$2</f>
        <v>27.7543218615217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0.015625</v>
      </c>
      <c r="C705" s="25" t="n">
        <f aca="false">IF(T704&gt;0,D704,C704)</f>
        <v>0.0390625</v>
      </c>
      <c r="D705" s="41" t="n">
        <f aca="false">(B705+C705)/2</f>
        <v>0.02734375</v>
      </c>
      <c r="E705" s="15" t="n">
        <f aca="false">$C$2*(1+IF(E$3&lt;=$O$2,$D705,$D705-($D705-$I$697)*MIN(E$3-$O$2,$Q$2)/$Q$2))</f>
        <v>7684.53125</v>
      </c>
      <c r="F705" s="15" t="n">
        <f aca="false">E705*(1+IF(F$3&lt;=$O$2,$D705,$D705-($D705-$I$697)*MIN(F$3-$O$2,$Q$2)/$Q$2))</f>
        <v>7894.65515136719</v>
      </c>
      <c r="G705" s="15" t="n">
        <f aca="false">F705*(1+IF(G$3&lt;=$O$2,$D705,$D705-($D705-$I$697)*MIN(G$3-$O$2,$Q$2)/$Q$2))</f>
        <v>8110.52462816238</v>
      </c>
      <c r="H705" s="15" t="n">
        <f aca="false">G705*(1+IF(H$3&lt;=$O$2,$D705,$D705-($D705-$I$697)*MIN(H$3-$O$2,$Q$2)/$Q$2))</f>
        <v>8332.2967859637</v>
      </c>
      <c r="I705" s="15" t="n">
        <f aca="false">H705*(1+IF(I$3&lt;=$O$2,$D705,$D705-($D705-$I$697)*MIN(I$3-$O$2,$Q$2)/$Q$2))</f>
        <v>8560.13302620489</v>
      </c>
      <c r="J705" s="15" t="n">
        <f aca="false">I705*(1+IF(J$3&lt;=$O$2,$D705,$D705-($D705-$I$697)*MIN(J$3-$O$2,$Q$2)/$Q$2))</f>
        <v>8812.95655513386</v>
      </c>
      <c r="K705" s="15" t="n">
        <f aca="false">J705*(1+IF(K$3&lt;=$O$2,$D705,$D705-($D705-$I$697)*MIN(K$3-$O$2,$Q$2)/$Q$2))</f>
        <v>9092.55861804117</v>
      </c>
      <c r="L705" s="15" t="n">
        <f aca="false">K705*(1+IF(L$3&lt;=$O$2,$D705,$D705-($D705-$I$697)*MIN(L$3-$O$2,$Q$2)/$Q$2))</f>
        <v>9400.95547496858</v>
      </c>
      <c r="M705" s="15" t="n">
        <f aca="false">L705*(1+IF(M$3&lt;=$O$2,$D705,$D705-($D705-$I$697)*MIN(M$3-$O$2,$Q$2)/$Q$2))</f>
        <v>9740.41222597536</v>
      </c>
      <c r="N705" s="15" t="n">
        <f aca="false">M705*(1+IF(N$3&lt;=$O$2,$D705,$D705-($D705-$I$697)*MIN(N$3-$O$2,$Q$2)/$Q$2))</f>
        <v>10113.4700142302</v>
      </c>
      <c r="O705" s="15" t="n">
        <f aca="false">SUMPRODUCT(E705:N705,1/(1+$F$697)^$E$3:$N$3)*$E$2</f>
        <v>9384.65339273377</v>
      </c>
      <c r="P705" s="15" t="n">
        <f aca="false">N705*$E$2*(1+$I$697)/($F$697-$I$697)/(1+$F$697)^$N$3</f>
        <v>14220.8011169791</v>
      </c>
      <c r="Q705" s="15" t="n">
        <f aca="false">O705+P705</f>
        <v>23605.4545097129</v>
      </c>
      <c r="R705" s="15" t="n">
        <f aca="false">Q705-$G$2+$I$2</f>
        <v>20489.2545097129</v>
      </c>
      <c r="S705" s="42" t="n">
        <f aca="false">R705/$K$2</f>
        <v>181.481439412869</v>
      </c>
      <c r="T705" s="43" t="n">
        <f aca="false">S705-$M$2</f>
        <v>13.0137689079971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0.015625</v>
      </c>
      <c r="C706" s="25" t="n">
        <f aca="false">IF(T705&gt;0,D705,C705)</f>
        <v>0.02734375</v>
      </c>
      <c r="D706" s="41" t="n">
        <f aca="false">(B706+C706)/2</f>
        <v>0.021484375</v>
      </c>
      <c r="E706" s="15" t="n">
        <f aca="false">$C$2*(1+IF(E$3&lt;=$O$2,$D706,$D706-($D706-$I$697)*MIN(E$3-$O$2,$Q$2)/$Q$2))</f>
        <v>7640.703125</v>
      </c>
      <c r="F706" s="15" t="n">
        <f aca="false">E706*(1+IF(F$3&lt;=$O$2,$D706,$D706-($D706-$I$697)*MIN(F$3-$O$2,$Q$2)/$Q$2))</f>
        <v>7804.85885620117</v>
      </c>
      <c r="G706" s="15" t="n">
        <f aca="false">F706*(1+IF(G$3&lt;=$O$2,$D706,$D706-($D706-$I$697)*MIN(G$3-$O$2,$Q$2)/$Q$2))</f>
        <v>7972.54137068987</v>
      </c>
      <c r="H706" s="15" t="n">
        <f aca="false">G706*(1+IF(H$3&lt;=$O$2,$D706,$D706-($D706-$I$697)*MIN(H$3-$O$2,$Q$2)/$Q$2))</f>
        <v>8143.82643920078</v>
      </c>
      <c r="I706" s="15" t="n">
        <f aca="false">H706*(1+IF(I$3&lt;=$O$2,$D706,$D706-($D706-$I$697)*MIN(I$3-$O$2,$Q$2)/$Q$2))</f>
        <v>8318.79146035549</v>
      </c>
      <c r="J706" s="15" t="n">
        <f aca="false">I706*(1+IF(J$3&lt;=$O$2,$D706,$D706-($D706-$I$697)*MIN(J$3-$O$2,$Q$2)/$Q$2))</f>
        <v>8525.49263116667</v>
      </c>
      <c r="K706" s="15" t="n">
        <f aca="false">J706*(1+IF(K$3&lt;=$O$2,$D706,$D706-($D706-$I$697)*MIN(K$3-$O$2,$Q$2)/$Q$2))</f>
        <v>8766.00210672478</v>
      </c>
      <c r="L706" s="15" t="n">
        <f aca="false">K706*(1+IF(L$3&lt;=$O$2,$D706,$D706-($D706-$I$697)*MIN(L$3-$O$2,$Q$2)/$Q$2))</f>
        <v>9042.77766574198</v>
      </c>
      <c r="M706" s="15" t="n">
        <f aca="false">L706*(1+IF(M$3&lt;=$O$2,$D706,$D706-($D706-$I$697)*MIN(M$3-$O$2,$Q$2)/$Q$2))</f>
        <v>9358.7040587028</v>
      </c>
      <c r="N706" s="15" t="n">
        <f aca="false">M706*(1+IF(N$3&lt;=$O$2,$D706,$D706-($D706-$I$697)*MIN(N$3-$O$2,$Q$2)/$Q$2))</f>
        <v>9717.14242415112</v>
      </c>
      <c r="O706" s="15" t="n">
        <f aca="false">SUMPRODUCT(E706:N706,1/(1+$F$697)^$E$3:$N$3)*$E$2</f>
        <v>9149.08347425342</v>
      </c>
      <c r="P706" s="15" t="n">
        <f aca="false">N706*$E$2*(1+$I$697)/($F$697-$I$697)/(1+$F$697)^$N$3</f>
        <v>13663.5150591022</v>
      </c>
      <c r="Q706" s="15" t="n">
        <f aca="false">O706+P706</f>
        <v>22812.5985333556</v>
      </c>
      <c r="R706" s="15" t="n">
        <f aca="false">Q706-$G$2+$I$2</f>
        <v>19696.3985333556</v>
      </c>
      <c r="S706" s="42" t="n">
        <f aca="false">R706/$K$2</f>
        <v>174.458800118296</v>
      </c>
      <c r="T706" s="43" t="n">
        <f aca="false">S706-$M$2</f>
        <v>5.99112961342456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0.015625</v>
      </c>
      <c r="C707" s="25" t="n">
        <f aca="false">IF(T706&gt;0,D706,C706)</f>
        <v>0.021484375</v>
      </c>
      <c r="D707" s="41" t="n">
        <f aca="false">(B707+C707)/2</f>
        <v>0.0185546875</v>
      </c>
      <c r="E707" s="15" t="n">
        <f aca="false">$C$2*(1+IF(E$3&lt;=$O$2,$D707,$D707-($D707-$I$697)*MIN(E$3-$O$2,$Q$2)/$Q$2))</f>
        <v>7618.7890625</v>
      </c>
      <c r="F707" s="15" t="n">
        <f aca="false">E707*(1+IF(F$3&lt;=$O$2,$D707,$D707-($D707-$I$697)*MIN(F$3-$O$2,$Q$2)/$Q$2))</f>
        <v>7760.15331268311</v>
      </c>
      <c r="G707" s="15" t="n">
        <f aca="false">F707*(1+IF(G$3&lt;=$O$2,$D707,$D707-($D707-$I$697)*MIN(G$3-$O$2,$Q$2)/$Q$2))</f>
        <v>7904.14053235203</v>
      </c>
      <c r="H707" s="15" t="n">
        <f aca="false">G707*(1+IF(H$3&lt;=$O$2,$D707,$D707-($D707-$I$697)*MIN(H$3-$O$2,$Q$2)/$Q$2))</f>
        <v>8050.79938988591</v>
      </c>
      <c r="I707" s="15" t="n">
        <f aca="false">H707*(1+IF(I$3&lt;=$O$2,$D707,$D707-($D707-$I$697)*MIN(I$3-$O$2,$Q$2)/$Q$2))</f>
        <v>8200.17945669043</v>
      </c>
      <c r="J707" s="15" t="n">
        <f aca="false">I707*(1+IF(J$3&lt;=$O$2,$D707,$D707-($D707-$I$697)*MIN(J$3-$O$2,$Q$2)/$Q$2))</f>
        <v>8384.71424513893</v>
      </c>
      <c r="K707" s="15" t="n">
        <f aca="false">J707*(1+IF(K$3&lt;=$O$2,$D707,$D707-($D707-$I$697)*MIN(K$3-$O$2,$Q$2)/$Q$2))</f>
        <v>8606.51351893167</v>
      </c>
      <c r="L707" s="15" t="n">
        <f aca="false">K707*(1+IF(L$3&lt;=$O$2,$D707,$D707-($D707-$I$697)*MIN(L$3-$O$2,$Q$2)/$Q$2))</f>
        <v>8868.16766712004</v>
      </c>
      <c r="M707" s="15" t="n">
        <f aca="false">L707*(1+IF(M$3&lt;=$O$2,$D707,$D707-($D707-$I$697)*MIN(M$3-$O$2,$Q$2)/$Q$2))</f>
        <v>9172.7975403928</v>
      </c>
      <c r="N707" s="15" t="n">
        <f aca="false">M707*(1+IF(N$3&lt;=$O$2,$D707,$D707-($D707-$I$697)*MIN(N$3-$O$2,$Q$2)/$Q$2))</f>
        <v>9524.11568618984</v>
      </c>
      <c r="O707" s="15" t="n">
        <f aca="false">SUMPRODUCT(E707:N707,1/(1+$F$697)^$E$3:$N$3)*$E$2</f>
        <v>9033.56457734447</v>
      </c>
      <c r="P707" s="15" t="n">
        <f aca="false">N707*$E$2*(1+$I$697)/($F$697-$I$697)/(1+$F$697)^$N$3</f>
        <v>13392.0953735794</v>
      </c>
      <c r="Q707" s="15" t="n">
        <f aca="false">O707+P707</f>
        <v>22425.6599509239</v>
      </c>
      <c r="R707" s="15" t="n">
        <f aca="false">Q707-$G$2+$I$2</f>
        <v>19309.4599509239</v>
      </c>
      <c r="S707" s="42" t="n">
        <f aca="false">R707/$K$2</f>
        <v>171.031531894809</v>
      </c>
      <c r="T707" s="43" t="n">
        <f aca="false">S707-$M$2</f>
        <v>2.56386138993707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0.015625</v>
      </c>
      <c r="C708" s="25" t="n">
        <f aca="false">IF(T707&gt;0,D707,C707)</f>
        <v>0.0185546875</v>
      </c>
      <c r="D708" s="41" t="n">
        <f aca="false">(B708+C708)/2</f>
        <v>0.01708984375</v>
      </c>
      <c r="E708" s="15" t="n">
        <f aca="false">$C$2*(1+IF(E$3&lt;=$O$2,$D708,$D708-($D708-$I$697)*MIN(E$3-$O$2,$Q$2)/$Q$2))</f>
        <v>7607.83203125</v>
      </c>
      <c r="F708" s="15" t="n">
        <f aca="false">E708*(1+IF(F$3&lt;=$O$2,$D708,$D708-($D708-$I$697)*MIN(F$3-$O$2,$Q$2)/$Q$2))</f>
        <v>7737.84869194031</v>
      </c>
      <c r="G708" s="15" t="n">
        <f aca="false">F708*(1+IF(G$3&lt;=$O$2,$D708,$D708-($D708-$I$697)*MIN(G$3-$O$2,$Q$2)/$Q$2))</f>
        <v>7870.08731704671</v>
      </c>
      <c r="H708" s="15" t="n">
        <f aca="false">G708*(1+IF(H$3&lt;=$O$2,$D708,$D708-($D708-$I$697)*MIN(H$3-$O$2,$Q$2)/$Q$2))</f>
        <v>8004.5858795939</v>
      </c>
      <c r="I708" s="15" t="n">
        <f aca="false">H708*(1+IF(I$3&lt;=$O$2,$D708,$D708-($D708-$I$697)*MIN(I$3-$O$2,$Q$2)/$Q$2))</f>
        <v>8141.38300155961</v>
      </c>
      <c r="J708" s="15" t="n">
        <f aca="false">I708*(1+IF(J$3&lt;=$O$2,$D708,$D708-($D708-$I$697)*MIN(J$3-$O$2,$Q$2)/$Q$2))</f>
        <v>8315.053966076</v>
      </c>
      <c r="K708" s="15" t="n">
        <f aca="false">J708*(1+IF(K$3&lt;=$O$2,$D708,$D708-($D708-$I$697)*MIN(K$3-$O$2,$Q$2)/$Q$2))</f>
        <v>8527.70237666812</v>
      </c>
      <c r="L708" s="15" t="n">
        <f aca="false">K708*(1+IF(L$3&lt;=$O$2,$D708,$D708-($D708-$I$697)*MIN(L$3-$O$2,$Q$2)/$Q$2))</f>
        <v>8781.96381774946</v>
      </c>
      <c r="M708" s="15" t="n">
        <f aca="false">L708*(1+IF(M$3&lt;=$O$2,$D708,$D708-($D708-$I$697)*MIN(M$3-$O$2,$Q$2)/$Q$2))</f>
        <v>9081.059667018</v>
      </c>
      <c r="N708" s="15" t="n">
        <f aca="false">M708*(1+IF(N$3&lt;=$O$2,$D708,$D708-($D708-$I$697)*MIN(N$3-$O$2,$Q$2)/$Q$2))</f>
        <v>9428.86425226479</v>
      </c>
      <c r="O708" s="15" t="n">
        <f aca="false">SUMPRODUCT(E708:N708,1/(1+$F$697)^$E$3:$N$3)*$E$2</f>
        <v>8976.36362085231</v>
      </c>
      <c r="P708" s="15" t="n">
        <f aca="false">N708*$E$2*(1+$I$697)/($F$697-$I$697)/(1+$F$697)^$N$3</f>
        <v>13258.1599690102</v>
      </c>
      <c r="Q708" s="15" t="n">
        <f aca="false">O708+P708</f>
        <v>22234.5235898625</v>
      </c>
      <c r="R708" s="15" t="n">
        <f aca="false">Q708-$G$2+$I$2</f>
        <v>19118.3235898625</v>
      </c>
      <c r="S708" s="42" t="n">
        <f aca="false">R708/$K$2</f>
        <v>169.33856146911</v>
      </c>
      <c r="T708" s="43" t="n">
        <f aca="false">S708-$M$2</f>
        <v>0.87089096423793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0.015625</v>
      </c>
      <c r="C709" s="25" t="n">
        <f aca="false">IF(T708&gt;0,D708,C708)</f>
        <v>0.01708984375</v>
      </c>
      <c r="D709" s="41" t="n">
        <f aca="false">(B709+C709)/2</f>
        <v>0.016357421875</v>
      </c>
      <c r="E709" s="15" t="n">
        <f aca="false">$C$2*(1+IF(E$3&lt;=$O$2,$D709,$D709-($D709-$I$697)*MIN(E$3-$O$2,$Q$2)/$Q$2))</f>
        <v>7602.353515625</v>
      </c>
      <c r="F709" s="15" t="n">
        <f aca="false">E709*(1+IF(F$3&lt;=$O$2,$D709,$D709-($D709-$I$697)*MIN(F$3-$O$2,$Q$2)/$Q$2))</f>
        <v>7726.70841932297</v>
      </c>
      <c r="G709" s="15" t="n">
        <f aca="false">F709*(1+IF(G$3&lt;=$O$2,$D709,$D709-($D709-$I$697)*MIN(G$3-$O$2,$Q$2)/$Q$2))</f>
        <v>7853.09744864295</v>
      </c>
      <c r="H709" s="15" t="n">
        <f aca="false">G709*(1+IF(H$3&lt;=$O$2,$D709,$D709-($D709-$I$697)*MIN(H$3-$O$2,$Q$2)/$Q$2))</f>
        <v>7981.55387663589</v>
      </c>
      <c r="I709" s="15" t="n">
        <f aca="false">H709*(1+IF(I$3&lt;=$O$2,$D709,$D709-($D709-$I$697)*MIN(I$3-$O$2,$Q$2)/$Q$2))</f>
        <v>8112.11152061406</v>
      </c>
      <c r="J709" s="15" t="n">
        <f aca="false">I709*(1+IF(J$3&lt;=$O$2,$D709,$D709-($D709-$I$697)*MIN(J$3-$O$2,$Q$2)/$Q$2))</f>
        <v>8280.40487921375</v>
      </c>
      <c r="K709" s="15" t="n">
        <f aca="false">J709*(1+IF(K$3&lt;=$O$2,$D709,$D709-($D709-$I$697)*MIN(K$3-$O$2,$Q$2)/$Q$2))</f>
        <v>8488.52832750637</v>
      </c>
      <c r="L709" s="15" t="n">
        <f aca="false">K709*(1+IF(L$3&lt;=$O$2,$D709,$D709-($D709-$I$697)*MIN(L$3-$O$2,$Q$2)/$Q$2))</f>
        <v>8739.13488405283</v>
      </c>
      <c r="M709" s="15" t="n">
        <f aca="false">L709*(1+IF(M$3&lt;=$O$2,$D709,$D709-($D709-$I$697)*MIN(M$3-$O$2,$Q$2)/$Q$2))</f>
        <v>9035.49192012441</v>
      </c>
      <c r="N709" s="15" t="n">
        <f aca="false">M709*(1+IF(N$3&lt;=$O$2,$D709,$D709-($D709-$I$697)*MIN(N$3-$O$2,$Q$2)/$Q$2))</f>
        <v>9381.55126066517</v>
      </c>
      <c r="O709" s="15" t="n">
        <f aca="false">SUMPRODUCT(E709:N709,1/(1+$F$697)^$E$3:$N$3)*$E$2</f>
        <v>8947.90177262488</v>
      </c>
      <c r="P709" s="15" t="n">
        <f aca="false">N709*$E$2*(1+$I$697)/($F$697-$I$697)/(1+$F$697)^$N$3</f>
        <v>13191.6319976175</v>
      </c>
      <c r="Q709" s="15" t="n">
        <f aca="false">O709+P709</f>
        <v>22139.5337702424</v>
      </c>
      <c r="R709" s="15" t="n">
        <f aca="false">Q709-$G$2+$I$2</f>
        <v>19023.3337702424</v>
      </c>
      <c r="S709" s="42" t="n">
        <f aca="false">R709/$K$2</f>
        <v>168.497199027833</v>
      </c>
      <c r="T709" s="43" t="n">
        <f aca="false">S709-$M$2</f>
        <v>0.0295285229614137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0.015625</v>
      </c>
      <c r="C710" s="25" t="n">
        <f aca="false">IF(T709&gt;0,D709,C709)</f>
        <v>0.016357421875</v>
      </c>
      <c r="D710" s="41" t="n">
        <f aca="false">(B710+C710)/2</f>
        <v>0.0159912109375</v>
      </c>
      <c r="E710" s="15" t="n">
        <f aca="false">$C$2*(1+IF(E$3&lt;=$O$2,$D710,$D710-($D710-$I$697)*MIN(E$3-$O$2,$Q$2)/$Q$2))</f>
        <v>7599.6142578125</v>
      </c>
      <c r="F710" s="15" t="n">
        <f aca="false">E710*(1+IF(F$3&lt;=$O$2,$D710,$D710-($D710-$I$697)*MIN(F$3-$O$2,$Q$2)/$Q$2))</f>
        <v>7721.14129245281</v>
      </c>
      <c r="G710" s="15" t="n">
        <f aca="false">F710*(1+IF(G$3&lt;=$O$2,$D710,$D710-($D710-$I$697)*MIN(G$3-$O$2,$Q$2)/$Q$2))</f>
        <v>7844.61169153867</v>
      </c>
      <c r="H710" s="15" t="n">
        <f aca="false">G710*(1+IF(H$3&lt;=$O$2,$D710,$D710-($D710-$I$697)*MIN(H$3-$O$2,$Q$2)/$Q$2))</f>
        <v>7970.05653182084</v>
      </c>
      <c r="I710" s="15" t="n">
        <f aca="false">H710*(1+IF(I$3&lt;=$O$2,$D710,$D710-($D710-$I$697)*MIN(I$3-$O$2,$Q$2)/$Q$2))</f>
        <v>8097.50738700499</v>
      </c>
      <c r="J710" s="15" t="n">
        <f aca="false">I710*(1+IF(J$3&lt;=$O$2,$D710,$D710-($D710-$I$697)*MIN(J$3-$O$2,$Q$2)/$Q$2))</f>
        <v>8263.12545254429</v>
      </c>
      <c r="K710" s="15" t="n">
        <f aca="false">J710*(1+IF(K$3&lt;=$O$2,$D710,$D710-($D710-$I$697)*MIN(K$3-$O$2,$Q$2)/$Q$2))</f>
        <v>8468.99896374607</v>
      </c>
      <c r="L710" s="15" t="n">
        <f aca="false">K710*(1+IF(L$3&lt;=$O$2,$D710,$D710-($D710-$I$697)*MIN(L$3-$O$2,$Q$2)/$Q$2))</f>
        <v>8717.78837947644</v>
      </c>
      <c r="M710" s="15" t="n">
        <f aca="false">L710*(1+IF(M$3&lt;=$O$2,$D710,$D710-($D710-$I$697)*MIN(M$3-$O$2,$Q$2)/$Q$2))</f>
        <v>9012.78301400054</v>
      </c>
      <c r="N710" s="15" t="n">
        <f aca="false">M710*(1+IF(N$3&lt;=$O$2,$D710,$D710-($D710-$I$697)*MIN(N$3-$O$2,$Q$2)/$Q$2))</f>
        <v>9357.97260343676</v>
      </c>
      <c r="O710" s="15" t="n">
        <f aca="false">SUMPRODUCT(E710:N710,1/(1+$F$697)^$E$3:$N$3)*$E$2</f>
        <v>8933.70538251388</v>
      </c>
      <c r="P710" s="15" t="n">
        <f aca="false">N710*$E$2*(1+$I$697)/($F$697-$I$697)/(1+$F$697)^$N$3</f>
        <v>13158.4774626677</v>
      </c>
      <c r="Q710" s="15" t="n">
        <f aca="false">O710+P710</f>
        <v>22092.1828451815</v>
      </c>
      <c r="R710" s="15" t="n">
        <f aca="false">Q710-$G$2+$I$2</f>
        <v>18975.9828451815</v>
      </c>
      <c r="S710" s="42" t="n">
        <f aca="false">R710/$K$2</f>
        <v>168.077793137126</v>
      </c>
      <c r="T710" s="43" t="n">
        <f aca="false">S710-$M$2</f>
        <v>-0.389877367745498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0.0159912109375</v>
      </c>
      <c r="C711" s="25" t="n">
        <f aca="false">IF(T710&gt;0,D710,C710)</f>
        <v>0.016357421875</v>
      </c>
      <c r="D711" s="41" t="n">
        <f aca="false">(B711+C711)/2</f>
        <v>0.01617431640625</v>
      </c>
      <c r="E711" s="15" t="n">
        <f aca="false">$C$2*(1+IF(E$3&lt;=$O$2,$D711,$D711-($D711-$I$697)*MIN(E$3-$O$2,$Q$2)/$Q$2))</f>
        <v>7600.98388671875</v>
      </c>
      <c r="F711" s="15" t="n">
        <f aca="false">E711*(1+IF(F$3&lt;=$O$2,$D711,$D711-($D711-$I$697)*MIN(F$3-$O$2,$Q$2)/$Q$2))</f>
        <v>7723.92460510135</v>
      </c>
      <c r="G711" s="15" t="n">
        <f aca="false">F711*(1+IF(G$3&lt;=$O$2,$D711,$D711-($D711-$I$697)*MIN(G$3-$O$2,$Q$2)/$Q$2))</f>
        <v>7848.85380556228</v>
      </c>
      <c r="H711" s="15" t="n">
        <f aca="false">G711*(1+IF(H$3&lt;=$O$2,$D711,$D711-($D711-$I$697)*MIN(H$3-$O$2,$Q$2)/$Q$2))</f>
        <v>7975.80365043984</v>
      </c>
      <c r="I711" s="15" t="n">
        <f aca="false">H711*(1+IF(I$3&lt;=$O$2,$D711,$D711-($D711-$I$697)*MIN(I$3-$O$2,$Q$2)/$Q$2))</f>
        <v>8104.80682227618</v>
      </c>
      <c r="J711" s="15" t="n">
        <f aca="false">I711*(1+IF(J$3&lt;=$O$2,$D711,$D711-($D711-$I$697)*MIN(J$3-$O$2,$Q$2)/$Q$2))</f>
        <v>8271.76141049884</v>
      </c>
      <c r="K711" s="15" t="n">
        <f aca="false">J711*(1+IF(K$3&lt;=$O$2,$D711,$D711-($D711-$I$697)*MIN(K$3-$O$2,$Q$2)/$Q$2))</f>
        <v>8478.75884708193</v>
      </c>
      <c r="L711" s="15" t="n">
        <f aca="false">K711*(1+IF(L$3&lt;=$O$2,$D711,$D711-($D711-$I$697)*MIN(L$3-$O$2,$Q$2)/$Q$2))</f>
        <v>8728.45597671787</v>
      </c>
      <c r="M711" s="15" t="n">
        <f aca="false">L711*(1+IF(M$3&lt;=$O$2,$D711,$D711-($D711-$I$697)*MIN(M$3-$O$2,$Q$2)/$Q$2))</f>
        <v>9024.1312295856</v>
      </c>
      <c r="N711" s="15" t="n">
        <f aca="false">M711*(1+IF(N$3&lt;=$O$2,$D711,$D711-($D711-$I$697)*MIN(N$3-$O$2,$Q$2)/$Q$2))</f>
        <v>9369.75545567873</v>
      </c>
      <c r="O711" s="15" t="n">
        <f aca="false">SUMPRODUCT(E711:N711,1/(1+$F$697)^$E$3:$N$3)*$E$2</f>
        <v>8940.80070340351</v>
      </c>
      <c r="P711" s="15" t="n">
        <f aca="false">N711*$E$2*(1+$I$697)/($F$697-$I$697)/(1+$F$697)^$N$3</f>
        <v>13175.0456235549</v>
      </c>
      <c r="Q711" s="15" t="n">
        <f aca="false">O711+P711</f>
        <v>22115.8463269584</v>
      </c>
      <c r="R711" s="15" t="n">
        <f aca="false">Q711-$G$2+$I$2</f>
        <v>18999.6463269584</v>
      </c>
      <c r="S711" s="42" t="n">
        <f aca="false">R711/$K$2</f>
        <v>168.287389964202</v>
      </c>
      <c r="T711" s="43" t="n">
        <f aca="false">S711-$M$2</f>
        <v>-0.180280540669884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0.01617431640625</v>
      </c>
      <c r="C712" s="25" t="n">
        <f aca="false">IF(T711&gt;0,D711,C711)</f>
        <v>0.016357421875</v>
      </c>
      <c r="D712" s="41" t="n">
        <f aca="false">(B712+C712)/2</f>
        <v>0.016265869140625</v>
      </c>
      <c r="E712" s="15" t="n">
        <f aca="false">$C$2*(1+IF(E$3&lt;=$O$2,$D712,$D712-($D712-$I$697)*MIN(E$3-$O$2,$Q$2)/$Q$2))</f>
        <v>7601.66870117188</v>
      </c>
      <c r="F712" s="15" t="n">
        <f aca="false">E712*(1+IF(F$3&lt;=$O$2,$D712,$D712-($D712-$I$697)*MIN(F$3-$O$2,$Q$2)/$Q$2))</f>
        <v>7725.31644951552</v>
      </c>
      <c r="G712" s="15" t="n">
        <f aca="false">F712*(1+IF(G$3&lt;=$O$2,$D712,$D712-($D712-$I$697)*MIN(G$3-$O$2,$Q$2)/$Q$2))</f>
        <v>7850.97543595326</v>
      </c>
      <c r="H712" s="15" t="n">
        <f aca="false">G712*(1+IF(H$3&lt;=$O$2,$D712,$D712-($D712-$I$697)*MIN(H$3-$O$2,$Q$2)/$Q$2))</f>
        <v>7978.67837502074</v>
      </c>
      <c r="I712" s="15" t="n">
        <f aca="false">H712*(1+IF(I$3&lt;=$O$2,$D712,$D712-($D712-$I$697)*MIN(I$3-$O$2,$Q$2)/$Q$2))</f>
        <v>8108.45851338396</v>
      </c>
      <c r="J712" s="15" t="n">
        <f aca="false">I712*(1+IF(J$3&lt;=$O$2,$D712,$D712-($D712-$I$697)*MIN(J$3-$O$2,$Q$2)/$Q$2))</f>
        <v>8276.08220568519</v>
      </c>
      <c r="K712" s="15" t="n">
        <f aca="false">J712*(1+IF(K$3&lt;=$O$2,$D712,$D712-($D712-$I$697)*MIN(K$3-$O$2,$Q$2)/$Q$2))</f>
        <v>8483.64238716913</v>
      </c>
      <c r="L712" s="15" t="n">
        <f aca="false">K712*(1+IF(L$3&lt;=$O$2,$D712,$D712-($D712-$I$697)*MIN(L$3-$O$2,$Q$2)/$Q$2))</f>
        <v>8733.7940159885</v>
      </c>
      <c r="M712" s="15" t="n">
        <f aca="false">L712*(1+IF(M$3&lt;=$O$2,$D712,$D712-($D712-$I$697)*MIN(M$3-$O$2,$Q$2)/$Q$2))</f>
        <v>9029.81001475143</v>
      </c>
      <c r="N712" s="15" t="n">
        <f aca="false">M712*(1+IF(N$3&lt;=$O$2,$D712,$D712-($D712-$I$697)*MIN(N$3-$O$2,$Q$2)/$Q$2))</f>
        <v>9375.65173831641</v>
      </c>
      <c r="O712" s="15" t="n">
        <f aca="false">SUMPRODUCT(E712:N712,1/(1+$F$697)^$E$3:$N$3)*$E$2</f>
        <v>8944.35051919786</v>
      </c>
      <c r="P712" s="15" t="n">
        <f aca="false">N712*$E$2*(1+$I$697)/($F$697-$I$697)/(1+$F$697)^$N$3</f>
        <v>13183.3365328671</v>
      </c>
      <c r="Q712" s="15" t="n">
        <f aca="false">O712+P712</f>
        <v>22127.687052065</v>
      </c>
      <c r="R712" s="15" t="n">
        <f aca="false">Q712-$G$2+$I$2</f>
        <v>19011.487052065</v>
      </c>
      <c r="S712" s="42" t="n">
        <f aca="false">R712/$K$2</f>
        <v>168.392267954517</v>
      </c>
      <c r="T712" s="43" t="n">
        <f aca="false">S712-$M$2</f>
        <v>-0.0754025503546814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0.016265869140625</v>
      </c>
      <c r="C713" s="25" t="n">
        <f aca="false">IF(T712&gt;0,D712,C712)</f>
        <v>0.016357421875</v>
      </c>
      <c r="D713" s="41" t="n">
        <f aca="false">(B713+C713)/2</f>
        <v>0.0163116455078125</v>
      </c>
      <c r="E713" s="15" t="n">
        <f aca="false">$C$2*(1+IF(E$3&lt;=$O$2,$D713,$D713-($D713-$I$697)*MIN(E$3-$O$2,$Q$2)/$Q$2))</f>
        <v>7602.01110839844</v>
      </c>
      <c r="F713" s="15" t="n">
        <f aca="false">E713*(1+IF(F$3&lt;=$O$2,$D713,$D713-($D713-$I$697)*MIN(F$3-$O$2,$Q$2)/$Q$2))</f>
        <v>7726.01241874509</v>
      </c>
      <c r="G713" s="15" t="n">
        <f aca="false">F713*(1+IF(G$3&lt;=$O$2,$D713,$D713-($D713-$I$697)*MIN(G$3-$O$2,$Q$2)/$Q$2))</f>
        <v>7852.03639450861</v>
      </c>
      <c r="H713" s="15" t="n">
        <f aca="false">G713*(1+IF(H$3&lt;=$O$2,$D713,$D713-($D713-$I$697)*MIN(H$3-$O$2,$Q$2)/$Q$2))</f>
        <v>7980.11602869028</v>
      </c>
      <c r="I713" s="15" t="n">
        <f aca="false">H713*(1+IF(I$3&lt;=$O$2,$D713,$D713-($D713-$I$697)*MIN(I$3-$O$2,$Q$2)/$Q$2))</f>
        <v>8110.28485246149</v>
      </c>
      <c r="J713" s="15" t="n">
        <f aca="false">I713*(1+IF(J$3&lt;=$O$2,$D713,$D713-($D713-$I$697)*MIN(J$3-$O$2,$Q$2)/$Q$2))</f>
        <v>8278.24330761593</v>
      </c>
      <c r="K713" s="15" t="n">
        <f aca="false">J713*(1+IF(K$3&lt;=$O$2,$D713,$D713-($D713-$I$697)*MIN(K$3-$O$2,$Q$2)/$Q$2))</f>
        <v>8486.08505724536</v>
      </c>
      <c r="L713" s="15" t="n">
        <f aca="false">K713*(1+IF(L$3&lt;=$O$2,$D713,$D713-($D713-$I$697)*MIN(L$3-$O$2,$Q$2)/$Q$2))</f>
        <v>8736.46409634203</v>
      </c>
      <c r="M713" s="15" t="n">
        <f aca="false">L713*(1+IF(M$3&lt;=$O$2,$D713,$D713-($D713-$I$697)*MIN(M$3-$O$2,$Q$2)/$Q$2))</f>
        <v>9032.6505773202</v>
      </c>
      <c r="N713" s="15" t="n">
        <f aca="false">M713*(1+IF(N$3&lt;=$O$2,$D713,$D713-($D713-$I$697)*MIN(N$3-$O$2,$Q$2)/$Q$2))</f>
        <v>9378.60109443156</v>
      </c>
      <c r="O713" s="15" t="n">
        <f aca="false">SUMPRODUCT(E713:N713,1/(1+$F$697)^$E$3:$N$3)*$E$2</f>
        <v>8946.12596617292</v>
      </c>
      <c r="P713" s="15" t="n">
        <f aca="false">N713*$E$2*(1+$I$697)/($F$697-$I$697)/(1+$F$697)^$N$3</f>
        <v>13187.4836956785</v>
      </c>
      <c r="Q713" s="15" t="n">
        <f aca="false">O713+P713</f>
        <v>22133.6096618514</v>
      </c>
      <c r="R713" s="15" t="n">
        <f aca="false">Q713-$G$2+$I$2</f>
        <v>19017.4096618514</v>
      </c>
      <c r="S713" s="42" t="n">
        <f aca="false">R713/$K$2</f>
        <v>168.444726854308</v>
      </c>
      <c r="T713" s="43" t="n">
        <f aca="false">S713-$M$2</f>
        <v>-0.0229436505636613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0.0163116455078125</v>
      </c>
      <c r="C714" s="25" t="n">
        <f aca="false">IF(T713&gt;0,D713,C713)</f>
        <v>0.016357421875</v>
      </c>
      <c r="D714" s="41" t="n">
        <f aca="false">(B714+C714)/2</f>
        <v>0.0163345336914063</v>
      </c>
      <c r="E714" s="15" t="n">
        <f aca="false">$C$2*(1+IF(E$3&lt;=$O$2,$D714,$D714-($D714-$I$697)*MIN(E$3-$O$2,$Q$2)/$Q$2))</f>
        <v>7602.18231201172</v>
      </c>
      <c r="F714" s="15" t="n">
        <f aca="false">E714*(1+IF(F$3&lt;=$O$2,$D714,$D714-($D714-$I$697)*MIN(F$3-$O$2,$Q$2)/$Q$2))</f>
        <v>7726.36041511549</v>
      </c>
      <c r="G714" s="15" t="n">
        <f aca="false">F714*(1+IF(G$3&lt;=$O$2,$D714,$D714-($D714-$I$697)*MIN(G$3-$O$2,$Q$2)/$Q$2))</f>
        <v>7852.56690962814</v>
      </c>
      <c r="H714" s="15" t="n">
        <f aca="false">G714*(1+IF(H$3&lt;=$O$2,$D714,$D714-($D714-$I$697)*MIN(H$3-$O$2,$Q$2)/$Q$2))</f>
        <v>7980.83492837748</v>
      </c>
      <c r="I714" s="15" t="n">
        <f aca="false">H714*(1+IF(I$3&lt;=$O$2,$D714,$D714-($D714-$I$697)*MIN(I$3-$O$2,$Q$2)/$Q$2))</f>
        <v>8111.19814540061</v>
      </c>
      <c r="J714" s="15" t="n">
        <f aca="false">I714*(1+IF(J$3&lt;=$O$2,$D714,$D714-($D714-$I$697)*MIN(J$3-$O$2,$Q$2)/$Q$2))</f>
        <v>8279.32403470136</v>
      </c>
      <c r="K714" s="15" t="n">
        <f aca="false">J714*(1+IF(K$3&lt;=$O$2,$D714,$D714-($D714-$I$697)*MIN(K$3-$O$2,$Q$2)/$Q$2))</f>
        <v>8487.30661734512</v>
      </c>
      <c r="L714" s="15" t="n">
        <f aca="false">K714*(1+IF(L$3&lt;=$O$2,$D714,$D714-($D714-$I$697)*MIN(L$3-$O$2,$Q$2)/$Q$2))</f>
        <v>8737.79940176784</v>
      </c>
      <c r="M714" s="15" t="n">
        <f aca="false">L714*(1+IF(M$3&lt;=$O$2,$D714,$D714-($D714-$I$697)*MIN(M$3-$O$2,$Q$2)/$Q$2))</f>
        <v>9034.07115118139</v>
      </c>
      <c r="N714" s="15" t="n">
        <f aca="false">M714*(1+IF(N$3&lt;=$O$2,$D714,$D714-($D714-$I$697)*MIN(N$3-$O$2,$Q$2)/$Q$2))</f>
        <v>9380.07607627164</v>
      </c>
      <c r="O714" s="15" t="n">
        <f aca="false">SUMPRODUCT(E714:N714,1/(1+$F$697)^$E$3:$N$3)*$E$2</f>
        <v>8947.01382445999</v>
      </c>
      <c r="P714" s="15" t="n">
        <f aca="false">N714*$E$2*(1+$I$697)/($F$697-$I$697)/(1+$F$697)^$N$3</f>
        <v>13189.5577042402</v>
      </c>
      <c r="Q714" s="15" t="n">
        <f aca="false">O714+P714</f>
        <v>22136.5715287002</v>
      </c>
      <c r="R714" s="15" t="n">
        <f aca="false">Q714-$G$2+$I$2</f>
        <v>19020.3715287002</v>
      </c>
      <c r="S714" s="42" t="n">
        <f aca="false">R714/$K$2</f>
        <v>168.470961281667</v>
      </c>
      <c r="T714" s="43" t="n">
        <f aca="false">S714-$M$2</f>
        <v>0.00329077679563738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0.0163116455078125</v>
      </c>
      <c r="C715" s="25" t="n">
        <f aca="false">IF(T714&gt;0,D714,C714)</f>
        <v>0.0163345336914063</v>
      </c>
      <c r="D715" s="41" t="n">
        <f aca="false">(B715+C715)/2</f>
        <v>0.0163230895996094</v>
      </c>
      <c r="E715" s="15" t="n">
        <f aca="false">$C$2*(1+IF(E$3&lt;=$O$2,$D715,$D715-($D715-$I$697)*MIN(E$3-$O$2,$Q$2)/$Q$2))</f>
        <v>7602.09671020508</v>
      </c>
      <c r="F715" s="15" t="n">
        <f aca="false">E715*(1+IF(F$3&lt;=$O$2,$D715,$D715-($D715-$I$697)*MIN(F$3-$O$2,$Q$2)/$Q$2))</f>
        <v>7726.18641595065</v>
      </c>
      <c r="G715" s="15" t="n">
        <f aca="false">F715*(1+IF(G$3&lt;=$O$2,$D715,$D715-($D715-$I$697)*MIN(G$3-$O$2,$Q$2)/$Q$2))</f>
        <v>7852.3016490815</v>
      </c>
      <c r="H715" s="15" t="n">
        <f aca="false">G715*(1+IF(H$3&lt;=$O$2,$D715,$D715-($D715-$I$697)*MIN(H$3-$O$2,$Q$2)/$Q$2))</f>
        <v>7980.47547246262</v>
      </c>
      <c r="I715" s="15" t="n">
        <f aca="false">H715*(1+IF(I$3&lt;=$O$2,$D715,$D715-($D715-$I$697)*MIN(I$3-$O$2,$Q$2)/$Q$2))</f>
        <v>8110.74148864711</v>
      </c>
      <c r="J715" s="15" t="n">
        <f aca="false">I715*(1+IF(J$3&lt;=$O$2,$D715,$D715-($D715-$I$697)*MIN(J$3-$O$2,$Q$2)/$Q$2))</f>
        <v>8278.78365648091</v>
      </c>
      <c r="K715" s="15" t="n">
        <f aca="false">J715*(1+IF(K$3&lt;=$O$2,$D715,$D715-($D715-$I$697)*MIN(K$3-$O$2,$Q$2)/$Q$2))</f>
        <v>8486.69581853851</v>
      </c>
      <c r="L715" s="15" t="n">
        <f aca="false">K715*(1+IF(L$3&lt;=$O$2,$D715,$D715-($D715-$I$697)*MIN(L$3-$O$2,$Q$2)/$Q$2))</f>
        <v>8737.13172694878</v>
      </c>
      <c r="M715" s="15" t="n">
        <f aca="false">L715*(1+IF(M$3&lt;=$O$2,$D715,$D715-($D715-$I$697)*MIN(M$3-$O$2,$Q$2)/$Q$2))</f>
        <v>9033.36083986701</v>
      </c>
      <c r="N715" s="15" t="n">
        <f aca="false">M715*(1+IF(N$3&lt;=$O$2,$D715,$D715-($D715-$I$697)*MIN(N$3-$O$2,$Q$2)/$Q$2))</f>
        <v>9379.33856003391</v>
      </c>
      <c r="O715" s="15" t="n">
        <f aca="false">SUMPRODUCT(E715:N715,1/(1+$F$697)^$E$3:$N$3)*$E$2</f>
        <v>8946.56988408226</v>
      </c>
      <c r="P715" s="15" t="n">
        <f aca="false">N715*$E$2*(1+$I$697)/($F$697-$I$697)/(1+$F$697)^$N$3</f>
        <v>13188.5206643595</v>
      </c>
      <c r="Q715" s="15" t="n">
        <f aca="false">O715+P715</f>
        <v>22135.0905484418</v>
      </c>
      <c r="R715" s="15" t="n">
        <f aca="false">Q715-$G$2+$I$2</f>
        <v>19018.8905484418</v>
      </c>
      <c r="S715" s="42" t="n">
        <f aca="false">R715/$K$2</f>
        <v>168.45784365316</v>
      </c>
      <c r="T715" s="43" t="n">
        <f aca="false">S715-$M$2</f>
        <v>-0.00982685171152298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0.0163230895996094</v>
      </c>
      <c r="C716" s="25" t="n">
        <f aca="false">IF(T715&gt;0,D715,C715)</f>
        <v>0.0163345336914063</v>
      </c>
      <c r="D716" s="41" t="n">
        <f aca="false">(B716+C716)/2</f>
        <v>0.0163288116455078</v>
      </c>
      <c r="E716" s="15" t="n">
        <f aca="false">$C$2*(1+IF(E$3&lt;=$O$2,$D716,$D716-($D716-$I$697)*MIN(E$3-$O$2,$Q$2)/$Q$2))</f>
        <v>7602.1395111084</v>
      </c>
      <c r="F716" s="15" t="n">
        <f aca="false">E716*(1+IF(F$3&lt;=$O$2,$D716,$D716-($D716-$I$697)*MIN(F$3-$O$2,$Q$2)/$Q$2))</f>
        <v>7726.27341528816</v>
      </c>
      <c r="G716" s="15" t="n">
        <f aca="false">F716*(1+IF(G$3&lt;=$O$2,$D716,$D716-($D716-$I$697)*MIN(G$3-$O$2,$Q$2)/$Q$2))</f>
        <v>7852.4342786081</v>
      </c>
      <c r="H716" s="15" t="n">
        <f aca="false">G716*(1+IF(H$3&lt;=$O$2,$D716,$D716-($D716-$I$697)*MIN(H$3-$O$2,$Q$2)/$Q$2))</f>
        <v>7980.65519890222</v>
      </c>
      <c r="I716" s="15" t="n">
        <f aca="false">H716*(1+IF(I$3&lt;=$O$2,$D716,$D716-($D716-$I$697)*MIN(I$3-$O$2,$Q$2)/$Q$2))</f>
        <v>8110.96981445283</v>
      </c>
      <c r="J716" s="15" t="n">
        <f aca="false">I716*(1+IF(J$3&lt;=$O$2,$D716,$D716-($D716-$I$697)*MIN(J$3-$O$2,$Q$2)/$Q$2))</f>
        <v>8279.05384192162</v>
      </c>
      <c r="K716" s="15" t="n">
        <f aca="false">J716*(1+IF(K$3&lt;=$O$2,$D716,$D716-($D716-$I$697)*MIN(K$3-$O$2,$Q$2)/$Q$2))</f>
        <v>8487.00121325252</v>
      </c>
      <c r="L716" s="15" t="n">
        <f aca="false">K716*(1+IF(L$3&lt;=$O$2,$D716,$D716-($D716-$I$697)*MIN(L$3-$O$2,$Q$2)/$Q$2))</f>
        <v>8737.46555883162</v>
      </c>
      <c r="M716" s="15" t="n">
        <f aca="false">L716*(1+IF(M$3&lt;=$O$2,$D716,$D716-($D716-$I$697)*MIN(M$3-$O$2,$Q$2)/$Q$2))</f>
        <v>9033.71598942807</v>
      </c>
      <c r="N716" s="15" t="n">
        <f aca="false">M716*(1+IF(N$3&lt;=$O$2,$D716,$D716-($D716-$I$697)*MIN(N$3-$O$2,$Q$2)/$Q$2))</f>
        <v>9379.70731182317</v>
      </c>
      <c r="O716" s="15" t="n">
        <f aca="false">SUMPRODUCT(E716:N716,1/(1+$F$697)^$E$3:$N$3)*$E$2</f>
        <v>8946.79185146251</v>
      </c>
      <c r="P716" s="15" t="n">
        <f aca="false">N716*$E$2*(1+$I$697)/($F$697-$I$697)/(1+$F$697)^$N$3</f>
        <v>13189.0391753997</v>
      </c>
      <c r="Q716" s="15" t="n">
        <f aca="false">O716+P716</f>
        <v>22135.8310268622</v>
      </c>
      <c r="R716" s="15" t="n">
        <f aca="false">Q716-$G$2+$I$2</f>
        <v>19019.6310268622</v>
      </c>
      <c r="S716" s="42" t="n">
        <f aca="false">R716/$K$2</f>
        <v>168.464402363704</v>
      </c>
      <c r="T716" s="43" t="n">
        <f aca="false">S716-$M$2</f>
        <v>-0.00326814116775154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0.0163288116455078</v>
      </c>
      <c r="C717" s="25" t="n">
        <f aca="false">IF(T716&gt;0,D716,C716)</f>
        <v>0.0163345336914063</v>
      </c>
      <c r="D717" s="41" t="n">
        <f aca="false">(B717+C717)/2</f>
        <v>0.016331672668457</v>
      </c>
      <c r="E717" s="15" t="n">
        <f aca="false">$C$2*(1+IF(E$3&lt;=$O$2,$D717,$D717-($D717-$I$697)*MIN(E$3-$O$2,$Q$2)/$Q$2))</f>
        <v>7602.16091156006</v>
      </c>
      <c r="F717" s="15" t="n">
        <f aca="false">E717*(1+IF(F$3&lt;=$O$2,$D717,$D717-($D717-$I$697)*MIN(F$3-$O$2,$Q$2)/$Q$2))</f>
        <v>7726.3169151406</v>
      </c>
      <c r="G717" s="15" t="n">
        <f aca="false">F717*(1+IF(G$3&lt;=$O$2,$D717,$D717-($D717-$I$697)*MIN(G$3-$O$2,$Q$2)/$Q$2))</f>
        <v>7852.50059393144</v>
      </c>
      <c r="H717" s="15" t="n">
        <f aca="false">G717*(1+IF(H$3&lt;=$O$2,$D717,$D717-($D717-$I$697)*MIN(H$3-$O$2,$Q$2)/$Q$2))</f>
        <v>7980.74506326039</v>
      </c>
      <c r="I717" s="15" t="n">
        <f aca="false">H717*(1+IF(I$3&lt;=$O$2,$D717,$D717-($D717-$I$697)*MIN(I$3-$O$2,$Q$2)/$Q$2))</f>
        <v>8111.08397928396</v>
      </c>
      <c r="J717" s="15" t="n">
        <f aca="false">I717*(1+IF(J$3&lt;=$O$2,$D717,$D717-($D717-$I$697)*MIN(J$3-$O$2,$Q$2)/$Q$2))</f>
        <v>8279.1889373941</v>
      </c>
      <c r="K717" s="15" t="n">
        <f aca="false">J717*(1+IF(K$3&lt;=$O$2,$D717,$D717-($D717-$I$697)*MIN(K$3-$O$2,$Q$2)/$Q$2))</f>
        <v>8487.15391412648</v>
      </c>
      <c r="L717" s="15" t="n">
        <f aca="false">K717*(1+IF(L$3&lt;=$O$2,$D717,$D717-($D717-$I$697)*MIN(L$3-$O$2,$Q$2)/$Q$2))</f>
        <v>8737.63247891803</v>
      </c>
      <c r="M717" s="15" t="n">
        <f aca="false">L717*(1+IF(M$3&lt;=$O$2,$D717,$D717-($D717-$I$697)*MIN(M$3-$O$2,$Q$2)/$Q$2))</f>
        <v>9033.89356878068</v>
      </c>
      <c r="N717" s="15" t="n">
        <f aca="false">M717*(1+IF(N$3&lt;=$O$2,$D717,$D717-($D717-$I$697)*MIN(N$3-$O$2,$Q$2)/$Q$2))</f>
        <v>9379.89169246498</v>
      </c>
      <c r="O717" s="15" t="n">
        <f aca="false">SUMPRODUCT(E717:N717,1/(1+$F$697)^$E$3:$N$3)*$E$2</f>
        <v>8946.90283725909</v>
      </c>
      <c r="P717" s="15" t="n">
        <f aca="false">N717*$E$2*(1+$I$697)/($F$697-$I$697)/(1+$F$697)^$N$3</f>
        <v>13189.2984375949</v>
      </c>
      <c r="Q717" s="15" t="n">
        <f aca="false">O717+P717</f>
        <v>22136.2012748539</v>
      </c>
      <c r="R717" s="15" t="n">
        <f aca="false">Q717-$G$2+$I$2</f>
        <v>19020.0012748539</v>
      </c>
      <c r="S717" s="42" t="n">
        <f aca="false">R717/$K$2</f>
        <v>168.467681796758</v>
      </c>
      <c r="T717" s="43" t="n">
        <f aca="false">S717-$M$2</f>
        <v>1.12918860963873E-005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0.0163288116455078</v>
      </c>
      <c r="C718" s="25" t="n">
        <f aca="false">IF(T717&gt;0,D717,C717)</f>
        <v>0.016331672668457</v>
      </c>
      <c r="D718" s="41" t="n">
        <f aca="false">(B718+C718)/2</f>
        <v>0.0163302421569824</v>
      </c>
      <c r="E718" s="15" t="n">
        <f aca="false">$C$2*(1+IF(E$3&lt;=$O$2,$D718,$D718-($D718-$I$697)*MIN(E$3-$O$2,$Q$2)/$Q$2))</f>
        <v>7602.15021133423</v>
      </c>
      <c r="F718" s="15" t="n">
        <f aca="false">E718*(1+IF(F$3&lt;=$O$2,$D718,$D718-($D718-$I$697)*MIN(F$3-$O$2,$Q$2)/$Q$2))</f>
        <v>7726.29516519907</v>
      </c>
      <c r="G718" s="15" t="n">
        <f aca="false">F718*(1+IF(G$3&lt;=$O$2,$D718,$D718-($D718-$I$697)*MIN(G$3-$O$2,$Q$2)/$Q$2))</f>
        <v>7852.4674362231</v>
      </c>
      <c r="H718" s="15" t="n">
        <f aca="false">G718*(1+IF(H$3&lt;=$O$2,$D718,$D718-($D718-$I$697)*MIN(H$3-$O$2,$Q$2)/$Q$2))</f>
        <v>7980.70013098644</v>
      </c>
      <c r="I718" s="15" t="n">
        <f aca="false">H718*(1+IF(I$3&lt;=$O$2,$D718,$D718-($D718-$I$697)*MIN(I$3-$O$2,$Q$2)/$Q$2))</f>
        <v>8111.02689670771</v>
      </c>
      <c r="J718" s="15" t="n">
        <f aca="false">I718*(1+IF(J$3&lt;=$O$2,$D718,$D718-($D718-$I$697)*MIN(J$3-$O$2,$Q$2)/$Q$2))</f>
        <v>8279.12138942852</v>
      </c>
      <c r="K718" s="15" t="n">
        <f aca="false">J718*(1+IF(K$3&lt;=$O$2,$D718,$D718-($D718-$I$697)*MIN(K$3-$O$2,$Q$2)/$Q$2))</f>
        <v>8487.07756339641</v>
      </c>
      <c r="L718" s="15" t="n">
        <f aca="false">K718*(1+IF(L$3&lt;=$O$2,$D718,$D718-($D718-$I$697)*MIN(L$3-$O$2,$Q$2)/$Q$2))</f>
        <v>8737.5490185294</v>
      </c>
      <c r="M718" s="15" t="n">
        <f aca="false">L718*(1+IF(M$3&lt;=$O$2,$D718,$D718-($D718-$I$697)*MIN(M$3-$O$2,$Q$2)/$Q$2))</f>
        <v>9033.80477872336</v>
      </c>
      <c r="N718" s="15" t="n">
        <f aca="false">M718*(1+IF(N$3&lt;=$O$2,$D718,$D718-($D718-$I$697)*MIN(N$3-$O$2,$Q$2)/$Q$2))</f>
        <v>9379.79950174847</v>
      </c>
      <c r="O718" s="15" t="n">
        <f aca="false">SUMPRODUCT(E718:N718,1/(1+$F$697)^$E$3:$N$3)*$E$2</f>
        <v>8946.84734418526</v>
      </c>
      <c r="P718" s="15" t="n">
        <f aca="false">N718*$E$2*(1+$I$697)/($F$697-$I$697)/(1+$F$697)^$N$3</f>
        <v>13189.168805941</v>
      </c>
      <c r="Q718" s="15" t="n">
        <f aca="false">O718+P718</f>
        <v>22136.0161501262</v>
      </c>
      <c r="R718" s="15" t="n">
        <f aca="false">Q718-$G$2+$I$2</f>
        <v>19019.8161501262</v>
      </c>
      <c r="S718" s="42" t="n">
        <f aca="false">R718/$K$2</f>
        <v>168.466042073749</v>
      </c>
      <c r="T718" s="43" t="n">
        <f aca="false">S718-$M$2</f>
        <v>-0.00162843112275368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0.0163302421569824</v>
      </c>
      <c r="C719" s="25" t="n">
        <f aca="false">IF(T718&gt;0,D718,C718)</f>
        <v>0.016331672668457</v>
      </c>
      <c r="D719" s="41" t="n">
        <f aca="false">(B719+C719)/2</f>
        <v>0.0163309574127197</v>
      </c>
      <c r="E719" s="15" t="n">
        <f aca="false">$C$2*(1+IF(E$3&lt;=$O$2,$D719,$D719-($D719-$I$697)*MIN(E$3-$O$2,$Q$2)/$Q$2))</f>
        <v>7602.15556144714</v>
      </c>
      <c r="F719" s="15" t="n">
        <f aca="false">E719*(1+IF(F$3&lt;=$O$2,$D719,$D719-($D719-$I$697)*MIN(F$3-$O$2,$Q$2)/$Q$2))</f>
        <v>7726.30604016601</v>
      </c>
      <c r="G719" s="15" t="n">
        <f aca="false">F719*(1+IF(G$3&lt;=$O$2,$D719,$D719-($D719-$I$697)*MIN(G$3-$O$2,$Q$2)/$Q$2))</f>
        <v>7852.4840150656</v>
      </c>
      <c r="H719" s="15" t="n">
        <f aca="false">G719*(1+IF(H$3&lt;=$O$2,$D719,$D719-($D719-$I$697)*MIN(H$3-$O$2,$Q$2)/$Q$2))</f>
        <v>7980.7225970997</v>
      </c>
      <c r="I719" s="15" t="n">
        <f aca="false">H719*(1+IF(I$3&lt;=$O$2,$D719,$D719-($D719-$I$697)*MIN(I$3-$O$2,$Q$2)/$Q$2))</f>
        <v>8111.05543795566</v>
      </c>
      <c r="J719" s="15" t="n">
        <f aca="false">I719*(1+IF(J$3&lt;=$O$2,$D719,$D719-($D719-$I$697)*MIN(J$3-$O$2,$Q$2)/$Q$2))</f>
        <v>8279.15516335397</v>
      </c>
      <c r="K719" s="15" t="n">
        <f aca="false">J719*(1+IF(K$3&lt;=$O$2,$D719,$D719-($D719-$I$697)*MIN(K$3-$O$2,$Q$2)/$Q$2))</f>
        <v>8487.11573868818</v>
      </c>
      <c r="L719" s="15" t="n">
        <f aca="false">K719*(1+IF(L$3&lt;=$O$2,$D719,$D719-($D719-$I$697)*MIN(L$3-$O$2,$Q$2)/$Q$2))</f>
        <v>8737.59074863737</v>
      </c>
      <c r="M719" s="15" t="n">
        <f aca="false">L719*(1+IF(M$3&lt;=$O$2,$D719,$D719-($D719-$I$697)*MIN(M$3-$O$2,$Q$2)/$Q$2))</f>
        <v>9033.84917365677</v>
      </c>
      <c r="N719" s="15" t="n">
        <f aca="false">M719*(1+IF(N$3&lt;=$O$2,$D719,$D719-($D719-$I$697)*MIN(N$3-$O$2,$Q$2)/$Q$2))</f>
        <v>9379.84559700782</v>
      </c>
      <c r="O719" s="15" t="n">
        <f aca="false">SUMPRODUCT(E719:N719,1/(1+$F$697)^$E$3:$N$3)*$E$2</f>
        <v>8946.87509067829</v>
      </c>
      <c r="P719" s="15" t="n">
        <f aca="false">N719*$E$2*(1+$I$697)/($F$697-$I$697)/(1+$F$697)^$N$3</f>
        <v>13189.2336216289</v>
      </c>
      <c r="Q719" s="15" t="n">
        <f aca="false">O719+P719</f>
        <v>22136.1087123072</v>
      </c>
      <c r="R719" s="15" t="n">
        <f aca="false">Q719-$G$2+$I$2</f>
        <v>19019.9087123071</v>
      </c>
      <c r="S719" s="42" t="n">
        <f aca="false">R719/$K$2</f>
        <v>168.466861933633</v>
      </c>
      <c r="T719" s="43" t="n">
        <f aca="false">S719-$M$2</f>
        <v>-0.000808571238763989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0.0163309574127197</v>
      </c>
      <c r="C720" s="25" t="n">
        <f aca="false">IF(T719&gt;0,D719,C719)</f>
        <v>0.016331672668457</v>
      </c>
      <c r="D720" s="41" t="n">
        <f aca="false">(B720+C720)/2</f>
        <v>0.0163313150405884</v>
      </c>
      <c r="E720" s="15" t="n">
        <f aca="false">$C$2*(1+IF(E$3&lt;=$O$2,$D720,$D720-($D720-$I$697)*MIN(E$3-$O$2,$Q$2)/$Q$2))</f>
        <v>7602.1582365036</v>
      </c>
      <c r="F720" s="15" t="n">
        <f aca="false">E720*(1+IF(F$3&lt;=$O$2,$D720,$D720-($D720-$I$697)*MIN(F$3-$O$2,$Q$2)/$Q$2))</f>
        <v>7726.31147765235</v>
      </c>
      <c r="G720" s="15" t="n">
        <f aca="false">F720*(1+IF(G$3&lt;=$O$2,$D720,$D720-($D720-$I$697)*MIN(G$3-$O$2,$Q$2)/$Q$2))</f>
        <v>7852.4923044956</v>
      </c>
      <c r="H720" s="15" t="n">
        <f aca="false">G720*(1+IF(H$3&lt;=$O$2,$D720,$D720-($D720-$I$697)*MIN(H$3-$O$2,$Q$2)/$Q$2))</f>
        <v>7980.73383017411</v>
      </c>
      <c r="I720" s="15" t="n">
        <f aca="false">H720*(1+IF(I$3&lt;=$O$2,$D720,$D720-($D720-$I$697)*MIN(I$3-$O$2,$Q$2)/$Q$2))</f>
        <v>8111.06970860977</v>
      </c>
      <c r="J720" s="15" t="n">
        <f aca="false">I720*(1+IF(J$3&lt;=$O$2,$D720,$D720-($D720-$I$697)*MIN(J$3-$O$2,$Q$2)/$Q$2))</f>
        <v>8279.1720503597</v>
      </c>
      <c r="K720" s="15" t="n">
        <f aca="false">J720*(1+IF(K$3&lt;=$O$2,$D720,$D720-($D720-$I$697)*MIN(K$3-$O$2,$Q$2)/$Q$2))</f>
        <v>8487.13482638901</v>
      </c>
      <c r="L720" s="15" t="n">
        <f aca="false">K720*(1+IF(L$3&lt;=$O$2,$D720,$D720-($D720-$I$697)*MIN(L$3-$O$2,$Q$2)/$Q$2))</f>
        <v>8737.61161375611</v>
      </c>
      <c r="M720" s="15" t="n">
        <f aca="false">L720*(1+IF(M$3&lt;=$O$2,$D720,$D720-($D720-$I$697)*MIN(M$3-$O$2,$Q$2)/$Q$2))</f>
        <v>9033.87137119491</v>
      </c>
      <c r="N720" s="15" t="n">
        <f aca="false">M720*(1+IF(N$3&lt;=$O$2,$D720,$D720-($D720-$I$697)*MIN(N$3-$O$2,$Q$2)/$Q$2))</f>
        <v>9379.86864471167</v>
      </c>
      <c r="O720" s="15" t="n">
        <f aca="false">SUMPRODUCT(E720:N720,1/(1+$F$697)^$E$3:$N$3)*$E$2</f>
        <v>8946.88896395772</v>
      </c>
      <c r="P720" s="15" t="n">
        <f aca="false">N720*$E$2*(1+$I$697)/($F$697-$I$697)/(1+$F$697)^$N$3</f>
        <v>13189.2660295771</v>
      </c>
      <c r="Q720" s="15" t="n">
        <f aca="false">O720+P720</f>
        <v>22136.1549935348</v>
      </c>
      <c r="R720" s="15" t="n">
        <f aca="false">Q720-$G$2+$I$2</f>
        <v>19019.9549935348</v>
      </c>
      <c r="S720" s="42" t="n">
        <f aca="false">R720/$K$2</f>
        <v>168.46727186479</v>
      </c>
      <c r="T720" s="43" t="n">
        <f aca="false">S720-$M$2</f>
        <v>-0.000398640081471058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0.0163313150405884</v>
      </c>
      <c r="C721" s="25" t="n">
        <f aca="false">IF(T720&gt;0,D720,C720)</f>
        <v>0.016331672668457</v>
      </c>
      <c r="D721" s="41" t="n">
        <f aca="false">(B721+C721)/2</f>
        <v>0.0163314938545227</v>
      </c>
      <c r="E721" s="15" t="n">
        <f aca="false">$C$2*(1+IF(E$3&lt;=$O$2,$D721,$D721-($D721-$I$697)*MIN(E$3-$O$2,$Q$2)/$Q$2))</f>
        <v>7602.15957403183</v>
      </c>
      <c r="F721" s="15" t="n">
        <f aca="false">E721*(1+IF(F$3&lt;=$O$2,$D721,$D721-($D721-$I$697)*MIN(F$3-$O$2,$Q$2)/$Q$2))</f>
        <v>7726.31419639623</v>
      </c>
      <c r="G721" s="15" t="n">
        <f aca="false">F721*(1+IF(G$3&lt;=$O$2,$D721,$D721-($D721-$I$697)*MIN(G$3-$O$2,$Q$2)/$Q$2))</f>
        <v>7852.49644921279</v>
      </c>
      <c r="H721" s="15" t="n">
        <f aca="false">G721*(1+IF(H$3&lt;=$O$2,$D721,$D721-($D721-$I$697)*MIN(H$3-$O$2,$Q$2)/$Q$2))</f>
        <v>7980.73944671577</v>
      </c>
      <c r="I721" s="15" t="n">
        <f aca="false">H721*(1+IF(I$3&lt;=$O$2,$D721,$D721-($D721-$I$697)*MIN(I$3-$O$2,$Q$2)/$Q$2))</f>
        <v>8111.07684394435</v>
      </c>
      <c r="J721" s="15" t="n">
        <f aca="false">I721*(1+IF(J$3&lt;=$O$2,$D721,$D721-($D721-$I$697)*MIN(J$3-$O$2,$Q$2)/$Q$2))</f>
        <v>8279.18049387332</v>
      </c>
      <c r="K721" s="15" t="n">
        <f aca="false">J721*(1+IF(K$3&lt;=$O$2,$D721,$D721-($D721-$I$697)*MIN(K$3-$O$2,$Q$2)/$Q$2))</f>
        <v>8487.14437025316</v>
      </c>
      <c r="L721" s="15" t="n">
        <f aca="false">K721*(1+IF(L$3&lt;=$O$2,$D721,$D721-($D721-$I$697)*MIN(L$3-$O$2,$Q$2)/$Q$2))</f>
        <v>8737.62204633168</v>
      </c>
      <c r="M721" s="15" t="n">
        <f aca="false">L721*(1+IF(M$3&lt;=$O$2,$D721,$D721-($D721-$I$697)*MIN(M$3-$O$2,$Q$2)/$Q$2))</f>
        <v>9033.88246998184</v>
      </c>
      <c r="N721" s="15" t="n">
        <f aca="false">M721*(1+IF(N$3&lt;=$O$2,$D721,$D721-($D721-$I$697)*MIN(N$3-$O$2,$Q$2)/$Q$2))</f>
        <v>9379.88016858214</v>
      </c>
      <c r="O721" s="15" t="n">
        <f aca="false">SUMPRODUCT(E721:N721,1/(1+$F$697)^$E$3:$N$3)*$E$2</f>
        <v>8946.89590060566</v>
      </c>
      <c r="P721" s="15" t="n">
        <f aca="false">N721*$E$2*(1+$I$697)/($F$697-$I$697)/(1+$F$697)^$N$3</f>
        <v>13189.2822335773</v>
      </c>
      <c r="Q721" s="15" t="n">
        <f aca="false">O721+P721</f>
        <v>22136.1781341829</v>
      </c>
      <c r="R721" s="15" t="n">
        <f aca="false">Q721-$G$2+$I$2</f>
        <v>19019.9781341829</v>
      </c>
      <c r="S721" s="42" t="n">
        <f aca="false">R721/$K$2</f>
        <v>168.467476830673</v>
      </c>
      <c r="T721" s="43" t="n">
        <f aca="false">S721-$M$2</f>
        <v>-0.000193674198953886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0.0163314938545227</v>
      </c>
      <c r="C722" s="25" t="n">
        <f aca="false">IF(T721&gt;0,D721,C721)</f>
        <v>0.016331672668457</v>
      </c>
      <c r="D722" s="41" t="n">
        <f aca="false">(B722+C722)/2</f>
        <v>0.0163315832614899</v>
      </c>
      <c r="E722" s="15" t="n">
        <f aca="false">$C$2*(1+IF(E$3&lt;=$O$2,$D722,$D722-($D722-$I$697)*MIN(E$3-$O$2,$Q$2)/$Q$2))</f>
        <v>7602.16024279594</v>
      </c>
      <c r="F722" s="15" t="n">
        <f aca="false">E722*(1+IF(F$3&lt;=$O$2,$D722,$D722-($D722-$I$697)*MIN(F$3-$O$2,$Q$2)/$Q$2))</f>
        <v>7726.31555576835</v>
      </c>
      <c r="G722" s="15" t="n">
        <f aca="false">F722*(1+IF(G$3&lt;=$O$2,$D722,$D722-($D722-$I$697)*MIN(G$3-$O$2,$Q$2)/$Q$2))</f>
        <v>7852.49852157193</v>
      </c>
      <c r="H722" s="15" t="n">
        <f aca="false">G722*(1+IF(H$3&lt;=$O$2,$D722,$D722-($D722-$I$697)*MIN(H$3-$O$2,$Q$2)/$Q$2))</f>
        <v>7980.74225498771</v>
      </c>
      <c r="I722" s="15" t="n">
        <f aca="false">H722*(1+IF(I$3&lt;=$O$2,$D722,$D722-($D722-$I$697)*MIN(I$3-$O$2,$Q$2)/$Q$2))</f>
        <v>8111.08041161353</v>
      </c>
      <c r="J722" s="15" t="n">
        <f aca="false">I722*(1+IF(J$3&lt;=$O$2,$D722,$D722-($D722-$I$697)*MIN(J$3-$O$2,$Q$2)/$Q$2))</f>
        <v>8279.18471563282</v>
      </c>
      <c r="K722" s="15" t="n">
        <f aca="false">J722*(1+IF(K$3&lt;=$O$2,$D722,$D722-($D722-$I$697)*MIN(K$3-$O$2,$Q$2)/$Q$2))</f>
        <v>8487.14914218868</v>
      </c>
      <c r="L722" s="15" t="n">
        <f aca="false">K722*(1+IF(L$3&lt;=$O$2,$D722,$D722-($D722-$I$697)*MIN(L$3-$O$2,$Q$2)/$Q$2))</f>
        <v>8737.62726262351</v>
      </c>
      <c r="M722" s="15" t="n">
        <f aca="false">L722*(1+IF(M$3&lt;=$O$2,$D722,$D722-($D722-$I$697)*MIN(M$3-$O$2,$Q$2)/$Q$2))</f>
        <v>9033.88801937977</v>
      </c>
      <c r="N722" s="15" t="n">
        <f aca="false">M722*(1+IF(N$3&lt;=$O$2,$D722,$D722-($D722-$I$697)*MIN(N$3-$O$2,$Q$2)/$Q$2))</f>
        <v>9379.88593052202</v>
      </c>
      <c r="O722" s="15" t="n">
        <f aca="false">SUMPRODUCT(E722:N722,1/(1+$F$697)^$E$3:$N$3)*$E$2</f>
        <v>8946.89936893169</v>
      </c>
      <c r="P722" s="15" t="n">
        <f aca="false">N722*$E$2*(1+$I$697)/($F$697-$I$697)/(1+$F$697)^$N$3</f>
        <v>13189.2903355839</v>
      </c>
      <c r="Q722" s="15" t="n">
        <f aca="false">O722+P722</f>
        <v>22136.1897045156</v>
      </c>
      <c r="R722" s="15" t="n">
        <f aca="false">Q722-$G$2+$I$2</f>
        <v>19019.9897045156</v>
      </c>
      <c r="S722" s="42" t="n">
        <f aca="false">R722/$K$2</f>
        <v>168.46757931369</v>
      </c>
      <c r="T722" s="43" t="n">
        <f aca="false">S722-$M$2</f>
        <v>-9.11911817524924E-005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210</v>
      </c>
    </row>
    <row r="3" customFormat="false" ht="15" hidden="false" customHeight="false" outlineLevel="0" collapsed="false">
      <c r="B3" s="2" t="s">
        <v>211</v>
      </c>
    </row>
    <row r="5" customFormat="false" ht="15" hidden="false" customHeight="false" outlineLevel="0" collapsed="false">
      <c r="B5" s="3" t="s">
        <v>212</v>
      </c>
    </row>
    <row r="6" customFormat="false" ht="15" hidden="false" customHeight="false" outlineLevel="0" collapsed="false">
      <c r="B6" s="28" t="s">
        <v>161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213</v>
      </c>
      <c r="C7" s="23" t="n">
        <f aca="false">IF(C$6&lt;=Inputs!$C$46,Solver!$W$7,Solver!$W$7-(Solver!$W$7-Inputs!$C$37)*MIN(C$6-Inputs!$C$46,Inputs!$C$47)/Inputs!$C$47)</f>
        <v>0.00815496228597112</v>
      </c>
      <c r="D7" s="23" t="n">
        <f aca="false">IF(D$6&lt;=Inputs!$C$46,Solver!$W$7,Solver!$W$7-(Solver!$W$7-Inputs!$C$37)*MIN(D$6-Inputs!$C$46,Inputs!$C$47)/Inputs!$C$47)</f>
        <v>0.00815496228597112</v>
      </c>
      <c r="E7" s="23" t="n">
        <f aca="false">IF(E$6&lt;=Inputs!$C$46,Solver!$W$7,Solver!$W$7-(Solver!$W$7-Inputs!$C$37)*MIN(E$6-Inputs!$C$46,Inputs!$C$47)/Inputs!$C$47)</f>
        <v>0.00815496228597112</v>
      </c>
      <c r="F7" s="23" t="n">
        <f aca="false">IF(F$6&lt;=Inputs!$C$46,Solver!$W$7,Solver!$W$7-(Solver!$W$7-Inputs!$C$37)*MIN(F$6-Inputs!$C$46,Inputs!$C$47)/Inputs!$C$47)</f>
        <v>0.00815496228597112</v>
      </c>
      <c r="G7" s="23" t="n">
        <f aca="false">IF(G$6&lt;=Inputs!$C$46,Solver!$W$7,Solver!$W$7-(Solver!$W$7-Inputs!$C$37)*MIN(G$6-Inputs!$C$46,Inputs!$C$47)/Inputs!$C$47)</f>
        <v>0.00815496228597112</v>
      </c>
      <c r="H7" s="23" t="n">
        <f aca="false">IF(H$6&lt;=Inputs!$C$46,Solver!$W$7,Solver!$W$7-(Solver!$W$7-Inputs!$C$37)*MIN(H$6-Inputs!$C$46,Inputs!$C$47)/Inputs!$C$47)</f>
        <v>0.0121839698287769</v>
      </c>
      <c r="I7" s="23" t="n">
        <f aca="false">IF(I$6&lt;=Inputs!$C$46,Solver!$W$7,Solver!$W$7-(Solver!$W$7-Inputs!$C$37)*MIN(I$6-Inputs!$C$46,Inputs!$C$47)/Inputs!$C$47)</f>
        <v>0.0162129773715827</v>
      </c>
      <c r="J7" s="23" t="n">
        <f aca="false">IF(J$6&lt;=Inputs!$C$46,Solver!$W$7,Solver!$W$7-(Solver!$W$7-Inputs!$C$37)*MIN(J$6-Inputs!$C$46,Inputs!$C$47)/Inputs!$C$47)</f>
        <v>0.0202419849143885</v>
      </c>
      <c r="K7" s="23" t="n">
        <f aca="false">IF(K$6&lt;=Inputs!$C$46,Solver!$W$7,Solver!$W$7-(Solver!$W$7-Inputs!$C$37)*MIN(K$6-Inputs!$C$46,Inputs!$C$47)/Inputs!$C$47)</f>
        <v>0.0242709924571942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7540.99911789906</v>
      </c>
      <c r="D8" s="15" t="n">
        <f aca="false">C8*(1+D7)</f>
        <v>7602.49568130407</v>
      </c>
      <c r="E8" s="15" t="n">
        <f aca="false">D8*(1+E7)</f>
        <v>7664.49374686437</v>
      </c>
      <c r="F8" s="15" t="n">
        <f aca="false">E8*(1+F7)</f>
        <v>7726.99740431111</v>
      </c>
      <c r="G8" s="15" t="n">
        <f aca="false">F8*(1+G7)</f>
        <v>7790.01077672706</v>
      </c>
      <c r="H8" s="15" t="n">
        <f aca="false">G8*(1+H7)</f>
        <v>7884.92403299655</v>
      </c>
      <c r="I8" s="15" t="n">
        <f aca="false">H8*(1+I7)</f>
        <v>8012.76212792017</v>
      </c>
      <c r="J8" s="15" t="n">
        <f aca="false">I8*(1+J7)</f>
        <v>8174.95633803611</v>
      </c>
      <c r="K8" s="15" t="n">
        <f aca="false">J8*(1+K7)</f>
        <v>8373.37064165448</v>
      </c>
      <c r="L8" s="15" t="n">
        <f aca="false">K8*(1+L7)</f>
        <v>8610.3370308133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1290.43835172604</v>
      </c>
      <c r="D9" s="15" t="n">
        <f aca="false">D8*Inputs!$C$23</f>
        <v>1300.96182781674</v>
      </c>
      <c r="E9" s="15" t="n">
        <f aca="false">E8*Inputs!$C$23</f>
        <v>1311.57112245807</v>
      </c>
      <c r="F9" s="15" t="n">
        <f aca="false">F8*Inputs!$C$23</f>
        <v>1322.26693549709</v>
      </c>
      <c r="G9" s="15" t="n">
        <f aca="false">G8*Inputs!$C$23</f>
        <v>1333.04997248805</v>
      </c>
      <c r="H9" s="15" t="n">
        <f aca="false">H8*Inputs!$C$23</f>
        <v>1349.2918131331</v>
      </c>
      <c r="I9" s="15" t="n">
        <f aca="false">I8*Inputs!$C$23</f>
        <v>1371.16785076709</v>
      </c>
      <c r="J9" s="15" t="n">
        <f aca="false">J8*Inputs!$C$23</f>
        <v>1398.92300971741</v>
      </c>
      <c r="K9" s="15" t="n">
        <f aca="false">K8*Inputs!$C$23</f>
        <v>1432.87625953446</v>
      </c>
      <c r="L9" s="15" t="n">
        <f aca="false">L8*Inputs!$C$23</f>
        <v>1473.42665767928</v>
      </c>
    </row>
    <row r="10" customFormat="false" ht="15" hidden="false" customHeight="false" outlineLevel="0" collapsed="false">
      <c r="B10" s="5" t="s">
        <v>214</v>
      </c>
      <c r="C10" s="45" t="n">
        <f aca="false">1/(1+WACC!$C$35)^C$6</f>
        <v>0.924960825847225</v>
      </c>
      <c r="D10" s="45" t="n">
        <f aca="false">1/(1+WACC!$C$35)^D$6</f>
        <v>0.855552529351981</v>
      </c>
      <c r="E10" s="45" t="n">
        <f aca="false">1/(1+WACC!$C$35)^E$6</f>
        <v>0.791352574105091</v>
      </c>
      <c r="F10" s="45" t="n">
        <f aca="false">1/(1+WACC!$C$35)^F$6</f>
        <v>0.731970130480573</v>
      </c>
      <c r="G10" s="45" t="n">
        <f aca="false">1/(1+WACC!$C$35)^G$6</f>
        <v>0.677043696384812</v>
      </c>
      <c r="H10" s="45" t="n">
        <f aca="false">1/(1+WACC!$C$35)^H$6</f>
        <v>0.626238896542754</v>
      </c>
      <c r="I10" s="45" t="n">
        <f aca="false">1/(1+WACC!$C$35)^I$6</f>
        <v>0.579246446923841</v>
      </c>
      <c r="J10" s="45" t="n">
        <f aca="false">1/(1+WACC!$C$35)^J$6</f>
        <v>0.535780271915746</v>
      </c>
      <c r="K10" s="45" t="n">
        <f aca="false">1/(1+WACC!$C$35)^K$6</f>
        <v>0.49557576278384</v>
      </c>
      <c r="L10" s="45" t="n">
        <f aca="false">1/(1+WACC!$C$35)^L$6</f>
        <v>0.458388166814409</v>
      </c>
    </row>
    <row r="11" customFormat="false" ht="15" hidden="false" customHeight="false" outlineLevel="0" collapsed="false">
      <c r="B11" s="5" t="s">
        <v>215</v>
      </c>
      <c r="C11" s="15" t="n">
        <f aca="false">C9*C10</f>
        <v>1193.60492351745</v>
      </c>
      <c r="D11" s="15" t="n">
        <f aca="false">D9*D10</f>
        <v>1113.04118237899</v>
      </c>
      <c r="E11" s="15" t="n">
        <f aca="false">E9*E10</f>
        <v>1037.9151838791</v>
      </c>
      <c r="F11" s="15" t="n">
        <f aca="false">F9*F10</f>
        <v>967.85990130595</v>
      </c>
      <c r="G11" s="15" t="n">
        <f aca="false">G9*G10</f>
        <v>902.533080838983</v>
      </c>
      <c r="H11" s="15" t="n">
        <f aca="false">H9*H10</f>
        <v>844.979016170643</v>
      </c>
      <c r="I11" s="15" t="n">
        <f aca="false">I9*I10</f>
        <v>794.244105693035</v>
      </c>
      <c r="J11" s="15" t="n">
        <f aca="false">J9*J10</f>
        <v>749.515350535588</v>
      </c>
      <c r="K11" s="15" t="n">
        <f aca="false">K9*K10</f>
        <v>710.098745293643</v>
      </c>
      <c r="L11" s="15" t="n">
        <f aca="false">L9*L10</f>
        <v>675.401344549088</v>
      </c>
    </row>
    <row r="13" customFormat="false" ht="15" hidden="false" customHeight="false" outlineLevel="0" collapsed="false">
      <c r="B13" s="5" t="s">
        <v>216</v>
      </c>
      <c r="C13" s="15" t="n">
        <f aca="false">SUM(C11:L11)</f>
        <v>8989.19283416247</v>
      </c>
    </row>
    <row r="14" customFormat="false" ht="15" hidden="false" customHeight="false" outlineLevel="0" collapsed="false">
      <c r="B14" s="5" t="s">
        <v>217</v>
      </c>
      <c r="C14" s="15" t="n">
        <f aca="false">L9*(1+Inputs!$C$37)/(WACC!$C$35-Inputs!$C$37)</f>
        <v>28680.9479769808</v>
      </c>
    </row>
    <row r="15" customFormat="false" ht="15" hidden="false" customHeight="false" outlineLevel="0" collapsed="false">
      <c r="B15" s="5" t="s">
        <v>218</v>
      </c>
      <c r="C15" s="15" t="n">
        <f aca="false">C14*L10</f>
        <v>13147.0071656677</v>
      </c>
    </row>
    <row r="16" customFormat="false" ht="15" hidden="false" customHeight="false" outlineLevel="0" collapsed="false">
      <c r="B16" s="7" t="s">
        <v>219</v>
      </c>
      <c r="C16" s="15" t="n">
        <f aca="false">C13+C15</f>
        <v>22136.1999998302</v>
      </c>
    </row>
    <row r="17" customFormat="false" ht="15" hidden="false" customHeight="false" outlineLevel="0" collapsed="false">
      <c r="B17" s="5" t="s">
        <v>220</v>
      </c>
      <c r="C17" s="16" t="n">
        <f aca="false">-Inputs!$C$27</f>
        <v>-3520</v>
      </c>
    </row>
    <row r="18" customFormat="false" ht="15" hidden="false" customHeight="false" outlineLevel="0" collapsed="false">
      <c r="B18" s="5" t="s">
        <v>221</v>
      </c>
      <c r="C18" s="16" t="n">
        <f aca="false">Inputs!$C$28</f>
        <v>403.8</v>
      </c>
    </row>
    <row r="19" customFormat="false" ht="15" hidden="false" customHeight="false" outlineLevel="0" collapsed="false">
      <c r="B19" s="5" t="s">
        <v>222</v>
      </c>
      <c r="C19" s="15" t="n">
        <f aca="false">SUM(C16:C18)</f>
        <v>19019.9999998302</v>
      </c>
    </row>
    <row r="20" customFormat="false" ht="15" hidden="false" customHeight="false" outlineLevel="0" collapsed="false">
      <c r="B20" s="5" t="s">
        <v>223</v>
      </c>
      <c r="C20" s="36" t="n">
        <f aca="false">Inputs!$C$7</f>
        <v>112.9</v>
      </c>
    </row>
    <row r="21" customFormat="false" ht="15" hidden="false" customHeight="false" outlineLevel="0" collapsed="false">
      <c r="B21" s="7" t="s">
        <v>224</v>
      </c>
      <c r="C21" s="46" t="n">
        <f aca="false">C19/C20</f>
        <v>168.467670503367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168.467670504872</v>
      </c>
    </row>
    <row r="23" customFormat="false" ht="15" hidden="false" customHeight="false" outlineLevel="0" collapsed="false">
      <c r="B23" s="5" t="s">
        <v>225</v>
      </c>
      <c r="C23" s="23" t="n">
        <f aca="false">C21/C22-1</f>
        <v>-8.92996787626998E-012</v>
      </c>
    </row>
    <row r="24" customFormat="false" ht="15" hidden="false" customHeight="false" outlineLevel="0" collapsed="false">
      <c r="B24" s="5" t="s">
        <v>226</v>
      </c>
      <c r="C24" s="23" t="n">
        <f aca="false">C15/C16</f>
        <v>0.59391436496637</v>
      </c>
    </row>
    <row r="25" customFormat="false" ht="15" hidden="false" customHeight="false" outlineLevel="0" collapsed="false">
      <c r="B25" s="3" t="s">
        <v>227</v>
      </c>
    </row>
    <row r="26" customFormat="false" ht="15" hidden="false" customHeight="false" outlineLevel="0" collapsed="false">
      <c r="B26" s="28" t="s">
        <v>161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213</v>
      </c>
      <c r="C27" s="23" t="n">
        <f aca="false">IF(C$26&lt;=Inputs!$C$46,Inputs!$C$45,Inputs!$C$45-(Inputs!$C$45-Inputs!$C$37)*MIN(C$26-Inputs!$C$46,Inputs!$C$47)/Inputs!$C$47)</f>
        <v>0.0598867486285173</v>
      </c>
      <c r="D27" s="23" t="n">
        <f aca="false">IF(D$26&lt;=Inputs!$C$46,Inputs!$C$45,Inputs!$C$45-(Inputs!$C$45-Inputs!$C$37)*MIN(D$26-Inputs!$C$46,Inputs!$C$47)/Inputs!$C$47)</f>
        <v>0.0598867486285173</v>
      </c>
      <c r="E27" s="23" t="n">
        <f aca="false">IF(E$26&lt;=Inputs!$C$46,Inputs!$C$45,Inputs!$C$45-(Inputs!$C$45-Inputs!$C$37)*MIN(E$26-Inputs!$C$46,Inputs!$C$47)/Inputs!$C$47)</f>
        <v>0.0598867486285173</v>
      </c>
      <c r="F27" s="23" t="n">
        <f aca="false">IF(F$26&lt;=Inputs!$C$46,Inputs!$C$45,Inputs!$C$45-(Inputs!$C$45-Inputs!$C$37)*MIN(F$26-Inputs!$C$46,Inputs!$C$47)/Inputs!$C$47)</f>
        <v>0.0598867486285173</v>
      </c>
      <c r="G27" s="23" t="n">
        <f aca="false">IF(G$26&lt;=Inputs!$C$46,Inputs!$C$45,Inputs!$C$45-(Inputs!$C$45-Inputs!$C$37)*MIN(G$26-Inputs!$C$46,Inputs!$C$47)/Inputs!$C$47)</f>
        <v>0.0598867486285173</v>
      </c>
      <c r="H27" s="23" t="n">
        <f aca="false">IF(H$26&lt;=Inputs!$C$46,Inputs!$C$45,Inputs!$C$45-(Inputs!$C$45-Inputs!$C$37)*MIN(H$26-Inputs!$C$46,Inputs!$C$47)/Inputs!$C$47)</f>
        <v>0.0535693989028138</v>
      </c>
      <c r="I27" s="23" t="n">
        <f aca="false">IF(I$26&lt;=Inputs!$C$46,Inputs!$C$45,Inputs!$C$45-(Inputs!$C$45-Inputs!$C$37)*MIN(I$26-Inputs!$C$46,Inputs!$C$47)/Inputs!$C$47)</f>
        <v>0.0472520491771104</v>
      </c>
      <c r="J27" s="23" t="n">
        <f aca="false">IF(J$26&lt;=Inputs!$C$46,Inputs!$C$45,Inputs!$C$45-(Inputs!$C$45-Inputs!$C$37)*MIN(J$26-Inputs!$C$46,Inputs!$C$47)/Inputs!$C$47)</f>
        <v>0.0409346994514069</v>
      </c>
      <c r="K27" s="23" t="n">
        <f aca="false">IF(K$26&lt;=Inputs!$C$46,Inputs!$C$45,Inputs!$C$45-(Inputs!$C$45-Inputs!$C$37)*MIN(K$26-Inputs!$C$46,Inputs!$C$47)/Inputs!$C$47)</f>
        <v>0.0346173497257035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7927.95287974131</v>
      </c>
      <c r="D28" s="15" t="n">
        <f aca="false">C28*(1+D27)</f>
        <v>8402.73220098911</v>
      </c>
      <c r="E28" s="15" t="n">
        <f aca="false">D28*(1+E27)</f>
        <v>8905.94451210249</v>
      </c>
      <c r="F28" s="15" t="n">
        <f aca="false">E28*(1+F27)</f>
        <v>9439.29257239829</v>
      </c>
      <c r="G28" s="15" t="n">
        <f aca="false">F28*(1+G27)</f>
        <v>10004.5811139125</v>
      </c>
      <c r="H28" s="15" t="n">
        <f aca="false">G28*(1+H27)</f>
        <v>10540.5205104593</v>
      </c>
      <c r="I28" s="15" t="n">
        <f aca="false">H28*(1+I27)</f>
        <v>11038.5817039718</v>
      </c>
      <c r="J28" s="15" t="n">
        <f aca="false">I28*(1+J27)</f>
        <v>11490.4427283937</v>
      </c>
      <c r="K28" s="15" t="n">
        <f aca="false">J28*(1+K27)</f>
        <v>11888.2114028257</v>
      </c>
      <c r="L28" s="15" t="n">
        <f aca="false">K28*(1+L27)</f>
        <v>12224.6477855257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1356.6550382445</v>
      </c>
      <c r="D29" s="15" t="n">
        <f aca="false">D28*Inputs!$C$23</f>
        <v>1437.90069749546</v>
      </c>
      <c r="E29" s="15" t="n">
        <f aca="false">E28*Inputs!$C$23</f>
        <v>1524.01189511914</v>
      </c>
      <c r="F29" s="15" t="n">
        <f aca="false">F28*Inputs!$C$23</f>
        <v>1615.28001238901</v>
      </c>
      <c r="G29" s="15" t="n">
        <f aca="false">G28*Inputs!$C$23</f>
        <v>1712.01388045562</v>
      </c>
      <c r="H29" s="15" t="n">
        <f aca="false">H28*Inputs!$C$23</f>
        <v>1803.7254349449</v>
      </c>
      <c r="I29" s="15" t="n">
        <f aca="false">I28*Inputs!$C$23</f>
        <v>1888.95515789892</v>
      </c>
      <c r="J29" s="15" t="n">
        <f aca="false">J28*Inputs!$C$23</f>
        <v>1966.2789695647</v>
      </c>
      <c r="K29" s="15" t="n">
        <f aca="false">K28*Inputs!$C$23</f>
        <v>2034.34633631242</v>
      </c>
      <c r="L29" s="15" t="n">
        <f aca="false">L28*Inputs!$C$23</f>
        <v>2091.91833763006</v>
      </c>
    </row>
    <row r="30" customFormat="false" ht="15" hidden="false" customHeight="false" outlineLevel="0" collapsed="false">
      <c r="B30" s="5" t="s">
        <v>214</v>
      </c>
      <c r="C30" s="45" t="n">
        <f aca="false">1/(1+WACC!$C$35)^C$26</f>
        <v>0.924960825847225</v>
      </c>
      <c r="D30" s="45" t="n">
        <f aca="false">1/(1+WACC!$C$35)^D$26</f>
        <v>0.855552529351981</v>
      </c>
      <c r="E30" s="45" t="n">
        <f aca="false">1/(1+WACC!$C$35)^E$26</f>
        <v>0.791352574105091</v>
      </c>
      <c r="F30" s="45" t="n">
        <f aca="false">1/(1+WACC!$C$35)^F$26</f>
        <v>0.731970130480573</v>
      </c>
      <c r="G30" s="45" t="n">
        <f aca="false">1/(1+WACC!$C$35)^G$26</f>
        <v>0.677043696384812</v>
      </c>
      <c r="H30" s="45" t="n">
        <f aca="false">1/(1+WACC!$C$35)^H$26</f>
        <v>0.626238896542754</v>
      </c>
      <c r="I30" s="45" t="n">
        <f aca="false">1/(1+WACC!$C$35)^I$26</f>
        <v>0.579246446923841</v>
      </c>
      <c r="J30" s="45" t="n">
        <f aca="false">1/(1+WACC!$C$35)^J$26</f>
        <v>0.535780271915746</v>
      </c>
      <c r="K30" s="45" t="n">
        <f aca="false">1/(1+WACC!$C$35)^K$26</f>
        <v>0.49557576278384</v>
      </c>
      <c r="L30" s="45" t="n">
        <f aca="false">1/(1+WACC!$C$35)^L$26</f>
        <v>0.458388166814409</v>
      </c>
    </row>
    <row r="31" customFormat="false" ht="15" hidden="false" customHeight="false" outlineLevel="0" collapsed="false">
      <c r="B31" s="5" t="s">
        <v>215</v>
      </c>
      <c r="C31" s="15" t="n">
        <f aca="false">C29*C30</f>
        <v>1254.85276456443</v>
      </c>
      <c r="D31" s="15" t="n">
        <f aca="false">D29*D30</f>
        <v>1230.19957869922</v>
      </c>
      <c r="E31" s="15" t="n">
        <f aca="false">E29*E30</f>
        <v>1206.03073616931</v>
      </c>
      <c r="F31" s="15" t="n">
        <f aca="false">F29*F30</f>
        <v>1182.33672143105</v>
      </c>
      <c r="G31" s="15" t="n">
        <f aca="false">G29*G30</f>
        <v>1159.10820588578</v>
      </c>
      <c r="H31" s="15" t="n">
        <f aca="false">H29*H30</f>
        <v>1129.56302604599</v>
      </c>
      <c r="I31" s="15" t="n">
        <f aca="false">I29*I30</f>
        <v>1094.17056361141</v>
      </c>
      <c r="J31" s="15" t="n">
        <f aca="false">J29*J30</f>
        <v>1053.49348097559</v>
      </c>
      <c r="K31" s="15" t="n">
        <f aca="false">K29*K30</f>
        <v>1008.17273738454</v>
      </c>
      <c r="L31" s="15" t="n">
        <f aca="false">L29*L30</f>
        <v>958.91061191169</v>
      </c>
    </row>
    <row r="33" customFormat="false" ht="15" hidden="false" customHeight="false" outlineLevel="0" collapsed="false">
      <c r="B33" s="5" t="s">
        <v>216</v>
      </c>
      <c r="C33" s="15" t="n">
        <f aca="false">SUM(C31:L31)</f>
        <v>11276.838426679</v>
      </c>
    </row>
    <row r="34" customFormat="false" ht="15" hidden="false" customHeight="false" outlineLevel="0" collapsed="false">
      <c r="B34" s="5" t="s">
        <v>217</v>
      </c>
      <c r="C34" s="15" t="n">
        <f aca="false">L29*(1+Inputs!$C$37)/(WACC!$C$35-Inputs!$C$37)</f>
        <v>40720.1815583818</v>
      </c>
    </row>
    <row r="35" customFormat="false" ht="15" hidden="false" customHeight="false" outlineLevel="0" collapsed="false">
      <c r="B35" s="5" t="s">
        <v>218</v>
      </c>
      <c r="C35" s="15" t="n">
        <f aca="false">C34*L30</f>
        <v>18665.6493768965</v>
      </c>
    </row>
    <row r="36" customFormat="false" ht="15" hidden="false" customHeight="false" outlineLevel="0" collapsed="false">
      <c r="B36" s="7" t="s">
        <v>219</v>
      </c>
      <c r="C36" s="15" t="n">
        <f aca="false">C33+C35</f>
        <v>29942.4878035756</v>
      </c>
    </row>
    <row r="37" customFormat="false" ht="15" hidden="false" customHeight="false" outlineLevel="0" collapsed="false">
      <c r="B37" s="5" t="s">
        <v>220</v>
      </c>
      <c r="C37" s="16" t="n">
        <f aca="false">-Inputs!$C$27</f>
        <v>-3520</v>
      </c>
    </row>
    <row r="38" customFormat="false" ht="15" hidden="false" customHeight="false" outlineLevel="0" collapsed="false">
      <c r="B38" s="5" t="s">
        <v>221</v>
      </c>
      <c r="C38" s="16" t="n">
        <f aca="false">Inputs!$C$28</f>
        <v>403.8</v>
      </c>
    </row>
    <row r="39" customFormat="false" ht="15" hidden="false" customHeight="false" outlineLevel="0" collapsed="false">
      <c r="B39" s="5" t="s">
        <v>222</v>
      </c>
      <c r="C39" s="15" t="n">
        <f aca="false">SUM(C36:C38)</f>
        <v>26826.2878035756</v>
      </c>
    </row>
    <row r="40" customFormat="false" ht="15" hidden="false" customHeight="false" outlineLevel="0" collapsed="false">
      <c r="B40" s="5" t="s">
        <v>223</v>
      </c>
      <c r="C40" s="36" t="n">
        <f aca="false">Inputs!$C$7</f>
        <v>112.9</v>
      </c>
    </row>
    <row r="41" customFormat="false" ht="15" hidden="false" customHeight="false" outlineLevel="0" collapsed="false">
      <c r="B41" s="7" t="s">
        <v>224</v>
      </c>
      <c r="C41" s="46" t="n">
        <f aca="false">C39/C40</f>
        <v>237.611052290306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168.467670504872</v>
      </c>
    </row>
    <row r="43" customFormat="false" ht="15" hidden="false" customHeight="false" outlineLevel="0" collapsed="false">
      <c r="B43" s="5" t="s">
        <v>225</v>
      </c>
      <c r="C43" s="23" t="n">
        <f aca="false">C41/C42-1</f>
        <v>0.410425226265801</v>
      </c>
    </row>
    <row r="44" customFormat="false" ht="15" hidden="false" customHeight="false" outlineLevel="0" collapsed="false">
      <c r="B44" s="5" t="s">
        <v>226</v>
      </c>
      <c r="C44" s="23" t="n">
        <f aca="false">C35/C36</f>
        <v>0.623383384151119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228</v>
      </c>
    </row>
    <row r="3" customFormat="false" ht="15" hidden="false" customHeight="false" outlineLevel="0" collapsed="false">
      <c r="B3" s="2" t="s">
        <v>229</v>
      </c>
    </row>
    <row r="5" customFormat="false" ht="15" hidden="false" customHeight="false" outlineLevel="0" collapsed="false">
      <c r="B5" s="5" t="s">
        <v>230</v>
      </c>
      <c r="C5" s="24" t="n">
        <v>0.005</v>
      </c>
      <c r="D5" s="5" t="s">
        <v>231</v>
      </c>
      <c r="F5" s="24" t="n">
        <v>0.005</v>
      </c>
    </row>
    <row r="6" customFormat="false" ht="15" hidden="false" customHeight="false" outlineLevel="0" collapsed="false">
      <c r="B6" s="5" t="s">
        <v>232</v>
      </c>
      <c r="C6" s="24" t="n">
        <v>0.02</v>
      </c>
    </row>
    <row r="8" customFormat="false" ht="15" hidden="false" customHeight="false" outlineLevel="0" collapsed="false">
      <c r="B8" s="3" t="s">
        <v>233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WACC!$C$35+(0-2)*$C$5</f>
        <v>0.0711268672746673</v>
      </c>
      <c r="C10" s="9" t="n">
        <f aca="false">Solver!$D$74</f>
        <v>-3.22163105010986E-005</v>
      </c>
      <c r="D10" s="9" t="n">
        <f aca="false">Solver!$D$101</f>
        <v>-0.0121981799602509</v>
      </c>
      <c r="E10" s="9" t="n">
        <f aca="false">Solver!$D$128</f>
        <v>-0.025676816701889</v>
      </c>
      <c r="F10" s="9" t="n">
        <f aca="false">Solver!$D$155</f>
        <v>-0.0407790839672089</v>
      </c>
      <c r="G10" s="9" t="n">
        <f aca="false">Solver!$D$182</f>
        <v>-0.0579423606395721</v>
      </c>
      <c r="I10" s="19" t="s">
        <v>234</v>
      </c>
    </row>
    <row r="11" customFormat="false" ht="15" hidden="false" customHeight="false" outlineLevel="0" collapsed="false">
      <c r="B11" s="47" t="n">
        <f aca="false">WACC!$C$35+(1-2)*$C$5</f>
        <v>0.0761268672746673</v>
      </c>
      <c r="C11" s="9" t="n">
        <f aca="false">Solver!$D$209</f>
        <v>0.01519575715065</v>
      </c>
      <c r="D11" s="9" t="n">
        <f aca="false">Solver!$D$236</f>
        <v>0.00406280159950256</v>
      </c>
      <c r="E11" s="9" t="n">
        <f aca="false">Solver!$D$263</f>
        <v>-0.00815895199775696</v>
      </c>
      <c r="F11" s="9" t="n">
        <f aca="false">Solver!$D$290</f>
        <v>-0.0216991007328033</v>
      </c>
      <c r="G11" s="9" t="n">
        <f aca="false">Solver!$D$317</f>
        <v>-0.0368693172931671</v>
      </c>
    </row>
    <row r="12" customFormat="false" ht="15" hidden="false" customHeight="false" outlineLevel="0" collapsed="false">
      <c r="B12" s="47" t="n">
        <f aca="false">WACC!$C$35+(2-2)*$C$5</f>
        <v>0.0811268672746673</v>
      </c>
      <c r="C12" s="9" t="n">
        <f aca="false">Solver!$D$344</f>
        <v>0.0296047627925873</v>
      </c>
      <c r="D12" s="9" t="n">
        <f aca="false">Solver!$D$371</f>
        <v>0.0193390548229218</v>
      </c>
      <c r="E12" s="8" t="n">
        <f aca="false">Solver!$D$398</f>
        <v>0.00815495848655701</v>
      </c>
      <c r="F12" s="9" t="n">
        <f aca="false">Solver!$D$425</f>
        <v>-0.00412240624427795</v>
      </c>
      <c r="G12" s="9" t="n">
        <f aca="false">Solver!$D$452</f>
        <v>-0.0177237093448639</v>
      </c>
    </row>
    <row r="13" customFormat="false" ht="15" hidden="false" customHeight="false" outlineLevel="0" collapsed="false">
      <c r="B13" s="47" t="n">
        <f aca="false">WACC!$C$35+(3-2)*$C$5</f>
        <v>0.0861268672746673</v>
      </c>
      <c r="C13" s="9" t="n">
        <f aca="false">Solver!$D$479</f>
        <v>0.0433192551136017</v>
      </c>
      <c r="D13" s="9" t="n">
        <f aca="false">Solver!$D$506</f>
        <v>0.0337924063205719</v>
      </c>
      <c r="E13" s="9" t="n">
        <f aca="false">Solver!$D$533</f>
        <v>0.0234796702861786</v>
      </c>
      <c r="F13" s="9" t="n">
        <f aca="false">Solver!$D$560</f>
        <v>0.0122446119785309</v>
      </c>
      <c r="G13" s="9" t="n">
        <f aca="false">Solver!$D$587</f>
        <v>-8.83638858795166E-005</v>
      </c>
    </row>
    <row r="14" customFormat="false" ht="15" hidden="false" customHeight="false" outlineLevel="0" collapsed="false">
      <c r="B14" s="47" t="n">
        <f aca="false">WACC!$C$35+(4-2)*$C$5</f>
        <v>0.0911268672746673</v>
      </c>
      <c r="C14" s="9" t="n">
        <f aca="false">Solver!$D$614</f>
        <v>0.0564379394054413</v>
      </c>
      <c r="D14" s="9" t="n">
        <f aca="false">Solver!$D$641</f>
        <v>0.0475480258464813</v>
      </c>
      <c r="E14" s="9" t="n">
        <f aca="false">Solver!$D$668</f>
        <v>0.037977546453476</v>
      </c>
      <c r="F14" s="9" t="n">
        <f aca="false">Solver!$D$695</f>
        <v>0.0276177823543549</v>
      </c>
      <c r="G14" s="9" t="n">
        <f aca="false">Solver!$D$722</f>
        <v>0.0163315832614899</v>
      </c>
    </row>
    <row r="17" customFormat="false" ht="15" hidden="false" customHeight="false" outlineLevel="0" collapsed="false">
      <c r="B17" s="3" t="s">
        <v>235</v>
      </c>
    </row>
    <row r="18" customFormat="false" ht="15" hidden="false" customHeight="false" outlineLevel="0" collapsed="false">
      <c r="C18" s="48" t="n">
        <f aca="false">Inputs!$C$45+(0-2)*$C$6</f>
        <v>0.0198867486285173</v>
      </c>
      <c r="D18" s="48" t="n">
        <f aca="false">Inputs!$C$45+(1-2)*$C$6</f>
        <v>0.0398867486285173</v>
      </c>
      <c r="E18" s="48" t="n">
        <f aca="false">Inputs!$C$45+(2-2)*$C$6</f>
        <v>0.0598867486285173</v>
      </c>
      <c r="F18" s="48" t="n">
        <f aca="false">Inputs!$C$45+(3-2)*$C$6</f>
        <v>0.0798867486285173</v>
      </c>
      <c r="G18" s="48" t="n">
        <f aca="false">Inputs!$C$45+(4-2)*$C$6</f>
        <v>0.0998867486285173</v>
      </c>
    </row>
    <row r="19" customFormat="false" ht="15" hidden="false" customHeight="false" outlineLevel="0" collapsed="false">
      <c r="B19" s="47" t="n">
        <f aca="false">WACC!$C$35+(0-2)*$C$5</f>
        <v>0.0711268672746673</v>
      </c>
      <c r="C19" s="42" t="n">
        <f aca="false">(SUMPRODUCT($C28:$L28,1/(1+$B19)^$C$27:$L$27)*Inputs!$C$23+$L28*Inputs!$C$23*(1+Inputs!$C$37)/($B19-Inputs!$C$37)/(1+$B19)^$L$27-Inputs!$C$27+Inputs!$C$28)/Inputs!$C$7</f>
        <v>231.166746697018</v>
      </c>
      <c r="D19" s="42" t="n">
        <f aca="false">(SUMPRODUCT($C29:$L29,1/(1+$B19)^$C$27:$L$27)*Inputs!$C$23+$L29*Inputs!$C$23*(1+Inputs!$C$37)/($B19-Inputs!$C$37)/(1+$B19)^$L$27-Inputs!$C$27+Inputs!$C$28)/Inputs!$C$7</f>
        <v>264.208206670575</v>
      </c>
      <c r="E19" s="42" t="n">
        <f aca="false">(SUMPRODUCT($C30:$L30,1/(1+$B19)^$C$27:$L$27)*Inputs!$C$23+$L30*Inputs!$C$23*(1+Inputs!$C$37)/($B19-Inputs!$C$37)/(1+$B19)^$L$27-Inputs!$C$27+Inputs!$C$28)/Inputs!$C$7</f>
        <v>301.120600120052</v>
      </c>
      <c r="F19" s="42" t="n">
        <f aca="false">(SUMPRODUCT($C31:$L31,1/(1+$B19)^$C$27:$L$27)*Inputs!$C$23+$L31*Inputs!$C$23*(1+Inputs!$C$37)/($B19-Inputs!$C$37)/(1+$B19)^$L$27-Inputs!$C$27+Inputs!$C$28)/Inputs!$C$7</f>
        <v>342.297240221658</v>
      </c>
      <c r="G19" s="42" t="n">
        <f aca="false">(SUMPRODUCT($C32:$L32,1/(1+$B19)^$C$27:$L$27)*Inputs!$C$23+$L32*Inputs!$C$23*(1+Inputs!$C$37)/($B19-Inputs!$C$37)/(1+$B19)^$L$27-Inputs!$C$27+Inputs!$C$28)/Inputs!$C$7</f>
        <v>388.1647329361</v>
      </c>
      <c r="I19" s="19" t="s">
        <v>236</v>
      </c>
    </row>
    <row r="20" customFormat="false" ht="15" hidden="false" customHeight="false" outlineLevel="0" collapsed="false">
      <c r="B20" s="47" t="n">
        <f aca="false">WACC!$C$35+(1-2)*$C$5</f>
        <v>0.0761268672746673</v>
      </c>
      <c r="C20" s="42" t="n">
        <f aca="false">(SUMPRODUCT($C28:$L28,1/(1+$B20)^$C$27:$L$27)*Inputs!$C$23+$L28*Inputs!$C$23*(1+Inputs!$C$37)/($B20-Inputs!$C$37)/(1+$B20)^$L$27-Inputs!$C$27+Inputs!$C$28)/Inputs!$C$7</f>
        <v>204.275431307125</v>
      </c>
      <c r="D20" s="42" t="n">
        <f aca="false">(SUMPRODUCT($C29:$L29,1/(1+$B20)^$C$27:$L$27)*Inputs!$C$23+$L29*Inputs!$C$23*(1+Inputs!$C$37)/($B20-Inputs!$C$37)/(1+$B20)^$L$27-Inputs!$C$27+Inputs!$C$28)/Inputs!$C$7</f>
        <v>233.459390753296</v>
      </c>
      <c r="E20" s="42" t="n">
        <f aca="false">(SUMPRODUCT($C30:$L30,1/(1+$B20)^$C$27:$L$27)*Inputs!$C$23+$L30*Inputs!$C$23*(1+Inputs!$C$37)/($B20-Inputs!$C$37)/(1+$B20)^$L$27-Inputs!$C$27+Inputs!$C$28)/Inputs!$C$7</f>
        <v>266.036746264741</v>
      </c>
      <c r="F20" s="42" t="n">
        <f aca="false">(SUMPRODUCT($C31:$L31,1/(1+$B20)^$C$27:$L$27)*Inputs!$C$23+$L31*Inputs!$C$23*(1+Inputs!$C$37)/($B20-Inputs!$C$37)/(1+$B20)^$L$27-Inputs!$C$27+Inputs!$C$28)/Inputs!$C$7</f>
        <v>302.350832041431</v>
      </c>
      <c r="G20" s="42" t="n">
        <f aca="false">(SUMPRODUCT($C32:$L32,1/(1+$B20)^$C$27:$L$27)*Inputs!$C$23+$L32*Inputs!$C$23*(1+Inputs!$C$37)/($B20-Inputs!$C$37)/(1+$B20)^$L$27-Inputs!$C$27+Inputs!$C$28)/Inputs!$C$7</f>
        <v>342.773959823384</v>
      </c>
    </row>
    <row r="21" customFormat="false" ht="15" hidden="false" customHeight="false" outlineLevel="0" collapsed="false">
      <c r="B21" s="47" t="n">
        <f aca="false">WACC!$C$35+(2-2)*$C$5</f>
        <v>0.0811268672746673</v>
      </c>
      <c r="C21" s="42" t="n">
        <f aca="false">(SUMPRODUCT($C28:$L28,1/(1+$B21)^$C$27:$L$27)*Inputs!$C$23+$L28*Inputs!$C$23*(1+Inputs!$C$37)/($B21-Inputs!$C$37)/(1+$B21)^$L$27-Inputs!$C$27+Inputs!$C$28)/Inputs!$C$7</f>
        <v>182.47086637296</v>
      </c>
      <c r="D21" s="42" t="n">
        <f aca="false">(SUMPRODUCT($C29:$L29,1/(1+$B21)^$C$27:$L$27)*Inputs!$C$23+$L29*Inputs!$C$23*(1+Inputs!$C$37)/($B21-Inputs!$C$37)/(1+$B21)^$L$27-Inputs!$C$27+Inputs!$C$28)/Inputs!$C$7</f>
        <v>208.536879255584</v>
      </c>
      <c r="E21" s="46" t="n">
        <f aca="false">(SUMPRODUCT($C30:$L30,1/(1+$B21)^$C$27:$L$27)*Inputs!$C$23+$L30*Inputs!$C$23*(1+Inputs!$C$37)/($B21-Inputs!$C$37)/(1+$B21)^$L$27-Inputs!$C$27+Inputs!$C$28)/Inputs!$C$7</f>
        <v>237.611052290306</v>
      </c>
      <c r="F21" s="42" t="n">
        <f aca="false">(SUMPRODUCT($C31:$L31,1/(1+$B21)^$C$27:$L$27)*Inputs!$C$23+$L31*Inputs!$C$23*(1+Inputs!$C$37)/($B21-Inputs!$C$37)/(1+$B21)^$L$27-Inputs!$C$27+Inputs!$C$28)/Inputs!$C$7</f>
        <v>269.996454833406</v>
      </c>
      <c r="G21" s="42" t="n">
        <f aca="false">(SUMPRODUCT($C32:$L32,1/(1+$B21)^$C$27:$L$27)*Inputs!$C$23+$L32*Inputs!$C$23*(1+Inputs!$C$37)/($B21-Inputs!$C$37)/(1+$B21)^$L$27-Inputs!$C$27+Inputs!$C$28)/Inputs!$C$7</f>
        <v>306.021660850305</v>
      </c>
    </row>
    <row r="22" customFormat="false" ht="15" hidden="false" customHeight="false" outlineLevel="0" collapsed="false">
      <c r="B22" s="47" t="n">
        <f aca="false">WACC!$C$35+(3-2)*$C$5</f>
        <v>0.0861268672746673</v>
      </c>
      <c r="C22" s="42" t="n">
        <f aca="false">(SUMPRODUCT($C28:$L28,1/(1+$B22)^$C$27:$L$27)*Inputs!$C$23+$L28*Inputs!$C$23*(1+Inputs!$C$37)/($B22-Inputs!$C$37)/(1+$B22)^$L$27-Inputs!$C$27+Inputs!$C$28)/Inputs!$C$7</f>
        <v>164.433685189777</v>
      </c>
      <c r="D22" s="42" t="n">
        <f aca="false">(SUMPRODUCT($C29:$L29,1/(1+$B22)^$C$27:$L$27)*Inputs!$C$23+$L29*Inputs!$C$23*(1+Inputs!$C$37)/($B22-Inputs!$C$37)/(1+$B22)^$L$27-Inputs!$C$27+Inputs!$C$28)/Inputs!$C$7</f>
        <v>187.929188667126</v>
      </c>
      <c r="E22" s="42" t="n">
        <f aca="false">(SUMPRODUCT($C30:$L30,1/(1+$B22)^$C$27:$L$27)*Inputs!$C$23+$L30*Inputs!$C$23*(1+Inputs!$C$37)/($B22-Inputs!$C$37)/(1+$B22)^$L$27-Inputs!$C$27+Inputs!$C$28)/Inputs!$C$7</f>
        <v>214.115913929904</v>
      </c>
      <c r="F22" s="42" t="n">
        <f aca="false">(SUMPRODUCT($C31:$L31,1/(1+$B22)^$C$27:$L$27)*Inputs!$C$23+$L31*Inputs!$C$23*(1+Inputs!$C$37)/($B22-Inputs!$C$37)/(1+$B22)^$L$27-Inputs!$C$27+Inputs!$C$28)/Inputs!$C$7</f>
        <v>243.263851196912</v>
      </c>
      <c r="G22" s="42" t="n">
        <f aca="false">(SUMPRODUCT($C32:$L32,1/(1+$B22)^$C$27:$L$27)*Inputs!$C$23+$L32*Inputs!$C$23*(1+Inputs!$C$37)/($B22-Inputs!$C$37)/(1+$B22)^$L$27-Inputs!$C$27+Inputs!$C$28)/Inputs!$C$7</f>
        <v>275.665645280837</v>
      </c>
    </row>
    <row r="23" customFormat="false" ht="15" hidden="false" customHeight="false" outlineLevel="0" collapsed="false">
      <c r="B23" s="47" t="n">
        <f aca="false">WACC!$C$35+(4-2)*$C$5</f>
        <v>0.0911268672746673</v>
      </c>
      <c r="C23" s="42" t="n">
        <f aca="false">(SUMPRODUCT($C28:$L28,1/(1+$B23)^$C$27:$L$27)*Inputs!$C$23+$L28*Inputs!$C$23*(1+Inputs!$C$37)/($B23-Inputs!$C$37)/(1+$B23)^$L$27-Inputs!$C$27+Inputs!$C$28)/Inputs!$C$7</f>
        <v>149.264517863212</v>
      </c>
      <c r="D23" s="42" t="n">
        <f aca="false">(SUMPRODUCT($C29:$L29,1/(1+$B23)^$C$27:$L$27)*Inputs!$C$23+$L29*Inputs!$C$23*(1+Inputs!$C$37)/($B23-Inputs!$C$37)/(1+$B23)^$L$27-Inputs!$C$27+Inputs!$C$28)/Inputs!$C$7</f>
        <v>170.605999911146</v>
      </c>
      <c r="E23" s="42" t="n">
        <f aca="false">(SUMPRODUCT($C30:$L30,1/(1+$B23)^$C$27:$L$27)*Inputs!$C$23+$L30*Inputs!$C$23*(1+Inputs!$C$37)/($B23-Inputs!$C$37)/(1+$B23)^$L$27-Inputs!$C$27+Inputs!$C$28)/Inputs!$C$7</f>
        <v>194.373702593748</v>
      </c>
      <c r="F23" s="42" t="n">
        <f aca="false">(SUMPRODUCT($C31:$L31,1/(1+$B23)^$C$27:$L$27)*Inputs!$C$23+$L31*Inputs!$C$23*(1+Inputs!$C$37)/($B23-Inputs!$C$37)/(1+$B23)^$L$27-Inputs!$C$27+Inputs!$C$28)/Inputs!$C$7</f>
        <v>220.809999497783</v>
      </c>
      <c r="G23" s="42" t="n">
        <f aca="false">(SUMPRODUCT($C32:$L32,1/(1+$B23)^$C$27:$L$27)*Inputs!$C$23+$L32*Inputs!$C$23*(1+Inputs!$C$37)/($B23-Inputs!$C$37)/(1+$B23)^$L$27-Inputs!$C$27+Inputs!$C$28)/Inputs!$C$7</f>
        <v>250.177542185172</v>
      </c>
    </row>
    <row r="26" customFormat="false" ht="15" hidden="false" customHeight="false" outlineLevel="0" collapsed="false">
      <c r="B26" s="19" t="s">
        <v>237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0.0198867486285173</v>
      </c>
      <c r="C28" s="15" t="n">
        <f aca="false">Inputs!$C$12*(1+IF(C$27&lt;=Inputs!$C$46,$B28,$B28-($B28-Inputs!$C$37)*MIN(C$27-Inputs!$C$46,Inputs!$C$47)/Inputs!$C$47))</f>
        <v>7628.75287974131</v>
      </c>
      <c r="D28" s="15" t="n">
        <f aca="false">C28*(1+IF(D$27&lt;=Inputs!$C$46,$B28,$B28-($B28-Inputs!$C$37)*MIN(D$27-Inputs!$C$46,Inputs!$C$47)/Inputs!$C$47))</f>
        <v>7780.4639706098</v>
      </c>
      <c r="E28" s="15" t="n">
        <f aca="false">D28*(1+IF(E$27&lt;=Inputs!$C$46,$B28,$B28-($B28-Inputs!$C$37)*MIN(E$27-Inputs!$C$46,Inputs!$C$47)/Inputs!$C$47))</f>
        <v>7935.19210180655</v>
      </c>
      <c r="F28" s="15" t="n">
        <f aca="false">E28*(1+IF(F$27&lt;=Inputs!$C$46,$B28,$B28-($B28-Inputs!$C$37)*MIN(F$27-Inputs!$C$46,Inputs!$C$47)/Inputs!$C$47))</f>
        <v>8092.99727245418</v>
      </c>
      <c r="G28" s="15" t="n">
        <f aca="false">F28*(1+IF(G$27&lt;=Inputs!$C$46,$B28,$B28-($B28-Inputs!$C$37)*MIN(G$27-Inputs!$C$46,Inputs!$C$47)/Inputs!$C$47))</f>
        <v>8253.94067486275</v>
      </c>
      <c r="H28" s="15" t="n">
        <f aca="false">G28*(1+IF(H$27&lt;=Inputs!$C$46,$B28,$B28-($B28-Inputs!$C$37)*MIN(H$27-Inputs!$C$46,Inputs!$C$47)/Inputs!$C$47))</f>
        <v>8431.97321379902</v>
      </c>
      <c r="I28" s="15" t="n">
        <f aca="false">H28*(1+IF(I$27&lt;=Inputs!$C$46,$B28,$B28-($B28-Inputs!$C$37)*MIN(I$27-Inputs!$C$46,Inputs!$C$47)/Inputs!$C$47))</f>
        <v>8628.03386962636</v>
      </c>
      <c r="J28" s="15" t="n">
        <f aca="false">I28*(1+IF(J$27&lt;=Inputs!$C$46,$B28,$B28-($B28-Inputs!$C$37)*MIN(J$27-Inputs!$C$46,Inputs!$C$47)/Inputs!$C$47))</f>
        <v>8843.17130102205</v>
      </c>
      <c r="K28" s="15" t="n">
        <f aca="false">J28*(1+IF(K$27&lt;=Inputs!$C$46,$B28,$B28-($B28-Inputs!$C$37)*MIN(K$27-Inputs!$C$46,Inputs!$C$47)/Inputs!$C$47))</f>
        <v>9078.55308422566</v>
      </c>
      <c r="L28" s="15" t="n">
        <f aca="false">K28*(1+IF(L$27&lt;=Inputs!$C$46,$B28,$B28-($B28-Inputs!$C$37)*MIN(L$27-Inputs!$C$46,Inputs!$C$47)/Inputs!$C$47))</f>
        <v>9335.47613650924</v>
      </c>
    </row>
    <row r="29" customFormat="false" ht="15" hidden="false" customHeight="false" outlineLevel="0" collapsed="false">
      <c r="B29" s="23" t="n">
        <f aca="false">D$18</f>
        <v>0.0398867486285173</v>
      </c>
      <c r="C29" s="15" t="n">
        <f aca="false">Inputs!$C$12*(1+IF(C$27&lt;=Inputs!$C$46,$B29,$B29-($B29-Inputs!$C$37)*MIN(C$27-Inputs!$C$46,Inputs!$C$47)/Inputs!$C$47))</f>
        <v>7778.35287974131</v>
      </c>
      <c r="D29" s="15" t="n">
        <f aca="false">C29*(1+IF(D$27&lt;=Inputs!$C$46,$B29,$B29-($B29-Inputs!$C$37)*MIN(D$27-Inputs!$C$46,Inputs!$C$47)/Inputs!$C$47))</f>
        <v>8088.60608579945</v>
      </c>
      <c r="E29" s="15" t="n">
        <f aca="false">D29*(1+IF(E$27&lt;=Inputs!$C$46,$B29,$B29-($B29-Inputs!$C$37)*MIN(E$27-Inputs!$C$46,Inputs!$C$47)/Inputs!$C$47))</f>
        <v>8411.23428349883</v>
      </c>
      <c r="F29" s="15" t="n">
        <f aca="false">E29*(1+IF(F$27&lt;=Inputs!$C$46,$B29,$B29-($B29-Inputs!$C$37)*MIN(F$27-Inputs!$C$46,Inputs!$C$47)/Inputs!$C$47))</f>
        <v>8746.73107102032</v>
      </c>
      <c r="G29" s="15" t="n">
        <f aca="false">F29*(1+IF(G$27&lt;=Inputs!$C$46,$B29,$B29-($B29-Inputs!$C$37)*MIN(G$27-Inputs!$C$46,Inputs!$C$47)/Inputs!$C$47))</f>
        <v>9095.60973457135</v>
      </c>
      <c r="H29" s="15" t="n">
        <f aca="false">G29*(1+IF(H$27&lt;=Inputs!$C$46,$B29,$B29-($B29-Inputs!$C$37)*MIN(H$27-Inputs!$C$46,Inputs!$C$47)/Inputs!$C$47))</f>
        <v>9437.32632495377</v>
      </c>
      <c r="I29" s="15" t="n">
        <f aca="false">H29*(1+IF(I$27&lt;=Inputs!$C$46,$B29,$B29-($B29-Inputs!$C$37)*MIN(I$27-Inputs!$C$46,Inputs!$C$47)/Inputs!$C$47))</f>
        <v>9770.01141666148</v>
      </c>
      <c r="J29" s="15" t="n">
        <f aca="false">I29*(1+IF(J$27&lt;=Inputs!$C$46,$B29,$B29-($B29-Inputs!$C$37)*MIN(J$27-Inputs!$C$46,Inputs!$C$47)/Inputs!$C$47))</f>
        <v>10091.783806306</v>
      </c>
      <c r="K29" s="15" t="n">
        <f aca="false">J29*(1+IF(K$27&lt;=Inputs!$C$46,$B29,$B29-($B29-Inputs!$C$37)*MIN(K$27-Inputs!$C$46,Inputs!$C$47)/Inputs!$C$47))</f>
        <v>10400.7674804599</v>
      </c>
      <c r="L29" s="15" t="n">
        <f aca="false">K29*(1+IF(L$27&lt;=Inputs!$C$46,$B29,$B29-($B29-Inputs!$C$37)*MIN(L$27-Inputs!$C$46,Inputs!$C$47)/Inputs!$C$47))</f>
        <v>10695.1092001569</v>
      </c>
    </row>
    <row r="30" customFormat="false" ht="15" hidden="false" customHeight="false" outlineLevel="0" collapsed="false">
      <c r="B30" s="23" t="n">
        <f aca="false">E$18</f>
        <v>0.0598867486285173</v>
      </c>
      <c r="C30" s="15" t="n">
        <f aca="false">Inputs!$C$12*(1+IF(C$27&lt;=Inputs!$C$46,$B30,$B30-($B30-Inputs!$C$37)*MIN(C$27-Inputs!$C$46,Inputs!$C$47)/Inputs!$C$47))</f>
        <v>7927.95287974131</v>
      </c>
      <c r="D30" s="15" t="n">
        <f aca="false">C30*(1+IF(D$27&lt;=Inputs!$C$46,$B30,$B30-($B30-Inputs!$C$37)*MIN(D$27-Inputs!$C$46,Inputs!$C$47)/Inputs!$C$47))</f>
        <v>8402.73220098911</v>
      </c>
      <c r="E30" s="15" t="n">
        <f aca="false">D30*(1+IF(E$27&lt;=Inputs!$C$46,$B30,$B30-($B30-Inputs!$C$37)*MIN(E$27-Inputs!$C$46,Inputs!$C$47)/Inputs!$C$47))</f>
        <v>8905.94451210249</v>
      </c>
      <c r="F30" s="15" t="n">
        <f aca="false">E30*(1+IF(F$27&lt;=Inputs!$C$46,$B30,$B30-($B30-Inputs!$C$37)*MIN(F$27-Inputs!$C$46,Inputs!$C$47)/Inputs!$C$47))</f>
        <v>9439.29257239829</v>
      </c>
      <c r="G30" s="15" t="n">
        <f aca="false">F30*(1+IF(G$27&lt;=Inputs!$C$46,$B30,$B30-($B30-Inputs!$C$37)*MIN(G$27-Inputs!$C$46,Inputs!$C$47)/Inputs!$C$47))</f>
        <v>10004.5811139125</v>
      </c>
      <c r="H30" s="15" t="n">
        <f aca="false">G30*(1+IF(H$27&lt;=Inputs!$C$46,$B30,$B30-($B30-Inputs!$C$37)*MIN(H$27-Inputs!$C$46,Inputs!$C$47)/Inputs!$C$47))</f>
        <v>10540.5205104593</v>
      </c>
      <c r="I30" s="15" t="n">
        <f aca="false">H30*(1+IF(I$27&lt;=Inputs!$C$46,$B30,$B30-($B30-Inputs!$C$37)*MIN(I$27-Inputs!$C$46,Inputs!$C$47)/Inputs!$C$47))</f>
        <v>11038.5817039718</v>
      </c>
      <c r="J30" s="15" t="n">
        <f aca="false">I30*(1+IF(J$27&lt;=Inputs!$C$46,$B30,$B30-($B30-Inputs!$C$37)*MIN(J$27-Inputs!$C$46,Inputs!$C$47)/Inputs!$C$47))</f>
        <v>11490.4427283937</v>
      </c>
      <c r="K30" s="15" t="n">
        <f aca="false">J30*(1+IF(K$27&lt;=Inputs!$C$46,$B30,$B30-($B30-Inputs!$C$37)*MIN(K$27-Inputs!$C$46,Inputs!$C$47)/Inputs!$C$47))</f>
        <v>11888.2114028257</v>
      </c>
      <c r="L30" s="15" t="n">
        <f aca="false">K30*(1+IF(L$27&lt;=Inputs!$C$46,$B30,$B30-($B30-Inputs!$C$37)*MIN(L$27-Inputs!$C$46,Inputs!$C$47)/Inputs!$C$47))</f>
        <v>12224.6477855257</v>
      </c>
    </row>
    <row r="31" customFormat="false" ht="15" hidden="false" customHeight="false" outlineLevel="0" collapsed="false">
      <c r="B31" s="23" t="n">
        <f aca="false">F$18</f>
        <v>0.0798867486285173</v>
      </c>
      <c r="C31" s="15" t="n">
        <f aca="false">Inputs!$C$12*(1+IF(C$27&lt;=Inputs!$C$46,$B31,$B31-($B31-Inputs!$C$37)*MIN(C$27-Inputs!$C$46,Inputs!$C$47)/Inputs!$C$47))</f>
        <v>8077.55287974131</v>
      </c>
      <c r="D31" s="15" t="n">
        <f aca="false">C31*(1+IF(D$27&lt;=Inputs!$C$46,$B31,$B31-($B31-Inputs!$C$37)*MIN(D$27-Inputs!$C$46,Inputs!$C$47)/Inputs!$C$47))</f>
        <v>8722.84231617876</v>
      </c>
      <c r="E31" s="15" t="n">
        <f aca="false">D31*(1+IF(E$27&lt;=Inputs!$C$46,$B31,$B31-($B31-Inputs!$C$37)*MIN(E$27-Inputs!$C$46,Inputs!$C$47)/Inputs!$C$47))</f>
        <v>9419.68182761753</v>
      </c>
      <c r="F31" s="15" t="n">
        <f aca="false">E31*(1+IF(F$27&lt;=Inputs!$C$46,$B31,$B31-($B31-Inputs!$C$37)*MIN(F$27-Inputs!$C$46,Inputs!$C$47)/Inputs!$C$47))</f>
        <v>10172.189581941</v>
      </c>
      <c r="G31" s="15" t="n">
        <f aca="false">F31*(1+IF(G$27&lt;=Inputs!$C$46,$B31,$B31-($B31-Inputs!$C$37)*MIN(G$27-Inputs!$C$46,Inputs!$C$47)/Inputs!$C$47))</f>
        <v>10984.8127340752</v>
      </c>
      <c r="H31" s="15" t="n">
        <f aca="false">G31*(1+IF(H$27&lt;=Inputs!$C$46,$B31,$B31-($B31-Inputs!$C$37)*MIN(H$27-Inputs!$C$46,Inputs!$C$47)/Inputs!$C$47))</f>
        <v>11749.0195530447</v>
      </c>
      <c r="I31" s="15" t="n">
        <f aca="false">H31*(1+IF(I$27&lt;=Inputs!$C$46,$B31,$B31-($B31-Inputs!$C$37)*MIN(I$27-Inputs!$C$46,Inputs!$C$47)/Inputs!$C$47))</f>
        <v>12445.1730373846</v>
      </c>
      <c r="J31" s="15" t="n">
        <f aca="false">I31*(1+IF(J$27&lt;=Inputs!$C$46,$B31,$B31-($B31-Inputs!$C$37)*MIN(J$27-Inputs!$C$46,Inputs!$C$47)/Inputs!$C$47))</f>
        <v>13054.1738395898</v>
      </c>
      <c r="K31" s="15" t="n">
        <f aca="false">J31*(1+IF(K$27&lt;=Inputs!$C$46,$B31,$B31-($B31-Inputs!$C$37)*MIN(K$27-Inputs!$C$46,Inputs!$C$47)/Inputs!$C$47))</f>
        <v>13558.2914361333</v>
      </c>
      <c r="L31" s="15" t="n">
        <f aca="false">K31*(1+IF(L$27&lt;=Inputs!$C$46,$B31,$B31-($B31-Inputs!$C$37)*MIN(L$27-Inputs!$C$46,Inputs!$C$47)/Inputs!$C$47))</f>
        <v>13941.9910837759</v>
      </c>
    </row>
    <row r="32" customFormat="false" ht="15" hidden="false" customHeight="false" outlineLevel="0" collapsed="false">
      <c r="B32" s="23" t="n">
        <f aca="false">G$18</f>
        <v>0.0998867486285173</v>
      </c>
      <c r="C32" s="15" t="n">
        <f aca="false">Inputs!$C$12*(1+IF(C$27&lt;=Inputs!$C$46,$B32,$B32-($B32-Inputs!$C$37)*MIN(C$27-Inputs!$C$46,Inputs!$C$47)/Inputs!$C$47))</f>
        <v>8227.15287974131</v>
      </c>
      <c r="D32" s="15" t="n">
        <f aca="false">C32*(1+IF(D$27&lt;=Inputs!$C$46,$B32,$B32-($B32-Inputs!$C$37)*MIN(D$27-Inputs!$C$46,Inputs!$C$47)/Inputs!$C$47))</f>
        <v>9048.93643136841</v>
      </c>
      <c r="E32" s="15" t="n">
        <f aca="false">D32*(1+IF(E$27&lt;=Inputs!$C$46,$B32,$B32-($B32-Inputs!$C$37)*MIN(E$27-Inputs!$C$46,Inputs!$C$47)/Inputs!$C$47))</f>
        <v>9952.80527004394</v>
      </c>
      <c r="F32" s="15" t="n">
        <f aca="false">E32*(1+IF(F$27&lt;=Inputs!$C$46,$B32,$B32-($B32-Inputs!$C$37)*MIN(F$27-Inputs!$C$46,Inputs!$C$47)/Inputs!$C$47))</f>
        <v>10946.9586282014</v>
      </c>
      <c r="G32" s="15" t="n">
        <f aca="false">F32*(1+IF(G$27&lt;=Inputs!$C$46,$B32,$B32-($B32-Inputs!$C$37)*MIN(G$27-Inputs!$C$46,Inputs!$C$47)/Inputs!$C$47))</f>
        <v>12040.4147329433</v>
      </c>
      <c r="H32" s="15" t="n">
        <f aca="false">G32*(1+IF(H$27&lt;=Inputs!$C$46,$B32,$B32-($B32-Inputs!$C$37)*MIN(H$27-Inputs!$C$46,Inputs!$C$47)/Inputs!$C$47))</f>
        <v>13070.7057841819</v>
      </c>
      <c r="I32" s="15" t="n">
        <f aca="false">H32*(1+IF(I$27&lt;=Inputs!$C$46,$B32,$B32-($B32-Inputs!$C$37)*MIN(I$27-Inputs!$C$46,Inputs!$C$47)/Inputs!$C$47))</f>
        <v>14002.020355496</v>
      </c>
      <c r="J32" s="15" t="n">
        <f aca="false">I32*(1+IF(J$27&lt;=Inputs!$C$46,$B32,$B32-($B32-Inputs!$C$37)*MIN(J$27-Inputs!$C$46,Inputs!$C$47)/Inputs!$C$47))</f>
        <v>14799.2211761486</v>
      </c>
      <c r="K32" s="15" t="n">
        <f aca="false">J32*(1+IF(K$27&lt;=Inputs!$C$46,$B32,$B32-($B32-Inputs!$C$37)*MIN(K$27-Inputs!$C$46,Inputs!$C$47)/Inputs!$C$47))</f>
        <v>15429.9247606806</v>
      </c>
      <c r="L32" s="15" t="n">
        <f aca="false">K32*(1+IF(L$27&lt;=Inputs!$C$46,$B32,$B32-($B32-Inputs!$C$37)*MIN(L$27-Inputs!$C$46,Inputs!$C$47)/Inputs!$C$47))</f>
        <v>15866.5916314078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238</v>
      </c>
    </row>
    <row r="3" customFormat="false" ht="15" hidden="false" customHeight="false" outlineLevel="0" collapsed="false">
      <c r="B3" s="2" t="s">
        <v>239</v>
      </c>
    </row>
    <row r="5" customFormat="false" ht="15" hidden="false" customHeight="false" outlineLevel="0" collapsed="false">
      <c r="B5" s="28" t="s">
        <v>240</v>
      </c>
      <c r="C5" s="28" t="s">
        <v>241</v>
      </c>
      <c r="D5" s="28" t="s">
        <v>242</v>
      </c>
      <c r="E5" s="28" t="s">
        <v>243</v>
      </c>
      <c r="F5" s="28" t="s">
        <v>244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0.171122994652406</v>
      </c>
      <c r="D6" s="24" t="n">
        <v>0.17112299</v>
      </c>
      <c r="E6" s="49" t="n">
        <f aca="false">C6-D6</f>
        <v>4.65240640457054E-009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134</v>
      </c>
      <c r="C7" s="50" t="n">
        <f aca="false">WACC!$C$12</f>
        <v>0.728116658230903</v>
      </c>
      <c r="D7" s="51" t="n">
        <v>0.72811666</v>
      </c>
      <c r="E7" s="49" t="n">
        <f aca="false">C7-D7</f>
        <v>-1.76909698001992E-009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WACC!$C$35</f>
        <v>0.0811268672746673</v>
      </c>
      <c r="D8" s="24" t="n">
        <v>0.08112687</v>
      </c>
      <c r="E8" s="49" t="n">
        <f aca="false">C8-D8</f>
        <v>-2.72533266787445E-009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245</v>
      </c>
      <c r="C10" s="12" t="n">
        <f aca="false">Inputs!$C$43</f>
        <v>0.0598867486285174</v>
      </c>
      <c r="D10" s="24" t="n">
        <v>0.05988675</v>
      </c>
      <c r="E10" s="49" t="n">
        <f aca="false">C10-D10</f>
        <v>-1.37148262885356E-009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246</v>
      </c>
      <c r="C11" s="12" t="n">
        <f aca="false">Solver!$W$7</f>
        <v>0.00815496228597112</v>
      </c>
      <c r="D11" s="24" t="n">
        <v>0.00815496</v>
      </c>
      <c r="E11" s="49" t="n">
        <f aca="false">C11-D11</f>
        <v>2.28597112419959E-009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247</v>
      </c>
      <c r="C12" s="12" t="n">
        <f aca="false">Sensitivity!$E$14</f>
        <v>0.037977546453476</v>
      </c>
      <c r="D12" s="24" t="n">
        <v>0.03797757</v>
      </c>
      <c r="E12" s="49" t="n">
        <f aca="false">C12-D12</f>
        <v>-2.3546524050011E-008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248</v>
      </c>
      <c r="C13" s="6" t="n">
        <f aca="false">DCF!$C$41</f>
        <v>237.611052290306</v>
      </c>
      <c r="D13" s="20" t="n">
        <v>237.61105229</v>
      </c>
      <c r="E13" s="49" t="n">
        <f aca="false">C13-D13</f>
        <v>3.0598812372773E-010</v>
      </c>
      <c r="F13" s="5" t="str">
        <f aca="false">IF(ABS(E13)&lt;=0.0237611052290307,"Pass","Check")</f>
        <v>Pass</v>
      </c>
    </row>
    <row r="14" customFormat="false" ht="15" hidden="false" customHeight="false" outlineLevel="0" collapsed="false">
      <c r="B14" s="5" t="s">
        <v>249</v>
      </c>
      <c r="C14" s="6" t="n">
        <f aca="false">DCF!$C$21-DCF!$C$22</f>
        <v>-1.50441792357015E-009</v>
      </c>
      <c r="D14" s="20" t="n">
        <v>0</v>
      </c>
      <c r="E14" s="49" t="n">
        <f aca="false">C14-D14</f>
        <v>-1.50441792357015E-009</v>
      </c>
      <c r="F14" s="5" t="str">
        <f aca="false">IF(ABS(E14)&lt;=0.01,"Pass","Check")</f>
        <v>Pass</v>
      </c>
      <c r="G14" s="19" t="s">
        <v>250</v>
      </c>
    </row>
    <row r="16" customFormat="false" ht="15" hidden="false" customHeight="false" outlineLevel="0" collapsed="false">
      <c r="B16" s="38" t="s">
        <v>251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2026-10-14T16:48:50Z</dcterms:created>
  <dc:creator>openpyxl</dc:creator>
  <dc:description/>
  <dc:language>en-US</dc:language>
  <cp:lastModifiedBy/>
  <dcterms:modified xsi:type="dcterms:W3CDTF">2026-10-14T16:48:50Z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