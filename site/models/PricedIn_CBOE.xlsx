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y" sheetId="3" state="visible" r:id="rId5"/>
    <sheet name="WACC" sheetId="4" state="visible" r:id="rId6"/>
    <sheet name="Solver" sheetId="5" state="visible" r:id="rId7"/>
    <sheet name="DCF" sheetId="6" state="visible" r:id="rId8"/>
    <sheet name="Sensitivity" sheetId="7" state="visible" r:id="rId9"/>
    <sheet name="Che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<sst xmlns="http://schemas.openxmlformats.org/spreadsheetml/2006/main" count="837" uniqueCount="246">
  <si>
    <t xml:space="preserve">Priced In: Cboe Global Markets (CBOE)</t>
  </si>
  <si>
    <t xml:space="preserve">Reverse DCF, model v1.0. Inputs as of the Oct 13, 2026 close; model locked Oct 14, 2026 (commit 0735af0).</t>
  </si>
  <si>
    <t xml:space="preserve">Exchanges | US | reports in USD</t>
  </si>
  <si>
    <t xml:space="preserve">The question</t>
  </si>
  <si>
    <t xml:space="preserve">What revenue growth over the next five years does today's price imply, and is that more or less than the company has delivered and analysts expect?</t>
  </si>
  <si>
    <t xml:space="preserve">Answer</t>
  </si>
  <si>
    <t xml:space="preserve">Price at the lock ($)</t>
  </si>
  <si>
    <t xml:space="preserve">Implied 5-year revenue growth</t>
  </si>
  <si>
    <t xml:space="preserve">Anchor (history and analysts)</t>
  </si>
  <si>
    <t xml:space="preserve">Gap (implied - anchor)</t>
  </si>
  <si>
    <t xml:space="preserve">Verdict</t>
  </si>
  <si>
    <t xml:space="preserve">WACC</t>
  </si>
  <si>
    <t xml:space="preserve">Terminal growth</t>
  </si>
  <si>
    <t xml:space="preserve">Unlevered free-cash-flow margin</t>
  </si>
  <si>
    <t xml:space="preserve">Your view of growth (Inputs, yellow)</t>
  </si>
  <si>
    <t xml:space="preserve">Value per share at your view ($)</t>
  </si>
  <si>
    <t xml:space="preserve">Upside or downside at your view</t>
  </si>
  <si>
    <t xml:space="preserve">Fit flag: Cyclical volumes</t>
  </si>
  <si>
    <t xml:space="preserve">Options volumes swing with volatility; revenue here is net of rebates and routing fees.</t>
  </si>
  <si>
    <t xml:space="preserve">How to use this file</t>
  </si>
  <si>
    <t xml:space="preserve">1. Change any blue cell on Inputs, History or WACC; everything recalculates, including the solver.</t>
  </si>
  <si>
    <t xml:space="preserve">2. The Solver tab finds implied growth by bisection with formulas, so you never need Goal Seek. 40 steps narrow a 150-point range to well under 0.0001%.</t>
  </si>
  <si>
    <t xml:space="preserve">3. Type your own growth view in the yellow cell on Inputs; DCF panel B and this page show what the stock is worth if you're right.</t>
  </si>
  <si>
    <t xml:space="preserve">4. Check confirms this workbook matches the Python pipeline that runs the site.</t>
  </si>
  <si>
    <t xml:space="preserve">Colour key</t>
  </si>
  <si>
    <t xml:space="preserve">Typed input with a source</t>
  </si>
  <si>
    <t xml:space="preserve">Formula</t>
  </si>
  <si>
    <t xml:space="preserve">Link to another tab</t>
  </si>
  <si>
    <t xml:space="preserve">Your view (edit this one)</t>
  </si>
  <si>
    <t xml:space="preserve">Live site</t>
  </si>
  <si>
    <t xml:space="preserve">https://claude.ai/artifact/DS3n4CgaKxaSLzkXDsBKuK</t>
  </si>
  <si>
    <t xml:space="preserve">Built by Rohan Jayapalan. Not investment advice.</t>
  </si>
  <si>
    <t xml:space="preserve">Cboe Global Markets (CBOE): inputs</t>
  </si>
  <si>
    <t xml:space="preserve">Blue cells are typed inputs with a source. Black cells are formulas. Change a blue cell and every tab recalculates.</t>
  </si>
  <si>
    <t xml:space="preserve">Market and price</t>
  </si>
  <si>
    <t xml:space="preserve">Price per share at the lock ($)</t>
  </si>
  <si>
    <t xml:space="preserve">Market cap divided by shares from Stock Analysis at the Oct 13, 2026 close.</t>
  </si>
  <si>
    <t xml:space="preserve">Diluted shares outstanding (mm)</t>
  </si>
  <si>
    <t xml:space="preserve">Stock Analysis statistics page, Oct 13, 2026.</t>
  </si>
  <si>
    <t xml:space="preserve">Market value of equity ($mm)</t>
  </si>
  <si>
    <t xml:space="preserve">Price x shares.</t>
  </si>
  <si>
    <t xml:space="preserve">Trailing 12 months</t>
  </si>
  <si>
    <t xml:space="preserve">Revenue, reported ($mm)</t>
  </si>
  <si>
    <t xml:space="preserve">Stock Analysis income statement, trailing 12 months.</t>
  </si>
  <si>
    <t xml:space="preserve">Revenue used in the model: net revenue ($mm)</t>
  </si>
  <si>
    <t xml:space="preserve">Revenue less cost of revenue (rebates, routing and clearing fees), from Stock Analysis.</t>
  </si>
  <si>
    <t xml:space="preserve">Free cash flow, reported (cash from operations - capex) ($mm)</t>
  </si>
  <si>
    <t xml:space="preserve">Stock Analysis cash flow statement, trailing 12 months.</t>
  </si>
  <si>
    <t xml:space="preserve">Free cash flow before adjustments ($mm)</t>
  </si>
  <si>
    <t xml:space="preserve">Same as reported.</t>
  </si>
  <si>
    <t xml:space="preserve">Less: adjustments ($mm)</t>
  </si>
  <si>
    <t xml:space="preserve">None for this company.</t>
  </si>
  <si>
    <t xml:space="preserve">Free cash flow used ($mm)</t>
  </si>
  <si>
    <t xml:space="preserve">Operating income ($mm)</t>
  </si>
  <si>
    <t xml:space="preserve">Stock Analysis, trailing 12 months.</t>
  </si>
  <si>
    <t xml:space="preserve">Pretax income ($mm)</t>
  </si>
  <si>
    <t xml:space="preserve">Interest proxy: operating income - pretax, floored at zero ($mm)</t>
  </si>
  <si>
    <t xml:space="preserve">Net interest and other non-operating costs. Adding it back (after tax) turns levered FCF into unlevered FCF.</t>
  </si>
  <si>
    <t xml:space="preserve">Tax rate</t>
  </si>
  <si>
    <t xml:space="preserve">Statutory blend: 25% US (21% federal plus state), 26.5% Canada (federal plus Ontario).</t>
  </si>
  <si>
    <t xml:space="preserve">After-tax interest added back ($mm)</t>
  </si>
  <si>
    <t xml:space="preserve">Unlevered free cash flow ($mm)</t>
  </si>
  <si>
    <t xml:space="preserve">Held flat for all 10 years in the model.</t>
  </si>
  <si>
    <t xml:space="preserve">EBITDA ($mm)</t>
  </si>
  <si>
    <t xml:space="preserve">Balance sheet</t>
  </si>
  <si>
    <t xml:space="preserve">Total debt ($mm)</t>
  </si>
  <si>
    <t xml:space="preserve">Stock Analysis balance sheet, latest quarter.</t>
  </si>
  <si>
    <t xml:space="preserve">Cash and equivalents ($mm)</t>
  </si>
  <si>
    <t xml:space="preserve">Net debt ($mm)</t>
  </si>
  <si>
    <t xml:space="preserve">Rates</t>
  </si>
  <si>
    <t xml:space="preserve">10-year US Treasury yield</t>
  </si>
  <si>
    <t xml:space="preserve">US Treasury daily par yield curve, Oct 13, 2026.</t>
  </si>
  <si>
    <t xml:space="preserve">10-year TIPS real yield</t>
  </si>
  <si>
    <t xml:space="preserve">US Treasury daily real yield curve, Oct 13, 2026.</t>
  </si>
  <si>
    <t xml:space="preserve">Breakeven inflation</t>
  </si>
  <si>
    <t xml:space="preserve">Nominal minus real: the market's inflation expectation.</t>
  </si>
  <si>
    <t xml:space="preserve">Risk-free rate used</t>
  </si>
  <si>
    <t xml:space="preserve">Real growth added to inflation</t>
  </si>
  <si>
    <t xml:space="preserve">Half a point of long-run real growth.</t>
  </si>
  <si>
    <t xml:space="preserve">Capped at the risk-free rate.</t>
  </si>
  <si>
    <t xml:space="preserve">Equity risk premium</t>
  </si>
  <si>
    <t xml:space="preserve">Damodaran implied equity risk premium, start of 2026.</t>
  </si>
  <si>
    <t xml:space="preserve">Growth anchor and verdict</t>
  </si>
  <si>
    <t xml:space="preserve">Past revenue growth (CAGR)</t>
  </si>
  <si>
    <t xml:space="preserve">FY2021 to the 12 months ended June 2026</t>
  </si>
  <si>
    <t xml:space="preserve">Analysts' revenue growth forecast</t>
  </si>
  <si>
    <t xml:space="preserve">Forward net revenue implied by forward P/S (stockanalysis) over trailing net revenue</t>
  </si>
  <si>
    <t xml:space="preserve">Anchor (average of the two)</t>
  </si>
  <si>
    <t xml:space="preserve">AVERAGE skips the n/a text when history isn't used.</t>
  </si>
  <si>
    <t xml:space="preserve">Verdict band (+/-)</t>
  </si>
  <si>
    <t xml:space="preserve">Set before any backtest and never changed.</t>
  </si>
  <si>
    <t xml:space="preserve">Your view of 5-year revenue growth</t>
  </si>
  <si>
    <t xml:space="preserve">Type your own view. It starts at the anchor. DCF panel B and the Cover show what the stock is worth at your view.</t>
  </si>
  <si>
    <t xml:space="preserve">Years at the solved growth rate</t>
  </si>
  <si>
    <t xml:space="preserve">Model v1.0: 5 years at the growth rate, then a straight-line fade.</t>
  </si>
  <si>
    <t xml:space="preserve">Years of fade to terminal growth</t>
  </si>
  <si>
    <t xml:space="preserve">Years 1 to 10 are on the Solver and DCF tabs; years past 10 grow at the terminal rate.</t>
  </si>
  <si>
    <t xml:space="preserve">Cboe Global Markets (CBOE): revenue history</t>
  </si>
  <si>
    <t xml:space="preserve">Revenue from Stock Analysis income statements; the window is chosen so acquisitions and disposals don't count as growth.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</si>
  <si>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</si>
  <si>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</si>
  <si>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</si>
  <si>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</si>
  <si>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</si>
  <si>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</si>
  <si>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TTM Jun-26</t>
  </si>
  <si>
    <t xml:space="preserve">Revenue ($mm)</t>
  </si>
  <si>
    <t xml:space="preserve">Growth on the prior year</t>
  </si>
  <si>
    <t xml:space="preserve">Source note: net revenue (gross profit = revenue less cost of revenue)</t>
  </si>
  <si>
    <t xml:space="preserve">History window</t>
  </si>
  <si>
    <t xml:space="preserve">Start year</t>
  </si>
  <si>
    <t xml:space="preserve">Years from start to TTM</t>
  </si>
  <si>
    <t xml:space="preserve">Revenue CAGR, start to TTM</t>
  </si>
  <si>
    <t xml:space="preserve">Cboe Global Markets (CBOE): cost of capital</t>
  </si>
  <si>
    <t xml:space="preserve">Bottom-up beta: the median unlevered beta of the company's group, relevered for this company's debt.</t>
  </si>
  <si>
    <t xml:space="preserve">Peer</t>
  </si>
  <si>
    <t xml:space="preserve">Raw beta</t>
  </si>
  <si>
    <t xml:space="preserve">Debt ($mm)</t>
  </si>
  <si>
    <t xml:space="preserve">Equity ($mm)</t>
  </si>
  <si>
    <t xml:space="preserve">Unlevered beta</t>
  </si>
  <si>
    <t xml:space="preserve">Intercontinental Exchange (ICE)</t>
  </si>
  <si>
    <t xml:space="preserve">Raw betas: 60 monthly returns to Sep 2026 against the S&amp;P 500 (S&amp;P/TSX for TMX); Cboe uses Stock Analysis's 5-year beta. Debt and equity from Stock Analysis, Oct 13, 2026.</t>
  </si>
  <si>
    <t xml:space="preserve">CME Group (CME)</t>
  </si>
  <si>
    <t xml:space="preserve">Nasdaq (NDAQ)</t>
  </si>
  <si>
    <t xml:space="preserve">Cboe Global Markets (CBOE)</t>
  </si>
  <si>
    <t xml:space="preserve">TMX Group (X)</t>
  </si>
  <si>
    <t xml:space="preserve">Tradeweb (TW)</t>
  </si>
  <si>
    <t xml:space="preserve">MarketAxess (MKTX)</t>
  </si>
  <si>
    <t xml:space="preserve">Group median unlevered beta</t>
  </si>
  <si>
    <t xml:space="preserve">Relevered beta</t>
  </si>
  <si>
    <t xml:space="preserve">Hamada: unlevered beta x (1 + (1 - tax) x debt / equity).</t>
  </si>
  <si>
    <t xml:space="preserve">Risk-free rate</t>
  </si>
  <si>
    <t xml:space="preserve">Cost of equity</t>
  </si>
  <si>
    <t xml:space="preserve">CAPM: risk-free + beta x premium.</t>
  </si>
  <si>
    <t xml:space="preserve">Debt-to-EBITDA spread table</t>
  </si>
  <si>
    <t xml:space="preserve">Debt / EBITDA below</t>
  </si>
  <si>
    <t xml:space="preserve">Spread</t>
  </si>
  <si>
    <t xml:space="preserve">Synthetic spread over the risk-free rate by leverage, a simplified version of Damodaran's ratings table; the last row covers anything at 4x or above.</t>
  </si>
  <si>
    <t xml:space="preserve">Debt / EBITDA</t>
  </si>
  <si>
    <t xml:space="preserve">Credit spread</t>
  </si>
  <si>
    <t xml:space="preserve">First row whose limit is above this company's leverage.</t>
  </si>
  <si>
    <t xml:space="preserve">Pre-tax cost of debt</t>
  </si>
  <si>
    <t xml:space="preserve">After-tax cost of debt</t>
  </si>
  <si>
    <t xml:space="preserve">Weight of debt</t>
  </si>
  <si>
    <t xml:space="preserve">Market-value weights.</t>
  </si>
  <si>
    <t xml:space="preserve">Weight of equity</t>
  </si>
  <si>
    <t xml:space="preserve">Solver: bisection for the growth rate that makes the model equal the price (replaces Goal Seek)</t>
  </si>
  <si>
    <t xml:space="preserve">Revenue</t>
  </si>
  <si>
    <t xml:space="preserve">Margin</t>
  </si>
  <si>
    <t xml:space="preserve">Debt</t>
  </si>
  <si>
    <t xml:space="preserve">Cash</t>
  </si>
  <si>
    <t xml:space="preserve">Shares</t>
  </si>
  <si>
    <t xml:space="preserve">Price</t>
  </si>
  <si>
    <t xml:space="preserve">Years</t>
  </si>
  <si>
    <t xml:space="preserve">Fade</t>
  </si>
  <si>
    <t xml:space="preserve">Year</t>
  </si>
  <si>
    <t xml:space="preserve">Each row tries the midpoint of the current range. If the value per share is above the price, the answer is lower, so the top of the range moves down; otherwise the bottom moves up.</t>
  </si>
  <si>
    <t xml:space="preserve">Base case: model WACC and terminal growth (40 steps)</t>
  </si>
  <si>
    <t xml:space="preserve">Implied growth</t>
  </si>
  <si>
    <t xml:space="preserve">Step</t>
  </si>
  <si>
    <t xml:space="preserve">Low</t>
  </si>
  <si>
    <t xml:space="preserve">High</t>
  </si>
  <si>
    <t xml:space="preserve">Mid</t>
  </si>
  <si>
    <t xml:space="preserve">Rev Y1</t>
  </si>
  <si>
    <t xml:space="preserve">Rev Y2</t>
  </si>
  <si>
    <t xml:space="preserve">Rev Y3</t>
  </si>
  <si>
    <t xml:space="preserve">Rev Y4</t>
  </si>
  <si>
    <t xml:space="preserve">Rev Y5</t>
  </si>
  <si>
    <t xml:space="preserve">Rev Y6</t>
  </si>
  <si>
    <t xml:space="preserve">Rev Y7</t>
  </si>
  <si>
    <t xml:space="preserve">Rev Y8</t>
  </si>
  <si>
    <t xml:space="preserve">Rev Y9</t>
  </si>
  <si>
    <t xml:space="preserve">Rev Y10</t>
  </si>
  <si>
    <t xml:space="preserve">PV of FCF</t>
  </si>
  <si>
    <t xml:space="preserve">PV of TV</t>
  </si>
  <si>
    <t xml:space="preserve">EV</t>
  </si>
  <si>
    <t xml:space="preserve">Equity</t>
  </si>
  <si>
    <t xml:space="preserve">Per share</t>
  </si>
  <si>
    <t xml:space="preserve">Value - price</t>
  </si>
  <si>
    <t xml:space="preserve">Grid block 2: row 1, column 1 of table A (24 steps)</t>
  </si>
  <si>
    <t xml:space="preserve">Grid block 3: row 1, column 2 of table A (24 steps)</t>
  </si>
  <si>
    <t xml:space="preserve">Grid block 4: row 1, column 3 of table A (24 steps)</t>
  </si>
  <si>
    <t xml:space="preserve">Grid block 5: row 1, column 4 of table A (24 steps)</t>
  </si>
  <si>
    <t xml:space="preserve">Grid block 6: row 1, column 5 of table A (24 steps)</t>
  </si>
  <si>
    <t xml:space="preserve">Grid block 7: row 2, column 1 of table A (24 steps)</t>
  </si>
  <si>
    <t xml:space="preserve">Grid block 8: row 2, column 2 of table A (24 steps)</t>
  </si>
  <si>
    <t xml:space="preserve">Grid block 9: row 2, column 3 of table A (24 steps)</t>
  </si>
  <si>
    <t xml:space="preserve">Grid block 10: row 2, column 4 of table A (24 steps)</t>
  </si>
  <si>
    <t xml:space="preserve">Grid block 11: row 2, column 5 of table A (24 steps)</t>
  </si>
  <si>
    <t xml:space="preserve">Grid block 12: row 3, column 1 of table A (24 steps)</t>
  </si>
  <si>
    <t xml:space="preserve">Grid block 13: row 3, column 2 of table A (24 steps)</t>
  </si>
  <si>
    <t xml:space="preserve">Grid block 14: row 3, column 3 of table A (24 steps)</t>
  </si>
  <si>
    <t xml:space="preserve">Grid block 15: row 3, column 4 of table A (24 steps)</t>
  </si>
  <si>
    <t xml:space="preserve">Grid block 16: row 3, column 5 of table A (24 steps)</t>
  </si>
  <si>
    <t xml:space="preserve">Grid block 17: row 4, column 1 of table A (24 steps)</t>
  </si>
  <si>
    <t xml:space="preserve">Grid block 18: row 4, column 2 of table A (24 steps)</t>
  </si>
  <si>
    <t xml:space="preserve">Grid block 19: row 4, column 3 of table A (24 steps)</t>
  </si>
  <si>
    <t xml:space="preserve">Grid block 20: row 4, column 4 of table A (24 steps)</t>
  </si>
  <si>
    <t xml:space="preserve">Grid block 21: row 4, column 5 of table A (24 steps)</t>
  </si>
  <si>
    <t xml:space="preserve">Grid block 22: row 5, column 1 of table A (24 steps)</t>
  </si>
  <si>
    <t xml:space="preserve">Grid block 23: row 5, column 2 of table A (24 steps)</t>
  </si>
  <si>
    <t xml:space="preserve">Grid block 24: row 5, column 3 of table A (24 steps)</t>
  </si>
  <si>
    <t xml:space="preserve">Grid block 25: row 5, column 4 of table A (24 steps)</t>
  </si>
  <si>
    <t xml:space="preserve">Grid block 26: row 5, column 5 of table A (24 steps)</t>
  </si>
  <si>
    <t xml:space="preserve">Cboe Global Markets (CBOE): discounted cash flow</t>
  </si>
  <si>
    <t xml:space="preserve">Panel A runs the model at the solved growth rate, so it should land on the price. Panel B runs it at your view.</t>
  </si>
  <si>
    <t xml:space="preserve">A. At the solved (implied) growth rate</t>
  </si>
  <si>
    <t xml:space="preserve">Revenue growth</t>
  </si>
  <si>
    <t xml:space="preserve">Discount factor</t>
  </si>
  <si>
    <t xml:space="preserve">Present value ($mm)</t>
  </si>
  <si>
    <t xml:space="preserve">Sum of present values, years 1 to 10</t>
  </si>
  <si>
    <t xml:space="preserve">Terminal value at year 10</t>
  </si>
  <si>
    <t xml:space="preserve">Present value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</si>
  <si>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</si>
  <si>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</si>
  <si>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</si>
  <si>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</si>
  <si>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Shares (mm)</t>
  </si>
  <si>
    <t xml:space="preserve">Value per share ($)</t>
  </si>
  <si>
    <t xml:space="preserve">Value / price - 1</t>
  </si>
  <si>
    <t xml:space="preserve">Terminal value share of enterprise value</t>
  </si>
  <si>
    <t xml:space="preserve">B. At your view of growth (Inputs tab, yellow cell)</t>
  </si>
  <si>
    <t xml:space="preserve">Cboe Global Markets (CBOE): sensitivity</t>
  </si>
  <si>
    <t xml:space="preserve">Table A re-solves implied growth for each pair of inputs (Solver tab, blocks 2 to 26). Table B values the stock at a growth view.</t>
  </si>
  <si>
    <t xml:space="preserve">WACC step</t>
  </si>
  <si>
    <t xml:space="preserve">Terminal-growth step</t>
  </si>
  <si>
    <t xml:space="preserve">Growth-view step</t>
  </si>
  <si>
    <t xml:space="preserve">A. Implied 5-year growth: WACC (rows) by terminal growth (columns)</t>
  </si>
  <si>
    <t xml:space="preserve">Centre cell = the base case. Each step changes one input by the step size above.</t>
  </si>
  <si>
    <t xml:space="preserve">B. Value per share: WACC (rows) by your growth view (columns)</t>
  </si>
  <si>
    <t xml:space="preserve">Compare with the price at the lock: $292.25.</t>
  </si>
  <si>
    <t xml:space="preserve">Helper: revenue paths for each growth view (years 1 to 10)</t>
  </si>
  <si>
    <t xml:space="preserve">Cboe Global Markets (CBOE): check against the Python pipeline</t>
  </si>
  <si>
    <t xml:space="preserve">Python values are typed in (blue) from the pipeline that runs the site. Each row passes if the two agree within the tolerance.</t>
  </si>
  <si>
    <t xml:space="preserve">Item</t>
  </si>
  <si>
    <t xml:space="preserve">This workbook</t>
  </si>
  <si>
    <t xml:space="preserve">Python pipeline</t>
  </si>
  <si>
    <t xml:space="preserve">Difference</t>
  </si>
  <si>
    <t xml:space="preserve">Result</t>
  </si>
  <si>
    <t xml:space="preserve">Anchor</t>
  </si>
  <si>
    <t xml:space="preserve">Implied growth, base case</t>
  </si>
  <si>
    <t xml:space="preserve">Implied growth, WACC one point higher</t>
  </si>
  <si>
    <t xml:space="preserve">Value per share at the anchor ($)</t>
  </si>
  <si>
    <t xml:space="preserve">Panel A value minus price ($)</t>
  </si>
  <si>
    <t xml:space="preserve">Panel B on the DCF tab uses your view; with the yellow cell at the anchor it matches the pipeline.</t>
  </si>
  <si>
    <t xml:space="preserve">Overall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</si>
</sst>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;\(#,##0\);\-"/>
    <numFmt numFmtId="169" formatCode="#,##0.0;\(#,##0.0\);\-"/>
    <numFmt numFmtId="170" formatCode="0"/>
    <numFmt numFmtId="171" formatCode="0.00"/>
    <numFmt numFmtId="172" formatCode="0.00;\(0.00\);\-"/>
    <numFmt numFmtId="173" formatCode="0.0\x"/>
    <numFmt numFmtId="174" formatCode="0.0000%"/>
    <numFmt numFmtId="175" formatCode="#,##0.0000;\(#,##0.0000\);\-"/>
    <numFmt numFmtId="176" formatCode="0.0000"/>
    <numFmt numFmtId="177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DS3n4CgaKxaSLzkXDsBKu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30" hidden="false" customHeight="true" outlineLevel="0" collapsed="false">
      <c r="B7" s="4" t="s">
        <v>4</v>
      </c>
      <c r="C7" s="4"/>
      <c r="D7" s="4"/>
      <c r="E7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f aca="false">Inputs!$C$6</f>
        <v>292.253183950972</v>
      </c>
    </row>
    <row r="11" customFormat="false" ht="15" hidden="false" customHeight="false" outlineLevel="0" collapsed="false">
      <c r="B11" s="7" t="s">
        <v>7</v>
      </c>
      <c r="C11" s="8" t="n">
        <f aca="false">Solver!$W$7</f>
        <v>-0.0182283910212391</v>
      </c>
    </row>
    <row r="12" customFormat="false" ht="15" hidden="false" customHeight="false" outlineLevel="0" collapsed="false">
      <c r="B12" s="5" t="s">
        <v>8</v>
      </c>
      <c r="C12" s="9" t="n">
        <f aca="false">Inputs!$C$43</f>
        <v>0.10354491728709</v>
      </c>
    </row>
    <row r="13" customFormat="false" ht="15" hidden="false" customHeight="false" outlineLevel="0" collapsed="false">
      <c r="B13" s="7" t="s">
        <v>9</v>
      </c>
      <c r="C13" s="10" t="n">
        <f aca="false">C11-C12</f>
        <v>-0.121773308308329</v>
      </c>
    </row>
    <row r="14" customFormat="false" ht="15" hidden="false" customHeight="false" outlineLevel="0" collapsed="false">
      <c r="B14" s="7" t="s">
        <v>10</v>
      </c>
      <c r="C14" s="11" t="str">
        <f aca="false">IF(C13&gt;=Inputs!$C$44,"Expectations too high",IF(C13&lt;=-Inputs!$C$44,"Expectations too low","About right"))</f>
        <v>Expectations too low</v>
      </c>
    </row>
    <row r="15" customFormat="false" ht="15" hidden="false" customHeight="false" outlineLevel="0" collapsed="false">
      <c r="B15" s="5" t="s">
        <v>11</v>
      </c>
      <c r="C15" s="12" t="n">
        <f aca="false">WACC!$C$37</f>
        <v>0.0772772551778937</v>
      </c>
    </row>
    <row r="16" customFormat="false" ht="15" hidden="false" customHeight="false" outlineLevel="0" collapsed="false">
      <c r="B16" s="5" t="s">
        <v>12</v>
      </c>
      <c r="C16" s="12" t="n">
        <f aca="false">Inputs!$C$37</f>
        <v>0.0283</v>
      </c>
    </row>
    <row r="17" customFormat="false" ht="15" hidden="false" customHeight="false" outlineLevel="0" collapsed="false">
      <c r="B17" s="5" t="s">
        <v>13</v>
      </c>
      <c r="C17" s="9" t="n">
        <f aca="false">Inputs!$C$23</f>
        <v>0.682481751824818</v>
      </c>
    </row>
    <row r="18" customFormat="false" ht="15" hidden="false" customHeight="false" outlineLevel="0" collapsed="false">
      <c r="B18" s="5" t="s">
        <v>14</v>
      </c>
      <c r="C18" s="9" t="n">
        <f aca="false">Inputs!$C$45</f>
        <v>0.10354491728709</v>
      </c>
    </row>
    <row r="19" customFormat="false" ht="15" hidden="false" customHeight="false" outlineLevel="0" collapsed="false">
      <c r="B19" s="5" t="s">
        <v>15</v>
      </c>
      <c r="C19" s="6" t="n">
        <f aca="false">DCF!$C$41</f>
        <v>590.035349475492</v>
      </c>
    </row>
    <row r="20" customFormat="false" ht="15" hidden="false" customHeight="false" outlineLevel="0" collapsed="false">
      <c r="B20" s="5" t="s">
        <v>16</v>
      </c>
      <c r="C20" s="9" t="n">
        <f aca="false">DCF!$C$43</f>
        <v>1.01891846480097</v>
      </c>
    </row>
    <row r="22" customFormat="false" ht="15" hidden="false" customHeight="false" outlineLevel="0" collapsed="false">
      <c r="B22" s="3" t="s">
        <v>17</v>
      </c>
    </row>
    <row r="23" customFormat="false" ht="30" hidden="false" customHeight="true" outlineLevel="0" collapsed="false">
      <c r="B23" s="13" t="s">
        <v>18</v>
      </c>
      <c r="C23" s="13"/>
      <c r="D23" s="13"/>
      <c r="E23" s="13"/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  <row r="29" customFormat="false" ht="15" hidden="false" customHeight="false" outlineLevel="0" collapsed="false">
      <c r="B29" s="5" t="s">
        <v>23</v>
      </c>
    </row>
    <row r="31" customFormat="false" ht="15" hidden="false" customHeight="false" outlineLevel="0" collapsed="false">
      <c r="B31" s="3" t="s">
        <v>24</v>
      </c>
    </row>
    <row r="32" customFormat="false" ht="15" hidden="false" customHeight="false" outlineLevel="0" collapsed="false">
      <c r="B32" s="5" t="s">
        <v>25</v>
      </c>
      <c r="C32" s="14" t="n">
        <v>1234</v>
      </c>
    </row>
    <row r="33" customFormat="false" ht="15" hidden="false" customHeight="false" outlineLevel="0" collapsed="false">
      <c r="B33" s="5" t="s">
        <v>26</v>
      </c>
      <c r="C33" s="15" t="n">
        <f aca="false">C32*2</f>
        <v>2468</v>
      </c>
    </row>
    <row r="34" customFormat="false" ht="15" hidden="false" customHeight="false" outlineLevel="0" collapsed="false">
      <c r="B34" s="5" t="s">
        <v>27</v>
      </c>
      <c r="C34" s="16" t="n">
        <f aca="false">Inputs!$C$12</f>
        <v>2740</v>
      </c>
    </row>
    <row r="35" customFormat="false" ht="15" hidden="false" customHeight="false" outlineLevel="0" collapsed="false">
      <c r="B35" s="5" t="s">
        <v>28</v>
      </c>
      <c r="C35" s="17" t="n">
        <f aca="false">Inputs!$C$45</f>
        <v>0.10354491728709</v>
      </c>
    </row>
    <row r="37" customFormat="false" ht="15" hidden="false" customHeight="false" outlineLevel="0" collapsed="false">
      <c r="B37" s="3" t="s">
        <v>29</v>
      </c>
    </row>
    <row r="38" customFormat="false" ht="15" hidden="false" customHeight="false" outlineLevel="0" collapsed="false">
      <c r="B38" s="18" t="s">
        <v>30</v>
      </c>
    </row>
    <row r="40" customFormat="false" ht="15" hidden="false" customHeight="false" outlineLevel="0" collapsed="false">
      <c r="B40" s="19" t="s">
        <v>31</v>
      </c>
    </row>
  </sheetData>
  <mergeCells count="2">
    <mergeCell ref="B7:E7"/>
    <mergeCell ref="B23:E23"/>
  </mergeCells>
  <hyperlinks>
    <hyperlink ref="B38" r:id="rId1" display="https://claude.ai/artifact/DS3n4CgaKxaSLzkXDsBKu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"/>
    <col collapsed="false" customWidth="true" hidden="false" outlineLevel="0" max="5" min="5" style="0" width="90"/>
  </cols>
  <sheetData>
    <row r="2" customFormat="false" ht="19.7" hidden="false" customHeight="false" outlineLevel="0" collapsed="false">
      <c r="B2" s="1" t="s">
        <v>32</v>
      </c>
    </row>
    <row r="3" customFormat="false" ht="15" hidden="false" customHeight="false" outlineLevel="0" collapsed="false">
      <c r="B3" s="2" t="s">
        <v>33</v>
      </c>
    </row>
    <row r="5" customFormat="false" ht="15" hidden="false" customHeight="false" outlineLevel="0" collapsed="false">
      <c r="B5" s="3" t="s">
        <v>34</v>
      </c>
    </row>
    <row r="6" customFormat="false" ht="15" hidden="false" customHeight="false" outlineLevel="0" collapsed="false">
      <c r="B6" s="5" t="s">
        <v>35</v>
      </c>
      <c r="C6" s="20" t="n">
        <v>292.253183950972</v>
      </c>
      <c r="E6" s="19" t="s">
        <v>36</v>
      </c>
    </row>
    <row r="7" customFormat="false" ht="15" hidden="false" customHeight="false" outlineLevel="0" collapsed="false">
      <c r="B7" s="5" t="s">
        <v>37</v>
      </c>
      <c r="C7" s="21" t="n">
        <v>104.43</v>
      </c>
      <c r="E7" s="19" t="s">
        <v>38</v>
      </c>
    </row>
    <row r="8" customFormat="false" ht="15" hidden="false" customHeight="false" outlineLevel="0" collapsed="false">
      <c r="B8" s="5" t="s">
        <v>39</v>
      </c>
      <c r="C8" s="15" t="n">
        <f aca="false">C6*C7</f>
        <v>30520</v>
      </c>
      <c r="E8" s="19" t="s">
        <v>40</v>
      </c>
    </row>
    <row r="10" customFormat="false" ht="15" hidden="false" customHeight="false" outlineLevel="0" collapsed="false">
      <c r="B10" s="3" t="s">
        <v>41</v>
      </c>
    </row>
    <row r="11" customFormat="false" ht="15" hidden="false" customHeight="false" outlineLevel="0" collapsed="false">
      <c r="B11" s="5" t="s">
        <v>42</v>
      </c>
      <c r="C11" s="14" t="n">
        <v>5060</v>
      </c>
      <c r="E11" s="19" t="s">
        <v>43</v>
      </c>
    </row>
    <row r="12" customFormat="false" ht="15" hidden="false" customHeight="false" outlineLevel="0" collapsed="false">
      <c r="B12" s="5" t="s">
        <v>44</v>
      </c>
      <c r="C12" s="14" t="n">
        <v>2740</v>
      </c>
      <c r="E12" s="19" t="s">
        <v>45</v>
      </c>
    </row>
    <row r="13" customFormat="false" ht="15" hidden="false" customHeight="false" outlineLevel="0" collapsed="false">
      <c r="B13" s="5" t="s">
        <v>46</v>
      </c>
      <c r="C13" s="14" t="n">
        <v>1870</v>
      </c>
      <c r="E13" s="19" t="s">
        <v>47</v>
      </c>
    </row>
    <row r="14" customFormat="false" ht="15" hidden="false" customHeight="false" outlineLevel="0" collapsed="false">
      <c r="B14" s="5" t="s">
        <v>48</v>
      </c>
      <c r="C14" s="15" t="n">
        <f aca="false">C13</f>
        <v>1870</v>
      </c>
      <c r="E14" s="19" t="s">
        <v>49</v>
      </c>
    </row>
    <row r="15" customFormat="false" ht="15" hidden="false" customHeight="false" outlineLevel="0" collapsed="false">
      <c r="B15" s="5" t="s">
        <v>50</v>
      </c>
      <c r="C15" s="14" t="n">
        <v>0</v>
      </c>
      <c r="E15" s="19" t="s">
        <v>51</v>
      </c>
    </row>
    <row r="16" customFormat="false" ht="15" hidden="false" customHeight="false" outlineLevel="0" collapsed="false">
      <c r="B16" s="5" t="s">
        <v>52</v>
      </c>
      <c r="C16" s="15" t="n">
        <f aca="false">C14-C15</f>
        <v>1870</v>
      </c>
    </row>
    <row r="17" customFormat="false" ht="15" hidden="false" customHeight="false" outlineLevel="0" collapsed="false">
      <c r="B17" s="5" t="s">
        <v>53</v>
      </c>
      <c r="C17" s="14" t="n">
        <v>1820</v>
      </c>
      <c r="E17" s="19" t="s">
        <v>54</v>
      </c>
    </row>
    <row r="18" customFormat="false" ht="15" hidden="false" customHeight="false" outlineLevel="0" collapsed="false">
      <c r="B18" s="5" t="s">
        <v>55</v>
      </c>
      <c r="C18" s="14" t="n">
        <v>1890</v>
      </c>
      <c r="E18" s="19" t="s">
        <v>54</v>
      </c>
    </row>
    <row r="19" customFormat="false" ht="15" hidden="false" customHeight="false" outlineLevel="0" collapsed="false">
      <c r="B19" s="5" t="s">
        <v>56</v>
      </c>
      <c r="C19" s="15" t="n">
        <f aca="false">MAX(0,C17-C18)</f>
        <v>0</v>
      </c>
      <c r="E19" s="19" t="s">
        <v>57</v>
      </c>
    </row>
    <row r="20" customFormat="false" ht="15" hidden="false" customHeight="false" outlineLevel="0" collapsed="false">
      <c r="B20" s="5" t="s">
        <v>58</v>
      </c>
      <c r="C20" s="22" t="n">
        <v>0.25</v>
      </c>
      <c r="E20" s="19" t="s">
        <v>59</v>
      </c>
    </row>
    <row r="21" customFormat="false" ht="15" hidden="false" customHeight="false" outlineLevel="0" collapsed="false">
      <c r="B21" s="5" t="s">
        <v>60</v>
      </c>
      <c r="C21" s="15" t="n">
        <f aca="false">C19*(1-C20)</f>
        <v>0</v>
      </c>
    </row>
    <row r="22" customFormat="false" ht="15" hidden="false" customHeight="false" outlineLevel="0" collapsed="false">
      <c r="B22" s="5" t="s">
        <v>61</v>
      </c>
      <c r="C22" s="15" t="n">
        <f aca="false">C16+C21</f>
        <v>1870</v>
      </c>
    </row>
    <row r="23" customFormat="false" ht="15" hidden="false" customHeight="false" outlineLevel="0" collapsed="false">
      <c r="B23" s="5" t="s">
        <v>13</v>
      </c>
      <c r="C23" s="23" t="n">
        <f aca="false">C22/C12</f>
        <v>0.682481751824818</v>
      </c>
      <c r="E23" s="19" t="s">
        <v>62</v>
      </c>
    </row>
    <row r="24" customFormat="false" ht="15" hidden="false" customHeight="false" outlineLevel="0" collapsed="false">
      <c r="B24" s="5" t="s">
        <v>63</v>
      </c>
      <c r="C24" s="14" t="n">
        <v>1930</v>
      </c>
      <c r="E24" s="19" t="s">
        <v>54</v>
      </c>
    </row>
    <row r="26" customFormat="false" ht="15" hidden="false" customHeight="false" outlineLevel="0" collapsed="false">
      <c r="B26" s="3" t="s">
        <v>64</v>
      </c>
    </row>
    <row r="27" customFormat="false" ht="15" hidden="false" customHeight="false" outlineLevel="0" collapsed="false">
      <c r="B27" s="5" t="s">
        <v>65</v>
      </c>
      <c r="C27" s="14" t="n">
        <v>1580</v>
      </c>
      <c r="E27" s="19" t="s">
        <v>66</v>
      </c>
    </row>
    <row r="28" customFormat="false" ht="15" hidden="false" customHeight="false" outlineLevel="0" collapsed="false">
      <c r="B28" s="5" t="s">
        <v>67</v>
      </c>
      <c r="C28" s="14" t="n">
        <v>2350</v>
      </c>
      <c r="E28" s="19" t="s">
        <v>66</v>
      </c>
    </row>
    <row r="29" customFormat="false" ht="15" hidden="false" customHeight="false" outlineLevel="0" collapsed="false">
      <c r="B29" s="5" t="s">
        <v>68</v>
      </c>
      <c r="C29" s="15" t="n">
        <f aca="false">C27-C28</f>
        <v>-770</v>
      </c>
    </row>
    <row r="31" customFormat="false" ht="15" hidden="false" customHeight="false" outlineLevel="0" collapsed="false">
      <c r="B31" s="3" t="s">
        <v>69</v>
      </c>
    </row>
    <row r="32" customFormat="false" ht="15" hidden="false" customHeight="false" outlineLevel="0" collapsed="false">
      <c r="B32" s="5" t="s">
        <v>70</v>
      </c>
      <c r="C32" s="24" t="n">
        <v>0.0521</v>
      </c>
      <c r="E32" s="19" t="s">
        <v>71</v>
      </c>
    </row>
    <row r="33" customFormat="false" ht="15" hidden="false" customHeight="false" outlineLevel="0" collapsed="false">
      <c r="B33" s="5" t="s">
        <v>72</v>
      </c>
      <c r="C33" s="24" t="n">
        <v>0.0288</v>
      </c>
      <c r="E33" s="19" t="s">
        <v>73</v>
      </c>
    </row>
    <row r="34" customFormat="false" ht="15" hidden="false" customHeight="false" outlineLevel="0" collapsed="false">
      <c r="B34" s="5" t="s">
        <v>74</v>
      </c>
      <c r="C34" s="25" t="n">
        <f aca="false">C32-C33</f>
        <v>0.0233</v>
      </c>
      <c r="E34" s="19" t="s">
        <v>75</v>
      </c>
    </row>
    <row r="35" customFormat="false" ht="15" hidden="false" customHeight="false" outlineLevel="0" collapsed="false">
      <c r="B35" s="5" t="s">
        <v>76</v>
      </c>
      <c r="C35" s="25" t="n">
        <f aca="false">C32</f>
        <v>0.0521</v>
      </c>
    </row>
    <row r="36" customFormat="false" ht="15" hidden="false" customHeight="false" outlineLevel="0" collapsed="false">
      <c r="B36" s="5" t="s">
        <v>77</v>
      </c>
      <c r="C36" s="24" t="n">
        <v>0.005</v>
      </c>
      <c r="E36" s="19" t="s">
        <v>78</v>
      </c>
    </row>
    <row r="37" customFormat="false" ht="15" hidden="false" customHeight="false" outlineLevel="0" collapsed="false">
      <c r="B37" s="5" t="s">
        <v>12</v>
      </c>
      <c r="C37" s="25" t="n">
        <f aca="false">MIN(C34+C36,C35)</f>
        <v>0.0283</v>
      </c>
      <c r="E37" s="19" t="s">
        <v>79</v>
      </c>
    </row>
    <row r="38" customFormat="false" ht="15" hidden="false" customHeight="false" outlineLevel="0" collapsed="false">
      <c r="B38" s="5" t="s">
        <v>80</v>
      </c>
      <c r="C38" s="24" t="n">
        <v>0.0423</v>
      </c>
      <c r="E38" s="19" t="s">
        <v>81</v>
      </c>
    </row>
    <row r="40" customFormat="false" ht="15" hidden="false" customHeight="false" outlineLevel="0" collapsed="false">
      <c r="B40" s="3" t="s">
        <v>82</v>
      </c>
    </row>
    <row r="41" customFormat="false" ht="15" hidden="false" customHeight="false" outlineLevel="0" collapsed="false">
      <c r="B41" s="5" t="s">
        <v>83</v>
      </c>
      <c r="C41" s="9" t="n">
        <f aca="false">History!$C$12</f>
        <v>0.147089834574179</v>
      </c>
      <c r="E41" s="19" t="s">
        <v>84</v>
      </c>
    </row>
    <row r="42" customFormat="false" ht="15" hidden="false" customHeight="false" outlineLevel="0" collapsed="false">
      <c r="B42" s="5" t="s">
        <v>85</v>
      </c>
      <c r="C42" s="22" t="n">
        <v>0.06</v>
      </c>
      <c r="E42" s="19" t="s">
        <v>86</v>
      </c>
    </row>
    <row r="43" customFormat="false" ht="15" hidden="false" customHeight="false" outlineLevel="0" collapsed="false">
      <c r="B43" s="5" t="s">
        <v>87</v>
      </c>
      <c r="C43" s="23" t="n">
        <f aca="false">AVERAGE(C41:C42)</f>
        <v>0.10354491728709</v>
      </c>
      <c r="E43" s="19" t="s">
        <v>88</v>
      </c>
    </row>
    <row r="44" customFormat="false" ht="15" hidden="false" customHeight="false" outlineLevel="0" collapsed="false">
      <c r="B44" s="5" t="s">
        <v>89</v>
      </c>
      <c r="C44" s="22" t="n">
        <v>0.03</v>
      </c>
      <c r="E44" s="19" t="s">
        <v>90</v>
      </c>
    </row>
    <row r="45" customFormat="false" ht="15" hidden="false" customHeight="false" outlineLevel="0" collapsed="false">
      <c r="B45" s="5" t="s">
        <v>91</v>
      </c>
      <c r="C45" s="26" t="n">
        <v>0.10354491728709</v>
      </c>
      <c r="E45" s="19" t="s">
        <v>92</v>
      </c>
    </row>
    <row r="46" customFormat="false" ht="15" hidden="false" customHeight="false" outlineLevel="0" collapsed="false">
      <c r="B46" s="5" t="s">
        <v>93</v>
      </c>
      <c r="C46" s="27" t="n">
        <v>5</v>
      </c>
      <c r="E46" s="19" t="s">
        <v>94</v>
      </c>
    </row>
    <row r="47" customFormat="false" ht="15" hidden="false" customHeight="false" outlineLevel="0" collapsed="false">
      <c r="B47" s="5" t="s">
        <v>95</v>
      </c>
      <c r="C47" s="27" t="n">
        <v>5</v>
      </c>
      <c r="E47" s="1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16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97</v>
      </c>
    </row>
    <row r="3" customFormat="false" ht="15" hidden="false" customHeight="false" outlineLevel="0" collapsed="false">
      <c r="B3" s="2" t="s">
        <v>98</v>
      </c>
    </row>
    <row r="5" customFormat="false" ht="15" hidden="false" customHeight="false" outlineLevel="0" collapsed="false">
      <c r="B5" s="28" t="s">
        <v>99</v>
      </c>
      <c r="C5" s="28" t="s">
        <v>100</v>
      </c>
      <c r="D5" s="28" t="s">
        <v>101</v>
      </c>
      <c r="E5" s="28" t="s">
        <v>102</v>
      </c>
      <c r="F5" s="28" t="s">
        <v>103</v>
      </c>
      <c r="G5" s="28" t="s">
        <v>104</v>
      </c>
      <c r="H5" s="28" t="s">
        <v>105</v>
      </c>
    </row>
    <row r="6" customFormat="false" ht="15" hidden="false" customHeight="false" outlineLevel="0" collapsed="false">
      <c r="B6" s="5" t="s">
        <v>106</v>
      </c>
      <c r="C6" s="14" t="n">
        <v>1476</v>
      </c>
      <c r="D6" s="14" t="n">
        <v>1742</v>
      </c>
      <c r="E6" s="14" t="n">
        <v>1918</v>
      </c>
      <c r="F6" s="14" t="n">
        <v>2072</v>
      </c>
      <c r="G6" s="14" t="n">
        <v>2429</v>
      </c>
      <c r="H6" s="14" t="n">
        <v>2737</v>
      </c>
    </row>
    <row r="7" customFormat="false" ht="15" hidden="false" customHeight="false" outlineLevel="0" collapsed="false">
      <c r="B7" s="5" t="s">
        <v>107</v>
      </c>
      <c r="D7" s="23" t="n">
        <f aca="false">D6/C6-1</f>
        <v>0.180216802168022</v>
      </c>
      <c r="E7" s="23" t="n">
        <f aca="false">E6/D6-1</f>
        <v>0.101033295063146</v>
      </c>
      <c r="F7" s="23" t="n">
        <f aca="false">F6/E6-1</f>
        <v>0.0802919708029197</v>
      </c>
      <c r="G7" s="23" t="n">
        <f aca="false">G6/F6-1</f>
        <v>0.172297297297297</v>
      </c>
    </row>
    <row r="8" customFormat="false" ht="15" hidden="false" customHeight="false" outlineLevel="0" collapsed="false">
      <c r="B8" s="19" t="s">
        <v>108</v>
      </c>
    </row>
    <row r="10" customFormat="false" ht="15" hidden="false" customHeight="false" outlineLevel="0" collapsed="false">
      <c r="B10" s="3" t="s">
        <v>109</v>
      </c>
    </row>
    <row r="11" customFormat="false" ht="15" hidden="false" customHeight="false" outlineLevel="0" collapsed="false">
      <c r="B11" s="5" t="s">
        <v>110</v>
      </c>
      <c r="C11" s="29" t="s">
        <v>100</v>
      </c>
      <c r="E11" s="5" t="s">
        <v>111</v>
      </c>
      <c r="G11" s="30" t="n">
        <v>4.5</v>
      </c>
    </row>
    <row r="12" customFormat="false" ht="15" hidden="false" customHeight="false" outlineLevel="0" collapsed="false">
      <c r="B12" s="5" t="s">
        <v>112</v>
      </c>
      <c r="C12" s="23" t="n">
        <f aca="false">(H6/INDEX(C6:H6,MATCH(C11,C5:H5,0)))^(1/G11)-1</f>
        <v>0.147089834574179</v>
      </c>
      <c r="I12" s="1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4"/>
    <col collapsed="false" customWidth="true" hidden="false" outlineLevel="0" max="8" min="8" style="0" width="60"/>
  </cols>
  <sheetData>
    <row r="2" customFormat="false" ht="19.7" hidden="false" customHeight="false" outlineLevel="0" collapsed="false">
      <c r="B2" s="1" t="s">
        <v>113</v>
      </c>
    </row>
    <row r="3" customFormat="false" ht="15" hidden="false" customHeight="false" outlineLevel="0" collapsed="false">
      <c r="B3" s="2" t="s">
        <v>114</v>
      </c>
    </row>
    <row r="5" customFormat="false" ht="15" hidden="false" customHeight="false" outlineLevel="0" collapsed="false">
      <c r="B5" s="28" t="s">
        <v>115</v>
      </c>
      <c r="C5" s="28" t="s">
        <v>116</v>
      </c>
      <c r="D5" s="28" t="s">
        <v>117</v>
      </c>
      <c r="E5" s="28" t="s">
        <v>118</v>
      </c>
      <c r="F5" s="28" t="s">
        <v>58</v>
      </c>
      <c r="G5" s="28" t="s">
        <v>119</v>
      </c>
    </row>
    <row r="6" customFormat="false" ht="15" hidden="false" customHeight="false" outlineLevel="0" collapsed="false">
      <c r="B6" s="5" t="s">
        <v>120</v>
      </c>
      <c r="C6" s="31" t="n">
        <v>0.937184629651022</v>
      </c>
      <c r="D6" s="14" t="n">
        <v>20530</v>
      </c>
      <c r="E6" s="14" t="n">
        <v>87470</v>
      </c>
      <c r="F6" s="22" t="n">
        <v>0.25</v>
      </c>
      <c r="G6" s="32" t="n">
        <f aca="false">C6/(1+(1-F6)*D6/E6)</f>
        <v>0.796904168523342</v>
      </c>
      <c r="H6" s="19" t="s">
        <v>121</v>
      </c>
    </row>
    <row r="7" customFormat="false" ht="15" hidden="false" customHeight="false" outlineLevel="0" collapsed="false">
      <c r="B7" s="5" t="s">
        <v>122</v>
      </c>
      <c r="C7" s="31" t="n">
        <v>0.239866317804515</v>
      </c>
      <c r="D7" s="14" t="n">
        <v>3870</v>
      </c>
      <c r="E7" s="14" t="n">
        <v>99970</v>
      </c>
      <c r="F7" s="22" t="n">
        <v>0.25</v>
      </c>
      <c r="G7" s="32" t="n">
        <f aca="false">C7/(1+(1-F7)*D7/E7)</f>
        <v>0.233098600606745</v>
      </c>
    </row>
    <row r="8" customFormat="false" ht="15" hidden="false" customHeight="false" outlineLevel="0" collapsed="false">
      <c r="B8" s="5" t="s">
        <v>123</v>
      </c>
      <c r="C8" s="31" t="n">
        <v>0.991894933766176</v>
      </c>
      <c r="D8" s="14" t="n">
        <v>9320</v>
      </c>
      <c r="E8" s="14" t="n">
        <v>52250</v>
      </c>
      <c r="F8" s="22" t="n">
        <v>0.25</v>
      </c>
      <c r="G8" s="32" t="n">
        <f aca="false">C8/(1+(1-F8)*D8/E8)</f>
        <v>0.874856689555751</v>
      </c>
    </row>
    <row r="9" customFormat="false" ht="15" hidden="false" customHeight="false" outlineLevel="0" collapsed="false">
      <c r="B9" s="7" t="s">
        <v>124</v>
      </c>
      <c r="C9" s="31" t="n">
        <v>0.41</v>
      </c>
      <c r="D9" s="14" t="n">
        <v>1580</v>
      </c>
      <c r="E9" s="14" t="n">
        <v>30520</v>
      </c>
      <c r="F9" s="22" t="n">
        <v>0.25</v>
      </c>
      <c r="G9" s="32" t="n">
        <f aca="false">C9/(1+(1-F9)*D9/E9)</f>
        <v>0.394675918624823</v>
      </c>
    </row>
    <row r="10" customFormat="false" ht="15" hidden="false" customHeight="false" outlineLevel="0" collapsed="false">
      <c r="B10" s="5" t="s">
        <v>125</v>
      </c>
      <c r="C10" s="31" t="n">
        <v>0.0712282477450855</v>
      </c>
      <c r="D10" s="14" t="n">
        <v>2070</v>
      </c>
      <c r="E10" s="14" t="n">
        <v>15010</v>
      </c>
      <c r="F10" s="22" t="n">
        <v>0.265</v>
      </c>
      <c r="G10" s="32" t="n">
        <f aca="false">C10/(1+(1-F10)*D10/E10)</f>
        <v>0.0646728507574189</v>
      </c>
    </row>
    <row r="11" customFormat="false" ht="15" hidden="false" customHeight="false" outlineLevel="0" collapsed="false">
      <c r="B11" s="5" t="s">
        <v>126</v>
      </c>
      <c r="C11" s="31" t="n">
        <v>0.611799852675033</v>
      </c>
      <c r="D11" s="14" t="n">
        <v>150.34</v>
      </c>
      <c r="E11" s="14" t="n">
        <v>25740</v>
      </c>
      <c r="F11" s="22" t="n">
        <v>0.25</v>
      </c>
      <c r="G11" s="32" t="n">
        <f aca="false">C11/(1+(1-F11)*D11/E11)</f>
        <v>0.609131529999621</v>
      </c>
    </row>
    <row r="12" customFormat="false" ht="15" hidden="false" customHeight="false" outlineLevel="0" collapsed="false">
      <c r="B12" s="5" t="s">
        <v>127</v>
      </c>
      <c r="C12" s="31" t="n">
        <v>0.798396426820285</v>
      </c>
      <c r="D12" s="14" t="n">
        <v>178.91</v>
      </c>
      <c r="E12" s="14" t="n">
        <v>5790</v>
      </c>
      <c r="F12" s="22" t="n">
        <v>0.25</v>
      </c>
      <c r="G12" s="32" t="n">
        <f aca="false">C12/(1+(1-F12)*D12/E12)</f>
        <v>0.780312779238224</v>
      </c>
    </row>
    <row r="14" customFormat="false" ht="15" hidden="false" customHeight="false" outlineLevel="0" collapsed="false">
      <c r="B14" s="5" t="s">
        <v>128</v>
      </c>
      <c r="C14" s="32" t="n">
        <f aca="false">MEDIAN(G6:G12)</f>
        <v>0.609131529999621</v>
      </c>
    </row>
    <row r="15" customFormat="false" ht="15" hidden="false" customHeight="false" outlineLevel="0" collapsed="false">
      <c r="B15" s="5" t="s">
        <v>117</v>
      </c>
      <c r="C15" s="16" t="n">
        <f aca="false">Inputs!$C$27</f>
        <v>1580</v>
      </c>
    </row>
    <row r="16" customFormat="false" ht="15" hidden="false" customHeight="false" outlineLevel="0" collapsed="false">
      <c r="B16" s="5" t="s">
        <v>39</v>
      </c>
      <c r="C16" s="16" t="n">
        <f aca="false">Inputs!$C$8</f>
        <v>30520</v>
      </c>
    </row>
    <row r="17" customFormat="false" ht="15" hidden="false" customHeight="false" outlineLevel="0" collapsed="false">
      <c r="B17" s="5" t="s">
        <v>58</v>
      </c>
      <c r="C17" s="9" t="n">
        <f aca="false">Inputs!$C$20</f>
        <v>0.25</v>
      </c>
    </row>
    <row r="18" customFormat="false" ht="15" hidden="false" customHeight="false" outlineLevel="0" collapsed="false">
      <c r="B18" s="5" t="s">
        <v>129</v>
      </c>
      <c r="C18" s="32" t="n">
        <f aca="false">WACC!$C$14*(1+(1-WACC!$C$17)*WACC!$C$15/WACC!$C$16)</f>
        <v>0.632782279116579</v>
      </c>
      <c r="H18" s="19" t="s">
        <v>130</v>
      </c>
    </row>
    <row r="19" customFormat="false" ht="15" hidden="false" customHeight="false" outlineLevel="0" collapsed="false">
      <c r="B19" s="5" t="s">
        <v>131</v>
      </c>
      <c r="C19" s="12" t="n">
        <f aca="false">Inputs!$C$35</f>
        <v>0.0521</v>
      </c>
    </row>
    <row r="20" customFormat="false" ht="15" hidden="false" customHeight="false" outlineLevel="0" collapsed="false">
      <c r="B20" s="5" t="s">
        <v>80</v>
      </c>
      <c r="C20" s="12" t="n">
        <f aca="false">Inputs!$C$38</f>
        <v>0.0423</v>
      </c>
    </row>
    <row r="21" customFormat="false" ht="15" hidden="false" customHeight="false" outlineLevel="0" collapsed="false">
      <c r="B21" s="5" t="s">
        <v>132</v>
      </c>
      <c r="C21" s="25" t="n">
        <f aca="false">WACC!$C$19+WACC!$C$18*WACC!$C$20</f>
        <v>0.0788666904066313</v>
      </c>
      <c r="H21" s="19" t="s">
        <v>133</v>
      </c>
    </row>
    <row r="23" customFormat="false" ht="15" hidden="false" customHeight="false" outlineLevel="0" collapsed="false">
      <c r="B23" s="3" t="s">
        <v>134</v>
      </c>
    </row>
    <row r="24" customFormat="false" ht="15" hidden="false" customHeight="false" outlineLevel="0" collapsed="false">
      <c r="B24" s="28" t="s">
        <v>135</v>
      </c>
      <c r="C24" s="28" t="s">
        <v>136</v>
      </c>
    </row>
    <row r="25" customFormat="false" ht="15" hidden="false" customHeight="false" outlineLevel="0" collapsed="false">
      <c r="B25" s="33" t="n">
        <v>1</v>
      </c>
      <c r="C25" s="24" t="n">
        <v>0.01</v>
      </c>
      <c r="H25" s="19" t="s">
        <v>137</v>
      </c>
    </row>
    <row r="26" customFormat="false" ht="15" hidden="false" customHeight="false" outlineLevel="0" collapsed="false">
      <c r="B26" s="33" t="n">
        <v>2</v>
      </c>
      <c r="C26" s="24" t="n">
        <v>0.0125</v>
      </c>
    </row>
    <row r="27" customFormat="false" ht="15" hidden="false" customHeight="false" outlineLevel="0" collapsed="false">
      <c r="B27" s="33" t="n">
        <v>3</v>
      </c>
      <c r="C27" s="24" t="n">
        <v>0.016</v>
      </c>
    </row>
    <row r="28" customFormat="false" ht="15" hidden="false" customHeight="false" outlineLevel="0" collapsed="false">
      <c r="B28" s="33" t="n">
        <v>4</v>
      </c>
      <c r="C28" s="24" t="n">
        <v>0.02</v>
      </c>
    </row>
    <row r="29" customFormat="false" ht="15" hidden="false" customHeight="false" outlineLevel="0" collapsed="false">
      <c r="B29" s="33" t="n">
        <v>99</v>
      </c>
      <c r="C29" s="24" t="n">
        <v>0.0275</v>
      </c>
    </row>
    <row r="31" customFormat="false" ht="15" hidden="false" customHeight="false" outlineLevel="0" collapsed="false">
      <c r="B31" s="5" t="s">
        <v>138</v>
      </c>
      <c r="C31" s="34" t="n">
        <f aca="false">Inputs!$C$27/Inputs!$C$24</f>
        <v>0.818652849740933</v>
      </c>
    </row>
    <row r="32" customFormat="false" ht="15" hidden="false" customHeight="false" outlineLevel="0" collapsed="false">
      <c r="B32" s="5" t="s">
        <v>139</v>
      </c>
      <c r="C32" s="25" t="n">
        <f aca="false">INDEX(C25:C29,COUNTIF(B25:B29,"&lt;="&amp;WACC!$C$31)+1)</f>
        <v>0.01</v>
      </c>
      <c r="H32" s="19" t="s">
        <v>140</v>
      </c>
    </row>
    <row r="33" customFormat="false" ht="15" hidden="false" customHeight="false" outlineLevel="0" collapsed="false">
      <c r="B33" s="5" t="s">
        <v>141</v>
      </c>
      <c r="C33" s="25" t="n">
        <f aca="false">WACC!$C$19+WACC!$C$32</f>
        <v>0.0621</v>
      </c>
    </row>
    <row r="34" customFormat="false" ht="15" hidden="false" customHeight="false" outlineLevel="0" collapsed="false">
      <c r="B34" s="5" t="s">
        <v>142</v>
      </c>
      <c r="C34" s="25" t="n">
        <f aca="false">WACC!$C$33*(1-WACC!$C$17)</f>
        <v>0.046575</v>
      </c>
    </row>
    <row r="35" customFormat="false" ht="15" hidden="false" customHeight="false" outlineLevel="0" collapsed="false">
      <c r="B35" s="5" t="s">
        <v>143</v>
      </c>
      <c r="C35" s="23" t="n">
        <f aca="false">WACC!$C$15/(WACC!$C$15+WACC!$C$16)</f>
        <v>0.049221183800623</v>
      </c>
      <c r="H35" s="19" t="s">
        <v>144</v>
      </c>
    </row>
    <row r="36" customFormat="false" ht="15" hidden="false" customHeight="false" outlineLevel="0" collapsed="false">
      <c r="B36" s="5" t="s">
        <v>145</v>
      </c>
      <c r="C36" s="23" t="n">
        <f aca="false">1-WACC!$C$35</f>
        <v>0.950778816199377</v>
      </c>
    </row>
    <row r="37" customFormat="false" ht="15" hidden="false" customHeight="false" outlineLevel="0" collapsed="false">
      <c r="B37" s="5" t="s">
        <v>11</v>
      </c>
      <c r="C37" s="35" t="n">
        <f aca="false">WACC!$C$36*WACC!$C$21+WACC!$C$35*WACC!$C$34</f>
        <v>0.0772772551778937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20" min="4" style="0" width="11"/>
  </cols>
  <sheetData>
    <row r="1" customFormat="false" ht="15" hidden="false" customHeight="false" outlineLevel="0" collapsed="false">
      <c r="A1" s="3" t="s">
        <v>146</v>
      </c>
    </row>
    <row r="2" customFormat="false" ht="15" hidden="false" customHeight="false" outlineLevel="0" collapsed="false">
      <c r="B2" s="5" t="s">
        <v>147</v>
      </c>
      <c r="C2" s="16" t="n">
        <f aca="false">Inputs!$C$12</f>
        <v>2740</v>
      </c>
      <c r="D2" s="5" t="s">
        <v>148</v>
      </c>
      <c r="E2" s="9" t="n">
        <f aca="false">Inputs!$C$23</f>
        <v>0.682481751824818</v>
      </c>
      <c r="F2" s="5" t="s">
        <v>149</v>
      </c>
      <c r="G2" s="16" t="n">
        <f aca="false">Inputs!$C$27</f>
        <v>1580</v>
      </c>
      <c r="H2" s="5" t="s">
        <v>150</v>
      </c>
      <c r="I2" s="16" t="n">
        <f aca="false">Inputs!$C$28</f>
        <v>2350</v>
      </c>
      <c r="J2" s="5" t="s">
        <v>151</v>
      </c>
      <c r="K2" s="36" t="n">
        <f aca="false">Inputs!$C$7</f>
        <v>104.43</v>
      </c>
      <c r="L2" s="5" t="s">
        <v>152</v>
      </c>
      <c r="M2" s="6" t="n">
        <f aca="false">Inputs!$C$6</f>
        <v>292.253183950972</v>
      </c>
      <c r="N2" s="5" t="s">
        <v>153</v>
      </c>
      <c r="O2" s="37" t="n">
        <f aca="false">Inputs!$C$46</f>
        <v>5</v>
      </c>
      <c r="P2" s="5" t="s">
        <v>154</v>
      </c>
      <c r="Q2" s="37" t="n">
        <f aca="false">Inputs!$C$47</f>
        <v>5</v>
      </c>
    </row>
    <row r="3" customFormat="false" ht="15" hidden="false" customHeight="false" outlineLevel="0" collapsed="false">
      <c r="D3" s="38" t="s">
        <v>155</v>
      </c>
      <c r="E3" s="39" t="n">
        <v>1</v>
      </c>
      <c r="F3" s="39" t="n">
        <v>2</v>
      </c>
      <c r="G3" s="39" t="n">
        <v>3</v>
      </c>
      <c r="H3" s="39" t="n">
        <v>4</v>
      </c>
      <c r="I3" s="39" t="n">
        <v>5</v>
      </c>
      <c r="J3" s="39" t="n">
        <v>6</v>
      </c>
      <c r="K3" s="39" t="n">
        <v>7</v>
      </c>
      <c r="L3" s="39" t="n">
        <v>8</v>
      </c>
      <c r="M3" s="39" t="n">
        <v>9</v>
      </c>
      <c r="N3" s="39" t="n">
        <v>10</v>
      </c>
    </row>
    <row r="4" customFormat="false" ht="15" hidden="false" customHeight="false" outlineLevel="0" collapsed="false">
      <c r="A4" s="19" t="s">
        <v>156</v>
      </c>
    </row>
    <row r="6" customFormat="false" ht="15" hidden="false" customHeight="false" outlineLevel="0" collapsed="false">
      <c r="A6" s="38" t="s">
        <v>157</v>
      </c>
      <c r="E6" s="5" t="s">
        <v>11</v>
      </c>
      <c r="F6" s="12" t="n">
        <f aca="false">WACC!$C$37</f>
        <v>0.0772772551778937</v>
      </c>
      <c r="G6" s="5" t="s">
        <v>12</v>
      </c>
      <c r="I6" s="12" t="n">
        <f aca="false">Inputs!$C$37</f>
        <v>0.0283</v>
      </c>
      <c r="W6" s="38" t="s">
        <v>158</v>
      </c>
    </row>
    <row r="7" customFormat="false" ht="23.85" hidden="false" customHeight="false" outlineLevel="0" collapsed="false">
      <c r="A7" s="38" t="s">
        <v>159</v>
      </c>
      <c r="B7" s="28" t="s">
        <v>160</v>
      </c>
      <c r="C7" s="28" t="s">
        <v>161</v>
      </c>
      <c r="D7" s="28" t="s">
        <v>162</v>
      </c>
      <c r="E7" s="28" t="s">
        <v>163</v>
      </c>
      <c r="F7" s="28" t="s">
        <v>164</v>
      </c>
      <c r="G7" s="28" t="s">
        <v>165</v>
      </c>
      <c r="H7" s="28" t="s">
        <v>166</v>
      </c>
      <c r="I7" s="28" t="s">
        <v>167</v>
      </c>
      <c r="J7" s="28" t="s">
        <v>168</v>
      </c>
      <c r="K7" s="28" t="s">
        <v>169</v>
      </c>
      <c r="L7" s="28" t="s">
        <v>170</v>
      </c>
      <c r="M7" s="28" t="s">
        <v>171</v>
      </c>
      <c r="N7" s="28" t="s">
        <v>172</v>
      </c>
      <c r="O7" s="28" t="s">
        <v>173</v>
      </c>
      <c r="P7" s="28" t="s">
        <v>174</v>
      </c>
      <c r="Q7" s="28" t="s">
        <v>175</v>
      </c>
      <c r="R7" s="28" t="s">
        <v>176</v>
      </c>
      <c r="S7" s="28" t="s">
        <v>177</v>
      </c>
      <c r="T7" s="28" t="s">
        <v>178</v>
      </c>
      <c r="W7" s="40" t="n">
        <f aca="false">$D$47</f>
        <v>-0.0182283910212391</v>
      </c>
    </row>
    <row r="8" customFormat="false" ht="15" hidden="false" customHeight="false" outlineLevel="0" collapsed="false">
      <c r="A8" s="5" t="n">
        <v>1</v>
      </c>
      <c r="B8" s="24" t="n">
        <v>-0.5</v>
      </c>
      <c r="C8" s="24" t="n">
        <v>1</v>
      </c>
      <c r="D8" s="41" t="n">
        <f aca="false">(B8+C8)/2</f>
        <v>0.25</v>
      </c>
      <c r="E8" s="15" t="n">
        <f aca="false">$C$2*(1+IF(E$3&lt;=$O$2,$D8,$D8-($D8-$I$6)*MIN(E$3-$O$2,$Q$2)/$Q$2))</f>
        <v>3425</v>
      </c>
      <c r="F8" s="15" t="n">
        <f aca="false">E8*(1+IF(F$3&lt;=$O$2,$D8,$D8-($D8-$I$6)*MIN(F$3-$O$2,$Q$2)/$Q$2))</f>
        <v>4281.25</v>
      </c>
      <c r="G8" s="15" t="n">
        <f aca="false">F8*(1+IF(G$3&lt;=$O$2,$D8,$D8-($D8-$I$6)*MIN(G$3-$O$2,$Q$2)/$Q$2))</f>
        <v>5351.5625</v>
      </c>
      <c r="H8" s="15" t="n">
        <f aca="false">G8*(1+IF(H$3&lt;=$O$2,$D8,$D8-($D8-$I$6)*MIN(H$3-$O$2,$Q$2)/$Q$2))</f>
        <v>6689.453125</v>
      </c>
      <c r="I8" s="15" t="n">
        <f aca="false">H8*(1+IF(I$3&lt;=$O$2,$D8,$D8-($D8-$I$6)*MIN(I$3-$O$2,$Q$2)/$Q$2))</f>
        <v>8361.81640625</v>
      </c>
      <c r="J8" s="15" t="n">
        <f aca="false">I8*(1+IF(J$3&lt;=$O$2,$D8,$D8-($D8-$I$6)*MIN(J$3-$O$2,$Q$2)/$Q$2))</f>
        <v>10081.5075683594</v>
      </c>
      <c r="K8" s="15" t="n">
        <f aca="false">J8*(1+IF(K$3&lt;=$O$2,$D8,$D8-($D8-$I$6)*MIN(K$3-$O$2,$Q$2)/$Q$2))</f>
        <v>11707.8563692871</v>
      </c>
      <c r="L8" s="15" t="n">
        <f aca="false">K8*(1+IF(L$3&lt;=$O$2,$D8,$D8-($D8-$I$6)*MIN(L$3-$O$2,$Q$2)/$Q$2))</f>
        <v>13077.4414073663</v>
      </c>
      <c r="M8" s="15" t="n">
        <f aca="false">L8*(1+IF(M$3&lt;=$O$2,$D8,$D8-($D8-$I$6)*MIN(M$3-$O$2,$Q$2)/$Q$2))</f>
        <v>14027.3867511974</v>
      </c>
      <c r="N8" s="15" t="n">
        <f aca="false">M8*(1+IF(N$3&lt;=$O$2,$D8,$D8-($D8-$I$6)*MIN(N$3-$O$2,$Q$2)/$Q$2))</f>
        <v>14424.3617962563</v>
      </c>
      <c r="O8" s="15" t="n">
        <f aca="false">SUMPRODUCT(E8:N8,1/(1+$F$6)^$E$3:$N$3)*$E$2</f>
        <v>38575.3152340109</v>
      </c>
      <c r="P8" s="15" t="n">
        <f aca="false">N8*$E$2*(1+$I$6)/($F$6-$I$6)/(1+$F$6)^$N$3</f>
        <v>98183.4160719083</v>
      </c>
      <c r="Q8" s="15" t="n">
        <f aca="false">O8+P8</f>
        <v>136758.731305919</v>
      </c>
      <c r="R8" s="15" t="n">
        <f aca="false">Q8-$G$2+$I$2</f>
        <v>137528.731305919</v>
      </c>
      <c r="S8" s="42" t="n">
        <f aca="false">R8/$K$2</f>
        <v>1316.94657958364</v>
      </c>
      <c r="T8" s="43" t="n">
        <f aca="false">S8-$M$2</f>
        <v>1024.69339563267</v>
      </c>
      <c r="W8" s="5" t="str">
        <f aca="false">IF(OR(ABS(W7+0.5)&lt;0.000001,ABS(W7-1)&lt;0.000001),"Out of range","Solved")</f>
        <v>Solved</v>
      </c>
    </row>
    <row r="9" customFormat="false" ht="15" hidden="false" customHeight="false" outlineLevel="0" collapsed="false">
      <c r="A9" s="5" t="n">
        <v>2</v>
      </c>
      <c r="B9" s="25" t="n">
        <f aca="false">IF(T8&gt;0,B8,D8)</f>
        <v>-0.5</v>
      </c>
      <c r="C9" s="25" t="n">
        <f aca="false">IF(T8&gt;0,D8,C8)</f>
        <v>0.25</v>
      </c>
      <c r="D9" s="41" t="n">
        <f aca="false">(B9+C9)/2</f>
        <v>-0.125</v>
      </c>
      <c r="E9" s="15" t="n">
        <f aca="false">$C$2*(1+IF(E$3&lt;=$O$2,$D9,$D9-($D9-$I$6)*MIN(E$3-$O$2,$Q$2)/$Q$2))</f>
        <v>2397.5</v>
      </c>
      <c r="F9" s="15" t="n">
        <f aca="false">E9*(1+IF(F$3&lt;=$O$2,$D9,$D9-($D9-$I$6)*MIN(F$3-$O$2,$Q$2)/$Q$2))</f>
        <v>2097.8125</v>
      </c>
      <c r="G9" s="15" t="n">
        <f aca="false">F9*(1+IF(G$3&lt;=$O$2,$D9,$D9-($D9-$I$6)*MIN(G$3-$O$2,$Q$2)/$Q$2))</f>
        <v>1835.5859375</v>
      </c>
      <c r="H9" s="15" t="n">
        <f aca="false">G9*(1+IF(H$3&lt;=$O$2,$D9,$D9-($D9-$I$6)*MIN(H$3-$O$2,$Q$2)/$Q$2))</f>
        <v>1606.1376953125</v>
      </c>
      <c r="I9" s="15" t="n">
        <f aca="false">H9*(1+IF(I$3&lt;=$O$2,$D9,$D9-($D9-$I$6)*MIN(I$3-$O$2,$Q$2)/$Q$2))</f>
        <v>1405.37048339844</v>
      </c>
      <c r="J9" s="15" t="n">
        <f aca="false">I9*(1+IF(J$3&lt;=$O$2,$D9,$D9-($D9-$I$6)*MIN(J$3-$O$2,$Q$2)/$Q$2))</f>
        <v>1272.78783199463</v>
      </c>
      <c r="K9" s="15" t="n">
        <f aca="false">J9*(1+IF(K$3&lt;=$O$2,$D9,$D9-($D9-$I$6)*MIN(K$3-$O$2,$Q$2)/$Q$2))</f>
        <v>1191.73670285321</v>
      </c>
      <c r="L9" s="15" t="n">
        <f aca="false">K9*(1+IF(L$3&lt;=$O$2,$D9,$D9-($D9-$I$6)*MIN(L$3-$O$2,$Q$2)/$Q$2))</f>
        <v>1152.385556925</v>
      </c>
      <c r="M9" s="15" t="n">
        <f aca="false">L9*(1+IF(M$3&lt;=$O$2,$D9,$D9-($D9-$I$6)*MIN(M$3-$O$2,$Q$2)/$Q$2))</f>
        <v>1149.66592701066</v>
      </c>
      <c r="N9" s="15" t="n">
        <f aca="false">M9*(1+IF(N$3&lt;=$O$2,$D9,$D9-($D9-$I$6)*MIN(N$3-$O$2,$Q$2)/$Q$2))</f>
        <v>1182.20147274506</v>
      </c>
      <c r="O9" s="15" t="n">
        <f aca="false">SUMPRODUCT(E9:N9,1/(1+$F$6)^$E$3:$N$3)*$E$2</f>
        <v>7486.71230021109</v>
      </c>
      <c r="P9" s="15" t="n">
        <f aca="false">N9*$E$2*(1+$I$6)/($F$6-$I$6)/(1+$F$6)^$N$3</f>
        <v>8046.981954479</v>
      </c>
      <c r="Q9" s="15" t="n">
        <f aca="false">O9+P9</f>
        <v>15533.6942546901</v>
      </c>
      <c r="R9" s="15" t="n">
        <f aca="false">Q9-$G$2+$I$2</f>
        <v>16303.6942546901</v>
      </c>
      <c r="S9" s="42" t="n">
        <f aca="false">R9/$K$2</f>
        <v>156.120791484153</v>
      </c>
      <c r="T9" s="43" t="n">
        <f aca="false">S9-$M$2</f>
        <v>-136.132392466819</v>
      </c>
    </row>
    <row r="10" customFormat="false" ht="15" hidden="false" customHeight="false" outlineLevel="0" collapsed="false">
      <c r="A10" s="5" t="n">
        <v>3</v>
      </c>
      <c r="B10" s="25" t="n">
        <f aca="false">IF(T9&gt;0,B9,D9)</f>
        <v>-0.125</v>
      </c>
      <c r="C10" s="25" t="n">
        <f aca="false">IF(T9&gt;0,D9,C9)</f>
        <v>0.25</v>
      </c>
      <c r="D10" s="41" t="n">
        <f aca="false">(B10+C10)/2</f>
        <v>0.0625</v>
      </c>
      <c r="E10" s="15" t="n">
        <f aca="false">$C$2*(1+IF(E$3&lt;=$O$2,$D10,$D10-($D10-$I$6)*MIN(E$3-$O$2,$Q$2)/$Q$2))</f>
        <v>2911.25</v>
      </c>
      <c r="F10" s="15" t="n">
        <f aca="false">E10*(1+IF(F$3&lt;=$O$2,$D10,$D10-($D10-$I$6)*MIN(F$3-$O$2,$Q$2)/$Q$2))</f>
        <v>3093.203125</v>
      </c>
      <c r="G10" s="15" t="n">
        <f aca="false">F10*(1+IF(G$3&lt;=$O$2,$D10,$D10-($D10-$I$6)*MIN(G$3-$O$2,$Q$2)/$Q$2))</f>
        <v>3286.5283203125</v>
      </c>
      <c r="H10" s="15" t="n">
        <f aca="false">G10*(1+IF(H$3&lt;=$O$2,$D10,$D10-($D10-$I$6)*MIN(H$3-$O$2,$Q$2)/$Q$2))</f>
        <v>3491.93634033203</v>
      </c>
      <c r="I10" s="15" t="n">
        <f aca="false">H10*(1+IF(I$3&lt;=$O$2,$D10,$D10-($D10-$I$6)*MIN(I$3-$O$2,$Q$2)/$Q$2))</f>
        <v>3710.18236160278</v>
      </c>
      <c r="J10" s="15" t="n">
        <f aca="false">I10*(1+IF(J$3&lt;=$O$2,$D10,$D10-($D10-$I$6)*MIN(J$3-$O$2,$Q$2)/$Q$2))</f>
        <v>3916.69111184959</v>
      </c>
      <c r="K10" s="15" t="n">
        <f aca="false">J10*(1+IF(K$3&lt;=$O$2,$D10,$D10-($D10-$I$6)*MIN(K$3-$O$2,$Q$2)/$Q$2))</f>
        <v>4107.90397193009</v>
      </c>
      <c r="L10" s="15" t="n">
        <f aca="false">K10*(1+IF(L$3&lt;=$O$2,$D10,$D10-($D10-$I$6)*MIN(L$3-$O$2,$Q$2)/$Q$2))</f>
        <v>4280.35378067172</v>
      </c>
      <c r="M10" s="15" t="n">
        <f aca="false">L10*(1+IF(M$3&lt;=$O$2,$D10,$D10-($D10-$I$6)*MIN(M$3-$O$2,$Q$2)/$Q$2))</f>
        <v>4430.76541252452</v>
      </c>
      <c r="N10" s="15" t="n">
        <f aca="false">M10*(1+IF(N$3&lt;=$O$2,$D10,$D10-($D10-$I$6)*MIN(N$3-$O$2,$Q$2)/$Q$2))</f>
        <v>4556.15607369897</v>
      </c>
      <c r="O10" s="15" t="n">
        <f aca="false">SUMPRODUCT(E10:N10,1/(1+$F$6)^$E$3:$N$3)*$E$2</f>
        <v>16982.4591917103</v>
      </c>
      <c r="P10" s="15" t="n">
        <f aca="false">N10*$E$2*(1+$I$6)/($F$6-$I$6)/(1+$F$6)^$N$3</f>
        <v>31012.7389891621</v>
      </c>
      <c r="Q10" s="15" t="n">
        <f aca="false">O10+P10</f>
        <v>47995.1981808724</v>
      </c>
      <c r="R10" s="15" t="n">
        <f aca="false">Q10-$G$2+$I$2</f>
        <v>48765.1981808724</v>
      </c>
      <c r="S10" s="42" t="n">
        <f aca="false">R10/$K$2</f>
        <v>466.965413969859</v>
      </c>
      <c r="T10" s="43" t="n">
        <f aca="false">S10-$M$2</f>
        <v>174.712230018887</v>
      </c>
    </row>
    <row r="11" customFormat="false" ht="15" hidden="false" customHeight="false" outlineLevel="0" collapsed="false">
      <c r="A11" s="5" t="n">
        <v>4</v>
      </c>
      <c r="B11" s="25" t="n">
        <f aca="false">IF(T10&gt;0,B10,D10)</f>
        <v>-0.125</v>
      </c>
      <c r="C11" s="25" t="n">
        <f aca="false">IF(T10&gt;0,D10,C10)</f>
        <v>0.0625</v>
      </c>
      <c r="D11" s="41" t="n">
        <f aca="false">(B11+C11)/2</f>
        <v>-0.03125</v>
      </c>
      <c r="E11" s="15" t="n">
        <f aca="false">$C$2*(1+IF(E$3&lt;=$O$2,$D11,$D11-($D11-$I$6)*MIN(E$3-$O$2,$Q$2)/$Q$2))</f>
        <v>2654.375</v>
      </c>
      <c r="F11" s="15" t="n">
        <f aca="false">E11*(1+IF(F$3&lt;=$O$2,$D11,$D11-($D11-$I$6)*MIN(F$3-$O$2,$Q$2)/$Q$2))</f>
        <v>2571.42578125</v>
      </c>
      <c r="G11" s="15" t="n">
        <f aca="false">F11*(1+IF(G$3&lt;=$O$2,$D11,$D11-($D11-$I$6)*MIN(G$3-$O$2,$Q$2)/$Q$2))</f>
        <v>2491.06872558594</v>
      </c>
      <c r="H11" s="15" t="n">
        <f aca="false">G11*(1+IF(H$3&lt;=$O$2,$D11,$D11-($D11-$I$6)*MIN(H$3-$O$2,$Q$2)/$Q$2))</f>
        <v>2413.22282791138</v>
      </c>
      <c r="I11" s="15" t="n">
        <f aca="false">H11*(1+IF(I$3&lt;=$O$2,$D11,$D11-($D11-$I$6)*MIN(I$3-$O$2,$Q$2)/$Q$2))</f>
        <v>2337.80961453915</v>
      </c>
      <c r="J11" s="15" t="n">
        <f aca="false">I11*(1+IF(J$3&lt;=$O$2,$D11,$D11-($D11-$I$6)*MIN(J$3-$O$2,$Q$2)/$Q$2))</f>
        <v>2292.59637659396</v>
      </c>
      <c r="K11" s="15" t="n">
        <f aca="false">J11*(1+IF(K$3&lt;=$O$2,$D11,$D11-($D11-$I$6)*MIN(K$3-$O$2,$Q$2)/$Q$2))</f>
        <v>2275.56238551587</v>
      </c>
      <c r="L11" s="15" t="n">
        <f aca="false">K11*(1+IF(L$3&lt;=$O$2,$D11,$D11-($D11-$I$6)*MIN(L$3-$O$2,$Q$2)/$Q$2))</f>
        <v>2285.75690500298</v>
      </c>
      <c r="M11" s="15" t="n">
        <f aca="false">L11*(1+IF(M$3&lt;=$O$2,$D11,$D11-($D11-$I$6)*MIN(M$3-$O$2,$Q$2)/$Q$2))</f>
        <v>2323.22046067598</v>
      </c>
      <c r="N11" s="15" t="n">
        <f aca="false">M11*(1+IF(N$3&lt;=$O$2,$D11,$D11-($D11-$I$6)*MIN(N$3-$O$2,$Q$2)/$Q$2))</f>
        <v>2388.96759971311</v>
      </c>
      <c r="O11" s="15" t="n">
        <f aca="false">SUMPRODUCT(E11:N11,1/(1+$F$6)^$E$3:$N$3)*$E$2</f>
        <v>11245.5009848217</v>
      </c>
      <c r="P11" s="15" t="n">
        <f aca="false">N11*$E$2*(1+$I$6)/($F$6-$I$6)/(1+$F$6)^$N$3</f>
        <v>16261.1700356696</v>
      </c>
      <c r="Q11" s="15" t="n">
        <f aca="false">O11+P11</f>
        <v>27506.6710204913</v>
      </c>
      <c r="R11" s="15" t="n">
        <f aca="false">Q11-$G$2+$I$2</f>
        <v>28276.6710204913</v>
      </c>
      <c r="S11" s="42" t="n">
        <f aca="false">R11/$K$2</f>
        <v>270.771531365424</v>
      </c>
      <c r="T11" s="43" t="n">
        <f aca="false">S11-$M$2</f>
        <v>-21.4816525855478</v>
      </c>
    </row>
    <row r="12" customFormat="false" ht="15" hidden="false" customHeight="false" outlineLevel="0" collapsed="false">
      <c r="A12" s="5" t="n">
        <v>5</v>
      </c>
      <c r="B12" s="25" t="n">
        <f aca="false">IF(T11&gt;0,B11,D11)</f>
        <v>-0.03125</v>
      </c>
      <c r="C12" s="25" t="n">
        <f aca="false">IF(T11&gt;0,D11,C11)</f>
        <v>0.0625</v>
      </c>
      <c r="D12" s="41" t="n">
        <f aca="false">(B12+C12)/2</f>
        <v>0.015625</v>
      </c>
      <c r="E12" s="15" t="n">
        <f aca="false">$C$2*(1+IF(E$3&lt;=$O$2,$D12,$D12-($D12-$I$6)*MIN(E$3-$O$2,$Q$2)/$Q$2))</f>
        <v>2782.8125</v>
      </c>
      <c r="F12" s="15" t="n">
        <f aca="false">E12*(1+IF(F$3&lt;=$O$2,$D12,$D12-($D12-$I$6)*MIN(F$3-$O$2,$Q$2)/$Q$2))</f>
        <v>2826.2939453125</v>
      </c>
      <c r="G12" s="15" t="n">
        <f aca="false">F12*(1+IF(G$3&lt;=$O$2,$D12,$D12-($D12-$I$6)*MIN(G$3-$O$2,$Q$2)/$Q$2))</f>
        <v>2870.45478820801</v>
      </c>
      <c r="H12" s="15" t="n">
        <f aca="false">G12*(1+IF(H$3&lt;=$O$2,$D12,$D12-($D12-$I$6)*MIN(H$3-$O$2,$Q$2)/$Q$2))</f>
        <v>2915.30564427376</v>
      </c>
      <c r="I12" s="15" t="n">
        <f aca="false">H12*(1+IF(I$3&lt;=$O$2,$D12,$D12-($D12-$I$6)*MIN(I$3-$O$2,$Q$2)/$Q$2))</f>
        <v>2960.85729496554</v>
      </c>
      <c r="J12" s="15" t="n">
        <f aca="false">I12*(1+IF(J$3&lt;=$O$2,$D12,$D12-($D12-$I$6)*MIN(J$3-$O$2,$Q$2)/$Q$2))</f>
        <v>3014.62646344211</v>
      </c>
      <c r="K12" s="15" t="n">
        <f aca="false">J12*(1+IF(K$3&lt;=$O$2,$D12,$D12-($D12-$I$6)*MIN(K$3-$O$2,$Q$2)/$Q$2))</f>
        <v>3077.01415810304</v>
      </c>
      <c r="L12" s="15" t="n">
        <f aca="false">K12*(1+IF(L$3&lt;=$O$2,$D12,$D12-($D12-$I$6)*MIN(L$3-$O$2,$Q$2)/$Q$2))</f>
        <v>3148.49319699578</v>
      </c>
      <c r="M12" s="15" t="n">
        <f aca="false">L12*(1+IF(M$3&lt;=$O$2,$D12,$D12-($D12-$I$6)*MIN(M$3-$O$2,$Q$2)/$Q$2))</f>
        <v>3229.61412421637</v>
      </c>
      <c r="N12" s="15" t="n">
        <f aca="false">M12*(1+IF(N$3&lt;=$O$2,$D12,$D12-($D12-$I$6)*MIN(N$3-$O$2,$Q$2)/$Q$2))</f>
        <v>3321.0122039317</v>
      </c>
      <c r="O12" s="15" t="n">
        <f aca="false">SUMPRODUCT(E12:N12,1/(1+$F$6)^$E$3:$N$3)*$E$2</f>
        <v>13814.8009065339</v>
      </c>
      <c r="P12" s="15" t="n">
        <f aca="false">N12*$E$2*(1+$I$6)/($F$6-$I$6)/(1+$F$6)^$N$3</f>
        <v>22605.3899371228</v>
      </c>
      <c r="Q12" s="15" t="n">
        <f aca="false">O12+P12</f>
        <v>36420.1908436567</v>
      </c>
      <c r="R12" s="15" t="n">
        <f aca="false">Q12-$G$2+$I$2</f>
        <v>37190.1908436567</v>
      </c>
      <c r="S12" s="42" t="n">
        <f aca="false">R12/$K$2</f>
        <v>356.125546717004</v>
      </c>
      <c r="T12" s="43" t="n">
        <f aca="false">S12-$M$2</f>
        <v>63.8723627660318</v>
      </c>
    </row>
    <row r="13" customFormat="false" ht="15" hidden="false" customHeight="false" outlineLevel="0" collapsed="false">
      <c r="A13" s="5" t="n">
        <v>6</v>
      </c>
      <c r="B13" s="25" t="n">
        <f aca="false">IF(T12&gt;0,B12,D12)</f>
        <v>-0.03125</v>
      </c>
      <c r="C13" s="25" t="n">
        <f aca="false">IF(T12&gt;0,D12,C12)</f>
        <v>0.015625</v>
      </c>
      <c r="D13" s="41" t="n">
        <f aca="false">(B13+C13)/2</f>
        <v>-0.0078125</v>
      </c>
      <c r="E13" s="15" t="n">
        <f aca="false">$C$2*(1+IF(E$3&lt;=$O$2,$D13,$D13-($D13-$I$6)*MIN(E$3-$O$2,$Q$2)/$Q$2))</f>
        <v>2718.59375</v>
      </c>
      <c r="F13" s="15" t="n">
        <f aca="false">E13*(1+IF(F$3&lt;=$O$2,$D13,$D13-($D13-$I$6)*MIN(F$3-$O$2,$Q$2)/$Q$2))</f>
        <v>2697.35473632813</v>
      </c>
      <c r="G13" s="15" t="n">
        <f aca="false">F13*(1+IF(G$3&lt;=$O$2,$D13,$D13-($D13-$I$6)*MIN(G$3-$O$2,$Q$2)/$Q$2))</f>
        <v>2676.28165245056</v>
      </c>
      <c r="H13" s="15" t="n">
        <f aca="false">G13*(1+IF(H$3&lt;=$O$2,$D13,$D13-($D13-$I$6)*MIN(H$3-$O$2,$Q$2)/$Q$2))</f>
        <v>2655.37320204079</v>
      </c>
      <c r="I13" s="15" t="n">
        <f aca="false">H13*(1+IF(I$3&lt;=$O$2,$D13,$D13-($D13-$I$6)*MIN(I$3-$O$2,$Q$2)/$Q$2))</f>
        <v>2634.62809889985</v>
      </c>
      <c r="J13" s="15" t="n">
        <f aca="false">I13*(1+IF(J$3&lt;=$O$2,$D13,$D13-($D13-$I$6)*MIN(J$3-$O$2,$Q$2)/$Q$2))</f>
        <v>2633.0736683215</v>
      </c>
      <c r="K13" s="15" t="n">
        <f aca="false">J13*(1+IF(K$3&lt;=$O$2,$D13,$D13-($D13-$I$6)*MIN(K$3-$O$2,$Q$2)/$Q$2))</f>
        <v>2650.53752942664</v>
      </c>
      <c r="L13" s="15" t="n">
        <f aca="false">K13*(1+IF(L$3&lt;=$O$2,$D13,$D13-($D13-$I$6)*MIN(L$3-$O$2,$Q$2)/$Q$2))</f>
        <v>2687.26072689685</v>
      </c>
      <c r="M13" s="15" t="n">
        <f aca="false">L13*(1+IF(M$3&lt;=$O$2,$D13,$D13-($D13-$I$6)*MIN(M$3-$O$2,$Q$2)/$Q$2))</f>
        <v>2743.90146486801</v>
      </c>
      <c r="N13" s="15" t="n">
        <f aca="false">M13*(1+IF(N$3&lt;=$O$2,$D13,$D13-($D13-$I$6)*MIN(N$3-$O$2,$Q$2)/$Q$2))</f>
        <v>2821.55387632378</v>
      </c>
      <c r="O13" s="15" t="n">
        <f aca="false">SUMPRODUCT(E13:N13,1/(1+$F$6)^$E$3:$N$3)*$E$2</f>
        <v>12462.5599135477</v>
      </c>
      <c r="P13" s="15" t="n">
        <f aca="false">N13*$E$2*(1+$I$6)/($F$6-$I$6)/(1+$F$6)^$N$3</f>
        <v>19205.6884125233</v>
      </c>
      <c r="Q13" s="15" t="n">
        <f aca="false">O13+P13</f>
        <v>31668.248326071</v>
      </c>
      <c r="R13" s="15" t="n">
        <f aca="false">Q13-$G$2+$I$2</f>
        <v>32438.248326071</v>
      </c>
      <c r="S13" s="42" t="n">
        <f aca="false">R13/$K$2</f>
        <v>310.621931686977</v>
      </c>
      <c r="T13" s="43" t="n">
        <f aca="false">S13-$M$2</f>
        <v>18.3687477360048</v>
      </c>
    </row>
    <row r="14" customFormat="false" ht="15" hidden="false" customHeight="false" outlineLevel="0" collapsed="false">
      <c r="A14" s="5" t="n">
        <v>7</v>
      </c>
      <c r="B14" s="25" t="n">
        <f aca="false">IF(T13&gt;0,B13,D13)</f>
        <v>-0.03125</v>
      </c>
      <c r="C14" s="25" t="n">
        <f aca="false">IF(T13&gt;0,D13,C13)</f>
        <v>-0.0078125</v>
      </c>
      <c r="D14" s="41" t="n">
        <f aca="false">(B14+C14)/2</f>
        <v>-0.01953125</v>
      </c>
      <c r="E14" s="15" t="n">
        <f aca="false">$C$2*(1+IF(E$3&lt;=$O$2,$D14,$D14-($D14-$I$6)*MIN(E$3-$O$2,$Q$2)/$Q$2))</f>
        <v>2686.484375</v>
      </c>
      <c r="F14" s="15" t="n">
        <f aca="false">E14*(1+IF(F$3&lt;=$O$2,$D14,$D14-($D14-$I$6)*MIN(F$3-$O$2,$Q$2)/$Q$2))</f>
        <v>2634.01397705078</v>
      </c>
      <c r="G14" s="15" t="n">
        <f aca="false">F14*(1+IF(G$3&lt;=$O$2,$D14,$D14-($D14-$I$6)*MIN(G$3-$O$2,$Q$2)/$Q$2))</f>
        <v>2582.56839156151</v>
      </c>
      <c r="H14" s="15" t="n">
        <f aca="false">G14*(1+IF(H$3&lt;=$O$2,$D14,$D14-($D14-$I$6)*MIN(H$3-$O$2,$Q$2)/$Q$2))</f>
        <v>2532.12760266382</v>
      </c>
      <c r="I14" s="15" t="n">
        <f aca="false">H14*(1+IF(I$3&lt;=$O$2,$D14,$D14-($D14-$I$6)*MIN(I$3-$O$2,$Q$2)/$Q$2))</f>
        <v>2482.67198542429</v>
      </c>
      <c r="J14" s="15" t="n">
        <f aca="false">I14*(1+IF(J$3&lt;=$O$2,$D14,$D14-($D14-$I$6)*MIN(J$3-$O$2,$Q$2)/$Q$2))</f>
        <v>2457.93215908954</v>
      </c>
      <c r="K14" s="15" t="n">
        <f aca="false">J14*(1+IF(K$3&lt;=$O$2,$D14,$D14-($D14-$I$6)*MIN(K$3-$O$2,$Q$2)/$Q$2))</f>
        <v>2456.9520586411</v>
      </c>
      <c r="L14" s="15" t="n">
        <f aca="false">K14*(1+IF(L$3&lt;=$O$2,$D14,$D14-($D14-$I$6)*MIN(L$3-$O$2,$Q$2)/$Q$2))</f>
        <v>2479.4761666387</v>
      </c>
      <c r="M14" s="15" t="n">
        <f aca="false">L14*(1+IF(M$3&lt;=$O$2,$D14,$D14-($D14-$I$6)*MIN(M$3-$O$2,$Q$2)/$Q$2))</f>
        <v>2525.92605327546</v>
      </c>
      <c r="N14" s="15" t="n">
        <f aca="false">M14*(1+IF(N$3&lt;=$O$2,$D14,$D14-($D14-$I$6)*MIN(N$3-$O$2,$Q$2)/$Q$2))</f>
        <v>2597.40976058316</v>
      </c>
      <c r="O14" s="15" t="n">
        <f aca="false">SUMPRODUCT(E14:N14,1/(1+$F$6)^$E$3:$N$3)*$E$2</f>
        <v>11837.9665055458</v>
      </c>
      <c r="P14" s="15" t="n">
        <f aca="false">N14*$E$2*(1+$I$6)/($F$6-$I$6)/(1+$F$6)^$N$3</f>
        <v>17679.989370397</v>
      </c>
      <c r="Q14" s="15" t="n">
        <f aca="false">O14+P14</f>
        <v>29517.9558759428</v>
      </c>
      <c r="R14" s="15" t="n">
        <f aca="false">Q14-$G$2+$I$2</f>
        <v>30287.9558759428</v>
      </c>
      <c r="S14" s="42" t="n">
        <f aca="false">R14/$K$2</f>
        <v>290.031177592098</v>
      </c>
      <c r="T14" s="43" t="n">
        <f aca="false">S14-$M$2</f>
        <v>-2.22200635887367</v>
      </c>
    </row>
    <row r="15" customFormat="false" ht="15" hidden="false" customHeight="false" outlineLevel="0" collapsed="false">
      <c r="A15" s="5" t="n">
        <v>8</v>
      </c>
      <c r="B15" s="25" t="n">
        <f aca="false">IF(T14&gt;0,B14,D14)</f>
        <v>-0.01953125</v>
      </c>
      <c r="C15" s="25" t="n">
        <f aca="false">IF(T14&gt;0,D14,C14)</f>
        <v>-0.0078125</v>
      </c>
      <c r="D15" s="41" t="n">
        <f aca="false">(B15+C15)/2</f>
        <v>-0.013671875</v>
      </c>
      <c r="E15" s="15" t="n">
        <f aca="false">$C$2*(1+IF(E$3&lt;=$O$2,$D15,$D15-($D15-$I$6)*MIN(E$3-$O$2,$Q$2)/$Q$2))</f>
        <v>2702.5390625</v>
      </c>
      <c r="F15" s="15" t="n">
        <f aca="false">E15*(1+IF(F$3&lt;=$O$2,$D15,$D15-($D15-$I$6)*MIN(F$3-$O$2,$Q$2)/$Q$2))</f>
        <v>2665.59028625488</v>
      </c>
      <c r="G15" s="15" t="n">
        <f aca="false">F15*(1+IF(G$3&lt;=$O$2,$D15,$D15-($D15-$I$6)*MIN(G$3-$O$2,$Q$2)/$Q$2))</f>
        <v>2629.14666905999</v>
      </c>
      <c r="H15" s="15" t="n">
        <f aca="false">G15*(1+IF(H$3&lt;=$O$2,$D15,$D15-($D15-$I$6)*MIN(H$3-$O$2,$Q$2)/$Q$2))</f>
        <v>2593.20130444394</v>
      </c>
      <c r="I15" s="15" t="n">
        <f aca="false">H15*(1+IF(I$3&lt;=$O$2,$D15,$D15-($D15-$I$6)*MIN(I$3-$O$2,$Q$2)/$Q$2))</f>
        <v>2557.74738035974</v>
      </c>
      <c r="J15" s="15" t="n">
        <f aca="false">I15*(1+IF(J$3&lt;=$O$2,$D15,$D15-($D15-$I$6)*MIN(J$3-$O$2,$Q$2)/$Q$2))</f>
        <v>2544.24886855989</v>
      </c>
      <c r="K15" s="15" t="n">
        <f aca="false">J15*(1+IF(K$3&lt;=$O$2,$D15,$D15-($D15-$I$6)*MIN(K$3-$O$2,$Q$2)/$Q$2))</f>
        <v>2552.17897425209</v>
      </c>
      <c r="L15" s="15" t="n">
        <f aca="false">K15*(1+IF(L$3&lt;=$O$2,$D15,$D15-($D15-$I$6)*MIN(L$3-$O$2,$Q$2)/$Q$2))</f>
        <v>2581.55774446945</v>
      </c>
      <c r="M15" s="15" t="n">
        <f aca="false">L15*(1+IF(M$3&lt;=$O$2,$D15,$D15-($D15-$I$6)*MIN(M$3-$O$2,$Q$2)/$Q$2))</f>
        <v>2632.9452648467</v>
      </c>
      <c r="N15" s="15" t="n">
        <f aca="false">M15*(1+IF(N$3&lt;=$O$2,$D15,$D15-($D15-$I$6)*MIN(N$3-$O$2,$Q$2)/$Q$2))</f>
        <v>2707.45761584186</v>
      </c>
      <c r="O15" s="15" t="n">
        <f aca="false">SUMPRODUCT(E15:N15,1/(1+$F$6)^$E$3:$N$3)*$E$2</f>
        <v>12146.145835451</v>
      </c>
      <c r="P15" s="15" t="n">
        <f aca="false">N15*$E$2*(1+$I$6)/($F$6-$I$6)/(1+$F$6)^$N$3</f>
        <v>18429.0605954054</v>
      </c>
      <c r="Q15" s="15" t="n">
        <f aca="false">O15+P15</f>
        <v>30575.2064308564</v>
      </c>
      <c r="R15" s="15" t="n">
        <f aca="false">Q15-$G$2+$I$2</f>
        <v>31345.2064308564</v>
      </c>
      <c r="S15" s="42" t="n">
        <f aca="false">R15/$K$2</f>
        <v>300.155189417375</v>
      </c>
      <c r="T15" s="43" t="n">
        <f aca="false">S15-$M$2</f>
        <v>7.9020054664025</v>
      </c>
    </row>
    <row r="16" customFormat="false" ht="15" hidden="false" customHeight="false" outlineLevel="0" collapsed="false">
      <c r="A16" s="5" t="n">
        <v>9</v>
      </c>
      <c r="B16" s="25" t="n">
        <f aca="false">IF(T15&gt;0,B15,D15)</f>
        <v>-0.01953125</v>
      </c>
      <c r="C16" s="25" t="n">
        <f aca="false">IF(T15&gt;0,D15,C15)</f>
        <v>-0.013671875</v>
      </c>
      <c r="D16" s="41" t="n">
        <f aca="false">(B16+C16)/2</f>
        <v>-0.0166015625</v>
      </c>
      <c r="E16" s="15" t="n">
        <f aca="false">$C$2*(1+IF(E$3&lt;=$O$2,$D16,$D16-($D16-$I$6)*MIN(E$3-$O$2,$Q$2)/$Q$2))</f>
        <v>2694.51171875</v>
      </c>
      <c r="F16" s="15" t="n">
        <f aca="false">E16*(1+IF(F$3&lt;=$O$2,$D16,$D16-($D16-$I$6)*MIN(F$3-$O$2,$Q$2)/$Q$2))</f>
        <v>2649.77861404419</v>
      </c>
      <c r="G16" s="15" t="n">
        <f aca="false">F16*(1+IF(G$3&lt;=$O$2,$D16,$D16-($D16-$I$6)*MIN(G$3-$O$2,$Q$2)/$Q$2))</f>
        <v>2605.78814877197</v>
      </c>
      <c r="H16" s="15" t="n">
        <f aca="false">G16*(1+IF(H$3&lt;=$O$2,$D16,$D16-($D16-$I$6)*MIN(H$3-$O$2,$Q$2)/$Q$2))</f>
        <v>2562.52799395837</v>
      </c>
      <c r="I16" s="15" t="n">
        <f aca="false">H16*(1+IF(I$3&lt;=$O$2,$D16,$D16-($D16-$I$6)*MIN(I$3-$O$2,$Q$2)/$Q$2))</f>
        <v>2519.98602530868</v>
      </c>
      <c r="J16" s="15" t="n">
        <f aca="false">I16*(1+IF(J$3&lt;=$O$2,$D16,$D16-($D16-$I$6)*MIN(J$3-$O$2,$Q$2)/$Q$2))</f>
        <v>2500.78058181329</v>
      </c>
      <c r="K16" s="15" t="n">
        <f aca="false">J16*(1+IF(K$3&lt;=$O$2,$D16,$D16-($D16-$I$6)*MIN(K$3-$O$2,$Q$2)/$Q$2))</f>
        <v>2504.17929892276</v>
      </c>
      <c r="L16" s="15" t="n">
        <f aca="false">K16*(1+IF(L$3&lt;=$O$2,$D16,$D16-($D16-$I$6)*MIN(L$3-$O$2,$Q$2)/$Q$2))</f>
        <v>2530.07094776156</v>
      </c>
      <c r="M16" s="15" t="n">
        <f aca="false">L16*(1+IF(M$3&lt;=$O$2,$D16,$D16-($D16-$I$6)*MIN(M$3-$O$2,$Q$2)/$Q$2))</f>
        <v>2578.95112782514</v>
      </c>
      <c r="N16" s="15" t="n">
        <f aca="false">M16*(1+IF(N$3&lt;=$O$2,$D16,$D16-($D16-$I$6)*MIN(N$3-$O$2,$Q$2)/$Q$2))</f>
        <v>2651.93544474259</v>
      </c>
      <c r="O16" s="15" t="n">
        <f aca="false">SUMPRODUCT(E16:N16,1/(1+$F$6)^$E$3:$N$3)*$E$2</f>
        <v>11991.0396743989</v>
      </c>
      <c r="P16" s="15" t="n">
        <f aca="false">N16*$E$2*(1+$I$6)/($F$6-$I$6)/(1+$F$6)^$N$3</f>
        <v>18051.1335506422</v>
      </c>
      <c r="Q16" s="15" t="n">
        <f aca="false">O16+P16</f>
        <v>30042.1732250411</v>
      </c>
      <c r="R16" s="15" t="n">
        <f aca="false">Q16-$G$2+$I$2</f>
        <v>30812.1732250411</v>
      </c>
      <c r="S16" s="42" t="n">
        <f aca="false">R16/$K$2</f>
        <v>295.050974097875</v>
      </c>
      <c r="T16" s="43" t="n">
        <f aca="false">S16-$M$2</f>
        <v>2.79779014690268</v>
      </c>
    </row>
    <row r="17" customFormat="false" ht="15" hidden="false" customHeight="false" outlineLevel="0" collapsed="false">
      <c r="A17" s="5" t="n">
        <v>10</v>
      </c>
      <c r="B17" s="25" t="n">
        <f aca="false">IF(T16&gt;0,B16,D16)</f>
        <v>-0.01953125</v>
      </c>
      <c r="C17" s="25" t="n">
        <f aca="false">IF(T16&gt;0,D16,C16)</f>
        <v>-0.0166015625</v>
      </c>
      <c r="D17" s="41" t="n">
        <f aca="false">(B17+C17)/2</f>
        <v>-0.01806640625</v>
      </c>
      <c r="E17" s="15" t="n">
        <f aca="false">$C$2*(1+IF(E$3&lt;=$O$2,$D17,$D17-($D17-$I$6)*MIN(E$3-$O$2,$Q$2)/$Q$2))</f>
        <v>2690.498046875</v>
      </c>
      <c r="F17" s="15" t="n">
        <f aca="false">E17*(1+IF(F$3&lt;=$O$2,$D17,$D17-($D17-$I$6)*MIN(F$3-$O$2,$Q$2)/$Q$2))</f>
        <v>2641.89041614532</v>
      </c>
      <c r="G17" s="15" t="n">
        <f aca="false">F17*(1+IF(G$3&lt;=$O$2,$D17,$D17-($D17-$I$6)*MIN(G$3-$O$2,$Q$2)/$Q$2))</f>
        <v>2594.16095061926</v>
      </c>
      <c r="H17" s="15" t="n">
        <f aca="false">G17*(1+IF(H$3&lt;=$O$2,$D17,$D17-($D17-$I$6)*MIN(H$3-$O$2,$Q$2)/$Q$2))</f>
        <v>2547.29378500749</v>
      </c>
      <c r="I17" s="15" t="n">
        <f aca="false">H17*(1+IF(I$3&lt;=$O$2,$D17,$D17-($D17-$I$6)*MIN(I$3-$O$2,$Q$2)/$Q$2))</f>
        <v>2501.27334064944</v>
      </c>
      <c r="J17" s="15" t="n">
        <f aca="false">I17*(1+IF(J$3&lt;=$O$2,$D17,$D17-($D17-$I$6)*MIN(J$3-$O$2,$Q$2)/$Q$2))</f>
        <v>2479.27933150594</v>
      </c>
      <c r="K17" s="15" t="n">
        <f aca="false">J17*(1+IF(K$3&lt;=$O$2,$D17,$D17-($D17-$I$6)*MIN(K$3-$O$2,$Q$2)/$Q$2))</f>
        <v>2480.46977297246</v>
      </c>
      <c r="L17" s="15" t="n">
        <f aca="false">K17*(1+IF(L$3&lt;=$O$2,$D17,$D17-($D17-$I$6)*MIN(L$3-$O$2,$Q$2)/$Q$2))</f>
        <v>2504.66287987379</v>
      </c>
      <c r="M17" s="15" t="n">
        <f aca="false">L17*(1+IF(M$3&lt;=$O$2,$D17,$D17-($D17-$I$6)*MIN(M$3-$O$2,$Q$2)/$Q$2))</f>
        <v>2552.31839605271</v>
      </c>
      <c r="N17" s="15" t="n">
        <f aca="false">M17*(1+IF(N$3&lt;=$O$2,$D17,$D17-($D17-$I$6)*MIN(N$3-$O$2,$Q$2)/$Q$2))</f>
        <v>2624.549006661</v>
      </c>
      <c r="O17" s="15" t="n">
        <f aca="false">SUMPRODUCT(E17:N17,1/(1+$F$6)^$E$3:$N$3)*$E$2</f>
        <v>11914.2505565351</v>
      </c>
      <c r="P17" s="15" t="n">
        <f aca="false">N17*$E$2*(1+$I$6)/($F$6-$I$6)/(1+$F$6)^$N$3</f>
        <v>17864.72017008</v>
      </c>
      <c r="Q17" s="15" t="n">
        <f aca="false">O17+P17</f>
        <v>29778.9707266151</v>
      </c>
      <c r="R17" s="15" t="n">
        <f aca="false">Q17-$G$2+$I$2</f>
        <v>30548.9707266151</v>
      </c>
      <c r="S17" s="42" t="n">
        <f aca="false">R17/$K$2</f>
        <v>292.530601614623</v>
      </c>
      <c r="T17" s="43" t="n">
        <f aca="false">S17-$M$2</f>
        <v>0.277417663651363</v>
      </c>
    </row>
    <row r="18" customFormat="false" ht="15" hidden="false" customHeight="false" outlineLevel="0" collapsed="false">
      <c r="A18" s="5" t="n">
        <v>11</v>
      </c>
      <c r="B18" s="25" t="n">
        <f aca="false">IF(T17&gt;0,B17,D17)</f>
        <v>-0.01953125</v>
      </c>
      <c r="C18" s="25" t="n">
        <f aca="false">IF(T17&gt;0,D17,C17)</f>
        <v>-0.01806640625</v>
      </c>
      <c r="D18" s="41" t="n">
        <f aca="false">(B18+C18)/2</f>
        <v>-0.018798828125</v>
      </c>
      <c r="E18" s="15" t="n">
        <f aca="false">$C$2*(1+IF(E$3&lt;=$O$2,$D18,$D18-($D18-$I$6)*MIN(E$3-$O$2,$Q$2)/$Q$2))</f>
        <v>2688.4912109375</v>
      </c>
      <c r="F18" s="15" t="n">
        <f aca="false">E18*(1+IF(F$3&lt;=$O$2,$D18,$D18-($D18-$I$6)*MIN(F$3-$O$2,$Q$2)/$Q$2))</f>
        <v>2637.95072674751</v>
      </c>
      <c r="G18" s="15" t="n">
        <f aca="false">F18*(1+IF(G$3&lt;=$O$2,$D18,$D18-($D18-$I$6)*MIN(G$3-$O$2,$Q$2)/$Q$2))</f>
        <v>2588.36034443317</v>
      </c>
      <c r="H18" s="15" t="n">
        <f aca="false">G18*(1+IF(H$3&lt;=$O$2,$D18,$D18-($D18-$I$6)*MIN(H$3-$O$2,$Q$2)/$Q$2))</f>
        <v>2539.7022031926</v>
      </c>
      <c r="I18" s="15" t="n">
        <f aca="false">H18*(1+IF(I$3&lt;=$O$2,$D18,$D18-($D18-$I$6)*MIN(I$3-$O$2,$Q$2)/$Q$2))</f>
        <v>2491.9587779861</v>
      </c>
      <c r="J18" s="15" t="n">
        <f aca="false">I18*(1+IF(J$3&lt;=$O$2,$D18,$D18-($D18-$I$6)*MIN(J$3-$O$2,$Q$2)/$Q$2))</f>
        <v>2468.58654085995</v>
      </c>
      <c r="K18" s="15" t="n">
        <f aca="false">J18*(1+IF(K$3&lt;=$O$2,$D18,$D18-($D18-$I$6)*MIN(K$3-$O$2,$Q$2)/$Q$2))</f>
        <v>2468.68702004649</v>
      </c>
      <c r="L18" s="15" t="n">
        <f aca="false">K18*(1+IF(L$3&lt;=$O$2,$D18,$D18-($D18-$I$6)*MIN(L$3-$O$2,$Q$2)/$Q$2))</f>
        <v>2492.04195645317</v>
      </c>
      <c r="M18" s="15" t="n">
        <f aca="false">L18*(1+IF(M$3&lt;=$O$2,$D18,$D18-($D18-$I$6)*MIN(M$3-$O$2,$Q$2)/$Q$2))</f>
        <v>2539.09229266334</v>
      </c>
      <c r="N18" s="15" t="n">
        <f aca="false">M18*(1+IF(N$3&lt;=$O$2,$D18,$D18-($D18-$I$6)*MIN(N$3-$O$2,$Q$2)/$Q$2))</f>
        <v>2610.94860454571</v>
      </c>
      <c r="O18" s="15" t="n">
        <f aca="false">SUMPRODUCT(E18:N18,1/(1+$F$6)^$E$3:$N$3)*$E$2</f>
        <v>11876.0455955523</v>
      </c>
      <c r="P18" s="15" t="n">
        <f aca="false">N18*$E$2*(1+$I$6)/($F$6-$I$6)/(1+$F$6)^$N$3</f>
        <v>17772.1452639252</v>
      </c>
      <c r="Q18" s="15" t="n">
        <f aca="false">O18+P18</f>
        <v>29648.1908594776</v>
      </c>
      <c r="R18" s="15" t="n">
        <f aca="false">Q18-$G$2+$I$2</f>
        <v>30418.1908594776</v>
      </c>
      <c r="S18" s="42" t="n">
        <f aca="false">R18/$K$2</f>
        <v>291.27828075723</v>
      </c>
      <c r="T18" s="43" t="n">
        <f aca="false">S18-$M$2</f>
        <v>-0.974903193741625</v>
      </c>
    </row>
    <row r="19" customFormat="false" ht="15" hidden="false" customHeight="false" outlineLevel="0" collapsed="false">
      <c r="A19" s="5" t="n">
        <v>12</v>
      </c>
      <c r="B19" s="25" t="n">
        <f aca="false">IF(T18&gt;0,B18,D18)</f>
        <v>-0.018798828125</v>
      </c>
      <c r="C19" s="25" t="n">
        <f aca="false">IF(T18&gt;0,D18,C18)</f>
        <v>-0.01806640625</v>
      </c>
      <c r="D19" s="41" t="n">
        <f aca="false">(B19+C19)/2</f>
        <v>-0.0184326171875</v>
      </c>
      <c r="E19" s="15" t="n">
        <f aca="false">$C$2*(1+IF(E$3&lt;=$O$2,$D19,$D19-($D19-$I$6)*MIN(E$3-$O$2,$Q$2)/$Q$2))</f>
        <v>2689.49462890625</v>
      </c>
      <c r="F19" s="15" t="n">
        <f aca="false">E19*(1+IF(F$3&lt;=$O$2,$D19,$D19-($D19-$I$6)*MIN(F$3-$O$2,$Q$2)/$Q$2))</f>
        <v>2639.92020398378</v>
      </c>
      <c r="G19" s="15" t="n">
        <f aca="false">F19*(1+IF(G$3&lt;=$O$2,$D19,$D19-($D19-$I$6)*MIN(G$3-$O$2,$Q$2)/$Q$2))</f>
        <v>2591.2595654582</v>
      </c>
      <c r="H19" s="15" t="n">
        <f aca="false">G19*(1+IF(H$3&lt;=$O$2,$D19,$D19-($D19-$I$6)*MIN(H$3-$O$2,$Q$2)/$Q$2))</f>
        <v>2543.49586985467</v>
      </c>
      <c r="I19" s="15" t="n">
        <f aca="false">H19*(1+IF(I$3&lt;=$O$2,$D19,$D19-($D19-$I$6)*MIN(I$3-$O$2,$Q$2)/$Q$2))</f>
        <v>2496.61258416765</v>
      </c>
      <c r="J19" s="15" t="n">
        <f aca="false">I19*(1+IF(J$3&lt;=$O$2,$D19,$D19-($D19-$I$6)*MIN(J$3-$O$2,$Q$2)/$Q$2))</f>
        <v>2473.92812817047</v>
      </c>
      <c r="K19" s="15" t="n">
        <f aca="false">J19*(1+IF(K$3&lt;=$O$2,$D19,$D19-($D19-$I$6)*MIN(K$3-$O$2,$Q$2)/$Q$2))</f>
        <v>2474.57241249979</v>
      </c>
      <c r="L19" s="15" t="n">
        <f aca="false">K19*(1+IF(L$3&lt;=$O$2,$D19,$D19-($D19-$I$6)*MIN(L$3-$O$2,$Q$2)/$Q$2))</f>
        <v>2498.34551367109</v>
      </c>
      <c r="M19" s="15" t="n">
        <f aca="false">L19*(1+IF(M$3&lt;=$O$2,$D19,$D19-($D19-$I$6)*MIN(M$3-$O$2,$Q$2)/$Q$2))</f>
        <v>2545.69784680948</v>
      </c>
      <c r="N19" s="15" t="n">
        <f aca="false">M19*(1+IF(N$3&lt;=$O$2,$D19,$D19-($D19-$I$6)*MIN(N$3-$O$2,$Q$2)/$Q$2))</f>
        <v>2617.74109587419</v>
      </c>
      <c r="O19" s="15" t="n">
        <f aca="false">SUMPRODUCT(E19:N19,1/(1+$F$6)^$E$3:$N$3)*$E$2</f>
        <v>11895.1323174802</v>
      </c>
      <c r="P19" s="15" t="n">
        <f aca="false">N19*$E$2*(1+$I$6)/($F$6-$I$6)/(1+$F$6)^$N$3</f>
        <v>17818.3802385944</v>
      </c>
      <c r="Q19" s="15" t="n">
        <f aca="false">O19+P19</f>
        <v>29713.5125560746</v>
      </c>
      <c r="R19" s="15" t="n">
        <f aca="false">Q19-$G$2+$I$2</f>
        <v>30483.5125560746</v>
      </c>
      <c r="S19" s="42" t="n">
        <f aca="false">R19/$K$2</f>
        <v>291.903787762851</v>
      </c>
      <c r="T19" s="43" t="n">
        <f aca="false">S19-$M$2</f>
        <v>-0.349396188120636</v>
      </c>
    </row>
    <row r="20" customFormat="false" ht="15" hidden="false" customHeight="false" outlineLevel="0" collapsed="false">
      <c r="A20" s="5" t="n">
        <v>13</v>
      </c>
      <c r="B20" s="25" t="n">
        <f aca="false">IF(T19&gt;0,B19,D19)</f>
        <v>-0.0184326171875</v>
      </c>
      <c r="C20" s="25" t="n">
        <f aca="false">IF(T19&gt;0,D19,C19)</f>
        <v>-0.01806640625</v>
      </c>
      <c r="D20" s="41" t="n">
        <f aca="false">(B20+C20)/2</f>
        <v>-0.01824951171875</v>
      </c>
      <c r="E20" s="15" t="n">
        <f aca="false">$C$2*(1+IF(E$3&lt;=$O$2,$D20,$D20-($D20-$I$6)*MIN(E$3-$O$2,$Q$2)/$Q$2))</f>
        <v>2689.99633789063</v>
      </c>
      <c r="F20" s="15" t="n">
        <f aca="false">E20*(1+IF(F$3&lt;=$O$2,$D20,$D20-($D20-$I$6)*MIN(F$3-$O$2,$Q$2)/$Q$2))</f>
        <v>2640.9052181989</v>
      </c>
      <c r="G20" s="15" t="n">
        <f aca="false">F20*(1+IF(G$3&lt;=$O$2,$D20,$D20-($D20-$I$6)*MIN(G$3-$O$2,$Q$2)/$Q$2))</f>
        <v>2592.70998747127</v>
      </c>
      <c r="H20" s="15" t="n">
        <f aca="false">G20*(1+IF(H$3&lt;=$O$2,$D20,$D20-($D20-$I$6)*MIN(H$3-$O$2,$Q$2)/$Q$2))</f>
        <v>2545.39429617159</v>
      </c>
      <c r="I20" s="15" t="n">
        <f aca="false">H20*(1+IF(I$3&lt;=$O$2,$D20,$D20-($D20-$I$6)*MIN(I$3-$O$2,$Q$2)/$Q$2))</f>
        <v>2498.94209313477</v>
      </c>
      <c r="J20" s="15" t="n">
        <f aca="false">I20*(1+IF(J$3&lt;=$O$2,$D20,$D20-($D20-$I$6)*MIN(J$3-$O$2,$Q$2)/$Q$2))</f>
        <v>2476.6025269714</v>
      </c>
      <c r="K20" s="15" t="n">
        <f aca="false">J20*(1+IF(K$3&lt;=$O$2,$D20,$D20-($D20-$I$6)*MIN(K$3-$O$2,$Q$2)/$Q$2))</f>
        <v>2477.51959547352</v>
      </c>
      <c r="L20" s="15" t="n">
        <f aca="false">K20*(1+IF(L$3&lt;=$O$2,$D20,$D20-($D20-$I$6)*MIN(L$3-$O$2,$Q$2)/$Q$2))</f>
        <v>2501.50246904825</v>
      </c>
      <c r="M20" s="15" t="n">
        <f aca="false">L20*(1+IF(M$3&lt;=$O$2,$D20,$D20-($D20-$I$6)*MIN(M$3-$O$2,$Q$2)/$Q$2))</f>
        <v>2549.00624522283</v>
      </c>
      <c r="N20" s="15" t="n">
        <f aca="false">M20*(1+IF(N$3&lt;=$O$2,$D20,$D20-($D20-$I$6)*MIN(N$3-$O$2,$Q$2)/$Q$2))</f>
        <v>2621.14312196264</v>
      </c>
      <c r="O20" s="15" t="n">
        <f aca="false">SUMPRODUCT(E20:N20,1/(1+$F$6)^$E$3:$N$3)*$E$2</f>
        <v>11904.6874942766</v>
      </c>
      <c r="P20" s="15" t="n">
        <f aca="false">N20*$E$2*(1+$I$6)/($F$6-$I$6)/(1+$F$6)^$N$3</f>
        <v>17841.5370719883</v>
      </c>
      <c r="Q20" s="15" t="n">
        <f aca="false">O20+P20</f>
        <v>29746.2245662649</v>
      </c>
      <c r="R20" s="15" t="n">
        <f aca="false">Q20-$G$2+$I$2</f>
        <v>30516.2245662649</v>
      </c>
      <c r="S20" s="42" t="n">
        <f aca="false">R20/$K$2</f>
        <v>292.217031181317</v>
      </c>
      <c r="T20" s="43" t="n">
        <f aca="false">S20-$M$2</f>
        <v>-0.036152769655132</v>
      </c>
    </row>
    <row r="21" customFormat="false" ht="15" hidden="false" customHeight="false" outlineLevel="0" collapsed="false">
      <c r="A21" s="5" t="n">
        <v>14</v>
      </c>
      <c r="B21" s="25" t="n">
        <f aca="false">IF(T20&gt;0,B20,D20)</f>
        <v>-0.01824951171875</v>
      </c>
      <c r="C21" s="25" t="n">
        <f aca="false">IF(T20&gt;0,D20,C20)</f>
        <v>-0.01806640625</v>
      </c>
      <c r="D21" s="41" t="n">
        <f aca="false">(B21+C21)/2</f>
        <v>-0.018157958984375</v>
      </c>
      <c r="E21" s="15" t="n">
        <f aca="false">$C$2*(1+IF(E$3&lt;=$O$2,$D21,$D21-($D21-$I$6)*MIN(E$3-$O$2,$Q$2)/$Q$2))</f>
        <v>2690.24719238281</v>
      </c>
      <c r="F21" s="15" t="n">
        <f aca="false">E21*(1+IF(F$3&lt;=$O$2,$D21,$D21-($D21-$I$6)*MIN(F$3-$O$2,$Q$2)/$Q$2))</f>
        <v>2641.3977942057</v>
      </c>
      <c r="G21" s="15" t="n">
        <f aca="false">F21*(1+IF(G$3&lt;=$O$2,$D21,$D21-($D21-$I$6)*MIN(G$3-$O$2,$Q$2)/$Q$2))</f>
        <v>2593.43540139709</v>
      </c>
      <c r="H21" s="15" t="n">
        <f aca="false">G21*(1+IF(H$3&lt;=$O$2,$D21,$D21-($D21-$I$6)*MIN(H$3-$O$2,$Q$2)/$Q$2))</f>
        <v>2546.3439077499</v>
      </c>
      <c r="I21" s="15" t="n">
        <f aca="false">H21*(1+IF(I$3&lt;=$O$2,$D21,$D21-($D21-$I$6)*MIN(I$3-$O$2,$Q$2)/$Q$2))</f>
        <v>2500.10749951286</v>
      </c>
      <c r="J21" s="15" t="n">
        <f aca="false">I21*(1+IF(J$3&lt;=$O$2,$D21,$D21-($D21-$I$6)*MIN(J$3-$O$2,$Q$2)/$Q$2))</f>
        <v>2477.94062841396</v>
      </c>
      <c r="K21" s="15" t="n">
        <f aca="false">J21*(1+IF(K$3&lt;=$O$2,$D21,$D21-($D21-$I$6)*MIN(K$3-$O$2,$Q$2)/$Q$2))</f>
        <v>2478.99430974973</v>
      </c>
      <c r="L21" s="15" t="n">
        <f aca="false">K21*(1+IF(L$3&lt;=$O$2,$D21,$D21-($D21-$I$6)*MIN(L$3-$O$2,$Q$2)/$Q$2))</f>
        <v>2503.0822423297</v>
      </c>
      <c r="M21" s="15" t="n">
        <f aca="false">L21*(1+IF(M$3&lt;=$O$2,$D21,$D21-($D21-$I$6)*MIN(M$3-$O$2,$Q$2)/$Q$2))</f>
        <v>2550.6618513579</v>
      </c>
      <c r="N21" s="15" t="n">
        <f aca="false">M21*(1+IF(N$3&lt;=$O$2,$D21,$D21-($D21-$I$6)*MIN(N$3-$O$2,$Q$2)/$Q$2))</f>
        <v>2622.84558175133</v>
      </c>
      <c r="O21" s="15" t="n">
        <f aca="false">SUMPRODUCT(E21:N21,1/(1+$F$6)^$E$3:$N$3)*$E$2</f>
        <v>11909.4680393366</v>
      </c>
      <c r="P21" s="15" t="n">
        <f aca="false">N21*$E$2*(1+$I$6)/($F$6-$I$6)/(1+$F$6)^$N$3</f>
        <v>17853.1253363524</v>
      </c>
      <c r="Q21" s="15" t="n">
        <f aca="false">O21+P21</f>
        <v>29762.593375689</v>
      </c>
      <c r="R21" s="15" t="n">
        <f aca="false">Q21-$G$2+$I$2</f>
        <v>30532.593375689</v>
      </c>
      <c r="S21" s="42" t="n">
        <f aca="false">R21/$K$2</f>
        <v>292.373775502145</v>
      </c>
      <c r="T21" s="43" t="n">
        <f aca="false">S21-$M$2</f>
        <v>0.120591551173391</v>
      </c>
    </row>
    <row r="22" customFormat="false" ht="15" hidden="false" customHeight="false" outlineLevel="0" collapsed="false">
      <c r="A22" s="5" t="n">
        <v>15</v>
      </c>
      <c r="B22" s="25" t="n">
        <f aca="false">IF(T21&gt;0,B21,D21)</f>
        <v>-0.01824951171875</v>
      </c>
      <c r="C22" s="25" t="n">
        <f aca="false">IF(T21&gt;0,D21,C21)</f>
        <v>-0.018157958984375</v>
      </c>
      <c r="D22" s="41" t="n">
        <f aca="false">(B22+C22)/2</f>
        <v>-0.0182037353515625</v>
      </c>
      <c r="E22" s="15" t="n">
        <f aca="false">$C$2*(1+IF(E$3&lt;=$O$2,$D22,$D22-($D22-$I$6)*MIN(E$3-$O$2,$Q$2)/$Q$2))</f>
        <v>2690.12176513672</v>
      </c>
      <c r="F22" s="15" t="n">
        <f aca="false">E22*(1+IF(F$3&lt;=$O$2,$D22,$D22-($D22-$I$6)*MIN(F$3-$O$2,$Q$2)/$Q$2))</f>
        <v>2641.15150046069</v>
      </c>
      <c r="G22" s="15" t="n">
        <f aca="false">F22*(1+IF(G$3&lt;=$O$2,$D22,$D22-($D22-$I$6)*MIN(G$3-$O$2,$Q$2)/$Q$2))</f>
        <v>2593.07267752292</v>
      </c>
      <c r="H22" s="15" t="n">
        <f aca="false">G22*(1+IF(H$3&lt;=$O$2,$D22,$D22-($D22-$I$6)*MIN(H$3-$O$2,$Q$2)/$Q$2))</f>
        <v>2545.86906875393</v>
      </c>
      <c r="I22" s="15" t="n">
        <f aca="false">H22*(1+IF(I$3&lt;=$O$2,$D22,$D22-($D22-$I$6)*MIN(I$3-$O$2,$Q$2)/$Q$2))</f>
        <v>2499.5247419866</v>
      </c>
      <c r="J22" s="15" t="n">
        <f aca="false">I22*(1+IF(J$3&lt;=$O$2,$D22,$D22-($D22-$I$6)*MIN(J$3-$O$2,$Q$2)/$Q$2))</f>
        <v>2477.2715025</v>
      </c>
      <c r="K22" s="15" t="n">
        <f aca="false">J22*(1+IF(K$3&lt;=$O$2,$D22,$D22-($D22-$I$6)*MIN(K$3-$O$2,$Q$2)/$Q$2))</f>
        <v>2478.25685901302</v>
      </c>
      <c r="L22" s="15" t="n">
        <f aca="false">K22*(1+IF(L$3&lt;=$O$2,$D22,$D22-($D22-$I$6)*MIN(L$3-$O$2,$Q$2)/$Q$2))</f>
        <v>2502.29224768119</v>
      </c>
      <c r="M22" s="15" t="n">
        <f aca="false">L22*(1+IF(M$3&lt;=$O$2,$D22,$D22-($D22-$I$6)*MIN(M$3-$O$2,$Q$2)/$Q$2))</f>
        <v>2549.83393099888</v>
      </c>
      <c r="N22" s="15" t="n">
        <f aca="false">M22*(1+IF(N$3&lt;=$O$2,$D22,$D22-($D22-$I$6)*MIN(N$3-$O$2,$Q$2)/$Q$2))</f>
        <v>2621.99423124615</v>
      </c>
      <c r="O22" s="15" t="n">
        <f aca="false">SUMPRODUCT(E22:N22,1/(1+$F$6)^$E$3:$N$3)*$E$2</f>
        <v>11907.0775203376</v>
      </c>
      <c r="P22" s="15" t="n">
        <f aca="false">N22*$E$2*(1+$I$6)/($F$6-$I$6)/(1+$F$6)^$N$3</f>
        <v>17847.3303831993</v>
      </c>
      <c r="Q22" s="15" t="n">
        <f aca="false">O22+P22</f>
        <v>29754.4079035369</v>
      </c>
      <c r="R22" s="15" t="n">
        <f aca="false">Q22-$G$2+$I$2</f>
        <v>30524.4079035369</v>
      </c>
      <c r="S22" s="42" t="n">
        <f aca="false">R22/$K$2</f>
        <v>292.295393120147</v>
      </c>
      <c r="T22" s="43" t="n">
        <f aca="false">S22-$M$2</f>
        <v>0.0422091691747255</v>
      </c>
    </row>
    <row r="23" customFormat="false" ht="15" hidden="false" customHeight="false" outlineLevel="0" collapsed="false">
      <c r="A23" s="5" t="n">
        <v>16</v>
      </c>
      <c r="B23" s="25" t="n">
        <f aca="false">IF(T22&gt;0,B22,D22)</f>
        <v>-0.01824951171875</v>
      </c>
      <c r="C23" s="25" t="n">
        <f aca="false">IF(T22&gt;0,D22,C22)</f>
        <v>-0.0182037353515625</v>
      </c>
      <c r="D23" s="41" t="n">
        <f aca="false">(B23+C23)/2</f>
        <v>-0.0182266235351563</v>
      </c>
      <c r="E23" s="15" t="n">
        <f aca="false">$C$2*(1+IF(E$3&lt;=$O$2,$D23,$D23-($D23-$I$6)*MIN(E$3-$O$2,$Q$2)/$Q$2))</f>
        <v>2690.05905151367</v>
      </c>
      <c r="F23" s="15" t="n">
        <f aca="false">E23*(1+IF(F$3&lt;=$O$2,$D23,$D23-($D23-$I$6)*MIN(F$3-$O$2,$Q$2)/$Q$2))</f>
        <v>2641.02835789439</v>
      </c>
      <c r="G23" s="15" t="n">
        <f aca="false">F23*(1+IF(G$3&lt;=$O$2,$D23,$D23-($D23-$I$6)*MIN(G$3-$O$2,$Q$2)/$Q$2))</f>
        <v>2592.89132826938</v>
      </c>
      <c r="H23" s="15" t="n">
        <f aca="false">G23*(1+IF(H$3&lt;=$O$2,$D23,$D23-($D23-$I$6)*MIN(H$3-$O$2,$Q$2)/$Q$2))</f>
        <v>2545.63167416144</v>
      </c>
      <c r="I23" s="15" t="n">
        <f aca="false">H23*(1+IF(I$3&lt;=$O$2,$D23,$D23-($D23-$I$6)*MIN(I$3-$O$2,$Q$2)/$Q$2))</f>
        <v>2499.23340397733</v>
      </c>
      <c r="J23" s="15" t="n">
        <f aca="false">I23*(1+IF(J$3&lt;=$O$2,$D23,$D23-($D23-$I$6)*MIN(J$3-$O$2,$Q$2)/$Q$2))</f>
        <v>2476.93699593922</v>
      </c>
      <c r="K23" s="15" t="n">
        <f aca="false">J23*(1+IF(K$3&lt;=$O$2,$D23,$D23-($D23-$I$6)*MIN(K$3-$O$2,$Q$2)/$Q$2))</f>
        <v>2477.88820384608</v>
      </c>
      <c r="L23" s="15" t="n">
        <f aca="false">K23*(1+IF(L$3&lt;=$O$2,$D23,$D23-($D23-$I$6)*MIN(L$3-$O$2,$Q$2)/$Q$2))</f>
        <v>2501.8973313659</v>
      </c>
      <c r="M23" s="15" t="n">
        <f aca="false">L23*(1+IF(M$3&lt;=$O$2,$D23,$D23-($D23-$I$6)*MIN(M$3-$O$2,$Q$2)/$Q$2))</f>
        <v>2549.42005879154</v>
      </c>
      <c r="N23" s="15" t="n">
        <f aca="false">M23*(1+IF(N$3&lt;=$O$2,$D23,$D23-($D23-$I$6)*MIN(N$3-$O$2,$Q$2)/$Q$2))</f>
        <v>2621.56864645534</v>
      </c>
      <c r="O23" s="15" t="n">
        <f aca="false">SUMPRODUCT(E23:N23,1/(1+$F$6)^$E$3:$N$3)*$E$2</f>
        <v>11905.8824456959</v>
      </c>
      <c r="P23" s="15" t="n">
        <f aca="false">N23*$E$2*(1+$I$6)/($F$6-$I$6)/(1+$F$6)^$N$3</f>
        <v>17844.4335223759</v>
      </c>
      <c r="Q23" s="15" t="n">
        <f aca="false">O23+P23</f>
        <v>29750.3159680719</v>
      </c>
      <c r="R23" s="15" t="n">
        <f aca="false">Q23-$G$2+$I$2</f>
        <v>30520.3159680719</v>
      </c>
      <c r="S23" s="42" t="n">
        <f aca="false">R23/$K$2</f>
        <v>292.256209595632</v>
      </c>
      <c r="T23" s="43" t="n">
        <f aca="false">S23-$M$2</f>
        <v>0.00302564466005606</v>
      </c>
    </row>
    <row r="24" customFormat="false" ht="15" hidden="false" customHeight="false" outlineLevel="0" collapsed="false">
      <c r="A24" s="5" t="n">
        <v>17</v>
      </c>
      <c r="B24" s="25" t="n">
        <f aca="false">IF(T23&gt;0,B23,D23)</f>
        <v>-0.01824951171875</v>
      </c>
      <c r="C24" s="25" t="n">
        <f aca="false">IF(T23&gt;0,D23,C23)</f>
        <v>-0.0182266235351563</v>
      </c>
      <c r="D24" s="41" t="n">
        <f aca="false">(B24+C24)/2</f>
        <v>-0.0182380676269531</v>
      </c>
      <c r="E24" s="15" t="n">
        <f aca="false">$C$2*(1+IF(E$3&lt;=$O$2,$D24,$D24-($D24-$I$6)*MIN(E$3-$O$2,$Q$2)/$Q$2))</f>
        <v>2690.02769470215</v>
      </c>
      <c r="F24" s="15" t="n">
        <f aca="false">E24*(1+IF(F$3&lt;=$O$2,$D24,$D24-($D24-$I$6)*MIN(F$3-$O$2,$Q$2)/$Q$2))</f>
        <v>2640.96678768779</v>
      </c>
      <c r="G24" s="15" t="n">
        <f aca="false">F24*(1+IF(G$3&lt;=$O$2,$D24,$D24-($D24-$I$6)*MIN(G$3-$O$2,$Q$2)/$Q$2))</f>
        <v>2592.80065681341</v>
      </c>
      <c r="H24" s="15" t="n">
        <f aca="false">G24*(1+IF(H$3&lt;=$O$2,$D24,$D24-($D24-$I$6)*MIN(H$3-$O$2,$Q$2)/$Q$2))</f>
        <v>2545.51298309124</v>
      </c>
      <c r="I24" s="15" t="n">
        <f aca="false">H24*(1+IF(I$3&lt;=$O$2,$D24,$D24-($D24-$I$6)*MIN(I$3-$O$2,$Q$2)/$Q$2))</f>
        <v>2499.08774516033</v>
      </c>
      <c r="J24" s="15" t="n">
        <f aca="false">I24*(1+IF(J$3&lt;=$O$2,$D24,$D24-($D24-$I$6)*MIN(J$3-$O$2,$Q$2)/$Q$2))</f>
        <v>2476.7697567564</v>
      </c>
      <c r="K24" s="15" t="n">
        <f aca="false">J24*(1+IF(K$3&lt;=$O$2,$D24,$D24-($D24-$I$6)*MIN(K$3-$O$2,$Q$2)/$Q$2))</f>
        <v>2477.70389381081</v>
      </c>
      <c r="L24" s="15" t="n">
        <f aca="false">K24*(1+IF(L$3&lt;=$O$2,$D24,$D24-($D24-$I$6)*MIN(L$3-$O$2,$Q$2)/$Q$2))</f>
        <v>2501.69989345777</v>
      </c>
      <c r="M24" s="15" t="n">
        <f aca="false">L24*(1+IF(M$3&lt;=$O$2,$D24,$D24-($D24-$I$6)*MIN(M$3-$O$2,$Q$2)/$Q$2))</f>
        <v>2549.2131446778</v>
      </c>
      <c r="N24" s="15" t="n">
        <f aca="false">M24*(1+IF(N$3&lt;=$O$2,$D24,$D24-($D24-$I$6)*MIN(N$3-$O$2,$Q$2)/$Q$2))</f>
        <v>2621.35587667219</v>
      </c>
      <c r="O24" s="15" t="n">
        <f aca="false">SUMPRODUCT(E24:N24,1/(1+$F$6)^$E$3:$N$3)*$E$2</f>
        <v>11905.2849545842</v>
      </c>
      <c r="P24" s="15" t="n">
        <f aca="false">N24*$E$2*(1+$I$6)/($F$6-$I$6)/(1+$F$6)^$N$3</f>
        <v>17842.9852458808</v>
      </c>
      <c r="Q24" s="15" t="n">
        <f aca="false">O24+P24</f>
        <v>29748.270200465</v>
      </c>
      <c r="R24" s="15" t="n">
        <f aca="false">Q24-$G$2+$I$2</f>
        <v>30518.270200465</v>
      </c>
      <c r="S24" s="42" t="n">
        <f aca="false">R24/$K$2</f>
        <v>292.236619749737</v>
      </c>
      <c r="T24" s="43" t="n">
        <f aca="false">S24-$M$2</f>
        <v>-0.0165642012353828</v>
      </c>
    </row>
    <row r="25" customFormat="false" ht="15" hidden="false" customHeight="false" outlineLevel="0" collapsed="false">
      <c r="A25" s="5" t="n">
        <v>18</v>
      </c>
      <c r="B25" s="25" t="n">
        <f aca="false">IF(T24&gt;0,B24,D24)</f>
        <v>-0.0182380676269531</v>
      </c>
      <c r="C25" s="25" t="n">
        <f aca="false">IF(T24&gt;0,D24,C24)</f>
        <v>-0.0182266235351563</v>
      </c>
      <c r="D25" s="41" t="n">
        <f aca="false">(B25+C25)/2</f>
        <v>-0.0182323455810547</v>
      </c>
      <c r="E25" s="15" t="n">
        <f aca="false">$C$2*(1+IF(E$3&lt;=$O$2,$D25,$D25-($D25-$I$6)*MIN(E$3-$O$2,$Q$2)/$Q$2))</f>
        <v>2690.04337310791</v>
      </c>
      <c r="F25" s="15" t="n">
        <f aca="false">E25*(1+IF(F$3&lt;=$O$2,$D25,$D25-($D25-$I$6)*MIN(F$3-$O$2,$Q$2)/$Q$2))</f>
        <v>2640.99757270138</v>
      </c>
      <c r="G25" s="15" t="n">
        <f aca="false">F25*(1+IF(G$3&lt;=$O$2,$D25,$D25-($D25-$I$6)*MIN(G$3-$O$2,$Q$2)/$Q$2))</f>
        <v>2592.84599227716</v>
      </c>
      <c r="H25" s="15" t="n">
        <f aca="false">G25*(1+IF(H$3&lt;=$O$2,$D25,$D25-($D25-$I$6)*MIN(H$3-$O$2,$Q$2)/$Q$2))</f>
        <v>2545.57232810751</v>
      </c>
      <c r="I25" s="15" t="n">
        <f aca="false">H25*(1+IF(I$3&lt;=$O$2,$D25,$D25-($D25-$I$6)*MIN(I$3-$O$2,$Q$2)/$Q$2))</f>
        <v>2499.16057371989</v>
      </c>
      <c r="J25" s="15" t="n">
        <f aca="false">I25*(1+IF(J$3&lt;=$O$2,$D25,$D25-($D25-$I$6)*MIN(J$3-$O$2,$Q$2)/$Q$2))</f>
        <v>2476.85337517306</v>
      </c>
      <c r="K25" s="15" t="n">
        <f aca="false">J25*(1+IF(K$3&lt;=$O$2,$D25,$D25-($D25-$I$6)*MIN(K$3-$O$2,$Q$2)/$Q$2))</f>
        <v>2477.79604736616</v>
      </c>
      <c r="L25" s="15" t="n">
        <f aca="false">K25*(1+IF(L$3&lt;=$O$2,$D25,$D25-($D25-$I$6)*MIN(L$3-$O$2,$Q$2)/$Q$2))</f>
        <v>2501.79861072446</v>
      </c>
      <c r="M25" s="15" t="n">
        <f aca="false">L25*(1+IF(M$3&lt;=$O$2,$D25,$D25-($D25-$I$6)*MIN(M$3-$O$2,$Q$2)/$Q$2))</f>
        <v>2549.31659990227</v>
      </c>
      <c r="N25" s="15" t="n">
        <f aca="false">M25*(1+IF(N$3&lt;=$O$2,$D25,$D25-($D25-$I$6)*MIN(N$3-$O$2,$Q$2)/$Q$2))</f>
        <v>2621.46225967951</v>
      </c>
      <c r="O25" s="15" t="n">
        <f aca="false">SUMPRODUCT(E25:N25,1/(1+$F$6)^$E$3:$N$3)*$E$2</f>
        <v>11905.5836962895</v>
      </c>
      <c r="P25" s="15" t="n">
        <f aca="false">N25*$E$2*(1+$I$6)/($F$6-$I$6)/(1+$F$6)^$N$3</f>
        <v>17843.7093713026</v>
      </c>
      <c r="Q25" s="15" t="n">
        <f aca="false">O25+P25</f>
        <v>29749.2930675921</v>
      </c>
      <c r="R25" s="15" t="n">
        <f aca="false">Q25-$G$2+$I$2</f>
        <v>30519.2930675921</v>
      </c>
      <c r="S25" s="42" t="n">
        <f aca="false">R25/$K$2</f>
        <v>292.246414512995</v>
      </c>
      <c r="T25" s="43" t="n">
        <f aca="false">S25-$M$2</f>
        <v>-0.00676943797668628</v>
      </c>
    </row>
    <row r="26" customFormat="false" ht="15" hidden="false" customHeight="false" outlineLevel="0" collapsed="false">
      <c r="A26" s="5" t="n">
        <v>19</v>
      </c>
      <c r="B26" s="25" t="n">
        <f aca="false">IF(T25&gt;0,B25,D25)</f>
        <v>-0.0182323455810547</v>
      </c>
      <c r="C26" s="25" t="n">
        <f aca="false">IF(T25&gt;0,D25,C25)</f>
        <v>-0.0182266235351563</v>
      </c>
      <c r="D26" s="41" t="n">
        <f aca="false">(B26+C26)/2</f>
        <v>-0.0182294845581055</v>
      </c>
      <c r="E26" s="15" t="n">
        <f aca="false">$C$2*(1+IF(E$3&lt;=$O$2,$D26,$D26-($D26-$I$6)*MIN(E$3-$O$2,$Q$2)/$Q$2))</f>
        <v>2690.05121231079</v>
      </c>
      <c r="F26" s="15" t="n">
        <f aca="false">E26*(1+IF(F$3&lt;=$O$2,$D26,$D26-($D26-$I$6)*MIN(F$3-$O$2,$Q$2)/$Q$2))</f>
        <v>2641.01296527546</v>
      </c>
      <c r="G26" s="15" t="n">
        <f aca="false">F26*(1+IF(G$3&lt;=$O$2,$D26,$D26-($D26-$I$6)*MIN(G$3-$O$2,$Q$2)/$Q$2))</f>
        <v>2592.86866020721</v>
      </c>
      <c r="H26" s="15" t="n">
        <f aca="false">G26*(1+IF(H$3&lt;=$O$2,$D26,$D26-($D26-$I$6)*MIN(H$3-$O$2,$Q$2)/$Q$2))</f>
        <v>2545.60200100477</v>
      </c>
      <c r="I26" s="15" t="n">
        <f aca="false">H26*(1+IF(I$3&lt;=$O$2,$D26,$D26-($D26-$I$6)*MIN(I$3-$O$2,$Q$2)/$Q$2))</f>
        <v>2499.19698863637</v>
      </c>
      <c r="J26" s="15" t="n">
        <f aca="false">I26*(1+IF(J$3&lt;=$O$2,$D26,$D26-($D26-$I$6)*MIN(J$3-$O$2,$Q$2)/$Q$2))</f>
        <v>2476.89518526245</v>
      </c>
      <c r="K26" s="15" t="n">
        <f aca="false">J26*(1+IF(K$3&lt;=$O$2,$D26,$D26-($D26-$I$6)*MIN(K$3-$O$2,$Q$2)/$Q$2))</f>
        <v>2477.84212524054</v>
      </c>
      <c r="L26" s="15" t="n">
        <f aca="false">K26*(1+IF(L$3&lt;=$O$2,$D26,$D26-($D26-$I$6)*MIN(L$3-$O$2,$Q$2)/$Q$2))</f>
        <v>2501.84797062333</v>
      </c>
      <c r="M26" s="15" t="n">
        <f aca="false">L26*(1+IF(M$3&lt;=$O$2,$D26,$D26-($D26-$I$6)*MIN(M$3-$O$2,$Q$2)/$Q$2))</f>
        <v>2549.3683288888</v>
      </c>
      <c r="N26" s="15" t="n">
        <f aca="false">M26*(1+IF(N$3&lt;=$O$2,$D26,$D26-($D26-$I$6)*MIN(N$3-$O$2,$Q$2)/$Q$2))</f>
        <v>2621.51545259635</v>
      </c>
      <c r="O26" s="15" t="n">
        <f aca="false">SUMPRODUCT(E26:N26,1/(1+$F$6)^$E$3:$N$3)*$E$2</f>
        <v>11905.73307003</v>
      </c>
      <c r="P26" s="15" t="n">
        <f aca="false">N26*$E$2*(1+$I$6)/($F$6-$I$6)/(1+$F$6)^$N$3</f>
        <v>17844.0714436328</v>
      </c>
      <c r="Q26" s="15" t="n">
        <f aca="false">O26+P26</f>
        <v>29749.8045136628</v>
      </c>
      <c r="R26" s="15" t="n">
        <f aca="false">Q26-$G$2+$I$2</f>
        <v>30519.8045136628</v>
      </c>
      <c r="S26" s="42" t="n">
        <f aca="false">R26/$K$2</f>
        <v>292.251312014391</v>
      </c>
      <c r="T26" s="43" t="n">
        <f aca="false">S26-$M$2</f>
        <v>-0.00187193658115348</v>
      </c>
    </row>
    <row r="27" customFormat="false" ht="15" hidden="false" customHeight="false" outlineLevel="0" collapsed="false">
      <c r="A27" s="5" t="n">
        <v>20</v>
      </c>
      <c r="B27" s="25" t="n">
        <f aca="false">IF(T26&gt;0,B26,D26)</f>
        <v>-0.0182294845581055</v>
      </c>
      <c r="C27" s="25" t="n">
        <f aca="false">IF(T26&gt;0,D26,C26)</f>
        <v>-0.0182266235351563</v>
      </c>
      <c r="D27" s="41" t="n">
        <f aca="false">(B27+C27)/2</f>
        <v>-0.0182280540466309</v>
      </c>
      <c r="E27" s="15" t="n">
        <f aca="false">$C$2*(1+IF(E$3&lt;=$O$2,$D27,$D27-($D27-$I$6)*MIN(E$3-$O$2,$Q$2)/$Q$2))</f>
        <v>2690.05513191223</v>
      </c>
      <c r="F27" s="15" t="n">
        <f aca="false">E27*(1+IF(F$3&lt;=$O$2,$D27,$D27-($D27-$I$6)*MIN(F$3-$O$2,$Q$2)/$Q$2))</f>
        <v>2641.02066157932</v>
      </c>
      <c r="G27" s="15" t="n">
        <f aca="false">F27*(1+IF(G$3&lt;=$O$2,$D27,$D27-($D27-$I$6)*MIN(G$3-$O$2,$Q$2)/$Q$2))</f>
        <v>2592.87999422178</v>
      </c>
      <c r="H27" s="15" t="n">
        <f aca="false">G27*(1+IF(H$3&lt;=$O$2,$D27,$D27-($D27-$I$6)*MIN(H$3-$O$2,$Q$2)/$Q$2))</f>
        <v>2545.61683755068</v>
      </c>
      <c r="I27" s="15" t="n">
        <f aca="false">H27*(1+IF(I$3&lt;=$O$2,$D27,$D27-($D27-$I$6)*MIN(I$3-$O$2,$Q$2)/$Q$2))</f>
        <v>2499.21519625379</v>
      </c>
      <c r="J27" s="15" t="n">
        <f aca="false">I27*(1+IF(J$3&lt;=$O$2,$D27,$D27-($D27-$I$6)*MIN(J$3-$O$2,$Q$2)/$Q$2))</f>
        <v>2476.91609052741</v>
      </c>
      <c r="K27" s="15" t="n">
        <f aca="false">J27*(1+IF(K$3&lt;=$O$2,$D27,$D27-($D27-$I$6)*MIN(K$3-$O$2,$Q$2)/$Q$2))</f>
        <v>2477.86516445192</v>
      </c>
      <c r="L27" s="15" t="n">
        <f aca="false">K27*(1+IF(L$3&lt;=$O$2,$D27,$D27-($D27-$I$6)*MIN(L$3-$O$2,$Q$2)/$Q$2))</f>
        <v>2501.87265088915</v>
      </c>
      <c r="M27" s="15" t="n">
        <f aca="false">L27*(1+IF(M$3&lt;=$O$2,$D27,$D27-($D27-$I$6)*MIN(M$3-$O$2,$Q$2)/$Q$2))</f>
        <v>2549.39419372564</v>
      </c>
      <c r="N27" s="15" t="n">
        <f aca="false">M27*(1+IF(N$3&lt;=$O$2,$D27,$D27-($D27-$I$6)*MIN(N$3-$O$2,$Q$2)/$Q$2))</f>
        <v>2621.54204940808</v>
      </c>
      <c r="O27" s="15" t="n">
        <f aca="false">SUMPRODUCT(E27:N27,1/(1+$F$6)^$E$3:$N$3)*$E$2</f>
        <v>11905.8077576223</v>
      </c>
      <c r="P27" s="15" t="n">
        <f aca="false">N27*$E$2*(1+$I$6)/($F$6-$I$6)/(1+$F$6)^$N$3</f>
        <v>17844.2524822027</v>
      </c>
      <c r="Q27" s="15" t="n">
        <f aca="false">O27+P27</f>
        <v>29750.0602398251</v>
      </c>
      <c r="R27" s="15" t="n">
        <f aca="false">Q27-$G$2+$I$2</f>
        <v>30520.0602398251</v>
      </c>
      <c r="S27" s="42" t="n">
        <f aca="false">R27/$K$2</f>
        <v>292.253760795031</v>
      </c>
      <c r="T27" s="43" t="n">
        <f aca="false">S27-$M$2</f>
        <v>0.000576844058684856</v>
      </c>
    </row>
    <row r="28" customFormat="false" ht="15" hidden="false" customHeight="false" outlineLevel="0" collapsed="false">
      <c r="A28" s="5" t="n">
        <v>21</v>
      </c>
      <c r="B28" s="25" t="n">
        <f aca="false">IF(T27&gt;0,B27,D27)</f>
        <v>-0.0182294845581055</v>
      </c>
      <c r="C28" s="25" t="n">
        <f aca="false">IF(T27&gt;0,D27,C27)</f>
        <v>-0.0182280540466309</v>
      </c>
      <c r="D28" s="41" t="n">
        <f aca="false">(B28+C28)/2</f>
        <v>-0.0182287693023682</v>
      </c>
      <c r="E28" s="15" t="n">
        <f aca="false">$C$2*(1+IF(E$3&lt;=$O$2,$D28,$D28-($D28-$I$6)*MIN(E$3-$O$2,$Q$2)/$Q$2))</f>
        <v>2690.05317211151</v>
      </c>
      <c r="F28" s="15" t="n">
        <f aca="false">E28*(1+IF(F$3&lt;=$O$2,$D28,$D28-($D28-$I$6)*MIN(F$3-$O$2,$Q$2)/$Q$2))</f>
        <v>2641.01681342599</v>
      </c>
      <c r="G28" s="15" t="n">
        <f aca="false">F28*(1+IF(G$3&lt;=$O$2,$D28,$D28-($D28-$I$6)*MIN(G$3-$O$2,$Q$2)/$Q$2))</f>
        <v>2592.87432721037</v>
      </c>
      <c r="H28" s="15" t="n">
        <f aca="false">G28*(1+IF(H$3&lt;=$O$2,$D28,$D28-($D28-$I$6)*MIN(H$3-$O$2,$Q$2)/$Q$2))</f>
        <v>2545.60941926962</v>
      </c>
      <c r="I28" s="15" t="n">
        <f aca="false">H28*(1+IF(I$3&lt;=$O$2,$D28,$D28-($D28-$I$6)*MIN(I$3-$O$2,$Q$2)/$Q$2))</f>
        <v>2499.20609243182</v>
      </c>
      <c r="J28" s="15" t="n">
        <f aca="false">I28*(1+IF(J$3&lt;=$O$2,$D28,$D28-($D28-$I$6)*MIN(J$3-$O$2,$Q$2)/$Q$2))</f>
        <v>2476.90563787657</v>
      </c>
      <c r="K28" s="15" t="n">
        <f aca="false">J28*(1+IF(K$3&lt;=$O$2,$D28,$D28-($D28-$I$6)*MIN(K$3-$O$2,$Q$2)/$Q$2))</f>
        <v>2477.85364482338</v>
      </c>
      <c r="L28" s="15" t="n">
        <f aca="false">K28*(1+IF(L$3&lt;=$O$2,$D28,$D28-($D28-$I$6)*MIN(L$3-$O$2,$Q$2)/$Q$2))</f>
        <v>2501.86031072988</v>
      </c>
      <c r="M28" s="15" t="n">
        <f aca="false">L28*(1+IF(M$3&lt;=$O$2,$D28,$D28-($D28-$I$6)*MIN(M$3-$O$2,$Q$2)/$Q$2))</f>
        <v>2549.38126127859</v>
      </c>
      <c r="N28" s="15" t="n">
        <f aca="false">M28*(1+IF(N$3&lt;=$O$2,$D28,$D28-($D28-$I$6)*MIN(N$3-$O$2,$Q$2)/$Q$2))</f>
        <v>2621.52875097277</v>
      </c>
      <c r="O28" s="15" t="n">
        <f aca="false">SUMPRODUCT(E28:N28,1/(1+$F$6)^$E$3:$N$3)*$E$2</f>
        <v>11905.770413766</v>
      </c>
      <c r="P28" s="15" t="n">
        <f aca="false">N28*$E$2*(1+$I$6)/($F$6-$I$6)/(1+$F$6)^$N$3</f>
        <v>17844.1619627174</v>
      </c>
      <c r="Q28" s="15" t="n">
        <f aca="false">O28+P28</f>
        <v>29749.9323764834</v>
      </c>
      <c r="R28" s="15" t="n">
        <f aca="false">Q28-$G$2+$I$2</f>
        <v>30519.9323764834</v>
      </c>
      <c r="S28" s="42" t="n">
        <f aca="false">R28/$K$2</f>
        <v>292.252536402216</v>
      </c>
      <c r="T28" s="43" t="n">
        <f aca="false">S28-$M$2</f>
        <v>-0.000647548756489869</v>
      </c>
    </row>
    <row r="29" customFormat="false" ht="15" hidden="false" customHeight="false" outlineLevel="0" collapsed="false">
      <c r="A29" s="5" t="n">
        <v>22</v>
      </c>
      <c r="B29" s="25" t="n">
        <f aca="false">IF(T28&gt;0,B28,D28)</f>
        <v>-0.0182287693023682</v>
      </c>
      <c r="C29" s="25" t="n">
        <f aca="false">IF(T28&gt;0,D28,C28)</f>
        <v>-0.0182280540466309</v>
      </c>
      <c r="D29" s="41" t="n">
        <f aca="false">(B29+C29)/2</f>
        <v>-0.0182284116744995</v>
      </c>
      <c r="E29" s="15" t="n">
        <f aca="false">$C$2*(1+IF(E$3&lt;=$O$2,$D29,$D29-($D29-$I$6)*MIN(E$3-$O$2,$Q$2)/$Q$2))</f>
        <v>2690.05415201187</v>
      </c>
      <c r="F29" s="15" t="n">
        <f aca="false">E29*(1+IF(F$3&lt;=$O$2,$D29,$D29-($D29-$I$6)*MIN(F$3-$O$2,$Q$2)/$Q$2))</f>
        <v>2641.0187375023</v>
      </c>
      <c r="G29" s="15" t="n">
        <f aca="false">F29*(1+IF(G$3&lt;=$O$2,$D29,$D29-($D29-$I$6)*MIN(G$3-$O$2,$Q$2)/$Q$2))</f>
        <v>2592.87716071504</v>
      </c>
      <c r="H29" s="15" t="n">
        <f aca="false">G29*(1+IF(H$3&lt;=$O$2,$D29,$D29-($D29-$I$6)*MIN(H$3-$O$2,$Q$2)/$Q$2))</f>
        <v>2545.61312840812</v>
      </c>
      <c r="I29" s="15" t="n">
        <f aca="false">H29*(1+IF(I$3&lt;=$O$2,$D29,$D29-($D29-$I$6)*MIN(I$3-$O$2,$Q$2)/$Q$2))</f>
        <v>2499.21064433949</v>
      </c>
      <c r="J29" s="15" t="n">
        <f aca="false">I29*(1+IF(J$3&lt;=$O$2,$D29,$D29-($D29-$I$6)*MIN(J$3-$O$2,$Q$2)/$Q$2))</f>
        <v>2476.9108641974</v>
      </c>
      <c r="K29" s="15" t="n">
        <f aca="false">J29*(1+IF(K$3&lt;=$O$2,$D29,$D29-($D29-$I$6)*MIN(K$3-$O$2,$Q$2)/$Q$2))</f>
        <v>2477.85940463194</v>
      </c>
      <c r="L29" s="15" t="n">
        <f aca="false">K29*(1+IF(L$3&lt;=$O$2,$D29,$D29-($D29-$I$6)*MIN(L$3-$O$2,$Q$2)/$Q$2))</f>
        <v>2501.86648080292</v>
      </c>
      <c r="M29" s="15" t="n">
        <f aca="false">L29*(1+IF(M$3&lt;=$O$2,$D29,$D29-($D29-$I$6)*MIN(M$3-$O$2,$Q$2)/$Q$2))</f>
        <v>2549.38772749496</v>
      </c>
      <c r="N29" s="15" t="n">
        <f aca="false">M29*(1+IF(N$3&lt;=$O$2,$D29,$D29-($D29-$I$6)*MIN(N$3-$O$2,$Q$2)/$Q$2))</f>
        <v>2621.53540018307</v>
      </c>
      <c r="O29" s="15" t="n">
        <f aca="false">SUMPRODUCT(E29:N29,1/(1+$F$6)^$E$3:$N$3)*$E$2</f>
        <v>11905.7890856791</v>
      </c>
      <c r="P29" s="15" t="n">
        <f aca="false">N29*$E$2*(1+$I$6)/($F$6-$I$6)/(1+$F$6)^$N$3</f>
        <v>17844.20722241</v>
      </c>
      <c r="Q29" s="15" t="n">
        <f aca="false">O29+P29</f>
        <v>29749.9963080891</v>
      </c>
      <c r="R29" s="15" t="n">
        <f aca="false">Q29-$G$2+$I$2</f>
        <v>30519.9963080891</v>
      </c>
      <c r="S29" s="42" t="n">
        <f aca="false">R29/$K$2</f>
        <v>292.253148597999</v>
      </c>
      <c r="T29" s="43" t="n">
        <f aca="false">S29-$M$2</f>
        <v>-3.53529725884982E-005</v>
      </c>
    </row>
    <row r="30" customFormat="false" ht="15" hidden="false" customHeight="false" outlineLevel="0" collapsed="false">
      <c r="A30" s="5" t="n">
        <v>23</v>
      </c>
      <c r="B30" s="25" t="n">
        <f aca="false">IF(T29&gt;0,B29,D29)</f>
        <v>-0.0182284116744995</v>
      </c>
      <c r="C30" s="25" t="n">
        <f aca="false">IF(T29&gt;0,D29,C29)</f>
        <v>-0.0182280540466309</v>
      </c>
      <c r="D30" s="41" t="n">
        <f aca="false">(B30+C30)/2</f>
        <v>-0.0182282328605652</v>
      </c>
      <c r="E30" s="15" t="n">
        <f aca="false">$C$2*(1+IF(E$3&lt;=$O$2,$D30,$D30-($D30-$I$6)*MIN(E$3-$O$2,$Q$2)/$Q$2))</f>
        <v>2690.05464196205</v>
      </c>
      <c r="F30" s="15" t="n">
        <f aca="false">E30*(1+IF(F$3&lt;=$O$2,$D30,$D30-($D30-$I$6)*MIN(F$3-$O$2,$Q$2)/$Q$2))</f>
        <v>2641.01969954072</v>
      </c>
      <c r="G30" s="15" t="n">
        <f aca="false">F30*(1+IF(G$3&lt;=$O$2,$D30,$D30-($D30-$I$6)*MIN(G$3-$O$2,$Q$2)/$Q$2))</f>
        <v>2592.87857746815</v>
      </c>
      <c r="H30" s="15" t="n">
        <f aca="false">G30*(1+IF(H$3&lt;=$O$2,$D30,$D30-($D30-$I$6)*MIN(H$3-$O$2,$Q$2)/$Q$2))</f>
        <v>2545.61498297889</v>
      </c>
      <c r="I30" s="15" t="n">
        <f aca="false">H30*(1+IF(I$3&lt;=$O$2,$D30,$D30-($D30-$I$6)*MIN(I$3-$O$2,$Q$2)/$Q$2))</f>
        <v>2499.21292029581</v>
      </c>
      <c r="J30" s="15" t="n">
        <f aca="false">I30*(1+IF(J$3&lt;=$O$2,$D30,$D30-($D30-$I$6)*MIN(J$3-$O$2,$Q$2)/$Q$2))</f>
        <v>2476.91347736126</v>
      </c>
      <c r="K30" s="15" t="n">
        <f aca="false">J30*(1+IF(K$3&lt;=$O$2,$D30,$D30-($D30-$I$6)*MIN(K$3-$O$2,$Q$2)/$Q$2))</f>
        <v>2477.8622845405</v>
      </c>
      <c r="L30" s="15" t="n">
        <f aca="false">K30*(1+IF(L$3&lt;=$O$2,$D30,$D30-($D30-$I$6)*MIN(L$3-$O$2,$Q$2)/$Q$2))</f>
        <v>2501.86956584439</v>
      </c>
      <c r="M30" s="15" t="n">
        <f aca="false">L30*(1+IF(M$3&lt;=$O$2,$D30,$D30-($D30-$I$6)*MIN(M$3-$O$2,$Q$2)/$Q$2))</f>
        <v>2549.39096060851</v>
      </c>
      <c r="N30" s="15" t="n">
        <f aca="false">M30*(1+IF(N$3&lt;=$O$2,$D30,$D30-($D30-$I$6)*MIN(N$3-$O$2,$Q$2)/$Q$2))</f>
        <v>2621.53872479373</v>
      </c>
      <c r="O30" s="15" t="n">
        <f aca="false">SUMPRODUCT(E30:N30,1/(1+$F$6)^$E$3:$N$3)*$E$2</f>
        <v>11905.798421647</v>
      </c>
      <c r="P30" s="15" t="n">
        <f aca="false">N30*$E$2*(1+$I$6)/($F$6-$I$6)/(1+$F$6)^$N$3</f>
        <v>17844.2298522938</v>
      </c>
      <c r="Q30" s="15" t="n">
        <f aca="false">O30+P30</f>
        <v>29750.0282739408</v>
      </c>
      <c r="R30" s="15" t="n">
        <f aca="false">Q30-$G$2+$I$2</f>
        <v>30520.0282739408</v>
      </c>
      <c r="S30" s="42" t="n">
        <f aca="false">R30/$K$2</f>
        <v>292.253454696359</v>
      </c>
      <c r="T30" s="43" t="n">
        <f aca="false">S30-$M$2</f>
        <v>0.000270745387012994</v>
      </c>
    </row>
    <row r="31" customFormat="false" ht="15" hidden="false" customHeight="false" outlineLevel="0" collapsed="false">
      <c r="A31" s="5" t="n">
        <v>24</v>
      </c>
      <c r="B31" s="25" t="n">
        <f aca="false">IF(T30&gt;0,B30,D30)</f>
        <v>-0.0182284116744995</v>
      </c>
      <c r="C31" s="25" t="n">
        <f aca="false">IF(T30&gt;0,D30,C30)</f>
        <v>-0.0182282328605652</v>
      </c>
      <c r="D31" s="41" t="n">
        <f aca="false">(B31+C31)/2</f>
        <v>-0.0182283222675324</v>
      </c>
      <c r="E31" s="15" t="n">
        <f aca="false">$C$2*(1+IF(E$3&lt;=$O$2,$D31,$D31-($D31-$I$6)*MIN(E$3-$O$2,$Q$2)/$Q$2))</f>
        <v>2690.05439698696</v>
      </c>
      <c r="F31" s="15" t="n">
        <f aca="false">E31*(1+IF(F$3&lt;=$O$2,$D31,$D31-($D31-$I$6)*MIN(F$3-$O$2,$Q$2)/$Q$2))</f>
        <v>2641.01921852149</v>
      </c>
      <c r="G31" s="15" t="n">
        <f aca="false">F31*(1+IF(G$3&lt;=$O$2,$D31,$D31-($D31-$I$6)*MIN(G$3-$O$2,$Q$2)/$Q$2))</f>
        <v>2592.87786909153</v>
      </c>
      <c r="H31" s="15" t="n">
        <f aca="false">G31*(1+IF(H$3&lt;=$O$2,$D31,$D31-($D31-$I$6)*MIN(H$3-$O$2,$Q$2)/$Q$2))</f>
        <v>2545.61405569338</v>
      </c>
      <c r="I31" s="15" t="n">
        <f aca="false">H31*(1+IF(I$3&lt;=$O$2,$D31,$D31-($D31-$I$6)*MIN(I$3-$O$2,$Q$2)/$Q$2))</f>
        <v>2499.21178231744</v>
      </c>
      <c r="J31" s="15" t="n">
        <f aca="false">I31*(1+IF(J$3&lt;=$O$2,$D31,$D31-($D31-$I$6)*MIN(J$3-$O$2,$Q$2)/$Q$2))</f>
        <v>2476.91217077904</v>
      </c>
      <c r="K31" s="15" t="n">
        <f aca="false">J31*(1+IF(K$3&lt;=$O$2,$D31,$D31-($D31-$I$6)*MIN(K$3-$O$2,$Q$2)/$Q$2))</f>
        <v>2477.86084458586</v>
      </c>
      <c r="L31" s="15" t="n">
        <f aca="false">K31*(1+IF(L$3&lt;=$O$2,$D31,$D31-($D31-$I$6)*MIN(L$3-$O$2,$Q$2)/$Q$2))</f>
        <v>2501.86802332324</v>
      </c>
      <c r="M31" s="15" t="n">
        <f aca="false">L31*(1+IF(M$3&lt;=$O$2,$D31,$D31-($D31-$I$6)*MIN(M$3-$O$2,$Q$2)/$Q$2))</f>
        <v>2549.38934405129</v>
      </c>
      <c r="N31" s="15" t="n">
        <f aca="false">M31*(1+IF(N$3&lt;=$O$2,$D31,$D31-($D31-$I$6)*MIN(N$3-$O$2,$Q$2)/$Q$2))</f>
        <v>2621.53706248794</v>
      </c>
      <c r="O31" s="15" t="n">
        <f aca="false">SUMPRODUCT(E31:N31,1/(1+$F$6)^$E$3:$N$3)*$E$2</f>
        <v>11905.7937536621</v>
      </c>
      <c r="P31" s="15" t="n">
        <f aca="false">N31*$E$2*(1+$I$6)/($F$6-$I$6)/(1+$F$6)^$N$3</f>
        <v>17844.2185373488</v>
      </c>
      <c r="Q31" s="15" t="n">
        <f aca="false">O31+P31</f>
        <v>29750.0122910108</v>
      </c>
      <c r="R31" s="15" t="n">
        <f aca="false">Q31-$G$2+$I$2</f>
        <v>30520.0122910108</v>
      </c>
      <c r="S31" s="42" t="n">
        <f aca="false">R31/$K$2</f>
        <v>292.25330164714</v>
      </c>
      <c r="T31" s="43" t="n">
        <f aca="false">S31-$M$2</f>
        <v>0.000117696168103976</v>
      </c>
    </row>
    <row r="32" customFormat="false" ht="15" hidden="false" customHeight="false" outlineLevel="0" collapsed="false">
      <c r="A32" s="5" t="n">
        <v>25</v>
      </c>
      <c r="B32" s="25" t="n">
        <f aca="false">IF(T31&gt;0,B31,D31)</f>
        <v>-0.0182284116744995</v>
      </c>
      <c r="C32" s="25" t="n">
        <f aca="false">IF(T31&gt;0,D31,C31)</f>
        <v>-0.0182283222675324</v>
      </c>
      <c r="D32" s="41" t="n">
        <f aca="false">(B32+C32)/2</f>
        <v>-0.0182283669710159</v>
      </c>
      <c r="E32" s="15" t="n">
        <f aca="false">$C$2*(1+IF(E$3&lt;=$O$2,$D32,$D32-($D32-$I$6)*MIN(E$3-$O$2,$Q$2)/$Q$2))</f>
        <v>2690.05427449942</v>
      </c>
      <c r="F32" s="15" t="n">
        <f aca="false">E32*(1+IF(F$3&lt;=$O$2,$D32,$D32-($D32-$I$6)*MIN(F$3-$O$2,$Q$2)/$Q$2))</f>
        <v>2641.01897801189</v>
      </c>
      <c r="G32" s="15" t="n">
        <f aca="false">F32*(1+IF(G$3&lt;=$O$2,$D32,$D32-($D32-$I$6)*MIN(G$3-$O$2,$Q$2)/$Q$2))</f>
        <v>2592.87751490327</v>
      </c>
      <c r="H32" s="15" t="n">
        <f aca="false">G32*(1+IF(H$3&lt;=$O$2,$D32,$D32-($D32-$I$6)*MIN(H$3-$O$2,$Q$2)/$Q$2))</f>
        <v>2545.61359205072</v>
      </c>
      <c r="I32" s="15" t="n">
        <f aca="false">H32*(1+IF(I$3&lt;=$O$2,$D32,$D32-($D32-$I$6)*MIN(I$3-$O$2,$Q$2)/$Q$2))</f>
        <v>2499.21121332841</v>
      </c>
      <c r="J32" s="15" t="n">
        <f aca="false">I32*(1+IF(J$3&lt;=$O$2,$D32,$D32-($D32-$I$6)*MIN(J$3-$O$2,$Q$2)/$Q$2))</f>
        <v>2476.91151748815</v>
      </c>
      <c r="K32" s="15" t="n">
        <f aca="false">J32*(1+IF(K$3&lt;=$O$2,$D32,$D32-($D32-$I$6)*MIN(K$3-$O$2,$Q$2)/$Q$2))</f>
        <v>2477.86012460881</v>
      </c>
      <c r="L32" s="15" t="n">
        <f aca="false">K32*(1+IF(L$3&lt;=$O$2,$D32,$D32-($D32-$I$6)*MIN(L$3-$O$2,$Q$2)/$Q$2))</f>
        <v>2501.86725206298</v>
      </c>
      <c r="M32" s="15" t="n">
        <f aca="false">L32*(1+IF(M$3&lt;=$O$2,$D32,$D32-($D32-$I$6)*MIN(M$3-$O$2,$Q$2)/$Q$2))</f>
        <v>2549.38853577301</v>
      </c>
      <c r="N32" s="15" t="n">
        <f aca="false">M32*(1+IF(N$3&lt;=$O$2,$D32,$D32-($D32-$I$6)*MIN(N$3-$O$2,$Q$2)/$Q$2))</f>
        <v>2621.53623133539</v>
      </c>
      <c r="O32" s="15" t="n">
        <f aca="false">SUMPRODUCT(E32:N32,1/(1+$F$6)^$E$3:$N$3)*$E$2</f>
        <v>11905.7914196704</v>
      </c>
      <c r="P32" s="15" t="n">
        <f aca="false">N32*$E$2*(1+$I$6)/($F$6-$I$6)/(1+$F$6)^$N$3</f>
        <v>17844.2128798786</v>
      </c>
      <c r="Q32" s="15" t="n">
        <f aca="false">O32+P32</f>
        <v>29750.0042995489</v>
      </c>
      <c r="R32" s="15" t="n">
        <f aca="false">Q32-$G$2+$I$2</f>
        <v>30520.0042995489</v>
      </c>
      <c r="S32" s="42" t="n">
        <f aca="false">R32/$K$2</f>
        <v>292.25322512256</v>
      </c>
      <c r="T32" s="43" t="n">
        <f aca="false">S32-$M$2</f>
        <v>4.11715880090924E-005</v>
      </c>
    </row>
    <row r="33" customFormat="false" ht="15" hidden="false" customHeight="false" outlineLevel="0" collapsed="false">
      <c r="A33" s="5" t="n">
        <v>26</v>
      </c>
      <c r="B33" s="25" t="n">
        <f aca="false">IF(T32&gt;0,B32,D32)</f>
        <v>-0.0182284116744995</v>
      </c>
      <c r="C33" s="25" t="n">
        <f aca="false">IF(T32&gt;0,D32,C32)</f>
        <v>-0.0182283669710159</v>
      </c>
      <c r="D33" s="41" t="n">
        <f aca="false">(B33+C33)/2</f>
        <v>-0.0182283893227577</v>
      </c>
      <c r="E33" s="15" t="n">
        <f aca="false">$C$2*(1+IF(E$3&lt;=$O$2,$D33,$D33-($D33-$I$6)*MIN(E$3-$O$2,$Q$2)/$Q$2))</f>
        <v>2690.05421325564</v>
      </c>
      <c r="F33" s="15" t="n">
        <f aca="false">E33*(1+IF(F$3&lt;=$O$2,$D33,$D33-($D33-$I$6)*MIN(F$3-$O$2,$Q$2)/$Q$2))</f>
        <v>2641.0188577571</v>
      </c>
      <c r="G33" s="15" t="n">
        <f aca="false">F33*(1+IF(G$3&lt;=$O$2,$D33,$D33-($D33-$I$6)*MIN(G$3-$O$2,$Q$2)/$Q$2))</f>
        <v>2592.87733780915</v>
      </c>
      <c r="H33" s="15" t="n">
        <f aca="false">G33*(1+IF(H$3&lt;=$O$2,$D33,$D33-($D33-$I$6)*MIN(H$3-$O$2,$Q$2)/$Q$2))</f>
        <v>2545.61336022941</v>
      </c>
      <c r="I33" s="15" t="n">
        <f aca="false">H33*(1+IF(I$3&lt;=$O$2,$D33,$D33-($D33-$I$6)*MIN(I$3-$O$2,$Q$2)/$Q$2))</f>
        <v>2499.21092883394</v>
      </c>
      <c r="J33" s="15" t="n">
        <f aca="false">I33*(1+IF(J$3&lt;=$O$2,$D33,$D33-($D33-$I$6)*MIN(J$3-$O$2,$Q$2)/$Q$2))</f>
        <v>2476.91119084276</v>
      </c>
      <c r="K33" s="15" t="n">
        <f aca="false">J33*(1+IF(K$3&lt;=$O$2,$D33,$D33-($D33-$I$6)*MIN(K$3-$O$2,$Q$2)/$Q$2))</f>
        <v>2477.85976462035</v>
      </c>
      <c r="L33" s="15" t="n">
        <f aca="false">K33*(1+IF(L$3&lt;=$O$2,$D33,$D33-($D33-$I$6)*MIN(L$3-$O$2,$Q$2)/$Q$2))</f>
        <v>2501.86686643293</v>
      </c>
      <c r="M33" s="15" t="n">
        <f aca="false">L33*(1+IF(M$3&lt;=$O$2,$D33,$D33-($D33-$I$6)*MIN(M$3-$O$2,$Q$2)/$Q$2))</f>
        <v>2549.38813163396</v>
      </c>
      <c r="N33" s="15" t="n">
        <f aca="false">M33*(1+IF(N$3&lt;=$O$2,$D33,$D33-($D33-$I$6)*MIN(N$3-$O$2,$Q$2)/$Q$2))</f>
        <v>2621.5358157592</v>
      </c>
      <c r="O33" s="15" t="n">
        <f aca="false">SUMPRODUCT(E33:N33,1/(1+$F$6)^$E$3:$N$3)*$E$2</f>
        <v>11905.7902526747</v>
      </c>
      <c r="P33" s="15" t="n">
        <f aca="false">N33*$E$2*(1+$I$6)/($F$6-$I$6)/(1+$F$6)^$N$3</f>
        <v>17844.2100511441</v>
      </c>
      <c r="Q33" s="15" t="n">
        <f aca="false">O33+P33</f>
        <v>29750.0003038188</v>
      </c>
      <c r="R33" s="15" t="n">
        <f aca="false">Q33-$G$2+$I$2</f>
        <v>30520.0003038188</v>
      </c>
      <c r="S33" s="42" t="n">
        <f aca="false">R33/$K$2</f>
        <v>292.253186860277</v>
      </c>
      <c r="T33" s="43" t="n">
        <f aca="false">S33-$M$2</f>
        <v>2.90930523760835E-006</v>
      </c>
    </row>
    <row r="34" customFormat="false" ht="15" hidden="false" customHeight="false" outlineLevel="0" collapsed="false">
      <c r="A34" s="5" t="n">
        <v>27</v>
      </c>
      <c r="B34" s="25" t="n">
        <f aca="false">IF(T33&gt;0,B33,D33)</f>
        <v>-0.0182284116744995</v>
      </c>
      <c r="C34" s="25" t="n">
        <f aca="false">IF(T33&gt;0,D33,C33)</f>
        <v>-0.0182283893227577</v>
      </c>
      <c r="D34" s="41" t="n">
        <f aca="false">(B34+C34)/2</f>
        <v>-0.0182284004986286</v>
      </c>
      <c r="E34" s="15" t="n">
        <f aca="false">$C$2*(1+IF(E$3&lt;=$O$2,$D34,$D34-($D34-$I$6)*MIN(E$3-$O$2,$Q$2)/$Q$2))</f>
        <v>2690.05418263376</v>
      </c>
      <c r="F34" s="15" t="n">
        <f aca="false">E34*(1+IF(F$3&lt;=$O$2,$D34,$D34-($D34-$I$6)*MIN(F$3-$O$2,$Q$2)/$Q$2))</f>
        <v>2641.0187976297</v>
      </c>
      <c r="G34" s="15" t="n">
        <f aca="false">F34*(1+IF(G$3&lt;=$O$2,$D34,$D34-($D34-$I$6)*MIN(G$3-$O$2,$Q$2)/$Q$2))</f>
        <v>2592.8772492621</v>
      </c>
      <c r="H34" s="15" t="n">
        <f aca="false">G34*(1+IF(H$3&lt;=$O$2,$D34,$D34-($D34-$I$6)*MIN(H$3-$O$2,$Q$2)/$Q$2))</f>
        <v>2545.61324431877</v>
      </c>
      <c r="I34" s="15" t="n">
        <f aca="false">H34*(1+IF(I$3&lt;=$O$2,$D34,$D34-($D34-$I$6)*MIN(I$3-$O$2,$Q$2)/$Q$2))</f>
        <v>2499.21078658671</v>
      </c>
      <c r="J34" s="15" t="n">
        <f aca="false">I34*(1+IF(J$3&lt;=$O$2,$D34,$D34-($D34-$I$6)*MIN(J$3-$O$2,$Q$2)/$Q$2))</f>
        <v>2476.91102752007</v>
      </c>
      <c r="K34" s="15" t="n">
        <f aca="false">J34*(1+IF(K$3&lt;=$O$2,$D34,$D34-($D34-$I$6)*MIN(K$3-$O$2,$Q$2)/$Q$2))</f>
        <v>2477.85958462614</v>
      </c>
      <c r="L34" s="15" t="n">
        <f aca="false">K34*(1+IF(L$3&lt;=$O$2,$D34,$D34-($D34-$I$6)*MIN(L$3-$O$2,$Q$2)/$Q$2))</f>
        <v>2501.86667361792</v>
      </c>
      <c r="M34" s="15" t="n">
        <f aca="false">L34*(1+IF(M$3&lt;=$O$2,$D34,$D34-($D34-$I$6)*MIN(M$3-$O$2,$Q$2)/$Q$2))</f>
        <v>2549.38792956445</v>
      </c>
      <c r="N34" s="15" t="n">
        <f aca="false">M34*(1+IF(N$3&lt;=$O$2,$D34,$D34-($D34-$I$6)*MIN(N$3-$O$2,$Q$2)/$Q$2))</f>
        <v>2621.53560797113</v>
      </c>
      <c r="O34" s="15" t="n">
        <f aca="false">SUMPRODUCT(E34:N34,1/(1+$F$6)^$E$3:$N$3)*$E$2</f>
        <v>11905.7896691769</v>
      </c>
      <c r="P34" s="15" t="n">
        <f aca="false">N34*$E$2*(1+$I$6)/($F$6-$I$6)/(1+$F$6)^$N$3</f>
        <v>17844.208636777</v>
      </c>
      <c r="Q34" s="15" t="n">
        <f aca="false">O34+P34</f>
        <v>29749.9983059539</v>
      </c>
      <c r="R34" s="15" t="n">
        <f aca="false">Q34-$G$2+$I$2</f>
        <v>30519.9983059539</v>
      </c>
      <c r="S34" s="42" t="n">
        <f aca="false">R34/$K$2</f>
        <v>292.253167729138</v>
      </c>
      <c r="T34" s="43" t="n">
        <f aca="false">S34-$M$2</f>
        <v>-1.62218343007226E-005</v>
      </c>
    </row>
    <row r="35" customFormat="false" ht="15" hidden="false" customHeight="false" outlineLevel="0" collapsed="false">
      <c r="A35" s="5" t="n">
        <v>28</v>
      </c>
      <c r="B35" s="25" t="n">
        <f aca="false">IF(T34&gt;0,B34,D34)</f>
        <v>-0.0182284004986286</v>
      </c>
      <c r="C35" s="25" t="n">
        <f aca="false">IF(T34&gt;0,D34,C34)</f>
        <v>-0.0182283893227577</v>
      </c>
      <c r="D35" s="41" t="n">
        <f aca="false">(B35+C35)/2</f>
        <v>-0.0182283949106932</v>
      </c>
      <c r="E35" s="15" t="n">
        <f aca="false">$C$2*(1+IF(E$3&lt;=$O$2,$D35,$D35-($D35-$I$6)*MIN(E$3-$O$2,$Q$2)/$Q$2))</f>
        <v>2690.0541979447</v>
      </c>
      <c r="F35" s="15" t="n">
        <f aca="false">E35*(1+IF(F$3&lt;=$O$2,$D35,$D35-($D35-$I$6)*MIN(F$3-$O$2,$Q$2)/$Q$2))</f>
        <v>2641.0188276934</v>
      </c>
      <c r="G35" s="15" t="n">
        <f aca="false">F35*(1+IF(G$3&lt;=$O$2,$D35,$D35-($D35-$I$6)*MIN(G$3-$O$2,$Q$2)/$Q$2))</f>
        <v>2592.87729353563</v>
      </c>
      <c r="H35" s="15" t="n">
        <f aca="false">G35*(1+IF(H$3&lt;=$O$2,$D35,$D35-($D35-$I$6)*MIN(H$3-$O$2,$Q$2)/$Q$2))</f>
        <v>2545.61330227409</v>
      </c>
      <c r="I35" s="15" t="n">
        <f aca="false">H35*(1+IF(I$3&lt;=$O$2,$D35,$D35-($D35-$I$6)*MIN(I$3-$O$2,$Q$2)/$Q$2))</f>
        <v>2499.21085771032</v>
      </c>
      <c r="J35" s="15" t="n">
        <f aca="false">I35*(1+IF(J$3&lt;=$O$2,$D35,$D35-($D35-$I$6)*MIN(J$3-$O$2,$Q$2)/$Q$2))</f>
        <v>2476.91110918141</v>
      </c>
      <c r="K35" s="15" t="n">
        <f aca="false">J35*(1+IF(K$3&lt;=$O$2,$D35,$D35-($D35-$I$6)*MIN(K$3-$O$2,$Q$2)/$Q$2))</f>
        <v>2477.85967462324</v>
      </c>
      <c r="L35" s="15" t="n">
        <f aca="false">K35*(1+IF(L$3&lt;=$O$2,$D35,$D35-($D35-$I$6)*MIN(L$3-$O$2,$Q$2)/$Q$2))</f>
        <v>2501.86677002542</v>
      </c>
      <c r="M35" s="15" t="n">
        <f aca="false">L35*(1+IF(M$3&lt;=$O$2,$D35,$D35-($D35-$I$6)*MIN(M$3-$O$2,$Q$2)/$Q$2))</f>
        <v>2549.3880305992</v>
      </c>
      <c r="N35" s="15" t="n">
        <f aca="false">M35*(1+IF(N$3&lt;=$O$2,$D35,$D35-($D35-$I$6)*MIN(N$3-$O$2,$Q$2)/$Q$2))</f>
        <v>2621.53571186516</v>
      </c>
      <c r="O35" s="15" t="n">
        <f aca="false">SUMPRODUCT(E35:N35,1/(1+$F$6)^$E$3:$N$3)*$E$2</f>
        <v>11905.7899609258</v>
      </c>
      <c r="P35" s="15" t="n">
        <f aca="false">N35*$E$2*(1+$I$6)/($F$6-$I$6)/(1+$F$6)^$N$3</f>
        <v>17844.2093439605</v>
      </c>
      <c r="Q35" s="15" t="n">
        <f aca="false">O35+P35</f>
        <v>29749.9993048863</v>
      </c>
      <c r="R35" s="15" t="n">
        <f aca="false">Q35-$G$2+$I$2</f>
        <v>30519.9993048863</v>
      </c>
      <c r="S35" s="42" t="n">
        <f aca="false">R35/$K$2</f>
        <v>292.253177294707</v>
      </c>
      <c r="T35" s="43" t="n">
        <f aca="false">S35-$M$2</f>
        <v>-6.65626470208736E-006</v>
      </c>
    </row>
    <row r="36" customFormat="false" ht="15" hidden="false" customHeight="false" outlineLevel="0" collapsed="false">
      <c r="A36" s="5" t="n">
        <v>29</v>
      </c>
      <c r="B36" s="25" t="n">
        <f aca="false">IF(T35&gt;0,B35,D35)</f>
        <v>-0.0182283949106932</v>
      </c>
      <c r="C36" s="25" t="n">
        <f aca="false">IF(T35&gt;0,D35,C35)</f>
        <v>-0.0182283893227577</v>
      </c>
      <c r="D36" s="41" t="n">
        <f aca="false">(B36+C36)/2</f>
        <v>-0.0182283921167254</v>
      </c>
      <c r="E36" s="15" t="n">
        <f aca="false">$C$2*(1+IF(E$3&lt;=$O$2,$D36,$D36-($D36-$I$6)*MIN(E$3-$O$2,$Q$2)/$Q$2))</f>
        <v>2690.05420560017</v>
      </c>
      <c r="F36" s="15" t="n">
        <f aca="false">E36*(1+IF(F$3&lt;=$O$2,$D36,$D36-($D36-$I$6)*MIN(F$3-$O$2,$Q$2)/$Q$2))</f>
        <v>2641.01884272525</v>
      </c>
      <c r="G36" s="15" t="n">
        <f aca="false">F36*(1+IF(G$3&lt;=$O$2,$D36,$D36-($D36-$I$6)*MIN(G$3-$O$2,$Q$2)/$Q$2))</f>
        <v>2592.87731567239</v>
      </c>
      <c r="H36" s="15" t="n">
        <f aca="false">G36*(1+IF(H$3&lt;=$O$2,$D36,$D36-($D36-$I$6)*MIN(H$3-$O$2,$Q$2)/$Q$2))</f>
        <v>2545.61333125175</v>
      </c>
      <c r="I36" s="15" t="n">
        <f aca="false">H36*(1+IF(I$3&lt;=$O$2,$D36,$D36-($D36-$I$6)*MIN(I$3-$O$2,$Q$2)/$Q$2))</f>
        <v>2499.21089327213</v>
      </c>
      <c r="J36" s="15" t="n">
        <f aca="false">I36*(1+IF(J$3&lt;=$O$2,$D36,$D36-($D36-$I$6)*MIN(J$3-$O$2,$Q$2)/$Q$2))</f>
        <v>2476.91115001209</v>
      </c>
      <c r="K36" s="15" t="n">
        <f aca="false">J36*(1+IF(K$3&lt;=$O$2,$D36,$D36-($D36-$I$6)*MIN(K$3-$O$2,$Q$2)/$Q$2))</f>
        <v>2477.8597196218</v>
      </c>
      <c r="L36" s="15" t="n">
        <f aca="false">K36*(1+IF(L$3&lt;=$O$2,$D36,$D36-($D36-$I$6)*MIN(L$3-$O$2,$Q$2)/$Q$2))</f>
        <v>2501.86681822917</v>
      </c>
      <c r="M36" s="15" t="n">
        <f aca="false">L36*(1+IF(M$3&lt;=$O$2,$D36,$D36-($D36-$I$6)*MIN(M$3-$O$2,$Q$2)/$Q$2))</f>
        <v>2549.38808111658</v>
      </c>
      <c r="N36" s="15" t="n">
        <f aca="false">M36*(1+IF(N$3&lt;=$O$2,$D36,$D36-($D36-$I$6)*MIN(N$3-$O$2,$Q$2)/$Q$2))</f>
        <v>2621.53576381218</v>
      </c>
      <c r="O36" s="15" t="n">
        <f aca="false">SUMPRODUCT(E36:N36,1/(1+$F$6)^$E$3:$N$3)*$E$2</f>
        <v>11905.7901068002</v>
      </c>
      <c r="P36" s="15" t="n">
        <f aca="false">N36*$E$2*(1+$I$6)/($F$6-$I$6)/(1+$F$6)^$N$3</f>
        <v>17844.2096975523</v>
      </c>
      <c r="Q36" s="15" t="n">
        <f aca="false">O36+P36</f>
        <v>29749.9998043525</v>
      </c>
      <c r="R36" s="15" t="n">
        <f aca="false">Q36-$G$2+$I$2</f>
        <v>30519.9998043525</v>
      </c>
      <c r="S36" s="42" t="n">
        <f aca="false">R36/$K$2</f>
        <v>292.253182077492</v>
      </c>
      <c r="T36" s="43" t="n">
        <f aca="false">S36-$M$2</f>
        <v>-1.87347984592634E-006</v>
      </c>
    </row>
    <row r="37" customFormat="false" ht="15" hidden="false" customHeight="false" outlineLevel="0" collapsed="false">
      <c r="A37" s="5" t="n">
        <v>30</v>
      </c>
      <c r="B37" s="25" t="n">
        <f aca="false">IF(T36&gt;0,B36,D36)</f>
        <v>-0.0182283921167254</v>
      </c>
      <c r="C37" s="25" t="n">
        <f aca="false">IF(T36&gt;0,D36,C36)</f>
        <v>-0.0182283893227577</v>
      </c>
      <c r="D37" s="41" t="n">
        <f aca="false">(B37+C37)/2</f>
        <v>-0.0182283907197416</v>
      </c>
      <c r="E37" s="15" t="n">
        <f aca="false">$C$2*(1+IF(E$3&lt;=$O$2,$D37,$D37-($D37-$I$6)*MIN(E$3-$O$2,$Q$2)/$Q$2))</f>
        <v>2690.05420942791</v>
      </c>
      <c r="F37" s="15" t="n">
        <f aca="false">E37*(1+IF(F$3&lt;=$O$2,$D37,$D37-($D37-$I$6)*MIN(F$3-$O$2,$Q$2)/$Q$2))</f>
        <v>2641.01885024117</v>
      </c>
      <c r="G37" s="15" t="n">
        <f aca="false">F37*(1+IF(G$3&lt;=$O$2,$D37,$D37-($D37-$I$6)*MIN(G$3-$O$2,$Q$2)/$Q$2))</f>
        <v>2592.87732674077</v>
      </c>
      <c r="H37" s="15" t="n">
        <f aca="false">G37*(1+IF(H$3&lt;=$O$2,$D37,$D37-($D37-$I$6)*MIN(H$3-$O$2,$Q$2)/$Q$2))</f>
        <v>2545.61334574058</v>
      </c>
      <c r="I37" s="15" t="n">
        <f aca="false">H37*(1+IF(I$3&lt;=$O$2,$D37,$D37-($D37-$I$6)*MIN(I$3-$O$2,$Q$2)/$Q$2))</f>
        <v>2499.21091105303</v>
      </c>
      <c r="J37" s="15" t="n">
        <f aca="false">I37*(1+IF(J$3&lt;=$O$2,$D37,$D37-($D37-$I$6)*MIN(J$3-$O$2,$Q$2)/$Q$2))</f>
        <v>2476.91117042742</v>
      </c>
      <c r="K37" s="15" t="n">
        <f aca="false">J37*(1+IF(K$3&lt;=$O$2,$D37,$D37-($D37-$I$6)*MIN(K$3-$O$2,$Q$2)/$Q$2))</f>
        <v>2477.85974212107</v>
      </c>
      <c r="L37" s="15" t="n">
        <f aca="false">K37*(1+IF(L$3&lt;=$O$2,$D37,$D37-($D37-$I$6)*MIN(L$3-$O$2,$Q$2)/$Q$2))</f>
        <v>2501.86684233105</v>
      </c>
      <c r="M37" s="15" t="n">
        <f aca="false">L37*(1+IF(M$3&lt;=$O$2,$D37,$D37-($D37-$I$6)*MIN(M$3-$O$2,$Q$2)/$Q$2))</f>
        <v>2549.38810637527</v>
      </c>
      <c r="N37" s="15" t="n">
        <f aca="false">M37*(1+IF(N$3&lt;=$O$2,$D37,$D37-($D37-$I$6)*MIN(N$3-$O$2,$Q$2)/$Q$2))</f>
        <v>2621.53578978569</v>
      </c>
      <c r="O37" s="15" t="n">
        <f aca="false">SUMPRODUCT(E37:N37,1/(1+$F$6)^$E$3:$N$3)*$E$2</f>
        <v>11905.7901797375</v>
      </c>
      <c r="P37" s="15" t="n">
        <f aca="false">N37*$E$2*(1+$I$6)/($F$6-$I$6)/(1+$F$6)^$N$3</f>
        <v>17844.2098743482</v>
      </c>
      <c r="Q37" s="15" t="n">
        <f aca="false">O37+P37</f>
        <v>29750.0000540856</v>
      </c>
      <c r="R37" s="15" t="n">
        <f aca="false">Q37-$G$2+$I$2</f>
        <v>30520.0000540856</v>
      </c>
      <c r="S37" s="42" t="n">
        <f aca="false">R37/$K$2</f>
        <v>292.253184468885</v>
      </c>
      <c r="T37" s="43" t="n">
        <f aca="false">S37-$M$2</f>
        <v>5.17912781106134E-007</v>
      </c>
    </row>
    <row r="38" customFormat="false" ht="15" hidden="false" customHeight="false" outlineLevel="0" collapsed="false">
      <c r="A38" s="5" t="n">
        <v>31</v>
      </c>
      <c r="B38" s="25" t="n">
        <f aca="false">IF(T37&gt;0,B37,D37)</f>
        <v>-0.0182283921167254</v>
      </c>
      <c r="C38" s="25" t="n">
        <f aca="false">IF(T37&gt;0,D37,C37)</f>
        <v>-0.0182283907197416</v>
      </c>
      <c r="D38" s="41" t="n">
        <f aca="false">(B38+C38)/2</f>
        <v>-0.0182283914182335</v>
      </c>
      <c r="E38" s="15" t="n">
        <f aca="false">$C$2*(1+IF(E$3&lt;=$O$2,$D38,$D38-($D38-$I$6)*MIN(E$3-$O$2,$Q$2)/$Q$2))</f>
        <v>2690.05420751404</v>
      </c>
      <c r="F38" s="15" t="n">
        <f aca="false">E38*(1+IF(F$3&lt;=$O$2,$D38,$D38-($D38-$I$6)*MIN(F$3-$O$2,$Q$2)/$Q$2))</f>
        <v>2641.01884648321</v>
      </c>
      <c r="G38" s="15" t="n">
        <f aca="false">F38*(1+IF(G$3&lt;=$O$2,$D38,$D38-($D38-$I$6)*MIN(G$3-$O$2,$Q$2)/$Q$2))</f>
        <v>2592.87732120658</v>
      </c>
      <c r="H38" s="15" t="n">
        <f aca="false">G38*(1+IF(H$3&lt;=$O$2,$D38,$D38-($D38-$I$6)*MIN(H$3-$O$2,$Q$2)/$Q$2))</f>
        <v>2545.61333849617</v>
      </c>
      <c r="I38" s="15" t="n">
        <f aca="false">H38*(1+IF(I$3&lt;=$O$2,$D38,$D38-($D38-$I$6)*MIN(I$3-$O$2,$Q$2)/$Q$2))</f>
        <v>2499.21090216258</v>
      </c>
      <c r="J38" s="15" t="n">
        <f aca="false">I38*(1+IF(J$3&lt;=$O$2,$D38,$D38-($D38-$I$6)*MIN(J$3-$O$2,$Q$2)/$Q$2))</f>
        <v>2476.91116021975</v>
      </c>
      <c r="K38" s="15" t="n">
        <f aca="false">J38*(1+IF(K$3&lt;=$O$2,$D38,$D38-($D38-$I$6)*MIN(K$3-$O$2,$Q$2)/$Q$2))</f>
        <v>2477.85973087144</v>
      </c>
      <c r="L38" s="15" t="n">
        <f aca="false">K38*(1+IF(L$3&lt;=$O$2,$D38,$D38-($D38-$I$6)*MIN(L$3-$O$2,$Q$2)/$Q$2))</f>
        <v>2501.86683028011</v>
      </c>
      <c r="M38" s="15" t="n">
        <f aca="false">L38*(1+IF(M$3&lt;=$O$2,$D38,$D38-($D38-$I$6)*MIN(M$3-$O$2,$Q$2)/$Q$2))</f>
        <v>2549.38809374592</v>
      </c>
      <c r="N38" s="15" t="n">
        <f aca="false">M38*(1+IF(N$3&lt;=$O$2,$D38,$D38-($D38-$I$6)*MIN(N$3-$O$2,$Q$2)/$Q$2))</f>
        <v>2621.53577679893</v>
      </c>
      <c r="O38" s="15" t="n">
        <f aca="false">SUMPRODUCT(E38:N38,1/(1+$F$6)^$E$3:$N$3)*$E$2</f>
        <v>11905.7901432689</v>
      </c>
      <c r="P38" s="15" t="n">
        <f aca="false">N38*$E$2*(1+$I$6)/($F$6-$I$6)/(1+$F$6)^$N$3</f>
        <v>17844.2097859502</v>
      </c>
      <c r="Q38" s="15" t="n">
        <f aca="false">O38+P38</f>
        <v>29749.9999292191</v>
      </c>
      <c r="R38" s="15" t="n">
        <f aca="false">Q38-$G$2+$I$2</f>
        <v>30519.9999292191</v>
      </c>
      <c r="S38" s="42" t="n">
        <f aca="false">R38/$K$2</f>
        <v>292.253183273189</v>
      </c>
      <c r="T38" s="43" t="n">
        <f aca="false">S38-$M$2</f>
        <v>-6.77783532410103E-007</v>
      </c>
    </row>
    <row r="39" customFormat="false" ht="15" hidden="false" customHeight="false" outlineLevel="0" collapsed="false">
      <c r="A39" s="5" t="n">
        <v>32</v>
      </c>
      <c r="B39" s="25" t="n">
        <f aca="false">IF(T38&gt;0,B38,D38)</f>
        <v>-0.0182283914182335</v>
      </c>
      <c r="C39" s="25" t="n">
        <f aca="false">IF(T38&gt;0,D38,C38)</f>
        <v>-0.0182283907197416</v>
      </c>
      <c r="D39" s="41" t="n">
        <f aca="false">(B39+C39)/2</f>
        <v>-0.0182283910689876</v>
      </c>
      <c r="E39" s="15" t="n">
        <f aca="false">$C$2*(1+IF(E$3&lt;=$O$2,$D39,$D39-($D39-$I$6)*MIN(E$3-$O$2,$Q$2)/$Q$2))</f>
        <v>2690.05420847097</v>
      </c>
      <c r="F39" s="15" t="n">
        <f aca="false">E39*(1+IF(F$3&lt;=$O$2,$D39,$D39-($D39-$I$6)*MIN(F$3-$O$2,$Q$2)/$Q$2))</f>
        <v>2641.01884836219</v>
      </c>
      <c r="G39" s="15" t="n">
        <f aca="false">F39*(1+IF(G$3&lt;=$O$2,$D39,$D39-($D39-$I$6)*MIN(G$3-$O$2,$Q$2)/$Q$2))</f>
        <v>2592.87732397368</v>
      </c>
      <c r="H39" s="15" t="n">
        <f aca="false">G39*(1+IF(H$3&lt;=$O$2,$D39,$D39-($D39-$I$6)*MIN(H$3-$O$2,$Q$2)/$Q$2))</f>
        <v>2545.61334211837</v>
      </c>
      <c r="I39" s="15" t="n">
        <f aca="false">H39*(1+IF(I$3&lt;=$O$2,$D39,$D39-($D39-$I$6)*MIN(I$3-$O$2,$Q$2)/$Q$2))</f>
        <v>2499.21090660781</v>
      </c>
      <c r="J39" s="15" t="n">
        <f aca="false">I39*(1+IF(J$3&lt;=$O$2,$D39,$D39-($D39-$I$6)*MIN(J$3-$O$2,$Q$2)/$Q$2))</f>
        <v>2476.91116532359</v>
      </c>
      <c r="K39" s="15" t="n">
        <f aca="false">J39*(1+IF(K$3&lt;=$O$2,$D39,$D39-($D39-$I$6)*MIN(K$3-$O$2,$Q$2)/$Q$2))</f>
        <v>2477.85973649625</v>
      </c>
      <c r="L39" s="15" t="n">
        <f aca="false">K39*(1+IF(L$3&lt;=$O$2,$D39,$D39-($D39-$I$6)*MIN(L$3-$O$2,$Q$2)/$Q$2))</f>
        <v>2501.86683630558</v>
      </c>
      <c r="M39" s="15" t="n">
        <f aca="false">L39*(1+IF(M$3&lt;=$O$2,$D39,$D39-($D39-$I$6)*MIN(M$3-$O$2,$Q$2)/$Q$2))</f>
        <v>2549.3881000606</v>
      </c>
      <c r="N39" s="15" t="n">
        <f aca="false">M39*(1+IF(N$3&lt;=$O$2,$D39,$D39-($D39-$I$6)*MIN(N$3-$O$2,$Q$2)/$Q$2))</f>
        <v>2621.53578329231</v>
      </c>
      <c r="O39" s="15" t="n">
        <f aca="false">SUMPRODUCT(E39:N39,1/(1+$F$6)^$E$3:$N$3)*$E$2</f>
        <v>11905.7901615032</v>
      </c>
      <c r="P39" s="15" t="n">
        <f aca="false">N39*$E$2*(1+$I$6)/($F$6-$I$6)/(1+$F$6)^$N$3</f>
        <v>17844.2098301492</v>
      </c>
      <c r="Q39" s="15" t="n">
        <f aca="false">O39+P39</f>
        <v>29749.9999916524</v>
      </c>
      <c r="R39" s="15" t="n">
        <f aca="false">Q39-$G$2+$I$2</f>
        <v>30519.9999916524</v>
      </c>
      <c r="S39" s="42" t="n">
        <f aca="false">R39/$K$2</f>
        <v>292.253183871037</v>
      </c>
      <c r="T39" s="43" t="n">
        <f aca="false">S39-$M$2</f>
        <v>-7.99354324954038E-008</v>
      </c>
    </row>
    <row r="40" customFormat="false" ht="15" hidden="false" customHeight="false" outlineLevel="0" collapsed="false">
      <c r="A40" s="5" t="n">
        <v>33</v>
      </c>
      <c r="B40" s="25" t="n">
        <f aca="false">IF(T39&gt;0,B39,D39)</f>
        <v>-0.0182283910689876</v>
      </c>
      <c r="C40" s="25" t="n">
        <f aca="false">IF(T39&gt;0,D39,C39)</f>
        <v>-0.0182283907197416</v>
      </c>
      <c r="D40" s="41" t="n">
        <f aca="false">(B40+C40)/2</f>
        <v>-0.0182283908943646</v>
      </c>
      <c r="E40" s="15" t="n">
        <f aca="false">$C$2*(1+IF(E$3&lt;=$O$2,$D40,$D40-($D40-$I$6)*MIN(E$3-$O$2,$Q$2)/$Q$2))</f>
        <v>2690.05420894944</v>
      </c>
      <c r="F40" s="15" t="n">
        <f aca="false">E40*(1+IF(F$3&lt;=$O$2,$D40,$D40-($D40-$I$6)*MIN(F$3-$O$2,$Q$2)/$Q$2))</f>
        <v>2641.01884930168</v>
      </c>
      <c r="G40" s="15" t="n">
        <f aca="false">F40*(1+IF(G$3&lt;=$O$2,$D40,$D40-($D40-$I$6)*MIN(G$3-$O$2,$Q$2)/$Q$2))</f>
        <v>2592.87732535722</v>
      </c>
      <c r="H40" s="15" t="n">
        <f aca="false">G40*(1+IF(H$3&lt;=$O$2,$D40,$D40-($D40-$I$6)*MIN(H$3-$O$2,$Q$2)/$Q$2))</f>
        <v>2545.61334392948</v>
      </c>
      <c r="I40" s="15" t="n">
        <f aca="false">H40*(1+IF(I$3&lt;=$O$2,$D40,$D40-($D40-$I$6)*MIN(I$3-$O$2,$Q$2)/$Q$2))</f>
        <v>2499.21090883042</v>
      </c>
      <c r="J40" s="15" t="n">
        <f aca="false">I40*(1+IF(J$3&lt;=$O$2,$D40,$D40-($D40-$I$6)*MIN(J$3-$O$2,$Q$2)/$Q$2))</f>
        <v>2476.9111678755</v>
      </c>
      <c r="K40" s="15" t="n">
        <f aca="false">J40*(1+IF(K$3&lt;=$O$2,$D40,$D40-($D40-$I$6)*MIN(K$3-$O$2,$Q$2)/$Q$2))</f>
        <v>2477.85973930866</v>
      </c>
      <c r="L40" s="15" t="n">
        <f aca="false">K40*(1+IF(L$3&lt;=$O$2,$D40,$D40-($D40-$I$6)*MIN(L$3-$O$2,$Q$2)/$Q$2))</f>
        <v>2501.86683931831</v>
      </c>
      <c r="M40" s="15" t="n">
        <f aca="false">L40*(1+IF(M$3&lt;=$O$2,$D40,$D40-($D40-$I$6)*MIN(M$3-$O$2,$Q$2)/$Q$2))</f>
        <v>2549.38810321793</v>
      </c>
      <c r="N40" s="15" t="n">
        <f aca="false">M40*(1+IF(N$3&lt;=$O$2,$D40,$D40-($D40-$I$6)*MIN(N$3-$O$2,$Q$2)/$Q$2))</f>
        <v>2621.535786539</v>
      </c>
      <c r="O40" s="15" t="n">
        <f aca="false">SUMPRODUCT(E40:N40,1/(1+$F$6)^$E$3:$N$3)*$E$2</f>
        <v>11905.7901706203</v>
      </c>
      <c r="P40" s="15" t="n">
        <f aca="false">N40*$E$2*(1+$I$6)/($F$6-$I$6)/(1+$F$6)^$N$3</f>
        <v>17844.2098522487</v>
      </c>
      <c r="Q40" s="15" t="n">
        <f aca="false">O40+P40</f>
        <v>29750.000022869</v>
      </c>
      <c r="R40" s="15" t="n">
        <f aca="false">Q40-$G$2+$I$2</f>
        <v>30520.000022869</v>
      </c>
      <c r="S40" s="42" t="n">
        <f aca="false">R40/$K$2</f>
        <v>292.253184169961</v>
      </c>
      <c r="T40" s="43" t="n">
        <f aca="false">S40-$M$2</f>
        <v>2.18988645883655E-007</v>
      </c>
    </row>
    <row r="41" customFormat="false" ht="15" hidden="false" customHeight="false" outlineLevel="0" collapsed="false">
      <c r="A41" s="5" t="n">
        <v>34</v>
      </c>
      <c r="B41" s="25" t="n">
        <f aca="false">IF(T40&gt;0,B40,D40)</f>
        <v>-0.0182283910689876</v>
      </c>
      <c r="C41" s="25" t="n">
        <f aca="false">IF(T40&gt;0,D40,C40)</f>
        <v>-0.0182283908943646</v>
      </c>
      <c r="D41" s="41" t="n">
        <f aca="false">(B41+C41)/2</f>
        <v>-0.0182283909816761</v>
      </c>
      <c r="E41" s="15" t="n">
        <f aca="false">$C$2*(1+IF(E$3&lt;=$O$2,$D41,$D41-($D41-$I$6)*MIN(E$3-$O$2,$Q$2)/$Q$2))</f>
        <v>2690.05420871021</v>
      </c>
      <c r="F41" s="15" t="n">
        <f aca="false">E41*(1+IF(F$3&lt;=$O$2,$D41,$D41-($D41-$I$6)*MIN(F$3-$O$2,$Q$2)/$Q$2))</f>
        <v>2641.01884883193</v>
      </c>
      <c r="G41" s="15" t="n">
        <f aca="false">F41*(1+IF(G$3&lt;=$O$2,$D41,$D41-($D41-$I$6)*MIN(G$3-$O$2,$Q$2)/$Q$2))</f>
        <v>2592.87732466545</v>
      </c>
      <c r="H41" s="15" t="n">
        <f aca="false">G41*(1+IF(H$3&lt;=$O$2,$D41,$D41-($D41-$I$6)*MIN(H$3-$O$2,$Q$2)/$Q$2))</f>
        <v>2545.61334302393</v>
      </c>
      <c r="I41" s="15" t="n">
        <f aca="false">H41*(1+IF(I$3&lt;=$O$2,$D41,$D41-($D41-$I$6)*MIN(I$3-$O$2,$Q$2)/$Q$2))</f>
        <v>2499.21090771911</v>
      </c>
      <c r="J41" s="15" t="n">
        <f aca="false">I41*(1+IF(J$3&lt;=$O$2,$D41,$D41-($D41-$I$6)*MIN(J$3-$O$2,$Q$2)/$Q$2))</f>
        <v>2476.91116659955</v>
      </c>
      <c r="K41" s="15" t="n">
        <f aca="false">J41*(1+IF(K$3&lt;=$O$2,$D41,$D41-($D41-$I$6)*MIN(K$3-$O$2,$Q$2)/$Q$2))</f>
        <v>2477.85973790246</v>
      </c>
      <c r="L41" s="15" t="n">
        <f aca="false">K41*(1+IF(L$3&lt;=$O$2,$D41,$D41-($D41-$I$6)*MIN(L$3-$O$2,$Q$2)/$Q$2))</f>
        <v>2501.86683781195</v>
      </c>
      <c r="M41" s="15" t="n">
        <f aca="false">L41*(1+IF(M$3&lt;=$O$2,$D41,$D41-($D41-$I$6)*MIN(M$3-$O$2,$Q$2)/$Q$2))</f>
        <v>2549.38810163926</v>
      </c>
      <c r="N41" s="15" t="n">
        <f aca="false">M41*(1+IF(N$3&lt;=$O$2,$D41,$D41-($D41-$I$6)*MIN(N$3-$O$2,$Q$2)/$Q$2))</f>
        <v>2621.53578491566</v>
      </c>
      <c r="O41" s="15" t="n">
        <f aca="false">SUMPRODUCT(E41:N41,1/(1+$F$6)^$E$3:$N$3)*$E$2</f>
        <v>11905.7901660617</v>
      </c>
      <c r="P41" s="15" t="n">
        <f aca="false">N41*$E$2*(1+$I$6)/($F$6-$I$6)/(1+$F$6)^$N$3</f>
        <v>17844.2098411989</v>
      </c>
      <c r="Q41" s="15" t="n">
        <f aca="false">O41+P41</f>
        <v>29750.0000072607</v>
      </c>
      <c r="R41" s="15" t="n">
        <f aca="false">Q41-$G$2+$I$2</f>
        <v>30520.0000072607</v>
      </c>
      <c r="S41" s="42" t="n">
        <f aca="false">R41/$K$2</f>
        <v>292.253184020499</v>
      </c>
      <c r="T41" s="43" t="n">
        <f aca="false">S41-$M$2</f>
        <v>6.95266066941258E-008</v>
      </c>
    </row>
    <row r="42" customFormat="false" ht="15" hidden="false" customHeight="false" outlineLevel="0" collapsed="false">
      <c r="A42" s="5" t="n">
        <v>35</v>
      </c>
      <c r="B42" s="25" t="n">
        <f aca="false">IF(T41&gt;0,B41,D41)</f>
        <v>-0.0182283910689876</v>
      </c>
      <c r="C42" s="25" t="n">
        <f aca="false">IF(T41&gt;0,D41,C41)</f>
        <v>-0.0182283909816761</v>
      </c>
      <c r="D42" s="41" t="n">
        <f aca="false">(B42+C42)/2</f>
        <v>-0.0182283910253318</v>
      </c>
      <c r="E42" s="15" t="n">
        <f aca="false">$C$2*(1+IF(E$3&lt;=$O$2,$D42,$D42-($D42-$I$6)*MIN(E$3-$O$2,$Q$2)/$Q$2))</f>
        <v>2690.05420859059</v>
      </c>
      <c r="F42" s="15" t="n">
        <f aca="false">E42*(1+IF(F$3&lt;=$O$2,$D42,$D42-($D42-$I$6)*MIN(F$3-$O$2,$Q$2)/$Q$2))</f>
        <v>2641.01884859706</v>
      </c>
      <c r="G42" s="15" t="n">
        <f aca="false">F42*(1+IF(G$3&lt;=$O$2,$D42,$D42-($D42-$I$6)*MIN(G$3-$O$2,$Q$2)/$Q$2))</f>
        <v>2592.87732431956</v>
      </c>
      <c r="H42" s="15" t="n">
        <f aca="false">G42*(1+IF(H$3&lt;=$O$2,$D42,$D42-($D42-$I$6)*MIN(H$3-$O$2,$Q$2)/$Q$2))</f>
        <v>2545.61334257115</v>
      </c>
      <c r="I42" s="15" t="n">
        <f aca="false">H42*(1+IF(I$3&lt;=$O$2,$D42,$D42-($D42-$I$6)*MIN(I$3-$O$2,$Q$2)/$Q$2))</f>
        <v>2499.21090716346</v>
      </c>
      <c r="J42" s="15" t="n">
        <f aca="false">I42*(1+IF(J$3&lt;=$O$2,$D42,$D42-($D42-$I$6)*MIN(J$3-$O$2,$Q$2)/$Q$2))</f>
        <v>2476.91116596157</v>
      </c>
      <c r="K42" s="15" t="n">
        <f aca="false">J42*(1+IF(K$3&lt;=$O$2,$D42,$D42-($D42-$I$6)*MIN(K$3-$O$2,$Q$2)/$Q$2))</f>
        <v>2477.85973719936</v>
      </c>
      <c r="L42" s="15" t="n">
        <f aca="false">K42*(1+IF(L$3&lt;=$O$2,$D42,$D42-($D42-$I$6)*MIN(L$3-$O$2,$Q$2)/$Q$2))</f>
        <v>2501.86683705876</v>
      </c>
      <c r="M42" s="15" t="n">
        <f aca="false">L42*(1+IF(M$3&lt;=$O$2,$D42,$D42-($D42-$I$6)*MIN(M$3-$O$2,$Q$2)/$Q$2))</f>
        <v>2549.38810084993</v>
      </c>
      <c r="N42" s="15" t="n">
        <f aca="false">M42*(1+IF(N$3&lt;=$O$2,$D42,$D42-($D42-$I$6)*MIN(N$3-$O$2,$Q$2)/$Q$2))</f>
        <v>2621.53578410398</v>
      </c>
      <c r="O42" s="15" t="n">
        <f aca="false">SUMPRODUCT(E42:N42,1/(1+$F$6)^$E$3:$N$3)*$E$2</f>
        <v>11905.7901637824</v>
      </c>
      <c r="P42" s="15" t="n">
        <f aca="false">N42*$E$2*(1+$I$6)/($F$6-$I$6)/(1+$F$6)^$N$3</f>
        <v>17844.2098356741</v>
      </c>
      <c r="Q42" s="15" t="n">
        <f aca="false">O42+P42</f>
        <v>29749.9999994565</v>
      </c>
      <c r="R42" s="15" t="n">
        <f aca="false">Q42-$G$2+$I$2</f>
        <v>30519.9999994565</v>
      </c>
      <c r="S42" s="42" t="n">
        <f aca="false">R42/$K$2</f>
        <v>292.253183945768</v>
      </c>
      <c r="T42" s="43" t="n">
        <f aca="false">S42-$M$2</f>
        <v>-5.204412900639E-009</v>
      </c>
    </row>
    <row r="43" customFormat="false" ht="15" hidden="false" customHeight="false" outlineLevel="0" collapsed="false">
      <c r="A43" s="5" t="n">
        <v>36</v>
      </c>
      <c r="B43" s="25" t="n">
        <f aca="false">IF(T42&gt;0,B42,D42)</f>
        <v>-0.0182283910253318</v>
      </c>
      <c r="C43" s="25" t="n">
        <f aca="false">IF(T42&gt;0,D42,C42)</f>
        <v>-0.0182283909816761</v>
      </c>
      <c r="D43" s="41" t="n">
        <f aca="false">(B43+C43)/2</f>
        <v>-0.0182283910035039</v>
      </c>
      <c r="E43" s="15" t="n">
        <f aca="false">$C$2*(1+IF(E$3&lt;=$O$2,$D43,$D43-($D43-$I$6)*MIN(E$3-$O$2,$Q$2)/$Q$2))</f>
        <v>2690.0542086504</v>
      </c>
      <c r="F43" s="15" t="n">
        <f aca="false">E43*(1+IF(F$3&lt;=$O$2,$D43,$D43-($D43-$I$6)*MIN(F$3-$O$2,$Q$2)/$Q$2))</f>
        <v>2641.0188487145</v>
      </c>
      <c r="G43" s="15" t="n">
        <f aca="false">F43*(1+IF(G$3&lt;=$O$2,$D43,$D43-($D43-$I$6)*MIN(G$3-$O$2,$Q$2)/$Q$2))</f>
        <v>2592.87732449251</v>
      </c>
      <c r="H43" s="15" t="n">
        <f aca="false">G43*(1+IF(H$3&lt;=$O$2,$D43,$D43-($D43-$I$6)*MIN(H$3-$O$2,$Q$2)/$Q$2))</f>
        <v>2545.61334279754</v>
      </c>
      <c r="I43" s="15" t="n">
        <f aca="false">H43*(1+IF(I$3&lt;=$O$2,$D43,$D43-($D43-$I$6)*MIN(I$3-$O$2,$Q$2)/$Q$2))</f>
        <v>2499.21090744129</v>
      </c>
      <c r="J43" s="15" t="n">
        <f aca="false">I43*(1+IF(J$3&lt;=$O$2,$D43,$D43-($D43-$I$6)*MIN(J$3-$O$2,$Q$2)/$Q$2))</f>
        <v>2476.91116628056</v>
      </c>
      <c r="K43" s="15" t="n">
        <f aca="false">J43*(1+IF(K$3&lt;=$O$2,$D43,$D43-($D43-$I$6)*MIN(K$3-$O$2,$Q$2)/$Q$2))</f>
        <v>2477.85973755091</v>
      </c>
      <c r="L43" s="15" t="n">
        <f aca="false">K43*(1+IF(L$3&lt;=$O$2,$D43,$D43-($D43-$I$6)*MIN(L$3-$O$2,$Q$2)/$Q$2))</f>
        <v>2501.86683743535</v>
      </c>
      <c r="M43" s="15" t="n">
        <f aca="false">L43*(1+IF(M$3&lt;=$O$2,$D43,$D43-($D43-$I$6)*MIN(M$3-$O$2,$Q$2)/$Q$2))</f>
        <v>2549.3881012446</v>
      </c>
      <c r="N43" s="15" t="n">
        <f aca="false">M43*(1+IF(N$3&lt;=$O$2,$D43,$D43-($D43-$I$6)*MIN(N$3-$O$2,$Q$2)/$Q$2))</f>
        <v>2621.53578450982</v>
      </c>
      <c r="O43" s="15" t="n">
        <f aca="false">SUMPRODUCT(E43:N43,1/(1+$F$6)^$E$3:$N$3)*$E$2</f>
        <v>11905.7901649221</v>
      </c>
      <c r="P43" s="15" t="n">
        <f aca="false">N43*$E$2*(1+$I$6)/($F$6-$I$6)/(1+$F$6)^$N$3</f>
        <v>17844.2098384365</v>
      </c>
      <c r="Q43" s="15" t="n">
        <f aca="false">O43+P43</f>
        <v>29750.0000033586</v>
      </c>
      <c r="R43" s="15" t="n">
        <f aca="false">Q43-$G$2+$I$2</f>
        <v>30520.0000033586</v>
      </c>
      <c r="S43" s="42" t="n">
        <f aca="false">R43/$K$2</f>
        <v>292.253183983133</v>
      </c>
      <c r="T43" s="43" t="n">
        <f aca="false">S43-$M$2</f>
        <v>3.21609832099057E-008</v>
      </c>
    </row>
    <row r="44" customFormat="false" ht="15" hidden="false" customHeight="false" outlineLevel="0" collapsed="false">
      <c r="A44" s="5" t="n">
        <v>37</v>
      </c>
      <c r="B44" s="25" t="n">
        <f aca="false">IF(T43&gt;0,B43,D43)</f>
        <v>-0.0182283910253318</v>
      </c>
      <c r="C44" s="25" t="n">
        <f aca="false">IF(T43&gt;0,D43,C43)</f>
        <v>-0.0182283910035039</v>
      </c>
      <c r="D44" s="41" t="n">
        <f aca="false">(B44+C44)/2</f>
        <v>-0.0182283910144179</v>
      </c>
      <c r="E44" s="15" t="n">
        <f aca="false">$C$2*(1+IF(E$3&lt;=$O$2,$D44,$D44-($D44-$I$6)*MIN(E$3-$O$2,$Q$2)/$Q$2))</f>
        <v>2690.0542086205</v>
      </c>
      <c r="F44" s="15" t="n">
        <f aca="false">E44*(1+IF(F$3&lt;=$O$2,$D44,$D44-($D44-$I$6)*MIN(F$3-$O$2,$Q$2)/$Q$2))</f>
        <v>2641.01884865578</v>
      </c>
      <c r="G44" s="15" t="n">
        <f aca="false">F44*(1+IF(G$3&lt;=$O$2,$D44,$D44-($D44-$I$6)*MIN(G$3-$O$2,$Q$2)/$Q$2))</f>
        <v>2592.87732440604</v>
      </c>
      <c r="H44" s="15" t="n">
        <f aca="false">G44*(1+IF(H$3&lt;=$O$2,$D44,$D44-($D44-$I$6)*MIN(H$3-$O$2,$Q$2)/$Q$2))</f>
        <v>2545.61334268434</v>
      </c>
      <c r="I44" s="15" t="n">
        <f aca="false">H44*(1+IF(I$3&lt;=$O$2,$D44,$D44-($D44-$I$6)*MIN(I$3-$O$2,$Q$2)/$Q$2))</f>
        <v>2499.21090730238</v>
      </c>
      <c r="J44" s="15" t="n">
        <f aca="false">I44*(1+IF(J$3&lt;=$O$2,$D44,$D44-($D44-$I$6)*MIN(J$3-$O$2,$Q$2)/$Q$2))</f>
        <v>2476.91116612106</v>
      </c>
      <c r="K44" s="15" t="n">
        <f aca="false">J44*(1+IF(K$3&lt;=$O$2,$D44,$D44-($D44-$I$6)*MIN(K$3-$O$2,$Q$2)/$Q$2))</f>
        <v>2477.85973737513</v>
      </c>
      <c r="L44" s="15" t="n">
        <f aca="false">K44*(1+IF(L$3&lt;=$O$2,$D44,$D44-($D44-$I$6)*MIN(L$3-$O$2,$Q$2)/$Q$2))</f>
        <v>2501.86683724706</v>
      </c>
      <c r="M44" s="15" t="n">
        <f aca="false">L44*(1+IF(M$3&lt;=$O$2,$D44,$D44-($D44-$I$6)*MIN(M$3-$O$2,$Q$2)/$Q$2))</f>
        <v>2549.38810104726</v>
      </c>
      <c r="N44" s="15" t="n">
        <f aca="false">M44*(1+IF(N$3&lt;=$O$2,$D44,$D44-($D44-$I$6)*MIN(N$3-$O$2,$Q$2)/$Q$2))</f>
        <v>2621.5357843069</v>
      </c>
      <c r="O44" s="15" t="n">
        <f aca="false">SUMPRODUCT(E44:N44,1/(1+$F$6)^$E$3:$N$3)*$E$2</f>
        <v>11905.7901643523</v>
      </c>
      <c r="P44" s="15" t="n">
        <f aca="false">N44*$E$2*(1+$I$6)/($F$6-$I$6)/(1+$F$6)^$N$3</f>
        <v>17844.2098370553</v>
      </c>
      <c r="Q44" s="15" t="n">
        <f aca="false">O44+P44</f>
        <v>29750.0000014076</v>
      </c>
      <c r="R44" s="15" t="n">
        <f aca="false">Q44-$G$2+$I$2</f>
        <v>30520.0000014076</v>
      </c>
      <c r="S44" s="42" t="n">
        <f aca="false">R44/$K$2</f>
        <v>292.25318396445</v>
      </c>
      <c r="T44" s="43" t="n">
        <f aca="false">S44-$M$2</f>
        <v>1.34784272631805E-008</v>
      </c>
    </row>
    <row r="45" customFormat="false" ht="15" hidden="false" customHeight="false" outlineLevel="0" collapsed="false">
      <c r="A45" s="5" t="n">
        <v>38</v>
      </c>
      <c r="B45" s="25" t="n">
        <f aca="false">IF(T44&gt;0,B44,D44)</f>
        <v>-0.0182283910253318</v>
      </c>
      <c r="C45" s="25" t="n">
        <f aca="false">IF(T44&gt;0,D44,C44)</f>
        <v>-0.0182283910144179</v>
      </c>
      <c r="D45" s="41" t="n">
        <f aca="false">(B45+C45)/2</f>
        <v>-0.0182283910198748</v>
      </c>
      <c r="E45" s="15" t="n">
        <f aca="false">$C$2*(1+IF(E$3&lt;=$O$2,$D45,$D45-($D45-$I$6)*MIN(E$3-$O$2,$Q$2)/$Q$2))</f>
        <v>2690.05420860554</v>
      </c>
      <c r="F45" s="15" t="n">
        <f aca="false">E45*(1+IF(F$3&lt;=$O$2,$D45,$D45-($D45-$I$6)*MIN(F$3-$O$2,$Q$2)/$Q$2))</f>
        <v>2641.01884862642</v>
      </c>
      <c r="G45" s="15" t="n">
        <f aca="false">F45*(1+IF(G$3&lt;=$O$2,$D45,$D45-($D45-$I$6)*MIN(G$3-$O$2,$Q$2)/$Q$2))</f>
        <v>2592.8773243628</v>
      </c>
      <c r="H45" s="15" t="n">
        <f aca="false">G45*(1+IF(H$3&lt;=$O$2,$D45,$D45-($D45-$I$6)*MIN(H$3-$O$2,$Q$2)/$Q$2))</f>
        <v>2545.61334262775</v>
      </c>
      <c r="I45" s="15" t="n">
        <f aca="false">H45*(1+IF(I$3&lt;=$O$2,$D45,$D45-($D45-$I$6)*MIN(I$3-$O$2,$Q$2)/$Q$2))</f>
        <v>2499.21090723292</v>
      </c>
      <c r="J45" s="15" t="n">
        <f aca="false">I45*(1+IF(J$3&lt;=$O$2,$D45,$D45-($D45-$I$6)*MIN(J$3-$O$2,$Q$2)/$Q$2))</f>
        <v>2476.91116604131</v>
      </c>
      <c r="K45" s="15" t="n">
        <f aca="false">J45*(1+IF(K$3&lt;=$O$2,$D45,$D45-($D45-$I$6)*MIN(K$3-$O$2,$Q$2)/$Q$2))</f>
        <v>2477.85973728724</v>
      </c>
      <c r="L45" s="15" t="n">
        <f aca="false">K45*(1+IF(L$3&lt;=$O$2,$D45,$D45-($D45-$I$6)*MIN(L$3-$O$2,$Q$2)/$Q$2))</f>
        <v>2501.86683715291</v>
      </c>
      <c r="M45" s="15" t="n">
        <f aca="false">L45*(1+IF(M$3&lt;=$O$2,$D45,$D45-($D45-$I$6)*MIN(M$3-$O$2,$Q$2)/$Q$2))</f>
        <v>2549.3881009486</v>
      </c>
      <c r="N45" s="15" t="n">
        <f aca="false">M45*(1+IF(N$3&lt;=$O$2,$D45,$D45-($D45-$I$6)*MIN(N$3-$O$2,$Q$2)/$Q$2))</f>
        <v>2621.53578420544</v>
      </c>
      <c r="O45" s="15" t="n">
        <f aca="false">SUMPRODUCT(E45:N45,1/(1+$F$6)^$E$3:$N$3)*$E$2</f>
        <v>11905.7901640674</v>
      </c>
      <c r="P45" s="15" t="n">
        <f aca="false">N45*$E$2*(1+$I$6)/($F$6-$I$6)/(1+$F$6)^$N$3</f>
        <v>17844.2098363647</v>
      </c>
      <c r="Q45" s="15" t="n">
        <f aca="false">O45+P45</f>
        <v>29750.000000432</v>
      </c>
      <c r="R45" s="15" t="n">
        <f aca="false">Q45-$G$2+$I$2</f>
        <v>30520.000000432</v>
      </c>
      <c r="S45" s="42" t="n">
        <f aca="false">R45/$K$2</f>
        <v>292.253183955109</v>
      </c>
      <c r="T45" s="43" t="n">
        <f aca="false">S45-$M$2</f>
        <v>4.13695033785189E-009</v>
      </c>
    </row>
    <row r="46" customFormat="false" ht="15" hidden="false" customHeight="false" outlineLevel="0" collapsed="false">
      <c r="A46" s="5" t="n">
        <v>39</v>
      </c>
      <c r="B46" s="25" t="n">
        <f aca="false">IF(T45&gt;0,B45,D45)</f>
        <v>-0.0182283910253318</v>
      </c>
      <c r="C46" s="25" t="n">
        <f aca="false">IF(T45&gt;0,D45,C45)</f>
        <v>-0.0182283910198748</v>
      </c>
      <c r="D46" s="41" t="n">
        <f aca="false">(B46+C46)/2</f>
        <v>-0.0182283910226033</v>
      </c>
      <c r="E46" s="15" t="n">
        <f aca="false">$C$2*(1+IF(E$3&lt;=$O$2,$D46,$D46-($D46-$I$6)*MIN(E$3-$O$2,$Q$2)/$Q$2))</f>
        <v>2690.05420859807</v>
      </c>
      <c r="F46" s="15" t="n">
        <f aca="false">E46*(1+IF(F$3&lt;=$O$2,$D46,$D46-($D46-$I$6)*MIN(F$3-$O$2,$Q$2)/$Q$2))</f>
        <v>2641.01884861174</v>
      </c>
      <c r="G46" s="15" t="n">
        <f aca="false">F46*(1+IF(G$3&lt;=$O$2,$D46,$D46-($D46-$I$6)*MIN(G$3-$O$2,$Q$2)/$Q$2))</f>
        <v>2592.87732434118</v>
      </c>
      <c r="H46" s="15" t="n">
        <f aca="false">G46*(1+IF(H$3&lt;=$O$2,$D46,$D46-($D46-$I$6)*MIN(H$3-$O$2,$Q$2)/$Q$2))</f>
        <v>2545.61334259945</v>
      </c>
      <c r="I46" s="15" t="n">
        <f aca="false">H46*(1+IF(I$3&lt;=$O$2,$D46,$D46-($D46-$I$6)*MIN(I$3-$O$2,$Q$2)/$Q$2))</f>
        <v>2499.21090719819</v>
      </c>
      <c r="J46" s="15" t="n">
        <f aca="false">I46*(1+IF(J$3&lt;=$O$2,$D46,$D46-($D46-$I$6)*MIN(J$3-$O$2,$Q$2)/$Q$2))</f>
        <v>2476.91116600144</v>
      </c>
      <c r="K46" s="15" t="n">
        <f aca="false">J46*(1+IF(K$3&lt;=$O$2,$D46,$D46-($D46-$I$6)*MIN(K$3-$O$2,$Q$2)/$Q$2))</f>
        <v>2477.8597372433</v>
      </c>
      <c r="L46" s="15" t="n">
        <f aca="false">K46*(1+IF(L$3&lt;=$O$2,$D46,$D46-($D46-$I$6)*MIN(L$3-$O$2,$Q$2)/$Q$2))</f>
        <v>2501.86683710584</v>
      </c>
      <c r="M46" s="15" t="n">
        <f aca="false">L46*(1+IF(M$3&lt;=$O$2,$D46,$D46-($D46-$I$6)*MIN(M$3-$O$2,$Q$2)/$Q$2))</f>
        <v>2549.38810089926</v>
      </c>
      <c r="N46" s="15" t="n">
        <f aca="false">M46*(1+IF(N$3&lt;=$O$2,$D46,$D46-($D46-$I$6)*MIN(N$3-$O$2,$Q$2)/$Q$2))</f>
        <v>2621.53578415471</v>
      </c>
      <c r="O46" s="15" t="n">
        <f aca="false">SUMPRODUCT(E46:N46,1/(1+$F$6)^$E$3:$N$3)*$E$2</f>
        <v>11905.7901639249</v>
      </c>
      <c r="P46" s="15" t="n">
        <f aca="false">N46*$E$2*(1+$I$6)/($F$6-$I$6)/(1+$F$6)^$N$3</f>
        <v>17844.2098360194</v>
      </c>
      <c r="Q46" s="15" t="n">
        <f aca="false">O46+P46</f>
        <v>29749.9999999443</v>
      </c>
      <c r="R46" s="15" t="n">
        <f aca="false">Q46-$G$2+$I$2</f>
        <v>30519.9999999443</v>
      </c>
      <c r="S46" s="42" t="n">
        <f aca="false">R46/$K$2</f>
        <v>292.253183950438</v>
      </c>
      <c r="T46" s="43" t="n">
        <f aca="false">S46-$M$2</f>
        <v>-5.33702859684127E-010</v>
      </c>
    </row>
    <row r="47" customFormat="false" ht="15" hidden="false" customHeight="false" outlineLevel="0" collapsed="false">
      <c r="A47" s="5" t="n">
        <v>40</v>
      </c>
      <c r="B47" s="25" t="n">
        <f aca="false">IF(T46&gt;0,B46,D46)</f>
        <v>-0.0182283910226033</v>
      </c>
      <c r="C47" s="25" t="n">
        <f aca="false">IF(T46&gt;0,D46,C46)</f>
        <v>-0.0182283910198748</v>
      </c>
      <c r="D47" s="41" t="n">
        <f aca="false">(B47+C47)/2</f>
        <v>-0.0182283910212391</v>
      </c>
      <c r="E47" s="15" t="n">
        <f aca="false">$C$2*(1+IF(E$3&lt;=$O$2,$D47,$D47-($D47-$I$6)*MIN(E$3-$O$2,$Q$2)/$Q$2))</f>
        <v>2690.05420860181</v>
      </c>
      <c r="F47" s="15" t="n">
        <f aca="false">E47*(1+IF(F$3&lt;=$O$2,$D47,$D47-($D47-$I$6)*MIN(F$3-$O$2,$Q$2)/$Q$2))</f>
        <v>2641.01884861908</v>
      </c>
      <c r="G47" s="15" t="n">
        <f aca="false">F47*(1+IF(G$3&lt;=$O$2,$D47,$D47-($D47-$I$6)*MIN(G$3-$O$2,$Q$2)/$Q$2))</f>
        <v>2592.87732435199</v>
      </c>
      <c r="H47" s="15" t="n">
        <f aca="false">G47*(1+IF(H$3&lt;=$O$2,$D47,$D47-($D47-$I$6)*MIN(H$3-$O$2,$Q$2)/$Q$2))</f>
        <v>2545.6133426136</v>
      </c>
      <c r="I47" s="15" t="n">
        <f aca="false">H47*(1+IF(I$3&lt;=$O$2,$D47,$D47-($D47-$I$6)*MIN(I$3-$O$2,$Q$2)/$Q$2))</f>
        <v>2499.21090721555</v>
      </c>
      <c r="J47" s="15" t="n">
        <f aca="false">I47*(1+IF(J$3&lt;=$O$2,$D47,$D47-($D47-$I$6)*MIN(J$3-$O$2,$Q$2)/$Q$2))</f>
        <v>2476.91116602138</v>
      </c>
      <c r="K47" s="15" t="n">
        <f aca="false">J47*(1+IF(K$3&lt;=$O$2,$D47,$D47-($D47-$I$6)*MIN(K$3-$O$2,$Q$2)/$Q$2))</f>
        <v>2477.85973726527</v>
      </c>
      <c r="L47" s="15" t="n">
        <f aca="false">K47*(1+IF(L$3&lt;=$O$2,$D47,$D47-($D47-$I$6)*MIN(L$3-$O$2,$Q$2)/$Q$2))</f>
        <v>2501.86683712937</v>
      </c>
      <c r="M47" s="15" t="n">
        <f aca="false">L47*(1+IF(M$3&lt;=$O$2,$D47,$D47-($D47-$I$6)*MIN(M$3-$O$2,$Q$2)/$Q$2))</f>
        <v>2549.38810092393</v>
      </c>
      <c r="N47" s="15" t="n">
        <f aca="false">M47*(1+IF(N$3&lt;=$O$2,$D47,$D47-($D47-$I$6)*MIN(N$3-$O$2,$Q$2)/$Q$2))</f>
        <v>2621.53578418008</v>
      </c>
      <c r="O47" s="15" t="n">
        <f aca="false">SUMPRODUCT(E47:N47,1/(1+$F$6)^$E$3:$N$3)*$E$2</f>
        <v>11905.7901639961</v>
      </c>
      <c r="P47" s="15" t="n">
        <f aca="false">N47*$E$2*(1+$I$6)/($F$6-$I$6)/(1+$F$6)^$N$3</f>
        <v>17844.209836192</v>
      </c>
      <c r="Q47" s="15" t="n">
        <f aca="false">O47+P47</f>
        <v>29750.0000001882</v>
      </c>
      <c r="R47" s="15" t="n">
        <f aca="false">Q47-$G$2+$I$2</f>
        <v>30520.0000001882</v>
      </c>
      <c r="S47" s="42" t="n">
        <f aca="false">R47/$K$2</f>
        <v>292.253183952774</v>
      </c>
      <c r="T47" s="43" t="n">
        <f aca="false">S47-$M$2</f>
        <v>1.80165216079331E-009</v>
      </c>
    </row>
    <row r="49" customFormat="false" ht="15" hidden="false" customHeight="false" outlineLevel="0" collapsed="false">
      <c r="A49" s="38" t="s">
        <v>179</v>
      </c>
      <c r="E49" s="5" t="s">
        <v>11</v>
      </c>
      <c r="F49" s="12" t="n">
        <f aca="false">Sensitivity!$B$10</f>
        <v>0.0672772551778937</v>
      </c>
      <c r="G49" s="5" t="s">
        <v>12</v>
      </c>
      <c r="I49" s="12" t="n">
        <f aca="false">Sensitivity!$C$9</f>
        <v>0.0183</v>
      </c>
    </row>
    <row r="50" customFormat="false" ht="23.85" hidden="false" customHeight="false" outlineLevel="0" collapsed="false">
      <c r="A50" s="38" t="s">
        <v>159</v>
      </c>
      <c r="B50" s="28" t="s">
        <v>160</v>
      </c>
      <c r="C50" s="28" t="s">
        <v>161</v>
      </c>
      <c r="D50" s="28" t="s">
        <v>162</v>
      </c>
      <c r="E50" s="28" t="s">
        <v>163</v>
      </c>
      <c r="F50" s="28" t="s">
        <v>164</v>
      </c>
      <c r="G50" s="28" t="s">
        <v>165</v>
      </c>
      <c r="H50" s="28" t="s">
        <v>166</v>
      </c>
      <c r="I50" s="28" t="s">
        <v>167</v>
      </c>
      <c r="J50" s="28" t="s">
        <v>168</v>
      </c>
      <c r="K50" s="28" t="s">
        <v>169</v>
      </c>
      <c r="L50" s="28" t="s">
        <v>170</v>
      </c>
      <c r="M50" s="28" t="s">
        <v>171</v>
      </c>
      <c r="N50" s="28" t="s">
        <v>172</v>
      </c>
      <c r="O50" s="28" t="s">
        <v>173</v>
      </c>
      <c r="P50" s="28" t="s">
        <v>174</v>
      </c>
      <c r="Q50" s="28" t="s">
        <v>175</v>
      </c>
      <c r="R50" s="28" t="s">
        <v>176</v>
      </c>
      <c r="S50" s="28" t="s">
        <v>177</v>
      </c>
      <c r="T50" s="28" t="s">
        <v>178</v>
      </c>
    </row>
    <row r="51" customFormat="false" ht="15" hidden="false" customHeight="false" outlineLevel="0" collapsed="false">
      <c r="A51" s="5" t="n">
        <v>1</v>
      </c>
      <c r="B51" s="24" t="n">
        <v>-0.5</v>
      </c>
      <c r="C51" s="24" t="n">
        <v>1</v>
      </c>
      <c r="D51" s="41" t="n">
        <f aca="false">(B51+C51)/2</f>
        <v>0.25</v>
      </c>
      <c r="E51" s="15" t="n">
        <f aca="false">$C$2*(1+IF(E$3&lt;=$O$2,$D51,$D51-($D51-$I$49)*MIN(E$3-$O$2,$Q$2)/$Q$2))</f>
        <v>3425</v>
      </c>
      <c r="F51" s="15" t="n">
        <f aca="false">E51*(1+IF(F$3&lt;=$O$2,$D51,$D51-($D51-$I$49)*MIN(F$3-$O$2,$Q$2)/$Q$2))</f>
        <v>4281.25</v>
      </c>
      <c r="G51" s="15" t="n">
        <f aca="false">F51*(1+IF(G$3&lt;=$O$2,$D51,$D51-($D51-$I$49)*MIN(G$3-$O$2,$Q$2)/$Q$2))</f>
        <v>5351.5625</v>
      </c>
      <c r="H51" s="15" t="n">
        <f aca="false">G51*(1+IF(H$3&lt;=$O$2,$D51,$D51-($D51-$I$49)*MIN(H$3-$O$2,$Q$2)/$Q$2))</f>
        <v>6689.453125</v>
      </c>
      <c r="I51" s="15" t="n">
        <f aca="false">H51*(1+IF(I$3&lt;=$O$2,$D51,$D51-($D51-$I$49)*MIN(I$3-$O$2,$Q$2)/$Q$2))</f>
        <v>8361.81640625</v>
      </c>
      <c r="J51" s="15" t="n">
        <f aca="false">I51*(1+IF(J$3&lt;=$O$2,$D51,$D51-($D51-$I$49)*MIN(J$3-$O$2,$Q$2)/$Q$2))</f>
        <v>10064.7839355469</v>
      </c>
      <c r="K51" s="15" t="n">
        <f aca="false">J51*(1+IF(K$3&lt;=$O$2,$D51,$D51-($D51-$I$49)*MIN(K$3-$O$2,$Q$2)/$Q$2))</f>
        <v>11648.1757442871</v>
      </c>
      <c r="L51" s="15" t="n">
        <f aca="false">K51*(1+IF(L$3&lt;=$O$2,$D51,$D51-($D51-$I$49)*MIN(L$3-$O$2,$Q$2)/$Q$2))</f>
        <v>12940.8902883881</v>
      </c>
      <c r="M51" s="15" t="n">
        <f aca="false">L51*(1+IF(M$3&lt;=$O$2,$D51,$D51-($D51-$I$49)*MIN(M$3-$O$2,$Q$2)/$Q$2))</f>
        <v>13777.3894366295</v>
      </c>
      <c r="N51" s="15" t="n">
        <f aca="false">M51*(1+IF(N$3&lt;=$O$2,$D51,$D51-($D51-$I$49)*MIN(N$3-$O$2,$Q$2)/$Q$2))</f>
        <v>14029.5156633198</v>
      </c>
      <c r="O51" s="15" t="n">
        <f aca="false">SUMPRODUCT(E51:N51,1/(1+$F$49)^$E$3:$N$3)*$E$2</f>
        <v>40558.8162484113</v>
      </c>
      <c r="P51" s="15" t="n">
        <f aca="false">N51*$E$2*(1+$I$49)/($F$49-$I$49)/(1+$F$49)^$N$3</f>
        <v>103810.78638663</v>
      </c>
      <c r="Q51" s="15" t="n">
        <f aca="false">O51+P51</f>
        <v>144369.602635041</v>
      </c>
      <c r="R51" s="15" t="n">
        <f aca="false">Q51-$G$2+$I$2</f>
        <v>145139.602635041</v>
      </c>
      <c r="S51" s="42" t="n">
        <f aca="false">R51/$K$2</f>
        <v>1389.82670339022</v>
      </c>
      <c r="T51" s="43" t="n">
        <f aca="false">S51-$M$2</f>
        <v>1097.57351943925</v>
      </c>
    </row>
    <row r="52" customFormat="false" ht="15" hidden="false" customHeight="false" outlineLevel="0" collapsed="false">
      <c r="A52" s="5" t="n">
        <v>2</v>
      </c>
      <c r="B52" s="25" t="n">
        <f aca="false">IF(T51&gt;0,B51,D51)</f>
        <v>-0.5</v>
      </c>
      <c r="C52" s="25" t="n">
        <f aca="false">IF(T51&gt;0,D51,C51)</f>
        <v>0.25</v>
      </c>
      <c r="D52" s="41" t="n">
        <f aca="false">(B52+C52)/2</f>
        <v>-0.125</v>
      </c>
      <c r="E52" s="15" t="n">
        <f aca="false">$C$2*(1+IF(E$3&lt;=$O$2,$D52,$D52-($D52-$I$49)*MIN(E$3-$O$2,$Q$2)/$Q$2))</f>
        <v>2397.5</v>
      </c>
      <c r="F52" s="15" t="n">
        <f aca="false">E52*(1+IF(F$3&lt;=$O$2,$D52,$D52-($D52-$I$49)*MIN(F$3-$O$2,$Q$2)/$Q$2))</f>
        <v>2097.8125</v>
      </c>
      <c r="G52" s="15" t="n">
        <f aca="false">F52*(1+IF(G$3&lt;=$O$2,$D52,$D52-($D52-$I$49)*MIN(G$3-$O$2,$Q$2)/$Q$2))</f>
        <v>1835.5859375</v>
      </c>
      <c r="H52" s="15" t="n">
        <f aca="false">G52*(1+IF(H$3&lt;=$O$2,$D52,$D52-($D52-$I$49)*MIN(H$3-$O$2,$Q$2)/$Q$2))</f>
        <v>1606.1376953125</v>
      </c>
      <c r="I52" s="15" t="n">
        <f aca="false">H52*(1+IF(I$3&lt;=$O$2,$D52,$D52-($D52-$I$49)*MIN(I$3-$O$2,$Q$2)/$Q$2))</f>
        <v>1405.37048339844</v>
      </c>
      <c r="J52" s="15" t="n">
        <f aca="false">I52*(1+IF(J$3&lt;=$O$2,$D52,$D52-($D52-$I$49)*MIN(J$3-$O$2,$Q$2)/$Q$2))</f>
        <v>1269.97709102783</v>
      </c>
      <c r="K52" s="15" t="n">
        <f aca="false">J52*(1+IF(K$3&lt;=$O$2,$D52,$D52-($D52-$I$49)*MIN(K$3-$O$2,$Q$2)/$Q$2))</f>
        <v>1184.02504150707</v>
      </c>
      <c r="L52" s="15" t="n">
        <f aca="false">K52*(1+IF(L$3&lt;=$O$2,$D52,$D52-($D52-$I$49)*MIN(L$3-$O$2,$Q$2)/$Q$2))</f>
        <v>1137.82438438746</v>
      </c>
      <c r="M52" s="15" t="n">
        <f aca="false">L52*(1+IF(M$3&lt;=$O$2,$D52,$D52-($D52-$I$49)*MIN(M$3-$O$2,$Q$2)/$Q$2))</f>
        <v>1126.03652376521</v>
      </c>
      <c r="N52" s="15" t="n">
        <f aca="false">M52*(1+IF(N$3&lt;=$O$2,$D52,$D52-($D52-$I$49)*MIN(N$3-$O$2,$Q$2)/$Q$2))</f>
        <v>1146.64299215011</v>
      </c>
      <c r="O52" s="15" t="n">
        <f aca="false">SUMPRODUCT(E52:N52,1/(1+$F$49)^$E$3:$N$3)*$E$2</f>
        <v>7753.69981968396</v>
      </c>
      <c r="P52" s="15" t="n">
        <f aca="false">N52*$E$2*(1+$I$49)/($F$49-$I$49)/(1+$F$49)^$N$3</f>
        <v>8484.53457527656</v>
      </c>
      <c r="Q52" s="15" t="n">
        <f aca="false">O52+P52</f>
        <v>16238.2343949605</v>
      </c>
      <c r="R52" s="15" t="n">
        <f aca="false">Q52-$G$2+$I$2</f>
        <v>17008.2343949605</v>
      </c>
      <c r="S52" s="42" t="n">
        <f aca="false">R52/$K$2</f>
        <v>162.86732160261</v>
      </c>
      <c r="T52" s="43" t="n">
        <f aca="false">S52-$M$2</f>
        <v>-129.385862348362</v>
      </c>
    </row>
    <row r="53" customFormat="false" ht="15" hidden="false" customHeight="false" outlineLevel="0" collapsed="false">
      <c r="A53" s="5" t="n">
        <v>3</v>
      </c>
      <c r="B53" s="25" t="n">
        <f aca="false">IF(T52&gt;0,B52,D52)</f>
        <v>-0.125</v>
      </c>
      <c r="C53" s="25" t="n">
        <f aca="false">IF(T52&gt;0,D52,C52)</f>
        <v>0.25</v>
      </c>
      <c r="D53" s="41" t="n">
        <f aca="false">(B53+C53)/2</f>
        <v>0.0625</v>
      </c>
      <c r="E53" s="15" t="n">
        <f aca="false">$C$2*(1+IF(E$3&lt;=$O$2,$D53,$D53-($D53-$I$49)*MIN(E$3-$O$2,$Q$2)/$Q$2))</f>
        <v>2911.25</v>
      </c>
      <c r="F53" s="15" t="n">
        <f aca="false">E53*(1+IF(F$3&lt;=$O$2,$D53,$D53-($D53-$I$49)*MIN(F$3-$O$2,$Q$2)/$Q$2))</f>
        <v>3093.203125</v>
      </c>
      <c r="G53" s="15" t="n">
        <f aca="false">F53*(1+IF(G$3&lt;=$O$2,$D53,$D53-($D53-$I$49)*MIN(G$3-$O$2,$Q$2)/$Q$2))</f>
        <v>3286.5283203125</v>
      </c>
      <c r="H53" s="15" t="n">
        <f aca="false">G53*(1+IF(H$3&lt;=$O$2,$D53,$D53-($D53-$I$49)*MIN(H$3-$O$2,$Q$2)/$Q$2))</f>
        <v>3491.93634033203</v>
      </c>
      <c r="I53" s="15" t="n">
        <f aca="false">H53*(1+IF(I$3&lt;=$O$2,$D53,$D53-($D53-$I$49)*MIN(I$3-$O$2,$Q$2)/$Q$2))</f>
        <v>3710.18236160278</v>
      </c>
      <c r="J53" s="15" t="n">
        <f aca="false">I53*(1+IF(J$3&lt;=$O$2,$D53,$D53-($D53-$I$49)*MIN(J$3-$O$2,$Q$2)/$Q$2))</f>
        <v>3909.27074712639</v>
      </c>
      <c r="K53" s="15" t="n">
        <f aca="false">J53*(1+IF(K$3&lt;=$O$2,$D53,$D53-($D53-$I$49)*MIN(K$3-$O$2,$Q$2)/$Q$2))</f>
        <v>4084.48426201259</v>
      </c>
      <c r="L53" s="15" t="n">
        <f aca="false">K53*(1+IF(L$3&lt;=$O$2,$D53,$D53-($D53-$I$49)*MIN(L$3-$O$2,$Q$2)/$Q$2))</f>
        <v>4231.44400575981</v>
      </c>
      <c r="M53" s="15" t="n">
        <f aca="false">L53*(1+IF(M$3&lt;=$O$2,$D53,$D53-($D53-$I$49)*MIN(M$3-$O$2,$Q$2)/$Q$2))</f>
        <v>4346.28539607613</v>
      </c>
      <c r="N53" s="15" t="n">
        <f aca="false">M53*(1+IF(N$3&lt;=$O$2,$D53,$D53-($D53-$I$49)*MIN(N$3-$O$2,$Q$2)/$Q$2))</f>
        <v>4425.82241882432</v>
      </c>
      <c r="O53" s="15" t="n">
        <f aca="false">SUMPRODUCT(E53:N53,1/(1+$F$49)^$E$3:$N$3)*$E$2</f>
        <v>17738.9655868803</v>
      </c>
      <c r="P53" s="15" t="n">
        <f aca="false">N53*$E$2*(1+$I$49)/($F$49-$I$49)/(1+$F$49)^$N$3</f>
        <v>32748.6790514768</v>
      </c>
      <c r="Q53" s="15" t="n">
        <f aca="false">O53+P53</f>
        <v>50487.6446383571</v>
      </c>
      <c r="R53" s="15" t="n">
        <f aca="false">Q53-$G$2+$I$2</f>
        <v>51257.6446383571</v>
      </c>
      <c r="S53" s="42" t="n">
        <f aca="false">R53/$K$2</f>
        <v>490.832563806924</v>
      </c>
      <c r="T53" s="43" t="n">
        <f aca="false">S53-$M$2</f>
        <v>198.579379855952</v>
      </c>
    </row>
    <row r="54" customFormat="false" ht="15" hidden="false" customHeight="false" outlineLevel="0" collapsed="false">
      <c r="A54" s="5" t="n">
        <v>4</v>
      </c>
      <c r="B54" s="25" t="n">
        <f aca="false">IF(T53&gt;0,B53,D53)</f>
        <v>-0.125</v>
      </c>
      <c r="C54" s="25" t="n">
        <f aca="false">IF(T53&gt;0,D53,C53)</f>
        <v>0.0625</v>
      </c>
      <c r="D54" s="41" t="n">
        <f aca="false">(B54+C54)/2</f>
        <v>-0.03125</v>
      </c>
      <c r="E54" s="15" t="n">
        <f aca="false">$C$2*(1+IF(E$3&lt;=$O$2,$D54,$D54-($D54-$I$49)*MIN(E$3-$O$2,$Q$2)/$Q$2))</f>
        <v>2654.375</v>
      </c>
      <c r="F54" s="15" t="n">
        <f aca="false">E54*(1+IF(F$3&lt;=$O$2,$D54,$D54-($D54-$I$49)*MIN(F$3-$O$2,$Q$2)/$Q$2))</f>
        <v>2571.42578125</v>
      </c>
      <c r="G54" s="15" t="n">
        <f aca="false">F54*(1+IF(G$3&lt;=$O$2,$D54,$D54-($D54-$I$49)*MIN(G$3-$O$2,$Q$2)/$Q$2))</f>
        <v>2491.06872558594</v>
      </c>
      <c r="H54" s="15" t="n">
        <f aca="false">G54*(1+IF(H$3&lt;=$O$2,$D54,$D54-($D54-$I$49)*MIN(H$3-$O$2,$Q$2)/$Q$2))</f>
        <v>2413.22282791138</v>
      </c>
      <c r="I54" s="15" t="n">
        <f aca="false">H54*(1+IF(I$3&lt;=$O$2,$D54,$D54-($D54-$I$49)*MIN(I$3-$O$2,$Q$2)/$Q$2))</f>
        <v>2337.80961453915</v>
      </c>
      <c r="J54" s="15" t="n">
        <f aca="false">I54*(1+IF(J$3&lt;=$O$2,$D54,$D54-($D54-$I$49)*MIN(J$3-$O$2,$Q$2)/$Q$2))</f>
        <v>2287.92075736488</v>
      </c>
      <c r="K54" s="15" t="n">
        <f aca="false">J54*(1+IF(K$3&lt;=$O$2,$D54,$D54-($D54-$I$49)*MIN(K$3-$O$2,$Q$2)/$Q$2))</f>
        <v>2261.7698231082</v>
      </c>
      <c r="L54" s="15" t="n">
        <f aca="false">K54*(1+IF(L$3&lt;=$O$2,$D54,$D54-($D54-$I$49)*MIN(L$3-$O$2,$Q$2)/$Q$2))</f>
        <v>2258.33193297708</v>
      </c>
      <c r="M54" s="15" t="n">
        <f aca="false">L54*(1+IF(M$3&lt;=$O$2,$D54,$D54-($D54-$I$49)*MIN(M$3-$O$2,$Q$2)/$Q$2))</f>
        <v>2277.27933789475</v>
      </c>
      <c r="N54" s="15" t="n">
        <f aca="false">M54*(1+IF(N$3&lt;=$O$2,$D54,$D54-($D54-$I$49)*MIN(N$3-$O$2,$Q$2)/$Q$2))</f>
        <v>2318.95354977823</v>
      </c>
      <c r="O54" s="15" t="n">
        <f aca="false">SUMPRODUCT(E54:N54,1/(1+$F$49)^$E$3:$N$3)*$E$2</f>
        <v>11698.8698843683</v>
      </c>
      <c r="P54" s="15" t="n">
        <f aca="false">N54*$E$2*(1+$I$49)/($F$49-$I$49)/(1+$F$49)^$N$3</f>
        <v>17158.9951765719</v>
      </c>
      <c r="Q54" s="15" t="n">
        <f aca="false">O54+P54</f>
        <v>28857.8650609402</v>
      </c>
      <c r="R54" s="15" t="n">
        <f aca="false">Q54-$G$2+$I$2</f>
        <v>29627.8650609402</v>
      </c>
      <c r="S54" s="42" t="n">
        <f aca="false">R54/$K$2</f>
        <v>283.710284984585</v>
      </c>
      <c r="T54" s="43" t="n">
        <f aca="false">S54-$M$2</f>
        <v>-8.54289896638721</v>
      </c>
    </row>
    <row r="55" customFormat="false" ht="15" hidden="false" customHeight="false" outlineLevel="0" collapsed="false">
      <c r="A55" s="5" t="n">
        <v>5</v>
      </c>
      <c r="B55" s="25" t="n">
        <f aca="false">IF(T54&gt;0,B54,D54)</f>
        <v>-0.03125</v>
      </c>
      <c r="C55" s="25" t="n">
        <f aca="false">IF(T54&gt;0,D54,C54)</f>
        <v>0.0625</v>
      </c>
      <c r="D55" s="41" t="n">
        <f aca="false">(B55+C55)/2</f>
        <v>0.015625</v>
      </c>
      <c r="E55" s="15" t="n">
        <f aca="false">$C$2*(1+IF(E$3&lt;=$O$2,$D55,$D55-($D55-$I$49)*MIN(E$3-$O$2,$Q$2)/$Q$2))</f>
        <v>2782.8125</v>
      </c>
      <c r="F55" s="15" t="n">
        <f aca="false">E55*(1+IF(F$3&lt;=$O$2,$D55,$D55-($D55-$I$49)*MIN(F$3-$O$2,$Q$2)/$Q$2))</f>
        <v>2826.2939453125</v>
      </c>
      <c r="G55" s="15" t="n">
        <f aca="false">F55*(1+IF(G$3&lt;=$O$2,$D55,$D55-($D55-$I$49)*MIN(G$3-$O$2,$Q$2)/$Q$2))</f>
        <v>2870.45478820801</v>
      </c>
      <c r="H55" s="15" t="n">
        <f aca="false">G55*(1+IF(H$3&lt;=$O$2,$D55,$D55-($D55-$I$49)*MIN(H$3-$O$2,$Q$2)/$Q$2))</f>
        <v>2915.30564427376</v>
      </c>
      <c r="I55" s="15" t="n">
        <f aca="false">H55*(1+IF(I$3&lt;=$O$2,$D55,$D55-($D55-$I$49)*MIN(I$3-$O$2,$Q$2)/$Q$2))</f>
        <v>2960.85729496554</v>
      </c>
      <c r="J55" s="15" t="n">
        <f aca="false">I55*(1+IF(J$3&lt;=$O$2,$D55,$D55-($D55-$I$49)*MIN(J$3-$O$2,$Q$2)/$Q$2))</f>
        <v>3008.70474885218</v>
      </c>
      <c r="K55" s="15" t="n">
        <f aca="false">J55*(1+IF(K$3&lt;=$O$2,$D55,$D55-($D55-$I$49)*MIN(K$3-$O$2,$Q$2)/$Q$2))</f>
        <v>3058.93507463427</v>
      </c>
      <c r="L55" s="15" t="n">
        <f aca="false">K55*(1+IF(L$3&lt;=$O$2,$D55,$D55-($D55-$I$49)*MIN(L$3-$O$2,$Q$2)/$Q$2))</f>
        <v>3111.64052597021</v>
      </c>
      <c r="M55" s="15" t="n">
        <f aca="false">L55*(1+IF(M$3&lt;=$O$2,$D55,$D55-($D55-$I$49)*MIN(M$3-$O$2,$Q$2)/$Q$2))</f>
        <v>3166.91881991407</v>
      </c>
      <c r="N55" s="15" t="n">
        <f aca="false">M55*(1+IF(N$3&lt;=$O$2,$D55,$D55-($D55-$I$49)*MIN(N$3-$O$2,$Q$2)/$Q$2))</f>
        <v>3224.8734343185</v>
      </c>
      <c r="O55" s="15" t="n">
        <f aca="false">SUMPRODUCT(E55:N55,1/(1+$F$49)^$E$3:$N$3)*$E$2</f>
        <v>14401.8329235145</v>
      </c>
      <c r="P55" s="15" t="n">
        <f aca="false">N55*$E$2*(1+$I$49)/($F$49-$I$49)/(1+$F$49)^$N$3</f>
        <v>23862.3096654169</v>
      </c>
      <c r="Q55" s="15" t="n">
        <f aca="false">O55+P55</f>
        <v>38264.1425889314</v>
      </c>
      <c r="R55" s="15" t="n">
        <f aca="false">Q55-$G$2+$I$2</f>
        <v>39034.1425889314</v>
      </c>
      <c r="S55" s="42" t="n">
        <f aca="false">R55/$K$2</f>
        <v>373.78284581951</v>
      </c>
      <c r="T55" s="43" t="n">
        <f aca="false">S55-$M$2</f>
        <v>81.5296618685378</v>
      </c>
    </row>
    <row r="56" customFormat="false" ht="15" hidden="false" customHeight="false" outlineLevel="0" collapsed="false">
      <c r="A56" s="5" t="n">
        <v>6</v>
      </c>
      <c r="B56" s="25" t="n">
        <f aca="false">IF(T55&gt;0,B55,D55)</f>
        <v>-0.03125</v>
      </c>
      <c r="C56" s="25" t="n">
        <f aca="false">IF(T55&gt;0,D55,C55)</f>
        <v>0.015625</v>
      </c>
      <c r="D56" s="41" t="n">
        <f aca="false">(B56+C56)/2</f>
        <v>-0.0078125</v>
      </c>
      <c r="E56" s="15" t="n">
        <f aca="false">$C$2*(1+IF(E$3&lt;=$O$2,$D56,$D56-($D56-$I$49)*MIN(E$3-$O$2,$Q$2)/$Q$2))</f>
        <v>2718.59375</v>
      </c>
      <c r="F56" s="15" t="n">
        <f aca="false">E56*(1+IF(F$3&lt;=$O$2,$D56,$D56-($D56-$I$49)*MIN(F$3-$O$2,$Q$2)/$Q$2))</f>
        <v>2697.35473632813</v>
      </c>
      <c r="G56" s="15" t="n">
        <f aca="false">F56*(1+IF(G$3&lt;=$O$2,$D56,$D56-($D56-$I$49)*MIN(G$3-$O$2,$Q$2)/$Q$2))</f>
        <v>2676.28165245056</v>
      </c>
      <c r="H56" s="15" t="n">
        <f aca="false">G56*(1+IF(H$3&lt;=$O$2,$D56,$D56-($D56-$I$49)*MIN(H$3-$O$2,$Q$2)/$Q$2))</f>
        <v>2655.37320204079</v>
      </c>
      <c r="I56" s="15" t="n">
        <f aca="false">H56*(1+IF(I$3&lt;=$O$2,$D56,$D56-($D56-$I$49)*MIN(I$3-$O$2,$Q$2)/$Q$2))</f>
        <v>2634.62809889985</v>
      </c>
      <c r="J56" s="15" t="n">
        <f aca="false">I56*(1+IF(J$3&lt;=$O$2,$D56,$D56-($D56-$I$49)*MIN(J$3-$O$2,$Q$2)/$Q$2))</f>
        <v>2627.8044121237</v>
      </c>
      <c r="K56" s="15" t="n">
        <f aca="false">J56*(1+IF(K$3&lt;=$O$2,$D56,$D56-($D56-$I$49)*MIN(K$3-$O$2,$Q$2)/$Q$2))</f>
        <v>2634.72210723861</v>
      </c>
      <c r="L56" s="15" t="n">
        <f aca="false">K56*(1+IF(L$3&lt;=$O$2,$D56,$D56-($D56-$I$49)*MIN(L$3-$O$2,$Q$2)/$Q$2))</f>
        <v>2655.41784939097</v>
      </c>
      <c r="M56" s="15" t="n">
        <f aca="false">L56*(1+IF(M$3&lt;=$O$2,$D56,$D56-($D56-$I$49)*MIN(M$3-$O$2,$Q$2)/$Q$2))</f>
        <v>2690.14407631638</v>
      </c>
      <c r="N56" s="15" t="n">
        <f aca="false">M56*(1+IF(N$3&lt;=$O$2,$D56,$D56-($D56-$I$49)*MIN(N$3-$O$2,$Q$2)/$Q$2))</f>
        <v>2739.37371291297</v>
      </c>
      <c r="O56" s="15" t="n">
        <f aca="false">SUMPRODUCT(E56:N56,1/(1+$F$49)^$E$3:$N$3)*$E$2</f>
        <v>12978.7460197837</v>
      </c>
      <c r="P56" s="15" t="n">
        <f aca="false">N56*$E$2*(1+$I$49)/($F$49-$I$49)/(1+$F$49)^$N$3</f>
        <v>20269.8757511537</v>
      </c>
      <c r="Q56" s="15" t="n">
        <f aca="false">O56+P56</f>
        <v>33248.6217709374</v>
      </c>
      <c r="R56" s="15" t="n">
        <f aca="false">Q56-$G$2+$I$2</f>
        <v>34018.6217709374</v>
      </c>
      <c r="S56" s="42" t="n">
        <f aca="false">R56/$K$2</f>
        <v>325.755259704466</v>
      </c>
      <c r="T56" s="43" t="n">
        <f aca="false">S56-$M$2</f>
        <v>33.5020757534943</v>
      </c>
    </row>
    <row r="57" customFormat="false" ht="15" hidden="false" customHeight="false" outlineLevel="0" collapsed="false">
      <c r="A57" s="5" t="n">
        <v>7</v>
      </c>
      <c r="B57" s="25" t="n">
        <f aca="false">IF(T56&gt;0,B56,D56)</f>
        <v>-0.03125</v>
      </c>
      <c r="C57" s="25" t="n">
        <f aca="false">IF(T56&gt;0,D56,C56)</f>
        <v>-0.0078125</v>
      </c>
      <c r="D57" s="41" t="n">
        <f aca="false">(B57+C57)/2</f>
        <v>-0.01953125</v>
      </c>
      <c r="E57" s="15" t="n">
        <f aca="false">$C$2*(1+IF(E$3&lt;=$O$2,$D57,$D57-($D57-$I$49)*MIN(E$3-$O$2,$Q$2)/$Q$2))</f>
        <v>2686.484375</v>
      </c>
      <c r="F57" s="15" t="n">
        <f aca="false">E57*(1+IF(F$3&lt;=$O$2,$D57,$D57-($D57-$I$49)*MIN(F$3-$O$2,$Q$2)/$Q$2))</f>
        <v>2634.01397705078</v>
      </c>
      <c r="G57" s="15" t="n">
        <f aca="false">F57*(1+IF(G$3&lt;=$O$2,$D57,$D57-($D57-$I$49)*MIN(G$3-$O$2,$Q$2)/$Q$2))</f>
        <v>2582.56839156151</v>
      </c>
      <c r="H57" s="15" t="n">
        <f aca="false">G57*(1+IF(H$3&lt;=$O$2,$D57,$D57-($D57-$I$49)*MIN(H$3-$O$2,$Q$2)/$Q$2))</f>
        <v>2532.12760266382</v>
      </c>
      <c r="I57" s="15" t="n">
        <f aca="false">H57*(1+IF(I$3&lt;=$O$2,$D57,$D57-($D57-$I$49)*MIN(I$3-$O$2,$Q$2)/$Q$2))</f>
        <v>2482.67198542429</v>
      </c>
      <c r="J57" s="15" t="n">
        <f aca="false">I57*(1+IF(J$3&lt;=$O$2,$D57,$D57-($D57-$I$49)*MIN(J$3-$O$2,$Q$2)/$Q$2))</f>
        <v>2452.96681511869</v>
      </c>
      <c r="K57" s="15" t="n">
        <f aca="false">J57*(1+IF(K$3&lt;=$O$2,$D57,$D57-($D57-$I$49)*MIN(K$3-$O$2,$Q$2)/$Q$2))</f>
        <v>2442.17682734069</v>
      </c>
      <c r="L57" s="15" t="n">
        <f aca="false">K57*(1+IF(L$3&lt;=$O$2,$D57,$D57-($D57-$I$49)*MIN(L$3-$O$2,$Q$2)/$Q$2))</f>
        <v>2449.91242244129</v>
      </c>
      <c r="M57" s="15" t="n">
        <f aca="false">L57*(1+IF(M$3&lt;=$O$2,$D57,$D57-($D57-$I$49)*MIN(M$3-$O$2,$Q$2)/$Q$2))</f>
        <v>2476.20916990567</v>
      </c>
      <c r="N57" s="15" t="n">
        <f aca="false">M57*(1+IF(N$3&lt;=$O$2,$D57,$D57-($D57-$I$49)*MIN(N$3-$O$2,$Q$2)/$Q$2))</f>
        <v>2521.52379771494</v>
      </c>
      <c r="O57" s="15" t="n">
        <f aca="false">SUMPRODUCT(E57:N57,1/(1+$F$49)^$E$3:$N$3)*$E$2</f>
        <v>12321.7936755022</v>
      </c>
      <c r="P57" s="15" t="n">
        <f aca="false">N57*$E$2*(1+$I$49)/($F$49-$I$49)/(1+$F$49)^$N$3</f>
        <v>18657.9048496852</v>
      </c>
      <c r="Q57" s="15" t="n">
        <f aca="false">O57+P57</f>
        <v>30979.6985251873</v>
      </c>
      <c r="R57" s="15" t="n">
        <f aca="false">Q57-$G$2+$I$2</f>
        <v>31749.6985251873</v>
      </c>
      <c r="S57" s="42" t="n">
        <f aca="false">R57/$K$2</f>
        <v>304.028521738843</v>
      </c>
      <c r="T57" s="43" t="n">
        <f aca="false">S57-$M$2</f>
        <v>11.7753377878706</v>
      </c>
    </row>
    <row r="58" customFormat="false" ht="15" hidden="false" customHeight="false" outlineLevel="0" collapsed="false">
      <c r="A58" s="5" t="n">
        <v>8</v>
      </c>
      <c r="B58" s="25" t="n">
        <f aca="false">IF(T57&gt;0,B57,D57)</f>
        <v>-0.03125</v>
      </c>
      <c r="C58" s="25" t="n">
        <f aca="false">IF(T57&gt;0,D57,C57)</f>
        <v>-0.01953125</v>
      </c>
      <c r="D58" s="41" t="n">
        <f aca="false">(B58+C58)/2</f>
        <v>-0.025390625</v>
      </c>
      <c r="E58" s="15" t="n">
        <f aca="false">$C$2*(1+IF(E$3&lt;=$O$2,$D58,$D58-($D58-$I$49)*MIN(E$3-$O$2,$Q$2)/$Q$2))</f>
        <v>2670.4296875</v>
      </c>
      <c r="F58" s="15" t="n">
        <f aca="false">E58*(1+IF(F$3&lt;=$O$2,$D58,$D58-($D58-$I$49)*MIN(F$3-$O$2,$Q$2)/$Q$2))</f>
        <v>2602.62580871582</v>
      </c>
      <c r="G58" s="15" t="n">
        <f aca="false">F58*(1+IF(G$3&lt;=$O$2,$D58,$D58-($D58-$I$49)*MIN(G$3-$O$2,$Q$2)/$Q$2))</f>
        <v>2536.5435127914</v>
      </c>
      <c r="H58" s="15" t="n">
        <f aca="false">G58*(1+IF(H$3&lt;=$O$2,$D58,$D58-($D58-$I$49)*MIN(H$3-$O$2,$Q$2)/$Q$2))</f>
        <v>2472.13908766193</v>
      </c>
      <c r="I58" s="15" t="n">
        <f aca="false">H58*(1+IF(I$3&lt;=$O$2,$D58,$D58-($D58-$I$49)*MIN(I$3-$O$2,$Q$2)/$Q$2))</f>
        <v>2409.36993113926</v>
      </c>
      <c r="J58" s="15" t="n">
        <f aca="false">I58*(1+IF(J$3&lt;=$O$2,$D58,$D58-($D58-$I$49)*MIN(J$3-$O$2,$Q$2)/$Q$2))</f>
        <v>2369.24789836096</v>
      </c>
      <c r="K58" s="15" t="n">
        <f aca="false">J58*(1+IF(K$3&lt;=$O$2,$D58,$D58-($D58-$I$49)*MIN(K$3-$O$2,$Q$2)/$Q$2))</f>
        <v>2350.49678202537</v>
      </c>
      <c r="L58" s="15" t="n">
        <f aca="false">K58*(1+IF(L$3&lt;=$O$2,$D58,$D58-($D58-$I$49)*MIN(L$3-$O$2,$Q$2)/$Q$2))</f>
        <v>2352.43300374957</v>
      </c>
      <c r="M58" s="15" t="n">
        <f aca="false">L58*(1+IF(M$3&lt;=$O$2,$D58,$D58-($D58-$I$49)*MIN(M$3-$O$2,$Q$2)/$Q$2))</f>
        <v>2374.92667407729</v>
      </c>
      <c r="N58" s="15" t="n">
        <f aca="false">M58*(1+IF(N$3&lt;=$O$2,$D58,$D58-($D58-$I$49)*MIN(N$3-$O$2,$Q$2)/$Q$2))</f>
        <v>2418.38783221291</v>
      </c>
      <c r="O58" s="15" t="n">
        <f aca="false">SUMPRODUCT(E58:N58,1/(1+$F$49)^$E$3:$N$3)*$E$2</f>
        <v>12006.1848831481</v>
      </c>
      <c r="P58" s="15" t="n">
        <f aca="false">N58*$E$2*(1+$I$49)/($F$49-$I$49)/(1+$F$49)^$N$3</f>
        <v>17894.7547923027</v>
      </c>
      <c r="Q58" s="15" t="n">
        <f aca="false">O58+P58</f>
        <v>29900.9396754508</v>
      </c>
      <c r="R58" s="15" t="n">
        <f aca="false">Q58-$G$2+$I$2</f>
        <v>30670.9396754508</v>
      </c>
      <c r="S58" s="42" t="n">
        <f aca="false">R58/$K$2</f>
        <v>293.698550947533</v>
      </c>
      <c r="T58" s="43" t="n">
        <f aca="false">S58-$M$2</f>
        <v>1.44536699656049</v>
      </c>
    </row>
    <row r="59" customFormat="false" ht="15" hidden="false" customHeight="false" outlineLevel="0" collapsed="false">
      <c r="A59" s="5" t="n">
        <v>9</v>
      </c>
      <c r="B59" s="25" t="n">
        <f aca="false">IF(T58&gt;0,B58,D58)</f>
        <v>-0.03125</v>
      </c>
      <c r="C59" s="25" t="n">
        <f aca="false">IF(T58&gt;0,D58,C58)</f>
        <v>-0.025390625</v>
      </c>
      <c r="D59" s="41" t="n">
        <f aca="false">(B59+C59)/2</f>
        <v>-0.0283203125</v>
      </c>
      <c r="E59" s="15" t="n">
        <f aca="false">$C$2*(1+IF(E$3&lt;=$O$2,$D59,$D59-($D59-$I$49)*MIN(E$3-$O$2,$Q$2)/$Q$2))</f>
        <v>2662.40234375</v>
      </c>
      <c r="F59" s="15" t="n">
        <f aca="false">E59*(1+IF(F$3&lt;=$O$2,$D59,$D59-($D59-$I$49)*MIN(F$3-$O$2,$Q$2)/$Q$2))</f>
        <v>2587.00227737427</v>
      </c>
      <c r="G59" s="15" t="n">
        <f aca="false">F59*(1+IF(G$3&lt;=$O$2,$D59,$D59-($D59-$I$49)*MIN(G$3-$O$2,$Q$2)/$Q$2))</f>
        <v>2513.73756444082</v>
      </c>
      <c r="H59" s="15" t="n">
        <f aca="false">G59*(1+IF(H$3&lt;=$O$2,$D59,$D59-($D59-$I$49)*MIN(H$3-$O$2,$Q$2)/$Q$2))</f>
        <v>2442.54773107286</v>
      </c>
      <c r="I59" s="15" t="n">
        <f aca="false">H59*(1+IF(I$3&lt;=$O$2,$D59,$D59-($D59-$I$49)*MIN(I$3-$O$2,$Q$2)/$Q$2))</f>
        <v>2373.37401603271</v>
      </c>
      <c r="J59" s="15" t="n">
        <f aca="false">I59*(1+IF(J$3&lt;=$O$2,$D59,$D59-($D59-$I$49)*MIN(J$3-$O$2,$Q$2)/$Q$2))</f>
        <v>2328.28880988065</v>
      </c>
      <c r="K59" s="15" t="n">
        <f aca="false">J59*(1+IF(K$3&lt;=$O$2,$D59,$D59-($D59-$I$49)*MIN(K$3-$O$2,$Q$2)/$Q$2))</f>
        <v>2305.76916395734</v>
      </c>
      <c r="L59" s="15" t="n">
        <f aca="false">K59*(1+IF(L$3&lt;=$O$2,$D59,$D59-($D59-$I$49)*MIN(L$3-$O$2,$Q$2)/$Q$2))</f>
        <v>2304.96646806713</v>
      </c>
      <c r="M59" s="15" t="n">
        <f aca="false">L59*(1+IF(M$3&lt;=$O$2,$D59,$D59-($D59-$I$49)*MIN(M$3-$O$2,$Q$2)/$Q$2))</f>
        <v>2325.6557030241</v>
      </c>
      <c r="N59" s="15" t="n">
        <f aca="false">M59*(1+IF(N$3&lt;=$O$2,$D59,$D59-($D59-$I$49)*MIN(N$3-$O$2,$Q$2)/$Q$2))</f>
        <v>2368.21520238944</v>
      </c>
      <c r="O59" s="15" t="n">
        <f aca="false">SUMPRODUCT(E59:N59,1/(1+$F$49)^$E$3:$N$3)*$E$2</f>
        <v>11851.5037375095</v>
      </c>
      <c r="P59" s="15" t="n">
        <f aca="false">N59*$E$2*(1+$I$49)/($F$49-$I$49)/(1+$F$49)^$N$3</f>
        <v>17523.5046164554</v>
      </c>
      <c r="Q59" s="15" t="n">
        <f aca="false">O59+P59</f>
        <v>29375.008353965</v>
      </c>
      <c r="R59" s="15" t="n">
        <f aca="false">Q59-$G$2+$I$2</f>
        <v>30145.008353965</v>
      </c>
      <c r="S59" s="42" t="n">
        <f aca="false">R59/$K$2</f>
        <v>288.662341797999</v>
      </c>
      <c r="T59" s="43" t="n">
        <f aca="false">S59-$M$2</f>
        <v>-3.59084215297349</v>
      </c>
    </row>
    <row r="60" customFormat="false" ht="15" hidden="false" customHeight="false" outlineLevel="0" collapsed="false">
      <c r="A60" s="5" t="n">
        <v>10</v>
      </c>
      <c r="B60" s="25" t="n">
        <f aca="false">IF(T59&gt;0,B59,D59)</f>
        <v>-0.0283203125</v>
      </c>
      <c r="C60" s="25" t="n">
        <f aca="false">IF(T59&gt;0,D59,C59)</f>
        <v>-0.025390625</v>
      </c>
      <c r="D60" s="41" t="n">
        <f aca="false">(B60+C60)/2</f>
        <v>-0.02685546875</v>
      </c>
      <c r="E60" s="15" t="n">
        <f aca="false">$C$2*(1+IF(E$3&lt;=$O$2,$D60,$D60-($D60-$I$49)*MIN(E$3-$O$2,$Q$2)/$Q$2))</f>
        <v>2666.416015625</v>
      </c>
      <c r="F60" s="15" t="n">
        <f aca="false">E60*(1+IF(F$3&lt;=$O$2,$D60,$D60-($D60-$I$49)*MIN(F$3-$O$2,$Q$2)/$Q$2))</f>
        <v>2594.80816364288</v>
      </c>
      <c r="G60" s="15" t="n">
        <f aca="false">F60*(1+IF(G$3&lt;=$O$2,$D60,$D60-($D60-$I$49)*MIN(G$3-$O$2,$Q$2)/$Q$2))</f>
        <v>2525.12337409193</v>
      </c>
      <c r="H60" s="15" t="n">
        <f aca="false">G60*(1+IF(H$3&lt;=$O$2,$D60,$D60-($D60-$I$49)*MIN(H$3-$O$2,$Q$2)/$Q$2))</f>
        <v>2457.31000222911</v>
      </c>
      <c r="I60" s="15" t="n">
        <f aca="false">H60*(1+IF(I$3&lt;=$O$2,$D60,$D60-($D60-$I$49)*MIN(I$3-$O$2,$Q$2)/$Q$2))</f>
        <v>2391.31779025518</v>
      </c>
      <c r="J60" s="15" t="n">
        <f aca="false">I60*(1+IF(J$3&lt;=$O$2,$D60,$D60-($D60-$I$49)*MIN(J$3-$O$2,$Q$2)/$Q$2))</f>
        <v>2348.6940452175</v>
      </c>
      <c r="K60" s="15" t="n">
        <f aca="false">J60*(1+IF(K$3&lt;=$O$2,$D60,$D60-($D60-$I$49)*MIN(K$3-$O$2,$Q$2)/$Q$2))</f>
        <v>2328.0413179077</v>
      </c>
      <c r="L60" s="15" t="n">
        <f aca="false">K60*(1+IF(L$3&lt;=$O$2,$D60,$D60-($D60-$I$49)*MIN(L$3-$O$2,$Q$2)/$Q$2))</f>
        <v>2328.59495523362</v>
      </c>
      <c r="M60" s="15" t="n">
        <f aca="false">L60*(1+IF(M$3&lt;=$O$2,$D60,$D60-($D60-$I$49)*MIN(M$3-$O$2,$Q$2)/$Q$2))</f>
        <v>2350.1784835679</v>
      </c>
      <c r="N60" s="15" t="n">
        <f aca="false">M60*(1+IF(N$3&lt;=$O$2,$D60,$D60-($D60-$I$49)*MIN(N$3-$O$2,$Q$2)/$Q$2))</f>
        <v>2393.18674981719</v>
      </c>
      <c r="O60" s="15" t="n">
        <f aca="false">SUMPRODUCT(E60:N60,1/(1+$F$49)^$E$3:$N$3)*$E$2</f>
        <v>11928.5867753208</v>
      </c>
      <c r="P60" s="15" t="n">
        <f aca="false">N60*$E$2*(1+$I$49)/($F$49-$I$49)/(1+$F$49)^$N$3</f>
        <v>17708.2804874104</v>
      </c>
      <c r="Q60" s="15" t="n">
        <f aca="false">O60+P60</f>
        <v>29636.8672627312</v>
      </c>
      <c r="R60" s="15" t="n">
        <f aca="false">Q60-$G$2+$I$2</f>
        <v>30406.8672627312</v>
      </c>
      <c r="S60" s="42" t="n">
        <f aca="false">R60/$K$2</f>
        <v>291.169848345602</v>
      </c>
      <c r="T60" s="43" t="n">
        <f aca="false">S60-$M$2</f>
        <v>-1.08333560537028</v>
      </c>
    </row>
    <row r="61" customFormat="false" ht="15" hidden="false" customHeight="false" outlineLevel="0" collapsed="false">
      <c r="A61" s="5" t="n">
        <v>11</v>
      </c>
      <c r="B61" s="25" t="n">
        <f aca="false">IF(T60&gt;0,B60,D60)</f>
        <v>-0.02685546875</v>
      </c>
      <c r="C61" s="25" t="n">
        <f aca="false">IF(T60&gt;0,D60,C60)</f>
        <v>-0.025390625</v>
      </c>
      <c r="D61" s="41" t="n">
        <f aca="false">(B61+C61)/2</f>
        <v>-0.026123046875</v>
      </c>
      <c r="E61" s="15" t="n">
        <f aca="false">$C$2*(1+IF(E$3&lt;=$O$2,$D61,$D61-($D61-$I$49)*MIN(E$3-$O$2,$Q$2)/$Q$2))</f>
        <v>2668.4228515625</v>
      </c>
      <c r="F61" s="15" t="n">
        <f aca="false">E61*(1+IF(F$3&lt;=$O$2,$D61,$D61-($D61-$I$49)*MIN(F$3-$O$2,$Q$2)/$Q$2))</f>
        <v>2598.71551632881</v>
      </c>
      <c r="G61" s="15" t="n">
        <f aca="false">F61*(1+IF(G$3&lt;=$O$2,$D61,$D61-($D61-$I$49)*MIN(G$3-$O$2,$Q$2)/$Q$2))</f>
        <v>2530.82914908096</v>
      </c>
      <c r="H61" s="15" t="n">
        <f aca="false">G61*(1+IF(H$3&lt;=$O$2,$D61,$D61-($D61-$I$49)*MIN(H$3-$O$2,$Q$2)/$Q$2))</f>
        <v>2464.71618058691</v>
      </c>
      <c r="I61" s="15" t="n">
        <f aca="false">H61*(1+IF(I$3&lt;=$O$2,$D61,$D61-($D61-$I$49)*MIN(I$3-$O$2,$Q$2)/$Q$2))</f>
        <v>2400.33028426786</v>
      </c>
      <c r="J61" s="15" t="n">
        <f aca="false">I61*(1+IF(J$3&lt;=$O$2,$D61,$D61-($D61-$I$49)*MIN(J$3-$O$2,$Q$2)/$Q$2))</f>
        <v>2358.95234068315</v>
      </c>
      <c r="K61" s="15" t="n">
        <f aca="false">J61*(1+IF(K$3&lt;=$O$2,$D61,$D61-($D61-$I$49)*MIN(K$3-$O$2,$Q$2)/$Q$2))</f>
        <v>2339.24605827402</v>
      </c>
      <c r="L61" s="15" t="n">
        <f aca="false">K61*(1+IF(L$3&lt;=$O$2,$D61,$D61-($D61-$I$49)*MIN(L$3-$O$2,$Q$2)/$Q$2))</f>
        <v>2340.48768622089</v>
      </c>
      <c r="M61" s="15" t="n">
        <f aca="false">L61*(1+IF(M$3&lt;=$O$2,$D61,$D61-($D61-$I$49)*MIN(M$3-$O$2,$Q$2)/$Q$2))</f>
        <v>2362.52429203966</v>
      </c>
      <c r="N61" s="15" t="n">
        <f aca="false">M61*(1+IF(N$3&lt;=$O$2,$D61,$D61-($D61-$I$49)*MIN(N$3-$O$2,$Q$2)/$Q$2))</f>
        <v>2405.75848658399</v>
      </c>
      <c r="O61" s="15" t="n">
        <f aca="false">SUMPRODUCT(E61:N61,1/(1+$F$49)^$E$3:$N$3)*$E$2</f>
        <v>11967.3212415672</v>
      </c>
      <c r="P61" s="15" t="n">
        <f aca="false">N61*$E$2*(1+$I$49)/($F$49-$I$49)/(1+$F$49)^$N$3</f>
        <v>17801.3045027311</v>
      </c>
      <c r="Q61" s="15" t="n">
        <f aca="false">O61+P61</f>
        <v>29768.6257442983</v>
      </c>
      <c r="R61" s="15" t="n">
        <f aca="false">Q61-$G$2+$I$2</f>
        <v>30538.6257442983</v>
      </c>
      <c r="S61" s="42" t="n">
        <f aca="false">R61/$K$2</f>
        <v>292.431540211609</v>
      </c>
      <c r="T61" s="43" t="n">
        <f aca="false">S61-$M$2</f>
        <v>0.178356260636917</v>
      </c>
    </row>
    <row r="62" customFormat="false" ht="15" hidden="false" customHeight="false" outlineLevel="0" collapsed="false">
      <c r="A62" s="5" t="n">
        <v>12</v>
      </c>
      <c r="B62" s="25" t="n">
        <f aca="false">IF(T61&gt;0,B61,D61)</f>
        <v>-0.02685546875</v>
      </c>
      <c r="C62" s="25" t="n">
        <f aca="false">IF(T61&gt;0,D61,C61)</f>
        <v>-0.026123046875</v>
      </c>
      <c r="D62" s="41" t="n">
        <f aca="false">(B62+C62)/2</f>
        <v>-0.0264892578125</v>
      </c>
      <c r="E62" s="15" t="n">
        <f aca="false">$C$2*(1+IF(E$3&lt;=$O$2,$D62,$D62-($D62-$I$49)*MIN(E$3-$O$2,$Q$2)/$Q$2))</f>
        <v>2667.41943359375</v>
      </c>
      <c r="F62" s="15" t="n">
        <f aca="false">E62*(1+IF(F$3&lt;=$O$2,$D62,$D62-($D62-$I$49)*MIN(F$3-$O$2,$Q$2)/$Q$2))</f>
        <v>2596.76147252321</v>
      </c>
      <c r="G62" s="15" t="n">
        <f aca="false">F62*(1+IF(G$3&lt;=$O$2,$D62,$D62-($D62-$I$49)*MIN(G$3-$O$2,$Q$2)/$Q$2))</f>
        <v>2527.97518839998</v>
      </c>
      <c r="H62" s="15" t="n">
        <f aca="false">G62*(1+IF(H$3&lt;=$O$2,$D62,$D62-($D62-$I$49)*MIN(H$3-$O$2,$Q$2)/$Q$2))</f>
        <v>2461.01100189085</v>
      </c>
      <c r="I62" s="15" t="n">
        <f aca="false">H62*(1+IF(I$3&lt;=$O$2,$D62,$D62-($D62-$I$49)*MIN(I$3-$O$2,$Q$2)/$Q$2))</f>
        <v>2395.82064698236</v>
      </c>
      <c r="J62" s="15" t="n">
        <f aca="false">I62*(1+IF(J$3&lt;=$O$2,$D62,$D62-($D62-$I$49)*MIN(J$3-$O$2,$Q$2)/$Q$2))</f>
        <v>2353.81854191798</v>
      </c>
      <c r="K62" s="15" t="n">
        <f aca="false">J62*(1+IF(K$3&lt;=$O$2,$D62,$D62-($D62-$I$49)*MIN(K$3-$O$2,$Q$2)/$Q$2))</f>
        <v>2333.63794992439</v>
      </c>
      <c r="L62" s="15" t="n">
        <f aca="false">K62*(1+IF(L$3&lt;=$O$2,$D62,$D62-($D62-$I$49)*MIN(L$3-$O$2,$Q$2)/$Q$2))</f>
        <v>2334.53475969593</v>
      </c>
      <c r="M62" s="15" t="n">
        <f aca="false">L62*(1+IF(M$3&lt;=$O$2,$D62,$D62-($D62-$I$49)*MIN(M$3-$O$2,$Q$2)/$Q$2))</f>
        <v>2356.34432995351</v>
      </c>
      <c r="N62" s="15" t="n">
        <f aca="false">M62*(1+IF(N$3&lt;=$O$2,$D62,$D62-($D62-$I$49)*MIN(N$3-$O$2,$Q$2)/$Q$2))</f>
        <v>2399.46543119166</v>
      </c>
      <c r="O62" s="15" t="n">
        <f aca="false">SUMPRODUCT(E62:N62,1/(1+$F$49)^$E$3:$N$3)*$E$2</f>
        <v>11947.9378870607</v>
      </c>
      <c r="P62" s="15" t="n">
        <f aca="false">N62*$E$2*(1+$I$49)/($F$49-$I$49)/(1+$F$49)^$N$3</f>
        <v>17754.7393151131</v>
      </c>
      <c r="Q62" s="15" t="n">
        <f aca="false">O62+P62</f>
        <v>29702.6772021738</v>
      </c>
      <c r="R62" s="15" t="n">
        <f aca="false">Q62-$G$2+$I$2</f>
        <v>30472.6772021738</v>
      </c>
      <c r="S62" s="42" t="n">
        <f aca="false">R62/$K$2</f>
        <v>291.800030663351</v>
      </c>
      <c r="T62" s="43" t="n">
        <f aca="false">S62-$M$2</f>
        <v>-0.453153287620637</v>
      </c>
    </row>
    <row r="63" customFormat="false" ht="15" hidden="false" customHeight="false" outlineLevel="0" collapsed="false">
      <c r="A63" s="5" t="n">
        <v>13</v>
      </c>
      <c r="B63" s="25" t="n">
        <f aca="false">IF(T62&gt;0,B62,D62)</f>
        <v>-0.0264892578125</v>
      </c>
      <c r="C63" s="25" t="n">
        <f aca="false">IF(T62&gt;0,D62,C62)</f>
        <v>-0.026123046875</v>
      </c>
      <c r="D63" s="41" t="n">
        <f aca="false">(B63+C63)/2</f>
        <v>-0.02630615234375</v>
      </c>
      <c r="E63" s="15" t="n">
        <f aca="false">$C$2*(1+IF(E$3&lt;=$O$2,$D63,$D63-($D63-$I$49)*MIN(E$3-$O$2,$Q$2)/$Q$2))</f>
        <v>2667.92114257813</v>
      </c>
      <c r="F63" s="15" t="n">
        <f aca="false">E63*(1+IF(F$3&lt;=$O$2,$D63,$D63-($D63-$I$49)*MIN(F$3-$O$2,$Q$2)/$Q$2))</f>
        <v>2597.73840256035</v>
      </c>
      <c r="G63" s="15" t="n">
        <f aca="false">F63*(1+IF(G$3&lt;=$O$2,$D63,$D63-($D63-$I$49)*MIN(G$3-$O$2,$Q$2)/$Q$2))</f>
        <v>2529.40190039339</v>
      </c>
      <c r="H63" s="15" t="n">
        <f aca="false">G63*(1+IF(H$3&lt;=$O$2,$D63,$D63-($D63-$I$49)*MIN(H$3-$O$2,$Q$2)/$Q$2))</f>
        <v>2462.86306866307</v>
      </c>
      <c r="I63" s="15" t="n">
        <f aca="false">H63*(1+IF(I$3&lt;=$O$2,$D63,$D63-($D63-$I$49)*MIN(I$3-$O$2,$Q$2)/$Q$2))</f>
        <v>2398.07461757703</v>
      </c>
      <c r="J63" s="15" t="n">
        <f aca="false">I63*(1+IF(J$3&lt;=$O$2,$D63,$D63-($D63-$I$49)*MIN(J$3-$O$2,$Q$2)/$Q$2))</f>
        <v>2356.38427770003</v>
      </c>
      <c r="K63" s="15" t="n">
        <f aca="false">J63*(1+IF(K$3&lt;=$O$2,$D63,$D63-($D63-$I$49)*MIN(K$3-$O$2,$Q$2)/$Q$2))</f>
        <v>2336.44056833904</v>
      </c>
      <c r="L63" s="15" t="n">
        <f aca="false">K63*(1+IF(L$3&lt;=$O$2,$D63,$D63-($D63-$I$49)*MIN(L$3-$O$2,$Q$2)/$Q$2))</f>
        <v>2337.50958116626</v>
      </c>
      <c r="M63" s="15" t="n">
        <f aca="false">L63*(1+IF(M$3&lt;=$O$2,$D63,$D63-($D63-$I$49)*MIN(M$3-$O$2,$Q$2)/$Q$2))</f>
        <v>2359.43254480511</v>
      </c>
      <c r="N63" s="15" t="n">
        <f aca="false">M63*(1+IF(N$3&lt;=$O$2,$D63,$D63-($D63-$I$49)*MIN(N$3-$O$2,$Q$2)/$Q$2))</f>
        <v>2402.61016037504</v>
      </c>
      <c r="O63" s="15" t="n">
        <f aca="false">SUMPRODUCT(E63:N63,1/(1+$F$49)^$E$3:$N$3)*$E$2</f>
        <v>11957.6255307792</v>
      </c>
      <c r="P63" s="15" t="n">
        <f aca="false">N63*$E$2*(1+$I$49)/($F$49-$I$49)/(1+$F$49)^$N$3</f>
        <v>17778.0086009056</v>
      </c>
      <c r="Q63" s="15" t="n">
        <f aca="false">O63+P63</f>
        <v>29735.6341316848</v>
      </c>
      <c r="R63" s="15" t="n">
        <f aca="false">Q63-$G$2+$I$2</f>
        <v>30505.6341316848</v>
      </c>
      <c r="S63" s="42" t="n">
        <f aca="false">R63/$K$2</f>
        <v>292.115619378385</v>
      </c>
      <c r="T63" s="43" t="n">
        <f aca="false">S63-$M$2</f>
        <v>-0.137564572586768</v>
      </c>
    </row>
    <row r="64" customFormat="false" ht="15" hidden="false" customHeight="false" outlineLevel="0" collapsed="false">
      <c r="A64" s="5" t="n">
        <v>14</v>
      </c>
      <c r="B64" s="25" t="n">
        <f aca="false">IF(T63&gt;0,B63,D63)</f>
        <v>-0.02630615234375</v>
      </c>
      <c r="C64" s="25" t="n">
        <f aca="false">IF(T63&gt;0,D63,C63)</f>
        <v>-0.026123046875</v>
      </c>
      <c r="D64" s="41" t="n">
        <f aca="false">(B64+C64)/2</f>
        <v>-0.026214599609375</v>
      </c>
      <c r="E64" s="15" t="n">
        <f aca="false">$C$2*(1+IF(E$3&lt;=$O$2,$D64,$D64-($D64-$I$49)*MIN(E$3-$O$2,$Q$2)/$Q$2))</f>
        <v>2668.17199707031</v>
      </c>
      <c r="F64" s="15" t="n">
        <f aca="false">E64*(1+IF(F$3&lt;=$O$2,$D64,$D64-($D64-$I$49)*MIN(F$3-$O$2,$Q$2)/$Q$2))</f>
        <v>2598.22693647817</v>
      </c>
      <c r="G64" s="15" t="n">
        <f aca="false">F64*(1+IF(G$3&lt;=$O$2,$D64,$D64-($D64-$I$49)*MIN(G$3-$O$2,$Q$2)/$Q$2))</f>
        <v>2530.1154576441</v>
      </c>
      <c r="H64" s="15" t="n">
        <f aca="false">G64*(1+IF(H$3&lt;=$O$2,$D64,$D64-($D64-$I$49)*MIN(H$3-$O$2,$Q$2)/$Q$2))</f>
        <v>2463.78949395647</v>
      </c>
      <c r="I64" s="15" t="n">
        <f aca="false">H64*(1+IF(I$3&lt;=$O$2,$D64,$D64-($D64-$I$49)*MIN(I$3-$O$2,$Q$2)/$Q$2))</f>
        <v>2399.20223885062</v>
      </c>
      <c r="J64" s="15" t="n">
        <f aca="false">I64*(1+IF(J$3&lt;=$O$2,$D64,$D64-($D64-$I$49)*MIN(J$3-$O$2,$Q$2)/$Q$2))</f>
        <v>2357.6680181861</v>
      </c>
      <c r="K64" s="15" t="n">
        <f aca="false">J64*(1+IF(K$3&lt;=$O$2,$D64,$D64-($D64-$I$49)*MIN(K$3-$O$2,$Q$2)/$Q$2))</f>
        <v>2337.84295421408</v>
      </c>
      <c r="L64" s="15" t="n">
        <f aca="false">K64*(1+IF(L$3&lt;=$O$2,$D64,$D64-($D64-$I$49)*MIN(L$3-$O$2,$Q$2)/$Q$2))</f>
        <v>2338.99822305362</v>
      </c>
      <c r="M64" s="15" t="n">
        <f aca="false">L64*(1+IF(M$3&lt;=$O$2,$D64,$D64-($D64-$I$49)*MIN(M$3-$O$2,$Q$2)/$Q$2))</f>
        <v>2360.97797665825</v>
      </c>
      <c r="N64" s="15" t="n">
        <f aca="false">M64*(1+IF(N$3&lt;=$O$2,$D64,$D64-($D64-$I$49)*MIN(N$3-$O$2,$Q$2)/$Q$2))</f>
        <v>2404.18387363109</v>
      </c>
      <c r="O64" s="15" t="n">
        <f aca="false">SUMPRODUCT(E64:N64,1/(1+$F$49)^$E$3:$N$3)*$E$2</f>
        <v>11962.4723773907</v>
      </c>
      <c r="P64" s="15" t="n">
        <f aca="false">N64*$E$2*(1+$I$49)/($F$49-$I$49)/(1+$F$49)^$N$3</f>
        <v>17789.6532231847</v>
      </c>
      <c r="Q64" s="15" t="n">
        <f aca="false">O64+P64</f>
        <v>29752.1256005753</v>
      </c>
      <c r="R64" s="15" t="n">
        <f aca="false">Q64-$G$2+$I$2</f>
        <v>30522.1256005753</v>
      </c>
      <c r="S64" s="42" t="n">
        <f aca="false">R64/$K$2</f>
        <v>292.2735382608</v>
      </c>
      <c r="T64" s="43" t="n">
        <f aca="false">S64-$M$2</f>
        <v>0.0203543098276668</v>
      </c>
    </row>
    <row r="65" customFormat="false" ht="15" hidden="false" customHeight="false" outlineLevel="0" collapsed="false">
      <c r="A65" s="5" t="n">
        <v>15</v>
      </c>
      <c r="B65" s="25" t="n">
        <f aca="false">IF(T64&gt;0,B64,D64)</f>
        <v>-0.02630615234375</v>
      </c>
      <c r="C65" s="25" t="n">
        <f aca="false">IF(T64&gt;0,D64,C64)</f>
        <v>-0.026214599609375</v>
      </c>
      <c r="D65" s="41" t="n">
        <f aca="false">(B65+C65)/2</f>
        <v>-0.0262603759765625</v>
      </c>
      <c r="E65" s="15" t="n">
        <f aca="false">$C$2*(1+IF(E$3&lt;=$O$2,$D65,$D65-($D65-$I$49)*MIN(E$3-$O$2,$Q$2)/$Q$2))</f>
        <v>2668.04656982422</v>
      </c>
      <c r="F65" s="15" t="n">
        <f aca="false">E65*(1+IF(F$3&lt;=$O$2,$D65,$D65-($D65-$I$49)*MIN(F$3-$O$2,$Q$2)/$Q$2))</f>
        <v>2597.98266377766</v>
      </c>
      <c r="G65" s="15" t="n">
        <f aca="false">F65*(1+IF(G$3&lt;=$O$2,$D65,$D65-($D65-$I$49)*MIN(G$3-$O$2,$Q$2)/$Q$2))</f>
        <v>2529.75866224626</v>
      </c>
      <c r="H65" s="15" t="n">
        <f aca="false">G65*(1+IF(H$3&lt;=$O$2,$D65,$D65-($D65-$I$49)*MIN(H$3-$O$2,$Q$2)/$Q$2))</f>
        <v>2463.32624864571</v>
      </c>
      <c r="I65" s="15" t="n">
        <f aca="false">H65*(1+IF(I$3&lt;=$O$2,$D65,$D65-($D65-$I$49)*MIN(I$3-$O$2,$Q$2)/$Q$2))</f>
        <v>2398.63837520334</v>
      </c>
      <c r="J65" s="15" t="n">
        <f aca="false">I65*(1+IF(J$3&lt;=$O$2,$D65,$D65-($D65-$I$49)*MIN(J$3-$O$2,$Q$2)/$Q$2))</f>
        <v>2357.02607520486</v>
      </c>
      <c r="K65" s="15" t="n">
        <f aca="false">J65*(1+IF(K$3&lt;=$O$2,$D65,$D65-($D65-$I$49)*MIN(K$3-$O$2,$Q$2)/$Q$2))</f>
        <v>2337.1416715225</v>
      </c>
      <c r="L65" s="15" t="n">
        <f aca="false">K65*(1+IF(L$3&lt;=$O$2,$D65,$D65-($D65-$I$49)*MIN(L$3-$O$2,$Q$2)/$Q$2))</f>
        <v>2338.25379947395</v>
      </c>
      <c r="M65" s="15" t="n">
        <f aca="false">L65*(1+IF(M$3&lt;=$O$2,$D65,$D65-($D65-$I$49)*MIN(M$3-$O$2,$Q$2)/$Q$2))</f>
        <v>2360.20515031768</v>
      </c>
      <c r="N65" s="15" t="n">
        <f aca="false">M65*(1+IF(N$3&lt;=$O$2,$D65,$D65-($D65-$I$49)*MIN(N$3-$O$2,$Q$2)/$Q$2))</f>
        <v>2403.3969045685</v>
      </c>
      <c r="O65" s="15" t="n">
        <f aca="false">SUMPRODUCT(E65:N65,1/(1+$F$49)^$E$3:$N$3)*$E$2</f>
        <v>11960.0487019392</v>
      </c>
      <c r="P65" s="15" t="n">
        <f aca="false">N65*$E$2*(1+$I$49)/($F$49-$I$49)/(1+$F$49)^$N$3</f>
        <v>17783.8300800904</v>
      </c>
      <c r="Q65" s="15" t="n">
        <f aca="false">O65+P65</f>
        <v>29743.8787820296</v>
      </c>
      <c r="R65" s="15" t="n">
        <f aca="false">Q65-$G$2+$I$2</f>
        <v>30513.8787820296</v>
      </c>
      <c r="S65" s="42" t="n">
        <f aca="false">R65/$K$2</f>
        <v>292.194568438472</v>
      </c>
      <c r="T65" s="43" t="n">
        <f aca="false">S65-$M$2</f>
        <v>-0.0586155125004098</v>
      </c>
    </row>
    <row r="66" customFormat="false" ht="15" hidden="false" customHeight="false" outlineLevel="0" collapsed="false">
      <c r="A66" s="5" t="n">
        <v>16</v>
      </c>
      <c r="B66" s="25" t="n">
        <f aca="false">IF(T65&gt;0,B65,D65)</f>
        <v>-0.0262603759765625</v>
      </c>
      <c r="C66" s="25" t="n">
        <f aca="false">IF(T65&gt;0,D65,C65)</f>
        <v>-0.026214599609375</v>
      </c>
      <c r="D66" s="41" t="n">
        <f aca="false">(B66+C66)/2</f>
        <v>-0.0262374877929688</v>
      </c>
      <c r="E66" s="15" t="n">
        <f aca="false">$C$2*(1+IF(E$3&lt;=$O$2,$D66,$D66-($D66-$I$49)*MIN(E$3-$O$2,$Q$2)/$Q$2))</f>
        <v>2668.10928344727</v>
      </c>
      <c r="F66" s="15" t="n">
        <f aca="false">E66*(1+IF(F$3&lt;=$O$2,$D66,$D66-($D66-$I$49)*MIN(F$3-$O$2,$Q$2)/$Q$2))</f>
        <v>2598.10479869251</v>
      </c>
      <c r="G66" s="15" t="n">
        <f aca="false">F66*(1+IF(G$3&lt;=$O$2,$D66,$D66-($D66-$I$49)*MIN(G$3-$O$2,$Q$2)/$Q$2))</f>
        <v>2529.93705575196</v>
      </c>
      <c r="H66" s="15" t="n">
        <f aca="false">G66*(1+IF(H$3&lt;=$O$2,$D66,$D66-($D66-$I$49)*MIN(H$3-$O$2,$Q$2)/$Q$2))</f>
        <v>2463.55786313469</v>
      </c>
      <c r="I66" s="15" t="n">
        <f aca="false">H66*(1+IF(I$3&lt;=$O$2,$D66,$D66-($D66-$I$49)*MIN(I$3-$O$2,$Q$2)/$Q$2))</f>
        <v>2398.92029377342</v>
      </c>
      <c r="J66" s="15" t="n">
        <f aca="false">I66*(1+IF(J$3&lt;=$O$2,$D66,$D66-($D66-$I$49)*MIN(J$3-$O$2,$Q$2)/$Q$2))</f>
        <v>2357.34702850929</v>
      </c>
      <c r="K66" s="15" t="n">
        <f aca="false">J66*(1+IF(K$3&lt;=$O$2,$D66,$D66-($D66-$I$49)*MIN(K$3-$O$2,$Q$2)/$Q$2))</f>
        <v>2337.49229042739</v>
      </c>
      <c r="L66" s="15" t="n">
        <f aca="false">K66*(1+IF(L$3&lt;=$O$2,$D66,$D66-($D66-$I$49)*MIN(L$3-$O$2,$Q$2)/$Q$2))</f>
        <v>2338.62598560179</v>
      </c>
      <c r="M66" s="15" t="n">
        <f aca="false">L66*(1+IF(M$3&lt;=$O$2,$D66,$D66-($D66-$I$49)*MIN(M$3-$O$2,$Q$2)/$Q$2))</f>
        <v>2360.59153588109</v>
      </c>
      <c r="N66" s="15" t="n">
        <f aca="false">M66*(1+IF(N$3&lt;=$O$2,$D66,$D66-($D66-$I$49)*MIN(N$3-$O$2,$Q$2)/$Q$2))</f>
        <v>2403.79036098771</v>
      </c>
      <c r="O66" s="15" t="n">
        <f aca="false">SUMPRODUCT(E66:N66,1/(1+$F$49)^$E$3:$N$3)*$E$2</f>
        <v>11961.2604766222</v>
      </c>
      <c r="P66" s="15" t="n">
        <f aca="false">N66*$E$2*(1+$I$49)/($F$49-$I$49)/(1+$F$49)^$N$3</f>
        <v>17786.7414436234</v>
      </c>
      <c r="Q66" s="15" t="n">
        <f aca="false">O66+P66</f>
        <v>29748.0019202457</v>
      </c>
      <c r="R66" s="15" t="n">
        <f aca="false">Q66-$G$2+$I$2</f>
        <v>30518.0019202457</v>
      </c>
      <c r="S66" s="42" t="n">
        <f aca="false">R66/$K$2</f>
        <v>292.234050754052</v>
      </c>
      <c r="T66" s="43" t="n">
        <f aca="false">S66-$M$2</f>
        <v>-0.019133196919995</v>
      </c>
    </row>
    <row r="67" customFormat="false" ht="15" hidden="false" customHeight="false" outlineLevel="0" collapsed="false">
      <c r="A67" s="5" t="n">
        <v>17</v>
      </c>
      <c r="B67" s="25" t="n">
        <f aca="false">IF(T66&gt;0,B66,D66)</f>
        <v>-0.0262374877929688</v>
      </c>
      <c r="C67" s="25" t="n">
        <f aca="false">IF(T66&gt;0,D66,C66)</f>
        <v>-0.026214599609375</v>
      </c>
      <c r="D67" s="41" t="n">
        <f aca="false">(B67+C67)/2</f>
        <v>-0.0262260437011719</v>
      </c>
      <c r="E67" s="15" t="n">
        <f aca="false">$C$2*(1+IF(E$3&lt;=$O$2,$D67,$D67-($D67-$I$49)*MIN(E$3-$O$2,$Q$2)/$Q$2))</f>
        <v>2668.14064025879</v>
      </c>
      <c r="F67" s="15" t="n">
        <f aca="false">E67*(1+IF(F$3&lt;=$O$2,$D67,$D67-($D67-$I$49)*MIN(F$3-$O$2,$Q$2)/$Q$2))</f>
        <v>2598.16586722649</v>
      </c>
      <c r="G67" s="15" t="n">
        <f aca="false">F67*(1+IF(G$3&lt;=$O$2,$D67,$D67-($D67-$I$49)*MIN(G$3-$O$2,$Q$2)/$Q$2))</f>
        <v>2530.02625564971</v>
      </c>
      <c r="H67" s="15" t="n">
        <f aca="false">G67*(1+IF(H$3&lt;=$O$2,$D67,$D67-($D67-$I$49)*MIN(H$3-$O$2,$Q$2)/$Q$2))</f>
        <v>2463.67367650393</v>
      </c>
      <c r="I67" s="15" t="n">
        <f aca="false">H67*(1+IF(I$3&lt;=$O$2,$D67,$D67-($D67-$I$49)*MIN(I$3-$O$2,$Q$2)/$Q$2))</f>
        <v>2399.06126299851</v>
      </c>
      <c r="J67" s="15" t="n">
        <f aca="false">I67*(1+IF(J$3&lt;=$O$2,$D67,$D67-($D67-$I$49)*MIN(J$3-$O$2,$Q$2)/$Q$2))</f>
        <v>2357.50751880094</v>
      </c>
      <c r="K67" s="15" t="n">
        <f aca="false">J67*(1+IF(K$3&lt;=$O$2,$D67,$D67-($D67-$I$49)*MIN(K$3-$O$2,$Q$2)/$Q$2))</f>
        <v>2337.66761671021</v>
      </c>
      <c r="L67" s="15" t="n">
        <f aca="false">K67*(1+IF(L$3&lt;=$O$2,$D67,$D67-($D67-$I$49)*MIN(L$3-$O$2,$Q$2)/$Q$2))</f>
        <v>2338.81209791183</v>
      </c>
      <c r="M67" s="15" t="n">
        <f aca="false">L67*(1+IF(M$3&lt;=$O$2,$D67,$D67-($D67-$I$49)*MIN(M$3-$O$2,$Q$2)/$Q$2))</f>
        <v>2360.78474936752</v>
      </c>
      <c r="N67" s="15" t="n">
        <f aca="false">M67*(1+IF(N$3&lt;=$O$2,$D67,$D67-($D67-$I$49)*MIN(N$3-$O$2,$Q$2)/$Q$2))</f>
        <v>2403.98711028095</v>
      </c>
      <c r="O67" s="15" t="n">
        <f aca="false">SUMPRODUCT(E67:N67,1/(1+$F$49)^$E$3:$N$3)*$E$2</f>
        <v>11961.866411245</v>
      </c>
      <c r="P67" s="15" t="n">
        <f aca="false">N67*$E$2*(1+$I$49)/($F$49-$I$49)/(1+$F$49)^$N$3</f>
        <v>17788.1972813973</v>
      </c>
      <c r="Q67" s="15" t="n">
        <f aca="false">O67+P67</f>
        <v>29750.0636926423</v>
      </c>
      <c r="R67" s="15" t="n">
        <f aca="false">Q67-$G$2+$I$2</f>
        <v>30520.0636926423</v>
      </c>
      <c r="S67" s="42" t="n">
        <f aca="false">R67/$K$2</f>
        <v>292.253793858492</v>
      </c>
      <c r="T67" s="43" t="n">
        <f aca="false">S67-$M$2</f>
        <v>0.000609907519901753</v>
      </c>
    </row>
    <row r="68" customFormat="false" ht="15" hidden="false" customHeight="false" outlineLevel="0" collapsed="false">
      <c r="A68" s="5" t="n">
        <v>18</v>
      </c>
      <c r="B68" s="25" t="n">
        <f aca="false">IF(T67&gt;0,B67,D67)</f>
        <v>-0.0262374877929688</v>
      </c>
      <c r="C68" s="25" t="n">
        <f aca="false">IF(T67&gt;0,D67,C67)</f>
        <v>-0.0262260437011719</v>
      </c>
      <c r="D68" s="41" t="n">
        <f aca="false">(B68+C68)/2</f>
        <v>-0.0262317657470703</v>
      </c>
      <c r="E68" s="15" t="n">
        <f aca="false">$C$2*(1+IF(E$3&lt;=$O$2,$D68,$D68-($D68-$I$49)*MIN(E$3-$O$2,$Q$2)/$Q$2))</f>
        <v>2668.12496185303</v>
      </c>
      <c r="F68" s="15" t="n">
        <f aca="false">E68*(1+IF(F$3&lt;=$O$2,$D68,$D68-($D68-$I$49)*MIN(F$3-$O$2,$Q$2)/$Q$2))</f>
        <v>2598.13533286979</v>
      </c>
      <c r="G68" s="15" t="n">
        <f aca="false">F68*(1+IF(G$3&lt;=$O$2,$D68,$D68-($D68-$I$49)*MIN(G$3-$O$2,$Q$2)/$Q$2))</f>
        <v>2529.98165543876</v>
      </c>
      <c r="H68" s="15" t="n">
        <f aca="false">G68*(1+IF(H$3&lt;=$O$2,$D68,$D68-($D68-$I$49)*MIN(H$3-$O$2,$Q$2)/$Q$2))</f>
        <v>2463.61576930891</v>
      </c>
      <c r="I68" s="15" t="n">
        <f aca="false">H68*(1+IF(I$3&lt;=$O$2,$D68,$D68-($D68-$I$49)*MIN(I$3-$O$2,$Q$2)/$Q$2))</f>
        <v>2398.99077755761</v>
      </c>
      <c r="J68" s="15" t="n">
        <f aca="false">I68*(1+IF(J$3&lt;=$O$2,$D68,$D68-($D68-$I$49)*MIN(J$3-$O$2,$Q$2)/$Q$2))</f>
        <v>2357.42727251845</v>
      </c>
      <c r="K68" s="15" t="n">
        <f aca="false">J68*(1+IF(K$3&lt;=$O$2,$D68,$D68-($D68-$I$49)*MIN(K$3-$O$2,$Q$2)/$Q$2))</f>
        <v>2337.57995216621</v>
      </c>
      <c r="L68" s="15" t="n">
        <f aca="false">K68*(1+IF(L$3&lt;=$O$2,$D68,$D68-($D68-$I$49)*MIN(L$3-$O$2,$Q$2)/$Q$2))</f>
        <v>2338.71904015289</v>
      </c>
      <c r="M68" s="15" t="n">
        <f aca="false">L68*(1+IF(M$3&lt;=$O$2,$D68,$D68-($D68-$I$49)*MIN(M$3-$O$2,$Q$2)/$Q$2))</f>
        <v>2360.68814089882</v>
      </c>
      <c r="N68" s="15" t="n">
        <f aca="false">M68*(1+IF(N$3&lt;=$O$2,$D68,$D68-($D68-$I$49)*MIN(N$3-$O$2,$Q$2)/$Q$2))</f>
        <v>2403.88873387727</v>
      </c>
      <c r="O68" s="15" t="n">
        <f aca="false">SUMPRODUCT(E68:N68,1/(1+$F$49)^$E$3:$N$3)*$E$2</f>
        <v>11961.5634399934</v>
      </c>
      <c r="P68" s="15" t="n">
        <f aca="false">N68*$E$2*(1+$I$49)/($F$49-$I$49)/(1+$F$49)^$N$3</f>
        <v>17787.4693495091</v>
      </c>
      <c r="Q68" s="15" t="n">
        <f aca="false">O68+P68</f>
        <v>29749.0327895024</v>
      </c>
      <c r="R68" s="15" t="n">
        <f aca="false">Q68-$G$2+$I$2</f>
        <v>30519.0327895024</v>
      </c>
      <c r="S68" s="42" t="n">
        <f aca="false">R68/$K$2</f>
        <v>292.243922144043</v>
      </c>
      <c r="T68" s="43" t="n">
        <f aca="false">S68-$M$2</f>
        <v>-0.00926180692874823</v>
      </c>
    </row>
    <row r="69" customFormat="false" ht="15" hidden="false" customHeight="false" outlineLevel="0" collapsed="false">
      <c r="A69" s="5" t="n">
        <v>19</v>
      </c>
      <c r="B69" s="25" t="n">
        <f aca="false">IF(T68&gt;0,B68,D68)</f>
        <v>-0.0262317657470703</v>
      </c>
      <c r="C69" s="25" t="n">
        <f aca="false">IF(T68&gt;0,D68,C68)</f>
        <v>-0.0262260437011719</v>
      </c>
      <c r="D69" s="41" t="n">
        <f aca="false">(B69+C69)/2</f>
        <v>-0.0262289047241211</v>
      </c>
      <c r="E69" s="15" t="n">
        <f aca="false">$C$2*(1+IF(E$3&lt;=$O$2,$D69,$D69-($D69-$I$49)*MIN(E$3-$O$2,$Q$2)/$Q$2))</f>
        <v>2668.13280105591</v>
      </c>
      <c r="F69" s="15" t="n">
        <f aca="false">E69*(1+IF(F$3&lt;=$O$2,$D69,$D69-($D69-$I$49)*MIN(F$3-$O$2,$Q$2)/$Q$2))</f>
        <v>2598.15060002571</v>
      </c>
      <c r="G69" s="15" t="n">
        <f aca="false">F69*(1+IF(G$3&lt;=$O$2,$D69,$D69-($D69-$I$49)*MIN(G$3-$O$2,$Q$2)/$Q$2))</f>
        <v>2530.00395547872</v>
      </c>
      <c r="H69" s="15" t="n">
        <f aca="false">G69*(1+IF(H$3&lt;=$O$2,$D69,$D69-($D69-$I$49)*MIN(H$3-$O$2,$Q$2)/$Q$2))</f>
        <v>2463.64472277882</v>
      </c>
      <c r="I69" s="15" t="n">
        <f aca="false">H69*(1+IF(I$3&lt;=$O$2,$D69,$D69-($D69-$I$49)*MIN(I$3-$O$2,$Q$2)/$Q$2))</f>
        <v>2399.02602007097</v>
      </c>
      <c r="J69" s="15" t="n">
        <f aca="false">I69*(1+IF(J$3&lt;=$O$2,$D69,$D69-($D69-$I$49)*MIN(J$3-$O$2,$Q$2)/$Q$2))</f>
        <v>2357.46739537552</v>
      </c>
      <c r="K69" s="15" t="n">
        <f aca="false">J69*(1+IF(K$3&lt;=$O$2,$D69,$D69-($D69-$I$49)*MIN(K$3-$O$2,$Q$2)/$Q$2))</f>
        <v>2337.62378408756</v>
      </c>
      <c r="L69" s="15" t="n">
        <f aca="false">K69*(1+IF(L$3&lt;=$O$2,$D69,$D69-($D69-$I$49)*MIN(L$3-$O$2,$Q$2)/$Q$2))</f>
        <v>2338.76556863137</v>
      </c>
      <c r="M69" s="15" t="n">
        <f aca="false">L69*(1+IF(M$3&lt;=$O$2,$D69,$D69-($D69-$I$49)*MIN(M$3-$O$2,$Q$2)/$Q$2))</f>
        <v>2360.7364447018</v>
      </c>
      <c r="N69" s="15" t="n">
        <f aca="false">M69*(1+IF(N$3&lt;=$O$2,$D69,$D69-($D69-$I$49)*MIN(N$3-$O$2,$Q$2)/$Q$2))</f>
        <v>2403.93792163984</v>
      </c>
      <c r="O69" s="15" t="n">
        <f aca="false">SUMPRODUCT(E69:N69,1/(1+$F$49)^$E$3:$N$3)*$E$2</f>
        <v>11961.7149246341</v>
      </c>
      <c r="P69" s="15" t="n">
        <f aca="false">N69*$E$2*(1+$I$49)/($F$49-$I$49)/(1+$F$49)^$N$3</f>
        <v>17787.8333122028</v>
      </c>
      <c r="Q69" s="15" t="n">
        <f aca="false">O69+P69</f>
        <v>29749.5482368369</v>
      </c>
      <c r="R69" s="15" t="n">
        <f aca="false">Q69-$G$2+$I$2</f>
        <v>30519.5482368369</v>
      </c>
      <c r="S69" s="42" t="n">
        <f aca="false">R69/$K$2</f>
        <v>292.24885796071</v>
      </c>
      <c r="T69" s="43" t="n">
        <f aca="false">S69-$M$2</f>
        <v>-0.00432599026225944</v>
      </c>
    </row>
    <row r="70" customFormat="false" ht="15" hidden="false" customHeight="false" outlineLevel="0" collapsed="false">
      <c r="A70" s="5" t="n">
        <v>20</v>
      </c>
      <c r="B70" s="25" t="n">
        <f aca="false">IF(T69&gt;0,B69,D69)</f>
        <v>-0.0262289047241211</v>
      </c>
      <c r="C70" s="25" t="n">
        <f aca="false">IF(T69&gt;0,D69,C69)</f>
        <v>-0.0262260437011719</v>
      </c>
      <c r="D70" s="41" t="n">
        <f aca="false">(B70+C70)/2</f>
        <v>-0.0262274742126465</v>
      </c>
      <c r="E70" s="15" t="n">
        <f aca="false">$C$2*(1+IF(E$3&lt;=$O$2,$D70,$D70-($D70-$I$49)*MIN(E$3-$O$2,$Q$2)/$Q$2))</f>
        <v>2668.13672065735</v>
      </c>
      <c r="F70" s="15" t="n">
        <f aca="false">E70*(1+IF(F$3&lt;=$O$2,$D70,$D70-($D70-$I$49)*MIN(F$3-$O$2,$Q$2)/$Q$2))</f>
        <v>2598.15823362049</v>
      </c>
      <c r="G70" s="15" t="n">
        <f aca="false">F70*(1+IF(G$3&lt;=$O$2,$D70,$D70-($D70-$I$49)*MIN(G$3-$O$2,$Q$2)/$Q$2))</f>
        <v>2530.01510554784</v>
      </c>
      <c r="H70" s="15" t="n">
        <f aca="false">G70*(1+IF(H$3&lt;=$O$2,$D70,$D70-($D70-$I$49)*MIN(H$3-$O$2,$Q$2)/$Q$2))</f>
        <v>2463.65919960947</v>
      </c>
      <c r="I70" s="15" t="n">
        <f aca="false">H70*(1+IF(I$3&lt;=$O$2,$D70,$D70-($D70-$I$49)*MIN(I$3-$O$2,$Q$2)/$Q$2))</f>
        <v>2399.04364148297</v>
      </c>
      <c r="J70" s="15" t="n">
        <f aca="false">I70*(1+IF(J$3&lt;=$O$2,$D70,$D70-($D70-$I$49)*MIN(J$3-$O$2,$Q$2)/$Q$2))</f>
        <v>2357.48745701719</v>
      </c>
      <c r="K70" s="15" t="n">
        <f aca="false">J70*(1+IF(K$3&lt;=$O$2,$D70,$D70-($D70-$I$49)*MIN(K$3-$O$2,$Q$2)/$Q$2))</f>
        <v>2337.64570031122</v>
      </c>
      <c r="L70" s="15" t="n">
        <f aca="false">K70*(1+IF(L$3&lt;=$O$2,$D70,$D70-($D70-$I$49)*MIN(L$3-$O$2,$Q$2)/$Q$2))</f>
        <v>2338.78883317135</v>
      </c>
      <c r="M70" s="15" t="n">
        <f aca="false">L70*(1+IF(M$3&lt;=$O$2,$D70,$D70-($D70-$I$49)*MIN(M$3-$O$2,$Q$2)/$Q$2))</f>
        <v>2360.76059692681</v>
      </c>
      <c r="N70" s="15" t="n">
        <f aca="false">M70*(1+IF(N$3&lt;=$O$2,$D70,$D70-($D70-$I$49)*MIN(N$3-$O$2,$Q$2)/$Q$2))</f>
        <v>2403.96251585058</v>
      </c>
      <c r="O70" s="15" t="n">
        <f aca="false">SUMPRODUCT(E70:N70,1/(1+$F$49)^$E$3:$N$3)*$E$2</f>
        <v>11961.7906676933</v>
      </c>
      <c r="P70" s="15" t="n">
        <f aca="false">N70*$E$2*(1+$I$49)/($F$49-$I$49)/(1+$F$49)^$N$3</f>
        <v>17788.0152959875</v>
      </c>
      <c r="Q70" s="15" t="n">
        <f aca="false">O70+P70</f>
        <v>29749.8059636808</v>
      </c>
      <c r="R70" s="15" t="n">
        <f aca="false">Q70-$G$2+$I$2</f>
        <v>30519.8059636808</v>
      </c>
      <c r="S70" s="42" t="n">
        <f aca="false">R70/$K$2</f>
        <v>292.251325899461</v>
      </c>
      <c r="T70" s="43" t="n">
        <f aca="false">S70-$M$2</f>
        <v>-0.00185805151068053</v>
      </c>
    </row>
    <row r="71" customFormat="false" ht="15" hidden="false" customHeight="false" outlineLevel="0" collapsed="false">
      <c r="A71" s="5" t="n">
        <v>21</v>
      </c>
      <c r="B71" s="25" t="n">
        <f aca="false">IF(T70&gt;0,B70,D70)</f>
        <v>-0.0262274742126465</v>
      </c>
      <c r="C71" s="25" t="n">
        <f aca="false">IF(T70&gt;0,D70,C70)</f>
        <v>-0.0262260437011719</v>
      </c>
      <c r="D71" s="41" t="n">
        <f aca="false">(B71+C71)/2</f>
        <v>-0.0262267589569092</v>
      </c>
      <c r="E71" s="15" t="n">
        <f aca="false">$C$2*(1+IF(E$3&lt;=$O$2,$D71,$D71-($D71-$I$49)*MIN(E$3-$O$2,$Q$2)/$Q$2))</f>
        <v>2668.13868045807</v>
      </c>
      <c r="F71" s="15" t="n">
        <f aca="false">E71*(1+IF(F$3&lt;=$O$2,$D71,$D71-($D71-$I$49)*MIN(F$3-$O$2,$Q$2)/$Q$2))</f>
        <v>2598.16205042209</v>
      </c>
      <c r="G71" s="15" t="n">
        <f aca="false">F71*(1+IF(G$3&lt;=$O$2,$D71,$D71-($D71-$I$49)*MIN(G$3-$O$2,$Q$2)/$Q$2))</f>
        <v>2530.02068059468</v>
      </c>
      <c r="H71" s="15" t="n">
        <f aca="false">G71*(1+IF(H$3&lt;=$O$2,$D71,$D71-($D71-$I$49)*MIN(H$3-$O$2,$Q$2)/$Q$2))</f>
        <v>2463.66643804873</v>
      </c>
      <c r="I71" s="15" t="n">
        <f aca="false">H71*(1+IF(I$3&lt;=$O$2,$D71,$D71-($D71-$I$49)*MIN(I$3-$O$2,$Q$2)/$Q$2))</f>
        <v>2399.0524522278</v>
      </c>
      <c r="J71" s="15" t="n">
        <f aca="false">I71*(1+IF(J$3&lt;=$O$2,$D71,$D71-($D71-$I$49)*MIN(J$3-$O$2,$Q$2)/$Q$2))</f>
        <v>2357.4974878913</v>
      </c>
      <c r="K71" s="15" t="n">
        <f aca="false">J71*(1+IF(K$3&lt;=$O$2,$D71,$D71-($D71-$I$49)*MIN(K$3-$O$2,$Q$2)/$Q$2))</f>
        <v>2337.6566584888</v>
      </c>
      <c r="L71" s="15" t="n">
        <f aca="false">K71*(1+IF(L$3&lt;=$O$2,$D71,$D71-($D71-$I$49)*MIN(L$3-$O$2,$Q$2)/$Q$2))</f>
        <v>2338.80046551653</v>
      </c>
      <c r="M71" s="15" t="n">
        <f aca="false">L71*(1+IF(M$3&lt;=$O$2,$D71,$D71-($D71-$I$49)*MIN(M$3-$O$2,$Q$2)/$Q$2))</f>
        <v>2360.77267312021</v>
      </c>
      <c r="N71" s="15" t="n">
        <f aca="false">M71*(1+IF(N$3&lt;=$O$2,$D71,$D71-($D71-$I$49)*MIN(N$3-$O$2,$Q$2)/$Q$2))</f>
        <v>2403.97481303831</v>
      </c>
      <c r="O71" s="15" t="n">
        <f aca="false">SUMPRODUCT(E71:N71,1/(1+$F$49)^$E$3:$N$3)*$E$2</f>
        <v>11961.8285394076</v>
      </c>
      <c r="P71" s="15" t="n">
        <f aca="false">N71*$E$2*(1+$I$49)/($F$49-$I$49)/(1+$F$49)^$N$3</f>
        <v>17788.1062884892</v>
      </c>
      <c r="Q71" s="15" t="n">
        <f aca="false">O71+P71</f>
        <v>29749.9348278968</v>
      </c>
      <c r="R71" s="15" t="n">
        <f aca="false">Q71-$G$2+$I$2</f>
        <v>30519.9348278968</v>
      </c>
      <c r="S71" s="42" t="n">
        <f aca="false">R71/$K$2</f>
        <v>292.252559876442</v>
      </c>
      <c r="T71" s="43" t="n">
        <f aca="false">S71-$M$2</f>
        <v>-0.000624074530207963</v>
      </c>
    </row>
    <row r="72" customFormat="false" ht="15" hidden="false" customHeight="false" outlineLevel="0" collapsed="false">
      <c r="A72" s="5" t="n">
        <v>22</v>
      </c>
      <c r="B72" s="25" t="n">
        <f aca="false">IF(T71&gt;0,B71,D71)</f>
        <v>-0.0262267589569092</v>
      </c>
      <c r="C72" s="25" t="n">
        <f aca="false">IF(T71&gt;0,D71,C71)</f>
        <v>-0.0262260437011719</v>
      </c>
      <c r="D72" s="41" t="n">
        <f aca="false">(B72+C72)/2</f>
        <v>-0.0262264013290405</v>
      </c>
      <c r="E72" s="15" t="n">
        <f aca="false">$C$2*(1+IF(E$3&lt;=$O$2,$D72,$D72-($D72-$I$49)*MIN(E$3-$O$2,$Q$2)/$Q$2))</f>
        <v>2668.13966035843</v>
      </c>
      <c r="F72" s="15" t="n">
        <f aca="false">E72*(1+IF(F$3&lt;=$O$2,$D72,$D72-($D72-$I$49)*MIN(F$3-$O$2,$Q$2)/$Q$2))</f>
        <v>2598.16395882394</v>
      </c>
      <c r="G72" s="15" t="n">
        <f aca="false">F72*(1+IF(G$3&lt;=$O$2,$D72,$D72-($D72-$I$49)*MIN(G$3-$O$2,$Q$2)/$Q$2))</f>
        <v>2530.02346812117</v>
      </c>
      <c r="H72" s="15" t="n">
        <f aca="false">G72*(1+IF(H$3&lt;=$O$2,$D72,$D72-($D72-$I$49)*MIN(H$3-$O$2,$Q$2)/$Q$2))</f>
        <v>2463.67005727434</v>
      </c>
      <c r="I72" s="15" t="n">
        <f aca="false">H72*(1+IF(I$3&lt;=$O$2,$D72,$D72-($D72-$I$49)*MIN(I$3-$O$2,$Q$2)/$Q$2))</f>
        <v>2399.05685760992</v>
      </c>
      <c r="J72" s="15" t="n">
        <f aca="false">I72*(1+IF(J$3&lt;=$O$2,$D72,$D72-($D72-$I$49)*MIN(J$3-$O$2,$Q$2)/$Q$2))</f>
        <v>2357.50250334168</v>
      </c>
      <c r="K72" s="15" t="n">
        <f aca="false">J72*(1+IF(K$3&lt;=$O$2,$D72,$D72-($D72-$I$49)*MIN(K$3-$O$2,$Q$2)/$Q$2))</f>
        <v>2337.66213759403</v>
      </c>
      <c r="L72" s="15" t="n">
        <f aca="false">K72*(1+IF(L$3&lt;=$O$2,$D72,$D72-($D72-$I$49)*MIN(L$3-$O$2,$Q$2)/$Q$2))</f>
        <v>2338.80628170791</v>
      </c>
      <c r="M72" s="15" t="n">
        <f aca="false">L72*(1+IF(M$3&lt;=$O$2,$D72,$D72-($D72-$I$49)*MIN(M$3-$O$2,$Q$2)/$Q$2))</f>
        <v>2360.77871123713</v>
      </c>
      <c r="N72" s="15" t="n">
        <f aca="false">M72*(1+IF(N$3&lt;=$O$2,$D72,$D72-($D72-$I$49)*MIN(N$3-$O$2,$Q$2)/$Q$2))</f>
        <v>2403.98096165277</v>
      </c>
      <c r="O72" s="15" t="n">
        <f aca="false">SUMPRODUCT(E72:N72,1/(1+$F$49)^$E$3:$N$3)*$E$2</f>
        <v>11961.8474753109</v>
      </c>
      <c r="P72" s="15" t="n">
        <f aca="false">N72*$E$2*(1+$I$49)/($F$49-$I$49)/(1+$F$49)^$N$3</f>
        <v>17788.1517848925</v>
      </c>
      <c r="Q72" s="15" t="n">
        <f aca="false">O72+P72</f>
        <v>29749.9992602034</v>
      </c>
      <c r="R72" s="15" t="n">
        <f aca="false">Q72-$G$2+$I$2</f>
        <v>30519.9992602034</v>
      </c>
      <c r="S72" s="42" t="n">
        <f aca="false">R72/$K$2</f>
        <v>292.253176866833</v>
      </c>
      <c r="T72" s="43" t="n">
        <f aca="false">S72-$M$2</f>
        <v>-7.08413892880344E-006</v>
      </c>
    </row>
    <row r="73" customFormat="false" ht="15" hidden="false" customHeight="false" outlineLevel="0" collapsed="false">
      <c r="A73" s="5" t="n">
        <v>23</v>
      </c>
      <c r="B73" s="25" t="n">
        <f aca="false">IF(T72&gt;0,B72,D72)</f>
        <v>-0.0262264013290405</v>
      </c>
      <c r="C73" s="25" t="n">
        <f aca="false">IF(T72&gt;0,D72,C72)</f>
        <v>-0.0262260437011719</v>
      </c>
      <c r="D73" s="41" t="n">
        <f aca="false">(B73+C73)/2</f>
        <v>-0.0262262225151062</v>
      </c>
      <c r="E73" s="15" t="n">
        <f aca="false">$C$2*(1+IF(E$3&lt;=$O$2,$D73,$D73-($D73-$I$49)*MIN(E$3-$O$2,$Q$2)/$Q$2))</f>
        <v>2668.14015030861</v>
      </c>
      <c r="F73" s="15" t="n">
        <f aca="false">E73*(1+IF(F$3&lt;=$O$2,$D73,$D73-($D73-$I$49)*MIN(F$3-$O$2,$Q$2)/$Q$2))</f>
        <v>2598.16491302513</v>
      </c>
      <c r="G73" s="15" t="n">
        <f aca="false">F73*(1+IF(G$3&lt;=$O$2,$D73,$D73-($D73-$I$49)*MIN(G$3-$O$2,$Q$2)/$Q$2))</f>
        <v>2530.02486188519</v>
      </c>
      <c r="H73" s="15" t="n">
        <f aca="false">G73*(1+IF(H$3&lt;=$O$2,$D73,$D73-($D73-$I$49)*MIN(H$3-$O$2,$Q$2)/$Q$2))</f>
        <v>2463.67186688864</v>
      </c>
      <c r="I73" s="15" t="n">
        <f aca="false">H73*(1+IF(I$3&lt;=$O$2,$D73,$D73-($D73-$I$49)*MIN(I$3-$O$2,$Q$2)/$Q$2))</f>
        <v>2399.05906030341</v>
      </c>
      <c r="J73" s="15" t="n">
        <f aca="false">I73*(1+IF(J$3&lt;=$O$2,$D73,$D73-($D73-$I$49)*MIN(J$3-$O$2,$Q$2)/$Q$2))</f>
        <v>2357.5050110702</v>
      </c>
      <c r="K73" s="15" t="n">
        <f aca="false">J73*(1+IF(K$3&lt;=$O$2,$D73,$D73-($D73-$I$49)*MIN(K$3-$O$2,$Q$2)/$Q$2))</f>
        <v>2337.66487715075</v>
      </c>
      <c r="L73" s="15" t="n">
        <f aca="false">K73*(1+IF(L$3&lt;=$O$2,$D73,$D73-($D73-$I$49)*MIN(L$3-$O$2,$Q$2)/$Q$2))</f>
        <v>2338.8091898083</v>
      </c>
      <c r="M73" s="15" t="n">
        <f aca="false">L73*(1+IF(M$3&lt;=$O$2,$D73,$D73-($D73-$I$49)*MIN(M$3-$O$2,$Q$2)/$Q$2))</f>
        <v>2360.78173030064</v>
      </c>
      <c r="N73" s="15" t="n">
        <f aca="false">M73*(1+IF(N$3&lt;=$O$2,$D73,$D73-($D73-$I$49)*MIN(N$3-$O$2,$Q$2)/$Q$2))</f>
        <v>2403.98403596514</v>
      </c>
      <c r="O73" s="15" t="n">
        <f aca="false">SUMPRODUCT(E73:N73,1/(1+$F$49)^$E$3:$N$3)*$E$2</f>
        <v>11961.8569432741</v>
      </c>
      <c r="P73" s="15" t="n">
        <f aca="false">N73*$E$2*(1+$I$49)/($F$49-$I$49)/(1+$F$49)^$N$3</f>
        <v>17788.1745331322</v>
      </c>
      <c r="Q73" s="15" t="n">
        <f aca="false">O73+P73</f>
        <v>29750.0314764063</v>
      </c>
      <c r="R73" s="15" t="n">
        <f aca="false">Q73-$G$2+$I$2</f>
        <v>30520.0314764063</v>
      </c>
      <c r="S73" s="42" t="n">
        <f aca="false">R73/$K$2</f>
        <v>292.253485362504</v>
      </c>
      <c r="T73" s="43" t="n">
        <f aca="false">S73-$M$2</f>
        <v>0.000301411532063867</v>
      </c>
    </row>
    <row r="74" customFormat="false" ht="15" hidden="false" customHeight="false" outlineLevel="0" collapsed="false">
      <c r="A74" s="5" t="n">
        <v>24</v>
      </c>
      <c r="B74" s="25" t="n">
        <f aca="false">IF(T73&gt;0,B73,D73)</f>
        <v>-0.0262264013290405</v>
      </c>
      <c r="C74" s="25" t="n">
        <f aca="false">IF(T73&gt;0,D73,C73)</f>
        <v>-0.0262262225151062</v>
      </c>
      <c r="D74" s="41" t="n">
        <f aca="false">(B74+C74)/2</f>
        <v>-0.0262263119220734</v>
      </c>
      <c r="E74" s="15" t="n">
        <f aca="false">$C$2*(1+IF(E$3&lt;=$O$2,$D74,$D74-($D74-$I$49)*MIN(E$3-$O$2,$Q$2)/$Q$2))</f>
        <v>2668.13990533352</v>
      </c>
      <c r="F74" s="15" t="n">
        <f aca="false">E74*(1+IF(F$3&lt;=$O$2,$D74,$D74-($D74-$I$49)*MIN(F$3-$O$2,$Q$2)/$Q$2))</f>
        <v>2598.16443592451</v>
      </c>
      <c r="G74" s="15" t="n">
        <f aca="false">F74*(1+IF(G$3&lt;=$O$2,$D74,$D74-($D74-$I$49)*MIN(G$3-$O$2,$Q$2)/$Q$2))</f>
        <v>2530.02416500312</v>
      </c>
      <c r="H74" s="15" t="n">
        <f aca="false">G74*(1+IF(H$3&lt;=$O$2,$D74,$D74-($D74-$I$49)*MIN(H$3-$O$2,$Q$2)/$Q$2))</f>
        <v>2463.67096208136</v>
      </c>
      <c r="I74" s="15" t="n">
        <f aca="false">H74*(1+IF(I$3&lt;=$O$2,$D74,$D74-($D74-$I$49)*MIN(I$3-$O$2,$Q$2)/$Q$2))</f>
        <v>2399.05795895646</v>
      </c>
      <c r="J74" s="15" t="n">
        <f aca="false">I74*(1+IF(J$3&lt;=$O$2,$D74,$D74-($D74-$I$49)*MIN(J$3-$O$2,$Q$2)/$Q$2))</f>
        <v>2357.50375720566</v>
      </c>
      <c r="K74" s="15" t="n">
        <f aca="false">J74*(1+IF(K$3&lt;=$O$2,$D74,$D74-($D74-$I$49)*MIN(K$3-$O$2,$Q$2)/$Q$2))</f>
        <v>2337.66350737205</v>
      </c>
      <c r="L74" s="15" t="n">
        <f aca="false">K74*(1+IF(L$3&lt;=$O$2,$D74,$D74-($D74-$I$49)*MIN(L$3-$O$2,$Q$2)/$Q$2))</f>
        <v>2338.80773575772</v>
      </c>
      <c r="M74" s="15" t="n">
        <f aca="false">L74*(1+IF(M$3&lt;=$O$2,$D74,$D74-($D74-$I$49)*MIN(M$3-$O$2,$Q$2)/$Q$2))</f>
        <v>2360.78022076846</v>
      </c>
      <c r="N74" s="15" t="n">
        <f aca="false">M74*(1+IF(N$3&lt;=$O$2,$D74,$D74-($D74-$I$49)*MIN(N$3-$O$2,$Q$2)/$Q$2))</f>
        <v>2403.98249880852</v>
      </c>
      <c r="O74" s="15" t="n">
        <f aca="false">SUMPRODUCT(E74:N74,1/(1+$F$49)^$E$3:$N$3)*$E$2</f>
        <v>11961.8522092915</v>
      </c>
      <c r="P74" s="15" t="n">
        <f aca="false">N74*$E$2*(1+$I$49)/($F$49-$I$49)/(1+$F$49)^$N$3</f>
        <v>17788.1631590092</v>
      </c>
      <c r="Q74" s="15" t="n">
        <f aca="false">O74+P74</f>
        <v>29750.0153683007</v>
      </c>
      <c r="R74" s="15" t="n">
        <f aca="false">Q74-$G$2+$I$2</f>
        <v>30520.0153683007</v>
      </c>
      <c r="S74" s="42" t="n">
        <f aca="false">R74/$K$2</f>
        <v>292.253331114629</v>
      </c>
      <c r="T74" s="43" t="n">
        <f aca="false">S74-$M$2</f>
        <v>0.000147163657004512</v>
      </c>
    </row>
    <row r="76" customFormat="false" ht="15" hidden="false" customHeight="false" outlineLevel="0" collapsed="false">
      <c r="A76" s="38" t="s">
        <v>180</v>
      </c>
      <c r="E76" s="5" t="s">
        <v>11</v>
      </c>
      <c r="F76" s="12" t="n">
        <f aca="false">Sensitivity!$B$10</f>
        <v>0.0672772551778937</v>
      </c>
      <c r="G76" s="5" t="s">
        <v>12</v>
      </c>
      <c r="I76" s="12" t="n">
        <f aca="false">Sensitivity!$D$9</f>
        <v>0.0233</v>
      </c>
    </row>
    <row r="77" customFormat="false" ht="23.85" hidden="false" customHeight="false" outlineLevel="0" collapsed="false">
      <c r="A77" s="38" t="s">
        <v>159</v>
      </c>
      <c r="B77" s="28" t="s">
        <v>160</v>
      </c>
      <c r="C77" s="28" t="s">
        <v>161</v>
      </c>
      <c r="D77" s="28" t="s">
        <v>162</v>
      </c>
      <c r="E77" s="28" t="s">
        <v>163</v>
      </c>
      <c r="F77" s="28" t="s">
        <v>164</v>
      </c>
      <c r="G77" s="28" t="s">
        <v>165</v>
      </c>
      <c r="H77" s="28" t="s">
        <v>166</v>
      </c>
      <c r="I77" s="28" t="s">
        <v>167</v>
      </c>
      <c r="J77" s="28" t="s">
        <v>168</v>
      </c>
      <c r="K77" s="28" t="s">
        <v>169</v>
      </c>
      <c r="L77" s="28" t="s">
        <v>170</v>
      </c>
      <c r="M77" s="28" t="s">
        <v>171</v>
      </c>
      <c r="N77" s="28" t="s">
        <v>172</v>
      </c>
      <c r="O77" s="28" t="s">
        <v>173</v>
      </c>
      <c r="P77" s="28" t="s">
        <v>174</v>
      </c>
      <c r="Q77" s="28" t="s">
        <v>175</v>
      </c>
      <c r="R77" s="28" t="s">
        <v>176</v>
      </c>
      <c r="S77" s="28" t="s">
        <v>177</v>
      </c>
      <c r="T77" s="28" t="s">
        <v>178</v>
      </c>
    </row>
    <row r="78" customFormat="false" ht="15" hidden="false" customHeight="false" outlineLevel="0" collapsed="false">
      <c r="A78" s="5" t="n">
        <v>1</v>
      </c>
      <c r="B78" s="24" t="n">
        <v>-0.5</v>
      </c>
      <c r="C78" s="24" t="n">
        <v>1</v>
      </c>
      <c r="D78" s="41" t="n">
        <f aca="false">(B78+C78)/2</f>
        <v>0.25</v>
      </c>
      <c r="E78" s="15" t="n">
        <f aca="false">$C$2*(1+IF(E$3&lt;=$O$2,$D78,$D78-($D78-$I$76)*MIN(E$3-$O$2,$Q$2)/$Q$2))</f>
        <v>3425</v>
      </c>
      <c r="F78" s="15" t="n">
        <f aca="false">E78*(1+IF(F$3&lt;=$O$2,$D78,$D78-($D78-$I$76)*MIN(F$3-$O$2,$Q$2)/$Q$2))</f>
        <v>4281.25</v>
      </c>
      <c r="G78" s="15" t="n">
        <f aca="false">F78*(1+IF(G$3&lt;=$O$2,$D78,$D78-($D78-$I$76)*MIN(G$3-$O$2,$Q$2)/$Q$2))</f>
        <v>5351.5625</v>
      </c>
      <c r="H78" s="15" t="n">
        <f aca="false">G78*(1+IF(H$3&lt;=$O$2,$D78,$D78-($D78-$I$76)*MIN(H$3-$O$2,$Q$2)/$Q$2))</f>
        <v>6689.453125</v>
      </c>
      <c r="I78" s="15" t="n">
        <f aca="false">H78*(1+IF(I$3&lt;=$O$2,$D78,$D78-($D78-$I$76)*MIN(I$3-$O$2,$Q$2)/$Q$2))</f>
        <v>8361.81640625</v>
      </c>
      <c r="J78" s="15" t="n">
        <f aca="false">I78*(1+IF(J$3&lt;=$O$2,$D78,$D78-($D78-$I$76)*MIN(J$3-$O$2,$Q$2)/$Q$2))</f>
        <v>10073.1457519531</v>
      </c>
      <c r="K78" s="15" t="n">
        <f aca="false">J78*(1+IF(K$3&lt;=$O$2,$D78,$D78-($D78-$I$76)*MIN(K$3-$O$2,$Q$2)/$Q$2))</f>
        <v>11677.9993331543</v>
      </c>
      <c r="L78" s="15" t="n">
        <f aca="false">K78*(1+IF(L$3&lt;=$O$2,$D78,$D78-($D78-$I$76)*MIN(L$3-$O$2,$Q$2)/$Q$2))</f>
        <v>13009.0576971472</v>
      </c>
      <c r="M78" s="15" t="n">
        <f aca="false">L78*(1+IF(M$3&lt;=$O$2,$D78,$D78-($D78-$I$76)*MIN(M$3-$O$2,$Q$2)/$Q$2))</f>
        <v>13901.9994174794</v>
      </c>
      <c r="N78" s="15" t="n">
        <f aca="false">M78*(1+IF(N$3&lt;=$O$2,$D78,$D78-($D78-$I$76)*MIN(N$3-$O$2,$Q$2)/$Q$2))</f>
        <v>14225.9160039067</v>
      </c>
      <c r="O78" s="15" t="n">
        <f aca="false">SUMPRODUCT(E78:N78,1/(1+$F$76)^$E$3:$N$3)*$E$2</f>
        <v>40720.4441342601</v>
      </c>
      <c r="P78" s="15" t="n">
        <f aca="false">N78*$E$2*(1+$I$76)/($F$76-$I$76)/(1+$F$76)^$N$3</f>
        <v>117807.67796029</v>
      </c>
      <c r="Q78" s="15" t="n">
        <f aca="false">O78+P78</f>
        <v>158528.12209455</v>
      </c>
      <c r="R78" s="15" t="n">
        <f aca="false">Q78-$G$2+$I$2</f>
        <v>159298.12209455</v>
      </c>
      <c r="S78" s="42" t="n">
        <f aca="false">R78/$K$2</f>
        <v>1525.40574638083</v>
      </c>
      <c r="T78" s="43" t="n">
        <f aca="false">S78-$M$2</f>
        <v>1233.15256242985</v>
      </c>
    </row>
    <row r="79" customFormat="false" ht="15" hidden="false" customHeight="false" outlineLevel="0" collapsed="false">
      <c r="A79" s="5" t="n">
        <v>2</v>
      </c>
      <c r="B79" s="25" t="n">
        <f aca="false">IF(T78&gt;0,B78,D78)</f>
        <v>-0.5</v>
      </c>
      <c r="C79" s="25" t="n">
        <f aca="false">IF(T78&gt;0,D78,C78)</f>
        <v>0.25</v>
      </c>
      <c r="D79" s="41" t="n">
        <f aca="false">(B79+C79)/2</f>
        <v>-0.125</v>
      </c>
      <c r="E79" s="15" t="n">
        <f aca="false">$C$2*(1+IF(E$3&lt;=$O$2,$D79,$D79-($D79-$I$76)*MIN(E$3-$O$2,$Q$2)/$Q$2))</f>
        <v>2397.5</v>
      </c>
      <c r="F79" s="15" t="n">
        <f aca="false">E79*(1+IF(F$3&lt;=$O$2,$D79,$D79-($D79-$I$76)*MIN(F$3-$O$2,$Q$2)/$Q$2))</f>
        <v>2097.8125</v>
      </c>
      <c r="G79" s="15" t="n">
        <f aca="false">F79*(1+IF(G$3&lt;=$O$2,$D79,$D79-($D79-$I$76)*MIN(G$3-$O$2,$Q$2)/$Q$2))</f>
        <v>1835.5859375</v>
      </c>
      <c r="H79" s="15" t="n">
        <f aca="false">G79*(1+IF(H$3&lt;=$O$2,$D79,$D79-($D79-$I$76)*MIN(H$3-$O$2,$Q$2)/$Q$2))</f>
        <v>1606.1376953125</v>
      </c>
      <c r="I79" s="15" t="n">
        <f aca="false">H79*(1+IF(I$3&lt;=$O$2,$D79,$D79-($D79-$I$76)*MIN(I$3-$O$2,$Q$2)/$Q$2))</f>
        <v>1405.37048339844</v>
      </c>
      <c r="J79" s="15" t="n">
        <f aca="false">I79*(1+IF(J$3&lt;=$O$2,$D79,$D79-($D79-$I$76)*MIN(J$3-$O$2,$Q$2)/$Q$2))</f>
        <v>1271.38246151123</v>
      </c>
      <c r="K79" s="15" t="n">
        <f aca="false">J79*(1+IF(K$3&lt;=$O$2,$D79,$D79-($D79-$I$76)*MIN(K$3-$O$2,$Q$2)/$Q$2))</f>
        <v>1187.87806143917</v>
      </c>
      <c r="L79" s="15" t="n">
        <f aca="false">K79*(1+IF(L$3&lt;=$O$2,$D79,$D79-($D79-$I$76)*MIN(L$3-$O$2,$Q$2)/$Q$2))</f>
        <v>1145.09069366613</v>
      </c>
      <c r="M79" s="15" t="n">
        <f aca="false">L79*(1+IF(M$3&lt;=$O$2,$D79,$D79-($D79-$I$76)*MIN(M$3-$O$2,$Q$2)/$Q$2))</f>
        <v>1137.80791685442</v>
      </c>
      <c r="N79" s="15" t="n">
        <f aca="false">M79*(1+IF(N$3&lt;=$O$2,$D79,$D79-($D79-$I$76)*MIN(N$3-$O$2,$Q$2)/$Q$2))</f>
        <v>1164.31884131713</v>
      </c>
      <c r="O79" s="15" t="n">
        <f aca="false">SUMPRODUCT(E79:N79,1/(1+$F$76)^$E$3:$N$3)*$E$2</f>
        <v>7769.72342276345</v>
      </c>
      <c r="P79" s="15" t="n">
        <f aca="false">N79*$E$2*(1+$I$76)/($F$76-$I$76)/(1+$F$76)^$N$3</f>
        <v>9641.95901784584</v>
      </c>
      <c r="Q79" s="15" t="n">
        <f aca="false">O79+P79</f>
        <v>17411.6824406093</v>
      </c>
      <c r="R79" s="15" t="n">
        <f aca="false">Q79-$G$2+$I$2</f>
        <v>18181.6824406093</v>
      </c>
      <c r="S79" s="42" t="n">
        <f aca="false">R79/$K$2</f>
        <v>174.104016476197</v>
      </c>
      <c r="T79" s="43" t="n">
        <f aca="false">S79-$M$2</f>
        <v>-118.149167474775</v>
      </c>
    </row>
    <row r="80" customFormat="false" ht="15" hidden="false" customHeight="false" outlineLevel="0" collapsed="false">
      <c r="A80" s="5" t="n">
        <v>3</v>
      </c>
      <c r="B80" s="25" t="n">
        <f aca="false">IF(T79&gt;0,B79,D79)</f>
        <v>-0.125</v>
      </c>
      <c r="C80" s="25" t="n">
        <f aca="false">IF(T79&gt;0,D79,C79)</f>
        <v>0.25</v>
      </c>
      <c r="D80" s="41" t="n">
        <f aca="false">(B80+C80)/2</f>
        <v>0.0625</v>
      </c>
      <c r="E80" s="15" t="n">
        <f aca="false">$C$2*(1+IF(E$3&lt;=$O$2,$D80,$D80-($D80-$I$76)*MIN(E$3-$O$2,$Q$2)/$Q$2))</f>
        <v>2911.25</v>
      </c>
      <c r="F80" s="15" t="n">
        <f aca="false">E80*(1+IF(F$3&lt;=$O$2,$D80,$D80-($D80-$I$76)*MIN(F$3-$O$2,$Q$2)/$Q$2))</f>
        <v>3093.203125</v>
      </c>
      <c r="G80" s="15" t="n">
        <f aca="false">F80*(1+IF(G$3&lt;=$O$2,$D80,$D80-($D80-$I$76)*MIN(G$3-$O$2,$Q$2)/$Q$2))</f>
        <v>3286.5283203125</v>
      </c>
      <c r="H80" s="15" t="n">
        <f aca="false">G80*(1+IF(H$3&lt;=$O$2,$D80,$D80-($D80-$I$76)*MIN(H$3-$O$2,$Q$2)/$Q$2))</f>
        <v>3491.93634033203</v>
      </c>
      <c r="I80" s="15" t="n">
        <f aca="false">H80*(1+IF(I$3&lt;=$O$2,$D80,$D80-($D80-$I$76)*MIN(I$3-$O$2,$Q$2)/$Q$2))</f>
        <v>3710.18236160278</v>
      </c>
      <c r="J80" s="15" t="n">
        <f aca="false">I80*(1+IF(J$3&lt;=$O$2,$D80,$D80-($D80-$I$76)*MIN(J$3-$O$2,$Q$2)/$Q$2))</f>
        <v>3912.98092948799</v>
      </c>
      <c r="K80" s="15" t="n">
        <f aca="false">J80*(1+IF(K$3&lt;=$O$2,$D80,$D80-($D80-$I$76)*MIN(K$3-$O$2,$Q$2)/$Q$2))</f>
        <v>4096.18669660662</v>
      </c>
      <c r="L80" s="15" t="n">
        <f aca="false">K80*(1+IF(L$3&lt;=$O$2,$D80,$D80-($D80-$I$76)*MIN(L$3-$O$2,$Q$2)/$Q$2))</f>
        <v>4255.85605404035</v>
      </c>
      <c r="M80" s="15" t="n">
        <f aca="false">L80*(1+IF(M$3&lt;=$O$2,$D80,$D80-($D80-$I$76)*MIN(M$3-$O$2,$Q$2)/$Q$2))</f>
        <v>4388.38341156316</v>
      </c>
      <c r="N80" s="15" t="n">
        <f aca="false">M80*(1+IF(N$3&lt;=$O$2,$D80,$D80-($D80-$I$76)*MIN(N$3-$O$2,$Q$2)/$Q$2))</f>
        <v>4490.63274505258</v>
      </c>
      <c r="O80" s="15" t="n">
        <f aca="false">SUMPRODUCT(E80:N80,1/(1+$F$76)^$E$3:$N$3)*$E$2</f>
        <v>17794.6942805363</v>
      </c>
      <c r="P80" s="15" t="n">
        <f aca="false">N80*$E$2*(1+$I$76)/($F$76-$I$76)/(1+$F$76)^$N$3</f>
        <v>37187.8349430578</v>
      </c>
      <c r="Q80" s="15" t="n">
        <f aca="false">O80+P80</f>
        <v>54982.5292235941</v>
      </c>
      <c r="R80" s="15" t="n">
        <f aca="false">Q80-$G$2+$I$2</f>
        <v>55752.5292235941</v>
      </c>
      <c r="S80" s="42" t="n">
        <f aca="false">R80/$K$2</f>
        <v>533.874645442824</v>
      </c>
      <c r="T80" s="43" t="n">
        <f aca="false">S80-$M$2</f>
        <v>241.621461491852</v>
      </c>
    </row>
    <row r="81" customFormat="false" ht="15" hidden="false" customHeight="false" outlineLevel="0" collapsed="false">
      <c r="A81" s="5" t="n">
        <v>4</v>
      </c>
      <c r="B81" s="25" t="n">
        <f aca="false">IF(T80&gt;0,B80,D80)</f>
        <v>-0.125</v>
      </c>
      <c r="C81" s="25" t="n">
        <f aca="false">IF(T80&gt;0,D80,C80)</f>
        <v>0.0625</v>
      </c>
      <c r="D81" s="41" t="n">
        <f aca="false">(B81+C81)/2</f>
        <v>-0.03125</v>
      </c>
      <c r="E81" s="15" t="n">
        <f aca="false">$C$2*(1+IF(E$3&lt;=$O$2,$D81,$D81-($D81-$I$76)*MIN(E$3-$O$2,$Q$2)/$Q$2))</f>
        <v>2654.375</v>
      </c>
      <c r="F81" s="15" t="n">
        <f aca="false">E81*(1+IF(F$3&lt;=$O$2,$D81,$D81-($D81-$I$76)*MIN(F$3-$O$2,$Q$2)/$Q$2))</f>
        <v>2571.42578125</v>
      </c>
      <c r="G81" s="15" t="n">
        <f aca="false">F81*(1+IF(G$3&lt;=$O$2,$D81,$D81-($D81-$I$76)*MIN(G$3-$O$2,$Q$2)/$Q$2))</f>
        <v>2491.06872558594</v>
      </c>
      <c r="H81" s="15" t="n">
        <f aca="false">G81*(1+IF(H$3&lt;=$O$2,$D81,$D81-($D81-$I$76)*MIN(H$3-$O$2,$Q$2)/$Q$2))</f>
        <v>2413.22282791138</v>
      </c>
      <c r="I81" s="15" t="n">
        <f aca="false">H81*(1+IF(I$3&lt;=$O$2,$D81,$D81-($D81-$I$76)*MIN(I$3-$O$2,$Q$2)/$Q$2))</f>
        <v>2337.80961453915</v>
      </c>
      <c r="J81" s="15" t="n">
        <f aca="false">I81*(1+IF(J$3&lt;=$O$2,$D81,$D81-($D81-$I$76)*MIN(J$3-$O$2,$Q$2)/$Q$2))</f>
        <v>2290.25856697942</v>
      </c>
      <c r="K81" s="15" t="n">
        <f aca="false">J81*(1+IF(K$3&lt;=$O$2,$D81,$D81-($D81-$I$76)*MIN(K$3-$O$2,$Q$2)/$Q$2))</f>
        <v>2268.6614286928</v>
      </c>
      <c r="L81" s="15" t="n">
        <f aca="false">K81*(1+IF(L$3&lt;=$O$2,$D81,$D81-($D81-$I$76)*MIN(L$3-$O$2,$Q$2)/$Q$2))</f>
        <v>2272.01904760727</v>
      </c>
      <c r="M81" s="15" t="n">
        <f aca="false">L81*(1+IF(M$3&lt;=$O$2,$D81,$D81-($D81-$I$76)*MIN(M$3-$O$2,$Q$2)/$Q$2))</f>
        <v>2300.16936360712</v>
      </c>
      <c r="N81" s="15" t="n">
        <f aca="false">M81*(1+IF(N$3&lt;=$O$2,$D81,$D81-($D81-$I$76)*MIN(N$3-$O$2,$Q$2)/$Q$2))</f>
        <v>2353.76330977917</v>
      </c>
      <c r="O81" s="15" t="n">
        <f aca="false">SUMPRODUCT(E81:N81,1/(1+$F$76)^$E$3:$N$3)*$E$2</f>
        <v>11729.5627559463</v>
      </c>
      <c r="P81" s="15" t="n">
        <f aca="false">N81*$E$2*(1+$I$76)/($F$76-$I$76)/(1+$F$76)^$N$3</f>
        <v>19491.9884186762</v>
      </c>
      <c r="Q81" s="15" t="n">
        <f aca="false">O81+P81</f>
        <v>31221.5511746225</v>
      </c>
      <c r="R81" s="15" t="n">
        <f aca="false">Q81-$G$2+$I$2</f>
        <v>31991.5511746225</v>
      </c>
      <c r="S81" s="42" t="n">
        <f aca="false">R81/$K$2</f>
        <v>306.344452500455</v>
      </c>
      <c r="T81" s="43" t="n">
        <f aca="false">S81-$M$2</f>
        <v>14.0912685494828</v>
      </c>
    </row>
    <row r="82" customFormat="false" ht="15" hidden="false" customHeight="false" outlineLevel="0" collapsed="false">
      <c r="A82" s="5" t="n">
        <v>5</v>
      </c>
      <c r="B82" s="25" t="n">
        <f aca="false">IF(T81&gt;0,B81,D81)</f>
        <v>-0.125</v>
      </c>
      <c r="C82" s="25" t="n">
        <f aca="false">IF(T81&gt;0,D81,C81)</f>
        <v>-0.03125</v>
      </c>
      <c r="D82" s="41" t="n">
        <f aca="false">(B82+C82)/2</f>
        <v>-0.078125</v>
      </c>
      <c r="E82" s="15" t="n">
        <f aca="false">$C$2*(1+IF(E$3&lt;=$O$2,$D82,$D82-($D82-$I$76)*MIN(E$3-$O$2,$Q$2)/$Q$2))</f>
        <v>2525.9375</v>
      </c>
      <c r="F82" s="15" t="n">
        <f aca="false">E82*(1+IF(F$3&lt;=$O$2,$D82,$D82-($D82-$I$76)*MIN(F$3-$O$2,$Q$2)/$Q$2))</f>
        <v>2328.5986328125</v>
      </c>
      <c r="G82" s="15" t="n">
        <f aca="false">F82*(1+IF(G$3&lt;=$O$2,$D82,$D82-($D82-$I$76)*MIN(G$3-$O$2,$Q$2)/$Q$2))</f>
        <v>2146.67686462402</v>
      </c>
      <c r="H82" s="15" t="n">
        <f aca="false">G82*(1+IF(H$3&lt;=$O$2,$D82,$D82-($D82-$I$76)*MIN(H$3-$O$2,$Q$2)/$Q$2))</f>
        <v>1978.96773457527</v>
      </c>
      <c r="I82" s="15" t="n">
        <f aca="false">H82*(1+IF(I$3&lt;=$O$2,$D82,$D82-($D82-$I$76)*MIN(I$3-$O$2,$Q$2)/$Q$2))</f>
        <v>1824.36088031158</v>
      </c>
      <c r="J82" s="15" t="n">
        <f aca="false">I82*(1+IF(J$3&lt;=$O$2,$D82,$D82-($D82-$I$76)*MIN(J$3-$O$2,$Q$2)/$Q$2))</f>
        <v>1718.83984699436</v>
      </c>
      <c r="K82" s="15" t="n">
        <f aca="false">J82*(1+IF(K$3&lt;=$O$2,$D82,$D82-($D82-$I$76)*MIN(K$3-$O$2,$Q$2)/$Q$2))</f>
        <v>1654.28881654048</v>
      </c>
      <c r="L82" s="15" t="n">
        <f aca="false">K82*(1+IF(L$3&lt;=$O$2,$D82,$D82-($D82-$I$76)*MIN(L$3-$O$2,$Q$2)/$Q$2))</f>
        <v>1625.71924867883</v>
      </c>
      <c r="M82" s="15" t="n">
        <f aca="false">L82*(1+IF(M$3&lt;=$O$2,$D82,$D82-($D82-$I$76)*MIN(M$3-$O$2,$Q$2)/$Q$2))</f>
        <v>1630.6207922136</v>
      </c>
      <c r="N82" s="15" t="n">
        <f aca="false">M82*(1+IF(N$3&lt;=$O$2,$D82,$D82-($D82-$I$76)*MIN(N$3-$O$2,$Q$2)/$Q$2))</f>
        <v>1668.61425667217</v>
      </c>
      <c r="O82" s="15" t="n">
        <f aca="false">SUMPRODUCT(E82:N82,1/(1+$F$76)^$E$3:$N$3)*$E$2</f>
        <v>9537.29961925288</v>
      </c>
      <c r="P82" s="15" t="n">
        <f aca="false">N82*$E$2*(1+$I$76)/($F$76-$I$76)/(1+$F$76)^$N$3</f>
        <v>13818.1310037259</v>
      </c>
      <c r="Q82" s="15" t="n">
        <f aca="false">O82+P82</f>
        <v>23355.4306229788</v>
      </c>
      <c r="R82" s="15" t="n">
        <f aca="false">Q82-$G$2+$I$2</f>
        <v>24125.4306229788</v>
      </c>
      <c r="S82" s="42" t="n">
        <f aca="false">R82/$K$2</f>
        <v>231.020115129549</v>
      </c>
      <c r="T82" s="43" t="n">
        <f aca="false">S82-$M$2</f>
        <v>-61.2330688214233</v>
      </c>
    </row>
    <row r="83" customFormat="false" ht="15" hidden="false" customHeight="false" outlineLevel="0" collapsed="false">
      <c r="A83" s="5" t="n">
        <v>6</v>
      </c>
      <c r="B83" s="25" t="n">
        <f aca="false">IF(T82&gt;0,B82,D82)</f>
        <v>-0.078125</v>
      </c>
      <c r="C83" s="25" t="n">
        <f aca="false">IF(T82&gt;0,D82,C82)</f>
        <v>-0.03125</v>
      </c>
      <c r="D83" s="41" t="n">
        <f aca="false">(B83+C83)/2</f>
        <v>-0.0546875</v>
      </c>
      <c r="E83" s="15" t="n">
        <f aca="false">$C$2*(1+IF(E$3&lt;=$O$2,$D83,$D83-($D83-$I$76)*MIN(E$3-$O$2,$Q$2)/$Q$2))</f>
        <v>2590.15625</v>
      </c>
      <c r="F83" s="15" t="n">
        <f aca="false">E83*(1+IF(F$3&lt;=$O$2,$D83,$D83-($D83-$I$76)*MIN(F$3-$O$2,$Q$2)/$Q$2))</f>
        <v>2448.50708007813</v>
      </c>
      <c r="G83" s="15" t="n">
        <f aca="false">F83*(1+IF(G$3&lt;=$O$2,$D83,$D83-($D83-$I$76)*MIN(G$3-$O$2,$Q$2)/$Q$2))</f>
        <v>2314.60434913635</v>
      </c>
      <c r="H83" s="15" t="n">
        <f aca="false">G83*(1+IF(H$3&lt;=$O$2,$D83,$D83-($D83-$I$76)*MIN(H$3-$O$2,$Q$2)/$Q$2))</f>
        <v>2188.02442379296</v>
      </c>
      <c r="I83" s="15" t="n">
        <f aca="false">H83*(1+IF(I$3&lt;=$O$2,$D83,$D83-($D83-$I$76)*MIN(I$3-$O$2,$Q$2)/$Q$2))</f>
        <v>2068.36683811678</v>
      </c>
      <c r="J83" s="15" t="n">
        <f aca="false">I83*(1+IF(J$3&lt;=$O$2,$D83,$D83-($D83-$I$76)*MIN(J$3-$O$2,$Q$2)/$Q$2))</f>
        <v>1987.5143784148</v>
      </c>
      <c r="K83" s="15" t="n">
        <f aca="false">J83*(1+IF(K$3&lt;=$O$2,$D83,$D83-($D83-$I$76)*MIN(K$3-$O$2,$Q$2)/$Q$2))</f>
        <v>1940.82269687989</v>
      </c>
      <c r="L83" s="15" t="n">
        <f aca="false">K83*(1+IF(L$3&lt;=$O$2,$D83,$D83-($D83-$I$76)*MIN(L$3-$O$2,$Q$2)/$Q$2))</f>
        <v>1925.49990168802</v>
      </c>
      <c r="M83" s="15" t="n">
        <f aca="false">L83*(1+IF(M$3&lt;=$O$2,$D83,$D83-($D83-$I$76)*MIN(M$3-$O$2,$Q$2)/$Q$2))</f>
        <v>1940.33106468077</v>
      </c>
      <c r="N83" s="15" t="n">
        <f aca="false">M83*(1+IF(N$3&lt;=$O$2,$D83,$D83-($D83-$I$76)*MIN(N$3-$O$2,$Q$2)/$Q$2))</f>
        <v>1985.54077848783</v>
      </c>
      <c r="O83" s="15" t="n">
        <f aca="false">SUMPRODUCT(E83:N83,1/(1+$F$76)^$E$3:$N$3)*$E$2</f>
        <v>10574.6962504283</v>
      </c>
      <c r="P83" s="15" t="n">
        <f aca="false">N83*$E$2*(1+$I$76)/($F$76-$I$76)/(1+$F$76)^$N$3</f>
        <v>16442.6634140734</v>
      </c>
      <c r="Q83" s="15" t="n">
        <f aca="false">O83+P83</f>
        <v>27017.3596645017</v>
      </c>
      <c r="R83" s="15" t="n">
        <f aca="false">Q83-$G$2+$I$2</f>
        <v>27787.3596645017</v>
      </c>
      <c r="S83" s="42" t="n">
        <f aca="false">R83/$K$2</f>
        <v>266.085987403062</v>
      </c>
      <c r="T83" s="43" t="n">
        <f aca="false">S83-$M$2</f>
        <v>-26.1671965479105</v>
      </c>
    </row>
    <row r="84" customFormat="false" ht="15" hidden="false" customHeight="false" outlineLevel="0" collapsed="false">
      <c r="A84" s="5" t="n">
        <v>7</v>
      </c>
      <c r="B84" s="25" t="n">
        <f aca="false">IF(T83&gt;0,B83,D83)</f>
        <v>-0.0546875</v>
      </c>
      <c r="C84" s="25" t="n">
        <f aca="false">IF(T83&gt;0,D83,C83)</f>
        <v>-0.03125</v>
      </c>
      <c r="D84" s="41" t="n">
        <f aca="false">(B84+C84)/2</f>
        <v>-0.04296875</v>
      </c>
      <c r="E84" s="15" t="n">
        <f aca="false">$C$2*(1+IF(E$3&lt;=$O$2,$D84,$D84-($D84-$I$76)*MIN(E$3-$O$2,$Q$2)/$Q$2))</f>
        <v>2622.265625</v>
      </c>
      <c r="F84" s="15" t="n">
        <f aca="false">E84*(1+IF(F$3&lt;=$O$2,$D84,$D84-($D84-$I$76)*MIN(F$3-$O$2,$Q$2)/$Q$2))</f>
        <v>2509.59014892578</v>
      </c>
      <c r="G84" s="15" t="n">
        <f aca="false">F84*(1+IF(G$3&lt;=$O$2,$D84,$D84-($D84-$I$76)*MIN(G$3-$O$2,$Q$2)/$Q$2))</f>
        <v>2401.75619721413</v>
      </c>
      <c r="H84" s="15" t="n">
        <f aca="false">G84*(1+IF(H$3&lt;=$O$2,$D84,$D84-($D84-$I$76)*MIN(H$3-$O$2,$Q$2)/$Q$2))</f>
        <v>2298.55573561508</v>
      </c>
      <c r="I84" s="15" t="n">
        <f aca="false">H84*(1+IF(I$3&lt;=$O$2,$D84,$D84-($D84-$I$76)*MIN(I$3-$O$2,$Q$2)/$Q$2))</f>
        <v>2199.78966885037</v>
      </c>
      <c r="J84" s="15" t="n">
        <f aca="false">I84*(1+IF(J$3&lt;=$O$2,$D84,$D84-($D84-$I$76)*MIN(J$3-$O$2,$Q$2)/$Q$2))</f>
        <v>2134.42291884048</v>
      </c>
      <c r="K84" s="15" t="n">
        <f aca="false">J84*(1+IF(K$3&lt;=$O$2,$D84,$D84-($D84-$I$76)*MIN(K$3-$O$2,$Q$2)/$Q$2))</f>
        <v>2099.28764956772</v>
      </c>
      <c r="L84" s="15" t="n">
        <f aca="false">K84*(1+IF(L$3&lt;=$O$2,$D84,$D84-($D84-$I$76)*MIN(L$3-$O$2,$Q$2)/$Q$2))</f>
        <v>2092.55418443173</v>
      </c>
      <c r="M84" s="15" t="n">
        <f aca="false">L84*(1+IF(M$3&lt;=$O$2,$D84,$D84-($D84-$I$76)*MIN(M$3-$O$2,$Q$2)/$Q$2))</f>
        <v>2113.57650690708</v>
      </c>
      <c r="N84" s="15" t="n">
        <f aca="false">M84*(1+IF(N$3&lt;=$O$2,$D84,$D84-($D84-$I$76)*MIN(N$3-$O$2,$Q$2)/$Q$2))</f>
        <v>2162.82283951801</v>
      </c>
      <c r="O84" s="15" t="n">
        <f aca="false">SUMPRODUCT(E84:N84,1/(1+$F$76)^$E$3:$N$3)*$E$2</f>
        <v>11136.6822064521</v>
      </c>
      <c r="P84" s="15" t="n">
        <f aca="false">N84*$E$2*(1+$I$76)/($F$76-$I$76)/(1+$F$76)^$N$3</f>
        <v>17910.7718963844</v>
      </c>
      <c r="Q84" s="15" t="n">
        <f aca="false">O84+P84</f>
        <v>29047.4541028365</v>
      </c>
      <c r="R84" s="15" t="n">
        <f aca="false">Q84-$G$2+$I$2</f>
        <v>29817.4541028365</v>
      </c>
      <c r="S84" s="42" t="n">
        <f aca="false">R84/$K$2</f>
        <v>285.525750290496</v>
      </c>
      <c r="T84" s="43" t="n">
        <f aca="false">S84-$M$2</f>
        <v>-6.72743366047587</v>
      </c>
    </row>
    <row r="85" customFormat="false" ht="15" hidden="false" customHeight="false" outlineLevel="0" collapsed="false">
      <c r="A85" s="5" t="n">
        <v>8</v>
      </c>
      <c r="B85" s="25" t="n">
        <f aca="false">IF(T84&gt;0,B84,D84)</f>
        <v>-0.04296875</v>
      </c>
      <c r="C85" s="25" t="n">
        <f aca="false">IF(T84&gt;0,D84,C84)</f>
        <v>-0.03125</v>
      </c>
      <c r="D85" s="41" t="n">
        <f aca="false">(B85+C85)/2</f>
        <v>-0.037109375</v>
      </c>
      <c r="E85" s="15" t="n">
        <f aca="false">$C$2*(1+IF(E$3&lt;=$O$2,$D85,$D85-($D85-$I$76)*MIN(E$3-$O$2,$Q$2)/$Q$2))</f>
        <v>2638.3203125</v>
      </c>
      <c r="F85" s="15" t="n">
        <f aca="false">E85*(1+IF(F$3&lt;=$O$2,$D85,$D85-($D85-$I$76)*MIN(F$3-$O$2,$Q$2)/$Q$2))</f>
        <v>2540.41389465332</v>
      </c>
      <c r="G85" s="15" t="n">
        <f aca="false">F85*(1+IF(G$3&lt;=$O$2,$D85,$D85-($D85-$I$76)*MIN(G$3-$O$2,$Q$2)/$Q$2))</f>
        <v>2446.14072278142</v>
      </c>
      <c r="H85" s="15" t="n">
        <f aca="false">G85*(1+IF(H$3&lt;=$O$2,$D85,$D85-($D85-$I$76)*MIN(H$3-$O$2,$Q$2)/$Q$2))</f>
        <v>2355.36596939695</v>
      </c>
      <c r="I85" s="15" t="n">
        <f aca="false">H85*(1+IF(I$3&lt;=$O$2,$D85,$D85-($D85-$I$76)*MIN(I$3-$O$2,$Q$2)/$Q$2))</f>
        <v>2267.95981037636</v>
      </c>
      <c r="J85" s="15" t="n">
        <f aca="false">I85*(1+IF(J$3&lt;=$O$2,$D85,$D85-($D85-$I$76)*MIN(J$3-$O$2,$Q$2)/$Q$2))</f>
        <v>2211.19844622217</v>
      </c>
      <c r="K85" s="15" t="n">
        <f aca="false">J85*(1+IF(K$3&lt;=$O$2,$D85,$D85-($D85-$I$76)*MIN(K$3-$O$2,$Q$2)/$Q$2))</f>
        <v>2182.57310033679</v>
      </c>
      <c r="L85" s="15" t="n">
        <f aca="false">K85*(1+IF(L$3&lt;=$O$2,$D85,$D85-($D85-$I$76)*MIN(L$3-$O$2,$Q$2)/$Q$2))</f>
        <v>2180.68790282138</v>
      </c>
      <c r="M85" s="15" t="n">
        <f aca="false">L85*(1+IF(M$3&lt;=$O$2,$D85,$D85-($D85-$I$76)*MIN(M$3-$O$2,$Q$2)/$Q$2))</f>
        <v>2205.15113230122</v>
      </c>
      <c r="N85" s="15" t="n">
        <f aca="false">M85*(1+IF(N$3&lt;=$O$2,$D85,$D85-($D85-$I$76)*MIN(N$3-$O$2,$Q$2)/$Q$2))</f>
        <v>2256.53115368384</v>
      </c>
      <c r="O85" s="15" t="n">
        <f aca="false">SUMPRODUCT(E85:N85,1/(1+$F$76)^$E$3:$N$3)*$E$2</f>
        <v>11429.1614175983</v>
      </c>
      <c r="P85" s="15" t="n">
        <f aca="false">N85*$E$2*(1+$I$76)/($F$76-$I$76)/(1+$F$76)^$N$3</f>
        <v>18686.789334869</v>
      </c>
      <c r="Q85" s="15" t="n">
        <f aca="false">O85+P85</f>
        <v>30115.9507524674</v>
      </c>
      <c r="R85" s="15" t="n">
        <f aca="false">Q85-$G$2+$I$2</f>
        <v>30885.9507524674</v>
      </c>
      <c r="S85" s="42" t="n">
        <f aca="false">R85/$K$2</f>
        <v>295.75745238406</v>
      </c>
      <c r="T85" s="43" t="n">
        <f aca="false">S85-$M$2</f>
        <v>3.50426843308765</v>
      </c>
    </row>
    <row r="86" customFormat="false" ht="15" hidden="false" customHeight="false" outlineLevel="0" collapsed="false">
      <c r="A86" s="5" t="n">
        <v>9</v>
      </c>
      <c r="B86" s="25" t="n">
        <f aca="false">IF(T85&gt;0,B85,D85)</f>
        <v>-0.04296875</v>
      </c>
      <c r="C86" s="25" t="n">
        <f aca="false">IF(T85&gt;0,D85,C85)</f>
        <v>-0.037109375</v>
      </c>
      <c r="D86" s="41" t="n">
        <f aca="false">(B86+C86)/2</f>
        <v>-0.0400390625</v>
      </c>
      <c r="E86" s="15" t="n">
        <f aca="false">$C$2*(1+IF(E$3&lt;=$O$2,$D86,$D86-($D86-$I$76)*MIN(E$3-$O$2,$Q$2)/$Q$2))</f>
        <v>2630.29296875</v>
      </c>
      <c r="F86" s="15" t="n">
        <f aca="false">E86*(1+IF(F$3&lt;=$O$2,$D86,$D86-($D86-$I$76)*MIN(F$3-$O$2,$Q$2)/$Q$2))</f>
        <v>2524.97850418091</v>
      </c>
      <c r="G86" s="15" t="n">
        <f aca="false">F86*(1+IF(G$3&lt;=$O$2,$D86,$D86-($D86-$I$76)*MIN(G$3-$O$2,$Q$2)/$Q$2))</f>
        <v>2423.88073204085</v>
      </c>
      <c r="H86" s="15" t="n">
        <f aca="false">G86*(1+IF(H$3&lt;=$O$2,$D86,$D86-($D86-$I$76)*MIN(H$3-$O$2,$Q$2)/$Q$2))</f>
        <v>2326.83081991812</v>
      </c>
      <c r="I86" s="15" t="n">
        <f aca="false">H86*(1+IF(I$3&lt;=$O$2,$D86,$D86-($D86-$I$76)*MIN(I$3-$O$2,$Q$2)/$Q$2))</f>
        <v>2233.66669529249</v>
      </c>
      <c r="J86" s="15" t="n">
        <f aca="false">I86*(1+IF(J$3&lt;=$O$2,$D86,$D86-($D86-$I$76)*MIN(J$3-$O$2,$Q$2)/$Q$2))</f>
        <v>2172.52844575897</v>
      </c>
      <c r="K86" s="15" t="n">
        <f aca="false">J86*(1+IF(K$3&lt;=$O$2,$D86,$D86-($D86-$I$76)*MIN(K$3-$O$2,$Q$2)/$Q$2))</f>
        <v>2140.58480953978</v>
      </c>
      <c r="L86" s="15" t="n">
        <f aca="false">K86*(1+IF(L$3&lt;=$O$2,$D86,$D86-($D86-$I$76)*MIN(L$3-$O$2,$Q$2)/$Q$2))</f>
        <v>2136.22738158686</v>
      </c>
      <c r="M86" s="15" t="n">
        <f aca="false">L86*(1+IF(M$3&lt;=$O$2,$D86,$D86-($D86-$I$76)*MIN(M$3-$O$2,$Q$2)/$Q$2))</f>
        <v>2158.94015165053</v>
      </c>
      <c r="N86" s="15" t="n">
        <f aca="false">M86*(1+IF(N$3&lt;=$O$2,$D86,$D86-($D86-$I$76)*MIN(N$3-$O$2,$Q$2)/$Q$2))</f>
        <v>2209.24345718399</v>
      </c>
      <c r="O86" s="15" t="n">
        <f aca="false">SUMPRODUCT(E86:N86,1/(1+$F$76)^$E$3:$N$3)*$E$2</f>
        <v>11281.9441245347</v>
      </c>
      <c r="P86" s="15" t="n">
        <f aca="false">N86*$E$2*(1+$I$76)/($F$76-$I$76)/(1+$F$76)^$N$3</f>
        <v>18295.1903883261</v>
      </c>
      <c r="Q86" s="15" t="n">
        <f aca="false">O86+P86</f>
        <v>29577.1345128608</v>
      </c>
      <c r="R86" s="15" t="n">
        <f aca="false">Q86-$G$2+$I$2</f>
        <v>30347.1345128608</v>
      </c>
      <c r="S86" s="42" t="n">
        <f aca="false">R86/$K$2</f>
        <v>290.597859933551</v>
      </c>
      <c r="T86" s="43" t="n">
        <f aca="false">S86-$M$2</f>
        <v>-1.65532401742064</v>
      </c>
    </row>
    <row r="87" customFormat="false" ht="15" hidden="false" customHeight="false" outlineLevel="0" collapsed="false">
      <c r="A87" s="5" t="n">
        <v>10</v>
      </c>
      <c r="B87" s="25" t="n">
        <f aca="false">IF(T86&gt;0,B86,D86)</f>
        <v>-0.0400390625</v>
      </c>
      <c r="C87" s="25" t="n">
        <f aca="false">IF(T86&gt;0,D86,C86)</f>
        <v>-0.037109375</v>
      </c>
      <c r="D87" s="41" t="n">
        <f aca="false">(B87+C87)/2</f>
        <v>-0.03857421875</v>
      </c>
      <c r="E87" s="15" t="n">
        <f aca="false">$C$2*(1+IF(E$3&lt;=$O$2,$D87,$D87-($D87-$I$76)*MIN(E$3-$O$2,$Q$2)/$Q$2))</f>
        <v>2634.306640625</v>
      </c>
      <c r="F87" s="15" t="n">
        <f aca="false">E87*(1+IF(F$3&lt;=$O$2,$D87,$D87-($D87-$I$76)*MIN(F$3-$O$2,$Q$2)/$Q$2))</f>
        <v>2532.69032001495</v>
      </c>
      <c r="G87" s="15" t="n">
        <f aca="false">F87*(1+IF(G$3&lt;=$O$2,$D87,$D87-($D87-$I$76)*MIN(G$3-$O$2,$Q$2)/$Q$2))</f>
        <v>2434.99376958469</v>
      </c>
      <c r="H87" s="15" t="n">
        <f aca="false">G87*(1+IF(H$3&lt;=$O$2,$D87,$D87-($D87-$I$76)*MIN(H$3-$O$2,$Q$2)/$Q$2))</f>
        <v>2341.06578726184</v>
      </c>
      <c r="I87" s="15" t="n">
        <f aca="false">H87*(1+IF(I$3&lt;=$O$2,$D87,$D87-($D87-$I$76)*MIN(I$3-$O$2,$Q$2)/$Q$2))</f>
        <v>2250.76100347586</v>
      </c>
      <c r="J87" s="15" t="n">
        <f aca="false">I87*(1+IF(J$3&lt;=$O$2,$D87,$D87-($D87-$I$76)*MIN(J$3-$O$2,$Q$2)/$Q$2))</f>
        <v>2191.79247191042</v>
      </c>
      <c r="K87" s="15" t="n">
        <f aca="false">J87*(1+IF(K$3&lt;=$O$2,$D87,$D87-($D87-$I$76)*MIN(K$3-$O$2,$Q$2)/$Q$2))</f>
        <v>2161.49196838898</v>
      </c>
      <c r="L87" s="15" t="n">
        <f aca="false">K87*(1+IF(L$3&lt;=$O$2,$D87,$D87-($D87-$I$76)*MIN(L$3-$O$2,$Q$2)/$Q$2))</f>
        <v>2158.35848050106</v>
      </c>
      <c r="M87" s="15" t="n">
        <f aca="false">L87*(1+IF(M$3&lt;=$O$2,$D87,$D87-($D87-$I$76)*MIN(M$3-$O$2,$Q$2)/$Q$2))</f>
        <v>2181.93888414404</v>
      </c>
      <c r="N87" s="15" t="n">
        <f aca="false">M87*(1+IF(N$3&lt;=$O$2,$D87,$D87-($D87-$I$76)*MIN(N$3-$O$2,$Q$2)/$Q$2))</f>
        <v>2232.7780601446</v>
      </c>
      <c r="O87" s="15" t="n">
        <f aca="false">SUMPRODUCT(E87:N87,1/(1+$F$76)^$E$3:$N$3)*$E$2</f>
        <v>11355.3067878456</v>
      </c>
      <c r="P87" s="15" t="n">
        <f aca="false">N87*$E$2*(1+$I$76)/($F$76-$I$76)/(1+$F$76)^$N$3</f>
        <v>18490.0851793361</v>
      </c>
      <c r="Q87" s="15" t="n">
        <f aca="false">O87+P87</f>
        <v>29845.3919671817</v>
      </c>
      <c r="R87" s="15" t="n">
        <f aca="false">Q87-$G$2+$I$2</f>
        <v>30615.3919671817</v>
      </c>
      <c r="S87" s="42" t="n">
        <f aca="false">R87/$K$2</f>
        <v>293.166637625028</v>
      </c>
      <c r="T87" s="43" t="n">
        <f aca="false">S87-$M$2</f>
        <v>0.913453674055972</v>
      </c>
    </row>
    <row r="88" customFormat="false" ht="15" hidden="false" customHeight="false" outlineLevel="0" collapsed="false">
      <c r="A88" s="5" t="n">
        <v>11</v>
      </c>
      <c r="B88" s="25" t="n">
        <f aca="false">IF(T87&gt;0,B87,D87)</f>
        <v>-0.0400390625</v>
      </c>
      <c r="C88" s="25" t="n">
        <f aca="false">IF(T87&gt;0,D87,C87)</f>
        <v>-0.03857421875</v>
      </c>
      <c r="D88" s="41" t="n">
        <f aca="false">(B88+C88)/2</f>
        <v>-0.039306640625</v>
      </c>
      <c r="E88" s="15" t="n">
        <f aca="false">$C$2*(1+IF(E$3&lt;=$O$2,$D88,$D88-($D88-$I$76)*MIN(E$3-$O$2,$Q$2)/$Q$2))</f>
        <v>2632.2998046875</v>
      </c>
      <c r="F88" s="15" t="n">
        <f aca="false">E88*(1+IF(F$3&lt;=$O$2,$D88,$D88-($D88-$I$76)*MIN(F$3-$O$2,$Q$2)/$Q$2))</f>
        <v>2528.83294224739</v>
      </c>
      <c r="G88" s="15" t="n">
        <f aca="false">F88*(1+IF(G$3&lt;=$O$2,$D88,$D88-($D88-$I$76)*MIN(G$3-$O$2,$Q$2)/$Q$2))</f>
        <v>2429.43301458581</v>
      </c>
      <c r="H88" s="15" t="n">
        <f aca="false">G88*(1+IF(H$3&lt;=$O$2,$D88,$D88-($D88-$I$76)*MIN(H$3-$O$2,$Q$2)/$Q$2))</f>
        <v>2333.94016415898</v>
      </c>
      <c r="I88" s="15" t="n">
        <f aca="false">H88*(1+IF(I$3&lt;=$O$2,$D88,$D88-($D88-$I$76)*MIN(I$3-$O$2,$Q$2)/$Q$2))</f>
        <v>2242.20081688613</v>
      </c>
      <c r="J88" s="15" t="n">
        <f aca="false">I88*(1+IF(J$3&lt;=$O$2,$D88,$D88-($D88-$I$76)*MIN(J$3-$O$2,$Q$2)/$Q$2))</f>
        <v>2182.14276731808</v>
      </c>
      <c r="K88" s="15" t="n">
        <f aca="false">J88*(1+IF(K$3&lt;=$O$2,$D88,$D88-($D88-$I$76)*MIN(K$3-$O$2,$Q$2)/$Q$2))</f>
        <v>2151.01671698103</v>
      </c>
      <c r="L88" s="15" t="n">
        <f aca="false">K88*(1+IF(L$3&lt;=$O$2,$D88,$D88-($D88-$I$76)*MIN(L$3-$O$2,$Q$2)/$Q$2))</f>
        <v>2147.26823425533</v>
      </c>
      <c r="M88" s="15" t="n">
        <f aca="false">L88*(1+IF(M$3&lt;=$O$2,$D88,$D88-($D88-$I$76)*MIN(M$3-$O$2,$Q$2)/$Q$2))</f>
        <v>2170.41293397998</v>
      </c>
      <c r="N88" s="15" t="n">
        <f aca="false">M88*(1+IF(N$3&lt;=$O$2,$D88,$D88-($D88-$I$76)*MIN(N$3-$O$2,$Q$2)/$Q$2))</f>
        <v>2220.98355534171</v>
      </c>
      <c r="O88" s="15" t="n">
        <f aca="false">SUMPRODUCT(E88:N88,1/(1+$F$76)^$E$3:$N$3)*$E$2</f>
        <v>11318.5641562345</v>
      </c>
      <c r="P88" s="15" t="n">
        <f aca="false">N88*$E$2*(1+$I$76)/($F$76-$I$76)/(1+$F$76)^$N$3</f>
        <v>18392.4125076334</v>
      </c>
      <c r="Q88" s="15" t="n">
        <f aca="false">O88+P88</f>
        <v>29710.9766638679</v>
      </c>
      <c r="R88" s="15" t="n">
        <f aca="false">Q88-$G$2+$I$2</f>
        <v>30480.9766638679</v>
      </c>
      <c r="S88" s="42" t="n">
        <f aca="false">R88/$K$2</f>
        <v>291.87950458554</v>
      </c>
      <c r="T88" s="43" t="n">
        <f aca="false">S88-$M$2</f>
        <v>-0.37367936543211</v>
      </c>
    </row>
    <row r="89" customFormat="false" ht="15" hidden="false" customHeight="false" outlineLevel="0" collapsed="false">
      <c r="A89" s="5" t="n">
        <v>12</v>
      </c>
      <c r="B89" s="25" t="n">
        <f aca="false">IF(T88&gt;0,B88,D88)</f>
        <v>-0.039306640625</v>
      </c>
      <c r="C89" s="25" t="n">
        <f aca="false">IF(T88&gt;0,D88,C88)</f>
        <v>-0.03857421875</v>
      </c>
      <c r="D89" s="41" t="n">
        <f aca="false">(B89+C89)/2</f>
        <v>-0.0389404296875</v>
      </c>
      <c r="E89" s="15" t="n">
        <f aca="false">$C$2*(1+IF(E$3&lt;=$O$2,$D89,$D89-($D89-$I$76)*MIN(E$3-$O$2,$Q$2)/$Q$2))</f>
        <v>2633.30322265625</v>
      </c>
      <c r="F89" s="15" t="n">
        <f aca="false">E89*(1+IF(F$3&lt;=$O$2,$D89,$D89-($D89-$I$76)*MIN(F$3-$O$2,$Q$2)/$Q$2))</f>
        <v>2530.76126366854</v>
      </c>
      <c r="G89" s="15" t="n">
        <f aca="false">F89*(1+IF(G$3&lt;=$O$2,$D89,$D89-($D89-$I$76)*MIN(G$3-$O$2,$Q$2)/$Q$2))</f>
        <v>2432.2123326248</v>
      </c>
      <c r="H89" s="15" t="n">
        <f aca="false">G89*(1+IF(H$3&lt;=$O$2,$D89,$D89-($D89-$I$76)*MIN(H$3-$O$2,$Q$2)/$Q$2))</f>
        <v>2337.50093930116</v>
      </c>
      <c r="I89" s="15" t="n">
        <f aca="false">H89*(1+IF(I$3&lt;=$O$2,$D89,$D89-($D89-$I$76)*MIN(I$3-$O$2,$Q$2)/$Q$2))</f>
        <v>2246.47764832984</v>
      </c>
      <c r="J89" s="15" t="n">
        <f aca="false">I89*(1+IF(J$3&lt;=$O$2,$D89,$D89-($D89-$I$76)*MIN(J$3-$O$2,$Q$2)/$Q$2))</f>
        <v>2186.96319024359</v>
      </c>
      <c r="K89" s="15" t="n">
        <f aca="false">J89*(1+IF(K$3&lt;=$O$2,$D89,$D89-($D89-$I$76)*MIN(K$3-$O$2,$Q$2)/$Q$2))</f>
        <v>2156.24891537336</v>
      </c>
      <c r="L89" s="15" t="n">
        <f aca="false">K89*(1+IF(L$3&lt;=$O$2,$D89,$D89-($D89-$I$76)*MIN(L$3-$O$2,$Q$2)/$Q$2))</f>
        <v>2152.80717149914</v>
      </c>
      <c r="M89" s="15" t="n">
        <f aca="false">L89*(1+IF(M$3&lt;=$O$2,$D89,$D89-($D89-$I$76)*MIN(M$3-$O$2,$Q$2)/$Q$2))</f>
        <v>2176.16924991739</v>
      </c>
      <c r="N89" s="15" t="n">
        <f aca="false">M89*(1+IF(N$3&lt;=$O$2,$D89,$D89-($D89-$I$76)*MIN(N$3-$O$2,$Q$2)/$Q$2))</f>
        <v>2226.87399344046</v>
      </c>
      <c r="O89" s="15" t="n">
        <f aca="false">SUMPRODUCT(E89:N89,1/(1+$F$76)^$E$3:$N$3)*$E$2</f>
        <v>11336.9201226126</v>
      </c>
      <c r="P89" s="15" t="n">
        <f aca="false">N89*$E$2*(1+$I$76)/($F$76-$I$76)/(1+$F$76)^$N$3</f>
        <v>18441.1924128706</v>
      </c>
      <c r="Q89" s="15" t="n">
        <f aca="false">O89+P89</f>
        <v>29778.1125354832</v>
      </c>
      <c r="R89" s="15" t="n">
        <f aca="false">Q89-$G$2+$I$2</f>
        <v>30548.1125354832</v>
      </c>
      <c r="S89" s="42" t="n">
        <f aca="false">R89/$K$2</f>
        <v>292.522383754507</v>
      </c>
      <c r="T89" s="43" t="n">
        <f aca="false">S89-$M$2</f>
        <v>0.26919980353523</v>
      </c>
    </row>
    <row r="90" customFormat="false" ht="15" hidden="false" customHeight="false" outlineLevel="0" collapsed="false">
      <c r="A90" s="5" t="n">
        <v>13</v>
      </c>
      <c r="B90" s="25" t="n">
        <f aca="false">IF(T89&gt;0,B89,D89)</f>
        <v>-0.039306640625</v>
      </c>
      <c r="C90" s="25" t="n">
        <f aca="false">IF(T89&gt;0,D89,C89)</f>
        <v>-0.0389404296875</v>
      </c>
      <c r="D90" s="41" t="n">
        <f aca="false">(B90+C90)/2</f>
        <v>-0.03912353515625</v>
      </c>
      <c r="E90" s="15" t="n">
        <f aca="false">$C$2*(1+IF(E$3&lt;=$O$2,$D90,$D90-($D90-$I$76)*MIN(E$3-$O$2,$Q$2)/$Q$2))</f>
        <v>2632.80151367188</v>
      </c>
      <c r="F90" s="15" t="n">
        <f aca="false">E90*(1+IF(F$3&lt;=$O$2,$D90,$D90-($D90-$I$76)*MIN(F$3-$O$2,$Q$2)/$Q$2))</f>
        <v>2529.79701109231</v>
      </c>
      <c r="G90" s="15" t="n">
        <f aca="false">F90*(1+IF(G$3&lt;=$O$2,$D90,$D90-($D90-$I$76)*MIN(G$3-$O$2,$Q$2)/$Q$2))</f>
        <v>2430.82240879066</v>
      </c>
      <c r="H90" s="15" t="n">
        <f aca="false">G90*(1+IF(H$3&lt;=$O$2,$D90,$D90-($D90-$I$76)*MIN(H$3-$O$2,$Q$2)/$Q$2))</f>
        <v>2335.72004282174</v>
      </c>
      <c r="I90" s="15" t="n">
        <f aca="false">H90*(1+IF(I$3&lt;=$O$2,$D90,$D90-($D90-$I$76)*MIN(I$3-$O$2,$Q$2)/$Q$2))</f>
        <v>2244.33841761124</v>
      </c>
      <c r="J90" s="15" t="n">
        <f aca="false">I90*(1+IF(J$3&lt;=$O$2,$D90,$D90-($D90-$I$76)*MIN(J$3-$O$2,$Q$2)/$Q$2))</f>
        <v>2184.55187225016</v>
      </c>
      <c r="K90" s="15" t="n">
        <f aca="false">J90*(1+IF(K$3&lt;=$O$2,$D90,$D90-($D90-$I$76)*MIN(K$3-$O$2,$Q$2)/$Q$2))</f>
        <v>2153.63146051476</v>
      </c>
      <c r="L90" s="15" t="n">
        <f aca="false">K90*(1+IF(L$3&lt;=$O$2,$D90,$D90-($D90-$I$76)*MIN(L$3-$O$2,$Q$2)/$Q$2))</f>
        <v>2150.03615786913</v>
      </c>
      <c r="M90" s="15" t="n">
        <f aca="false">L90*(1+IF(M$3&lt;=$O$2,$D90,$D90-($D90-$I$76)*MIN(M$3-$O$2,$Q$2)/$Q$2))</f>
        <v>2173.28942880989</v>
      </c>
      <c r="N90" s="15" t="n">
        <f aca="false">M90*(1+IF(N$3&lt;=$O$2,$D90,$D90-($D90-$I$76)*MIN(N$3-$O$2,$Q$2)/$Q$2))</f>
        <v>2223.92707250116</v>
      </c>
      <c r="O90" s="15" t="n">
        <f aca="false">SUMPRODUCT(E90:N90,1/(1+$F$76)^$E$3:$N$3)*$E$2</f>
        <v>11327.7383051242</v>
      </c>
      <c r="P90" s="15" t="n">
        <f aca="false">N90*$E$2*(1+$I$76)/($F$76-$I$76)/(1+$F$76)^$N$3</f>
        <v>18416.7883665585</v>
      </c>
      <c r="Q90" s="15" t="n">
        <f aca="false">O90+P90</f>
        <v>29744.5266716827</v>
      </c>
      <c r="R90" s="15" t="n">
        <f aca="false">Q90-$G$2+$I$2</f>
        <v>30514.5266716827</v>
      </c>
      <c r="S90" s="42" t="n">
        <f aca="false">R90/$K$2</f>
        <v>292.200772495285</v>
      </c>
      <c r="T90" s="43" t="n">
        <f aca="false">S90-$M$2</f>
        <v>-0.0524114556865811</v>
      </c>
    </row>
    <row r="91" customFormat="false" ht="15" hidden="false" customHeight="false" outlineLevel="0" collapsed="false">
      <c r="A91" s="5" t="n">
        <v>14</v>
      </c>
      <c r="B91" s="25" t="n">
        <f aca="false">IF(T90&gt;0,B90,D90)</f>
        <v>-0.03912353515625</v>
      </c>
      <c r="C91" s="25" t="n">
        <f aca="false">IF(T90&gt;0,D90,C90)</f>
        <v>-0.0389404296875</v>
      </c>
      <c r="D91" s="41" t="n">
        <f aca="false">(B91+C91)/2</f>
        <v>-0.039031982421875</v>
      </c>
      <c r="E91" s="15" t="n">
        <f aca="false">$C$2*(1+IF(E$3&lt;=$O$2,$D91,$D91-($D91-$I$76)*MIN(E$3-$O$2,$Q$2)/$Q$2))</f>
        <v>2633.05236816406</v>
      </c>
      <c r="F91" s="15" t="n">
        <f aca="false">E91*(1+IF(F$3&lt;=$O$2,$D91,$D91-($D91-$I$76)*MIN(F$3-$O$2,$Q$2)/$Q$2))</f>
        <v>2530.27911441401</v>
      </c>
      <c r="G91" s="15" t="n">
        <f aca="false">F91*(1+IF(G$3&lt;=$O$2,$D91,$D91-($D91-$I$76)*MIN(G$3-$O$2,$Q$2)/$Q$2))</f>
        <v>2431.51730449776</v>
      </c>
      <c r="H91" s="15" t="n">
        <f aca="false">G91*(1+IF(H$3&lt;=$O$2,$D91,$D91-($D91-$I$76)*MIN(H$3-$O$2,$Q$2)/$Q$2))</f>
        <v>2336.61036381012</v>
      </c>
      <c r="I91" s="15" t="n">
        <f aca="false">H91*(1+IF(I$3&lt;=$O$2,$D91,$D91-($D91-$I$76)*MIN(I$3-$O$2,$Q$2)/$Q$2))</f>
        <v>2245.40782916311</v>
      </c>
      <c r="J91" s="15" t="n">
        <f aca="false">I91*(1+IF(J$3&lt;=$O$2,$D91,$D91-($D91-$I$76)*MIN(J$3-$O$2,$Q$2)/$Q$2))</f>
        <v>2185.75725451274</v>
      </c>
      <c r="K91" s="15" t="n">
        <f aca="false">J91*(1+IF(K$3&lt;=$O$2,$D91,$D91-($D91-$I$76)*MIN(K$3-$O$2,$Q$2)/$Q$2))</f>
        <v>2154.93984888283</v>
      </c>
      <c r="L91" s="15" t="n">
        <f aca="false">K91*(1+IF(L$3&lt;=$O$2,$D91,$D91-($D91-$I$76)*MIN(L$3-$O$2,$Q$2)/$Q$2))</f>
        <v>2151.42127824949</v>
      </c>
      <c r="M91" s="15" t="n">
        <f aca="false">L91*(1+IF(M$3&lt;=$O$2,$D91,$D91-($D91-$I$76)*MIN(M$3-$O$2,$Q$2)/$Q$2))</f>
        <v>2174.72892337313</v>
      </c>
      <c r="N91" s="15" t="n">
        <f aca="false">M91*(1+IF(N$3&lt;=$O$2,$D91,$D91-($D91-$I$76)*MIN(N$3-$O$2,$Q$2)/$Q$2))</f>
        <v>2225.40010728772</v>
      </c>
      <c r="O91" s="15" t="n">
        <f aca="false">SUMPRODUCT(E91:N91,1/(1+$F$76)^$E$3:$N$3)*$E$2</f>
        <v>11332.3282549115</v>
      </c>
      <c r="P91" s="15" t="n">
        <f aca="false">N91*$E$2*(1+$I$76)/($F$76-$I$76)/(1+$F$76)^$N$3</f>
        <v>18428.986864547</v>
      </c>
      <c r="Q91" s="15" t="n">
        <f aca="false">O91+P91</f>
        <v>29761.3151194586</v>
      </c>
      <c r="R91" s="15" t="n">
        <f aca="false">Q91-$G$2+$I$2</f>
        <v>30531.3151194586</v>
      </c>
      <c r="S91" s="42" t="n">
        <f aca="false">R91/$K$2</f>
        <v>292.361535185852</v>
      </c>
      <c r="T91" s="43" t="n">
        <f aca="false">S91-$M$2</f>
        <v>0.108351234880445</v>
      </c>
    </row>
    <row r="92" customFormat="false" ht="15" hidden="false" customHeight="false" outlineLevel="0" collapsed="false">
      <c r="A92" s="5" t="n">
        <v>15</v>
      </c>
      <c r="B92" s="25" t="n">
        <f aca="false">IF(T91&gt;0,B91,D91)</f>
        <v>-0.03912353515625</v>
      </c>
      <c r="C92" s="25" t="n">
        <f aca="false">IF(T91&gt;0,D91,C91)</f>
        <v>-0.039031982421875</v>
      </c>
      <c r="D92" s="41" t="n">
        <f aca="false">(B92+C92)/2</f>
        <v>-0.0390777587890625</v>
      </c>
      <c r="E92" s="15" t="n">
        <f aca="false">$C$2*(1+IF(E$3&lt;=$O$2,$D92,$D92-($D92-$I$76)*MIN(E$3-$O$2,$Q$2)/$Q$2))</f>
        <v>2632.92694091797</v>
      </c>
      <c r="F92" s="15" t="n">
        <f aca="false">E92*(1+IF(F$3&lt;=$O$2,$D92,$D92-($D92-$I$76)*MIN(F$3-$O$2,$Q$2)/$Q$2))</f>
        <v>2530.03805701155</v>
      </c>
      <c r="G92" s="15" t="n">
        <f aca="false">F92*(1+IF(G$3&lt;=$O$2,$D92,$D92-($D92-$I$76)*MIN(G$3-$O$2,$Q$2)/$Q$2))</f>
        <v>2431.16984009251</v>
      </c>
      <c r="H92" s="15" t="n">
        <f aca="false">G92*(1+IF(H$3&lt;=$O$2,$D92,$D92-($D92-$I$76)*MIN(H$3-$O$2,$Q$2)/$Q$2))</f>
        <v>2336.16517150613</v>
      </c>
      <c r="I92" s="15" t="n">
        <f aca="false">H92*(1+IF(I$3&lt;=$O$2,$D92,$D92-($D92-$I$76)*MIN(I$3-$O$2,$Q$2)/$Q$2))</f>
        <v>2244.8730724426</v>
      </c>
      <c r="J92" s="15" t="n">
        <f aca="false">I92*(1+IF(J$3&lt;=$O$2,$D92,$D92-($D92-$I$76)*MIN(J$3-$O$2,$Q$2)/$Q$2))</f>
        <v>2185.15449421061</v>
      </c>
      <c r="K92" s="15" t="n">
        <f aca="false">J92*(1+IF(K$3&lt;=$O$2,$D92,$D92-($D92-$I$76)*MIN(K$3-$O$2,$Q$2)/$Q$2))</f>
        <v>2154.28556995169</v>
      </c>
      <c r="L92" s="15" t="n">
        <f aca="false">K92*(1+IF(L$3&lt;=$O$2,$D92,$D92-($D92-$I$76)*MIN(L$3-$O$2,$Q$2)/$Q$2))</f>
        <v>2150.72862147348</v>
      </c>
      <c r="M92" s="15" t="n">
        <f aca="false">L92*(1+IF(M$3&lt;=$O$2,$D92,$D92-($D92-$I$76)*MIN(M$3-$O$2,$Q$2)/$Q$2))</f>
        <v>2174.00907211961</v>
      </c>
      <c r="N92" s="15" t="n">
        <f aca="false">M92*(1+IF(N$3&lt;=$O$2,$D92,$D92-($D92-$I$76)*MIN(N$3-$O$2,$Q$2)/$Q$2))</f>
        <v>2224.6634835</v>
      </c>
      <c r="O92" s="15" t="n">
        <f aca="false">SUMPRODUCT(E92:N92,1/(1+$F$76)^$E$3:$N$3)*$E$2</f>
        <v>11330.0330403264</v>
      </c>
      <c r="P92" s="15" t="n">
        <f aca="false">N92*$E$2*(1+$I$76)/($F$76-$I$76)/(1+$F$76)^$N$3</f>
        <v>18422.8867344789</v>
      </c>
      <c r="Q92" s="15" t="n">
        <f aca="false">O92+P92</f>
        <v>29752.9197748054</v>
      </c>
      <c r="R92" s="15" t="n">
        <f aca="false">Q92-$G$2+$I$2</f>
        <v>30522.9197748054</v>
      </c>
      <c r="S92" s="42" t="n">
        <f aca="false">R92/$K$2</f>
        <v>292.281143108354</v>
      </c>
      <c r="T92" s="43" t="n">
        <f aca="false">S92-$M$2</f>
        <v>0.027959157381531</v>
      </c>
    </row>
    <row r="93" customFormat="false" ht="15" hidden="false" customHeight="false" outlineLevel="0" collapsed="false">
      <c r="A93" s="5" t="n">
        <v>16</v>
      </c>
      <c r="B93" s="25" t="n">
        <f aca="false">IF(T92&gt;0,B92,D92)</f>
        <v>-0.03912353515625</v>
      </c>
      <c r="C93" s="25" t="n">
        <f aca="false">IF(T92&gt;0,D92,C92)</f>
        <v>-0.0390777587890625</v>
      </c>
      <c r="D93" s="41" t="n">
        <f aca="false">(B93+C93)/2</f>
        <v>-0.0391006469726563</v>
      </c>
      <c r="E93" s="15" t="n">
        <f aca="false">$C$2*(1+IF(E$3&lt;=$O$2,$D93,$D93-($D93-$I$76)*MIN(E$3-$O$2,$Q$2)/$Q$2))</f>
        <v>2632.86422729492</v>
      </c>
      <c r="F93" s="15" t="n">
        <f aca="false">E93*(1+IF(F$3&lt;=$O$2,$D93,$D93-($D93-$I$76)*MIN(F$3-$O$2,$Q$2)/$Q$2))</f>
        <v>2529.91753261653</v>
      </c>
      <c r="G93" s="15" t="n">
        <f aca="false">F93*(1+IF(G$3&lt;=$O$2,$D93,$D93-($D93-$I$76)*MIN(G$3-$O$2,$Q$2)/$Q$2))</f>
        <v>2430.99612030376</v>
      </c>
      <c r="H93" s="15" t="n">
        <f aca="false">G93*(1+IF(H$3&lt;=$O$2,$D93,$D93-($D93-$I$76)*MIN(H$3-$O$2,$Q$2)/$Q$2))</f>
        <v>2335.94259921186</v>
      </c>
      <c r="I93" s="15" t="n">
        <f aca="false">H93*(1+IF(I$3&lt;=$O$2,$D93,$D93-($D93-$I$76)*MIN(I$3-$O$2,$Q$2)/$Q$2))</f>
        <v>2244.60573229169</v>
      </c>
      <c r="J93" s="15" t="n">
        <f aca="false">I93*(1+IF(J$3&lt;=$O$2,$D93,$D93-($D93-$I$76)*MIN(J$3-$O$2,$Q$2)/$Q$2))</f>
        <v>2184.85316593926</v>
      </c>
      <c r="K93" s="15" t="n">
        <f aca="false">J93*(1+IF(K$3&lt;=$O$2,$D93,$D93-($D93-$I$76)*MIN(K$3-$O$2,$Q$2)/$Q$2))</f>
        <v>2153.95849404872</v>
      </c>
      <c r="L93" s="15" t="n">
        <f aca="false">K93*(1+IF(L$3&lt;=$O$2,$D93,$D93-($D93-$I$76)*MIN(L$3-$O$2,$Q$2)/$Q$2))</f>
        <v>2150.3823655277</v>
      </c>
      <c r="M93" s="15" t="n">
        <f aca="false">L93*(1+IF(M$3&lt;=$O$2,$D93,$D93-($D93-$I$76)*MIN(M$3-$O$2,$Q$2)/$Q$2))</f>
        <v>2173.64922447499</v>
      </c>
      <c r="N93" s="15" t="n">
        <f aca="false">M93*(1+IF(N$3&lt;=$O$2,$D93,$D93-($D93-$I$76)*MIN(N$3-$O$2,$Q$2)/$Q$2))</f>
        <v>2224.29525140526</v>
      </c>
      <c r="O93" s="15" t="n">
        <f aca="false">SUMPRODUCT(E93:N93,1/(1+$F$76)^$E$3:$N$3)*$E$2</f>
        <v>11328.8856128084</v>
      </c>
      <c r="P93" s="15" t="n">
        <f aca="false">N93*$E$2*(1+$I$76)/($F$76-$I$76)/(1+$F$76)^$N$3</f>
        <v>18419.8373302775</v>
      </c>
      <c r="Q93" s="15" t="n">
        <f aca="false">O93+P93</f>
        <v>29748.7229430859</v>
      </c>
      <c r="R93" s="15" t="n">
        <f aca="false">Q93-$G$2+$I$2</f>
        <v>30518.7229430859</v>
      </c>
      <c r="S93" s="42" t="n">
        <f aca="false">R93/$K$2</f>
        <v>292.240955119084</v>
      </c>
      <c r="T93" s="43" t="n">
        <f aca="false">S93-$M$2</f>
        <v>-0.0122288318882511</v>
      </c>
    </row>
    <row r="94" customFormat="false" ht="15" hidden="false" customHeight="false" outlineLevel="0" collapsed="false">
      <c r="A94" s="5" t="n">
        <v>17</v>
      </c>
      <c r="B94" s="25" t="n">
        <f aca="false">IF(T93&gt;0,B93,D93)</f>
        <v>-0.0391006469726563</v>
      </c>
      <c r="C94" s="25" t="n">
        <f aca="false">IF(T93&gt;0,D93,C93)</f>
        <v>-0.0390777587890625</v>
      </c>
      <c r="D94" s="41" t="n">
        <f aca="false">(B94+C94)/2</f>
        <v>-0.0390892028808594</v>
      </c>
      <c r="E94" s="15" t="n">
        <f aca="false">$C$2*(1+IF(E$3&lt;=$O$2,$D94,$D94-($D94-$I$76)*MIN(E$3-$O$2,$Q$2)/$Q$2))</f>
        <v>2632.89558410645</v>
      </c>
      <c r="F94" s="15" t="n">
        <f aca="false">E94*(1+IF(F$3&lt;=$O$2,$D94,$D94-($D94-$I$76)*MIN(F$3-$O$2,$Q$2)/$Q$2))</f>
        <v>2529.97779445519</v>
      </c>
      <c r="G94" s="15" t="n">
        <f aca="false">F94*(1+IF(G$3&lt;=$O$2,$D94,$D94-($D94-$I$76)*MIN(G$3-$O$2,$Q$2)/$Q$2))</f>
        <v>2431.08297916366</v>
      </c>
      <c r="H94" s="15" t="n">
        <f aca="false">G94*(1+IF(H$3&lt;=$O$2,$D94,$D94-($D94-$I$76)*MIN(H$3-$O$2,$Q$2)/$Q$2))</f>
        <v>2336.05388337093</v>
      </c>
      <c r="I94" s="15" t="n">
        <f aca="false">H94*(1+IF(I$3&lt;=$O$2,$D94,$D94-($D94-$I$76)*MIN(I$3-$O$2,$Q$2)/$Q$2))</f>
        <v>2244.73939918322</v>
      </c>
      <c r="J94" s="15" t="n">
        <f aca="false">I94*(1+IF(J$3&lt;=$O$2,$D94,$D94-($D94-$I$76)*MIN(J$3-$O$2,$Q$2)/$Q$2))</f>
        <v>2185.00382575195</v>
      </c>
      <c r="K94" s="15" t="n">
        <f aca="false">J94*(1+IF(K$3&lt;=$O$2,$D94,$D94-($D94-$I$76)*MIN(K$3-$O$2,$Q$2)/$Q$2))</f>
        <v>2154.1220267038</v>
      </c>
      <c r="L94" s="15" t="n">
        <f aca="false">K94*(1+IF(L$3&lt;=$O$2,$D94,$D94-($D94-$I$76)*MIN(L$3-$O$2,$Q$2)/$Q$2))</f>
        <v>2150.55548746434</v>
      </c>
      <c r="M94" s="15" t="n">
        <f aca="false">L94*(1+IF(M$3&lt;=$O$2,$D94,$D94-($D94-$I$76)*MIN(M$3-$O$2,$Q$2)/$Q$2))</f>
        <v>2173.82914179946</v>
      </c>
      <c r="N94" s="15" t="n">
        <f aca="false">M94*(1+IF(N$3&lt;=$O$2,$D94,$D94-($D94-$I$76)*MIN(N$3-$O$2,$Q$2)/$Q$2))</f>
        <v>2224.47936080339</v>
      </c>
      <c r="O94" s="15" t="n">
        <f aca="false">SUMPRODUCT(E94:N94,1/(1+$F$76)^$E$3:$N$3)*$E$2</f>
        <v>11329.4593115874</v>
      </c>
      <c r="P94" s="15" t="n">
        <f aca="false">N94*$E$2*(1+$I$76)/($F$76-$I$76)/(1+$F$76)^$N$3</f>
        <v>18421.3619773145</v>
      </c>
      <c r="Q94" s="15" t="n">
        <f aca="false">O94+P94</f>
        <v>29750.821288902</v>
      </c>
      <c r="R94" s="15" t="n">
        <f aca="false">Q94-$G$2+$I$2</f>
        <v>30520.821288902</v>
      </c>
      <c r="S94" s="42" t="n">
        <f aca="false">R94/$K$2</f>
        <v>292.261048442995</v>
      </c>
      <c r="T94" s="43" t="n">
        <f aca="false">S94-$M$2</f>
        <v>0.00786449202291806</v>
      </c>
    </row>
    <row r="95" customFormat="false" ht="15" hidden="false" customHeight="false" outlineLevel="0" collapsed="false">
      <c r="A95" s="5" t="n">
        <v>18</v>
      </c>
      <c r="B95" s="25" t="n">
        <f aca="false">IF(T94&gt;0,B94,D94)</f>
        <v>-0.0391006469726563</v>
      </c>
      <c r="C95" s="25" t="n">
        <f aca="false">IF(T94&gt;0,D94,C94)</f>
        <v>-0.0390892028808594</v>
      </c>
      <c r="D95" s="41" t="n">
        <f aca="false">(B95+C95)/2</f>
        <v>-0.0390949249267578</v>
      </c>
      <c r="E95" s="15" t="n">
        <f aca="false">$C$2*(1+IF(E$3&lt;=$O$2,$D95,$D95-($D95-$I$76)*MIN(E$3-$O$2,$Q$2)/$Q$2))</f>
        <v>2632.87990570068</v>
      </c>
      <c r="F95" s="15" t="n">
        <f aca="false">E95*(1+IF(F$3&lt;=$O$2,$D95,$D95-($D95-$I$76)*MIN(F$3-$O$2,$Q$2)/$Q$2))</f>
        <v>2529.94766344615</v>
      </c>
      <c r="G95" s="15" t="n">
        <f aca="false">F95*(1+IF(G$3&lt;=$O$2,$D95,$D95-($D95-$I$76)*MIN(G$3-$O$2,$Q$2)/$Q$2))</f>
        <v>2431.03954947509</v>
      </c>
      <c r="H95" s="15" t="n">
        <f aca="false">G95*(1+IF(H$3&lt;=$O$2,$D95,$D95-($D95-$I$76)*MIN(H$3-$O$2,$Q$2)/$Q$2))</f>
        <v>2335.99824079439</v>
      </c>
      <c r="I95" s="15" t="n">
        <f aca="false">H95*(1+IF(I$3&lt;=$O$2,$D95,$D95-($D95-$I$76)*MIN(I$3-$O$2,$Q$2)/$Q$2))</f>
        <v>2244.67256494149</v>
      </c>
      <c r="J95" s="15" t="n">
        <f aca="false">I95*(1+IF(J$3&lt;=$O$2,$D95,$D95-($D95-$I$76)*MIN(J$3-$O$2,$Q$2)/$Q$2))</f>
        <v>2184.92849476489</v>
      </c>
      <c r="K95" s="15" t="n">
        <f aca="false">J95*(1+IF(K$3&lt;=$O$2,$D95,$D95-($D95-$I$76)*MIN(K$3-$O$2,$Q$2)/$Q$2))</f>
        <v>2154.04025905219</v>
      </c>
      <c r="L95" s="15" t="n">
        <f aca="false">K95*(1+IF(L$3&lt;=$O$2,$D95,$D95-($D95-$I$76)*MIN(L$3-$O$2,$Q$2)/$Q$2))</f>
        <v>2150.468924987</v>
      </c>
      <c r="M95" s="15" t="n">
        <f aca="false">L95*(1+IF(M$3&lt;=$O$2,$D95,$D95-($D95-$I$76)*MIN(M$3-$O$2,$Q$2)/$Q$2))</f>
        <v>2173.73918151282</v>
      </c>
      <c r="N95" s="15" t="n">
        <f aca="false">M95*(1+IF(N$3&lt;=$O$2,$D95,$D95-($D95-$I$76)*MIN(N$3-$O$2,$Q$2)/$Q$2))</f>
        <v>2224.38730444207</v>
      </c>
      <c r="O95" s="15" t="n">
        <f aca="false">SUMPRODUCT(E95:N95,1/(1+$F$76)^$E$3:$N$3)*$E$2</f>
        <v>11329.172458453</v>
      </c>
      <c r="P95" s="15" t="n">
        <f aca="false">N95*$E$2*(1+$I$76)/($F$76-$I$76)/(1+$F$76)^$N$3</f>
        <v>18420.5996400305</v>
      </c>
      <c r="Q95" s="15" t="n">
        <f aca="false">O95+P95</f>
        <v>29749.7720984835</v>
      </c>
      <c r="R95" s="15" t="n">
        <f aca="false">Q95-$G$2+$I$2</f>
        <v>30519.7720984835</v>
      </c>
      <c r="S95" s="42" t="n">
        <f aca="false">R95/$K$2</f>
        <v>292.251001613363</v>
      </c>
      <c r="T95" s="43" t="n">
        <f aca="false">S95-$M$2</f>
        <v>-0.00218233760858766</v>
      </c>
    </row>
    <row r="96" customFormat="false" ht="15" hidden="false" customHeight="false" outlineLevel="0" collapsed="false">
      <c r="A96" s="5" t="n">
        <v>19</v>
      </c>
      <c r="B96" s="25" t="n">
        <f aca="false">IF(T95&gt;0,B95,D95)</f>
        <v>-0.0390949249267578</v>
      </c>
      <c r="C96" s="25" t="n">
        <f aca="false">IF(T95&gt;0,D95,C95)</f>
        <v>-0.0390892028808594</v>
      </c>
      <c r="D96" s="41" t="n">
        <f aca="false">(B96+C96)/2</f>
        <v>-0.0390920639038086</v>
      </c>
      <c r="E96" s="15" t="n">
        <f aca="false">$C$2*(1+IF(E$3&lt;=$O$2,$D96,$D96-($D96-$I$76)*MIN(E$3-$O$2,$Q$2)/$Q$2))</f>
        <v>2632.88774490356</v>
      </c>
      <c r="F96" s="15" t="n">
        <f aca="false">E96*(1+IF(F$3&lt;=$O$2,$D96,$D96-($D96-$I$76)*MIN(F$3-$O$2,$Q$2)/$Q$2))</f>
        <v>2529.96272892824</v>
      </c>
      <c r="G96" s="15" t="n">
        <f aca="false">F96*(1+IF(G$3&lt;=$O$2,$D96,$D96-($D96-$I$76)*MIN(G$3-$O$2,$Q$2)/$Q$2))</f>
        <v>2431.06126425472</v>
      </c>
      <c r="H96" s="15" t="n">
        <f aca="false">G96*(1+IF(H$3&lt;=$O$2,$D96,$D96-($D96-$I$76)*MIN(H$3-$O$2,$Q$2)/$Q$2))</f>
        <v>2336.0260619584</v>
      </c>
      <c r="I96" s="15" t="n">
        <f aca="false">H96*(1+IF(I$3&lt;=$O$2,$D96,$D96-($D96-$I$76)*MIN(I$3-$O$2,$Q$2)/$Q$2))</f>
        <v>2244.70598186336</v>
      </c>
      <c r="J96" s="15" t="n">
        <f aca="false">I96*(1+IF(J$3&lt;=$O$2,$D96,$D96-($D96-$I$76)*MIN(J$3-$O$2,$Q$2)/$Q$2))</f>
        <v>2184.96615998824</v>
      </c>
      <c r="K96" s="15" t="n">
        <f aca="false">J96*(1+IF(K$3&lt;=$O$2,$D96,$D96-($D96-$I$76)*MIN(K$3-$O$2,$Q$2)/$Q$2))</f>
        <v>2154.08114254697</v>
      </c>
      <c r="L96" s="15" t="n">
        <f aca="false">K96*(1+IF(L$3&lt;=$O$2,$D96,$D96-($D96-$I$76)*MIN(L$3-$O$2,$Q$2)/$Q$2))</f>
        <v>2150.51220584841</v>
      </c>
      <c r="M96" s="15" t="n">
        <f aca="false">L96*(1+IF(M$3&lt;=$O$2,$D96,$D96-($D96-$I$76)*MIN(M$3-$O$2,$Q$2)/$Q$2))</f>
        <v>2173.78416125003</v>
      </c>
      <c r="N96" s="15" t="n">
        <f aca="false">M96*(1+IF(N$3&lt;=$O$2,$D96,$D96-($D96-$I$76)*MIN(N$3-$O$2,$Q$2)/$Q$2))</f>
        <v>2224.43333220716</v>
      </c>
      <c r="O96" s="15" t="n">
        <f aca="false">SUMPRODUCT(E96:N96,1/(1+$F$76)^$E$3:$N$3)*$E$2</f>
        <v>11329.315884084</v>
      </c>
      <c r="P96" s="15" t="n">
        <f aca="false">N96*$E$2*(1+$I$76)/($F$76-$I$76)/(1+$F$76)^$N$3</f>
        <v>18420.9808052311</v>
      </c>
      <c r="Q96" s="15" t="n">
        <f aca="false">O96+P96</f>
        <v>29750.2966893151</v>
      </c>
      <c r="R96" s="15" t="n">
        <f aca="false">Q96-$G$2+$I$2</f>
        <v>30520.2966893151</v>
      </c>
      <c r="S96" s="42" t="n">
        <f aca="false">R96/$K$2</f>
        <v>292.25602498626</v>
      </c>
      <c r="T96" s="43" t="n">
        <f aca="false">S96-$M$2</f>
        <v>0.00284103528753121</v>
      </c>
    </row>
    <row r="97" customFormat="false" ht="15" hidden="false" customHeight="false" outlineLevel="0" collapsed="false">
      <c r="A97" s="5" t="n">
        <v>20</v>
      </c>
      <c r="B97" s="25" t="n">
        <f aca="false">IF(T96&gt;0,B96,D96)</f>
        <v>-0.0390949249267578</v>
      </c>
      <c r="C97" s="25" t="n">
        <f aca="false">IF(T96&gt;0,D96,C96)</f>
        <v>-0.0390920639038086</v>
      </c>
      <c r="D97" s="41" t="n">
        <f aca="false">(B97+C97)/2</f>
        <v>-0.0390934944152832</v>
      </c>
      <c r="E97" s="15" t="n">
        <f aca="false">$C$2*(1+IF(E$3&lt;=$O$2,$D97,$D97-($D97-$I$76)*MIN(E$3-$O$2,$Q$2)/$Q$2))</f>
        <v>2632.88382530212</v>
      </c>
      <c r="F97" s="15" t="n">
        <f aca="false">E97*(1+IF(F$3&lt;=$O$2,$D97,$D97-($D97-$I$76)*MIN(F$3-$O$2,$Q$2)/$Q$2))</f>
        <v>2529.95519618159</v>
      </c>
      <c r="G97" s="15" t="n">
        <f aca="false">F97*(1+IF(G$3&lt;=$O$2,$D97,$D97-($D97-$I$76)*MIN(G$3-$O$2,$Q$2)/$Q$2))</f>
        <v>2431.05040684874</v>
      </c>
      <c r="H97" s="15" t="n">
        <f aca="false">G97*(1+IF(H$3&lt;=$O$2,$D97,$D97-($D97-$I$76)*MIN(H$3-$O$2,$Q$2)/$Q$2))</f>
        <v>2336.01215134533</v>
      </c>
      <c r="I97" s="15" t="n">
        <f aca="false">H97*(1+IF(I$3&lt;=$O$2,$D97,$D97-($D97-$I$76)*MIN(I$3-$O$2,$Q$2)/$Q$2))</f>
        <v>2244.68927335268</v>
      </c>
      <c r="J97" s="15" t="n">
        <f aca="false">I97*(1+IF(J$3&lt;=$O$2,$D97,$D97-($D97-$I$76)*MIN(J$3-$O$2,$Q$2)/$Q$2))</f>
        <v>2184.94732730902</v>
      </c>
      <c r="K97" s="15" t="n">
        <f aca="false">J97*(1+IF(K$3&lt;=$O$2,$D97,$D97-($D97-$I$76)*MIN(K$3-$O$2,$Q$2)/$Q$2))</f>
        <v>2154.06070071683</v>
      </c>
      <c r="L97" s="15" t="n">
        <f aca="false">K97*(1+IF(L$3&lt;=$O$2,$D97,$D97-($D97-$I$76)*MIN(L$3-$O$2,$Q$2)/$Q$2))</f>
        <v>2150.49056532339</v>
      </c>
      <c r="M97" s="15" t="n">
        <f aca="false">L97*(1+IF(M$3&lt;=$O$2,$D97,$D97-($D97-$I$76)*MIN(M$3-$O$2,$Q$2)/$Q$2))</f>
        <v>2173.7616712799</v>
      </c>
      <c r="N97" s="15" t="n">
        <f aca="false">M97*(1+IF(N$3&lt;=$O$2,$D97,$D97-($D97-$I$76)*MIN(N$3-$O$2,$Q$2)/$Q$2))</f>
        <v>2224.41031822072</v>
      </c>
      <c r="O97" s="15" t="n">
        <f aca="false">SUMPRODUCT(E97:N97,1/(1+$F$76)^$E$3:$N$3)*$E$2</f>
        <v>11329.2441710345</v>
      </c>
      <c r="P97" s="15" t="n">
        <f aca="false">N97*$E$2*(1+$I$76)/($F$76-$I$76)/(1+$F$76)^$N$3</f>
        <v>18420.7902217705</v>
      </c>
      <c r="Q97" s="15" t="n">
        <f aca="false">O97+P97</f>
        <v>29750.0343928049</v>
      </c>
      <c r="R97" s="15" t="n">
        <f aca="false">Q97-$G$2+$I$2</f>
        <v>30520.0343928049</v>
      </c>
      <c r="S97" s="42" t="n">
        <f aca="false">R97/$K$2</f>
        <v>292.253513289332</v>
      </c>
      <c r="T97" s="43" t="n">
        <f aca="false">S97-$M$2</f>
        <v>0.000329338359676967</v>
      </c>
    </row>
    <row r="98" customFormat="false" ht="15" hidden="false" customHeight="false" outlineLevel="0" collapsed="false">
      <c r="A98" s="5" t="n">
        <v>21</v>
      </c>
      <c r="B98" s="25" t="n">
        <f aca="false">IF(T97&gt;0,B97,D97)</f>
        <v>-0.0390949249267578</v>
      </c>
      <c r="C98" s="25" t="n">
        <f aca="false">IF(T97&gt;0,D97,C97)</f>
        <v>-0.0390934944152832</v>
      </c>
      <c r="D98" s="41" t="n">
        <f aca="false">(B98+C98)/2</f>
        <v>-0.0390942096710205</v>
      </c>
      <c r="E98" s="15" t="n">
        <f aca="false">$C$2*(1+IF(E$3&lt;=$O$2,$D98,$D98-($D98-$I$76)*MIN(E$3-$O$2,$Q$2)/$Q$2))</f>
        <v>2632.8818655014</v>
      </c>
      <c r="F98" s="15" t="n">
        <f aca="false">E98*(1+IF(F$3&lt;=$O$2,$D98,$D98-($D98-$I$76)*MIN(F$3-$O$2,$Q$2)/$Q$2))</f>
        <v>2529.95142981246</v>
      </c>
      <c r="G98" s="15" t="n">
        <f aca="false">F98*(1+IF(G$3&lt;=$O$2,$D98,$D98-($D98-$I$76)*MIN(G$3-$O$2,$Q$2)/$Q$2))</f>
        <v>2431.04497815788</v>
      </c>
      <c r="H98" s="15" t="n">
        <f aca="false">G98*(1+IF(H$3&lt;=$O$2,$D98,$D98-($D98-$I$76)*MIN(H$3-$O$2,$Q$2)/$Q$2))</f>
        <v>2336.00519606209</v>
      </c>
      <c r="I98" s="15" t="n">
        <f aca="false">H98*(1+IF(I$3&lt;=$O$2,$D98,$D98-($D98-$I$76)*MIN(I$3-$O$2,$Q$2)/$Q$2))</f>
        <v>2244.68091913465</v>
      </c>
      <c r="J98" s="15" t="n">
        <f aca="false">I98*(1+IF(J$3&lt;=$O$2,$D98,$D98-($D98-$I$76)*MIN(J$3-$O$2,$Q$2)/$Q$2))</f>
        <v>2184.93791102006</v>
      </c>
      <c r="K98" s="15" t="n">
        <f aca="false">J98*(1+IF(K$3&lt;=$O$2,$D98,$D98-($D98-$I$76)*MIN(K$3-$O$2,$Q$2)/$Q$2))</f>
        <v>2154.05047986382</v>
      </c>
      <c r="L98" s="15" t="n">
        <f aca="false">K98*(1+IF(L$3&lt;=$O$2,$D98,$D98-($D98-$I$76)*MIN(L$3-$O$2,$Q$2)/$Q$2))</f>
        <v>2150.47974513162</v>
      </c>
      <c r="M98" s="15" t="n">
        <f aca="false">L98*(1+IF(M$3&lt;=$O$2,$D98,$D98-($D98-$I$76)*MIN(M$3-$O$2,$Q$2)/$Q$2))</f>
        <v>2173.75042637098</v>
      </c>
      <c r="N98" s="15" t="n">
        <f aca="false">M98*(1+IF(N$3&lt;=$O$2,$D98,$D98-($D98-$I$76)*MIN(N$3-$O$2,$Q$2)/$Q$2))</f>
        <v>2224.39881130542</v>
      </c>
      <c r="O98" s="15" t="n">
        <f aca="false">SUMPRODUCT(E98:N98,1/(1+$F$76)^$E$3:$N$3)*$E$2</f>
        <v>11329.2083146852</v>
      </c>
      <c r="P98" s="15" t="n">
        <f aca="false">N98*$E$2*(1+$I$76)/($F$76-$I$76)/(1+$F$76)^$N$3</f>
        <v>18420.6949306854</v>
      </c>
      <c r="Q98" s="15" t="n">
        <f aca="false">O98+P98</f>
        <v>29749.9032453706</v>
      </c>
      <c r="R98" s="15" t="n">
        <f aca="false">Q98-$G$2+$I$2</f>
        <v>30519.9032453706</v>
      </c>
      <c r="S98" s="42" t="n">
        <f aca="false">R98/$K$2</f>
        <v>292.252257448728</v>
      </c>
      <c r="T98" s="43" t="n">
        <f aca="false">S98-$M$2</f>
        <v>-0.000926502244453786</v>
      </c>
    </row>
    <row r="99" customFormat="false" ht="15" hidden="false" customHeight="false" outlineLevel="0" collapsed="false">
      <c r="A99" s="5" t="n">
        <v>22</v>
      </c>
      <c r="B99" s="25" t="n">
        <f aca="false">IF(T98&gt;0,B98,D98)</f>
        <v>-0.0390942096710205</v>
      </c>
      <c r="C99" s="25" t="n">
        <f aca="false">IF(T98&gt;0,D98,C98)</f>
        <v>-0.0390934944152832</v>
      </c>
      <c r="D99" s="41" t="n">
        <f aca="false">(B99+C99)/2</f>
        <v>-0.0390938520431519</v>
      </c>
      <c r="E99" s="15" t="n">
        <f aca="false">$C$2*(1+IF(E$3&lt;=$O$2,$D99,$D99-($D99-$I$76)*MIN(E$3-$O$2,$Q$2)/$Q$2))</f>
        <v>2632.88284540176</v>
      </c>
      <c r="F99" s="15" t="n">
        <f aca="false">E99*(1+IF(F$3&lt;=$O$2,$D99,$D99-($D99-$I$76)*MIN(F$3-$O$2,$Q$2)/$Q$2))</f>
        <v>2529.95331299668</v>
      </c>
      <c r="G99" s="15" t="n">
        <f aca="false">F99*(1+IF(G$3&lt;=$O$2,$D99,$D99-($D99-$I$76)*MIN(G$3-$O$2,$Q$2)/$Q$2))</f>
        <v>2431.0476925023</v>
      </c>
      <c r="H99" s="15" t="n">
        <f aca="false">G99*(1+IF(H$3&lt;=$O$2,$D99,$D99-($D99-$I$76)*MIN(H$3-$O$2,$Q$2)/$Q$2))</f>
        <v>2336.00867370177</v>
      </c>
      <c r="I99" s="15" t="n">
        <f aca="false">H99*(1+IF(I$3&lt;=$O$2,$D99,$D99-($D99-$I$76)*MIN(I$3-$O$2,$Q$2)/$Q$2))</f>
        <v>2244.68509624055</v>
      </c>
      <c r="J99" s="15" t="n">
        <f aca="false">I99*(1+IF(J$3&lt;=$O$2,$D99,$D99-($D99-$I$76)*MIN(J$3-$O$2,$Q$2)/$Q$2))</f>
        <v>2184.94261916032</v>
      </c>
      <c r="K99" s="15" t="n">
        <f aca="false">J99*(1+IF(K$3&lt;=$O$2,$D99,$D99-($D99-$I$76)*MIN(K$3-$O$2,$Q$2)/$Q$2))</f>
        <v>2154.05559028515</v>
      </c>
      <c r="L99" s="15" t="n">
        <f aca="false">K99*(1+IF(L$3&lt;=$O$2,$D99,$D99-($D99-$I$76)*MIN(L$3-$O$2,$Q$2)/$Q$2))</f>
        <v>2150.48515522161</v>
      </c>
      <c r="M99" s="15" t="n">
        <f aca="false">L99*(1+IF(M$3&lt;=$O$2,$D99,$D99-($D99-$I$76)*MIN(M$3-$O$2,$Q$2)/$Q$2))</f>
        <v>2173.75604881909</v>
      </c>
      <c r="N99" s="15" t="n">
        <f aca="false">M99*(1+IF(N$3&lt;=$O$2,$D99,$D99-($D99-$I$76)*MIN(N$3-$O$2,$Q$2)/$Q$2))</f>
        <v>2224.40456475658</v>
      </c>
      <c r="O99" s="15" t="n">
        <f aca="false">SUMPRODUCT(E99:N99,1/(1+$F$76)^$E$3:$N$3)*$E$2</f>
        <v>11329.2262428452</v>
      </c>
      <c r="P99" s="15" t="n">
        <f aca="false">N99*$E$2*(1+$I$76)/($F$76-$I$76)/(1+$F$76)^$N$3</f>
        <v>18420.7425761742</v>
      </c>
      <c r="Q99" s="15" t="n">
        <f aca="false">O99+P99</f>
        <v>29749.9688190194</v>
      </c>
      <c r="R99" s="15" t="n">
        <f aca="false">Q99-$G$2+$I$2</f>
        <v>30519.9688190194</v>
      </c>
      <c r="S99" s="42" t="n">
        <f aca="false">R99/$K$2</f>
        <v>292.252885368375</v>
      </c>
      <c r="T99" s="43" t="n">
        <f aca="false">S99-$M$2</f>
        <v>-0.000298582597395125</v>
      </c>
    </row>
    <row r="100" customFormat="false" ht="15" hidden="false" customHeight="false" outlineLevel="0" collapsed="false">
      <c r="A100" s="5" t="n">
        <v>23</v>
      </c>
      <c r="B100" s="25" t="n">
        <f aca="false">IF(T99&gt;0,B99,D99)</f>
        <v>-0.0390938520431519</v>
      </c>
      <c r="C100" s="25" t="n">
        <f aca="false">IF(T99&gt;0,D99,C99)</f>
        <v>-0.0390934944152832</v>
      </c>
      <c r="D100" s="41" t="n">
        <f aca="false">(B100+C100)/2</f>
        <v>-0.0390936732292175</v>
      </c>
      <c r="E100" s="15" t="n">
        <f aca="false">$C$2*(1+IF(E$3&lt;=$O$2,$D100,$D100-($D100-$I$76)*MIN(E$3-$O$2,$Q$2)/$Q$2))</f>
        <v>2632.88333535194</v>
      </c>
      <c r="F100" s="15" t="n">
        <f aca="false">E100*(1+IF(F$3&lt;=$O$2,$D100,$D100-($D100-$I$76)*MIN(F$3-$O$2,$Q$2)/$Q$2))</f>
        <v>2529.95425458904</v>
      </c>
      <c r="G100" s="15" t="n">
        <f aca="false">F100*(1+IF(G$3&lt;=$O$2,$D100,$D100-($D100-$I$76)*MIN(G$3-$O$2,$Q$2)/$Q$2))</f>
        <v>2431.04904967527</v>
      </c>
      <c r="H100" s="15" t="n">
        <f aca="false">G100*(1+IF(H$3&lt;=$O$2,$D100,$D100-($D100-$I$76)*MIN(H$3-$O$2,$Q$2)/$Q$2))</f>
        <v>2336.01041252307</v>
      </c>
      <c r="I100" s="15" t="n">
        <f aca="false">H100*(1+IF(I$3&lt;=$O$2,$D100,$D100-($D100-$I$76)*MIN(I$3-$O$2,$Q$2)/$Q$2))</f>
        <v>2244.68718479584</v>
      </c>
      <c r="J100" s="15" t="n">
        <f aca="false">I100*(1+IF(J$3&lt;=$O$2,$D100,$D100-($D100-$I$76)*MIN(J$3-$O$2,$Q$2)/$Q$2))</f>
        <v>2184.94497323361</v>
      </c>
      <c r="K100" s="15" t="n">
        <f aca="false">J100*(1+IF(K$3&lt;=$O$2,$D100,$D100-($D100-$I$76)*MIN(K$3-$O$2,$Q$2)/$Q$2))</f>
        <v>2154.0581454997</v>
      </c>
      <c r="L100" s="15" t="n">
        <f aca="false">K100*(1+IF(L$3&lt;=$O$2,$D100,$D100-($D100-$I$76)*MIN(L$3-$O$2,$Q$2)/$Q$2))</f>
        <v>2150.48786027102</v>
      </c>
      <c r="M100" s="15" t="n">
        <f aca="false">L100*(1+IF(M$3&lt;=$O$2,$D100,$D100-($D100-$I$76)*MIN(M$3-$O$2,$Q$2)/$Q$2))</f>
        <v>2173.75886004791</v>
      </c>
      <c r="N100" s="15" t="n">
        <f aca="false">M100*(1+IF(N$3&lt;=$O$2,$D100,$D100-($D100-$I$76)*MIN(N$3-$O$2,$Q$2)/$Q$2))</f>
        <v>2224.40744148703</v>
      </c>
      <c r="O100" s="15" t="n">
        <f aca="false">SUMPRODUCT(E100:N100,1/(1+$F$76)^$E$3:$N$3)*$E$2</f>
        <v>11329.2352069362</v>
      </c>
      <c r="P100" s="15" t="n">
        <f aca="false">N100*$E$2*(1+$I$76)/($F$76-$I$76)/(1+$F$76)^$N$3</f>
        <v>18420.7663989589</v>
      </c>
      <c r="Q100" s="15" t="n">
        <f aca="false">O100+P100</f>
        <v>29750.001605895</v>
      </c>
      <c r="R100" s="15" t="n">
        <f aca="false">Q100-$G$2+$I$2</f>
        <v>30520.001605895</v>
      </c>
      <c r="S100" s="42" t="n">
        <f aca="false">R100/$K$2</f>
        <v>292.253199328689</v>
      </c>
      <c r="T100" s="43" t="n">
        <f aca="false">S100-$M$2</f>
        <v>1.53777173750314E-005</v>
      </c>
    </row>
    <row r="101" customFormat="false" ht="15" hidden="false" customHeight="false" outlineLevel="0" collapsed="false">
      <c r="A101" s="5" t="n">
        <v>24</v>
      </c>
      <c r="B101" s="25" t="n">
        <f aca="false">IF(T100&gt;0,B100,D100)</f>
        <v>-0.0390938520431519</v>
      </c>
      <c r="C101" s="25" t="n">
        <f aca="false">IF(T100&gt;0,D100,C100)</f>
        <v>-0.0390936732292175</v>
      </c>
      <c r="D101" s="41" t="n">
        <f aca="false">(B101+C101)/2</f>
        <v>-0.0390937626361847</v>
      </c>
      <c r="E101" s="15" t="n">
        <f aca="false">$C$2*(1+IF(E$3&lt;=$O$2,$D101,$D101-($D101-$I$76)*MIN(E$3-$O$2,$Q$2)/$Q$2))</f>
        <v>2632.88309037685</v>
      </c>
      <c r="F101" s="15" t="n">
        <f aca="false">E101*(1+IF(F$3&lt;=$O$2,$D101,$D101-($D101-$I$76)*MIN(F$3-$O$2,$Q$2)/$Q$2))</f>
        <v>2529.95378379284</v>
      </c>
      <c r="G101" s="15" t="n">
        <f aca="false">F101*(1+IF(G$3&lt;=$O$2,$D101,$D101-($D101-$I$76)*MIN(G$3-$O$2,$Q$2)/$Q$2))</f>
        <v>2431.04837108872</v>
      </c>
      <c r="H101" s="15" t="n">
        <f aca="false">G101*(1+IF(H$3&lt;=$O$2,$D101,$D101-($D101-$I$76)*MIN(H$3-$O$2,$Q$2)/$Q$2))</f>
        <v>2336.0095431123</v>
      </c>
      <c r="I101" s="15" t="n">
        <f aca="false">H101*(1+IF(I$3&lt;=$O$2,$D101,$D101-($D101-$I$76)*MIN(I$3-$O$2,$Q$2)/$Q$2))</f>
        <v>2244.686140518</v>
      </c>
      <c r="J101" s="15" t="n">
        <f aca="false">I101*(1+IF(J$3&lt;=$O$2,$D101,$D101-($D101-$I$76)*MIN(J$3-$O$2,$Q$2)/$Q$2))</f>
        <v>2184.9437961967</v>
      </c>
      <c r="K101" s="15" t="n">
        <f aca="false">J101*(1+IF(K$3&lt;=$O$2,$D101,$D101-($D101-$I$76)*MIN(K$3-$O$2,$Q$2)/$Q$2))</f>
        <v>2154.0568678921</v>
      </c>
      <c r="L101" s="15" t="n">
        <f aca="false">K101*(1+IF(L$3&lt;=$O$2,$D101,$D101-($D101-$I$76)*MIN(L$3-$O$2,$Q$2)/$Q$2))</f>
        <v>2150.48650774595</v>
      </c>
      <c r="M101" s="15" t="n">
        <f aca="false">L101*(1+IF(M$3&lt;=$O$2,$D101,$D101-($D101-$I$76)*MIN(M$3-$O$2,$Q$2)/$Q$2))</f>
        <v>2173.75745443311</v>
      </c>
      <c r="N101" s="15" t="n">
        <f aca="false">M101*(1+IF(N$3&lt;=$O$2,$D101,$D101-($D101-$I$76)*MIN(N$3-$O$2,$Q$2)/$Q$2))</f>
        <v>2224.4060031214</v>
      </c>
      <c r="O101" s="15" t="n">
        <f aca="false">SUMPRODUCT(E101:N101,1/(1+$F$76)^$E$3:$N$3)*$E$2</f>
        <v>11329.2307248898</v>
      </c>
      <c r="P101" s="15" t="n">
        <f aca="false">N101*$E$2*(1+$I$76)/($F$76-$I$76)/(1+$F$76)^$N$3</f>
        <v>18420.7544875632</v>
      </c>
      <c r="Q101" s="15" t="n">
        <f aca="false">O101+P101</f>
        <v>29749.9852124529</v>
      </c>
      <c r="R101" s="15" t="n">
        <f aca="false">Q101-$G$2+$I$2</f>
        <v>30519.9852124529</v>
      </c>
      <c r="S101" s="42" t="n">
        <f aca="false">R101/$K$2</f>
        <v>292.253042348491</v>
      </c>
      <c r="T101" s="43" t="n">
        <f aca="false">S101-$M$2</f>
        <v>-0.000141602480823622</v>
      </c>
    </row>
    <row r="103" customFormat="false" ht="15" hidden="false" customHeight="false" outlineLevel="0" collapsed="false">
      <c r="A103" s="38" t="s">
        <v>181</v>
      </c>
      <c r="E103" s="5" t="s">
        <v>11</v>
      </c>
      <c r="F103" s="12" t="n">
        <f aca="false">Sensitivity!$B$10</f>
        <v>0.0672772551778937</v>
      </c>
      <c r="G103" s="5" t="s">
        <v>12</v>
      </c>
      <c r="I103" s="12" t="n">
        <f aca="false">Sensitivity!$E$9</f>
        <v>0.0283</v>
      </c>
    </row>
    <row r="104" customFormat="false" ht="23.85" hidden="false" customHeight="false" outlineLevel="0" collapsed="false">
      <c r="A104" s="38" t="s">
        <v>159</v>
      </c>
      <c r="B104" s="28" t="s">
        <v>160</v>
      </c>
      <c r="C104" s="28" t="s">
        <v>161</v>
      </c>
      <c r="D104" s="28" t="s">
        <v>162</v>
      </c>
      <c r="E104" s="28" t="s">
        <v>163</v>
      </c>
      <c r="F104" s="28" t="s">
        <v>164</v>
      </c>
      <c r="G104" s="28" t="s">
        <v>165</v>
      </c>
      <c r="H104" s="28" t="s">
        <v>166</v>
      </c>
      <c r="I104" s="28" t="s">
        <v>167</v>
      </c>
      <c r="J104" s="28" t="s">
        <v>168</v>
      </c>
      <c r="K104" s="28" t="s">
        <v>169</v>
      </c>
      <c r="L104" s="28" t="s">
        <v>170</v>
      </c>
      <c r="M104" s="28" t="s">
        <v>171</v>
      </c>
      <c r="N104" s="28" t="s">
        <v>172</v>
      </c>
      <c r="O104" s="28" t="s">
        <v>173</v>
      </c>
      <c r="P104" s="28" t="s">
        <v>174</v>
      </c>
      <c r="Q104" s="28" t="s">
        <v>175</v>
      </c>
      <c r="R104" s="28" t="s">
        <v>176</v>
      </c>
      <c r="S104" s="28" t="s">
        <v>177</v>
      </c>
      <c r="T104" s="28" t="s">
        <v>178</v>
      </c>
    </row>
    <row r="105" customFormat="false" ht="15" hidden="false" customHeight="false" outlineLevel="0" collapsed="false">
      <c r="A105" s="5" t="n">
        <v>1</v>
      </c>
      <c r="B105" s="24" t="n">
        <v>-0.5</v>
      </c>
      <c r="C105" s="24" t="n">
        <v>1</v>
      </c>
      <c r="D105" s="41" t="n">
        <f aca="false">(B105+C105)/2</f>
        <v>0.25</v>
      </c>
      <c r="E105" s="15" t="n">
        <f aca="false">$C$2*(1+IF(E$3&lt;=$O$2,$D105,$D105-($D105-$I$103)*MIN(E$3-$O$2,$Q$2)/$Q$2))</f>
        <v>3425</v>
      </c>
      <c r="F105" s="15" t="n">
        <f aca="false">E105*(1+IF(F$3&lt;=$O$2,$D105,$D105-($D105-$I$103)*MIN(F$3-$O$2,$Q$2)/$Q$2))</f>
        <v>4281.25</v>
      </c>
      <c r="G105" s="15" t="n">
        <f aca="false">F105*(1+IF(G$3&lt;=$O$2,$D105,$D105-($D105-$I$103)*MIN(G$3-$O$2,$Q$2)/$Q$2))</f>
        <v>5351.5625</v>
      </c>
      <c r="H105" s="15" t="n">
        <f aca="false">G105*(1+IF(H$3&lt;=$O$2,$D105,$D105-($D105-$I$103)*MIN(H$3-$O$2,$Q$2)/$Q$2))</f>
        <v>6689.453125</v>
      </c>
      <c r="I105" s="15" t="n">
        <f aca="false">H105*(1+IF(I$3&lt;=$O$2,$D105,$D105-($D105-$I$103)*MIN(I$3-$O$2,$Q$2)/$Q$2))</f>
        <v>8361.81640625</v>
      </c>
      <c r="J105" s="15" t="n">
        <f aca="false">I105*(1+IF(J$3&lt;=$O$2,$D105,$D105-($D105-$I$103)*MIN(J$3-$O$2,$Q$2)/$Q$2))</f>
        <v>10081.5075683594</v>
      </c>
      <c r="K105" s="15" t="n">
        <f aca="false">J105*(1+IF(K$3&lt;=$O$2,$D105,$D105-($D105-$I$103)*MIN(K$3-$O$2,$Q$2)/$Q$2))</f>
        <v>11707.8563692871</v>
      </c>
      <c r="L105" s="15" t="n">
        <f aca="false">K105*(1+IF(L$3&lt;=$O$2,$D105,$D105-($D105-$I$103)*MIN(L$3-$O$2,$Q$2)/$Q$2))</f>
        <v>13077.4414073663</v>
      </c>
      <c r="M105" s="15" t="n">
        <f aca="false">L105*(1+IF(M$3&lt;=$O$2,$D105,$D105-($D105-$I$103)*MIN(M$3-$O$2,$Q$2)/$Q$2))</f>
        <v>14027.3867511974</v>
      </c>
      <c r="N105" s="15" t="n">
        <f aca="false">M105*(1+IF(N$3&lt;=$O$2,$D105,$D105-($D105-$I$103)*MIN(N$3-$O$2,$Q$2)/$Q$2))</f>
        <v>14424.3617962563</v>
      </c>
      <c r="O105" s="15" t="n">
        <f aca="false">SUMPRODUCT(E105:N105,1/(1+$F$103)^$E$3:$N$3)*$E$2</f>
        <v>40883.1974046988</v>
      </c>
      <c r="P105" s="15" t="n">
        <f aca="false">N105*$E$2*(1+$I$103)/($F$103-$I$103)/(1+$F$103)^$N$3</f>
        <v>135432.748334488</v>
      </c>
      <c r="Q105" s="15" t="n">
        <f aca="false">O105+P105</f>
        <v>176315.945739187</v>
      </c>
      <c r="R105" s="15" t="n">
        <f aca="false">Q105-$G$2+$I$2</f>
        <v>177085.945739187</v>
      </c>
      <c r="S105" s="42" t="n">
        <f aca="false">R105/$K$2</f>
        <v>1695.73825279313</v>
      </c>
      <c r="T105" s="43" t="n">
        <f aca="false">S105-$M$2</f>
        <v>1403.48506884216</v>
      </c>
    </row>
    <row r="106" customFormat="false" ht="15" hidden="false" customHeight="false" outlineLevel="0" collapsed="false">
      <c r="A106" s="5" t="n">
        <v>2</v>
      </c>
      <c r="B106" s="25" t="n">
        <f aca="false">IF(T105&gt;0,B105,D105)</f>
        <v>-0.5</v>
      </c>
      <c r="C106" s="25" t="n">
        <f aca="false">IF(T105&gt;0,D105,C105)</f>
        <v>0.25</v>
      </c>
      <c r="D106" s="41" t="n">
        <f aca="false">(B106+C106)/2</f>
        <v>-0.125</v>
      </c>
      <c r="E106" s="15" t="n">
        <f aca="false">$C$2*(1+IF(E$3&lt;=$O$2,$D106,$D106-($D106-$I$103)*MIN(E$3-$O$2,$Q$2)/$Q$2))</f>
        <v>2397.5</v>
      </c>
      <c r="F106" s="15" t="n">
        <f aca="false">E106*(1+IF(F$3&lt;=$O$2,$D106,$D106-($D106-$I$103)*MIN(F$3-$O$2,$Q$2)/$Q$2))</f>
        <v>2097.8125</v>
      </c>
      <c r="G106" s="15" t="n">
        <f aca="false">F106*(1+IF(G$3&lt;=$O$2,$D106,$D106-($D106-$I$103)*MIN(G$3-$O$2,$Q$2)/$Q$2))</f>
        <v>1835.5859375</v>
      </c>
      <c r="H106" s="15" t="n">
        <f aca="false">G106*(1+IF(H$3&lt;=$O$2,$D106,$D106-($D106-$I$103)*MIN(H$3-$O$2,$Q$2)/$Q$2))</f>
        <v>1606.1376953125</v>
      </c>
      <c r="I106" s="15" t="n">
        <f aca="false">H106*(1+IF(I$3&lt;=$O$2,$D106,$D106-($D106-$I$103)*MIN(I$3-$O$2,$Q$2)/$Q$2))</f>
        <v>1405.37048339844</v>
      </c>
      <c r="J106" s="15" t="n">
        <f aca="false">I106*(1+IF(J$3&lt;=$O$2,$D106,$D106-($D106-$I$103)*MIN(J$3-$O$2,$Q$2)/$Q$2))</f>
        <v>1272.78783199463</v>
      </c>
      <c r="K106" s="15" t="n">
        <f aca="false">J106*(1+IF(K$3&lt;=$O$2,$D106,$D106-($D106-$I$103)*MIN(K$3-$O$2,$Q$2)/$Q$2))</f>
        <v>1191.73670285321</v>
      </c>
      <c r="L106" s="15" t="n">
        <f aca="false">K106*(1+IF(L$3&lt;=$O$2,$D106,$D106-($D106-$I$103)*MIN(L$3-$O$2,$Q$2)/$Q$2))</f>
        <v>1152.385556925</v>
      </c>
      <c r="M106" s="15" t="n">
        <f aca="false">L106*(1+IF(M$3&lt;=$O$2,$D106,$D106-($D106-$I$103)*MIN(M$3-$O$2,$Q$2)/$Q$2))</f>
        <v>1149.66592701066</v>
      </c>
      <c r="N106" s="15" t="n">
        <f aca="false">M106*(1+IF(N$3&lt;=$O$2,$D106,$D106-($D106-$I$103)*MIN(N$3-$O$2,$Q$2)/$Q$2))</f>
        <v>1182.20147274506</v>
      </c>
      <c r="O106" s="15" t="n">
        <f aca="false">SUMPRODUCT(E106:N106,1/(1+$F$103)^$E$3:$N$3)*$E$2</f>
        <v>7785.86752600193</v>
      </c>
      <c r="P106" s="15" t="n">
        <f aca="false">N106*$E$2*(1+$I$103)/($F$103-$I$103)/(1+$F$103)^$N$3</f>
        <v>11099.8875929815</v>
      </c>
      <c r="Q106" s="15" t="n">
        <f aca="false">O106+P106</f>
        <v>18885.7551189835</v>
      </c>
      <c r="R106" s="15" t="n">
        <f aca="false">Q106-$G$2+$I$2</f>
        <v>19655.7551189835</v>
      </c>
      <c r="S106" s="42" t="n">
        <f aca="false">R106/$K$2</f>
        <v>188.219430422134</v>
      </c>
      <c r="T106" s="43" t="n">
        <f aca="false">S106-$M$2</f>
        <v>-104.033753528838</v>
      </c>
    </row>
    <row r="107" customFormat="false" ht="15" hidden="false" customHeight="false" outlineLevel="0" collapsed="false">
      <c r="A107" s="5" t="n">
        <v>3</v>
      </c>
      <c r="B107" s="25" t="n">
        <f aca="false">IF(T106&gt;0,B106,D106)</f>
        <v>-0.125</v>
      </c>
      <c r="C107" s="25" t="n">
        <f aca="false">IF(T106&gt;0,D106,C106)</f>
        <v>0.25</v>
      </c>
      <c r="D107" s="41" t="n">
        <f aca="false">(B107+C107)/2</f>
        <v>0.0625</v>
      </c>
      <c r="E107" s="15" t="n">
        <f aca="false">$C$2*(1+IF(E$3&lt;=$O$2,$D107,$D107-($D107-$I$103)*MIN(E$3-$O$2,$Q$2)/$Q$2))</f>
        <v>2911.25</v>
      </c>
      <c r="F107" s="15" t="n">
        <f aca="false">E107*(1+IF(F$3&lt;=$O$2,$D107,$D107-($D107-$I$103)*MIN(F$3-$O$2,$Q$2)/$Q$2))</f>
        <v>3093.203125</v>
      </c>
      <c r="G107" s="15" t="n">
        <f aca="false">F107*(1+IF(G$3&lt;=$O$2,$D107,$D107-($D107-$I$103)*MIN(G$3-$O$2,$Q$2)/$Q$2))</f>
        <v>3286.5283203125</v>
      </c>
      <c r="H107" s="15" t="n">
        <f aca="false">G107*(1+IF(H$3&lt;=$O$2,$D107,$D107-($D107-$I$103)*MIN(H$3-$O$2,$Q$2)/$Q$2))</f>
        <v>3491.93634033203</v>
      </c>
      <c r="I107" s="15" t="n">
        <f aca="false">H107*(1+IF(I$3&lt;=$O$2,$D107,$D107-($D107-$I$103)*MIN(I$3-$O$2,$Q$2)/$Q$2))</f>
        <v>3710.18236160278</v>
      </c>
      <c r="J107" s="15" t="n">
        <f aca="false">I107*(1+IF(J$3&lt;=$O$2,$D107,$D107-($D107-$I$103)*MIN(J$3-$O$2,$Q$2)/$Q$2))</f>
        <v>3916.69111184959</v>
      </c>
      <c r="K107" s="15" t="n">
        <f aca="false">J107*(1+IF(K$3&lt;=$O$2,$D107,$D107-($D107-$I$103)*MIN(K$3-$O$2,$Q$2)/$Q$2))</f>
        <v>4107.90397193009</v>
      </c>
      <c r="L107" s="15" t="n">
        <f aca="false">K107*(1+IF(L$3&lt;=$O$2,$D107,$D107-($D107-$I$103)*MIN(L$3-$O$2,$Q$2)/$Q$2))</f>
        <v>4280.35378067172</v>
      </c>
      <c r="M107" s="15" t="n">
        <f aca="false">L107*(1+IF(M$3&lt;=$O$2,$D107,$D107-($D107-$I$103)*MIN(M$3-$O$2,$Q$2)/$Q$2))</f>
        <v>4430.76541252452</v>
      </c>
      <c r="N107" s="15" t="n">
        <f aca="false">M107*(1+IF(N$3&lt;=$O$2,$D107,$D107-($D107-$I$103)*MIN(N$3-$O$2,$Q$2)/$Q$2))</f>
        <v>4556.15607369897</v>
      </c>
      <c r="O107" s="15" t="n">
        <f aca="false">SUMPRODUCT(E107:N107,1/(1+$F$103)^$E$3:$N$3)*$E$2</f>
        <v>17850.8257482119</v>
      </c>
      <c r="P107" s="15" t="n">
        <f aca="false">N107*$E$2*(1+$I$103)/($F$103-$I$103)/(1+$F$103)^$N$3</f>
        <v>42778.512326422</v>
      </c>
      <c r="Q107" s="15" t="n">
        <f aca="false">O107+P107</f>
        <v>60629.3380746339</v>
      </c>
      <c r="R107" s="15" t="n">
        <f aca="false">Q107-$G$2+$I$2</f>
        <v>61399.3380746339</v>
      </c>
      <c r="S107" s="42" t="n">
        <f aca="false">R107/$K$2</f>
        <v>587.947314704911</v>
      </c>
      <c r="T107" s="43" t="n">
        <f aca="false">S107-$M$2</f>
        <v>295.694130753939</v>
      </c>
    </row>
    <row r="108" customFormat="false" ht="15" hidden="false" customHeight="false" outlineLevel="0" collapsed="false">
      <c r="A108" s="5" t="n">
        <v>4</v>
      </c>
      <c r="B108" s="25" t="n">
        <f aca="false">IF(T107&gt;0,B107,D107)</f>
        <v>-0.125</v>
      </c>
      <c r="C108" s="25" t="n">
        <f aca="false">IF(T107&gt;0,D107,C107)</f>
        <v>0.0625</v>
      </c>
      <c r="D108" s="41" t="n">
        <f aca="false">(B108+C108)/2</f>
        <v>-0.03125</v>
      </c>
      <c r="E108" s="15" t="n">
        <f aca="false">$C$2*(1+IF(E$3&lt;=$O$2,$D108,$D108-($D108-$I$103)*MIN(E$3-$O$2,$Q$2)/$Q$2))</f>
        <v>2654.375</v>
      </c>
      <c r="F108" s="15" t="n">
        <f aca="false">E108*(1+IF(F$3&lt;=$O$2,$D108,$D108-($D108-$I$103)*MIN(F$3-$O$2,$Q$2)/$Q$2))</f>
        <v>2571.42578125</v>
      </c>
      <c r="G108" s="15" t="n">
        <f aca="false">F108*(1+IF(G$3&lt;=$O$2,$D108,$D108-($D108-$I$103)*MIN(G$3-$O$2,$Q$2)/$Q$2))</f>
        <v>2491.06872558594</v>
      </c>
      <c r="H108" s="15" t="n">
        <f aca="false">G108*(1+IF(H$3&lt;=$O$2,$D108,$D108-($D108-$I$103)*MIN(H$3-$O$2,$Q$2)/$Q$2))</f>
        <v>2413.22282791138</v>
      </c>
      <c r="I108" s="15" t="n">
        <f aca="false">H108*(1+IF(I$3&lt;=$O$2,$D108,$D108-($D108-$I$103)*MIN(I$3-$O$2,$Q$2)/$Q$2))</f>
        <v>2337.80961453915</v>
      </c>
      <c r="J108" s="15" t="n">
        <f aca="false">I108*(1+IF(J$3&lt;=$O$2,$D108,$D108-($D108-$I$103)*MIN(J$3-$O$2,$Q$2)/$Q$2))</f>
        <v>2292.59637659396</v>
      </c>
      <c r="K108" s="15" t="n">
        <f aca="false">J108*(1+IF(K$3&lt;=$O$2,$D108,$D108-($D108-$I$103)*MIN(K$3-$O$2,$Q$2)/$Q$2))</f>
        <v>2275.56238551587</v>
      </c>
      <c r="L108" s="15" t="n">
        <f aca="false">K108*(1+IF(L$3&lt;=$O$2,$D108,$D108-($D108-$I$103)*MIN(L$3-$O$2,$Q$2)/$Q$2))</f>
        <v>2285.75690500298</v>
      </c>
      <c r="M108" s="15" t="n">
        <f aca="false">L108*(1+IF(M$3&lt;=$O$2,$D108,$D108-($D108-$I$103)*MIN(M$3-$O$2,$Q$2)/$Q$2))</f>
        <v>2323.22046067598</v>
      </c>
      <c r="N108" s="15" t="n">
        <f aca="false">M108*(1+IF(N$3&lt;=$O$2,$D108,$D108-($D108-$I$103)*MIN(N$3-$O$2,$Q$2)/$Q$2))</f>
        <v>2388.96759971311</v>
      </c>
      <c r="O108" s="15" t="n">
        <f aca="false">SUMPRODUCT(E108:N108,1/(1+$F$103)^$E$3:$N$3)*$E$2</f>
        <v>11760.4818348564</v>
      </c>
      <c r="P108" s="15" t="n">
        <f aca="false">N108*$E$2*(1+$I$103)/($F$103-$I$103)/(1+$F$103)^$N$3</f>
        <v>22430.4168379334</v>
      </c>
      <c r="Q108" s="15" t="n">
        <f aca="false">O108+P108</f>
        <v>34190.8986727898</v>
      </c>
      <c r="R108" s="15" t="n">
        <f aca="false">Q108-$G$2+$I$2</f>
        <v>34960.8986727898</v>
      </c>
      <c r="S108" s="42" t="n">
        <f aca="false">R108/$K$2</f>
        <v>334.778307696924</v>
      </c>
      <c r="T108" s="43" t="n">
        <f aca="false">S108-$M$2</f>
        <v>42.5251237459521</v>
      </c>
    </row>
    <row r="109" customFormat="false" ht="15" hidden="false" customHeight="false" outlineLevel="0" collapsed="false">
      <c r="A109" s="5" t="n">
        <v>5</v>
      </c>
      <c r="B109" s="25" t="n">
        <f aca="false">IF(T108&gt;0,B108,D108)</f>
        <v>-0.125</v>
      </c>
      <c r="C109" s="25" t="n">
        <f aca="false">IF(T108&gt;0,D108,C108)</f>
        <v>-0.03125</v>
      </c>
      <c r="D109" s="41" t="n">
        <f aca="false">(B109+C109)/2</f>
        <v>-0.078125</v>
      </c>
      <c r="E109" s="15" t="n">
        <f aca="false">$C$2*(1+IF(E$3&lt;=$O$2,$D109,$D109-($D109-$I$103)*MIN(E$3-$O$2,$Q$2)/$Q$2))</f>
        <v>2525.9375</v>
      </c>
      <c r="F109" s="15" t="n">
        <f aca="false">E109*(1+IF(F$3&lt;=$O$2,$D109,$D109-($D109-$I$103)*MIN(F$3-$O$2,$Q$2)/$Q$2))</f>
        <v>2328.5986328125</v>
      </c>
      <c r="G109" s="15" t="n">
        <f aca="false">F109*(1+IF(G$3&lt;=$O$2,$D109,$D109-($D109-$I$103)*MIN(G$3-$O$2,$Q$2)/$Q$2))</f>
        <v>2146.67686462402</v>
      </c>
      <c r="H109" s="15" t="n">
        <f aca="false">G109*(1+IF(H$3&lt;=$O$2,$D109,$D109-($D109-$I$103)*MIN(H$3-$O$2,$Q$2)/$Q$2))</f>
        <v>1978.96773457527</v>
      </c>
      <c r="I109" s="15" t="n">
        <f aca="false">H109*(1+IF(I$3&lt;=$O$2,$D109,$D109-($D109-$I$103)*MIN(I$3-$O$2,$Q$2)/$Q$2))</f>
        <v>1824.36088031158</v>
      </c>
      <c r="J109" s="15" t="n">
        <f aca="false">I109*(1+IF(J$3&lt;=$O$2,$D109,$D109-($D109-$I$103)*MIN(J$3-$O$2,$Q$2)/$Q$2))</f>
        <v>1720.66420787467</v>
      </c>
      <c r="K109" s="15" t="n">
        <f aca="false">J109*(1+IF(K$3&lt;=$O$2,$D109,$D109-($D109-$I$103)*MIN(K$3-$O$2,$Q$2)/$Q$2))</f>
        <v>1659.48599196368</v>
      </c>
      <c r="L109" s="15" t="n">
        <f aca="false">K109*(1+IF(L$3&lt;=$O$2,$D109,$D109-($D109-$I$103)*MIN(L$3-$O$2,$Q$2)/$Q$2))</f>
        <v>1635.80512685836</v>
      </c>
      <c r="M109" s="15" t="n">
        <f aca="false">L109*(1+IF(M$3&lt;=$O$2,$D109,$D109-($D109-$I$103)*MIN(M$3-$O$2,$Q$2)/$Q$2))</f>
        <v>1647.28029982327</v>
      </c>
      <c r="N109" s="15" t="n">
        <f aca="false">M109*(1+IF(N$3&lt;=$O$2,$D109,$D109-($D109-$I$103)*MIN(N$3-$O$2,$Q$2)/$Q$2))</f>
        <v>1693.89833230827</v>
      </c>
      <c r="O109" s="15" t="n">
        <f aca="false">SUMPRODUCT(E109:N109,1/(1+$F$103)^$E$3:$N$3)*$E$2</f>
        <v>9559.80568128192</v>
      </c>
      <c r="P109" s="15" t="n">
        <f aca="false">N109*$E$2*(1+$I$103)/($F$103-$I$103)/(1+$F$103)^$N$3</f>
        <v>15904.2950935449</v>
      </c>
      <c r="Q109" s="15" t="n">
        <f aca="false">O109+P109</f>
        <v>25464.1007748268</v>
      </c>
      <c r="R109" s="15" t="n">
        <f aca="false">Q109-$G$2+$I$2</f>
        <v>26234.1007748268</v>
      </c>
      <c r="S109" s="42" t="n">
        <f aca="false">R109/$K$2</f>
        <v>251.212302737018</v>
      </c>
      <c r="T109" s="43" t="n">
        <f aca="false">S109-$M$2</f>
        <v>-41.0408812139542</v>
      </c>
    </row>
    <row r="110" customFormat="false" ht="15" hidden="false" customHeight="false" outlineLevel="0" collapsed="false">
      <c r="A110" s="5" t="n">
        <v>6</v>
      </c>
      <c r="B110" s="25" t="n">
        <f aca="false">IF(T109&gt;0,B109,D109)</f>
        <v>-0.078125</v>
      </c>
      <c r="C110" s="25" t="n">
        <f aca="false">IF(T109&gt;0,D109,C109)</f>
        <v>-0.03125</v>
      </c>
      <c r="D110" s="41" t="n">
        <f aca="false">(B110+C110)/2</f>
        <v>-0.0546875</v>
      </c>
      <c r="E110" s="15" t="n">
        <f aca="false">$C$2*(1+IF(E$3&lt;=$O$2,$D110,$D110-($D110-$I$103)*MIN(E$3-$O$2,$Q$2)/$Q$2))</f>
        <v>2590.15625</v>
      </c>
      <c r="F110" s="15" t="n">
        <f aca="false">E110*(1+IF(F$3&lt;=$O$2,$D110,$D110-($D110-$I$103)*MIN(F$3-$O$2,$Q$2)/$Q$2))</f>
        <v>2448.50708007813</v>
      </c>
      <c r="G110" s="15" t="n">
        <f aca="false">F110*(1+IF(G$3&lt;=$O$2,$D110,$D110-($D110-$I$103)*MIN(G$3-$O$2,$Q$2)/$Q$2))</f>
        <v>2314.60434913635</v>
      </c>
      <c r="H110" s="15" t="n">
        <f aca="false">G110*(1+IF(H$3&lt;=$O$2,$D110,$D110-($D110-$I$103)*MIN(H$3-$O$2,$Q$2)/$Q$2))</f>
        <v>2188.02442379296</v>
      </c>
      <c r="I110" s="15" t="n">
        <f aca="false">H110*(1+IF(I$3&lt;=$O$2,$D110,$D110-($D110-$I$103)*MIN(I$3-$O$2,$Q$2)/$Q$2))</f>
        <v>2068.36683811678</v>
      </c>
      <c r="J110" s="15" t="n">
        <f aca="false">I110*(1+IF(J$3&lt;=$O$2,$D110,$D110-($D110-$I$103)*MIN(J$3-$O$2,$Q$2)/$Q$2))</f>
        <v>1989.58274525291</v>
      </c>
      <c r="K110" s="15" t="n">
        <f aca="false">J110*(1+IF(K$3&lt;=$O$2,$D110,$D110-($D110-$I$103)*MIN(K$3-$O$2,$Q$2)/$Q$2))</f>
        <v>1946.82163810056</v>
      </c>
      <c r="L110" s="15" t="n">
        <f aca="false">K110*(1+IF(L$3&lt;=$O$2,$D110,$D110-($D110-$I$103)*MIN(L$3-$O$2,$Q$2)/$Q$2))</f>
        <v>1937.29194618206</v>
      </c>
      <c r="M110" s="15" t="n">
        <f aca="false">L110*(1+IF(M$3&lt;=$O$2,$D110,$D110-($D110-$I$103)*MIN(M$3-$O$2,$Q$2)/$Q$2))</f>
        <v>1959.96310518226</v>
      </c>
      <c r="N110" s="15" t="n">
        <f aca="false">M110*(1+IF(N$3&lt;=$O$2,$D110,$D110-($D110-$I$103)*MIN(N$3-$O$2,$Q$2)/$Q$2))</f>
        <v>2015.43006105892</v>
      </c>
      <c r="O110" s="15" t="n">
        <f aca="false">SUMPRODUCT(E110:N110,1/(1+$F$103)^$E$3:$N$3)*$E$2</f>
        <v>10601.1215764765</v>
      </c>
      <c r="P110" s="15" t="n">
        <f aca="false">N110*$E$2*(1+$I$103)/($F$103-$I$103)/(1+$F$103)^$N$3</f>
        <v>18923.2103368342</v>
      </c>
      <c r="Q110" s="15" t="n">
        <f aca="false">O110+P110</f>
        <v>29524.3319133107</v>
      </c>
      <c r="R110" s="15" t="n">
        <f aca="false">Q110-$G$2+$I$2</f>
        <v>30294.3319133107</v>
      </c>
      <c r="S110" s="42" t="n">
        <f aca="false">R110/$K$2</f>
        <v>290.092233202248</v>
      </c>
      <c r="T110" s="43" t="n">
        <f aca="false">S110-$M$2</f>
        <v>-2.16095074872419</v>
      </c>
    </row>
    <row r="111" customFormat="false" ht="15" hidden="false" customHeight="false" outlineLevel="0" collapsed="false">
      <c r="A111" s="5" t="n">
        <v>7</v>
      </c>
      <c r="B111" s="25" t="n">
        <f aca="false">IF(T110&gt;0,B110,D110)</f>
        <v>-0.0546875</v>
      </c>
      <c r="C111" s="25" t="n">
        <f aca="false">IF(T110&gt;0,D110,C110)</f>
        <v>-0.03125</v>
      </c>
      <c r="D111" s="41" t="n">
        <f aca="false">(B111+C111)/2</f>
        <v>-0.04296875</v>
      </c>
      <c r="E111" s="15" t="n">
        <f aca="false">$C$2*(1+IF(E$3&lt;=$O$2,$D111,$D111-($D111-$I$103)*MIN(E$3-$O$2,$Q$2)/$Q$2))</f>
        <v>2622.265625</v>
      </c>
      <c r="F111" s="15" t="n">
        <f aca="false">E111*(1+IF(F$3&lt;=$O$2,$D111,$D111-($D111-$I$103)*MIN(F$3-$O$2,$Q$2)/$Q$2))</f>
        <v>2509.59014892578</v>
      </c>
      <c r="G111" s="15" t="n">
        <f aca="false">F111*(1+IF(G$3&lt;=$O$2,$D111,$D111-($D111-$I$103)*MIN(G$3-$O$2,$Q$2)/$Q$2))</f>
        <v>2401.75619721413</v>
      </c>
      <c r="H111" s="15" t="n">
        <f aca="false">G111*(1+IF(H$3&lt;=$O$2,$D111,$D111-($D111-$I$103)*MIN(H$3-$O$2,$Q$2)/$Q$2))</f>
        <v>2298.55573561508</v>
      </c>
      <c r="I111" s="15" t="n">
        <f aca="false">H111*(1+IF(I$3&lt;=$O$2,$D111,$D111-($D111-$I$103)*MIN(I$3-$O$2,$Q$2)/$Q$2))</f>
        <v>2199.78966885037</v>
      </c>
      <c r="J111" s="15" t="n">
        <f aca="false">I111*(1+IF(J$3&lt;=$O$2,$D111,$D111-($D111-$I$103)*MIN(J$3-$O$2,$Q$2)/$Q$2))</f>
        <v>2136.62270850933</v>
      </c>
      <c r="K111" s="15" t="n">
        <f aca="false">J111*(1+IF(K$3&lt;=$O$2,$D111,$D111-($D111-$I$103)*MIN(K$3-$O$2,$Q$2)/$Q$2))</f>
        <v>2105.7244733659</v>
      </c>
      <c r="L111" s="15" t="n">
        <f aca="false">K111*(1+IF(L$3&lt;=$O$2,$D111,$D111-($D111-$I$103)*MIN(L$3-$O$2,$Q$2)/$Q$2))</f>
        <v>2105.28753553768</v>
      </c>
      <c r="M111" s="15" t="n">
        <f aca="false">L111*(1+IF(M$3&lt;=$O$2,$D111,$D111-($D111-$I$103)*MIN(M$3-$O$2,$Q$2)/$Q$2))</f>
        <v>2134.85893058373</v>
      </c>
      <c r="N111" s="15" t="n">
        <f aca="false">M111*(1+IF(N$3&lt;=$O$2,$D111,$D111-($D111-$I$103)*MIN(N$3-$O$2,$Q$2)/$Q$2))</f>
        <v>2195.27543831924</v>
      </c>
      <c r="O111" s="15" t="n">
        <f aca="false">SUMPRODUCT(E111:N111,1/(1+$F$103)^$E$3:$N$3)*$E$2</f>
        <v>11165.2784106826</v>
      </c>
      <c r="P111" s="15" t="n">
        <f aca="false">N111*$E$2*(1+$I$103)/($F$103-$I$103)/(1+$F$103)^$N$3</f>
        <v>20611.8086999133</v>
      </c>
      <c r="Q111" s="15" t="n">
        <f aca="false">O111+P111</f>
        <v>31777.0871105959</v>
      </c>
      <c r="R111" s="15" t="n">
        <f aca="false">Q111-$G$2+$I$2</f>
        <v>32547.0871105959</v>
      </c>
      <c r="S111" s="42" t="n">
        <f aca="false">R111/$K$2</f>
        <v>311.66414929231</v>
      </c>
      <c r="T111" s="43" t="n">
        <f aca="false">S111-$M$2</f>
        <v>19.4109653413378</v>
      </c>
    </row>
    <row r="112" customFormat="false" ht="15" hidden="false" customHeight="false" outlineLevel="0" collapsed="false">
      <c r="A112" s="5" t="n">
        <v>8</v>
      </c>
      <c r="B112" s="25" t="n">
        <f aca="false">IF(T111&gt;0,B111,D111)</f>
        <v>-0.0546875</v>
      </c>
      <c r="C112" s="25" t="n">
        <f aca="false">IF(T111&gt;0,D111,C111)</f>
        <v>-0.04296875</v>
      </c>
      <c r="D112" s="41" t="n">
        <f aca="false">(B112+C112)/2</f>
        <v>-0.048828125</v>
      </c>
      <c r="E112" s="15" t="n">
        <f aca="false">$C$2*(1+IF(E$3&lt;=$O$2,$D112,$D112-($D112-$I$103)*MIN(E$3-$O$2,$Q$2)/$Q$2))</f>
        <v>2606.2109375</v>
      </c>
      <c r="F112" s="15" t="n">
        <f aca="false">E112*(1+IF(F$3&lt;=$O$2,$D112,$D112-($D112-$I$103)*MIN(F$3-$O$2,$Q$2)/$Q$2))</f>
        <v>2478.95454406738</v>
      </c>
      <c r="G112" s="15" t="n">
        <f aca="false">F112*(1+IF(G$3&lt;=$O$2,$D112,$D112-($D112-$I$103)*MIN(G$3-$O$2,$Q$2)/$Q$2))</f>
        <v>2357.91184172034</v>
      </c>
      <c r="H112" s="15" t="n">
        <f aca="false">G112*(1+IF(H$3&lt;=$O$2,$D112,$D112-($D112-$I$103)*MIN(H$3-$O$2,$Q$2)/$Q$2))</f>
        <v>2242.77942757384</v>
      </c>
      <c r="I112" s="15" t="n">
        <f aca="false">H112*(1+IF(I$3&lt;=$O$2,$D112,$D112-($D112-$I$103)*MIN(I$3-$O$2,$Q$2)/$Q$2))</f>
        <v>2133.26871333684</v>
      </c>
      <c r="J112" s="15" t="n">
        <f aca="false">I112*(1+IF(J$3&lt;=$O$2,$D112,$D112-($D112-$I$103)*MIN(J$3-$O$2,$Q$2)/$Q$2))</f>
        <v>2062.0122051396</v>
      </c>
      <c r="K112" s="15" t="n">
        <f aca="false">J112*(1+IF(K$3&lt;=$O$2,$D112,$D112-($D112-$I$103)*MIN(K$3-$O$2,$Q$2)/$Q$2))</f>
        <v>2024.94366947933</v>
      </c>
      <c r="L112" s="15" t="n">
        <f aca="false">K112*(1+IF(L$3&lt;=$O$2,$D112,$D112-($D112-$I$103)*MIN(L$3-$O$2,$Q$2)/$Q$2))</f>
        <v>2019.77753194258</v>
      </c>
      <c r="M112" s="15" t="n">
        <f aca="false">L112*(1+IF(M$3&lt;=$O$2,$D112,$D112-($D112-$I$103)*MIN(M$3-$O$2,$Q$2)/$Q$2))</f>
        <v>2045.78090530538</v>
      </c>
      <c r="N112" s="15" t="n">
        <f aca="false">M112*(1+IF(N$3&lt;=$O$2,$D112,$D112-($D112-$I$103)*MIN(N$3-$O$2,$Q$2)/$Q$2))</f>
        <v>2103.67650492552</v>
      </c>
      <c r="O112" s="15" t="n">
        <f aca="false">SUMPRODUCT(E112:N112,1/(1+$F$103)^$E$3:$N$3)*$E$2</f>
        <v>10879.4178439122</v>
      </c>
      <c r="P112" s="15" t="n">
        <f aca="false">N112*$E$2*(1+$I$103)/($F$103-$I$103)/(1+$F$103)^$N$3</f>
        <v>19751.7709755934</v>
      </c>
      <c r="Q112" s="15" t="n">
        <f aca="false">O112+P112</f>
        <v>30631.1888195056</v>
      </c>
      <c r="R112" s="15" t="n">
        <f aca="false">Q112-$G$2+$I$2</f>
        <v>31401.1888195056</v>
      </c>
      <c r="S112" s="42" t="n">
        <f aca="false">R112/$K$2</f>
        <v>300.691265148957</v>
      </c>
      <c r="T112" s="43" t="n">
        <f aca="false">S112-$M$2</f>
        <v>8.43808119798496</v>
      </c>
    </row>
    <row r="113" customFormat="false" ht="15" hidden="false" customHeight="false" outlineLevel="0" collapsed="false">
      <c r="A113" s="5" t="n">
        <v>9</v>
      </c>
      <c r="B113" s="25" t="n">
        <f aca="false">IF(T112&gt;0,B112,D112)</f>
        <v>-0.0546875</v>
      </c>
      <c r="C113" s="25" t="n">
        <f aca="false">IF(T112&gt;0,D112,C112)</f>
        <v>-0.048828125</v>
      </c>
      <c r="D113" s="41" t="n">
        <f aca="false">(B113+C113)/2</f>
        <v>-0.0517578125</v>
      </c>
      <c r="E113" s="15" t="n">
        <f aca="false">$C$2*(1+IF(E$3&lt;=$O$2,$D113,$D113-($D113-$I$103)*MIN(E$3-$O$2,$Q$2)/$Q$2))</f>
        <v>2598.18359375</v>
      </c>
      <c r="F113" s="15" t="n">
        <f aca="false">E113*(1+IF(F$3&lt;=$O$2,$D113,$D113-($D113-$I$103)*MIN(F$3-$O$2,$Q$2)/$Q$2))</f>
        <v>2463.70729446411</v>
      </c>
      <c r="G113" s="15" t="n">
        <f aca="false">F113*(1+IF(G$3&lt;=$O$2,$D113,$D113-($D113-$I$103)*MIN(G$3-$O$2,$Q$2)/$Q$2))</f>
        <v>2336.19119426236</v>
      </c>
      <c r="H113" s="15" t="n">
        <f aca="false">G113*(1+IF(H$3&lt;=$O$2,$D113,$D113-($D113-$I$103)*MIN(H$3-$O$2,$Q$2)/$Q$2))</f>
        <v>2215.27504846557</v>
      </c>
      <c r="I113" s="15" t="n">
        <f aca="false">H113*(1+IF(I$3&lt;=$O$2,$D113,$D113-($D113-$I$103)*MIN(I$3-$O$2,$Q$2)/$Q$2))</f>
        <v>2100.61725787116</v>
      </c>
      <c r="J113" s="15" t="n">
        <f aca="false">I113*(1+IF(J$3&lt;=$O$2,$D113,$D113-($D113-$I$103)*MIN(J$3-$O$2,$Q$2)/$Q$2))</f>
        <v>2025.52806821699</v>
      </c>
      <c r="K113" s="15" t="n">
        <f aca="false">J113*(1+IF(K$3&lt;=$O$2,$D113,$D113-($D113-$I$103)*MIN(K$3-$O$2,$Q$2)/$Q$2))</f>
        <v>1985.55490476825</v>
      </c>
      <c r="L113" s="15" t="n">
        <f aca="false">K113*(1+IF(L$3&lt;=$O$2,$D113,$D113-($D113-$I$103)*MIN(L$3-$O$2,$Q$2)/$Q$2))</f>
        <v>1978.16243566343</v>
      </c>
      <c r="M113" s="15" t="n">
        <f aca="false">L113*(1+IF(M$3&lt;=$O$2,$D113,$D113-($D113-$I$103)*MIN(M$3-$O$2,$Q$2)/$Q$2))</f>
        <v>2002.47096111893</v>
      </c>
      <c r="N113" s="15" t="n">
        <f aca="false">M113*(1+IF(N$3&lt;=$O$2,$D113,$D113-($D113-$I$103)*MIN(N$3-$O$2,$Q$2)/$Q$2))</f>
        <v>2059.14088931859</v>
      </c>
      <c r="O113" s="15" t="n">
        <f aca="false">SUMPRODUCT(E113:N113,1/(1+$F$103)^$E$3:$N$3)*$E$2</f>
        <v>10739.336266356</v>
      </c>
      <c r="P113" s="15" t="n">
        <f aca="false">N113*$E$2*(1+$I$103)/($F$103-$I$103)/(1+$F$103)^$N$3</f>
        <v>19333.6186229548</v>
      </c>
      <c r="Q113" s="15" t="n">
        <f aca="false">O113+P113</f>
        <v>30072.9548893108</v>
      </c>
      <c r="R113" s="15" t="n">
        <f aca="false">Q113-$G$2+$I$2</f>
        <v>30842.9548893108</v>
      </c>
      <c r="S113" s="42" t="n">
        <f aca="false">R113/$K$2</f>
        <v>295.34573292455</v>
      </c>
      <c r="T113" s="43" t="n">
        <f aca="false">S113-$M$2</f>
        <v>3.09254897357806</v>
      </c>
    </row>
    <row r="114" customFormat="false" ht="15" hidden="false" customHeight="false" outlineLevel="0" collapsed="false">
      <c r="A114" s="5" t="n">
        <v>10</v>
      </c>
      <c r="B114" s="25" t="n">
        <f aca="false">IF(T113&gt;0,B113,D113)</f>
        <v>-0.0546875</v>
      </c>
      <c r="C114" s="25" t="n">
        <f aca="false">IF(T113&gt;0,D113,C113)</f>
        <v>-0.0517578125</v>
      </c>
      <c r="D114" s="41" t="n">
        <f aca="false">(B114+C114)/2</f>
        <v>-0.05322265625</v>
      </c>
      <c r="E114" s="15" t="n">
        <f aca="false">$C$2*(1+IF(E$3&lt;=$O$2,$D114,$D114-($D114-$I$103)*MIN(E$3-$O$2,$Q$2)/$Q$2))</f>
        <v>2594.169921875</v>
      </c>
      <c r="F114" s="15" t="n">
        <f aca="false">E114*(1+IF(F$3&lt;=$O$2,$D114,$D114-($D114-$I$103)*MIN(F$3-$O$2,$Q$2)/$Q$2))</f>
        <v>2456.10130786896</v>
      </c>
      <c r="G114" s="15" t="n">
        <f aca="false">F114*(1+IF(G$3&lt;=$O$2,$D114,$D114-($D114-$I$103)*MIN(G$3-$O$2,$Q$2)/$Q$2))</f>
        <v>2325.38107224507</v>
      </c>
      <c r="H114" s="15" t="n">
        <f aca="false">G114*(1+IF(H$3&lt;=$O$2,$D114,$D114-($D114-$I$103)*MIN(H$3-$O$2,$Q$2)/$Q$2))</f>
        <v>2201.61811478672</v>
      </c>
      <c r="I114" s="15" t="n">
        <f aca="false">H114*(1+IF(I$3&lt;=$O$2,$D114,$D114-($D114-$I$103)*MIN(I$3-$O$2,$Q$2)/$Q$2))</f>
        <v>2084.44215066965</v>
      </c>
      <c r="J114" s="15" t="n">
        <f aca="false">I114*(1+IF(J$3&lt;=$O$2,$D114,$D114-($D114-$I$103)*MIN(J$3-$O$2,$Q$2)/$Q$2))</f>
        <v>2007.48845479596</v>
      </c>
      <c r="K114" s="15" t="n">
        <f aca="false">J114*(1+IF(K$3&lt;=$O$2,$D114,$D114-($D114-$I$103)*MIN(K$3-$O$2,$Q$2)/$Q$2))</f>
        <v>1966.10690333098</v>
      </c>
      <c r="L114" s="15" t="n">
        <f aca="false">K114*(1+IF(L$3&lt;=$O$2,$D114,$D114-($D114-$I$103)*MIN(L$3-$O$2,$Q$2)/$Q$2))</f>
        <v>1957.63482580285</v>
      </c>
      <c r="M114" s="15" t="n">
        <f aca="false">L114*(1+IF(M$3&lt;=$O$2,$D114,$D114-($D114-$I$103)*MIN(M$3-$O$2,$Q$2)/$Q$2))</f>
        <v>1981.11757317967</v>
      </c>
      <c r="N114" s="15" t="n">
        <f aca="false">M114*(1+IF(N$3&lt;=$O$2,$D114,$D114-($D114-$I$103)*MIN(N$3-$O$2,$Q$2)/$Q$2))</f>
        <v>2037.18320050066</v>
      </c>
      <c r="O114" s="15" t="n">
        <f aca="false">SUMPRODUCT(E114:N114,1/(1+$F$103)^$E$3:$N$3)*$E$2</f>
        <v>10669.9970573198</v>
      </c>
      <c r="P114" s="15" t="n">
        <f aca="false">N114*$E$2*(1+$I$103)/($F$103-$I$103)/(1+$F$103)^$N$3</f>
        <v>19127.4542057216</v>
      </c>
      <c r="Q114" s="15" t="n">
        <f aca="false">O114+P114</f>
        <v>29797.4512630413</v>
      </c>
      <c r="R114" s="15" t="n">
        <f aca="false">Q114-$G$2+$I$2</f>
        <v>30567.4512630413</v>
      </c>
      <c r="S114" s="42" t="n">
        <f aca="false">R114/$K$2</f>
        <v>292.707567394823</v>
      </c>
      <c r="T114" s="43" t="n">
        <f aca="false">S114-$M$2</f>
        <v>0.454383443850702</v>
      </c>
    </row>
    <row r="115" customFormat="false" ht="15" hidden="false" customHeight="false" outlineLevel="0" collapsed="false">
      <c r="A115" s="5" t="n">
        <v>11</v>
      </c>
      <c r="B115" s="25" t="n">
        <f aca="false">IF(T114&gt;0,B114,D114)</f>
        <v>-0.0546875</v>
      </c>
      <c r="C115" s="25" t="n">
        <f aca="false">IF(T114&gt;0,D114,C114)</f>
        <v>-0.05322265625</v>
      </c>
      <c r="D115" s="41" t="n">
        <f aca="false">(B115+C115)/2</f>
        <v>-0.053955078125</v>
      </c>
      <c r="E115" s="15" t="n">
        <f aca="false">$C$2*(1+IF(E$3&lt;=$O$2,$D115,$D115-($D115-$I$103)*MIN(E$3-$O$2,$Q$2)/$Q$2))</f>
        <v>2592.1630859375</v>
      </c>
      <c r="F115" s="15" t="n">
        <f aca="false">E115*(1+IF(F$3&lt;=$O$2,$D115,$D115-($D115-$I$103)*MIN(F$3-$O$2,$Q$2)/$Q$2))</f>
        <v>2452.302724123</v>
      </c>
      <c r="G115" s="15" t="n">
        <f aca="false">F115*(1+IF(G$3&lt;=$O$2,$D115,$D115-($D115-$I$103)*MIN(G$3-$O$2,$Q$2)/$Q$2))</f>
        <v>2319.98853905679</v>
      </c>
      <c r="H115" s="15" t="n">
        <f aca="false">G115*(1+IF(H$3&lt;=$O$2,$D115,$D115-($D115-$I$103)*MIN(H$3-$O$2,$Q$2)/$Q$2))</f>
        <v>2194.81337618288</v>
      </c>
      <c r="I115" s="15" t="n">
        <f aca="false">H115*(1+IF(I$3&lt;=$O$2,$D115,$D115-($D115-$I$103)*MIN(I$3-$O$2,$Q$2)/$Q$2))</f>
        <v>2076.39204900114</v>
      </c>
      <c r="J115" s="15" t="n">
        <f aca="false">I115*(1+IF(J$3&lt;=$O$2,$D115,$D115-($D115-$I$103)*MIN(J$3-$O$2,$Q$2)/$Q$2))</f>
        <v>1998.5189118209</v>
      </c>
      <c r="K115" s="15" t="n">
        <f aca="false">J115*(1+IF(K$3&lt;=$O$2,$D115,$D115-($D115-$I$103)*MIN(K$3-$O$2,$Q$2)/$Q$2))</f>
        <v>1956.44399948976</v>
      </c>
      <c r="L115" s="15" t="n">
        <f aca="false">K115*(1+IF(L$3&lt;=$O$2,$D115,$D115-($D115-$I$103)*MIN(L$3-$O$2,$Q$2)/$Q$2))</f>
        <v>1947.44038306523</v>
      </c>
      <c r="M115" s="15" t="n">
        <f aca="false">L115*(1+IF(M$3&lt;=$O$2,$D115,$D115-($D115-$I$103)*MIN(M$3-$O$2,$Q$2)/$Q$2))</f>
        <v>1970.51557373541</v>
      </c>
      <c r="N115" s="15" t="n">
        <f aca="false">M115*(1+IF(N$3&lt;=$O$2,$D115,$D115-($D115-$I$103)*MIN(N$3-$O$2,$Q$2)/$Q$2))</f>
        <v>2026.28116447213</v>
      </c>
      <c r="O115" s="15" t="n">
        <f aca="false">SUMPRODUCT(E115:N115,1/(1+$F$103)^$E$3:$N$3)*$E$2</f>
        <v>10635.5015370612</v>
      </c>
      <c r="P115" s="15" t="n">
        <f aca="false">N115*$E$2*(1+$I$103)/($F$103-$I$103)/(1+$F$103)^$N$3</f>
        <v>19025.0931638508</v>
      </c>
      <c r="Q115" s="15" t="n">
        <f aca="false">O115+P115</f>
        <v>29660.594700912</v>
      </c>
      <c r="R115" s="15" t="n">
        <f aca="false">Q115-$G$2+$I$2</f>
        <v>30430.594700912</v>
      </c>
      <c r="S115" s="42" t="n">
        <f aca="false">R115/$K$2</f>
        <v>291.39705736773</v>
      </c>
      <c r="T115" s="43" t="n">
        <f aca="false">S115-$M$2</f>
        <v>-0.856126583242201</v>
      </c>
    </row>
    <row r="116" customFormat="false" ht="15" hidden="false" customHeight="false" outlineLevel="0" collapsed="false">
      <c r="A116" s="5" t="n">
        <v>12</v>
      </c>
      <c r="B116" s="25" t="n">
        <f aca="false">IF(T115&gt;0,B115,D115)</f>
        <v>-0.053955078125</v>
      </c>
      <c r="C116" s="25" t="n">
        <f aca="false">IF(T115&gt;0,D115,C115)</f>
        <v>-0.05322265625</v>
      </c>
      <c r="D116" s="41" t="n">
        <f aca="false">(B116+C116)/2</f>
        <v>-0.0535888671875</v>
      </c>
      <c r="E116" s="15" t="n">
        <f aca="false">$C$2*(1+IF(E$3&lt;=$O$2,$D116,$D116-($D116-$I$103)*MIN(E$3-$O$2,$Q$2)/$Q$2))</f>
        <v>2593.16650390625</v>
      </c>
      <c r="F116" s="15" t="n">
        <f aca="false">E116*(1+IF(F$3&lt;=$O$2,$D116,$D116-($D116-$I$103)*MIN(F$3-$O$2,$Q$2)/$Q$2))</f>
        <v>2454.20164853334</v>
      </c>
      <c r="G116" s="15" t="n">
        <f aca="false">F116*(1+IF(G$3&lt;=$O$2,$D116,$D116-($D116-$I$103)*MIN(G$3-$O$2,$Q$2)/$Q$2))</f>
        <v>2322.68376233875</v>
      </c>
      <c r="H116" s="15" t="n">
        <f aca="false">G116*(1+IF(H$3&lt;=$O$2,$D116,$D116-($D116-$I$103)*MIN(H$3-$O$2,$Q$2)/$Q$2))</f>
        <v>2198.21377068021</v>
      </c>
      <c r="I116" s="15" t="n">
        <f aca="false">H116*(1+IF(I$3&lt;=$O$2,$D116,$D116-($D116-$I$103)*MIN(I$3-$O$2,$Q$2)/$Q$2))</f>
        <v>2080.4139848735</v>
      </c>
      <c r="J116" s="15" t="n">
        <f aca="false">I116*(1+IF(J$3&lt;=$O$2,$D116,$D116-($D116-$I$103)*MIN(J$3-$O$2,$Q$2)/$Q$2))</f>
        <v>2002.99950504356</v>
      </c>
      <c r="K116" s="15" t="n">
        <f aca="false">J116*(1+IF(K$3&lt;=$O$2,$D116,$D116-($D116-$I$103)*MIN(K$3-$O$2,$Q$2)/$Q$2))</f>
        <v>1961.27037476921</v>
      </c>
      <c r="L116" s="15" t="n">
        <f aca="false">K116*(1+IF(L$3&lt;=$O$2,$D116,$D116-($D116-$I$103)*MIN(L$3-$O$2,$Q$2)/$Q$2))</f>
        <v>1952.53184267987</v>
      </c>
      <c r="M116" s="15" t="n">
        <f aca="false">L116*(1+IF(M$3&lt;=$O$2,$D116,$D116-($D116-$I$103)*MIN(M$3-$O$2,$Q$2)/$Q$2))</f>
        <v>1975.8103696788</v>
      </c>
      <c r="N116" s="15" t="n">
        <f aca="false">M116*(1+IF(N$3&lt;=$O$2,$D116,$D116-($D116-$I$103)*MIN(N$3-$O$2,$Q$2)/$Q$2))</f>
        <v>2031.72580314071</v>
      </c>
      <c r="O116" s="15" t="n">
        <f aca="false">SUMPRODUCT(E116:N116,1/(1+$F$103)^$E$3:$N$3)*$E$2</f>
        <v>10652.7348289988</v>
      </c>
      <c r="P116" s="15" t="n">
        <f aca="false">N116*$E$2*(1+$I$103)/($F$103-$I$103)/(1+$F$103)^$N$3</f>
        <v>19076.2137880413</v>
      </c>
      <c r="Q116" s="15" t="n">
        <f aca="false">O116+P116</f>
        <v>29728.9486170402</v>
      </c>
      <c r="R116" s="15" t="n">
        <f aca="false">Q116-$G$2+$I$2</f>
        <v>30498.9486170402</v>
      </c>
      <c r="S116" s="42" t="n">
        <f aca="false">R116/$K$2</f>
        <v>292.051600278082</v>
      </c>
      <c r="T116" s="43" t="n">
        <f aca="false">S116-$M$2</f>
        <v>-0.201583672889569</v>
      </c>
    </row>
    <row r="117" customFormat="false" ht="15" hidden="false" customHeight="false" outlineLevel="0" collapsed="false">
      <c r="A117" s="5" t="n">
        <v>13</v>
      </c>
      <c r="B117" s="25" t="n">
        <f aca="false">IF(T116&gt;0,B116,D116)</f>
        <v>-0.0535888671875</v>
      </c>
      <c r="C117" s="25" t="n">
        <f aca="false">IF(T116&gt;0,D116,C116)</f>
        <v>-0.05322265625</v>
      </c>
      <c r="D117" s="41" t="n">
        <f aca="false">(B117+C117)/2</f>
        <v>-0.05340576171875</v>
      </c>
      <c r="E117" s="15" t="n">
        <f aca="false">$C$2*(1+IF(E$3&lt;=$O$2,$D117,$D117-($D117-$I$103)*MIN(E$3-$O$2,$Q$2)/$Q$2))</f>
        <v>2593.66821289063</v>
      </c>
      <c r="F117" s="15" t="n">
        <f aca="false">E117*(1+IF(F$3&lt;=$O$2,$D117,$D117-($D117-$I$103)*MIN(F$3-$O$2,$Q$2)/$Q$2))</f>
        <v>2455.15138633549</v>
      </c>
      <c r="G117" s="15" t="n">
        <f aca="false">F117*(1+IF(G$3&lt;=$O$2,$D117,$D117-($D117-$I$103)*MIN(G$3-$O$2,$Q$2)/$Q$2))</f>
        <v>2324.0321564134</v>
      </c>
      <c r="H117" s="15" t="n">
        <f aca="false">G117*(1+IF(H$3&lt;=$O$2,$D117,$D117-($D117-$I$103)*MIN(H$3-$O$2,$Q$2)/$Q$2))</f>
        <v>2199.91544884127</v>
      </c>
      <c r="I117" s="15" t="n">
        <f aca="false">H117*(1+IF(I$3&lt;=$O$2,$D117,$D117-($D117-$I$103)*MIN(I$3-$O$2,$Q$2)/$Q$2))</f>
        <v>2082.42728857906</v>
      </c>
      <c r="J117" s="15" t="n">
        <f aca="false">I117*(1+IF(J$3&lt;=$O$2,$D117,$D117-($D117-$I$103)*MIN(J$3-$O$2,$Q$2)/$Q$2))</f>
        <v>2005.24293457604</v>
      </c>
      <c r="K117" s="15" t="n">
        <f aca="false">J117*(1+IF(K$3&lt;=$O$2,$D117,$D117-($D117-$I$103)*MIN(K$3-$O$2,$Q$2)/$Q$2))</f>
        <v>1963.68736878413</v>
      </c>
      <c r="L117" s="15" t="n">
        <f aca="false">K117*(1+IF(L$3&lt;=$O$2,$D117,$D117-($D117-$I$103)*MIN(L$3-$O$2,$Q$2)/$Q$2))</f>
        <v>1955.08189242312</v>
      </c>
      <c r="M117" s="15" t="n">
        <f aca="false">L117*(1+IF(M$3&lt;=$O$2,$D117,$D117-($D117-$I$103)*MIN(M$3-$O$2,$Q$2)/$Q$2))</f>
        <v>1978.46241893011</v>
      </c>
      <c r="N117" s="15" t="n">
        <f aca="false">M117*(1+IF(N$3&lt;=$O$2,$D117,$D117-($D117-$I$103)*MIN(N$3-$O$2,$Q$2)/$Q$2))</f>
        <v>2034.45290538583</v>
      </c>
      <c r="O117" s="15" t="n">
        <f aca="false">SUMPRODUCT(E117:N117,1/(1+$F$103)^$E$3:$N$3)*$E$2</f>
        <v>10661.3623232037</v>
      </c>
      <c r="P117" s="15" t="n">
        <f aca="false">N117*$E$2*(1+$I$103)/($F$103-$I$103)/(1+$F$103)^$N$3</f>
        <v>19101.8190076873</v>
      </c>
      <c r="Q117" s="15" t="n">
        <f aca="false">O117+P117</f>
        <v>29763.181330891</v>
      </c>
      <c r="R117" s="15" t="n">
        <f aca="false">Q117-$G$2+$I$2</f>
        <v>30533.181330891</v>
      </c>
      <c r="S117" s="42" t="n">
        <f aca="false">R117/$K$2</f>
        <v>292.379405639098</v>
      </c>
      <c r="T117" s="43" t="n">
        <f aca="false">S117-$M$2</f>
        <v>0.126221688125895</v>
      </c>
    </row>
    <row r="118" customFormat="false" ht="15" hidden="false" customHeight="false" outlineLevel="0" collapsed="false">
      <c r="A118" s="5" t="n">
        <v>14</v>
      </c>
      <c r="B118" s="25" t="n">
        <f aca="false">IF(T117&gt;0,B117,D117)</f>
        <v>-0.0535888671875</v>
      </c>
      <c r="C118" s="25" t="n">
        <f aca="false">IF(T117&gt;0,D117,C117)</f>
        <v>-0.05340576171875</v>
      </c>
      <c r="D118" s="41" t="n">
        <f aca="false">(B118+C118)/2</f>
        <v>-0.053497314453125</v>
      </c>
      <c r="E118" s="15" t="n">
        <f aca="false">$C$2*(1+IF(E$3&lt;=$O$2,$D118,$D118-($D118-$I$103)*MIN(E$3-$O$2,$Q$2)/$Q$2))</f>
        <v>2593.41735839844</v>
      </c>
      <c r="F118" s="15" t="n">
        <f aca="false">E118*(1+IF(F$3&lt;=$O$2,$D118,$D118-($D118-$I$103)*MIN(F$3-$O$2,$Q$2)/$Q$2))</f>
        <v>2454.676494468</v>
      </c>
      <c r="G118" s="15" t="n">
        <f aca="false">F118*(1+IF(G$3&lt;=$O$2,$D118,$D118-($D118-$I$103)*MIN(G$3-$O$2,$Q$2)/$Q$2))</f>
        <v>2323.35789416275</v>
      </c>
      <c r="H118" s="15" t="n">
        <f aca="false">G118*(1+IF(H$3&lt;=$O$2,$D118,$D118-($D118-$I$103)*MIN(H$3-$O$2,$Q$2)/$Q$2))</f>
        <v>2199.06448631158</v>
      </c>
      <c r="I118" s="15" t="n">
        <f aca="false">H118*(1+IF(I$3&lt;=$O$2,$D118,$D118-($D118-$I$103)*MIN(I$3-$O$2,$Q$2)/$Q$2))</f>
        <v>2081.42044198467</v>
      </c>
      <c r="J118" s="15" t="n">
        <f aca="false">I118*(1+IF(J$3&lt;=$O$2,$D118,$D118-($D118-$I$103)*MIN(J$3-$O$2,$Q$2)/$Q$2))</f>
        <v>2004.12095857109</v>
      </c>
      <c r="K118" s="15" t="n">
        <f aca="false">J118*(1+IF(K$3&lt;=$O$2,$D118,$D118-($D118-$I$103)*MIN(K$3-$O$2,$Q$2)/$Q$2))</f>
        <v>1962.47855434845</v>
      </c>
      <c r="L118" s="15" t="n">
        <f aca="false">K118*(1+IF(L$3&lt;=$O$2,$D118,$D118-($D118-$I$103)*MIN(L$3-$O$2,$Q$2)/$Q$2))</f>
        <v>1953.80650726949</v>
      </c>
      <c r="M118" s="15" t="n">
        <f aca="false">L118*(1+IF(M$3&lt;=$O$2,$D118,$D118-($D118-$I$103)*MIN(M$3-$O$2,$Q$2)/$Q$2))</f>
        <v>1977.13600637408</v>
      </c>
      <c r="N118" s="15" t="n">
        <f aca="false">M118*(1+IF(N$3&lt;=$O$2,$D118,$D118-($D118-$I$103)*MIN(N$3-$O$2,$Q$2)/$Q$2))</f>
        <v>2033.08895535446</v>
      </c>
      <c r="O118" s="15" t="n">
        <f aca="false">SUMPRODUCT(E118:N118,1/(1+$F$103)^$E$3:$N$3)*$E$2</f>
        <v>10657.047671476</v>
      </c>
      <c r="P118" s="15" t="n">
        <f aca="false">N118*$E$2*(1+$I$103)/($F$103-$I$103)/(1+$F$103)^$N$3</f>
        <v>19089.0126524427</v>
      </c>
      <c r="Q118" s="15" t="n">
        <f aca="false">O118+P118</f>
        <v>29746.0603239187</v>
      </c>
      <c r="R118" s="15" t="n">
        <f aca="false">Q118-$G$2+$I$2</f>
        <v>30516.0603239187</v>
      </c>
      <c r="S118" s="42" t="n">
        <f aca="false">R118/$K$2</f>
        <v>292.215458430707</v>
      </c>
      <c r="T118" s="43" t="n">
        <f aca="false">S118-$M$2</f>
        <v>-0.0377255202650417</v>
      </c>
    </row>
    <row r="119" customFormat="false" ht="15" hidden="false" customHeight="false" outlineLevel="0" collapsed="false">
      <c r="A119" s="5" t="n">
        <v>15</v>
      </c>
      <c r="B119" s="25" t="n">
        <f aca="false">IF(T118&gt;0,B118,D118)</f>
        <v>-0.053497314453125</v>
      </c>
      <c r="C119" s="25" t="n">
        <f aca="false">IF(T118&gt;0,D118,C118)</f>
        <v>-0.05340576171875</v>
      </c>
      <c r="D119" s="41" t="n">
        <f aca="false">(B119+C119)/2</f>
        <v>-0.0534515380859375</v>
      </c>
      <c r="E119" s="15" t="n">
        <f aca="false">$C$2*(1+IF(E$3&lt;=$O$2,$D119,$D119-($D119-$I$103)*MIN(E$3-$O$2,$Q$2)/$Q$2))</f>
        <v>2593.54278564453</v>
      </c>
      <c r="F119" s="15" t="n">
        <f aca="false">E119*(1+IF(F$3&lt;=$O$2,$D119,$D119-($D119-$I$103)*MIN(F$3-$O$2,$Q$2)/$Q$2))</f>
        <v>2454.91393466014</v>
      </c>
      <c r="G119" s="15" t="n">
        <f aca="false">F119*(1+IF(G$3&lt;=$O$2,$D119,$D119-($D119-$I$103)*MIN(G$3-$O$2,$Q$2)/$Q$2))</f>
        <v>2323.69500898396</v>
      </c>
      <c r="H119" s="15" t="n">
        <f aca="false">G119*(1+IF(H$3&lt;=$O$2,$D119,$D119-($D119-$I$103)*MIN(H$3-$O$2,$Q$2)/$Q$2))</f>
        <v>2199.48993671115</v>
      </c>
      <c r="I119" s="15" t="n">
        <f aca="false">H119*(1+IF(I$3&lt;=$O$2,$D119,$D119-($D119-$I$103)*MIN(I$3-$O$2,$Q$2)/$Q$2))</f>
        <v>2081.9238165894</v>
      </c>
      <c r="J119" s="15" t="n">
        <f aca="false">I119*(1+IF(J$3&lt;=$O$2,$D119,$D119-($D119-$I$103)*MIN(J$3-$O$2,$Q$2)/$Q$2))</f>
        <v>2004.68188125173</v>
      </c>
      <c r="K119" s="15" t="n">
        <f aca="false">J119*(1+IF(K$3&lt;=$O$2,$D119,$D119-($D119-$I$103)*MIN(K$3-$O$2,$Q$2)/$Q$2))</f>
        <v>1963.08288219195</v>
      </c>
      <c r="L119" s="15" t="n">
        <f aca="false">K119*(1+IF(L$3&lt;=$O$2,$D119,$D119-($D119-$I$103)*MIN(L$3-$O$2,$Q$2)/$Q$2))</f>
        <v>1954.44410975424</v>
      </c>
      <c r="M119" s="15" t="n">
        <f aca="false">L119*(1+IF(M$3&lt;=$O$2,$D119,$D119-($D119-$I$103)*MIN(M$3-$O$2,$Q$2)/$Q$2))</f>
        <v>1977.7991156452</v>
      </c>
      <c r="N119" s="15" t="n">
        <f aca="false">M119*(1+IF(N$3&lt;=$O$2,$D119,$D119-($D119-$I$103)*MIN(N$3-$O$2,$Q$2)/$Q$2))</f>
        <v>2033.77083061796</v>
      </c>
      <c r="O119" s="15" t="n">
        <f aca="false">SUMPRODUCT(E119:N119,1/(1+$F$103)^$E$3:$N$3)*$E$2</f>
        <v>10659.2047711381</v>
      </c>
      <c r="P119" s="15" t="n">
        <f aca="false">N119*$E$2*(1+$I$103)/($F$103-$I$103)/(1+$F$103)^$N$3</f>
        <v>19095.414893475</v>
      </c>
      <c r="Q119" s="15" t="n">
        <f aca="false">O119+P119</f>
        <v>29754.6196646132</v>
      </c>
      <c r="R119" s="15" t="n">
        <f aca="false">Q119-$G$2+$I$2</f>
        <v>30524.6196646132</v>
      </c>
      <c r="S119" s="42" t="n">
        <f aca="false">R119/$K$2</f>
        <v>292.29742090025</v>
      </c>
      <c r="T119" s="43" t="n">
        <f aca="false">S119-$M$2</f>
        <v>0.0442369492783996</v>
      </c>
    </row>
    <row r="120" customFormat="false" ht="15" hidden="false" customHeight="false" outlineLevel="0" collapsed="false">
      <c r="A120" s="5" t="n">
        <v>16</v>
      </c>
      <c r="B120" s="25" t="n">
        <f aca="false">IF(T119&gt;0,B119,D119)</f>
        <v>-0.053497314453125</v>
      </c>
      <c r="C120" s="25" t="n">
        <f aca="false">IF(T119&gt;0,D119,C119)</f>
        <v>-0.0534515380859375</v>
      </c>
      <c r="D120" s="41" t="n">
        <f aca="false">(B120+C120)/2</f>
        <v>-0.0534744262695313</v>
      </c>
      <c r="E120" s="15" t="n">
        <f aca="false">$C$2*(1+IF(E$3&lt;=$O$2,$D120,$D120-($D120-$I$103)*MIN(E$3-$O$2,$Q$2)/$Q$2))</f>
        <v>2593.48007202148</v>
      </c>
      <c r="F120" s="15" t="n">
        <f aca="false">E120*(1+IF(F$3&lt;=$O$2,$D120,$D120-($D120-$I$103)*MIN(F$3-$O$2,$Q$2)/$Q$2))</f>
        <v>2454.79521312867</v>
      </c>
      <c r="G120" s="15" t="n">
        <f aca="false">F120*(1+IF(G$3&lt;=$O$2,$D120,$D120-($D120-$I$103)*MIN(G$3-$O$2,$Q$2)/$Q$2))</f>
        <v>2323.52644749743</v>
      </c>
      <c r="H120" s="15" t="n">
        <f aca="false">G120*(1+IF(H$3&lt;=$O$2,$D120,$D120-($D120-$I$103)*MIN(H$3-$O$2,$Q$2)/$Q$2))</f>
        <v>2199.27720379542</v>
      </c>
      <c r="I120" s="15" t="n">
        <f aca="false">H120*(1+IF(I$3&lt;=$O$2,$D120,$D120-($D120-$I$103)*MIN(I$3-$O$2,$Q$2)/$Q$2))</f>
        <v>2081.6721171148</v>
      </c>
      <c r="J120" s="15" t="n">
        <f aca="false">I120*(1+IF(J$3&lt;=$O$2,$D120,$D120-($D120-$I$103)*MIN(J$3-$O$2,$Q$2)/$Q$2))</f>
        <v>2004.40140358247</v>
      </c>
      <c r="K120" s="15" t="n">
        <f aca="false">J120*(1+IF(K$3&lt;=$O$2,$D120,$D120-($D120-$I$103)*MIN(K$3-$O$2,$Q$2)/$Q$2))</f>
        <v>1962.78069842878</v>
      </c>
      <c r="L120" s="15" t="n">
        <f aca="false">K120*(1+IF(L$3&lt;=$O$2,$D120,$D120-($D120-$I$103)*MIN(L$3-$O$2,$Q$2)/$Q$2))</f>
        <v>1954.12528599154</v>
      </c>
      <c r="M120" s="15" t="n">
        <f aca="false">L120*(1+IF(M$3&lt;=$O$2,$D120,$D120-($D120-$I$103)*MIN(M$3-$O$2,$Q$2)/$Q$2))</f>
        <v>1977.46753676096</v>
      </c>
      <c r="N120" s="15" t="n">
        <f aca="false">M120*(1+IF(N$3&lt;=$O$2,$D120,$D120-($D120-$I$103)*MIN(N$3-$O$2,$Q$2)/$Q$2))</f>
        <v>2033.42986805129</v>
      </c>
      <c r="O120" s="15" t="n">
        <f aca="false">SUMPRODUCT(E120:N120,1/(1+$F$103)^$E$3:$N$3)*$E$2</f>
        <v>10658.1261647623</v>
      </c>
      <c r="P120" s="15" t="n">
        <f aca="false">N120*$E$2*(1+$I$103)/($F$103-$I$103)/(1+$F$103)^$N$3</f>
        <v>19092.2135388407</v>
      </c>
      <c r="Q120" s="15" t="n">
        <f aca="false">O120+P120</f>
        <v>29750.339703603</v>
      </c>
      <c r="R120" s="15" t="n">
        <f aca="false">Q120-$G$2+$I$2</f>
        <v>30520.339703603</v>
      </c>
      <c r="S120" s="42" t="n">
        <f aca="false">R120/$K$2</f>
        <v>292.256436882151</v>
      </c>
      <c r="T120" s="43" t="n">
        <f aca="false">S120-$M$2</f>
        <v>0.00325293117890624</v>
      </c>
    </row>
    <row r="121" customFormat="false" ht="15" hidden="false" customHeight="false" outlineLevel="0" collapsed="false">
      <c r="A121" s="5" t="n">
        <v>17</v>
      </c>
      <c r="B121" s="25" t="n">
        <f aca="false">IF(T120&gt;0,B120,D120)</f>
        <v>-0.053497314453125</v>
      </c>
      <c r="C121" s="25" t="n">
        <f aca="false">IF(T120&gt;0,D120,C120)</f>
        <v>-0.0534744262695313</v>
      </c>
      <c r="D121" s="41" t="n">
        <f aca="false">(B121+C121)/2</f>
        <v>-0.0534858703613281</v>
      </c>
      <c r="E121" s="15" t="n">
        <f aca="false">$C$2*(1+IF(E$3&lt;=$O$2,$D121,$D121-($D121-$I$103)*MIN(E$3-$O$2,$Q$2)/$Q$2))</f>
        <v>2593.44871520996</v>
      </c>
      <c r="F121" s="15" t="n">
        <f aca="false">E121*(1+IF(F$3&lt;=$O$2,$D121,$D121-($D121-$I$103)*MIN(F$3-$O$2,$Q$2)/$Q$2))</f>
        <v>2454.73585343949</v>
      </c>
      <c r="G121" s="15" t="n">
        <f aca="false">F121*(1+IF(G$3&lt;=$O$2,$D121,$D121-($D121-$I$103)*MIN(G$3-$O$2,$Q$2)/$Q$2))</f>
        <v>2323.44216981112</v>
      </c>
      <c r="H121" s="15" t="n">
        <f aca="false">G121*(1+IF(H$3&lt;=$O$2,$D121,$D121-($D121-$I$103)*MIN(H$3-$O$2,$Q$2)/$Q$2))</f>
        <v>2199.17084312456</v>
      </c>
      <c r="I121" s="15" t="n">
        <f aca="false">H121*(1+IF(I$3&lt;=$O$2,$D121,$D121-($D121-$I$103)*MIN(I$3-$O$2,$Q$2)/$Q$2))</f>
        <v>2081.54627650679</v>
      </c>
      <c r="J121" s="15" t="n">
        <f aca="false">I121*(1+IF(J$3&lt;=$O$2,$D121,$D121-($D121-$I$103)*MIN(J$3-$O$2,$Q$2)/$Q$2))</f>
        <v>2004.26117699474</v>
      </c>
      <c r="K121" s="15" t="n">
        <f aca="false">J121*(1+IF(K$3&lt;=$O$2,$D121,$D121-($D121-$I$103)*MIN(K$3-$O$2,$Q$2)/$Q$2))</f>
        <v>1962.62962142853</v>
      </c>
      <c r="L121" s="15" t="n">
        <f aca="false">K121*(1+IF(L$3&lt;=$O$2,$D121,$D121-($D121-$I$103)*MIN(L$3-$O$2,$Q$2)/$Q$2))</f>
        <v>1953.96589100077</v>
      </c>
      <c r="M121" s="15" t="n">
        <f aca="false">L121*(1+IF(M$3&lt;=$O$2,$D121,$D121-($D121-$I$103)*MIN(M$3-$O$2,$Q$2)/$Q$2))</f>
        <v>1977.30176550572</v>
      </c>
      <c r="N121" s="15" t="n">
        <f aca="false">M121*(1+IF(N$3&lt;=$O$2,$D121,$D121-($D121-$I$103)*MIN(N$3-$O$2,$Q$2)/$Q$2))</f>
        <v>2033.25940546954</v>
      </c>
      <c r="O121" s="15" t="n">
        <f aca="false">SUMPRODUCT(E121:N121,1/(1+$F$103)^$E$3:$N$3)*$E$2</f>
        <v>10657.5869039837</v>
      </c>
      <c r="P121" s="15" t="n">
        <f aca="false">N121*$E$2*(1+$I$103)/($F$103-$I$103)/(1+$F$103)^$N$3</f>
        <v>19090.6130371158</v>
      </c>
      <c r="Q121" s="15" t="n">
        <f aca="false">O121+P121</f>
        <v>29748.1999410995</v>
      </c>
      <c r="R121" s="15" t="n">
        <f aca="false">Q121-$G$2+$I$2</f>
        <v>30518.1999410995</v>
      </c>
      <c r="S121" s="42" t="n">
        <f aca="false">R121/$K$2</f>
        <v>292.235946960639</v>
      </c>
      <c r="T121" s="43" t="n">
        <f aca="false">S121-$M$2</f>
        <v>-0.0172369903331173</v>
      </c>
    </row>
    <row r="122" customFormat="false" ht="15" hidden="false" customHeight="false" outlineLevel="0" collapsed="false">
      <c r="A122" s="5" t="n">
        <v>18</v>
      </c>
      <c r="B122" s="25" t="n">
        <f aca="false">IF(T121&gt;0,B121,D121)</f>
        <v>-0.0534858703613281</v>
      </c>
      <c r="C122" s="25" t="n">
        <f aca="false">IF(T121&gt;0,D121,C121)</f>
        <v>-0.0534744262695313</v>
      </c>
      <c r="D122" s="41" t="n">
        <f aca="false">(B122+C122)/2</f>
        <v>-0.0534801483154297</v>
      </c>
      <c r="E122" s="15" t="n">
        <f aca="false">$C$2*(1+IF(E$3&lt;=$O$2,$D122,$D122-($D122-$I$103)*MIN(E$3-$O$2,$Q$2)/$Q$2))</f>
        <v>2593.46439361572</v>
      </c>
      <c r="F122" s="15" t="n">
        <f aca="false">E122*(1+IF(F$3&lt;=$O$2,$D122,$D122-($D122-$I$103)*MIN(F$3-$O$2,$Q$2)/$Q$2))</f>
        <v>2454.76553319437</v>
      </c>
      <c r="G122" s="15" t="n">
        <f aca="false">F122*(1+IF(G$3&lt;=$O$2,$D122,$D122-($D122-$I$103)*MIN(G$3-$O$2,$Q$2)/$Q$2))</f>
        <v>2323.48430839953</v>
      </c>
      <c r="H122" s="15" t="n">
        <f aca="false">G122*(1+IF(H$3&lt;=$O$2,$D122,$D122-($D122-$I$103)*MIN(H$3-$O$2,$Q$2)/$Q$2))</f>
        <v>2199.22402297775</v>
      </c>
      <c r="I122" s="15" t="n">
        <f aca="false">H122*(1+IF(I$3&lt;=$O$2,$D122,$D122-($D122-$I$103)*MIN(I$3-$O$2,$Q$2)/$Q$2))</f>
        <v>2081.60919605004</v>
      </c>
      <c r="J122" s="15" t="n">
        <f aca="false">I122*(1+IF(J$3&lt;=$O$2,$D122,$D122-($D122-$I$103)*MIN(J$3-$O$2,$Q$2)/$Q$2))</f>
        <v>2004.33128926807</v>
      </c>
      <c r="K122" s="15" t="n">
        <f aca="false">J122*(1+IF(K$3&lt;=$O$2,$D122,$D122-($D122-$I$103)*MIN(K$3-$O$2,$Q$2)/$Q$2))</f>
        <v>1962.7051586886</v>
      </c>
      <c r="L122" s="15" t="n">
        <f aca="false">K122*(1+IF(L$3&lt;=$O$2,$D122,$D122-($D122-$I$103)*MIN(L$3-$O$2,$Q$2)/$Q$2))</f>
        <v>1954.04558708868</v>
      </c>
      <c r="M122" s="15" t="n">
        <f aca="false">L122*(1+IF(M$3&lt;=$O$2,$D122,$D122-($D122-$I$103)*MIN(M$3-$O$2,$Q$2)/$Q$2))</f>
        <v>1977.38464961784</v>
      </c>
      <c r="N122" s="15" t="n">
        <f aca="false">M122*(1+IF(N$3&lt;=$O$2,$D122,$D122-($D122-$I$103)*MIN(N$3-$O$2,$Q$2)/$Q$2))</f>
        <v>2033.34463520203</v>
      </c>
      <c r="O122" s="15" t="n">
        <f aca="false">SUMPRODUCT(E122:N122,1/(1+$F$103)^$E$3:$N$3)*$E$2</f>
        <v>10657.856530839</v>
      </c>
      <c r="P122" s="15" t="n">
        <f aca="false">N122*$E$2*(1+$I$103)/($F$103-$I$103)/(1+$F$103)^$N$3</f>
        <v>19091.4132733463</v>
      </c>
      <c r="Q122" s="15" t="n">
        <f aca="false">O122+P122</f>
        <v>29749.2698041854</v>
      </c>
      <c r="R122" s="15" t="n">
        <f aca="false">Q122-$G$2+$I$2</f>
        <v>30519.2698041854</v>
      </c>
      <c r="S122" s="42" t="n">
        <f aca="false">R122/$K$2</f>
        <v>292.246191747442</v>
      </c>
      <c r="T122" s="43" t="n">
        <f aca="false">S122-$M$2</f>
        <v>-0.00699220352993279</v>
      </c>
    </row>
    <row r="123" customFormat="false" ht="15" hidden="false" customHeight="false" outlineLevel="0" collapsed="false">
      <c r="A123" s="5" t="n">
        <v>19</v>
      </c>
      <c r="B123" s="25" t="n">
        <f aca="false">IF(T122&gt;0,B122,D122)</f>
        <v>-0.0534801483154297</v>
      </c>
      <c r="C123" s="25" t="n">
        <f aca="false">IF(T122&gt;0,D122,C122)</f>
        <v>-0.0534744262695313</v>
      </c>
      <c r="D123" s="41" t="n">
        <f aca="false">(B123+C123)/2</f>
        <v>-0.0534772872924805</v>
      </c>
      <c r="E123" s="15" t="n">
        <f aca="false">$C$2*(1+IF(E$3&lt;=$O$2,$D123,$D123-($D123-$I$103)*MIN(E$3-$O$2,$Q$2)/$Q$2))</f>
        <v>2593.4722328186</v>
      </c>
      <c r="F123" s="15" t="n">
        <f aca="false">E123*(1+IF(F$3&lt;=$O$2,$D123,$D123-($D123-$I$103)*MIN(F$3-$O$2,$Q$2)/$Q$2))</f>
        <v>2454.78037313909</v>
      </c>
      <c r="G123" s="15" t="n">
        <f aca="false">F123*(1+IF(G$3&lt;=$O$2,$D123,$D123-($D123-$I$103)*MIN(G$3-$O$2,$Q$2)/$Q$2))</f>
        <v>2323.50537788479</v>
      </c>
      <c r="H123" s="15" t="n">
        <f aca="false">G123*(1+IF(H$3&lt;=$O$2,$D123,$D123-($D123-$I$103)*MIN(H$3-$O$2,$Q$2)/$Q$2))</f>
        <v>2199.25061326602</v>
      </c>
      <c r="I123" s="15" t="n">
        <f aca="false">H123*(1+IF(I$3&lt;=$O$2,$D123,$D123-($D123-$I$103)*MIN(I$3-$O$2,$Q$2)/$Q$2))</f>
        <v>2081.64065639223</v>
      </c>
      <c r="J123" s="15" t="n">
        <f aca="false">I123*(1+IF(J$3&lt;=$O$2,$D123,$D123-($D123-$I$103)*MIN(J$3-$O$2,$Q$2)/$Q$2))</f>
        <v>2004.36634617014</v>
      </c>
      <c r="K123" s="15" t="n">
        <f aca="false">J123*(1+IF(K$3&lt;=$O$2,$D123,$D123-($D123-$I$103)*MIN(K$3-$O$2,$Q$2)/$Q$2))</f>
        <v>1962.74292824867</v>
      </c>
      <c r="L123" s="15" t="n">
        <f aca="false">K123*(1+IF(L$3&lt;=$O$2,$D123,$D123-($D123-$I$103)*MIN(L$3-$O$2,$Q$2)/$Q$2))</f>
        <v>1954.08543618824</v>
      </c>
      <c r="M123" s="15" t="n">
        <f aca="false">L123*(1+IF(M$3&lt;=$O$2,$D123,$D123-($D123-$I$103)*MIN(M$3-$O$2,$Q$2)/$Q$2))</f>
        <v>1977.42609281052</v>
      </c>
      <c r="N123" s="15" t="n">
        <f aca="false">M123*(1+IF(N$3&lt;=$O$2,$D123,$D123-($D123-$I$103)*MIN(N$3-$O$2,$Q$2)/$Q$2))</f>
        <v>2033.38725123706</v>
      </c>
      <c r="O123" s="15" t="n">
        <f aca="false">SUMPRODUCT(E123:N123,1/(1+$F$103)^$E$3:$N$3)*$E$2</f>
        <v>10657.9913469172</v>
      </c>
      <c r="P123" s="15" t="n">
        <f aca="false">N123*$E$2*(1+$I$103)/($F$103-$I$103)/(1+$F$103)^$N$3</f>
        <v>19091.8134024355</v>
      </c>
      <c r="Q123" s="15" t="n">
        <f aca="false">O123+P123</f>
        <v>29749.8047493527</v>
      </c>
      <c r="R123" s="15" t="n">
        <f aca="false">Q123-$G$2+$I$2</f>
        <v>30519.8047493527</v>
      </c>
      <c r="S123" s="42" t="n">
        <f aca="false">R123/$K$2</f>
        <v>292.251314271308</v>
      </c>
      <c r="T123" s="43" t="n">
        <f aca="false">S123-$M$2</f>
        <v>-0.00186967966436669</v>
      </c>
    </row>
    <row r="124" customFormat="false" ht="15" hidden="false" customHeight="false" outlineLevel="0" collapsed="false">
      <c r="A124" s="5" t="n">
        <v>20</v>
      </c>
      <c r="B124" s="25" t="n">
        <f aca="false">IF(T123&gt;0,B123,D123)</f>
        <v>-0.0534772872924805</v>
      </c>
      <c r="C124" s="25" t="n">
        <f aca="false">IF(T123&gt;0,D123,C123)</f>
        <v>-0.0534744262695313</v>
      </c>
      <c r="D124" s="41" t="n">
        <f aca="false">(B124+C124)/2</f>
        <v>-0.0534758567810059</v>
      </c>
      <c r="E124" s="15" t="n">
        <f aca="false">$C$2*(1+IF(E$3&lt;=$O$2,$D124,$D124-($D124-$I$103)*MIN(E$3-$O$2,$Q$2)/$Q$2))</f>
        <v>2593.47615242004</v>
      </c>
      <c r="F124" s="15" t="n">
        <f aca="false">E124*(1+IF(F$3&lt;=$O$2,$D124,$D124-($D124-$I$103)*MIN(F$3-$O$2,$Q$2)/$Q$2))</f>
        <v>2454.78779312828</v>
      </c>
      <c r="G124" s="15" t="n">
        <f aca="false">F124*(1+IF(G$3&lt;=$O$2,$D124,$D124-($D124-$I$103)*MIN(G$3-$O$2,$Q$2)/$Q$2))</f>
        <v>2323.51591267519</v>
      </c>
      <c r="H124" s="15" t="n">
        <f aca="false">G124*(1+IF(H$3&lt;=$O$2,$D124,$D124-($D124-$I$103)*MIN(H$3-$O$2,$Q$2)/$Q$2))</f>
        <v>2199.26390850058</v>
      </c>
      <c r="I124" s="15" t="n">
        <f aca="false">H124*(1+IF(I$3&lt;=$O$2,$D124,$D124-($D124-$I$103)*MIN(I$3-$O$2,$Q$2)/$Q$2))</f>
        <v>2081.65638670597</v>
      </c>
      <c r="J124" s="15" t="n">
        <f aca="false">I124*(1+IF(J$3&lt;=$O$2,$D124,$D124-($D124-$I$103)*MIN(J$3-$O$2,$Q$2)/$Q$2))</f>
        <v>2004.38387481252</v>
      </c>
      <c r="K124" s="15" t="n">
        <f aca="false">J124*(1+IF(K$3&lt;=$O$2,$D124,$D124-($D124-$I$103)*MIN(K$3-$O$2,$Q$2)/$Q$2))</f>
        <v>1962.76181326122</v>
      </c>
      <c r="L124" s="15" t="n">
        <f aca="false">K124*(1+IF(L$3&lt;=$O$2,$D124,$D124-($D124-$I$103)*MIN(L$3-$O$2,$Q$2)/$Q$2))</f>
        <v>1954.10536100192</v>
      </c>
      <c r="M124" s="15" t="n">
        <f aca="false">L124*(1+IF(M$3&lt;=$O$2,$D124,$D124-($D124-$I$103)*MIN(M$3-$O$2,$Q$2)/$Q$2))</f>
        <v>1977.44681469102</v>
      </c>
      <c r="N124" s="15" t="n">
        <f aca="false">M124*(1+IF(N$3&lt;=$O$2,$D124,$D124-($D124-$I$103)*MIN(N$3-$O$2,$Q$2)/$Q$2))</f>
        <v>2033.40855954677</v>
      </c>
      <c r="O124" s="15" t="n">
        <f aca="false">SUMPRODUCT(E124:N124,1/(1+$F$103)^$E$3:$N$3)*$E$2</f>
        <v>10658.0587556189</v>
      </c>
      <c r="P124" s="15" t="n">
        <f aca="false">N124*$E$2*(1+$I$103)/($F$103-$I$103)/(1+$F$103)^$N$3</f>
        <v>19092.0134697236</v>
      </c>
      <c r="Q124" s="15" t="n">
        <f aca="false">O124+P124</f>
        <v>29750.0722253424</v>
      </c>
      <c r="R124" s="15" t="n">
        <f aca="false">Q124-$G$2+$I$2</f>
        <v>30520.0722253424</v>
      </c>
      <c r="S124" s="42" t="n">
        <f aca="false">R124/$K$2</f>
        <v>292.253875565857</v>
      </c>
      <c r="T124" s="43" t="n">
        <f aca="false">S124-$M$2</f>
        <v>0.000691614884942737</v>
      </c>
    </row>
    <row r="125" customFormat="false" ht="15" hidden="false" customHeight="false" outlineLevel="0" collapsed="false">
      <c r="A125" s="5" t="n">
        <v>21</v>
      </c>
      <c r="B125" s="25" t="n">
        <f aca="false">IF(T124&gt;0,B124,D124)</f>
        <v>-0.0534772872924805</v>
      </c>
      <c r="C125" s="25" t="n">
        <f aca="false">IF(T124&gt;0,D124,C124)</f>
        <v>-0.0534758567810059</v>
      </c>
      <c r="D125" s="41" t="n">
        <f aca="false">(B125+C125)/2</f>
        <v>-0.0534765720367432</v>
      </c>
      <c r="E125" s="15" t="n">
        <f aca="false">$C$2*(1+IF(E$3&lt;=$O$2,$D125,$D125-($D125-$I$103)*MIN(E$3-$O$2,$Q$2)/$Q$2))</f>
        <v>2593.47419261932</v>
      </c>
      <c r="F125" s="15" t="n">
        <f aca="false">E125*(1+IF(F$3&lt;=$O$2,$D125,$D125-($D125-$I$103)*MIN(F$3-$O$2,$Q$2)/$Q$2))</f>
        <v>2454.78408313228</v>
      </c>
      <c r="G125" s="15" t="n">
        <f aca="false">F125*(1+IF(G$3&lt;=$O$2,$D125,$D125-($D125-$I$103)*MIN(G$3-$O$2,$Q$2)/$Q$2))</f>
        <v>2323.51064527601</v>
      </c>
      <c r="H125" s="15" t="n">
        <f aca="false">G125*(1+IF(H$3&lt;=$O$2,$D125,$D125-($D125-$I$103)*MIN(H$3-$O$2,$Q$2)/$Q$2))</f>
        <v>2199.25726087577</v>
      </c>
      <c r="I125" s="15" t="n">
        <f aca="false">H125*(1+IF(I$3&lt;=$O$2,$D125,$D125-($D125-$I$103)*MIN(I$3-$O$2,$Q$2)/$Q$2))</f>
        <v>2081.64852153721</v>
      </c>
      <c r="J125" s="15" t="n">
        <f aca="false">I125*(1+IF(J$3&lt;=$O$2,$D125,$D125-($D125-$I$103)*MIN(J$3-$O$2,$Q$2)/$Q$2))</f>
        <v>2004.37511047538</v>
      </c>
      <c r="K125" s="15" t="n">
        <f aca="false">J125*(1+IF(K$3&lt;=$O$2,$D125,$D125-($D125-$I$103)*MIN(K$3-$O$2,$Q$2)/$Q$2))</f>
        <v>1962.75237073557</v>
      </c>
      <c r="L125" s="15" t="n">
        <f aca="false">K125*(1+IF(L$3&lt;=$O$2,$D125,$D125-($D125-$I$103)*MIN(L$3-$O$2,$Q$2)/$Q$2))</f>
        <v>1954.09539857309</v>
      </c>
      <c r="M125" s="15" t="n">
        <f aca="false">L125*(1+IF(M$3&lt;=$O$2,$D125,$D125-($D125-$I$103)*MIN(M$3-$O$2,$Q$2)/$Q$2))</f>
        <v>1977.43645372709</v>
      </c>
      <c r="N125" s="15" t="n">
        <f aca="false">M125*(1+IF(N$3&lt;=$O$2,$D125,$D125-($D125-$I$103)*MIN(N$3-$O$2,$Q$2)/$Q$2))</f>
        <v>2033.39790536756</v>
      </c>
      <c r="O125" s="15" t="n">
        <f aca="false">SUMPRODUCT(E125:N125,1/(1+$F$103)^$E$3:$N$3)*$E$2</f>
        <v>10658.0250512128</v>
      </c>
      <c r="P125" s="15" t="n">
        <f aca="false">N125*$E$2*(1+$I$103)/($F$103-$I$103)/(1+$F$103)^$N$3</f>
        <v>19091.9134358509</v>
      </c>
      <c r="Q125" s="15" t="n">
        <f aca="false">O125+P125</f>
        <v>29749.9384870637</v>
      </c>
      <c r="R125" s="15" t="n">
        <f aca="false">Q125-$G$2+$I$2</f>
        <v>30519.9384870637</v>
      </c>
      <c r="S125" s="42" t="n">
        <f aca="false">R125/$K$2</f>
        <v>292.252594915864</v>
      </c>
      <c r="T125" s="43" t="n">
        <f aca="false">S125-$M$2</f>
        <v>-0.000589035107793734</v>
      </c>
    </row>
    <row r="126" customFormat="false" ht="15" hidden="false" customHeight="false" outlineLevel="0" collapsed="false">
      <c r="A126" s="5" t="n">
        <v>22</v>
      </c>
      <c r="B126" s="25" t="n">
        <f aca="false">IF(T125&gt;0,B125,D125)</f>
        <v>-0.0534765720367432</v>
      </c>
      <c r="C126" s="25" t="n">
        <f aca="false">IF(T125&gt;0,D125,C125)</f>
        <v>-0.0534758567810059</v>
      </c>
      <c r="D126" s="41" t="n">
        <f aca="false">(B126+C126)/2</f>
        <v>-0.0534762144088745</v>
      </c>
      <c r="E126" s="15" t="n">
        <f aca="false">$C$2*(1+IF(E$3&lt;=$O$2,$D126,$D126-($D126-$I$103)*MIN(E$3-$O$2,$Q$2)/$Q$2))</f>
        <v>2593.47517251968</v>
      </c>
      <c r="F126" s="15" t="n">
        <f aca="false">E126*(1+IF(F$3&lt;=$O$2,$D126,$D126-($D126-$I$103)*MIN(F$3-$O$2,$Q$2)/$Q$2))</f>
        <v>2454.78593812993</v>
      </c>
      <c r="G126" s="15" t="n">
        <f aca="false">F126*(1+IF(G$3&lt;=$O$2,$D126,$D126-($D126-$I$103)*MIN(G$3-$O$2,$Q$2)/$Q$2))</f>
        <v>2323.5132789746</v>
      </c>
      <c r="H126" s="15" t="n">
        <f aca="false">G126*(1+IF(H$3&lt;=$O$2,$D126,$D126-($D126-$I$103)*MIN(H$3-$O$2,$Q$2)/$Q$2))</f>
        <v>2199.26058468629</v>
      </c>
      <c r="I126" s="15" t="n">
        <f aca="false">H126*(1+IF(I$3&lt;=$O$2,$D126,$D126-($D126-$I$103)*MIN(I$3-$O$2,$Q$2)/$Q$2))</f>
        <v>2081.65245411862</v>
      </c>
      <c r="J126" s="15" t="n">
        <f aca="false">I126*(1+IF(J$3&lt;=$O$2,$D126,$D126-($D126-$I$103)*MIN(J$3-$O$2,$Q$2)/$Q$2))</f>
        <v>2004.37949263996</v>
      </c>
      <c r="K126" s="15" t="n">
        <f aca="false">J126*(1+IF(K$3&lt;=$O$2,$D126,$D126-($D126-$I$103)*MIN(K$3-$O$2,$Q$2)/$Q$2))</f>
        <v>1962.75709199355</v>
      </c>
      <c r="L126" s="15" t="n">
        <f aca="false">K126*(1+IF(L$3&lt;=$O$2,$D126,$D126-($D126-$I$103)*MIN(L$3-$O$2,$Q$2)/$Q$2))</f>
        <v>1954.10037978201</v>
      </c>
      <c r="M126" s="15" t="n">
        <f aca="false">L126*(1+IF(M$3&lt;=$O$2,$D126,$D126-($D126-$I$103)*MIN(M$3-$O$2,$Q$2)/$Q$2))</f>
        <v>1977.44163420313</v>
      </c>
      <c r="N126" s="15" t="n">
        <f aca="false">M126*(1+IF(N$3&lt;=$O$2,$D126,$D126-($D126-$I$103)*MIN(N$3-$O$2,$Q$2)/$Q$2))</f>
        <v>2033.40323245108</v>
      </c>
      <c r="O126" s="15" t="n">
        <f aca="false">SUMPRODUCT(E126:N126,1/(1+$F$103)^$E$3:$N$3)*$E$2</f>
        <v>10658.041903402</v>
      </c>
      <c r="P126" s="15" t="n">
        <f aca="false">N126*$E$2*(1+$I$103)/($F$103-$I$103)/(1+$F$103)^$N$3</f>
        <v>19091.9634527301</v>
      </c>
      <c r="Q126" s="15" t="n">
        <f aca="false">O126+P126</f>
        <v>29750.0053561321</v>
      </c>
      <c r="R126" s="15" t="n">
        <f aca="false">Q126-$G$2+$I$2</f>
        <v>30520.0053561321</v>
      </c>
      <c r="S126" s="42" t="n">
        <f aca="false">R126/$K$2</f>
        <v>292.253235240181</v>
      </c>
      <c r="T126" s="43" t="n">
        <f aca="false">S126-$M$2</f>
        <v>5.1289209125116E-005</v>
      </c>
    </row>
    <row r="127" customFormat="false" ht="15" hidden="false" customHeight="false" outlineLevel="0" collapsed="false">
      <c r="A127" s="5" t="n">
        <v>23</v>
      </c>
      <c r="B127" s="25" t="n">
        <f aca="false">IF(T126&gt;0,B126,D126)</f>
        <v>-0.0534765720367432</v>
      </c>
      <c r="C127" s="25" t="n">
        <f aca="false">IF(T126&gt;0,D126,C126)</f>
        <v>-0.0534762144088745</v>
      </c>
      <c r="D127" s="41" t="n">
        <f aca="false">(B127+C127)/2</f>
        <v>-0.0534763932228088</v>
      </c>
      <c r="E127" s="15" t="n">
        <f aca="false">$C$2*(1+IF(E$3&lt;=$O$2,$D127,$D127-($D127-$I$103)*MIN(E$3-$O$2,$Q$2)/$Q$2))</f>
        <v>2593.4746825695</v>
      </c>
      <c r="F127" s="15" t="n">
        <f aca="false">E127*(1+IF(F$3&lt;=$O$2,$D127,$D127-($D127-$I$103)*MIN(F$3-$O$2,$Q$2)/$Q$2))</f>
        <v>2454.78501063102</v>
      </c>
      <c r="G127" s="15" t="n">
        <f aca="false">F127*(1+IF(G$3&lt;=$O$2,$D127,$D127-($D127-$I$103)*MIN(G$3-$O$2,$Q$2)/$Q$2))</f>
        <v>2323.51196212506</v>
      </c>
      <c r="H127" s="15" t="n">
        <f aca="false">G127*(1+IF(H$3&lt;=$O$2,$D127,$D127-($D127-$I$103)*MIN(H$3-$O$2,$Q$2)/$Q$2))</f>
        <v>2199.25892278056</v>
      </c>
      <c r="I127" s="15" t="n">
        <f aca="false">H127*(1+IF(I$3&lt;=$O$2,$D127,$D127-($D127-$I$103)*MIN(I$3-$O$2,$Q$2)/$Q$2))</f>
        <v>2081.65048782717</v>
      </c>
      <c r="J127" s="15" t="n">
        <f aca="false">I127*(1+IF(J$3&lt;=$O$2,$D127,$D127-($D127-$I$103)*MIN(J$3-$O$2,$Q$2)/$Q$2))</f>
        <v>2004.37730155668</v>
      </c>
      <c r="K127" s="15" t="n">
        <f aca="false">J127*(1+IF(K$3&lt;=$O$2,$D127,$D127-($D127-$I$103)*MIN(K$3-$O$2,$Q$2)/$Q$2))</f>
        <v>1962.75473136335</v>
      </c>
      <c r="L127" s="15" t="n">
        <f aca="false">K127*(1+IF(L$3&lt;=$O$2,$D127,$D127-($D127-$I$103)*MIN(L$3-$O$2,$Q$2)/$Q$2))</f>
        <v>1954.09788917617</v>
      </c>
      <c r="M127" s="15" t="n">
        <f aca="false">L127*(1+IF(M$3&lt;=$O$2,$D127,$D127-($D127-$I$103)*MIN(M$3-$O$2,$Q$2)/$Q$2))</f>
        <v>1977.43904396363</v>
      </c>
      <c r="N127" s="15" t="n">
        <f aca="false">M127*(1+IF(N$3&lt;=$O$2,$D127,$D127-($D127-$I$103)*MIN(N$3-$O$2,$Q$2)/$Q$2))</f>
        <v>2033.4005689078</v>
      </c>
      <c r="O127" s="15" t="n">
        <f aca="false">SUMPRODUCT(E127:N127,1/(1+$F$103)^$E$3:$N$3)*$E$2</f>
        <v>10658.033477304</v>
      </c>
      <c r="P127" s="15" t="n">
        <f aca="false">N127*$E$2*(1+$I$103)/($F$103-$I$103)/(1+$F$103)^$N$3</f>
        <v>19091.9384442762</v>
      </c>
      <c r="Q127" s="15" t="n">
        <f aca="false">O127+P127</f>
        <v>29749.9719215802</v>
      </c>
      <c r="R127" s="15" t="n">
        <f aca="false">Q127-$G$2+$I$2</f>
        <v>30519.9719215802</v>
      </c>
      <c r="S127" s="42" t="n">
        <f aca="false">R127/$K$2</f>
        <v>292.252915077853</v>
      </c>
      <c r="T127" s="43" t="n">
        <f aca="false">S127-$M$2</f>
        <v>-0.000268873119182445</v>
      </c>
    </row>
    <row r="128" customFormat="false" ht="15" hidden="false" customHeight="false" outlineLevel="0" collapsed="false">
      <c r="A128" s="5" t="n">
        <v>24</v>
      </c>
      <c r="B128" s="25" t="n">
        <f aca="false">IF(T127&gt;0,B127,D127)</f>
        <v>-0.0534763932228088</v>
      </c>
      <c r="C128" s="25" t="n">
        <f aca="false">IF(T127&gt;0,D127,C127)</f>
        <v>-0.0534762144088745</v>
      </c>
      <c r="D128" s="41" t="n">
        <f aca="false">(B128+C128)/2</f>
        <v>-0.0534763038158417</v>
      </c>
      <c r="E128" s="15" t="n">
        <f aca="false">$C$2*(1+IF(E$3&lt;=$O$2,$D128,$D128-($D128-$I$103)*MIN(E$3-$O$2,$Q$2)/$Q$2))</f>
        <v>2593.47492754459</v>
      </c>
      <c r="F128" s="15" t="n">
        <f aca="false">E128*(1+IF(F$3&lt;=$O$2,$D128,$D128-($D128-$I$103)*MIN(F$3-$O$2,$Q$2)/$Q$2))</f>
        <v>2454.78547438045</v>
      </c>
      <c r="G128" s="15" t="n">
        <f aca="false">F128*(1+IF(G$3&lt;=$O$2,$D128,$D128-($D128-$I$103)*MIN(G$3-$O$2,$Q$2)/$Q$2))</f>
        <v>2323.51262054977</v>
      </c>
      <c r="H128" s="15" t="n">
        <f aca="false">G128*(1+IF(H$3&lt;=$O$2,$D128,$D128-($D128-$I$103)*MIN(H$3-$O$2,$Q$2)/$Q$2))</f>
        <v>2199.25975373331</v>
      </c>
      <c r="I128" s="15" t="n">
        <f aca="false">H128*(1+IF(I$3&lt;=$O$2,$D128,$D128-($D128-$I$103)*MIN(I$3-$O$2,$Q$2)/$Q$2))</f>
        <v>2081.65147097271</v>
      </c>
      <c r="J128" s="15" t="n">
        <f aca="false">I128*(1+IF(J$3&lt;=$O$2,$D128,$D128-($D128-$I$103)*MIN(J$3-$O$2,$Q$2)/$Q$2))</f>
        <v>2004.37839709807</v>
      </c>
      <c r="K128" s="15" t="n">
        <f aca="false">J128*(1+IF(K$3&lt;=$O$2,$D128,$D128-($D128-$I$103)*MIN(K$3-$O$2,$Q$2)/$Q$2))</f>
        <v>1962.75591167815</v>
      </c>
      <c r="L128" s="15" t="n">
        <f aca="false">K128*(1+IF(L$3&lt;=$O$2,$D128,$D128-($D128-$I$103)*MIN(L$3-$O$2,$Q$2)/$Q$2))</f>
        <v>1954.09913447874</v>
      </c>
      <c r="M128" s="15" t="n">
        <f aca="false">L128*(1+IF(M$3&lt;=$O$2,$D128,$D128-($D128-$I$103)*MIN(M$3-$O$2,$Q$2)/$Q$2))</f>
        <v>1977.44033908301</v>
      </c>
      <c r="N128" s="15" t="n">
        <f aca="false">M128*(1+IF(N$3&lt;=$O$2,$D128,$D128-($D128-$I$103)*MIN(N$3-$O$2,$Q$2)/$Q$2))</f>
        <v>2033.40190067906</v>
      </c>
      <c r="O128" s="15" t="n">
        <f aca="false">SUMPRODUCT(E128:N128,1/(1+$F$103)^$E$3:$N$3)*$E$2</f>
        <v>10658.0376903521</v>
      </c>
      <c r="P128" s="15" t="n">
        <f aca="false">N128*$E$2*(1+$I$103)/($F$103-$I$103)/(1+$F$103)^$N$3</f>
        <v>19091.9509484996</v>
      </c>
      <c r="Q128" s="15" t="n">
        <f aca="false">O128+P128</f>
        <v>29749.9886388517</v>
      </c>
      <c r="R128" s="15" t="n">
        <f aca="false">Q128-$G$2+$I$2</f>
        <v>30519.9886388517</v>
      </c>
      <c r="S128" s="42" t="n">
        <f aca="false">R128/$K$2</f>
        <v>292.253075158974</v>
      </c>
      <c r="T128" s="43" t="n">
        <f aca="false">S128-$M$2</f>
        <v>-0.000108791997547542</v>
      </c>
    </row>
    <row r="130" customFormat="false" ht="15" hidden="false" customHeight="false" outlineLevel="0" collapsed="false">
      <c r="A130" s="38" t="s">
        <v>182</v>
      </c>
      <c r="E130" s="5" t="s">
        <v>11</v>
      </c>
      <c r="F130" s="12" t="n">
        <f aca="false">Sensitivity!$B$10</f>
        <v>0.0672772551778937</v>
      </c>
      <c r="G130" s="5" t="s">
        <v>12</v>
      </c>
      <c r="I130" s="12" t="n">
        <f aca="false">Sensitivity!$F$9</f>
        <v>0.0333</v>
      </c>
    </row>
    <row r="131" customFormat="false" ht="23.85" hidden="false" customHeight="false" outlineLevel="0" collapsed="false">
      <c r="A131" s="38" t="s">
        <v>159</v>
      </c>
      <c r="B131" s="28" t="s">
        <v>160</v>
      </c>
      <c r="C131" s="28" t="s">
        <v>161</v>
      </c>
      <c r="D131" s="28" t="s">
        <v>162</v>
      </c>
      <c r="E131" s="28" t="s">
        <v>163</v>
      </c>
      <c r="F131" s="28" t="s">
        <v>164</v>
      </c>
      <c r="G131" s="28" t="s">
        <v>165</v>
      </c>
      <c r="H131" s="28" t="s">
        <v>166</v>
      </c>
      <c r="I131" s="28" t="s">
        <v>167</v>
      </c>
      <c r="J131" s="28" t="s">
        <v>168</v>
      </c>
      <c r="K131" s="28" t="s">
        <v>169</v>
      </c>
      <c r="L131" s="28" t="s">
        <v>170</v>
      </c>
      <c r="M131" s="28" t="s">
        <v>171</v>
      </c>
      <c r="N131" s="28" t="s">
        <v>172</v>
      </c>
      <c r="O131" s="28" t="s">
        <v>173</v>
      </c>
      <c r="P131" s="28" t="s">
        <v>174</v>
      </c>
      <c r="Q131" s="28" t="s">
        <v>175</v>
      </c>
      <c r="R131" s="28" t="s">
        <v>176</v>
      </c>
      <c r="S131" s="28" t="s">
        <v>177</v>
      </c>
      <c r="T131" s="28" t="s">
        <v>178</v>
      </c>
    </row>
    <row r="132" customFormat="false" ht="15" hidden="false" customHeight="false" outlineLevel="0" collapsed="false">
      <c r="A132" s="5" t="n">
        <v>1</v>
      </c>
      <c r="B132" s="24" t="n">
        <v>-0.5</v>
      </c>
      <c r="C132" s="24" t="n">
        <v>1</v>
      </c>
      <c r="D132" s="41" t="n">
        <f aca="false">(B132+C132)/2</f>
        <v>0.25</v>
      </c>
      <c r="E132" s="15" t="n">
        <f aca="false">$C$2*(1+IF(E$3&lt;=$O$2,$D132,$D132-($D132-$I$130)*MIN(E$3-$O$2,$Q$2)/$Q$2))</f>
        <v>3425</v>
      </c>
      <c r="F132" s="15" t="n">
        <f aca="false">E132*(1+IF(F$3&lt;=$O$2,$D132,$D132-($D132-$I$130)*MIN(F$3-$O$2,$Q$2)/$Q$2))</f>
        <v>4281.25</v>
      </c>
      <c r="G132" s="15" t="n">
        <f aca="false">F132*(1+IF(G$3&lt;=$O$2,$D132,$D132-($D132-$I$130)*MIN(G$3-$O$2,$Q$2)/$Q$2))</f>
        <v>5351.5625</v>
      </c>
      <c r="H132" s="15" t="n">
        <f aca="false">G132*(1+IF(H$3&lt;=$O$2,$D132,$D132-($D132-$I$130)*MIN(H$3-$O$2,$Q$2)/$Q$2))</f>
        <v>6689.453125</v>
      </c>
      <c r="I132" s="15" t="n">
        <f aca="false">H132*(1+IF(I$3&lt;=$O$2,$D132,$D132-($D132-$I$130)*MIN(I$3-$O$2,$Q$2)/$Q$2))</f>
        <v>8361.81640625</v>
      </c>
      <c r="J132" s="15" t="n">
        <f aca="false">I132*(1+IF(J$3&lt;=$O$2,$D132,$D132-($D132-$I$130)*MIN(J$3-$O$2,$Q$2)/$Q$2))</f>
        <v>10089.8693847656</v>
      </c>
      <c r="K132" s="15" t="n">
        <f aca="false">J132*(1+IF(K$3&lt;=$O$2,$D132,$D132-($D132-$I$130)*MIN(K$3-$O$2,$Q$2)/$Q$2))</f>
        <v>11737.7468526855</v>
      </c>
      <c r="L132" s="15" t="n">
        <f aca="false">K132*(1+IF(L$3&lt;=$O$2,$D132,$D132-($D132-$I$130)*MIN(L$3-$O$2,$Q$2)/$Q$2))</f>
        <v>13146.0417200708</v>
      </c>
      <c r="M132" s="15" t="n">
        <f aca="false">L132*(1+IF(M$3&lt;=$O$2,$D132,$D132-($D132-$I$130)*MIN(M$3-$O$2,$Q$2)/$Q$2))</f>
        <v>14153.554357497</v>
      </c>
      <c r="N132" s="15" t="n">
        <f aca="false">M132*(1+IF(N$3&lt;=$O$2,$D132,$D132-($D132-$I$130)*MIN(N$3-$O$2,$Q$2)/$Q$2))</f>
        <v>14624.8677176016</v>
      </c>
      <c r="O132" s="15" t="n">
        <f aca="false">SUMPRODUCT(E132:N132,1/(1+$F$130)^$E$3:$N$3)*$E$2</f>
        <v>41047.0825142846</v>
      </c>
      <c r="P132" s="15" t="n">
        <f aca="false">N132*$E$2*(1+$I$130)/($F$130-$I$130)/(1+$F$130)^$N$3</f>
        <v>158288.216363715</v>
      </c>
      <c r="Q132" s="15" t="n">
        <f aca="false">O132+P132</f>
        <v>199335.298878</v>
      </c>
      <c r="R132" s="15" t="n">
        <f aca="false">Q132-$G$2+$I$2</f>
        <v>200105.298878</v>
      </c>
      <c r="S132" s="42" t="n">
        <f aca="false">R132/$K$2</f>
        <v>1916.16679955951</v>
      </c>
      <c r="T132" s="43" t="n">
        <f aca="false">S132-$M$2</f>
        <v>1623.91361560854</v>
      </c>
    </row>
    <row r="133" customFormat="false" ht="15" hidden="false" customHeight="false" outlineLevel="0" collapsed="false">
      <c r="A133" s="5" t="n">
        <v>2</v>
      </c>
      <c r="B133" s="25" t="n">
        <f aca="false">IF(T132&gt;0,B132,D132)</f>
        <v>-0.5</v>
      </c>
      <c r="C133" s="25" t="n">
        <f aca="false">IF(T132&gt;0,D132,C132)</f>
        <v>0.25</v>
      </c>
      <c r="D133" s="41" t="n">
        <f aca="false">(B133+C133)/2</f>
        <v>-0.125</v>
      </c>
      <c r="E133" s="15" t="n">
        <f aca="false">$C$2*(1+IF(E$3&lt;=$O$2,$D133,$D133-($D133-$I$130)*MIN(E$3-$O$2,$Q$2)/$Q$2))</f>
        <v>2397.5</v>
      </c>
      <c r="F133" s="15" t="n">
        <f aca="false">E133*(1+IF(F$3&lt;=$O$2,$D133,$D133-($D133-$I$130)*MIN(F$3-$O$2,$Q$2)/$Q$2))</f>
        <v>2097.8125</v>
      </c>
      <c r="G133" s="15" t="n">
        <f aca="false">F133*(1+IF(G$3&lt;=$O$2,$D133,$D133-($D133-$I$130)*MIN(G$3-$O$2,$Q$2)/$Q$2))</f>
        <v>1835.5859375</v>
      </c>
      <c r="H133" s="15" t="n">
        <f aca="false">G133*(1+IF(H$3&lt;=$O$2,$D133,$D133-($D133-$I$130)*MIN(H$3-$O$2,$Q$2)/$Q$2))</f>
        <v>1606.1376953125</v>
      </c>
      <c r="I133" s="15" t="n">
        <f aca="false">H133*(1+IF(I$3&lt;=$O$2,$D133,$D133-($D133-$I$130)*MIN(I$3-$O$2,$Q$2)/$Q$2))</f>
        <v>1405.37048339844</v>
      </c>
      <c r="J133" s="15" t="n">
        <f aca="false">I133*(1+IF(J$3&lt;=$O$2,$D133,$D133-($D133-$I$130)*MIN(J$3-$O$2,$Q$2)/$Q$2))</f>
        <v>1274.19320247803</v>
      </c>
      <c r="K133" s="15" t="n">
        <f aca="false">J133*(1+IF(K$3&lt;=$O$2,$D133,$D133-($D133-$I$130)*MIN(K$3-$O$2,$Q$2)/$Q$2))</f>
        <v>1195.60096574918</v>
      </c>
      <c r="L133" s="15" t="n">
        <f aca="false">K133*(1+IF(L$3&lt;=$O$2,$D133,$D133-($D133-$I$130)*MIN(L$3-$O$2,$Q$2)/$Q$2))</f>
        <v>1159.70902475739</v>
      </c>
      <c r="M133" s="15" t="n">
        <f aca="false">L133*(1+IF(M$3&lt;=$O$2,$D133,$D133-($D133-$I$130)*MIN(M$3-$O$2,$Q$2)/$Q$2))</f>
        <v>1161.61094755799</v>
      </c>
      <c r="N133" s="15" t="n">
        <f aca="false">M133*(1+IF(N$3&lt;=$O$2,$D133,$D133-($D133-$I$130)*MIN(N$3-$O$2,$Q$2)/$Q$2))</f>
        <v>1200.29259211168</v>
      </c>
      <c r="O133" s="15" t="n">
        <f aca="false">SUMPRODUCT(E133:N133,1/(1+$F$130)^$E$3:$N$3)*$E$2</f>
        <v>7802.13290634542</v>
      </c>
      <c r="P133" s="15" t="n">
        <f aca="false">N133*$E$2*(1+$I$130)/($F$130-$I$130)/(1+$F$130)^$N$3</f>
        <v>12991.0353507864</v>
      </c>
      <c r="Q133" s="15" t="n">
        <f aca="false">O133+P133</f>
        <v>20793.1682571318</v>
      </c>
      <c r="R133" s="15" t="n">
        <f aca="false">Q133-$G$2+$I$2</f>
        <v>21563.1682571318</v>
      </c>
      <c r="S133" s="42" t="n">
        <f aca="false">R133/$K$2</f>
        <v>206.484422648011</v>
      </c>
      <c r="T133" s="43" t="n">
        <f aca="false">S133-$M$2</f>
        <v>-85.7687613029608</v>
      </c>
    </row>
    <row r="134" customFormat="false" ht="15" hidden="false" customHeight="false" outlineLevel="0" collapsed="false">
      <c r="A134" s="5" t="n">
        <v>3</v>
      </c>
      <c r="B134" s="25" t="n">
        <f aca="false">IF(T133&gt;0,B133,D133)</f>
        <v>-0.125</v>
      </c>
      <c r="C134" s="25" t="n">
        <f aca="false">IF(T133&gt;0,D133,C133)</f>
        <v>0.25</v>
      </c>
      <c r="D134" s="41" t="n">
        <f aca="false">(B134+C134)/2</f>
        <v>0.0625</v>
      </c>
      <c r="E134" s="15" t="n">
        <f aca="false">$C$2*(1+IF(E$3&lt;=$O$2,$D134,$D134-($D134-$I$130)*MIN(E$3-$O$2,$Q$2)/$Q$2))</f>
        <v>2911.25</v>
      </c>
      <c r="F134" s="15" t="n">
        <f aca="false">E134*(1+IF(F$3&lt;=$O$2,$D134,$D134-($D134-$I$130)*MIN(F$3-$O$2,$Q$2)/$Q$2))</f>
        <v>3093.203125</v>
      </c>
      <c r="G134" s="15" t="n">
        <f aca="false">F134*(1+IF(G$3&lt;=$O$2,$D134,$D134-($D134-$I$130)*MIN(G$3-$O$2,$Q$2)/$Q$2))</f>
        <v>3286.5283203125</v>
      </c>
      <c r="H134" s="15" t="n">
        <f aca="false">G134*(1+IF(H$3&lt;=$O$2,$D134,$D134-($D134-$I$130)*MIN(H$3-$O$2,$Q$2)/$Q$2))</f>
        <v>3491.93634033203</v>
      </c>
      <c r="I134" s="15" t="n">
        <f aca="false">H134*(1+IF(I$3&lt;=$O$2,$D134,$D134-($D134-$I$130)*MIN(I$3-$O$2,$Q$2)/$Q$2))</f>
        <v>3710.18236160278</v>
      </c>
      <c r="J134" s="15" t="n">
        <f aca="false">I134*(1+IF(J$3&lt;=$O$2,$D134,$D134-($D134-$I$130)*MIN(J$3-$O$2,$Q$2)/$Q$2))</f>
        <v>3920.4012942112</v>
      </c>
      <c r="K134" s="15" t="n">
        <f aca="false">J134*(1+IF(K$3&lt;=$O$2,$D134,$D134-($D134-$I$130)*MIN(K$3-$O$2,$Q$2)/$Q$2))</f>
        <v>4119.63608798301</v>
      </c>
      <c r="L134" s="15" t="n">
        <f aca="false">K134*(1+IF(L$3&lt;=$O$2,$D134,$D134-($D134-$I$130)*MIN(L$3-$O$2,$Q$2)/$Q$2))</f>
        <v>4304.93731922049</v>
      </c>
      <c r="M134" s="15" t="n">
        <f aca="false">L134*(1+IF(M$3&lt;=$O$2,$D134,$D134-($D134-$I$130)*MIN(M$3-$O$2,$Q$2)/$Q$2))</f>
        <v>4473.43256589478</v>
      </c>
      <c r="N134" s="15" t="n">
        <f aca="false">M134*(1+IF(N$3&lt;=$O$2,$D134,$D134-($D134-$I$130)*MIN(N$3-$O$2,$Q$2)/$Q$2))</f>
        <v>4622.39787033907</v>
      </c>
      <c r="O134" s="15" t="n">
        <f aca="false">SUMPRODUCT(E134:N134,1/(1+$F$130)^$E$3:$N$3)*$E$2</f>
        <v>17907.362432453</v>
      </c>
      <c r="P134" s="15" t="n">
        <f aca="false">N134*$E$2*(1+$I$130)/($F$130-$I$130)/(1+$F$130)^$N$3</f>
        <v>50029.2466467106</v>
      </c>
      <c r="Q134" s="15" t="n">
        <f aca="false">O134+P134</f>
        <v>67936.6090791637</v>
      </c>
      <c r="R134" s="15" t="n">
        <f aca="false">Q134-$G$2+$I$2</f>
        <v>68706.6090791637</v>
      </c>
      <c r="S134" s="42" t="n">
        <f aca="false">R134/$K$2</f>
        <v>657.920224831597</v>
      </c>
      <c r="T134" s="43" t="n">
        <f aca="false">S134-$M$2</f>
        <v>365.667040880625</v>
      </c>
    </row>
    <row r="135" customFormat="false" ht="15" hidden="false" customHeight="false" outlineLevel="0" collapsed="false">
      <c r="A135" s="5" t="n">
        <v>4</v>
      </c>
      <c r="B135" s="25" t="n">
        <f aca="false">IF(T134&gt;0,B134,D134)</f>
        <v>-0.125</v>
      </c>
      <c r="C135" s="25" t="n">
        <f aca="false">IF(T134&gt;0,D134,C134)</f>
        <v>0.0625</v>
      </c>
      <c r="D135" s="41" t="n">
        <f aca="false">(B135+C135)/2</f>
        <v>-0.03125</v>
      </c>
      <c r="E135" s="15" t="n">
        <f aca="false">$C$2*(1+IF(E$3&lt;=$O$2,$D135,$D135-($D135-$I$130)*MIN(E$3-$O$2,$Q$2)/$Q$2))</f>
        <v>2654.375</v>
      </c>
      <c r="F135" s="15" t="n">
        <f aca="false">E135*(1+IF(F$3&lt;=$O$2,$D135,$D135-($D135-$I$130)*MIN(F$3-$O$2,$Q$2)/$Q$2))</f>
        <v>2571.42578125</v>
      </c>
      <c r="G135" s="15" t="n">
        <f aca="false">F135*(1+IF(G$3&lt;=$O$2,$D135,$D135-($D135-$I$130)*MIN(G$3-$O$2,$Q$2)/$Q$2))</f>
        <v>2491.06872558594</v>
      </c>
      <c r="H135" s="15" t="n">
        <f aca="false">G135*(1+IF(H$3&lt;=$O$2,$D135,$D135-($D135-$I$130)*MIN(H$3-$O$2,$Q$2)/$Q$2))</f>
        <v>2413.22282791138</v>
      </c>
      <c r="I135" s="15" t="n">
        <f aca="false">H135*(1+IF(I$3&lt;=$O$2,$D135,$D135-($D135-$I$130)*MIN(I$3-$O$2,$Q$2)/$Q$2))</f>
        <v>2337.80961453915</v>
      </c>
      <c r="J135" s="15" t="n">
        <f aca="false">I135*(1+IF(J$3&lt;=$O$2,$D135,$D135-($D135-$I$130)*MIN(J$3-$O$2,$Q$2)/$Q$2))</f>
        <v>2294.9341862085</v>
      </c>
      <c r="K135" s="15" t="n">
        <f aca="false">J135*(1+IF(K$3&lt;=$O$2,$D135,$D135-($D135-$I$130)*MIN(K$3-$O$2,$Q$2)/$Q$2))</f>
        <v>2282.47269357739</v>
      </c>
      <c r="L135" s="15" t="n">
        <f aca="false">K135*(1+IF(L$3&lt;=$O$2,$D135,$D135-($D135-$I$130)*MIN(L$3-$O$2,$Q$2)/$Q$2))</f>
        <v>2299.54558932534</v>
      </c>
      <c r="M135" s="15" t="n">
        <f aca="false">L135*(1+IF(M$3&lt;=$O$2,$D135,$D135-($D135-$I$130)*MIN(M$3-$O$2,$Q$2)/$Q$2))</f>
        <v>2346.43332389169</v>
      </c>
      <c r="N135" s="15" t="n">
        <f aca="false">M135*(1+IF(N$3&lt;=$O$2,$D135,$D135-($D135-$I$130)*MIN(N$3-$O$2,$Q$2)/$Q$2))</f>
        <v>2424.56955357728</v>
      </c>
      <c r="O135" s="15" t="n">
        <f aca="false">SUMPRODUCT(E135:N135,1/(1+$F$130)^$E$3:$N$3)*$E$2</f>
        <v>11791.6285344882</v>
      </c>
      <c r="P135" s="15" t="n">
        <f aca="false">N135*$E$2*(1+$I$130)/($F$130-$I$130)/(1+$F$130)^$N$3</f>
        <v>26241.6588988098</v>
      </c>
      <c r="Q135" s="15" t="n">
        <f aca="false">O135+P135</f>
        <v>38033.287433298</v>
      </c>
      <c r="R135" s="15" t="n">
        <f aca="false">Q135-$G$2+$I$2</f>
        <v>38803.287433298</v>
      </c>
      <c r="S135" s="42" t="n">
        <f aca="false">R135/$K$2</f>
        <v>371.572224775429</v>
      </c>
      <c r="T135" s="43" t="n">
        <f aca="false">S135-$M$2</f>
        <v>79.3190408244565</v>
      </c>
    </row>
    <row r="136" customFormat="false" ht="15" hidden="false" customHeight="false" outlineLevel="0" collapsed="false">
      <c r="A136" s="5" t="n">
        <v>5</v>
      </c>
      <c r="B136" s="25" t="n">
        <f aca="false">IF(T135&gt;0,B135,D135)</f>
        <v>-0.125</v>
      </c>
      <c r="C136" s="25" t="n">
        <f aca="false">IF(T135&gt;0,D135,C135)</f>
        <v>-0.03125</v>
      </c>
      <c r="D136" s="41" t="n">
        <f aca="false">(B136+C136)/2</f>
        <v>-0.078125</v>
      </c>
      <c r="E136" s="15" t="n">
        <f aca="false">$C$2*(1+IF(E$3&lt;=$O$2,$D136,$D136-($D136-$I$130)*MIN(E$3-$O$2,$Q$2)/$Q$2))</f>
        <v>2525.9375</v>
      </c>
      <c r="F136" s="15" t="n">
        <f aca="false">E136*(1+IF(F$3&lt;=$O$2,$D136,$D136-($D136-$I$130)*MIN(F$3-$O$2,$Q$2)/$Q$2))</f>
        <v>2328.5986328125</v>
      </c>
      <c r="G136" s="15" t="n">
        <f aca="false">F136*(1+IF(G$3&lt;=$O$2,$D136,$D136-($D136-$I$130)*MIN(G$3-$O$2,$Q$2)/$Q$2))</f>
        <v>2146.67686462402</v>
      </c>
      <c r="H136" s="15" t="n">
        <f aca="false">G136*(1+IF(H$3&lt;=$O$2,$D136,$D136-($D136-$I$130)*MIN(H$3-$O$2,$Q$2)/$Q$2))</f>
        <v>1978.96773457527</v>
      </c>
      <c r="I136" s="15" t="n">
        <f aca="false">H136*(1+IF(I$3&lt;=$O$2,$D136,$D136-($D136-$I$130)*MIN(I$3-$O$2,$Q$2)/$Q$2))</f>
        <v>1824.36088031158</v>
      </c>
      <c r="J136" s="15" t="n">
        <f aca="false">I136*(1+IF(J$3&lt;=$O$2,$D136,$D136-($D136-$I$130)*MIN(J$3-$O$2,$Q$2)/$Q$2))</f>
        <v>1722.48856875498</v>
      </c>
      <c r="K136" s="15" t="n">
        <f aca="false">J136*(1+IF(K$3&lt;=$O$2,$D136,$D136-($D136-$I$130)*MIN(K$3-$O$2,$Q$2)/$Q$2))</f>
        <v>1664.69046483041</v>
      </c>
      <c r="L136" s="15" t="n">
        <f aca="false">K136*(1+IF(L$3&lt;=$O$2,$D136,$D136-($D136-$I$130)*MIN(L$3-$O$2,$Q$2)/$Q$2))</f>
        <v>1645.92940329177</v>
      </c>
      <c r="M136" s="15" t="n">
        <f aca="false">L136*(1+IF(M$3&lt;=$O$2,$D136,$D136-($D136-$I$130)*MIN(M$3-$O$2,$Q$2)/$Q$2))</f>
        <v>1664.05931566903</v>
      </c>
      <c r="N136" s="15" t="n">
        <f aca="false">M136*(1+IF(N$3&lt;=$O$2,$D136,$D136-($D136-$I$130)*MIN(N$3-$O$2,$Q$2)/$Q$2))</f>
        <v>1719.47249088081</v>
      </c>
      <c r="O136" s="15" t="n">
        <f aca="false">SUMPRODUCT(E136:N136,1/(1+$F$130)^$E$3:$N$3)*$E$2</f>
        <v>9582.4790986696</v>
      </c>
      <c r="P136" s="15" t="n">
        <f aca="false">N136*$E$2*(1+$I$130)/($F$130-$I$130)/(1+$F$130)^$N$3</f>
        <v>18610.2355880065</v>
      </c>
      <c r="Q136" s="15" t="n">
        <f aca="false">O136+P136</f>
        <v>28192.7146866761</v>
      </c>
      <c r="R136" s="15" t="n">
        <f aca="false">Q136-$G$2+$I$2</f>
        <v>28962.7146866761</v>
      </c>
      <c r="S136" s="42" t="n">
        <f aca="false">R136/$K$2</f>
        <v>277.340943087964</v>
      </c>
      <c r="T136" s="43" t="n">
        <f aca="false">S136-$M$2</f>
        <v>-14.9122408630078</v>
      </c>
    </row>
    <row r="137" customFormat="false" ht="15" hidden="false" customHeight="false" outlineLevel="0" collapsed="false">
      <c r="A137" s="5" t="n">
        <v>6</v>
      </c>
      <c r="B137" s="25" t="n">
        <f aca="false">IF(T136&gt;0,B136,D136)</f>
        <v>-0.078125</v>
      </c>
      <c r="C137" s="25" t="n">
        <f aca="false">IF(T136&gt;0,D136,C136)</f>
        <v>-0.03125</v>
      </c>
      <c r="D137" s="41" t="n">
        <f aca="false">(B137+C137)/2</f>
        <v>-0.0546875</v>
      </c>
      <c r="E137" s="15" t="n">
        <f aca="false">$C$2*(1+IF(E$3&lt;=$O$2,$D137,$D137-($D137-$I$130)*MIN(E$3-$O$2,$Q$2)/$Q$2))</f>
        <v>2590.15625</v>
      </c>
      <c r="F137" s="15" t="n">
        <f aca="false">E137*(1+IF(F$3&lt;=$O$2,$D137,$D137-($D137-$I$130)*MIN(F$3-$O$2,$Q$2)/$Q$2))</f>
        <v>2448.50708007813</v>
      </c>
      <c r="G137" s="15" t="n">
        <f aca="false">F137*(1+IF(G$3&lt;=$O$2,$D137,$D137-($D137-$I$130)*MIN(G$3-$O$2,$Q$2)/$Q$2))</f>
        <v>2314.60434913635</v>
      </c>
      <c r="H137" s="15" t="n">
        <f aca="false">G137*(1+IF(H$3&lt;=$O$2,$D137,$D137-($D137-$I$130)*MIN(H$3-$O$2,$Q$2)/$Q$2))</f>
        <v>2188.02442379296</v>
      </c>
      <c r="I137" s="15" t="n">
        <f aca="false">H137*(1+IF(I$3&lt;=$O$2,$D137,$D137-($D137-$I$130)*MIN(I$3-$O$2,$Q$2)/$Q$2))</f>
        <v>2068.36683811678</v>
      </c>
      <c r="J137" s="15" t="n">
        <f aca="false">I137*(1+IF(J$3&lt;=$O$2,$D137,$D137-($D137-$I$130)*MIN(J$3-$O$2,$Q$2)/$Q$2))</f>
        <v>1991.65111209103</v>
      </c>
      <c r="K137" s="15" t="n">
        <f aca="false">J137*(1+IF(K$3&lt;=$O$2,$D137,$D137-($D137-$I$130)*MIN(K$3-$O$2,$Q$2)/$Q$2))</f>
        <v>1952.8288527886</v>
      </c>
      <c r="L137" s="15" t="n">
        <f aca="false">K137*(1+IF(L$3&lt;=$O$2,$D137,$D137-($D137-$I$130)*MIN(L$3-$O$2,$Q$2)/$Q$2))</f>
        <v>1949.12824211256</v>
      </c>
      <c r="M137" s="15" t="n">
        <f aca="false">L137*(1+IF(M$3&lt;=$O$2,$D137,$D137-($D137-$I$130)*MIN(M$3-$O$2,$Q$2)/$Q$2))</f>
        <v>1979.73442833433</v>
      </c>
      <c r="N137" s="15" t="n">
        <f aca="false">M137*(1+IF(N$3&lt;=$O$2,$D137,$D137-($D137-$I$130)*MIN(N$3-$O$2,$Q$2)/$Q$2))</f>
        <v>2045.65958479787</v>
      </c>
      <c r="O137" s="15" t="n">
        <f aca="false">SUMPRODUCT(E137:N137,1/(1+$F$130)^$E$3:$N$3)*$E$2</f>
        <v>10627.7424149476</v>
      </c>
      <c r="P137" s="15" t="n">
        <f aca="false">N137*$E$2*(1+$I$130)/($F$130-$I$130)/(1+$F$130)^$N$3</f>
        <v>22140.6315063815</v>
      </c>
      <c r="Q137" s="15" t="n">
        <f aca="false">O137+P137</f>
        <v>32768.3739213291</v>
      </c>
      <c r="R137" s="15" t="n">
        <f aca="false">Q137-$G$2+$I$2</f>
        <v>33538.3739213291</v>
      </c>
      <c r="S137" s="42" t="n">
        <f aca="false">R137/$K$2</f>
        <v>321.156505997598</v>
      </c>
      <c r="T137" s="43" t="n">
        <f aca="false">S137-$M$2</f>
        <v>28.9033220466256</v>
      </c>
    </row>
    <row r="138" customFormat="false" ht="15" hidden="false" customHeight="false" outlineLevel="0" collapsed="false">
      <c r="A138" s="5" t="n">
        <v>7</v>
      </c>
      <c r="B138" s="25" t="n">
        <f aca="false">IF(T137&gt;0,B137,D137)</f>
        <v>-0.078125</v>
      </c>
      <c r="C138" s="25" t="n">
        <f aca="false">IF(T137&gt;0,D137,C137)</f>
        <v>-0.0546875</v>
      </c>
      <c r="D138" s="41" t="n">
        <f aca="false">(B138+C138)/2</f>
        <v>-0.06640625</v>
      </c>
      <c r="E138" s="15" t="n">
        <f aca="false">$C$2*(1+IF(E$3&lt;=$O$2,$D138,$D138-($D138-$I$130)*MIN(E$3-$O$2,$Q$2)/$Q$2))</f>
        <v>2558.046875</v>
      </c>
      <c r="F138" s="15" t="n">
        <f aca="false">E138*(1+IF(F$3&lt;=$O$2,$D138,$D138-($D138-$I$130)*MIN(F$3-$O$2,$Q$2)/$Q$2))</f>
        <v>2388.17657470703</v>
      </c>
      <c r="G138" s="15" t="n">
        <f aca="false">F138*(1+IF(G$3&lt;=$O$2,$D138,$D138-($D138-$I$130)*MIN(G$3-$O$2,$Q$2)/$Q$2))</f>
        <v>2229.58672404289</v>
      </c>
      <c r="H138" s="15" t="n">
        <f aca="false">G138*(1+IF(H$3&lt;=$O$2,$D138,$D138-($D138-$I$130)*MIN(H$3-$O$2,$Q$2)/$Q$2))</f>
        <v>2081.52823064942</v>
      </c>
      <c r="I138" s="15" t="n">
        <f aca="false">H138*(1+IF(I$3&lt;=$O$2,$D138,$D138-($D138-$I$130)*MIN(I$3-$O$2,$Q$2)/$Q$2))</f>
        <v>1943.30174658286</v>
      </c>
      <c r="J138" s="15" t="n">
        <f aca="false">I138*(1+IF(J$3&lt;=$O$2,$D138,$D138-($D138-$I$130)*MIN(J$3-$O$2,$Q$2)/$Q$2))</f>
        <v>1853.00623092788</v>
      </c>
      <c r="K138" s="15" t="n">
        <f aca="false">J138*(1+IF(K$3&lt;=$O$2,$D138,$D138-($D138-$I$130)*MIN(K$3-$O$2,$Q$2)/$Q$2))</f>
        <v>1803.85755691031</v>
      </c>
      <c r="L138" s="15" t="n">
        <f aca="false">K138*(1+IF(L$3&lt;=$O$2,$D138,$D138-($D138-$I$130)*MIN(L$3-$O$2,$Q$2)/$Q$2))</f>
        <v>1791.98366454195</v>
      </c>
      <c r="M138" s="15" t="n">
        <f aca="false">L138*(1+IF(M$3&lt;=$O$2,$D138,$D138-($D138-$I$130)*MIN(M$3-$O$2,$Q$2)/$Q$2))</f>
        <v>1815.92232632065</v>
      </c>
      <c r="N138" s="15" t="n">
        <f aca="false">M138*(1+IF(N$3&lt;=$O$2,$D138,$D138-($D138-$I$130)*MIN(N$3-$O$2,$Q$2)/$Q$2))</f>
        <v>1876.39253978713</v>
      </c>
      <c r="O138" s="15" t="n">
        <f aca="false">SUMPRODUCT(E138:N138,1/(1+$F$130)^$E$3:$N$3)*$E$2</f>
        <v>10091.0376497241</v>
      </c>
      <c r="P138" s="15" t="n">
        <f aca="false">N138*$E$2*(1+$I$130)/($F$130-$I$130)/(1+$F$130)^$N$3</f>
        <v>20308.6163961416</v>
      </c>
      <c r="Q138" s="15" t="n">
        <f aca="false">O138+P138</f>
        <v>30399.6540458656</v>
      </c>
      <c r="R138" s="15" t="n">
        <f aca="false">Q138-$G$2+$I$2</f>
        <v>31169.6540458656</v>
      </c>
      <c r="S138" s="42" t="n">
        <f aca="false">R138/$K$2</f>
        <v>298.474136223936</v>
      </c>
      <c r="T138" s="43" t="n">
        <f aca="false">S138-$M$2</f>
        <v>6.22095227296398</v>
      </c>
    </row>
    <row r="139" customFormat="false" ht="15" hidden="false" customHeight="false" outlineLevel="0" collapsed="false">
      <c r="A139" s="5" t="n">
        <v>8</v>
      </c>
      <c r="B139" s="25" t="n">
        <f aca="false">IF(T138&gt;0,B138,D138)</f>
        <v>-0.078125</v>
      </c>
      <c r="C139" s="25" t="n">
        <f aca="false">IF(T138&gt;0,D138,C138)</f>
        <v>-0.06640625</v>
      </c>
      <c r="D139" s="41" t="n">
        <f aca="false">(B139+C139)/2</f>
        <v>-0.072265625</v>
      </c>
      <c r="E139" s="15" t="n">
        <f aca="false">$C$2*(1+IF(E$3&lt;=$O$2,$D139,$D139-($D139-$I$130)*MIN(E$3-$O$2,$Q$2)/$Q$2))</f>
        <v>2541.9921875</v>
      </c>
      <c r="F139" s="15" t="n">
        <f aca="false">E139*(1+IF(F$3&lt;=$O$2,$D139,$D139-($D139-$I$130)*MIN(F$3-$O$2,$Q$2)/$Q$2))</f>
        <v>2358.2935333252</v>
      </c>
      <c r="G139" s="15" t="n">
        <f aca="false">F139*(1+IF(G$3&lt;=$O$2,$D139,$D139-($D139-$I$130)*MIN(G$3-$O$2,$Q$2)/$Q$2))</f>
        <v>2187.86997720599</v>
      </c>
      <c r="H139" s="15" t="n">
        <f aca="false">G139*(1+IF(H$3&lt;=$O$2,$D139,$D139-($D139-$I$130)*MIN(H$3-$O$2,$Q$2)/$Q$2))</f>
        <v>2029.76218588447</v>
      </c>
      <c r="I139" s="15" t="n">
        <f aca="false">H139*(1+IF(I$3&lt;=$O$2,$D139,$D139-($D139-$I$130)*MIN(I$3-$O$2,$Q$2)/$Q$2))</f>
        <v>1883.08015292016</v>
      </c>
      <c r="J139" s="15" t="n">
        <f aca="false">I139*(1+IF(J$3&lt;=$O$2,$D139,$D139-($D139-$I$130)*MIN(J$3-$O$2,$Q$2)/$Q$2))</f>
        <v>1786.75589539791</v>
      </c>
      <c r="K139" s="15" t="n">
        <f aca="false">J139*(1+IF(K$3&lt;=$O$2,$D139,$D139-($D139-$I$130)*MIN(K$3-$O$2,$Q$2)/$Q$2))</f>
        <v>1733.08286502259</v>
      </c>
      <c r="L139" s="15" t="n">
        <f aca="false">K139*(1+IF(L$3&lt;=$O$2,$D139,$D139-($D139-$I$130)*MIN(L$3-$O$2,$Q$2)/$Q$2))</f>
        <v>1717.61293409868</v>
      </c>
      <c r="M139" s="15" t="n">
        <f aca="false">L139*(1+IF(M$3&lt;=$O$2,$D139,$D139-($D139-$I$130)*MIN(M$3-$O$2,$Q$2)/$Q$2))</f>
        <v>1738.54526822493</v>
      </c>
      <c r="N139" s="15" t="n">
        <f aca="false">M139*(1+IF(N$3&lt;=$O$2,$D139,$D139-($D139-$I$130)*MIN(N$3-$O$2,$Q$2)/$Q$2))</f>
        <v>1796.43882565682</v>
      </c>
      <c r="O139" s="15" t="n">
        <f aca="false">SUMPRODUCT(E139:N139,1/(1+$F$130)^$E$3:$N$3)*$E$2</f>
        <v>9833.33074302538</v>
      </c>
      <c r="P139" s="15" t="n">
        <f aca="false">N139*$E$2*(1+$I$130)/($F$130-$I$130)/(1+$F$130)^$N$3</f>
        <v>19443.2594544094</v>
      </c>
      <c r="Q139" s="15" t="n">
        <f aca="false">O139+P139</f>
        <v>29276.5901974348</v>
      </c>
      <c r="R139" s="15" t="n">
        <f aca="false">Q139-$G$2+$I$2</f>
        <v>30046.5901974348</v>
      </c>
      <c r="S139" s="42" t="n">
        <f aca="false">R139/$K$2</f>
        <v>287.719909962988</v>
      </c>
      <c r="T139" s="43" t="n">
        <f aca="false">S139-$M$2</f>
        <v>-4.53327398798439</v>
      </c>
    </row>
    <row r="140" customFormat="false" ht="15" hidden="false" customHeight="false" outlineLevel="0" collapsed="false">
      <c r="A140" s="5" t="n">
        <v>9</v>
      </c>
      <c r="B140" s="25" t="n">
        <f aca="false">IF(T139&gt;0,B139,D139)</f>
        <v>-0.072265625</v>
      </c>
      <c r="C140" s="25" t="n">
        <f aca="false">IF(T139&gt;0,D139,C139)</f>
        <v>-0.06640625</v>
      </c>
      <c r="D140" s="41" t="n">
        <f aca="false">(B140+C140)/2</f>
        <v>-0.0693359375</v>
      </c>
      <c r="E140" s="15" t="n">
        <f aca="false">$C$2*(1+IF(E$3&lt;=$O$2,$D140,$D140-($D140-$I$130)*MIN(E$3-$O$2,$Q$2)/$Q$2))</f>
        <v>2550.01953125</v>
      </c>
      <c r="F140" s="15" t="n">
        <f aca="false">E140*(1+IF(F$3&lt;=$O$2,$D140,$D140-($D140-$I$130)*MIN(F$3-$O$2,$Q$2)/$Q$2))</f>
        <v>2373.21153640747</v>
      </c>
      <c r="G140" s="15" t="n">
        <f aca="false">F140*(1+IF(G$3&lt;=$O$2,$D140,$D140-($D140-$I$130)*MIN(G$3-$O$2,$Q$2)/$Q$2))</f>
        <v>2208.66268964484</v>
      </c>
      <c r="H140" s="15" t="n">
        <f aca="false">G140*(1+IF(H$3&lt;=$O$2,$D140,$D140-($D140-$I$130)*MIN(H$3-$O$2,$Q$2)/$Q$2))</f>
        <v>2055.52299143705</v>
      </c>
      <c r="I140" s="15" t="n">
        <f aca="false">H140*(1+IF(I$3&lt;=$O$2,$D140,$D140-($D140-$I$130)*MIN(I$3-$O$2,$Q$2)/$Q$2))</f>
        <v>1913.00137777295</v>
      </c>
      <c r="J140" s="15" t="n">
        <f aca="false">I140*(1+IF(J$3&lt;=$O$2,$D140,$D140-($D140-$I$130)*MIN(J$3-$O$2,$Q$2)/$Q$2))</f>
        <v>1819.63017177558</v>
      </c>
      <c r="K140" s="15" t="n">
        <f aca="false">J140*(1+IF(K$3&lt;=$O$2,$D140,$D140-($D140-$I$130)*MIN(K$3-$O$2,$Q$2)/$Q$2))</f>
        <v>1768.16818734562</v>
      </c>
      <c r="L140" s="15" t="n">
        <f aca="false">K140*(1+IF(L$3&lt;=$O$2,$D140,$D140-($D140-$I$130)*MIN(L$3-$O$2,$Q$2)/$Q$2))</f>
        <v>1754.45714815787</v>
      </c>
      <c r="M140" s="15" t="n">
        <f aca="false">L140*(1+IF(M$3&lt;=$O$2,$D140,$D140-($D140-$I$130)*MIN(M$3-$O$2,$Q$2)/$Q$2))</f>
        <v>1776.86650035058</v>
      </c>
      <c r="N140" s="15" t="n">
        <f aca="false">M140*(1+IF(N$3&lt;=$O$2,$D140,$D140-($D140-$I$130)*MIN(N$3-$O$2,$Q$2)/$Q$2))</f>
        <v>1836.03615481225</v>
      </c>
      <c r="O140" s="15" t="n">
        <f aca="false">SUMPRODUCT(E140:N140,1/(1+$F$130)^$E$3:$N$3)*$E$2</f>
        <v>9961.31611893892</v>
      </c>
      <c r="P140" s="15" t="n">
        <f aca="false">N140*$E$2*(1+$I$130)/($F$130-$I$130)/(1+$F$130)^$N$3</f>
        <v>19871.83020977</v>
      </c>
      <c r="Q140" s="15" t="n">
        <f aca="false">O140+P140</f>
        <v>29833.1463287089</v>
      </c>
      <c r="R140" s="15" t="n">
        <f aca="false">Q140-$G$2+$I$2</f>
        <v>30603.1463287089</v>
      </c>
      <c r="S140" s="42" t="n">
        <f aca="false">R140/$K$2</f>
        <v>293.049375933246</v>
      </c>
      <c r="T140" s="43" t="n">
        <f aca="false">S140-$M$2</f>
        <v>0.796191982274195</v>
      </c>
    </row>
    <row r="141" customFormat="false" ht="15" hidden="false" customHeight="false" outlineLevel="0" collapsed="false">
      <c r="A141" s="5" t="n">
        <v>10</v>
      </c>
      <c r="B141" s="25" t="n">
        <f aca="false">IF(T140&gt;0,B140,D140)</f>
        <v>-0.072265625</v>
      </c>
      <c r="C141" s="25" t="n">
        <f aca="false">IF(T140&gt;0,D140,C140)</f>
        <v>-0.0693359375</v>
      </c>
      <c r="D141" s="41" t="n">
        <f aca="false">(B141+C141)/2</f>
        <v>-0.07080078125</v>
      </c>
      <c r="E141" s="15" t="n">
        <f aca="false">$C$2*(1+IF(E$3&lt;=$O$2,$D141,$D141-($D141-$I$130)*MIN(E$3-$O$2,$Q$2)/$Q$2))</f>
        <v>2546.005859375</v>
      </c>
      <c r="F141" s="15" t="n">
        <f aca="false">E141*(1+IF(F$3&lt;=$O$2,$D141,$D141-($D141-$I$130)*MIN(F$3-$O$2,$Q$2)/$Q$2))</f>
        <v>2365.74665546417</v>
      </c>
      <c r="G141" s="15" t="n">
        <f aca="false">F141*(1+IF(G$3&lt;=$O$2,$D141,$D141-($D141-$I$130)*MIN(G$3-$O$2,$Q$2)/$Q$2))</f>
        <v>2198.24994401773</v>
      </c>
      <c r="H141" s="15" t="n">
        <f aca="false">G141*(1+IF(H$3&lt;=$O$2,$D141,$D141-($D141-$I$130)*MIN(H$3-$O$2,$Q$2)/$Q$2))</f>
        <v>2042.61213059851</v>
      </c>
      <c r="I141" s="15" t="n">
        <f aca="false">H141*(1+IF(I$3&lt;=$O$2,$D141,$D141-($D141-$I$130)*MIN(I$3-$O$2,$Q$2)/$Q$2))</f>
        <v>1897.99359596141</v>
      </c>
      <c r="J141" s="15" t="n">
        <f aca="false">I141*(1+IF(J$3&lt;=$O$2,$D141,$D141-($D141-$I$130)*MIN(J$3-$O$2,$Q$2)/$Q$2))</f>
        <v>1803.13068978926</v>
      </c>
      <c r="K141" s="15" t="n">
        <f aca="false">J141*(1+IF(K$3&lt;=$O$2,$D141,$D141-($D141-$I$130)*MIN(K$3-$O$2,$Q$2)/$Q$2))</f>
        <v>1750.55055365749</v>
      </c>
      <c r="L141" s="15" t="n">
        <f aca="false">K141*(1+IF(L$3&lt;=$O$2,$D141,$D141-($D141-$I$130)*MIN(L$3-$O$2,$Q$2)/$Q$2))</f>
        <v>1735.95041499294</v>
      </c>
      <c r="M141" s="15" t="n">
        <f aca="false">L141*(1+IF(M$3&lt;=$O$2,$D141,$D141-($D141-$I$130)*MIN(M$3-$O$2,$Q$2)/$Q$2))</f>
        <v>1757.6148049298</v>
      </c>
      <c r="N141" s="15" t="n">
        <f aca="false">M141*(1+IF(N$3&lt;=$O$2,$D141,$D141-($D141-$I$130)*MIN(N$3-$O$2,$Q$2)/$Q$2))</f>
        <v>1816.14337793397</v>
      </c>
      <c r="O141" s="15" t="n">
        <f aca="false">SUMPRODUCT(E141:N141,1/(1+$F$130)^$E$3:$N$3)*$E$2</f>
        <v>9897.10781779055</v>
      </c>
      <c r="P141" s="15" t="n">
        <f aca="false">N141*$E$2*(1+$I$130)/($F$130-$I$130)/(1+$F$130)^$N$3</f>
        <v>19656.5262335982</v>
      </c>
      <c r="Q141" s="15" t="n">
        <f aca="false">O141+P141</f>
        <v>29553.6340513888</v>
      </c>
      <c r="R141" s="15" t="n">
        <f aca="false">Q141-$G$2+$I$2</f>
        <v>30323.6340513888</v>
      </c>
      <c r="S141" s="42" t="n">
        <f aca="false">R141/$K$2</f>
        <v>290.372824393266</v>
      </c>
      <c r="T141" s="43" t="n">
        <f aca="false">S141-$M$2</f>
        <v>-1.88035955770607</v>
      </c>
    </row>
    <row r="142" customFormat="false" ht="15" hidden="false" customHeight="false" outlineLevel="0" collapsed="false">
      <c r="A142" s="5" t="n">
        <v>11</v>
      </c>
      <c r="B142" s="25" t="n">
        <f aca="false">IF(T141&gt;0,B141,D141)</f>
        <v>-0.07080078125</v>
      </c>
      <c r="C142" s="25" t="n">
        <f aca="false">IF(T141&gt;0,D141,C141)</f>
        <v>-0.0693359375</v>
      </c>
      <c r="D142" s="41" t="n">
        <f aca="false">(B142+C142)/2</f>
        <v>-0.070068359375</v>
      </c>
      <c r="E142" s="15" t="n">
        <f aca="false">$C$2*(1+IF(E$3&lt;=$O$2,$D142,$D142-($D142-$I$130)*MIN(E$3-$O$2,$Q$2)/$Q$2))</f>
        <v>2548.0126953125</v>
      </c>
      <c r="F142" s="15" t="n">
        <f aca="false">E142*(1+IF(F$3&lt;=$O$2,$D142,$D142-($D142-$I$130)*MIN(F$3-$O$2,$Q$2)/$Q$2))</f>
        <v>2369.47762608528</v>
      </c>
      <c r="G142" s="15" t="n">
        <f aca="false">F142*(1+IF(G$3&lt;=$O$2,$D142,$D142-($D142-$I$130)*MIN(G$3-$O$2,$Q$2)/$Q$2))</f>
        <v>2203.45221624972</v>
      </c>
      <c r="H142" s="15" t="n">
        <f aca="false">G142*(1+IF(H$3&lt;=$O$2,$D142,$D142-($D142-$I$130)*MIN(H$3-$O$2,$Q$2)/$Q$2))</f>
        <v>2049.05993449589</v>
      </c>
      <c r="I142" s="15" t="n">
        <f aca="false">H142*(1+IF(I$3&lt;=$O$2,$D142,$D142-($D142-$I$130)*MIN(I$3-$O$2,$Q$2)/$Q$2))</f>
        <v>1905.48566662472</v>
      </c>
      <c r="J142" s="15" t="n">
        <f aca="false">I142*(1+IF(J$3&lt;=$O$2,$D142,$D142-($D142-$I$130)*MIN(J$3-$O$2,$Q$2)/$Q$2))</f>
        <v>1811.36479758606</v>
      </c>
      <c r="K142" s="15" t="n">
        <f aca="false">J142*(1+IF(K$3&lt;=$O$2,$D142,$D142-($D142-$I$130)*MIN(K$3-$O$2,$Q$2)/$Q$2))</f>
        <v>1759.34056093202</v>
      </c>
      <c r="L142" s="15" t="n">
        <f aca="false">K142*(1+IF(L$3&lt;=$O$2,$D142,$D142-($D142-$I$130)*MIN(L$3-$O$2,$Q$2)/$Q$2))</f>
        <v>1745.18254266488</v>
      </c>
      <c r="M142" s="15" t="n">
        <f aca="false">L142*(1+IF(M$3&lt;=$O$2,$D142,$D142-($D142-$I$130)*MIN(M$3-$O$2,$Q$2)/$Q$2))</f>
        <v>1767.21779008659</v>
      </c>
      <c r="N142" s="15" t="n">
        <f aca="false">M142*(1+IF(N$3&lt;=$O$2,$D142,$D142-($D142-$I$130)*MIN(N$3-$O$2,$Q$2)/$Q$2))</f>
        <v>1826.06614249647</v>
      </c>
      <c r="O142" s="15" t="n">
        <f aca="false">SUMPRODUCT(E142:N142,1/(1+$F$130)^$E$3:$N$3)*$E$2</f>
        <v>9929.15788992177</v>
      </c>
      <c r="P142" s="15" t="n">
        <f aca="false">N142*$E$2*(1+$I$130)/($F$130-$I$130)/(1+$F$130)^$N$3</f>
        <v>19763.9225351802</v>
      </c>
      <c r="Q142" s="15" t="n">
        <f aca="false">O142+P142</f>
        <v>29693.080425102</v>
      </c>
      <c r="R142" s="15" t="n">
        <f aca="false">Q142-$G$2+$I$2</f>
        <v>30463.080425102</v>
      </c>
      <c r="S142" s="42" t="n">
        <f aca="false">R142/$K$2</f>
        <v>291.708133918433</v>
      </c>
      <c r="T142" s="43" t="n">
        <f aca="false">S142-$M$2</f>
        <v>-0.545050032538825</v>
      </c>
    </row>
    <row r="143" customFormat="false" ht="15" hidden="false" customHeight="false" outlineLevel="0" collapsed="false">
      <c r="A143" s="5" t="n">
        <v>12</v>
      </c>
      <c r="B143" s="25" t="n">
        <f aca="false">IF(T142&gt;0,B142,D142)</f>
        <v>-0.070068359375</v>
      </c>
      <c r="C143" s="25" t="n">
        <f aca="false">IF(T142&gt;0,D142,C142)</f>
        <v>-0.0693359375</v>
      </c>
      <c r="D143" s="41" t="n">
        <f aca="false">(B143+C143)/2</f>
        <v>-0.0697021484375</v>
      </c>
      <c r="E143" s="15" t="n">
        <f aca="false">$C$2*(1+IF(E$3&lt;=$O$2,$D143,$D143-($D143-$I$130)*MIN(E$3-$O$2,$Q$2)/$Q$2))</f>
        <v>2549.01611328125</v>
      </c>
      <c r="F143" s="15" t="n">
        <f aca="false">E143*(1+IF(F$3&lt;=$O$2,$D143,$D143-($D143-$I$130)*MIN(F$3-$O$2,$Q$2)/$Q$2))</f>
        <v>2371.34421378374</v>
      </c>
      <c r="G143" s="15" t="n">
        <f aca="false">F143*(1+IF(G$3&lt;=$O$2,$D143,$D143-($D143-$I$130)*MIN(G$3-$O$2,$Q$2)/$Q$2))</f>
        <v>2206.05642739818</v>
      </c>
      <c r="H143" s="15" t="n">
        <f aca="false">G143*(1+IF(H$3&lt;=$O$2,$D143,$D143-($D143-$I$130)*MIN(H$3-$O$2,$Q$2)/$Q$2))</f>
        <v>2052.28955483417</v>
      </c>
      <c r="I143" s="15" t="n">
        <f aca="false">H143*(1+IF(I$3&lt;=$O$2,$D143,$D143-($D143-$I$130)*MIN(I$3-$O$2,$Q$2)/$Q$2))</f>
        <v>1909.24056364639</v>
      </c>
      <c r="J143" s="15" t="n">
        <f aca="false">I143*(1+IF(J$3&lt;=$O$2,$D143,$D143-($D143-$I$130)*MIN(J$3-$O$2,$Q$2)/$Q$2))</f>
        <v>1815.49357046413</v>
      </c>
      <c r="K143" s="15" t="n">
        <f aca="false">J143*(1+IF(K$3&lt;=$O$2,$D143,$D143-($D143-$I$130)*MIN(K$3-$O$2,$Q$2)/$Q$2))</f>
        <v>1763.74966342122</v>
      </c>
      <c r="L143" s="15" t="n">
        <f aca="false">K143*(1+IF(L$3&lt;=$O$2,$D143,$D143-($D143-$I$130)*MIN(L$3-$O$2,$Q$2)/$Q$2))</f>
        <v>1749.81452535783</v>
      </c>
      <c r="M143" s="15" t="n">
        <f aca="false">L143*(1+IF(M$3&lt;=$O$2,$D143,$D143-($D143-$I$130)*MIN(M$3-$O$2,$Q$2)/$Q$2))</f>
        <v>1772.03641795644</v>
      </c>
      <c r="N143" s="15" t="n">
        <f aca="false">M143*(1+IF(N$3&lt;=$O$2,$D143,$D143-($D143-$I$130)*MIN(N$3-$O$2,$Q$2)/$Q$2))</f>
        <v>1831.04523067439</v>
      </c>
      <c r="O143" s="15" t="n">
        <f aca="false">SUMPRODUCT(E143:N143,1/(1+$F$130)^$E$3:$N$3)*$E$2</f>
        <v>9945.22346287183</v>
      </c>
      <c r="P143" s="15" t="n">
        <f aca="false">N143*$E$2*(1+$I$130)/($F$130-$I$130)/(1+$F$130)^$N$3</f>
        <v>19817.8123208535</v>
      </c>
      <c r="Q143" s="15" t="n">
        <f aca="false">O143+P143</f>
        <v>29763.0357837253</v>
      </c>
      <c r="R143" s="15" t="n">
        <f aca="false">Q143-$G$2+$I$2</f>
        <v>30533.0357837253</v>
      </c>
      <c r="S143" s="42" t="n">
        <f aca="false">R143/$K$2</f>
        <v>292.378011909655</v>
      </c>
      <c r="T143" s="43" t="n">
        <f aca="false">S143-$M$2</f>
        <v>0.124827958682999</v>
      </c>
    </row>
    <row r="144" customFormat="false" ht="15" hidden="false" customHeight="false" outlineLevel="0" collapsed="false">
      <c r="A144" s="5" t="n">
        <v>13</v>
      </c>
      <c r="B144" s="25" t="n">
        <f aca="false">IF(T143&gt;0,B143,D143)</f>
        <v>-0.070068359375</v>
      </c>
      <c r="C144" s="25" t="n">
        <f aca="false">IF(T143&gt;0,D143,C143)</f>
        <v>-0.0697021484375</v>
      </c>
      <c r="D144" s="41" t="n">
        <f aca="false">(B144+C144)/2</f>
        <v>-0.06988525390625</v>
      </c>
      <c r="E144" s="15" t="n">
        <f aca="false">$C$2*(1+IF(E$3&lt;=$O$2,$D144,$D144-($D144-$I$130)*MIN(E$3-$O$2,$Q$2)/$Q$2))</f>
        <v>2548.51440429688</v>
      </c>
      <c r="F144" s="15" t="n">
        <f aca="false">E144*(1+IF(F$3&lt;=$O$2,$D144,$D144-($D144-$I$130)*MIN(F$3-$O$2,$Q$2)/$Q$2))</f>
        <v>2370.41082806885</v>
      </c>
      <c r="G144" s="15" t="n">
        <f aca="false">F144*(1+IF(G$3&lt;=$O$2,$D144,$D144-($D144-$I$130)*MIN(G$3-$O$2,$Q$2)/$Q$2))</f>
        <v>2204.75406548714</v>
      </c>
      <c r="H144" s="15" t="n">
        <f aca="false">G144*(1+IF(H$3&lt;=$O$2,$D144,$D144-($D144-$I$130)*MIN(H$3-$O$2,$Q$2)/$Q$2))</f>
        <v>2050.67426781973</v>
      </c>
      <c r="I144" s="15" t="n">
        <f aca="false">H144*(1+IF(I$3&lt;=$O$2,$D144,$D144-($D144-$I$130)*MIN(I$3-$O$2,$Q$2)/$Q$2))</f>
        <v>1907.36237593414</v>
      </c>
      <c r="J144" s="15" t="n">
        <f aca="false">I144*(1+IF(J$3&lt;=$O$2,$D144,$D144-($D144-$I$130)*MIN(J$3-$O$2,$Q$2)/$Q$2))</f>
        <v>1813.42820621115</v>
      </c>
      <c r="K144" s="15" t="n">
        <f aca="false">J144*(1+IF(K$3&lt;=$O$2,$D144,$D144-($D144-$I$130)*MIN(K$3-$O$2,$Q$2)/$Q$2))</f>
        <v>1761.54393553879</v>
      </c>
      <c r="L144" s="15" t="n">
        <f aca="false">K144*(1+IF(L$3&lt;=$O$2,$D144,$D144-($D144-$I$130)*MIN(L$3-$O$2,$Q$2)/$Q$2))</f>
        <v>1747.49720529</v>
      </c>
      <c r="M144" s="15" t="n">
        <f aca="false">L144*(1+IF(M$3&lt;=$O$2,$D144,$D144-($D144-$I$130)*MIN(M$3-$O$2,$Q$2)/$Q$2))</f>
        <v>1769.62567366049</v>
      </c>
      <c r="N144" s="15" t="n">
        <f aca="false">M144*(1+IF(N$3&lt;=$O$2,$D144,$D144-($D144-$I$130)*MIN(N$3-$O$2,$Q$2)/$Q$2))</f>
        <v>1828.55420859339</v>
      </c>
      <c r="O144" s="15" t="n">
        <f aca="false">SUMPRODUCT(E144:N144,1/(1+$F$130)^$E$3:$N$3)*$E$2</f>
        <v>9937.18729375308</v>
      </c>
      <c r="P144" s="15" t="n">
        <f aca="false">N144*$E$2*(1+$I$130)/($F$130-$I$130)/(1+$F$130)^$N$3</f>
        <v>19790.8514313781</v>
      </c>
      <c r="Q144" s="15" t="n">
        <f aca="false">O144+P144</f>
        <v>29728.0387251312</v>
      </c>
      <c r="R144" s="15" t="n">
        <f aca="false">Q144-$G$2+$I$2</f>
        <v>30498.0387251312</v>
      </c>
      <c r="S144" s="42" t="n">
        <f aca="false">R144/$K$2</f>
        <v>292.042887342059</v>
      </c>
      <c r="T144" s="43" t="n">
        <f aca="false">S144-$M$2</f>
        <v>-0.210296608913211</v>
      </c>
    </row>
    <row r="145" customFormat="false" ht="15" hidden="false" customHeight="false" outlineLevel="0" collapsed="false">
      <c r="A145" s="5" t="n">
        <v>14</v>
      </c>
      <c r="B145" s="25" t="n">
        <f aca="false">IF(T144&gt;0,B144,D144)</f>
        <v>-0.06988525390625</v>
      </c>
      <c r="C145" s="25" t="n">
        <f aca="false">IF(T144&gt;0,D144,C144)</f>
        <v>-0.0697021484375</v>
      </c>
      <c r="D145" s="41" t="n">
        <f aca="false">(B145+C145)/2</f>
        <v>-0.069793701171875</v>
      </c>
      <c r="E145" s="15" t="n">
        <f aca="false">$C$2*(1+IF(E$3&lt;=$O$2,$D145,$D145-($D145-$I$130)*MIN(E$3-$O$2,$Q$2)/$Q$2))</f>
        <v>2548.76525878906</v>
      </c>
      <c r="F145" s="15" t="n">
        <f aca="false">E145*(1+IF(F$3&lt;=$O$2,$D145,$D145-($D145-$I$130)*MIN(F$3-$O$2,$Q$2)/$Q$2))</f>
        <v>2370.87749795988</v>
      </c>
      <c r="G145" s="15" t="n">
        <f aca="false">F145*(1+IF(G$3&lt;=$O$2,$D145,$D145-($D145-$I$130)*MIN(G$3-$O$2,$Q$2)/$Q$2))</f>
        <v>2205.40518235215</v>
      </c>
      <c r="H145" s="15" t="n">
        <f aca="false">G145*(1+IF(H$3&lt;=$O$2,$D145,$D145-($D145-$I$130)*MIN(H$3-$O$2,$Q$2)/$Q$2))</f>
        <v>2051.48179209216</v>
      </c>
      <c r="I145" s="15" t="n">
        <f aca="false">H145*(1+IF(I$3&lt;=$O$2,$D145,$D145-($D145-$I$130)*MIN(I$3-$O$2,$Q$2)/$Q$2))</f>
        <v>1908.30128493533</v>
      </c>
      <c r="J145" s="15" t="n">
        <f aca="false">I145*(1+IF(J$3&lt;=$O$2,$D145,$D145-($D145-$I$130)*MIN(J$3-$O$2,$Q$2)/$Q$2))</f>
        <v>1814.46064379166</v>
      </c>
      <c r="K145" s="15" t="n">
        <f aca="false">J145*(1+IF(K$3&lt;=$O$2,$D145,$D145-($D145-$I$130)*MIN(K$3-$O$2,$Q$2)/$Q$2))</f>
        <v>1762.64650519041</v>
      </c>
      <c r="L145" s="15" t="n">
        <f aca="false">K145*(1+IF(L$3&lt;=$O$2,$D145,$D145-($D145-$I$130)*MIN(L$3-$O$2,$Q$2)/$Q$2))</f>
        <v>1748.65553298215</v>
      </c>
      <c r="M145" s="15" t="n">
        <f aca="false">L145*(1+IF(M$3&lt;=$O$2,$D145,$D145-($D145-$I$130)*MIN(M$3-$O$2,$Q$2)/$Q$2))</f>
        <v>1770.83068803649</v>
      </c>
      <c r="N145" s="15" t="n">
        <f aca="false">M145*(1+IF(N$3&lt;=$O$2,$D145,$D145-($D145-$I$130)*MIN(N$3-$O$2,$Q$2)/$Q$2))</f>
        <v>1829.79934994811</v>
      </c>
      <c r="O145" s="15" t="n">
        <f aca="false">SUMPRODUCT(E145:N145,1/(1+$F$130)^$E$3:$N$3)*$E$2</f>
        <v>9941.20453230844</v>
      </c>
      <c r="P145" s="15" t="n">
        <f aca="false">N145*$E$2*(1+$I$130)/($F$130-$I$130)/(1+$F$130)^$N$3</f>
        <v>19804.3278749239</v>
      </c>
      <c r="Q145" s="15" t="n">
        <f aca="false">O145+P145</f>
        <v>29745.5324072323</v>
      </c>
      <c r="R145" s="15" t="n">
        <f aca="false">Q145-$G$2+$I$2</f>
        <v>30515.5324072323</v>
      </c>
      <c r="S145" s="42" t="n">
        <f aca="false">R145/$K$2</f>
        <v>292.210403210115</v>
      </c>
      <c r="T145" s="43" t="n">
        <f aca="false">S145-$M$2</f>
        <v>-0.0427807408572107</v>
      </c>
    </row>
    <row r="146" customFormat="false" ht="15" hidden="false" customHeight="false" outlineLevel="0" collapsed="false">
      <c r="A146" s="5" t="n">
        <v>15</v>
      </c>
      <c r="B146" s="25" t="n">
        <f aca="false">IF(T145&gt;0,B145,D145)</f>
        <v>-0.069793701171875</v>
      </c>
      <c r="C146" s="25" t="n">
        <f aca="false">IF(T145&gt;0,D145,C145)</f>
        <v>-0.0697021484375</v>
      </c>
      <c r="D146" s="41" t="n">
        <f aca="false">(B146+C146)/2</f>
        <v>-0.0697479248046875</v>
      </c>
      <c r="E146" s="15" t="n">
        <f aca="false">$C$2*(1+IF(E$3&lt;=$O$2,$D146,$D146-($D146-$I$130)*MIN(E$3-$O$2,$Q$2)/$Q$2))</f>
        <v>2548.89068603516</v>
      </c>
      <c r="F146" s="15" t="n">
        <f aca="false">E146*(1+IF(F$3&lt;=$O$2,$D146,$D146-($D146-$I$130)*MIN(F$3-$O$2,$Q$2)/$Q$2))</f>
        <v>2371.11085013021</v>
      </c>
      <c r="G146" s="15" t="n">
        <f aca="false">F146*(1+IF(G$3&lt;=$O$2,$D146,$D146-($D146-$I$130)*MIN(G$3-$O$2,$Q$2)/$Q$2))</f>
        <v>2205.73078885175</v>
      </c>
      <c r="H146" s="15" t="n">
        <f aca="false">G146*(1+IF(H$3&lt;=$O$2,$D146,$D146-($D146-$I$130)*MIN(H$3-$O$2,$Q$2)/$Q$2))</f>
        <v>2051.88564365153</v>
      </c>
      <c r="I146" s="15" t="n">
        <f aca="false">H146*(1+IF(I$3&lt;=$O$2,$D146,$D146-($D146-$I$130)*MIN(I$3-$O$2,$Q$2)/$Q$2))</f>
        <v>1908.77087807031</v>
      </c>
      <c r="J146" s="15" t="n">
        <f aca="false">I146*(1+IF(J$3&lt;=$O$2,$D146,$D146-($D146-$I$130)*MIN(J$3-$O$2,$Q$2)/$Q$2))</f>
        <v>1814.97704597983</v>
      </c>
      <c r="K146" s="15" t="n">
        <f aca="false">J146*(1+IF(K$3&lt;=$O$2,$D146,$D146-($D146-$I$130)*MIN(K$3-$O$2,$Q$2)/$Q$2))</f>
        <v>1763.19801071715</v>
      </c>
      <c r="L146" s="15" t="n">
        <f aca="false">K146*(1+IF(L$3&lt;=$O$2,$D146,$D146-($D146-$I$130)*MIN(L$3-$O$2,$Q$2)/$Q$2))</f>
        <v>1749.23494606436</v>
      </c>
      <c r="M146" s="15" t="n">
        <f aca="false">L146*(1+IF(M$3&lt;=$O$2,$D146,$D146-($D146-$I$130)*MIN(M$3-$O$2,$Q$2)/$Q$2))</f>
        <v>1771.43346353075</v>
      </c>
      <c r="N146" s="15" t="n">
        <f aca="false">M146*(1+IF(N$3&lt;=$O$2,$D146,$D146-($D146-$I$130)*MIN(N$3-$O$2,$Q$2)/$Q$2))</f>
        <v>1830.42219786633</v>
      </c>
      <c r="O146" s="15" t="n">
        <f aca="false">SUMPRODUCT(E146:N146,1/(1+$F$130)^$E$3:$N$3)*$E$2</f>
        <v>9943.21378604623</v>
      </c>
      <c r="P146" s="15" t="n">
        <f aca="false">N146*$E$2*(1+$I$130)/($F$130-$I$130)/(1+$F$130)^$N$3</f>
        <v>19811.0690973365</v>
      </c>
      <c r="Q146" s="15" t="n">
        <f aca="false">O146+P146</f>
        <v>29754.2828833828</v>
      </c>
      <c r="R146" s="15" t="n">
        <f aca="false">Q146-$G$2+$I$2</f>
        <v>30524.2828833828</v>
      </c>
      <c r="S146" s="42" t="n">
        <f aca="false">R146/$K$2</f>
        <v>292.294195953105</v>
      </c>
      <c r="T146" s="43" t="n">
        <f aca="false">S146-$M$2</f>
        <v>0.0410120021331295</v>
      </c>
    </row>
    <row r="147" customFormat="false" ht="15" hidden="false" customHeight="false" outlineLevel="0" collapsed="false">
      <c r="A147" s="5" t="n">
        <v>16</v>
      </c>
      <c r="B147" s="25" t="n">
        <f aca="false">IF(T146&gt;0,B146,D146)</f>
        <v>-0.069793701171875</v>
      </c>
      <c r="C147" s="25" t="n">
        <f aca="false">IF(T146&gt;0,D146,C146)</f>
        <v>-0.0697479248046875</v>
      </c>
      <c r="D147" s="41" t="n">
        <f aca="false">(B147+C147)/2</f>
        <v>-0.0697708129882813</v>
      </c>
      <c r="E147" s="15" t="n">
        <f aca="false">$C$2*(1+IF(E$3&lt;=$O$2,$D147,$D147-($D147-$I$130)*MIN(E$3-$O$2,$Q$2)/$Q$2))</f>
        <v>2548.82797241211</v>
      </c>
      <c r="F147" s="15" t="n">
        <f aca="false">E147*(1+IF(F$3&lt;=$O$2,$D147,$D147-($D147-$I$130)*MIN(F$3-$O$2,$Q$2)/$Q$2))</f>
        <v>2370.99417260964</v>
      </c>
      <c r="G147" s="15" t="n">
        <f aca="false">F147*(1+IF(G$3&lt;=$O$2,$D147,$D147-($D147-$I$130)*MIN(G$3-$O$2,$Q$2)/$Q$2))</f>
        <v>2205.56798159619</v>
      </c>
      <c r="H147" s="15" t="n">
        <f aca="false">G147*(1+IF(H$3&lt;=$O$2,$D147,$D147-($D147-$I$130)*MIN(H$3-$O$2,$Q$2)/$Q$2))</f>
        <v>2051.6837104193</v>
      </c>
      <c r="I147" s="15" t="n">
        <f aca="false">H147*(1+IF(I$3&lt;=$O$2,$D147,$D147-($D147-$I$130)*MIN(I$3-$O$2,$Q$2)/$Q$2))</f>
        <v>1908.53606994854</v>
      </c>
      <c r="J147" s="15" t="n">
        <f aca="false">I147*(1+IF(J$3&lt;=$O$2,$D147,$D147-($D147-$I$130)*MIN(J$3-$O$2,$Q$2)/$Q$2))</f>
        <v>1814.71882960018</v>
      </c>
      <c r="K147" s="15" t="n">
        <f aca="false">J147*(1+IF(K$3&lt;=$O$2,$D147,$D147-($D147-$I$130)*MIN(K$3-$O$2,$Q$2)/$Q$2))</f>
        <v>1762.92223955864</v>
      </c>
      <c r="L147" s="15" t="n">
        <f aca="false">K147*(1+IF(L$3&lt;=$O$2,$D147,$D147-($D147-$I$130)*MIN(L$3-$O$2,$Q$2)/$Q$2))</f>
        <v>1748.94521874937</v>
      </c>
      <c r="M147" s="15" t="n">
        <f aca="false">L147*(1+IF(M$3&lt;=$O$2,$D147,$D147-($D147-$I$130)*MIN(M$3-$O$2,$Q$2)/$Q$2))</f>
        <v>1771.13205342004</v>
      </c>
      <c r="N147" s="15" t="n">
        <f aca="false">M147*(1+IF(N$3&lt;=$O$2,$D147,$D147-($D147-$I$130)*MIN(N$3-$O$2,$Q$2)/$Q$2))</f>
        <v>1830.11075079892</v>
      </c>
      <c r="O147" s="15" t="n">
        <f aca="false">SUMPRODUCT(E147:N147,1/(1+$F$130)^$E$3:$N$3)*$E$2</f>
        <v>9942.20910629672</v>
      </c>
      <c r="P147" s="15" t="n">
        <f aca="false">N147*$E$2*(1+$I$130)/($F$130-$I$130)/(1+$F$130)^$N$3</f>
        <v>19807.6982360239</v>
      </c>
      <c r="Q147" s="15" t="n">
        <f aca="false">O147+P147</f>
        <v>29749.9073423207</v>
      </c>
      <c r="R147" s="15" t="n">
        <f aca="false">Q147-$G$2+$I$2</f>
        <v>30519.9073423207</v>
      </c>
      <c r="S147" s="42" t="n">
        <f aca="false">R147/$K$2</f>
        <v>292.252296680271</v>
      </c>
      <c r="T147" s="43" t="n">
        <f aca="false">S147-$M$2</f>
        <v>-0.000887270701355192</v>
      </c>
    </row>
    <row r="148" customFormat="false" ht="15" hidden="false" customHeight="false" outlineLevel="0" collapsed="false">
      <c r="A148" s="5" t="n">
        <v>17</v>
      </c>
      <c r="B148" s="25" t="n">
        <f aca="false">IF(T147&gt;0,B147,D147)</f>
        <v>-0.0697708129882813</v>
      </c>
      <c r="C148" s="25" t="n">
        <f aca="false">IF(T147&gt;0,D147,C147)</f>
        <v>-0.0697479248046875</v>
      </c>
      <c r="D148" s="41" t="n">
        <f aca="false">(B148+C148)/2</f>
        <v>-0.0697593688964844</v>
      </c>
      <c r="E148" s="15" t="n">
        <f aca="false">$C$2*(1+IF(E$3&lt;=$O$2,$D148,$D148-($D148-$I$130)*MIN(E$3-$O$2,$Q$2)/$Q$2))</f>
        <v>2548.85932922363</v>
      </c>
      <c r="F148" s="15" t="n">
        <f aca="false">E148*(1+IF(F$3&lt;=$O$2,$D148,$D148-($D148-$I$130)*MIN(F$3-$O$2,$Q$2)/$Q$2))</f>
        <v>2371.05251101108</v>
      </c>
      <c r="G148" s="15" t="n">
        <f aca="false">F148*(1+IF(G$3&lt;=$O$2,$D148,$D148-($D148-$I$130)*MIN(G$3-$O$2,$Q$2)/$Q$2))</f>
        <v>2205.64938422252</v>
      </c>
      <c r="H148" s="15" t="n">
        <f aca="false">G148*(1+IF(H$3&lt;=$O$2,$D148,$D148-($D148-$I$130)*MIN(H$3-$O$2,$Q$2)/$Q$2))</f>
        <v>2051.78467517224</v>
      </c>
      <c r="I148" s="15" t="n">
        <f aca="false">H148*(1+IF(I$3&lt;=$O$2,$D148,$D148-($D148-$I$130)*MIN(I$3-$O$2,$Q$2)/$Q$2))</f>
        <v>1908.65347112074</v>
      </c>
      <c r="J148" s="15" t="n">
        <f aca="false">I148*(1+IF(J$3&lt;=$O$2,$D148,$D148-($D148-$I$130)*MIN(J$3-$O$2,$Q$2)/$Q$2))</f>
        <v>1814.84793396843</v>
      </c>
      <c r="K148" s="15" t="n">
        <f aca="false">J148*(1+IF(K$3&lt;=$O$2,$D148,$D148-($D148-$I$130)*MIN(K$3-$O$2,$Q$2)/$Q$2))</f>
        <v>1763.06012053886</v>
      </c>
      <c r="L148" s="15" t="n">
        <f aca="false">K148*(1+IF(L$3&lt;=$O$2,$D148,$D148-($D148-$I$130)*MIN(L$3-$O$2,$Q$2)/$Q$2))</f>
        <v>1749.09007721308</v>
      </c>
      <c r="M148" s="15" t="n">
        <f aca="false">L148*(1+IF(M$3&lt;=$O$2,$D148,$D148-($D148-$I$130)*MIN(M$3-$O$2,$Q$2)/$Q$2))</f>
        <v>1771.28275288414</v>
      </c>
      <c r="N148" s="15" t="n">
        <f aca="false">M148*(1+IF(N$3&lt;=$O$2,$D148,$D148-($D148-$I$130)*MIN(N$3-$O$2,$Q$2)/$Q$2))</f>
        <v>1830.26646855518</v>
      </c>
      <c r="O148" s="15" t="n">
        <f aca="false">SUMPRODUCT(E148:N148,1/(1+$F$130)^$E$3:$N$3)*$E$2</f>
        <v>9942.71143295065</v>
      </c>
      <c r="P148" s="15" t="n">
        <f aca="false">N148*$E$2*(1+$I$130)/($F$130-$I$130)/(1+$F$130)^$N$3</f>
        <v>19809.3836041497</v>
      </c>
      <c r="Q148" s="15" t="n">
        <f aca="false">O148+P148</f>
        <v>29752.0950371004</v>
      </c>
      <c r="R148" s="15" t="n">
        <f aca="false">Q148-$G$2+$I$2</f>
        <v>30522.0950371004</v>
      </c>
      <c r="S148" s="42" t="n">
        <f aca="false">R148/$K$2</f>
        <v>292.273245591309</v>
      </c>
      <c r="T148" s="43" t="n">
        <f aca="false">S148-$M$2</f>
        <v>0.0200616403366212</v>
      </c>
    </row>
    <row r="149" customFormat="false" ht="15" hidden="false" customHeight="false" outlineLevel="0" collapsed="false">
      <c r="A149" s="5" t="n">
        <v>18</v>
      </c>
      <c r="B149" s="25" t="n">
        <f aca="false">IF(T148&gt;0,B148,D148)</f>
        <v>-0.0697708129882813</v>
      </c>
      <c r="C149" s="25" t="n">
        <f aca="false">IF(T148&gt;0,D148,C148)</f>
        <v>-0.0697593688964844</v>
      </c>
      <c r="D149" s="41" t="n">
        <f aca="false">(B149+C149)/2</f>
        <v>-0.0697650909423828</v>
      </c>
      <c r="E149" s="15" t="n">
        <f aca="false">$C$2*(1+IF(E$3&lt;=$O$2,$D149,$D149-($D149-$I$130)*MIN(E$3-$O$2,$Q$2)/$Q$2))</f>
        <v>2548.84365081787</v>
      </c>
      <c r="F149" s="15" t="n">
        <f aca="false">E149*(1+IF(F$3&lt;=$O$2,$D149,$D149-($D149-$I$130)*MIN(F$3-$O$2,$Q$2)/$Q$2))</f>
        <v>2371.02334172065</v>
      </c>
      <c r="G149" s="15" t="n">
        <f aca="false">F149*(1+IF(G$3&lt;=$O$2,$D149,$D149-($D149-$I$130)*MIN(G$3-$O$2,$Q$2)/$Q$2))</f>
        <v>2205.60868265899</v>
      </c>
      <c r="H149" s="15" t="n">
        <f aca="false">G149*(1+IF(H$3&lt;=$O$2,$D149,$D149-($D149-$I$130)*MIN(H$3-$O$2,$Q$2)/$Q$2))</f>
        <v>2051.73419232998</v>
      </c>
      <c r="I149" s="15" t="n">
        <f aca="false">H149*(1+IF(I$3&lt;=$O$2,$D149,$D149-($D149-$I$130)*MIN(I$3-$O$2,$Q$2)/$Q$2))</f>
        <v>1908.59476981248</v>
      </c>
      <c r="J149" s="15" t="n">
        <f aca="false">I149*(1+IF(J$3&lt;=$O$2,$D149,$D149-($D149-$I$130)*MIN(J$3-$O$2,$Q$2)/$Q$2))</f>
        <v>1814.78338082893</v>
      </c>
      <c r="K149" s="15" t="n">
        <f aca="false">J149*(1+IF(K$3&lt;=$O$2,$D149,$D149-($D149-$I$130)*MIN(K$3-$O$2,$Q$2)/$Q$2))</f>
        <v>1762.99117889902</v>
      </c>
      <c r="L149" s="15" t="n">
        <f aca="false">K149*(1+IF(L$3&lt;=$O$2,$D149,$D149-($D149-$I$130)*MIN(L$3-$O$2,$Q$2)/$Q$2))</f>
        <v>1749.01764668282</v>
      </c>
      <c r="M149" s="15" t="n">
        <f aca="false">L149*(1+IF(M$3&lt;=$O$2,$D149,$D149-($D149-$I$130)*MIN(M$3-$O$2,$Q$2)/$Q$2))</f>
        <v>1771.20740175432</v>
      </c>
      <c r="N149" s="15" t="n">
        <f aca="false">M149*(1+IF(N$3&lt;=$O$2,$D149,$D149-($D149-$I$130)*MIN(N$3-$O$2,$Q$2)/$Q$2))</f>
        <v>1830.18860823274</v>
      </c>
      <c r="O149" s="15" t="n">
        <f aca="false">SUMPRODUCT(E149:N149,1/(1+$F$130)^$E$3:$N$3)*$E$2</f>
        <v>9942.46026631856</v>
      </c>
      <c r="P149" s="15" t="n">
        <f aca="false">N149*$E$2*(1+$I$130)/($F$130-$I$130)/(1+$F$130)^$N$3</f>
        <v>19808.5409044547</v>
      </c>
      <c r="Q149" s="15" t="n">
        <f aca="false">O149+P149</f>
        <v>29751.0011707733</v>
      </c>
      <c r="R149" s="15" t="n">
        <f aca="false">Q149-$G$2+$I$2</f>
        <v>30521.0011707733</v>
      </c>
      <c r="S149" s="42" t="n">
        <f aca="false">R149/$K$2</f>
        <v>292.26277095445</v>
      </c>
      <c r="T149" s="43" t="n">
        <f aca="false">S149-$M$2</f>
        <v>0.00958700347831609</v>
      </c>
    </row>
    <row r="150" customFormat="false" ht="15" hidden="false" customHeight="false" outlineLevel="0" collapsed="false">
      <c r="A150" s="5" t="n">
        <v>19</v>
      </c>
      <c r="B150" s="25" t="n">
        <f aca="false">IF(T149&gt;0,B149,D149)</f>
        <v>-0.0697708129882813</v>
      </c>
      <c r="C150" s="25" t="n">
        <f aca="false">IF(T149&gt;0,D149,C149)</f>
        <v>-0.0697650909423828</v>
      </c>
      <c r="D150" s="41" t="n">
        <f aca="false">(B150+C150)/2</f>
        <v>-0.069767951965332</v>
      </c>
      <c r="E150" s="15" t="n">
        <f aca="false">$C$2*(1+IF(E$3&lt;=$O$2,$D150,$D150-($D150-$I$130)*MIN(E$3-$O$2,$Q$2)/$Q$2))</f>
        <v>2548.83581161499</v>
      </c>
      <c r="F150" s="15" t="n">
        <f aca="false">E150*(1+IF(F$3&lt;=$O$2,$D150,$D150-($D150-$I$130)*MIN(F$3-$O$2,$Q$2)/$Q$2))</f>
        <v>2371.00875714272</v>
      </c>
      <c r="G150" s="15" t="n">
        <f aca="false">F150*(1+IF(G$3&lt;=$O$2,$D150,$D150-($D150-$I$130)*MIN(G$3-$O$2,$Q$2)/$Q$2))</f>
        <v>2205.588332065</v>
      </c>
      <c r="H150" s="15" t="n">
        <f aca="false">G150*(1+IF(H$3&lt;=$O$2,$D150,$D150-($D150-$I$130)*MIN(H$3-$O$2,$Q$2)/$Q$2))</f>
        <v>2051.70895125819</v>
      </c>
      <c r="I150" s="15" t="n">
        <f aca="false">H150*(1+IF(I$3&lt;=$O$2,$D150,$D150-($D150-$I$130)*MIN(I$3-$O$2,$Q$2)/$Q$2))</f>
        <v>1908.56541969997</v>
      </c>
      <c r="J150" s="15" t="n">
        <f aca="false">I150*(1+IF(J$3&lt;=$O$2,$D150,$D150-($D150-$I$130)*MIN(J$3-$O$2,$Q$2)/$Q$2))</f>
        <v>1814.75110497572</v>
      </c>
      <c r="K150" s="15" t="n">
        <f aca="false">J150*(1+IF(K$3&lt;=$O$2,$D150,$D150-($D150-$I$130)*MIN(K$3-$O$2,$Q$2)/$Q$2))</f>
        <v>1762.95670894141</v>
      </c>
      <c r="L150" s="15" t="n">
        <f aca="false">K150*(1+IF(L$3&lt;=$O$2,$D150,$D150-($D150-$I$130)*MIN(L$3-$O$2,$Q$2)/$Q$2))</f>
        <v>1748.9814323915</v>
      </c>
      <c r="M150" s="15" t="n">
        <f aca="false">L150*(1+IF(M$3&lt;=$O$2,$D150,$D150-($D150-$I$130)*MIN(M$3-$O$2,$Q$2)/$Q$2))</f>
        <v>1771.16972723774</v>
      </c>
      <c r="N150" s="15" t="n">
        <f aca="false">M150*(1+IF(N$3&lt;=$O$2,$D150,$D150-($D150-$I$130)*MIN(N$3-$O$2,$Q$2)/$Q$2))</f>
        <v>1830.14967915476</v>
      </c>
      <c r="O150" s="15" t="n">
        <f aca="false">SUMPRODUCT(E150:N150,1/(1+$F$130)^$E$3:$N$3)*$E$2</f>
        <v>9942.33468548137</v>
      </c>
      <c r="P150" s="15" t="n">
        <f aca="false">N150*$E$2*(1+$I$130)/($F$130-$I$130)/(1+$F$130)^$N$3</f>
        <v>19808.1195663313</v>
      </c>
      <c r="Q150" s="15" t="n">
        <f aca="false">O150+P150</f>
        <v>29750.4542518127</v>
      </c>
      <c r="R150" s="15" t="n">
        <f aca="false">Q150-$G$2+$I$2</f>
        <v>30520.4542518127</v>
      </c>
      <c r="S150" s="42" t="n">
        <f aca="false">R150/$K$2</f>
        <v>292.257533772026</v>
      </c>
      <c r="T150" s="43" t="n">
        <f aca="false">S150-$M$2</f>
        <v>0.00434982105434756</v>
      </c>
    </row>
    <row r="151" customFormat="false" ht="15" hidden="false" customHeight="false" outlineLevel="0" collapsed="false">
      <c r="A151" s="5" t="n">
        <v>20</v>
      </c>
      <c r="B151" s="25" t="n">
        <f aca="false">IF(T150&gt;0,B150,D150)</f>
        <v>-0.0697708129882813</v>
      </c>
      <c r="C151" s="25" t="n">
        <f aca="false">IF(T150&gt;0,D150,C150)</f>
        <v>-0.069767951965332</v>
      </c>
      <c r="D151" s="41" t="n">
        <f aca="false">(B151+C151)/2</f>
        <v>-0.0697693824768066</v>
      </c>
      <c r="E151" s="15" t="n">
        <f aca="false">$C$2*(1+IF(E$3&lt;=$O$2,$D151,$D151-($D151-$I$130)*MIN(E$3-$O$2,$Q$2)/$Q$2))</f>
        <v>2548.83189201355</v>
      </c>
      <c r="F151" s="15" t="n">
        <f aca="false">E151*(1+IF(F$3&lt;=$O$2,$D151,$D151-($D151-$I$130)*MIN(F$3-$O$2,$Q$2)/$Q$2))</f>
        <v>2371.00146487057</v>
      </c>
      <c r="G151" s="15" t="n">
        <f aca="false">F151*(1+IF(G$3&lt;=$O$2,$D151,$D151-($D151-$I$130)*MIN(G$3-$O$2,$Q$2)/$Q$2))</f>
        <v>2205.57815681495</v>
      </c>
      <c r="H151" s="15" t="n">
        <f aca="false">G151*(1+IF(H$3&lt;=$O$2,$D151,$D151-($D151-$I$130)*MIN(H$3-$O$2,$Q$2)/$Q$2))</f>
        <v>2051.69633080964</v>
      </c>
      <c r="I151" s="15" t="n">
        <f aca="false">H151*(1+IF(I$3&lt;=$O$2,$D151,$D151-($D151-$I$130)*MIN(I$3-$O$2,$Q$2)/$Q$2))</f>
        <v>1908.55074477912</v>
      </c>
      <c r="J151" s="15" t="n">
        <f aca="false">I151*(1+IF(J$3&lt;=$O$2,$D151,$D151-($D151-$I$130)*MIN(J$3-$O$2,$Q$2)/$Q$2))</f>
        <v>1814.73496722824</v>
      </c>
      <c r="K151" s="15" t="n">
        <f aca="false">J151*(1+IF(K$3&lt;=$O$2,$D151,$D151-($D151-$I$130)*MIN(K$3-$O$2,$Q$2)/$Q$2))</f>
        <v>1762.93947417817</v>
      </c>
      <c r="L151" s="15" t="n">
        <f aca="false">K151*(1+IF(L$3&lt;=$O$2,$D151,$D151-($D151-$I$130)*MIN(L$3-$O$2,$Q$2)/$Q$2))</f>
        <v>1748.96332548929</v>
      </c>
      <c r="M151" s="15" t="n">
        <f aca="false">L151*(1+IF(M$3&lt;=$O$2,$D151,$D151-($D151-$I$130)*MIN(M$3-$O$2,$Q$2)/$Q$2))</f>
        <v>1771.15089024153</v>
      </c>
      <c r="N151" s="15" t="n">
        <f aca="false">M151*(1+IF(N$3&lt;=$O$2,$D151,$D151-($D151-$I$130)*MIN(N$3-$O$2,$Q$2)/$Q$2))</f>
        <v>1830.13021488657</v>
      </c>
      <c r="O151" s="15" t="n">
        <f aca="false">SUMPRODUCT(E151:N151,1/(1+$F$130)^$E$3:$N$3)*$E$2</f>
        <v>9942.27189568248</v>
      </c>
      <c r="P151" s="15" t="n">
        <f aca="false">N151*$E$2*(1+$I$130)/($F$130-$I$130)/(1+$F$130)^$N$3</f>
        <v>19807.9089002007</v>
      </c>
      <c r="Q151" s="15" t="n">
        <f aca="false">O151+P151</f>
        <v>29750.1807958831</v>
      </c>
      <c r="R151" s="15" t="n">
        <f aca="false">Q151-$G$2+$I$2</f>
        <v>30520.1807958831</v>
      </c>
      <c r="S151" s="42" t="n">
        <f aca="false">R151/$K$2</f>
        <v>292.254915214815</v>
      </c>
      <c r="T151" s="43" t="n">
        <f aca="false">S151-$M$2</f>
        <v>0.00173126384299849</v>
      </c>
    </row>
    <row r="152" customFormat="false" ht="15" hidden="false" customHeight="false" outlineLevel="0" collapsed="false">
      <c r="A152" s="5" t="n">
        <v>21</v>
      </c>
      <c r="B152" s="25" t="n">
        <f aca="false">IF(T151&gt;0,B151,D151)</f>
        <v>-0.0697708129882813</v>
      </c>
      <c r="C152" s="25" t="n">
        <f aca="false">IF(T151&gt;0,D151,C151)</f>
        <v>-0.0697693824768066</v>
      </c>
      <c r="D152" s="41" t="n">
        <f aca="false">(B152+C152)/2</f>
        <v>-0.069770097732544</v>
      </c>
      <c r="E152" s="15" t="n">
        <f aca="false">$C$2*(1+IF(E$3&lt;=$O$2,$D152,$D152-($D152-$I$130)*MIN(E$3-$O$2,$Q$2)/$Q$2))</f>
        <v>2548.82993221283</v>
      </c>
      <c r="F152" s="15" t="n">
        <f aca="false">E152*(1+IF(F$3&lt;=$O$2,$D152,$D152-($D152-$I$130)*MIN(F$3-$O$2,$Q$2)/$Q$2))</f>
        <v>2370.99781873871</v>
      </c>
      <c r="G152" s="15" t="n">
        <f aca="false">F152*(1+IF(G$3&lt;=$O$2,$D152,$D152-($D152-$I$130)*MIN(G$3-$O$2,$Q$2)/$Q$2))</f>
        <v>2205.57306920166</v>
      </c>
      <c r="H152" s="15" t="n">
        <f aca="false">G152*(1+IF(H$3&lt;=$O$2,$D152,$D152-($D152-$I$130)*MIN(H$3-$O$2,$Q$2)/$Q$2))</f>
        <v>2051.69002060719</v>
      </c>
      <c r="I152" s="15" t="n">
        <f aca="false">H152*(1+IF(I$3&lt;=$O$2,$D152,$D152-($D152-$I$130)*MIN(I$3-$O$2,$Q$2)/$Q$2))</f>
        <v>1908.54340735254</v>
      </c>
      <c r="J152" s="15" t="n">
        <f aca="false">I152*(1+IF(J$3&lt;=$O$2,$D152,$D152-($D152-$I$130)*MIN(J$3-$O$2,$Q$2)/$Q$2))</f>
        <v>1814.72689839928</v>
      </c>
      <c r="K152" s="15" t="n">
        <f aca="false">J152*(1+IF(K$3&lt;=$O$2,$D152,$D152-($D152-$I$130)*MIN(K$3-$O$2,$Q$2)/$Q$2))</f>
        <v>1762.93085685044</v>
      </c>
      <c r="L152" s="15" t="n">
        <f aca="false">K152*(1+IF(L$3&lt;=$O$2,$D152,$D152-($D152-$I$130)*MIN(L$3-$O$2,$Q$2)/$Q$2))</f>
        <v>1748.95427209904</v>
      </c>
      <c r="M152" s="15" t="n">
        <f aca="false">L152*(1+IF(M$3&lt;=$O$2,$D152,$D152-($D152-$I$130)*MIN(M$3-$O$2,$Q$2)/$Q$2))</f>
        <v>1771.14147180894</v>
      </c>
      <c r="N152" s="15" t="n">
        <f aca="false">M152*(1+IF(N$3&lt;=$O$2,$D152,$D152-($D152-$I$130)*MIN(N$3-$O$2,$Q$2)/$Q$2))</f>
        <v>1830.12048282018</v>
      </c>
      <c r="O152" s="15" t="n">
        <f aca="false">SUMPRODUCT(E152:N152,1/(1+$F$130)^$E$3:$N$3)*$E$2</f>
        <v>9942.24050093796</v>
      </c>
      <c r="P152" s="15" t="n">
        <f aca="false">N152*$E$2*(1+$I$130)/($F$130-$I$130)/(1+$F$130)^$N$3</f>
        <v>19807.8035678681</v>
      </c>
      <c r="Q152" s="15" t="n">
        <f aca="false">O152+P152</f>
        <v>29750.044068806</v>
      </c>
      <c r="R152" s="15" t="n">
        <f aca="false">Q152-$G$2+$I$2</f>
        <v>30520.044068806</v>
      </c>
      <c r="S152" s="42" t="n">
        <f aca="false">R152/$K$2</f>
        <v>292.253605944709</v>
      </c>
      <c r="T152" s="43" t="n">
        <f aca="false">S152-$M$2</f>
        <v>0.000421993737404591</v>
      </c>
    </row>
    <row r="153" customFormat="false" ht="15" hidden="false" customHeight="false" outlineLevel="0" collapsed="false">
      <c r="A153" s="5" t="n">
        <v>22</v>
      </c>
      <c r="B153" s="25" t="n">
        <f aca="false">IF(T152&gt;0,B152,D152)</f>
        <v>-0.0697708129882813</v>
      </c>
      <c r="C153" s="25" t="n">
        <f aca="false">IF(T152&gt;0,D152,C152)</f>
        <v>-0.069770097732544</v>
      </c>
      <c r="D153" s="41" t="n">
        <f aca="false">(B153+C153)/2</f>
        <v>-0.0697704553604126</v>
      </c>
      <c r="E153" s="15" t="n">
        <f aca="false">$C$2*(1+IF(E$3&lt;=$O$2,$D153,$D153-($D153-$I$130)*MIN(E$3-$O$2,$Q$2)/$Q$2))</f>
        <v>2548.82895231247</v>
      </c>
      <c r="F153" s="15" t="n">
        <f aca="false">E153*(1+IF(F$3&lt;=$O$2,$D153,$D153-($D153-$I$130)*MIN(F$3-$O$2,$Q$2)/$Q$2))</f>
        <v>2370.99599567383</v>
      </c>
      <c r="G153" s="15" t="n">
        <f aca="false">F153*(1+IF(G$3&lt;=$O$2,$D153,$D153-($D153-$I$130)*MIN(G$3-$O$2,$Q$2)/$Q$2))</f>
        <v>2205.57052539795</v>
      </c>
      <c r="H153" s="15" t="n">
        <f aca="false">G153*(1+IF(H$3&lt;=$O$2,$D153,$D153-($D153-$I$130)*MIN(H$3-$O$2,$Q$2)/$Q$2))</f>
        <v>2051.68686551143</v>
      </c>
      <c r="I153" s="15" t="n">
        <f aca="false">H153*(1+IF(I$3&lt;=$O$2,$D153,$D153-($D153-$I$130)*MIN(I$3-$O$2,$Q$2)/$Q$2))</f>
        <v>1908.53973864772</v>
      </c>
      <c r="J153" s="15" t="n">
        <f aca="false">I153*(1+IF(J$3&lt;=$O$2,$D153,$D153-($D153-$I$130)*MIN(J$3-$O$2,$Q$2)/$Q$2))</f>
        <v>1814.722863996</v>
      </c>
      <c r="K153" s="15" t="n">
        <f aca="false">J153*(1+IF(K$3&lt;=$O$2,$D153,$D153-($D153-$I$130)*MIN(K$3-$O$2,$Q$2)/$Q$2))</f>
        <v>1762.92654820005</v>
      </c>
      <c r="L153" s="15" t="n">
        <f aca="false">K153*(1+IF(L$3&lt;=$O$2,$D153,$D153-($D153-$I$130)*MIN(L$3-$O$2,$Q$2)/$Q$2))</f>
        <v>1748.94974541914</v>
      </c>
      <c r="M153" s="15" t="n">
        <f aca="false">L153*(1+IF(M$3&lt;=$O$2,$D153,$D153-($D153-$I$130)*MIN(M$3-$O$2,$Q$2)/$Q$2))</f>
        <v>1771.13676260903</v>
      </c>
      <c r="N153" s="15" t="n">
        <f aca="false">M153*(1+IF(N$3&lt;=$O$2,$D153,$D153-($D153-$I$130)*MIN(N$3-$O$2,$Q$2)/$Q$2))</f>
        <v>1830.11561680391</v>
      </c>
      <c r="O153" s="15" t="n">
        <f aca="false">SUMPRODUCT(E153:N153,1/(1+$F$130)^$E$3:$N$3)*$E$2</f>
        <v>9942.22480360443</v>
      </c>
      <c r="P153" s="15" t="n">
        <f aca="false">N153*$E$2*(1+$I$130)/($F$130-$I$130)/(1+$F$130)^$N$3</f>
        <v>19807.7509018849</v>
      </c>
      <c r="Q153" s="15" t="n">
        <f aca="false">O153+P153</f>
        <v>29749.9757054894</v>
      </c>
      <c r="R153" s="15" t="n">
        <f aca="false">Q153-$G$2+$I$2</f>
        <v>30519.9757054894</v>
      </c>
      <c r="S153" s="42" t="n">
        <f aca="false">R153/$K$2</f>
        <v>292.252951311782</v>
      </c>
      <c r="T153" s="43" t="n">
        <f aca="false">S153-$M$2</f>
        <v>-0.000232639190244299</v>
      </c>
    </row>
    <row r="154" customFormat="false" ht="15" hidden="false" customHeight="false" outlineLevel="0" collapsed="false">
      <c r="A154" s="5" t="n">
        <v>23</v>
      </c>
      <c r="B154" s="25" t="n">
        <f aca="false">IF(T153&gt;0,B153,D153)</f>
        <v>-0.0697704553604126</v>
      </c>
      <c r="C154" s="25" t="n">
        <f aca="false">IF(T153&gt;0,D153,C153)</f>
        <v>-0.069770097732544</v>
      </c>
      <c r="D154" s="41" t="n">
        <f aca="false">(B154+C154)/2</f>
        <v>-0.0697702765464783</v>
      </c>
      <c r="E154" s="15" t="n">
        <f aca="false">$C$2*(1+IF(E$3&lt;=$O$2,$D154,$D154-($D154-$I$130)*MIN(E$3-$O$2,$Q$2)/$Q$2))</f>
        <v>2548.82944226265</v>
      </c>
      <c r="F154" s="15" t="n">
        <f aca="false">E154*(1+IF(F$3&lt;=$O$2,$D154,$D154-($D154-$I$130)*MIN(F$3-$O$2,$Q$2)/$Q$2))</f>
        <v>2370.99690720618</v>
      </c>
      <c r="G154" s="15" t="n">
        <f aca="false">F154*(1+IF(G$3&lt;=$O$2,$D154,$D154-($D154-$I$130)*MIN(G$3-$O$2,$Q$2)/$Q$2))</f>
        <v>2205.57179729956</v>
      </c>
      <c r="H154" s="15" t="n">
        <f aca="false">G154*(1+IF(H$3&lt;=$O$2,$D154,$D154-($D154-$I$130)*MIN(H$3-$O$2,$Q$2)/$Q$2))</f>
        <v>2051.68844305886</v>
      </c>
      <c r="I154" s="15" t="n">
        <f aca="false">H154*(1+IF(I$3&lt;=$O$2,$D154,$D154-($D154-$I$130)*MIN(I$3-$O$2,$Q$2)/$Q$2))</f>
        <v>1908.54157299943</v>
      </c>
      <c r="J154" s="15" t="n">
        <f aca="false">I154*(1+IF(J$3&lt;=$O$2,$D154,$D154-($D154-$I$130)*MIN(J$3-$O$2,$Q$2)/$Q$2))</f>
        <v>1814.72488119671</v>
      </c>
      <c r="K154" s="15" t="n">
        <f aca="false">J154*(1+IF(K$3&lt;=$O$2,$D154,$D154-($D154-$I$130)*MIN(K$3-$O$2,$Q$2)/$Q$2))</f>
        <v>1762.92870252412</v>
      </c>
      <c r="L154" s="15" t="n">
        <f aca="false">K154*(1+IF(L$3&lt;=$O$2,$D154,$D154-($D154-$I$130)*MIN(L$3-$O$2,$Q$2)/$Q$2))</f>
        <v>1748.95200875782</v>
      </c>
      <c r="M154" s="15" t="n">
        <f aca="false">L154*(1+IF(M$3&lt;=$O$2,$D154,$D154-($D154-$I$130)*MIN(M$3-$O$2,$Q$2)/$Q$2))</f>
        <v>1771.13911720762</v>
      </c>
      <c r="N154" s="15" t="n">
        <f aca="false">M154*(1+IF(N$3&lt;=$O$2,$D154,$D154-($D154-$I$130)*MIN(N$3-$O$2,$Q$2)/$Q$2))</f>
        <v>1830.11804981064</v>
      </c>
      <c r="O154" s="15" t="n">
        <f aca="false">SUMPRODUCT(E154:N154,1/(1+$F$130)^$E$3:$N$3)*$E$2</f>
        <v>9942.23265226797</v>
      </c>
      <c r="P154" s="15" t="n">
        <f aca="false">N154*$E$2*(1+$I$130)/($F$130-$I$130)/(1+$F$130)^$N$3</f>
        <v>19807.7772348612</v>
      </c>
      <c r="Q154" s="15" t="n">
        <f aca="false">O154+P154</f>
        <v>29750.0098871292</v>
      </c>
      <c r="R154" s="15" t="n">
        <f aca="false">Q154-$G$2+$I$2</f>
        <v>30520.0098871292</v>
      </c>
      <c r="S154" s="42" t="n">
        <f aca="false">R154/$K$2</f>
        <v>292.253278628069</v>
      </c>
      <c r="T154" s="43" t="n">
        <f aca="false">S154-$M$2</f>
        <v>9.46770964560528E-005</v>
      </c>
    </row>
    <row r="155" customFormat="false" ht="15" hidden="false" customHeight="false" outlineLevel="0" collapsed="false">
      <c r="A155" s="5" t="n">
        <v>24</v>
      </c>
      <c r="B155" s="25" t="n">
        <f aca="false">IF(T154&gt;0,B154,D154)</f>
        <v>-0.0697704553604126</v>
      </c>
      <c r="C155" s="25" t="n">
        <f aca="false">IF(T154&gt;0,D154,C154)</f>
        <v>-0.0697702765464783</v>
      </c>
      <c r="D155" s="41" t="n">
        <f aca="false">(B155+C155)/2</f>
        <v>-0.0697703659534454</v>
      </c>
      <c r="E155" s="15" t="n">
        <f aca="false">$C$2*(1+IF(E$3&lt;=$O$2,$D155,$D155-($D155-$I$130)*MIN(E$3-$O$2,$Q$2)/$Q$2))</f>
        <v>2548.82919728756</v>
      </c>
      <c r="F155" s="15" t="n">
        <f aca="false">E155*(1+IF(F$3&lt;=$O$2,$D155,$D155-($D155-$I$130)*MIN(F$3-$O$2,$Q$2)/$Q$2))</f>
        <v>2370.99645143998</v>
      </c>
      <c r="G155" s="15" t="n">
        <f aca="false">F155*(1+IF(G$3&lt;=$O$2,$D155,$D155-($D155-$I$130)*MIN(G$3-$O$2,$Q$2)/$Q$2))</f>
        <v>2205.57116134869</v>
      </c>
      <c r="H155" s="15" t="n">
        <f aca="false">G155*(1+IF(H$3&lt;=$O$2,$D155,$D155-($D155-$I$130)*MIN(H$3-$O$2,$Q$2)/$Q$2))</f>
        <v>2051.68765428503</v>
      </c>
      <c r="I155" s="15" t="n">
        <f aca="false">H155*(1+IF(I$3&lt;=$O$2,$D155,$D155-($D155-$I$130)*MIN(I$3-$O$2,$Q$2)/$Q$2))</f>
        <v>1908.5406558234</v>
      </c>
      <c r="J155" s="15" t="n">
        <f aca="false">I155*(1+IF(J$3&lt;=$O$2,$D155,$D155-($D155-$I$130)*MIN(J$3-$O$2,$Q$2)/$Q$2))</f>
        <v>1814.72387259612</v>
      </c>
      <c r="K155" s="15" t="n">
        <f aca="false">J155*(1+IF(K$3&lt;=$O$2,$D155,$D155-($D155-$I$130)*MIN(K$3-$O$2,$Q$2)/$Q$2))</f>
        <v>1762.92762536181</v>
      </c>
      <c r="L155" s="15" t="n">
        <f aca="false">K155*(1+IF(L$3&lt;=$O$2,$D155,$D155-($D155-$I$130)*MIN(L$3-$O$2,$Q$2)/$Q$2))</f>
        <v>1748.95087708816</v>
      </c>
      <c r="M155" s="15" t="n">
        <f aca="false">L155*(1+IF(M$3&lt;=$O$2,$D155,$D155-($D155-$I$130)*MIN(M$3-$O$2,$Q$2)/$Q$2))</f>
        <v>1771.13793990798</v>
      </c>
      <c r="N155" s="15" t="n">
        <f aca="false">M155*(1+IF(N$3&lt;=$O$2,$D155,$D155-($D155-$I$130)*MIN(N$3-$O$2,$Q$2)/$Q$2))</f>
        <v>1830.11683330692</v>
      </c>
      <c r="O155" s="15" t="n">
        <f aca="false">SUMPRODUCT(E155:N155,1/(1+$F$130)^$E$3:$N$3)*$E$2</f>
        <v>9942.22872793539</v>
      </c>
      <c r="P155" s="15" t="n">
        <f aca="false">N155*$E$2*(1+$I$130)/($F$130-$I$130)/(1+$F$130)^$N$3</f>
        <v>19807.7640683693</v>
      </c>
      <c r="Q155" s="15" t="n">
        <f aca="false">O155+P155</f>
        <v>29749.9927963047</v>
      </c>
      <c r="R155" s="15" t="n">
        <f aca="false">Q155-$G$2+$I$2</f>
        <v>30519.9927963047</v>
      </c>
      <c r="S155" s="42" t="n">
        <f aca="false">R155/$K$2</f>
        <v>292.253114969881</v>
      </c>
      <c r="T155" s="43" t="n">
        <f aca="false">S155-$M$2</f>
        <v>-6.89810912035682E-005</v>
      </c>
    </row>
    <row r="157" customFormat="false" ht="15" hidden="false" customHeight="false" outlineLevel="0" collapsed="false">
      <c r="A157" s="38" t="s">
        <v>183</v>
      </c>
      <c r="E157" s="5" t="s">
        <v>11</v>
      </c>
      <c r="F157" s="12" t="n">
        <f aca="false">Sensitivity!$B$10</f>
        <v>0.0672772551778937</v>
      </c>
      <c r="G157" s="5" t="s">
        <v>12</v>
      </c>
      <c r="I157" s="12" t="n">
        <f aca="false">Sensitivity!$G$9</f>
        <v>0.0383</v>
      </c>
    </row>
    <row r="158" customFormat="false" ht="23.85" hidden="false" customHeight="false" outlineLevel="0" collapsed="false">
      <c r="A158" s="38" t="s">
        <v>159</v>
      </c>
      <c r="B158" s="28" t="s">
        <v>160</v>
      </c>
      <c r="C158" s="28" t="s">
        <v>161</v>
      </c>
      <c r="D158" s="28" t="s">
        <v>162</v>
      </c>
      <c r="E158" s="28" t="s">
        <v>163</v>
      </c>
      <c r="F158" s="28" t="s">
        <v>164</v>
      </c>
      <c r="G158" s="28" t="s">
        <v>165</v>
      </c>
      <c r="H158" s="28" t="s">
        <v>166</v>
      </c>
      <c r="I158" s="28" t="s">
        <v>167</v>
      </c>
      <c r="J158" s="28" t="s">
        <v>168</v>
      </c>
      <c r="K158" s="28" t="s">
        <v>169</v>
      </c>
      <c r="L158" s="28" t="s">
        <v>170</v>
      </c>
      <c r="M158" s="28" t="s">
        <v>171</v>
      </c>
      <c r="N158" s="28" t="s">
        <v>172</v>
      </c>
      <c r="O158" s="28" t="s">
        <v>173</v>
      </c>
      <c r="P158" s="28" t="s">
        <v>174</v>
      </c>
      <c r="Q158" s="28" t="s">
        <v>175</v>
      </c>
      <c r="R158" s="28" t="s">
        <v>176</v>
      </c>
      <c r="S158" s="28" t="s">
        <v>177</v>
      </c>
      <c r="T158" s="28" t="s">
        <v>178</v>
      </c>
    </row>
    <row r="159" customFormat="false" ht="15" hidden="false" customHeight="false" outlineLevel="0" collapsed="false">
      <c r="A159" s="5" t="n">
        <v>1</v>
      </c>
      <c r="B159" s="24" t="n">
        <v>-0.5</v>
      </c>
      <c r="C159" s="24" t="n">
        <v>1</v>
      </c>
      <c r="D159" s="41" t="n">
        <f aca="false">(B159+C159)/2</f>
        <v>0.25</v>
      </c>
      <c r="E159" s="15" t="n">
        <f aca="false">$C$2*(1+IF(E$3&lt;=$O$2,$D159,$D159-($D159-$I$157)*MIN(E$3-$O$2,$Q$2)/$Q$2))</f>
        <v>3425</v>
      </c>
      <c r="F159" s="15" t="n">
        <f aca="false">E159*(1+IF(F$3&lt;=$O$2,$D159,$D159-($D159-$I$157)*MIN(F$3-$O$2,$Q$2)/$Q$2))</f>
        <v>4281.25</v>
      </c>
      <c r="G159" s="15" t="n">
        <f aca="false">F159*(1+IF(G$3&lt;=$O$2,$D159,$D159-($D159-$I$157)*MIN(G$3-$O$2,$Q$2)/$Q$2))</f>
        <v>5351.5625</v>
      </c>
      <c r="H159" s="15" t="n">
        <f aca="false">G159*(1+IF(H$3&lt;=$O$2,$D159,$D159-($D159-$I$157)*MIN(H$3-$O$2,$Q$2)/$Q$2))</f>
        <v>6689.453125</v>
      </c>
      <c r="I159" s="15" t="n">
        <f aca="false">H159*(1+IF(I$3&lt;=$O$2,$D159,$D159-($D159-$I$157)*MIN(I$3-$O$2,$Q$2)/$Q$2))</f>
        <v>8361.81640625</v>
      </c>
      <c r="J159" s="15" t="n">
        <f aca="false">I159*(1+IF(J$3&lt;=$O$2,$D159,$D159-($D159-$I$157)*MIN(J$3-$O$2,$Q$2)/$Q$2))</f>
        <v>10098.2312011719</v>
      </c>
      <c r="K159" s="15" t="n">
        <f aca="false">J159*(1+IF(K$3&lt;=$O$2,$D159,$D159-($D159-$I$157)*MIN(K$3-$O$2,$Q$2)/$Q$2))</f>
        <v>11767.6707833496</v>
      </c>
      <c r="L159" s="15" t="n">
        <f aca="false">K159*(1+IF(L$3&lt;=$O$2,$D159,$D159-($D159-$I$157)*MIN(L$3-$O$2,$Q$2)/$Q$2))</f>
        <v>13214.8589362859</v>
      </c>
      <c r="M159" s="15" t="n">
        <f aca="false">L159*(1+IF(M$3&lt;=$O$2,$D159,$D159-($D159-$I$157)*MIN(M$3-$O$2,$Q$2)/$Q$2))</f>
        <v>14280.505160908</v>
      </c>
      <c r="N159" s="15" t="n">
        <f aca="false">M159*(1+IF(N$3&lt;=$O$2,$D159,$D159-($D159-$I$157)*MIN(N$3-$O$2,$Q$2)/$Q$2))</f>
        <v>14827.4485085708</v>
      </c>
      <c r="O159" s="15" t="n">
        <f aca="false">SUMPRODUCT(E159:N159,1/(1+$F$157)^$E$3:$N$3)*$E$2</f>
        <v>41212.1059419657</v>
      </c>
      <c r="P159" s="15" t="n">
        <f aca="false">N159*$E$2*(1+$I$157)/($F$157-$I$157)/(1+$F$157)^$N$3</f>
        <v>189082.151156027</v>
      </c>
      <c r="Q159" s="15" t="n">
        <f aca="false">O159+P159</f>
        <v>230294.257097993</v>
      </c>
      <c r="R159" s="15" t="n">
        <f aca="false">Q159-$G$2+$I$2</f>
        <v>231064.257097993</v>
      </c>
      <c r="S159" s="42" t="n">
        <f aca="false">R159/$K$2</f>
        <v>2212.62335629601</v>
      </c>
      <c r="T159" s="43" t="n">
        <f aca="false">S159-$M$2</f>
        <v>1920.37017234504</v>
      </c>
    </row>
    <row r="160" customFormat="false" ht="15" hidden="false" customHeight="false" outlineLevel="0" collapsed="false">
      <c r="A160" s="5" t="n">
        <v>2</v>
      </c>
      <c r="B160" s="25" t="n">
        <f aca="false">IF(T159&gt;0,B159,D159)</f>
        <v>-0.5</v>
      </c>
      <c r="C160" s="25" t="n">
        <f aca="false">IF(T159&gt;0,D159,C159)</f>
        <v>0.25</v>
      </c>
      <c r="D160" s="41" t="n">
        <f aca="false">(B160+C160)/2</f>
        <v>-0.125</v>
      </c>
      <c r="E160" s="15" t="n">
        <f aca="false">$C$2*(1+IF(E$3&lt;=$O$2,$D160,$D160-($D160-$I$157)*MIN(E$3-$O$2,$Q$2)/$Q$2))</f>
        <v>2397.5</v>
      </c>
      <c r="F160" s="15" t="n">
        <f aca="false">E160*(1+IF(F$3&lt;=$O$2,$D160,$D160-($D160-$I$157)*MIN(F$3-$O$2,$Q$2)/$Q$2))</f>
        <v>2097.8125</v>
      </c>
      <c r="G160" s="15" t="n">
        <f aca="false">F160*(1+IF(G$3&lt;=$O$2,$D160,$D160-($D160-$I$157)*MIN(G$3-$O$2,$Q$2)/$Q$2))</f>
        <v>1835.5859375</v>
      </c>
      <c r="H160" s="15" t="n">
        <f aca="false">G160*(1+IF(H$3&lt;=$O$2,$D160,$D160-($D160-$I$157)*MIN(H$3-$O$2,$Q$2)/$Q$2))</f>
        <v>1606.1376953125</v>
      </c>
      <c r="I160" s="15" t="n">
        <f aca="false">H160*(1+IF(I$3&lt;=$O$2,$D160,$D160-($D160-$I$157)*MIN(I$3-$O$2,$Q$2)/$Q$2))</f>
        <v>1405.37048339844</v>
      </c>
      <c r="J160" s="15" t="n">
        <f aca="false">I160*(1+IF(J$3&lt;=$O$2,$D160,$D160-($D160-$I$157)*MIN(J$3-$O$2,$Q$2)/$Q$2))</f>
        <v>1275.59857296143</v>
      </c>
      <c r="K160" s="15" t="n">
        <f aca="false">J160*(1+IF(K$3&lt;=$O$2,$D160,$D160-($D160-$I$157)*MIN(K$3-$O$2,$Q$2)/$Q$2))</f>
        <v>1199.47085012709</v>
      </c>
      <c r="L160" s="15" t="n">
        <f aca="false">K160*(1+IF(L$3&lt;=$O$2,$D160,$D160-($D160-$I$157)*MIN(L$3-$O$2,$Q$2)/$Q$2))</f>
        <v>1167.06114775665</v>
      </c>
      <c r="M160" s="15" t="n">
        <f aca="false">L160*(1+IF(M$3&lt;=$O$2,$D160,$D160-($D160-$I$157)*MIN(M$3-$O$2,$Q$2)/$Q$2))</f>
        <v>1173.64337263</v>
      </c>
      <c r="N160" s="15" t="n">
        <f aca="false">M160*(1+IF(N$3&lt;=$O$2,$D160,$D160-($D160-$I$157)*MIN(N$3-$O$2,$Q$2)/$Q$2))</f>
        <v>1218.59391380173</v>
      </c>
      <c r="O160" s="15" t="n">
        <f aca="false">SUMPRODUCT(E160:N160,1/(1+$F$157)^$E$3:$N$3)*$E$2</f>
        <v>7818.52034414613</v>
      </c>
      <c r="P160" s="15" t="n">
        <f aca="false">N160*$E$2*(1+$I$157)/($F$157-$I$157)/(1+$F$157)^$N$3</f>
        <v>15539.7173339759</v>
      </c>
      <c r="Q160" s="15" t="n">
        <f aca="false">O160+P160</f>
        <v>23358.237678122</v>
      </c>
      <c r="R160" s="15" t="n">
        <f aca="false">Q160-$G$2+$I$2</f>
        <v>24128.237678122</v>
      </c>
      <c r="S160" s="42" t="n">
        <f aca="false">R160/$K$2</f>
        <v>231.046994906847</v>
      </c>
      <c r="T160" s="43" t="n">
        <f aca="false">S160-$M$2</f>
        <v>-61.206189044125</v>
      </c>
    </row>
    <row r="161" customFormat="false" ht="15" hidden="false" customHeight="false" outlineLevel="0" collapsed="false">
      <c r="A161" s="5" t="n">
        <v>3</v>
      </c>
      <c r="B161" s="25" t="n">
        <f aca="false">IF(T160&gt;0,B160,D160)</f>
        <v>-0.125</v>
      </c>
      <c r="C161" s="25" t="n">
        <f aca="false">IF(T160&gt;0,D160,C160)</f>
        <v>0.25</v>
      </c>
      <c r="D161" s="41" t="n">
        <f aca="false">(B161+C161)/2</f>
        <v>0.0625</v>
      </c>
      <c r="E161" s="15" t="n">
        <f aca="false">$C$2*(1+IF(E$3&lt;=$O$2,$D161,$D161-($D161-$I$157)*MIN(E$3-$O$2,$Q$2)/$Q$2))</f>
        <v>2911.25</v>
      </c>
      <c r="F161" s="15" t="n">
        <f aca="false">E161*(1+IF(F$3&lt;=$O$2,$D161,$D161-($D161-$I$157)*MIN(F$3-$O$2,$Q$2)/$Q$2))</f>
        <v>3093.203125</v>
      </c>
      <c r="G161" s="15" t="n">
        <f aca="false">F161*(1+IF(G$3&lt;=$O$2,$D161,$D161-($D161-$I$157)*MIN(G$3-$O$2,$Q$2)/$Q$2))</f>
        <v>3286.5283203125</v>
      </c>
      <c r="H161" s="15" t="n">
        <f aca="false">G161*(1+IF(H$3&lt;=$O$2,$D161,$D161-($D161-$I$157)*MIN(H$3-$O$2,$Q$2)/$Q$2))</f>
        <v>3491.93634033203</v>
      </c>
      <c r="I161" s="15" t="n">
        <f aca="false">H161*(1+IF(I$3&lt;=$O$2,$D161,$D161-($D161-$I$157)*MIN(I$3-$O$2,$Q$2)/$Q$2))</f>
        <v>3710.18236160278</v>
      </c>
      <c r="J161" s="15" t="n">
        <f aca="false">I161*(1+IF(J$3&lt;=$O$2,$D161,$D161-($D161-$I$157)*MIN(J$3-$O$2,$Q$2)/$Q$2))</f>
        <v>3924.1114765728</v>
      </c>
      <c r="K161" s="15" t="n">
        <f aca="false">J161*(1+IF(K$3&lt;=$O$2,$D161,$D161-($D161-$I$157)*MIN(K$3-$O$2,$Q$2)/$Q$2))</f>
        <v>4131.38304476538</v>
      </c>
      <c r="L161" s="15" t="n">
        <f aca="false">K161*(1+IF(L$3&lt;=$O$2,$D161,$D161-($D161-$I$157)*MIN(L$3-$O$2,$Q$2)/$Q$2))</f>
        <v>4329.60680325322</v>
      </c>
      <c r="M161" s="15" t="n">
        <f aca="false">L161*(1+IF(M$3&lt;=$O$2,$D161,$D161-($D161-$I$157)*MIN(M$3-$O$2,$Q$2)/$Q$2))</f>
        <v>4516.38604074556</v>
      </c>
      <c r="N161" s="15" t="n">
        <f aca="false">M161*(1+IF(N$3&lt;=$O$2,$D161,$D161-($D161-$I$157)*MIN(N$3-$O$2,$Q$2)/$Q$2))</f>
        <v>4689.36362610612</v>
      </c>
      <c r="O161" s="15" t="n">
        <f aca="false">SUMPRODUCT(E161:N161,1/(1+$F$157)^$E$3:$N$3)*$E$2</f>
        <v>17964.3067857129</v>
      </c>
      <c r="P161" s="15" t="n">
        <f aca="false">N161*$E$2*(1+$I$157)/($F$157-$I$157)/(1+$F$157)^$N$3</f>
        <v>59799.5644000678</v>
      </c>
      <c r="Q161" s="15" t="n">
        <f aca="false">O161+P161</f>
        <v>77763.8711857807</v>
      </c>
      <c r="R161" s="15" t="n">
        <f aca="false">Q161-$G$2+$I$2</f>
        <v>78533.8711857807</v>
      </c>
      <c r="S161" s="42" t="n">
        <f aca="false">R161/$K$2</f>
        <v>752.024046593706</v>
      </c>
      <c r="T161" s="43" t="n">
        <f aca="false">S161-$M$2</f>
        <v>459.770862642734</v>
      </c>
    </row>
    <row r="162" customFormat="false" ht="15" hidden="false" customHeight="false" outlineLevel="0" collapsed="false">
      <c r="A162" s="5" t="n">
        <v>4</v>
      </c>
      <c r="B162" s="25" t="n">
        <f aca="false">IF(T161&gt;0,B161,D161)</f>
        <v>-0.125</v>
      </c>
      <c r="C162" s="25" t="n">
        <f aca="false">IF(T161&gt;0,D161,C161)</f>
        <v>0.0625</v>
      </c>
      <c r="D162" s="41" t="n">
        <f aca="false">(B162+C162)/2</f>
        <v>-0.03125</v>
      </c>
      <c r="E162" s="15" t="n">
        <f aca="false">$C$2*(1+IF(E$3&lt;=$O$2,$D162,$D162-($D162-$I$157)*MIN(E$3-$O$2,$Q$2)/$Q$2))</f>
        <v>2654.375</v>
      </c>
      <c r="F162" s="15" t="n">
        <f aca="false">E162*(1+IF(F$3&lt;=$O$2,$D162,$D162-($D162-$I$157)*MIN(F$3-$O$2,$Q$2)/$Q$2))</f>
        <v>2571.42578125</v>
      </c>
      <c r="G162" s="15" t="n">
        <f aca="false">F162*(1+IF(G$3&lt;=$O$2,$D162,$D162-($D162-$I$157)*MIN(G$3-$O$2,$Q$2)/$Q$2))</f>
        <v>2491.06872558594</v>
      </c>
      <c r="H162" s="15" t="n">
        <f aca="false">G162*(1+IF(H$3&lt;=$O$2,$D162,$D162-($D162-$I$157)*MIN(H$3-$O$2,$Q$2)/$Q$2))</f>
        <v>2413.22282791138</v>
      </c>
      <c r="I162" s="15" t="n">
        <f aca="false">H162*(1+IF(I$3&lt;=$O$2,$D162,$D162-($D162-$I$157)*MIN(I$3-$O$2,$Q$2)/$Q$2))</f>
        <v>2337.80961453915</v>
      </c>
      <c r="J162" s="15" t="n">
        <f aca="false">I162*(1+IF(J$3&lt;=$O$2,$D162,$D162-($D162-$I$157)*MIN(J$3-$O$2,$Q$2)/$Q$2))</f>
        <v>2297.27199582304</v>
      </c>
      <c r="K162" s="15" t="n">
        <f aca="false">J162*(1+IF(K$3&lt;=$O$2,$D162,$D162-($D162-$I$157)*MIN(K$3-$O$2,$Q$2)/$Q$2))</f>
        <v>2289.39235287737</v>
      </c>
      <c r="L162" s="15" t="n">
        <f aca="false">K162*(1+IF(L$3&lt;=$O$2,$D162,$D162-($D162-$I$157)*MIN(L$3-$O$2,$Q$2)/$Q$2))</f>
        <v>2313.38518473552</v>
      </c>
      <c r="M162" s="15" t="n">
        <f aca="false">L162*(1+IF(M$3&lt;=$O$2,$D162,$D162-($D162-$I$157)*MIN(M$3-$O$2,$Q$2)/$Q$2))</f>
        <v>2369.80864939122</v>
      </c>
      <c r="N162" s="15" t="n">
        <f aca="false">M162*(1+IF(N$3&lt;=$O$2,$D162,$D162-($D162-$I$157)*MIN(N$3-$O$2,$Q$2)/$Q$2))</f>
        <v>2460.5723206629</v>
      </c>
      <c r="O162" s="15" t="n">
        <f aca="false">SUMPRODUCT(E162:N162,1/(1+$F$157)^$E$3:$N$3)*$E$2</f>
        <v>11823.0042741856</v>
      </c>
      <c r="P162" s="15" t="n">
        <f aca="false">N162*$E$2*(1+$I$157)/($F$157-$I$157)/(1+$F$157)^$N$3</f>
        <v>31377.6377100205</v>
      </c>
      <c r="Q162" s="15" t="n">
        <f aca="false">O162+P162</f>
        <v>43200.6419842061</v>
      </c>
      <c r="R162" s="15" t="n">
        <f aca="false">Q162-$G$2+$I$2</f>
        <v>43970.6419842061</v>
      </c>
      <c r="S162" s="42" t="n">
        <f aca="false">R162/$K$2</f>
        <v>421.053739195692</v>
      </c>
      <c r="T162" s="43" t="n">
        <f aca="false">S162-$M$2</f>
        <v>128.80055524472</v>
      </c>
    </row>
    <row r="163" customFormat="false" ht="15" hidden="false" customHeight="false" outlineLevel="0" collapsed="false">
      <c r="A163" s="5" t="n">
        <v>5</v>
      </c>
      <c r="B163" s="25" t="n">
        <f aca="false">IF(T162&gt;0,B162,D162)</f>
        <v>-0.125</v>
      </c>
      <c r="C163" s="25" t="n">
        <f aca="false">IF(T162&gt;0,D162,C162)</f>
        <v>-0.03125</v>
      </c>
      <c r="D163" s="41" t="n">
        <f aca="false">(B163+C163)/2</f>
        <v>-0.078125</v>
      </c>
      <c r="E163" s="15" t="n">
        <f aca="false">$C$2*(1+IF(E$3&lt;=$O$2,$D163,$D163-($D163-$I$157)*MIN(E$3-$O$2,$Q$2)/$Q$2))</f>
        <v>2525.9375</v>
      </c>
      <c r="F163" s="15" t="n">
        <f aca="false">E163*(1+IF(F$3&lt;=$O$2,$D163,$D163-($D163-$I$157)*MIN(F$3-$O$2,$Q$2)/$Q$2))</f>
        <v>2328.5986328125</v>
      </c>
      <c r="G163" s="15" t="n">
        <f aca="false">F163*(1+IF(G$3&lt;=$O$2,$D163,$D163-($D163-$I$157)*MIN(G$3-$O$2,$Q$2)/$Q$2))</f>
        <v>2146.67686462402</v>
      </c>
      <c r="H163" s="15" t="n">
        <f aca="false">G163*(1+IF(H$3&lt;=$O$2,$D163,$D163-($D163-$I$157)*MIN(H$3-$O$2,$Q$2)/$Q$2))</f>
        <v>1978.96773457527</v>
      </c>
      <c r="I163" s="15" t="n">
        <f aca="false">H163*(1+IF(I$3&lt;=$O$2,$D163,$D163-($D163-$I$157)*MIN(I$3-$O$2,$Q$2)/$Q$2))</f>
        <v>1824.36088031158</v>
      </c>
      <c r="J163" s="15" t="n">
        <f aca="false">I163*(1+IF(J$3&lt;=$O$2,$D163,$D163-($D163-$I$157)*MIN(J$3-$O$2,$Q$2)/$Q$2))</f>
        <v>1724.31292963529</v>
      </c>
      <c r="K163" s="15" t="n">
        <f aca="false">J163*(1+IF(K$3&lt;=$O$2,$D163,$D163-($D163-$I$157)*MIN(K$3-$O$2,$Q$2)/$Q$2))</f>
        <v>1669.90223514065</v>
      </c>
      <c r="L163" s="15" t="n">
        <f aca="false">K163*(1+IF(L$3&lt;=$O$2,$D163,$D163-($D163-$I$157)*MIN(L$3-$O$2,$Q$2)/$Q$2))</f>
        <v>1656.09214365604</v>
      </c>
      <c r="M163" s="15" t="n">
        <f aca="false">L163*(1+IF(M$3&lt;=$O$2,$D163,$D163-($D163-$I$157)*MIN(M$3-$O$2,$Q$2)/$Q$2))</f>
        <v>1680.95836719303</v>
      </c>
      <c r="N163" s="15" t="n">
        <f aca="false">M163*(1+IF(N$3&lt;=$O$2,$D163,$D163-($D163-$I$157)*MIN(N$3-$O$2,$Q$2)/$Q$2))</f>
        <v>1745.33907265653</v>
      </c>
      <c r="O163" s="15" t="n">
        <f aca="false">SUMPRODUCT(E163:N163,1/(1+$F$157)^$E$3:$N$3)*$E$2</f>
        <v>9605.3209312648</v>
      </c>
      <c r="P163" s="15" t="n">
        <f aca="false">N163*$E$2*(1+$I$157)/($F$157-$I$157)/(1+$F$157)^$N$3</f>
        <v>22256.8613988982</v>
      </c>
      <c r="Q163" s="15" t="n">
        <f aca="false">O163+P163</f>
        <v>31862.182330163</v>
      </c>
      <c r="R163" s="15" t="n">
        <f aca="false">Q163-$G$2+$I$2</f>
        <v>32632.182330163</v>
      </c>
      <c r="S163" s="42" t="n">
        <f aca="false">R163/$K$2</f>
        <v>312.479003448846</v>
      </c>
      <c r="T163" s="43" t="n">
        <f aca="false">S163-$M$2</f>
        <v>20.2258194978742</v>
      </c>
    </row>
    <row r="164" customFormat="false" ht="15" hidden="false" customHeight="false" outlineLevel="0" collapsed="false">
      <c r="A164" s="5" t="n">
        <v>6</v>
      </c>
      <c r="B164" s="25" t="n">
        <f aca="false">IF(T163&gt;0,B163,D163)</f>
        <v>-0.125</v>
      </c>
      <c r="C164" s="25" t="n">
        <f aca="false">IF(T163&gt;0,D163,C163)</f>
        <v>-0.078125</v>
      </c>
      <c r="D164" s="41" t="n">
        <f aca="false">(B164+C164)/2</f>
        <v>-0.1015625</v>
      </c>
      <c r="E164" s="15" t="n">
        <f aca="false">$C$2*(1+IF(E$3&lt;=$O$2,$D164,$D164-($D164-$I$157)*MIN(E$3-$O$2,$Q$2)/$Q$2))</f>
        <v>2461.71875</v>
      </c>
      <c r="F164" s="15" t="n">
        <f aca="false">E164*(1+IF(F$3&lt;=$O$2,$D164,$D164-($D164-$I$157)*MIN(F$3-$O$2,$Q$2)/$Q$2))</f>
        <v>2211.70043945313</v>
      </c>
      <c r="G164" s="15" t="n">
        <f aca="false">F164*(1+IF(G$3&lt;=$O$2,$D164,$D164-($D164-$I$157)*MIN(G$3-$O$2,$Q$2)/$Q$2))</f>
        <v>1987.07461357117</v>
      </c>
      <c r="H164" s="15" t="n">
        <f aca="false">G164*(1+IF(H$3&lt;=$O$2,$D164,$D164-($D164-$I$157)*MIN(H$3-$O$2,$Q$2)/$Q$2))</f>
        <v>1785.26234813035</v>
      </c>
      <c r="I164" s="15" t="n">
        <f aca="false">H164*(1+IF(I$3&lt;=$O$2,$D164,$D164-($D164-$I$157)*MIN(I$3-$O$2,$Q$2)/$Q$2))</f>
        <v>1603.94664089836</v>
      </c>
      <c r="J164" s="15" t="n">
        <f aca="false">I164*(1+IF(J$3&lt;=$O$2,$D164,$D164-($D164-$I$157)*MIN(J$3-$O$2,$Q$2)/$Q$2))</f>
        <v>1485.91220759465</v>
      </c>
      <c r="K164" s="15" t="n">
        <f aca="false">J164*(1+IF(K$3&lt;=$O$2,$D164,$D164-($D164-$I$157)*MIN(K$3-$O$2,$Q$2)/$Q$2))</f>
        <v>1418.1286074647</v>
      </c>
      <c r="L164" s="15" t="n">
        <f aca="false">K164*(1+IF(L$3&lt;=$O$2,$D164,$D164-($D164-$I$157)*MIN(L$3-$O$2,$Q$2)/$Q$2))</f>
        <v>1393.10572818598</v>
      </c>
      <c r="M164" s="15" t="n">
        <f aca="false">L164*(1+IF(M$3&lt;=$O$2,$D164,$D164-($D164-$I$157)*MIN(M$3-$O$2,$Q$2)/$Q$2))</f>
        <v>1407.49302759382</v>
      </c>
      <c r="N164" s="15" t="n">
        <f aca="false">M164*(1+IF(N$3&lt;=$O$2,$D164,$D164-($D164-$I$157)*MIN(N$3-$O$2,$Q$2)/$Q$2))</f>
        <v>1461.40001055067</v>
      </c>
      <c r="O164" s="15" t="n">
        <f aca="false">SUMPRODUCT(E164:N164,1/(1+$F$157)^$E$3:$N$3)*$E$2</f>
        <v>8663.54537176453</v>
      </c>
      <c r="P164" s="15" t="n">
        <f aca="false">N164*$E$2*(1+$I$157)/($F$157-$I$157)/(1+$F$157)^$N$3</f>
        <v>18636.0220731594</v>
      </c>
      <c r="Q164" s="15" t="n">
        <f aca="false">O164+P164</f>
        <v>27299.567444924</v>
      </c>
      <c r="R164" s="15" t="n">
        <f aca="false">Q164-$G$2+$I$2</f>
        <v>28069.567444924</v>
      </c>
      <c r="S164" s="42" t="n">
        <f aca="false">R164/$K$2</f>
        <v>268.788350521153</v>
      </c>
      <c r="T164" s="43" t="n">
        <f aca="false">S164-$M$2</f>
        <v>-23.4648334298195</v>
      </c>
    </row>
    <row r="165" customFormat="false" ht="15" hidden="false" customHeight="false" outlineLevel="0" collapsed="false">
      <c r="A165" s="5" t="n">
        <v>7</v>
      </c>
      <c r="B165" s="25" t="n">
        <f aca="false">IF(T164&gt;0,B164,D164)</f>
        <v>-0.1015625</v>
      </c>
      <c r="C165" s="25" t="n">
        <f aca="false">IF(T164&gt;0,D164,C164)</f>
        <v>-0.078125</v>
      </c>
      <c r="D165" s="41" t="n">
        <f aca="false">(B165+C165)/2</f>
        <v>-0.08984375</v>
      </c>
      <c r="E165" s="15" t="n">
        <f aca="false">$C$2*(1+IF(E$3&lt;=$O$2,$D165,$D165-($D165-$I$157)*MIN(E$3-$O$2,$Q$2)/$Q$2))</f>
        <v>2493.828125</v>
      </c>
      <c r="F165" s="15" t="n">
        <f aca="false">E165*(1+IF(F$3&lt;=$O$2,$D165,$D165-($D165-$I$157)*MIN(F$3-$O$2,$Q$2)/$Q$2))</f>
        <v>2269.77325439453</v>
      </c>
      <c r="G165" s="15" t="n">
        <f aca="false">F165*(1+IF(G$3&lt;=$O$2,$D165,$D165-($D165-$I$157)*MIN(G$3-$O$2,$Q$2)/$Q$2))</f>
        <v>2065.84831357002</v>
      </c>
      <c r="H165" s="15" t="n">
        <f aca="false">G165*(1+IF(H$3&lt;=$O$2,$D165,$D165-($D165-$I$157)*MIN(H$3-$O$2,$Q$2)/$Q$2))</f>
        <v>1880.24475414772</v>
      </c>
      <c r="I165" s="15" t="n">
        <f aca="false">H165*(1+IF(I$3&lt;=$O$2,$D165,$D165-($D165-$I$157)*MIN(I$3-$O$2,$Q$2)/$Q$2))</f>
        <v>1711.31651451726</v>
      </c>
      <c r="J165" s="15" t="n">
        <f aca="false">I165*(1+IF(J$3&lt;=$O$2,$D165,$D165-($D165-$I$157)*MIN(J$3-$O$2,$Q$2)/$Q$2))</f>
        <v>1601.42432453753</v>
      </c>
      <c r="K165" s="15" t="n">
        <f aca="false">J165*(1+IF(K$3&lt;=$O$2,$D165,$D165-($D165-$I$157)*MIN(K$3-$O$2,$Q$2)/$Q$2))</f>
        <v>1539.63136519484</v>
      </c>
      <c r="L165" s="15" t="n">
        <f aca="false">K165*(1+IF(L$3&lt;=$O$2,$D165,$D165-($D165-$I$157)*MIN(L$3-$O$2,$Q$2)/$Q$2))</f>
        <v>1519.68159178033</v>
      </c>
      <c r="M165" s="15" t="n">
        <f aca="false">L165*(1+IF(M$3&lt;=$O$2,$D165,$D165-($D165-$I$157)*MIN(M$3-$O$2,$Q$2)/$Q$2))</f>
        <v>1538.93785715018</v>
      </c>
      <c r="N165" s="15" t="n">
        <f aca="false">M165*(1+IF(N$3&lt;=$O$2,$D165,$D165-($D165-$I$157)*MIN(N$3-$O$2,$Q$2)/$Q$2))</f>
        <v>1597.87917707903</v>
      </c>
      <c r="O165" s="15" t="n">
        <f aca="false">SUMPRODUCT(E165:N165,1/(1+$F$157)^$E$3:$N$3)*$E$2</f>
        <v>9121.69297622852</v>
      </c>
      <c r="P165" s="15" t="n">
        <f aca="false">N165*$E$2*(1+$I$157)/($F$157-$I$157)/(1+$F$157)^$N$3</f>
        <v>20376.4276716174</v>
      </c>
      <c r="Q165" s="15" t="n">
        <f aca="false">O165+P165</f>
        <v>29498.120647846</v>
      </c>
      <c r="R165" s="15" t="n">
        <f aca="false">Q165-$G$2+$I$2</f>
        <v>30268.120647846</v>
      </c>
      <c r="S165" s="42" t="n">
        <f aca="false">R165/$K$2</f>
        <v>289.841239565699</v>
      </c>
      <c r="T165" s="43" t="n">
        <f aca="false">S165-$M$2</f>
        <v>-2.41194438527299</v>
      </c>
    </row>
    <row r="166" customFormat="false" ht="15" hidden="false" customHeight="false" outlineLevel="0" collapsed="false">
      <c r="A166" s="5" t="n">
        <v>8</v>
      </c>
      <c r="B166" s="25" t="n">
        <f aca="false">IF(T165&gt;0,B165,D165)</f>
        <v>-0.08984375</v>
      </c>
      <c r="C166" s="25" t="n">
        <f aca="false">IF(T165&gt;0,D165,C165)</f>
        <v>-0.078125</v>
      </c>
      <c r="D166" s="41" t="n">
        <f aca="false">(B166+C166)/2</f>
        <v>-0.083984375</v>
      </c>
      <c r="E166" s="15" t="n">
        <f aca="false">$C$2*(1+IF(E$3&lt;=$O$2,$D166,$D166-($D166-$I$157)*MIN(E$3-$O$2,$Q$2)/$Q$2))</f>
        <v>2509.8828125</v>
      </c>
      <c r="F166" s="15" t="n">
        <f aca="false">E166*(1+IF(F$3&lt;=$O$2,$D166,$D166-($D166-$I$157)*MIN(F$3-$O$2,$Q$2)/$Q$2))</f>
        <v>2299.09187316895</v>
      </c>
      <c r="G166" s="15" t="n">
        <f aca="false">F166*(1+IF(G$3&lt;=$O$2,$D166,$D166-($D166-$I$157)*MIN(G$3-$O$2,$Q$2)/$Q$2))</f>
        <v>2106.00407913327</v>
      </c>
      <c r="H166" s="15" t="n">
        <f aca="false">G166*(1+IF(H$3&lt;=$O$2,$D166,$D166-($D166-$I$157)*MIN(H$3-$O$2,$Q$2)/$Q$2))</f>
        <v>1929.13264279981</v>
      </c>
      <c r="I166" s="15" t="n">
        <f aca="false">H166*(1+IF(I$3&lt;=$O$2,$D166,$D166-($D166-$I$157)*MIN(I$3-$O$2,$Q$2)/$Q$2))</f>
        <v>1767.11564350217</v>
      </c>
      <c r="J166" s="15" t="n">
        <f aca="false">I166*(1+IF(J$3&lt;=$O$2,$D166,$D166-($D166-$I$157)*MIN(J$3-$O$2,$Q$2)/$Q$2))</f>
        <v>1661.9236670336</v>
      </c>
      <c r="K166" s="15" t="n">
        <f aca="false">J166*(1+IF(K$3&lt;=$O$2,$D166,$D166-($D166-$I$157)*MIN(K$3-$O$2,$Q$2)/$Q$2))</f>
        <v>1603.63896532844</v>
      </c>
      <c r="L166" s="15" t="n">
        <f aca="false">K166*(1+IF(L$3&lt;=$O$2,$D166,$D166-($D166-$I$157)*MIN(L$3-$O$2,$Q$2)/$Q$2))</f>
        <v>1586.61834226018</v>
      </c>
      <c r="M166" s="15" t="n">
        <f aca="false">L166*(1+IF(M$3&lt;=$O$2,$D166,$D166-($D166-$I$157)*MIN(M$3-$O$2,$Q$2)/$Q$2))</f>
        <v>1608.58209829938</v>
      </c>
      <c r="N166" s="15" t="n">
        <f aca="false">M166*(1+IF(N$3&lt;=$O$2,$D166,$D166-($D166-$I$157)*MIN(N$3-$O$2,$Q$2)/$Q$2))</f>
        <v>1670.19079266425</v>
      </c>
      <c r="O166" s="15" t="n">
        <f aca="false">SUMPRODUCT(E166:N166,1/(1+$F$157)^$E$3:$N$3)*$E$2</f>
        <v>9360.2377962887</v>
      </c>
      <c r="P166" s="15" t="n">
        <f aca="false">N166*$E$2*(1+$I$157)/($F$157-$I$157)/(1+$F$157)^$N$3</f>
        <v>21298.557721202</v>
      </c>
      <c r="Q166" s="15" t="n">
        <f aca="false">O166+P166</f>
        <v>30658.7955174907</v>
      </c>
      <c r="R166" s="15" t="n">
        <f aca="false">Q166-$G$2+$I$2</f>
        <v>31428.7955174907</v>
      </c>
      <c r="S166" s="42" t="n">
        <f aca="false">R166/$K$2</f>
        <v>300.955621157624</v>
      </c>
      <c r="T166" s="43" t="n">
        <f aca="false">S166-$M$2</f>
        <v>8.70243720665195</v>
      </c>
    </row>
    <row r="167" customFormat="false" ht="15" hidden="false" customHeight="false" outlineLevel="0" collapsed="false">
      <c r="A167" s="5" t="n">
        <v>9</v>
      </c>
      <c r="B167" s="25" t="n">
        <f aca="false">IF(T166&gt;0,B166,D166)</f>
        <v>-0.08984375</v>
      </c>
      <c r="C167" s="25" t="n">
        <f aca="false">IF(T166&gt;0,D166,C166)</f>
        <v>-0.083984375</v>
      </c>
      <c r="D167" s="41" t="n">
        <f aca="false">(B167+C167)/2</f>
        <v>-0.0869140625</v>
      </c>
      <c r="E167" s="15" t="n">
        <f aca="false">$C$2*(1+IF(E$3&lt;=$O$2,$D167,$D167-($D167-$I$157)*MIN(E$3-$O$2,$Q$2)/$Q$2))</f>
        <v>2501.85546875</v>
      </c>
      <c r="F167" s="15" t="n">
        <f aca="false">E167*(1+IF(F$3&lt;=$O$2,$D167,$D167-($D167-$I$157)*MIN(F$3-$O$2,$Q$2)/$Q$2))</f>
        <v>2284.4090461731</v>
      </c>
      <c r="G167" s="15" t="n">
        <f aca="false">F167*(1+IF(G$3&lt;=$O$2,$D167,$D167-($D167-$I$157)*MIN(G$3-$O$2,$Q$2)/$Q$2))</f>
        <v>2085.86177555844</v>
      </c>
      <c r="H167" s="15" t="n">
        <f aca="false">G167*(1+IF(H$3&lt;=$O$2,$D167,$D167-($D167-$I$157)*MIN(H$3-$O$2,$Q$2)/$Q$2))</f>
        <v>1904.57105483119</v>
      </c>
      <c r="I167" s="15" t="n">
        <f aca="false">H167*(1+IF(I$3&lt;=$O$2,$D167,$D167-($D167-$I$157)*MIN(I$3-$O$2,$Q$2)/$Q$2))</f>
        <v>1739.03704713591</v>
      </c>
      <c r="J167" s="15" t="n">
        <f aca="false">I167*(1+IF(J$3&lt;=$O$2,$D167,$D167-($D167-$I$157)*MIN(J$3-$O$2,$Q$2)/$Q$2))</f>
        <v>1631.4406512333</v>
      </c>
      <c r="K167" s="15" t="n">
        <f aca="false">J167*(1+IF(K$3&lt;=$O$2,$D167,$D167-($D167-$I$157)*MIN(K$3-$O$2,$Q$2)/$Q$2))</f>
        <v>1571.35724117439</v>
      </c>
      <c r="L167" s="15" t="n">
        <f aca="false">K167*(1+IF(L$3&lt;=$O$2,$D167,$D167-($D167-$I$157)*MIN(L$3-$O$2,$Q$2)/$Q$2))</f>
        <v>1552.83781398888</v>
      </c>
      <c r="M167" s="15" t="n">
        <f aca="false">L167*(1+IF(M$3&lt;=$O$2,$D167,$D167-($D167-$I$157)*MIN(M$3-$O$2,$Q$2)/$Q$2))</f>
        <v>1573.42407604602</v>
      </c>
      <c r="N167" s="15" t="n">
        <f aca="false">M167*(1+IF(N$3&lt;=$O$2,$D167,$D167-($D167-$I$157)*MIN(N$3-$O$2,$Q$2)/$Q$2))</f>
        <v>1633.68621815858</v>
      </c>
      <c r="O167" s="15" t="n">
        <f aca="false">SUMPRODUCT(E167:N167,1/(1+$F$157)^$E$3:$N$3)*$E$2</f>
        <v>9240.15876296991</v>
      </c>
      <c r="P167" s="15" t="n">
        <f aca="false">N167*$E$2*(1+$I$157)/($F$157-$I$157)/(1+$F$157)^$N$3</f>
        <v>20833.0451638272</v>
      </c>
      <c r="Q167" s="15" t="n">
        <f aca="false">O167+P167</f>
        <v>30073.2039267971</v>
      </c>
      <c r="R167" s="15" t="n">
        <f aca="false">Q167-$G$2+$I$2</f>
        <v>30843.2039267971</v>
      </c>
      <c r="S167" s="42" t="n">
        <f aca="false">R167/$K$2</f>
        <v>295.348117655819</v>
      </c>
      <c r="T167" s="43" t="n">
        <f aca="false">S167-$M$2</f>
        <v>3.09493370484648</v>
      </c>
    </row>
    <row r="168" customFormat="false" ht="15" hidden="false" customHeight="false" outlineLevel="0" collapsed="false">
      <c r="A168" s="5" t="n">
        <v>10</v>
      </c>
      <c r="B168" s="25" t="n">
        <f aca="false">IF(T167&gt;0,B167,D167)</f>
        <v>-0.08984375</v>
      </c>
      <c r="C168" s="25" t="n">
        <f aca="false">IF(T167&gt;0,D167,C167)</f>
        <v>-0.0869140625</v>
      </c>
      <c r="D168" s="41" t="n">
        <f aca="false">(B168+C168)/2</f>
        <v>-0.08837890625</v>
      </c>
      <c r="E168" s="15" t="n">
        <f aca="false">$C$2*(1+IF(E$3&lt;=$O$2,$D168,$D168-($D168-$I$157)*MIN(E$3-$O$2,$Q$2)/$Q$2))</f>
        <v>2497.841796875</v>
      </c>
      <c r="F168" s="15" t="n">
        <f aca="false">E168*(1+IF(F$3&lt;=$O$2,$D168,$D168-($D168-$I$157)*MIN(F$3-$O$2,$Q$2)/$Q$2))</f>
        <v>2277.08527088165</v>
      </c>
      <c r="G168" s="15" t="n">
        <f aca="false">F168*(1+IF(G$3&lt;=$O$2,$D168,$D168-($D168-$I$157)*MIN(G$3-$O$2,$Q$2)/$Q$2))</f>
        <v>2075.83896520315</v>
      </c>
      <c r="H168" s="15" t="n">
        <f aca="false">G168*(1+IF(H$3&lt;=$O$2,$D168,$D168-($D168-$I$157)*MIN(H$3-$O$2,$Q$2)/$Q$2))</f>
        <v>1892.37858790736</v>
      </c>
      <c r="I168" s="15" t="n">
        <f aca="false">H168*(1+IF(I$3&lt;=$O$2,$D168,$D168-($D168-$I$157)*MIN(I$3-$O$2,$Q$2)/$Q$2))</f>
        <v>1725.13223809719</v>
      </c>
      <c r="J168" s="15" t="n">
        <f aca="false">I168*(1+IF(J$3&lt;=$O$2,$D168,$D168-($D168-$I$157)*MIN(J$3-$O$2,$Q$2)/$Q$2))</f>
        <v>1616.3745107693</v>
      </c>
      <c r="K168" s="15" t="n">
        <f aca="false">J168*(1+IF(K$3&lt;=$O$2,$D168,$D168-($D168-$I$157)*MIN(K$3-$O$2,$Q$2)/$Q$2))</f>
        <v>1555.42532146298</v>
      </c>
      <c r="L168" s="15" t="n">
        <f aca="false">K168*(1+IF(L$3&lt;=$O$2,$D168,$D168-($D168-$I$157)*MIN(L$3-$O$2,$Q$2)/$Q$2))</f>
        <v>1536.18227988442</v>
      </c>
      <c r="M168" s="15" t="n">
        <f aca="false">L168*(1+IF(M$3&lt;=$O$2,$D168,$D168-($D168-$I$157)*MIN(M$3-$O$2,$Q$2)/$Q$2))</f>
        <v>1556.09768300072</v>
      </c>
      <c r="N168" s="15" t="n">
        <f aca="false">M168*(1+IF(N$3&lt;=$O$2,$D168,$D168-($D168-$I$157)*MIN(N$3-$O$2,$Q$2)/$Q$2))</f>
        <v>1615.69622425964</v>
      </c>
      <c r="O168" s="15" t="n">
        <f aca="false">SUMPRODUCT(E168:N168,1/(1+$F$157)^$E$3:$N$3)*$E$2</f>
        <v>9180.72553363363</v>
      </c>
      <c r="P168" s="15" t="n">
        <f aca="false">N168*$E$2*(1+$I$157)/($F$157-$I$157)/(1+$F$157)^$N$3</f>
        <v>20603.6336947044</v>
      </c>
      <c r="Q168" s="15" t="n">
        <f aca="false">O168+P168</f>
        <v>29784.359228338</v>
      </c>
      <c r="R168" s="15" t="n">
        <f aca="false">Q168-$G$2+$I$2</f>
        <v>30554.359228338</v>
      </c>
      <c r="S168" s="42" t="n">
        <f aca="false">R168/$K$2</f>
        <v>292.582200788452</v>
      </c>
      <c r="T168" s="43" t="n">
        <f aca="false">S168-$M$2</f>
        <v>0.329016837479458</v>
      </c>
    </row>
    <row r="169" customFormat="false" ht="15" hidden="false" customHeight="false" outlineLevel="0" collapsed="false">
      <c r="A169" s="5" t="n">
        <v>11</v>
      </c>
      <c r="B169" s="25" t="n">
        <f aca="false">IF(T168&gt;0,B168,D168)</f>
        <v>-0.08984375</v>
      </c>
      <c r="C169" s="25" t="n">
        <f aca="false">IF(T168&gt;0,D168,C168)</f>
        <v>-0.08837890625</v>
      </c>
      <c r="D169" s="41" t="n">
        <f aca="false">(B169+C169)/2</f>
        <v>-0.089111328125</v>
      </c>
      <c r="E169" s="15" t="n">
        <f aca="false">$C$2*(1+IF(E$3&lt;=$O$2,$D169,$D169-($D169-$I$157)*MIN(E$3-$O$2,$Q$2)/$Q$2))</f>
        <v>2495.8349609375</v>
      </c>
      <c r="F169" s="15" t="n">
        <f aca="false">E169*(1+IF(F$3&lt;=$O$2,$D169,$D169-($D169-$I$157)*MIN(F$3-$O$2,$Q$2)/$Q$2))</f>
        <v>2273.42779278755</v>
      </c>
      <c r="G169" s="15" t="n">
        <f aca="false">F169*(1+IF(G$3&lt;=$O$2,$D169,$D169-($D169-$I$157)*MIN(G$3-$O$2,$Q$2)/$Q$2))</f>
        <v>2070.83962277597</v>
      </c>
      <c r="H169" s="15" t="n">
        <f aca="false">G169*(1+IF(H$3&lt;=$O$2,$D169,$D169-($D169-$I$157)*MIN(H$3-$O$2,$Q$2)/$Q$2))</f>
        <v>1886.30435365653</v>
      </c>
      <c r="I169" s="15" t="n">
        <f aca="false">H169*(1+IF(I$3&lt;=$O$2,$D169,$D169-($D169-$I$157)*MIN(I$3-$O$2,$Q$2)/$Q$2))</f>
        <v>1718.21326745422</v>
      </c>
      <c r="J169" s="15" t="n">
        <f aca="false">I169*(1+IF(J$3&lt;=$O$2,$D169,$D169-($D169-$I$157)*MIN(J$3-$O$2,$Q$2)/$Q$2))</f>
        <v>1608.88496807105</v>
      </c>
      <c r="K169" s="15" t="n">
        <f aca="false">J169*(1+IF(K$3&lt;=$O$2,$D169,$D169-($D169-$I$157)*MIN(K$3-$O$2,$Q$2)/$Q$2))</f>
        <v>1547.5111599988</v>
      </c>
      <c r="L169" s="15" t="n">
        <f aca="false">K169*(1+IF(L$3&lt;=$O$2,$D169,$D169-($D169-$I$157)*MIN(L$3-$O$2,$Q$2)/$Q$2))</f>
        <v>1527.91265655327</v>
      </c>
      <c r="M169" s="15" t="n">
        <f aca="false">L169*(1+IF(M$3&lt;=$O$2,$D169,$D169-($D169-$I$157)*MIN(M$3-$O$2,$Q$2)/$Q$2))</f>
        <v>1547.49703513317</v>
      </c>
      <c r="N169" s="15" t="n">
        <f aca="false">M169*(1+IF(N$3&lt;=$O$2,$D169,$D169-($D169-$I$157)*MIN(N$3-$O$2,$Q$2)/$Q$2))</f>
        <v>1606.76617157877</v>
      </c>
      <c r="O169" s="15" t="n">
        <f aca="false">SUMPRODUCT(E169:N169,1/(1+$F$157)^$E$3:$N$3)*$E$2</f>
        <v>9151.15933509005</v>
      </c>
      <c r="P169" s="15" t="n">
        <f aca="false">N169*$E$2*(1+$I$157)/($F$157-$I$157)/(1+$F$157)^$N$3</f>
        <v>20489.7561405278</v>
      </c>
      <c r="Q169" s="15" t="n">
        <f aca="false">O169+P169</f>
        <v>29640.9154756178</v>
      </c>
      <c r="R169" s="15" t="n">
        <f aca="false">Q169-$G$2+$I$2</f>
        <v>30410.9154756178</v>
      </c>
      <c r="S169" s="42" t="n">
        <f aca="false">R169/$K$2</f>
        <v>291.208613191782</v>
      </c>
      <c r="T169" s="43" t="n">
        <f aca="false">S169-$M$2</f>
        <v>-1.04457075918987</v>
      </c>
    </row>
    <row r="170" customFormat="false" ht="15" hidden="false" customHeight="false" outlineLevel="0" collapsed="false">
      <c r="A170" s="5" t="n">
        <v>12</v>
      </c>
      <c r="B170" s="25" t="n">
        <f aca="false">IF(T169&gt;0,B169,D169)</f>
        <v>-0.089111328125</v>
      </c>
      <c r="C170" s="25" t="n">
        <f aca="false">IF(T169&gt;0,D169,C169)</f>
        <v>-0.08837890625</v>
      </c>
      <c r="D170" s="41" t="n">
        <f aca="false">(B170+C170)/2</f>
        <v>-0.0887451171875</v>
      </c>
      <c r="E170" s="15" t="n">
        <f aca="false">$C$2*(1+IF(E$3&lt;=$O$2,$D170,$D170-($D170-$I$157)*MIN(E$3-$O$2,$Q$2)/$Q$2))</f>
        <v>2496.83837890625</v>
      </c>
      <c r="F170" s="15" t="n">
        <f aca="false">E170*(1+IF(F$3&lt;=$O$2,$D170,$D170-($D170-$I$157)*MIN(F$3-$O$2,$Q$2)/$Q$2))</f>
        <v>2275.25616437197</v>
      </c>
      <c r="G170" s="15" t="n">
        <f aca="false">F170*(1+IF(G$3&lt;=$O$2,$D170,$D170-($D170-$I$157)*MIN(G$3-$O$2,$Q$2)/$Q$2))</f>
        <v>2073.3382894332</v>
      </c>
      <c r="H170" s="15" t="n">
        <f aca="false">G170*(1+IF(H$3&lt;=$O$2,$D170,$D170-($D170-$I$157)*MIN(H$3-$O$2,$Q$2)/$Q$2))</f>
        <v>1889.33963996812</v>
      </c>
      <c r="I170" s="15" t="n">
        <f aca="false">H170*(1+IF(I$3&lt;=$O$2,$D170,$D170-($D170-$I$157)*MIN(I$3-$O$2,$Q$2)/$Q$2))</f>
        <v>1721.66997221216</v>
      </c>
      <c r="J170" s="15" t="n">
        <f aca="false">I170*(1+IF(J$3&lt;=$O$2,$D170,$D170-($D170-$I$157)*MIN(J$3-$O$2,$Q$2)/$Q$2))</f>
        <v>1612.62612144557</v>
      </c>
      <c r="K170" s="15" t="n">
        <f aca="false">J170*(1+IF(K$3&lt;=$O$2,$D170,$D170-($D170-$I$157)*MIN(K$3-$O$2,$Q$2)/$Q$2))</f>
        <v>1551.46393714973</v>
      </c>
      <c r="L170" s="15" t="n">
        <f aca="false">K170*(1+IF(L$3&lt;=$O$2,$D170,$D170-($D170-$I$157)*MIN(L$3-$O$2,$Q$2)/$Q$2))</f>
        <v>1532.04263885961</v>
      </c>
      <c r="M170" s="15" t="n">
        <f aca="false">L170*(1+IF(M$3&lt;=$O$2,$D170,$D170-($D170-$I$157)*MIN(M$3-$O$2,$Q$2)/$Q$2))</f>
        <v>1551.7921646099</v>
      </c>
      <c r="N170" s="15" t="n">
        <f aca="false">M170*(1+IF(N$3&lt;=$O$2,$D170,$D170-($D170-$I$157)*MIN(N$3-$O$2,$Q$2)/$Q$2))</f>
        <v>1611.22580451446</v>
      </c>
      <c r="O170" s="15" t="n">
        <f aca="false">SUMPRODUCT(E170:N170,1/(1+$F$157)^$E$3:$N$3)*$E$2</f>
        <v>9165.9299339198</v>
      </c>
      <c r="P170" s="15" t="n">
        <f aca="false">N170*$E$2*(1+$I$157)/($F$157-$I$157)/(1+$F$157)^$N$3</f>
        <v>20546.6261399993</v>
      </c>
      <c r="Q170" s="15" t="n">
        <f aca="false">O170+P170</f>
        <v>29712.5560739191</v>
      </c>
      <c r="R170" s="15" t="n">
        <f aca="false">Q170-$G$2+$I$2</f>
        <v>30482.5560739191</v>
      </c>
      <c r="S170" s="42" t="n">
        <f aca="false">R170/$K$2</f>
        <v>291.894628688299</v>
      </c>
      <c r="T170" s="43" t="n">
        <f aca="false">S170-$M$2</f>
        <v>-0.35855526267278</v>
      </c>
    </row>
    <row r="171" customFormat="false" ht="15" hidden="false" customHeight="false" outlineLevel="0" collapsed="false">
      <c r="A171" s="5" t="n">
        <v>13</v>
      </c>
      <c r="B171" s="25" t="n">
        <f aca="false">IF(T170&gt;0,B170,D170)</f>
        <v>-0.0887451171875</v>
      </c>
      <c r="C171" s="25" t="n">
        <f aca="false">IF(T170&gt;0,D170,C170)</f>
        <v>-0.08837890625</v>
      </c>
      <c r="D171" s="41" t="n">
        <f aca="false">(B171+C171)/2</f>
        <v>-0.08856201171875</v>
      </c>
      <c r="E171" s="15" t="n">
        <f aca="false">$C$2*(1+IF(E$3&lt;=$O$2,$D171,$D171-($D171-$I$157)*MIN(E$3-$O$2,$Q$2)/$Q$2))</f>
        <v>2497.34008789063</v>
      </c>
      <c r="F171" s="15" t="n">
        <f aca="false">E171*(1+IF(F$3&lt;=$O$2,$D171,$D171-($D171-$I$157)*MIN(F$3-$O$2,$Q$2)/$Q$2))</f>
        <v>2276.17062576115</v>
      </c>
      <c r="G171" s="15" t="n">
        <f aca="false">F171*(1+IF(G$3&lt;=$O$2,$D171,$D171-($D171-$I$157)*MIN(G$3-$O$2,$Q$2)/$Q$2))</f>
        <v>2074.58837612862</v>
      </c>
      <c r="H171" s="15" t="n">
        <f aca="false">G171*(1+IF(H$3&lt;=$O$2,$D171,$D171-($D171-$I$157)*MIN(H$3-$O$2,$Q$2)/$Q$2))</f>
        <v>1890.85865605033</v>
      </c>
      <c r="I171" s="15" t="n">
        <f aca="false">H171*(1+IF(I$3&lt;=$O$2,$D171,$D171-($D171-$I$157)*MIN(I$3-$O$2,$Q$2)/$Q$2))</f>
        <v>1723.4004095947</v>
      </c>
      <c r="J171" s="15" t="n">
        <f aca="false">I171*(1+IF(J$3&lt;=$O$2,$D171,$D171-($D171-$I$157)*MIN(J$3-$O$2,$Q$2)/$Q$2))</f>
        <v>1614.4994109157</v>
      </c>
      <c r="K171" s="15" t="n">
        <f aca="false">J171*(1+IF(K$3&lt;=$O$2,$D171,$D171-($D171-$I$157)*MIN(K$3-$O$2,$Q$2)/$Q$2))</f>
        <v>1553.44355244127</v>
      </c>
      <c r="L171" s="15" t="n">
        <f aca="false">K171*(1+IF(L$3&lt;=$O$2,$D171,$D171-($D171-$I$157)*MIN(L$3-$O$2,$Q$2)/$Q$2))</f>
        <v>1534.11125083808</v>
      </c>
      <c r="M171" s="15" t="n">
        <f aca="false">L171*(1+IF(M$3&lt;=$O$2,$D171,$D171-($D171-$I$157)*MIN(M$3-$O$2,$Q$2)/$Q$2))</f>
        <v>1553.94362384884</v>
      </c>
      <c r="N171" s="15" t="n">
        <f aca="false">M171*(1+IF(N$3&lt;=$O$2,$D171,$D171-($D171-$I$157)*MIN(N$3-$O$2,$Q$2)/$Q$2))</f>
        <v>1613.45966464225</v>
      </c>
      <c r="O171" s="15" t="n">
        <f aca="false">SUMPRODUCT(E171:N171,1/(1+$F$157)^$E$3:$N$3)*$E$2</f>
        <v>9173.32460610275</v>
      </c>
      <c r="P171" s="15" t="n">
        <f aca="false">N171*$E$2*(1+$I$157)/($F$157-$I$157)/(1+$F$157)^$N$3</f>
        <v>20575.112705176</v>
      </c>
      <c r="Q171" s="15" t="n">
        <f aca="false">O171+P171</f>
        <v>29748.4373112788</v>
      </c>
      <c r="R171" s="15" t="n">
        <f aca="false">Q171-$G$2+$I$2</f>
        <v>30518.4373112788</v>
      </c>
      <c r="S171" s="42" t="n">
        <f aca="false">R171/$K$2</f>
        <v>292.238219968197</v>
      </c>
      <c r="T171" s="43" t="n">
        <f aca="false">S171-$M$2</f>
        <v>-0.0149639827754982</v>
      </c>
    </row>
    <row r="172" customFormat="false" ht="15" hidden="false" customHeight="false" outlineLevel="0" collapsed="false">
      <c r="A172" s="5" t="n">
        <v>14</v>
      </c>
      <c r="B172" s="25" t="n">
        <f aca="false">IF(T171&gt;0,B171,D171)</f>
        <v>-0.08856201171875</v>
      </c>
      <c r="C172" s="25" t="n">
        <f aca="false">IF(T171&gt;0,D171,C171)</f>
        <v>-0.08837890625</v>
      </c>
      <c r="D172" s="41" t="n">
        <f aca="false">(B172+C172)/2</f>
        <v>-0.088470458984375</v>
      </c>
      <c r="E172" s="15" t="n">
        <f aca="false">$C$2*(1+IF(E$3&lt;=$O$2,$D172,$D172-($D172-$I$157)*MIN(E$3-$O$2,$Q$2)/$Q$2))</f>
        <v>2497.59094238281</v>
      </c>
      <c r="F172" s="15" t="n">
        <f aca="false">E172*(1+IF(F$3&lt;=$O$2,$D172,$D172-($D172-$I$157)*MIN(F$3-$O$2,$Q$2)/$Q$2))</f>
        <v>2276.62792535499</v>
      </c>
      <c r="G172" s="15" t="n">
        <f aca="false">F172*(1+IF(G$3&lt;=$O$2,$D172,$D172-($D172-$I$157)*MIN(G$3-$O$2,$Q$2)/$Q$2))</f>
        <v>2075.21360786219</v>
      </c>
      <c r="H172" s="15" t="n">
        <f aca="false">G172*(1+IF(H$3&lt;=$O$2,$D172,$D172-($D172-$I$157)*MIN(H$3-$O$2,$Q$2)/$Q$2))</f>
        <v>1891.618507484</v>
      </c>
      <c r="I172" s="15" t="n">
        <f aca="false">H172*(1+IF(I$3&lt;=$O$2,$D172,$D172-($D172-$I$157)*MIN(I$3-$O$2,$Q$2)/$Q$2))</f>
        <v>1724.26614990355</v>
      </c>
      <c r="J172" s="15" t="n">
        <f aca="false">I172*(1+IF(J$3&lt;=$O$2,$D172,$D172-($D172-$I$157)*MIN(J$3-$O$2,$Q$2)/$Q$2))</f>
        <v>1615.43673445726</v>
      </c>
      <c r="K172" s="15" t="n">
        <f aca="false">J172*(1+IF(K$3&lt;=$O$2,$D172,$D172-($D172-$I$157)*MIN(K$3-$O$2,$Q$2)/$Q$2))</f>
        <v>1554.43416761455</v>
      </c>
      <c r="L172" s="15" t="n">
        <f aca="false">K172*(1+IF(L$3&lt;=$O$2,$D172,$D172-($D172-$I$157)*MIN(L$3-$O$2,$Q$2)/$Q$2))</f>
        <v>1535.14646307839</v>
      </c>
      <c r="M172" s="15" t="n">
        <f aca="false">L172*(1+IF(M$3&lt;=$O$2,$D172,$D172-($D172-$I$157)*MIN(M$3-$O$2,$Q$2)/$Q$2))</f>
        <v>1555.02032826776</v>
      </c>
      <c r="N172" s="15" t="n">
        <f aca="false">M172*(1+IF(N$3&lt;=$O$2,$D172,$D172-($D172-$I$157)*MIN(N$3-$O$2,$Q$2)/$Q$2))</f>
        <v>1614.57760684041</v>
      </c>
      <c r="O172" s="15" t="n">
        <f aca="false">SUMPRODUCT(E172:N172,1/(1+$F$157)^$E$3:$N$3)*$E$2</f>
        <v>9177.02428762906</v>
      </c>
      <c r="P172" s="15" t="n">
        <f aca="false">N172*$E$2*(1+$I$157)/($F$157-$I$157)/(1+$F$157)^$N$3</f>
        <v>20589.3688946731</v>
      </c>
      <c r="Q172" s="15" t="n">
        <f aca="false">O172+P172</f>
        <v>29766.3931823022</v>
      </c>
      <c r="R172" s="15" t="n">
        <f aca="false">Q172-$G$2+$I$2</f>
        <v>30536.3931823022</v>
      </c>
      <c r="S172" s="42" t="n">
        <f aca="false">R172/$K$2</f>
        <v>292.410161661421</v>
      </c>
      <c r="T172" s="43" t="n">
        <f aca="false">S172-$M$2</f>
        <v>0.156977710448643</v>
      </c>
    </row>
    <row r="173" customFormat="false" ht="15" hidden="false" customHeight="false" outlineLevel="0" collapsed="false">
      <c r="A173" s="5" t="n">
        <v>15</v>
      </c>
      <c r="B173" s="25" t="n">
        <f aca="false">IF(T172&gt;0,B172,D172)</f>
        <v>-0.08856201171875</v>
      </c>
      <c r="C173" s="25" t="n">
        <f aca="false">IF(T172&gt;0,D172,C172)</f>
        <v>-0.088470458984375</v>
      </c>
      <c r="D173" s="41" t="n">
        <f aca="false">(B173+C173)/2</f>
        <v>-0.0885162353515625</v>
      </c>
      <c r="E173" s="15" t="n">
        <f aca="false">$C$2*(1+IF(E$3&lt;=$O$2,$D173,$D173-($D173-$I$157)*MIN(E$3-$O$2,$Q$2)/$Q$2))</f>
        <v>2497.46551513672</v>
      </c>
      <c r="F173" s="15" t="n">
        <f aca="false">E173*(1+IF(F$3&lt;=$O$2,$D173,$D173-($D173-$I$157)*MIN(F$3-$O$2,$Q$2)/$Q$2))</f>
        <v>2276.39926981647</v>
      </c>
      <c r="G173" s="15" t="n">
        <f aca="false">F173*(1+IF(G$3&lt;=$O$2,$D173,$D173-($D173-$I$157)*MIN(G$3-$O$2,$Q$2)/$Q$2))</f>
        <v>2074.90097629527</v>
      </c>
      <c r="H173" s="15" t="n">
        <f aca="false">G173*(1+IF(H$3&lt;=$O$2,$D173,$D173-($D173-$I$157)*MIN(H$3-$O$2,$Q$2)/$Q$2))</f>
        <v>1891.23855314633</v>
      </c>
      <c r="I173" s="15" t="n">
        <f aca="false">H173*(1+IF(I$3&lt;=$O$2,$D173,$D173-($D173-$I$157)*MIN(I$3-$O$2,$Q$2)/$Q$2))</f>
        <v>1723.83323627008</v>
      </c>
      <c r="J173" s="15" t="n">
        <f aca="false">I173*(1+IF(J$3&lt;=$O$2,$D173,$D173-($D173-$I$157)*MIN(J$3-$O$2,$Q$2)/$Q$2))</f>
        <v>1614.96801610109</v>
      </c>
      <c r="K173" s="15" t="n">
        <f aca="false">J173*(1+IF(K$3&lt;=$O$2,$D173,$D173-($D173-$I$157)*MIN(K$3-$O$2,$Q$2)/$Q$2))</f>
        <v>1553.93879270868</v>
      </c>
      <c r="L173" s="15" t="n">
        <f aca="false">K173*(1+IF(L$3&lt;=$O$2,$D173,$D173-($D173-$I$157)*MIN(L$3-$O$2,$Q$2)/$Q$2))</f>
        <v>1534.6287814062</v>
      </c>
      <c r="M173" s="15" t="n">
        <f aca="false">L173*(1+IF(M$3&lt;=$O$2,$D173,$D173-($D173-$I$157)*MIN(M$3-$O$2,$Q$2)/$Q$2))</f>
        <v>1554.48189479004</v>
      </c>
      <c r="N173" s="15" t="n">
        <f aca="false">M173*(1+IF(N$3&lt;=$O$2,$D173,$D173-($D173-$I$157)*MIN(N$3-$O$2,$Q$2)/$Q$2))</f>
        <v>1614.0185513605</v>
      </c>
      <c r="O173" s="15" t="n">
        <f aca="false">SUMPRODUCT(E173:N173,1/(1+$F$157)^$E$3:$N$3)*$E$2</f>
        <v>9175.17425134621</v>
      </c>
      <c r="P173" s="15" t="n">
        <f aca="false">N173*$E$2*(1+$I$157)/($F$157-$I$157)/(1+$F$157)^$N$3</f>
        <v>20582.2397238858</v>
      </c>
      <c r="Q173" s="15" t="n">
        <f aca="false">O173+P173</f>
        <v>29757.413975232</v>
      </c>
      <c r="R173" s="15" t="n">
        <f aca="false">Q173-$G$2+$I$2</f>
        <v>30527.413975232</v>
      </c>
      <c r="S173" s="42" t="n">
        <f aca="false">R173/$K$2</f>
        <v>292.324178638629</v>
      </c>
      <c r="T173" s="43" t="n">
        <f aca="false">S173-$M$2</f>
        <v>0.07099468765648</v>
      </c>
    </row>
    <row r="174" customFormat="false" ht="15" hidden="false" customHeight="false" outlineLevel="0" collapsed="false">
      <c r="A174" s="5" t="n">
        <v>16</v>
      </c>
      <c r="B174" s="25" t="n">
        <f aca="false">IF(T173&gt;0,B173,D173)</f>
        <v>-0.08856201171875</v>
      </c>
      <c r="C174" s="25" t="n">
        <f aca="false">IF(T173&gt;0,D173,C173)</f>
        <v>-0.0885162353515625</v>
      </c>
      <c r="D174" s="41" t="n">
        <f aca="false">(B174+C174)/2</f>
        <v>-0.0885391235351563</v>
      </c>
      <c r="E174" s="15" t="n">
        <f aca="false">$C$2*(1+IF(E$3&lt;=$O$2,$D174,$D174-($D174-$I$157)*MIN(E$3-$O$2,$Q$2)/$Q$2))</f>
        <v>2497.40280151367</v>
      </c>
      <c r="F174" s="15" t="n">
        <f aca="false">E174*(1+IF(F$3&lt;=$O$2,$D174,$D174-($D174-$I$157)*MIN(F$3-$O$2,$Q$2)/$Q$2))</f>
        <v>2276.28494635341</v>
      </c>
      <c r="G174" s="15" t="n">
        <f aca="false">F174*(1+IF(G$3&lt;=$O$2,$D174,$D174-($D174-$I$157)*MIN(G$3-$O$2,$Q$2)/$Q$2))</f>
        <v>2074.74467228701</v>
      </c>
      <c r="H174" s="15" t="n">
        <f aca="false">G174*(1+IF(H$3&lt;=$O$2,$D174,$D174-($D174-$I$157)*MIN(H$3-$O$2,$Q$2)/$Q$2))</f>
        <v>1891.04859744348</v>
      </c>
      <c r="I174" s="15" t="n">
        <f aca="false">H174*(1+IF(I$3&lt;=$O$2,$D174,$D174-($D174-$I$157)*MIN(I$3-$O$2,$Q$2)/$Q$2))</f>
        <v>1723.61681206345</v>
      </c>
      <c r="J174" s="15" t="n">
        <f aca="false">I174*(1+IF(J$3&lt;=$O$2,$D174,$D174-($D174-$I$157)*MIN(J$3-$O$2,$Q$2)/$Q$2))</f>
        <v>1614.73369936341</v>
      </c>
      <c r="K174" s="15" t="n">
        <f aca="false">J174*(1+IF(K$3&lt;=$O$2,$D174,$D174-($D174-$I$157)*MIN(K$3-$O$2,$Q$2)/$Q$2))</f>
        <v>1553.69115574707</v>
      </c>
      <c r="L174" s="15" t="n">
        <f aca="false">K174*(1+IF(L$3&lt;=$O$2,$D174,$D174-($D174-$I$157)*MIN(L$3-$O$2,$Q$2)/$Q$2))</f>
        <v>1534.36999723647</v>
      </c>
      <c r="M174" s="15" t="n">
        <f aca="false">L174*(1+IF(M$3&lt;=$O$2,$D174,$D174-($D174-$I$157)*MIN(M$3-$O$2,$Q$2)/$Q$2))</f>
        <v>1554.212739005</v>
      </c>
      <c r="N174" s="15" t="n">
        <f aca="false">M174*(1+IF(N$3&lt;=$O$2,$D174,$D174-($D174-$I$157)*MIN(N$3-$O$2,$Q$2)/$Q$2))</f>
        <v>1613.73908690889</v>
      </c>
      <c r="O174" s="15" t="n">
        <f aca="false">SUMPRODUCT(E174:N174,1/(1+$F$157)^$E$3:$N$3)*$E$2</f>
        <v>9174.24937984957</v>
      </c>
      <c r="P174" s="15" t="n">
        <f aca="false">N174*$E$2*(1+$I$157)/($F$157-$I$157)/(1+$F$157)^$N$3</f>
        <v>20578.6759455559</v>
      </c>
      <c r="Q174" s="15" t="n">
        <f aca="false">O174+P174</f>
        <v>29752.9253254055</v>
      </c>
      <c r="R174" s="15" t="n">
        <f aca="false">Q174-$G$2+$I$2</f>
        <v>30522.9253254055</v>
      </c>
      <c r="S174" s="42" t="n">
        <f aca="false">R174/$K$2</f>
        <v>292.281196259748</v>
      </c>
      <c r="T174" s="43" t="n">
        <f aca="false">S174-$M$2</f>
        <v>0.0280123087760558</v>
      </c>
    </row>
    <row r="175" customFormat="false" ht="15" hidden="false" customHeight="false" outlineLevel="0" collapsed="false">
      <c r="A175" s="5" t="n">
        <v>17</v>
      </c>
      <c r="B175" s="25" t="n">
        <f aca="false">IF(T174&gt;0,B174,D174)</f>
        <v>-0.08856201171875</v>
      </c>
      <c r="C175" s="25" t="n">
        <f aca="false">IF(T174&gt;0,D174,C174)</f>
        <v>-0.0885391235351563</v>
      </c>
      <c r="D175" s="41" t="n">
        <f aca="false">(B175+C175)/2</f>
        <v>-0.0885505676269531</v>
      </c>
      <c r="E175" s="15" t="n">
        <f aca="false">$C$2*(1+IF(E$3&lt;=$O$2,$D175,$D175-($D175-$I$157)*MIN(E$3-$O$2,$Q$2)/$Q$2))</f>
        <v>2497.37144470215</v>
      </c>
      <c r="F175" s="15" t="n">
        <f aca="false">E175*(1+IF(F$3&lt;=$O$2,$D175,$D175-($D175-$I$157)*MIN(F$3-$O$2,$Q$2)/$Q$2))</f>
        <v>2276.22778569843</v>
      </c>
      <c r="G175" s="15" t="n">
        <f aca="false">F175*(1+IF(G$3&lt;=$O$2,$D175,$D175-($D175-$I$157)*MIN(G$3-$O$2,$Q$2)/$Q$2))</f>
        <v>2074.66652322659</v>
      </c>
      <c r="H175" s="15" t="n">
        <f aca="false">G175*(1+IF(H$3&lt;=$O$2,$D175,$D175-($D175-$I$157)*MIN(H$3-$O$2,$Q$2)/$Q$2))</f>
        <v>1890.95362495824</v>
      </c>
      <c r="I175" s="15" t="n">
        <f aca="false">H175*(1+IF(I$3&lt;=$O$2,$D175,$D175-($D175-$I$157)*MIN(I$3-$O$2,$Q$2)/$Q$2))</f>
        <v>1723.50860811194</v>
      </c>
      <c r="J175" s="15" t="n">
        <f aca="false">I175*(1+IF(J$3&lt;=$O$2,$D175,$D175-($D175-$I$157)*MIN(J$3-$O$2,$Q$2)/$Q$2))</f>
        <v>1614.61655160348</v>
      </c>
      <c r="K175" s="15" t="n">
        <f aca="false">J175*(1+IF(K$3&lt;=$O$2,$D175,$D175-($D175-$I$157)*MIN(K$3-$O$2,$Q$2)/$Q$2))</f>
        <v>1553.56734988743</v>
      </c>
      <c r="L175" s="15" t="n">
        <f aca="false">K175*(1+IF(L$3&lt;=$O$2,$D175,$D175-($D175-$I$157)*MIN(L$3-$O$2,$Q$2)/$Q$2))</f>
        <v>1534.24061931615</v>
      </c>
      <c r="M175" s="15" t="n">
        <f aca="false">L175*(1+IF(M$3&lt;=$O$2,$D175,$D175-($D175-$I$157)*MIN(M$3-$O$2,$Q$2)/$Q$2))</f>
        <v>1554.07817634864</v>
      </c>
      <c r="N175" s="15" t="n">
        <f aca="false">M175*(1+IF(N$3&lt;=$O$2,$D175,$D175-($D175-$I$157)*MIN(N$3-$O$2,$Q$2)/$Q$2))</f>
        <v>1613.59937050279</v>
      </c>
      <c r="O175" s="15" t="n">
        <f aca="false">SUMPRODUCT(E175:N175,1/(1+$F$157)^$E$3:$N$3)*$E$2</f>
        <v>9173.78698075805</v>
      </c>
      <c r="P175" s="15" t="n">
        <f aca="false">N175*$E$2*(1+$I$157)/($F$157-$I$157)/(1+$F$157)^$N$3</f>
        <v>20576.8942581266</v>
      </c>
      <c r="Q175" s="15" t="n">
        <f aca="false">O175+P175</f>
        <v>29750.6812388846</v>
      </c>
      <c r="R175" s="15" t="n">
        <f aca="false">Q175-$G$2+$I$2</f>
        <v>30520.6812388846</v>
      </c>
      <c r="S175" s="42" t="n">
        <f aca="false">R175/$K$2</f>
        <v>292.259707353104</v>
      </c>
      <c r="T175" s="43" t="n">
        <f aca="false">S175-$M$2</f>
        <v>0.00652340213173375</v>
      </c>
    </row>
    <row r="176" customFormat="false" ht="15" hidden="false" customHeight="false" outlineLevel="0" collapsed="false">
      <c r="A176" s="5" t="n">
        <v>18</v>
      </c>
      <c r="B176" s="25" t="n">
        <f aca="false">IF(T175&gt;0,B175,D175)</f>
        <v>-0.08856201171875</v>
      </c>
      <c r="C176" s="25" t="n">
        <f aca="false">IF(T175&gt;0,D175,C175)</f>
        <v>-0.0885505676269531</v>
      </c>
      <c r="D176" s="41" t="n">
        <f aca="false">(B176+C176)/2</f>
        <v>-0.0885562896728516</v>
      </c>
      <c r="E176" s="15" t="n">
        <f aca="false">$C$2*(1+IF(E$3&lt;=$O$2,$D176,$D176-($D176-$I$157)*MIN(E$3-$O$2,$Q$2)/$Q$2))</f>
        <v>2497.35576629639</v>
      </c>
      <c r="F176" s="15" t="n">
        <f aca="false">E176*(1+IF(F$3&lt;=$O$2,$D176,$D176-($D176-$I$157)*MIN(F$3-$O$2,$Q$2)/$Q$2))</f>
        <v>2276.19920564008</v>
      </c>
      <c r="G176" s="15" t="n">
        <f aca="false">F176*(1+IF(G$3&lt;=$O$2,$D176,$D176-($D176-$I$157)*MIN(G$3-$O$2,$Q$2)/$Q$2))</f>
        <v>2074.6274494323</v>
      </c>
      <c r="H176" s="15" t="n">
        <f aca="false">G176*(1+IF(H$3&lt;=$O$2,$D176,$D176-($D176-$I$157)*MIN(H$3-$O$2,$Q$2)/$Q$2))</f>
        <v>1890.90614005712</v>
      </c>
      <c r="I176" s="15" t="n">
        <f aca="false">H176*(1+IF(I$3&lt;=$O$2,$D176,$D176-($D176-$I$157)*MIN(I$3-$O$2,$Q$2)/$Q$2))</f>
        <v>1723.45450817405</v>
      </c>
      <c r="J176" s="15" t="n">
        <f aca="false">I176*(1+IF(J$3&lt;=$O$2,$D176,$D176-($D176-$I$157)*MIN(J$3-$O$2,$Q$2)/$Q$2))</f>
        <v>1614.55798037559</v>
      </c>
      <c r="K176" s="15" t="n">
        <f aca="false">J176*(1+IF(K$3&lt;=$O$2,$D176,$D176-($D176-$I$157)*MIN(K$3-$O$2,$Q$2)/$Q$2))</f>
        <v>1553.50545011269</v>
      </c>
      <c r="L176" s="15" t="n">
        <f aca="false">K176*(1+IF(L$3&lt;=$O$2,$D176,$D176-($D176-$I$157)*MIN(L$3-$O$2,$Q$2)/$Q$2))</f>
        <v>1534.17593389687</v>
      </c>
      <c r="M176" s="15" t="n">
        <f aca="false">L176*(1+IF(M$3&lt;=$O$2,$D176,$D176-($D176-$I$157)*MIN(M$3-$O$2,$Q$2)/$Q$2))</f>
        <v>1554.01089882921</v>
      </c>
      <c r="N176" s="15" t="n">
        <f aca="false">M176*(1+IF(N$3&lt;=$O$2,$D176,$D176-($D176-$I$157)*MIN(N$3-$O$2,$Q$2)/$Q$2))</f>
        <v>1613.52951625437</v>
      </c>
      <c r="O176" s="15" t="n">
        <f aca="false">SUMPRODUCT(E176:N176,1/(1+$F$157)^$E$3:$N$3)*$E$2</f>
        <v>9173.55579037595</v>
      </c>
      <c r="P176" s="15" t="n">
        <f aca="false">N176*$E$2*(1+$I$157)/($F$157-$I$157)/(1+$F$157)^$N$3</f>
        <v>20576.003464842</v>
      </c>
      <c r="Q176" s="15" t="n">
        <f aca="false">O176+P176</f>
        <v>29749.5592552179</v>
      </c>
      <c r="R176" s="15" t="n">
        <f aca="false">Q176-$G$2+$I$2</f>
        <v>30519.5592552179</v>
      </c>
      <c r="S176" s="42" t="n">
        <f aca="false">R176/$K$2</f>
        <v>292.248963470439</v>
      </c>
      <c r="T176" s="43" t="n">
        <f aca="false">S176-$M$2</f>
        <v>-0.00422048053309254</v>
      </c>
    </row>
    <row r="177" customFormat="false" ht="15" hidden="false" customHeight="false" outlineLevel="0" collapsed="false">
      <c r="A177" s="5" t="n">
        <v>19</v>
      </c>
      <c r="B177" s="25" t="n">
        <f aca="false">IF(T176&gt;0,B176,D176)</f>
        <v>-0.0885562896728516</v>
      </c>
      <c r="C177" s="25" t="n">
        <f aca="false">IF(T176&gt;0,D176,C176)</f>
        <v>-0.0885505676269531</v>
      </c>
      <c r="D177" s="41" t="n">
        <f aca="false">(B177+C177)/2</f>
        <v>-0.0885534286499023</v>
      </c>
      <c r="E177" s="15" t="n">
        <f aca="false">$C$2*(1+IF(E$3&lt;=$O$2,$D177,$D177-($D177-$I$157)*MIN(E$3-$O$2,$Q$2)/$Q$2))</f>
        <v>2497.36360549927</v>
      </c>
      <c r="F177" s="15" t="n">
        <f aca="false">E177*(1+IF(F$3&lt;=$O$2,$D177,$D177-($D177-$I$157)*MIN(F$3-$O$2,$Q$2)/$Q$2))</f>
        <v>2276.21349564683</v>
      </c>
      <c r="G177" s="15" t="n">
        <f aca="false">F177*(1+IF(G$3&lt;=$O$2,$D177,$D177-($D177-$I$157)*MIN(G$3-$O$2,$Q$2)/$Q$2))</f>
        <v>2074.64698626812</v>
      </c>
      <c r="H177" s="15" t="n">
        <f aca="false">G177*(1+IF(H$3&lt;=$O$2,$D177,$D177-($D177-$I$157)*MIN(H$3-$O$2,$Q$2)/$Q$2))</f>
        <v>1890.92988239589</v>
      </c>
      <c r="I177" s="15" t="n">
        <f aca="false">H177*(1+IF(I$3&lt;=$O$2,$D177,$D177-($D177-$I$157)*MIN(I$3-$O$2,$Q$2)/$Q$2))</f>
        <v>1723.48155797318</v>
      </c>
      <c r="J177" s="15" t="n">
        <f aca="false">I177*(1+IF(J$3&lt;=$O$2,$D177,$D177-($D177-$I$157)*MIN(J$3-$O$2,$Q$2)/$Q$2))</f>
        <v>1614.58726576853</v>
      </c>
      <c r="K177" s="15" t="n">
        <f aca="false">J177*(1+IF(K$3&lt;=$O$2,$D177,$D177-($D177-$I$157)*MIN(K$3-$O$2,$Q$2)/$Q$2))</f>
        <v>1553.53639973714</v>
      </c>
      <c r="L177" s="15" t="n">
        <f aca="false">K177*(1+IF(L$3&lt;=$O$2,$D177,$D177-($D177-$I$157)*MIN(L$3-$O$2,$Q$2)/$Q$2))</f>
        <v>1534.20827631144</v>
      </c>
      <c r="M177" s="15" t="n">
        <f aca="false">L177*(1+IF(M$3&lt;=$O$2,$D177,$D177-($D177-$I$157)*MIN(M$3-$O$2,$Q$2)/$Q$2))</f>
        <v>1554.04453727154</v>
      </c>
      <c r="N177" s="15" t="n">
        <f aca="false">M177*(1+IF(N$3&lt;=$O$2,$D177,$D177-($D177-$I$157)*MIN(N$3-$O$2,$Q$2)/$Q$2))</f>
        <v>1613.56444304904</v>
      </c>
      <c r="O177" s="15" t="n">
        <f aca="false">SUMPRODUCT(E177:N177,1/(1+$F$157)^$E$3:$N$3)*$E$2</f>
        <v>9173.67138480338</v>
      </c>
      <c r="P177" s="15" t="n">
        <f aca="false">N177*$E$2*(1+$I$157)/($F$157-$I$157)/(1+$F$157)^$N$3</f>
        <v>20576.4488572819</v>
      </c>
      <c r="Q177" s="15" t="n">
        <f aca="false">O177+P177</f>
        <v>29750.1202420853</v>
      </c>
      <c r="R177" s="15" t="n">
        <f aca="false">Q177-$G$2+$I$2</f>
        <v>30520.1202420853</v>
      </c>
      <c r="S177" s="42" t="n">
        <f aca="false">R177/$K$2</f>
        <v>292.254335364218</v>
      </c>
      <c r="T177" s="43" t="n">
        <f aca="false">S177-$M$2</f>
        <v>0.00115141324585011</v>
      </c>
    </row>
    <row r="178" customFormat="false" ht="15" hidden="false" customHeight="false" outlineLevel="0" collapsed="false">
      <c r="A178" s="5" t="n">
        <v>20</v>
      </c>
      <c r="B178" s="25" t="n">
        <f aca="false">IF(T177&gt;0,B177,D177)</f>
        <v>-0.0885562896728516</v>
      </c>
      <c r="C178" s="25" t="n">
        <f aca="false">IF(T177&gt;0,D177,C177)</f>
        <v>-0.0885534286499023</v>
      </c>
      <c r="D178" s="41" t="n">
        <f aca="false">(B178+C178)/2</f>
        <v>-0.088554859161377</v>
      </c>
      <c r="E178" s="15" t="n">
        <f aca="false">$C$2*(1+IF(E$3&lt;=$O$2,$D178,$D178-($D178-$I$157)*MIN(E$3-$O$2,$Q$2)/$Q$2))</f>
        <v>2497.35968589783</v>
      </c>
      <c r="F178" s="15" t="n">
        <f aca="false">E178*(1+IF(F$3&lt;=$O$2,$D178,$D178-($D178-$I$157)*MIN(F$3-$O$2,$Q$2)/$Q$2))</f>
        <v>2276.20635063784</v>
      </c>
      <c r="G178" s="15" t="n">
        <f aca="false">F178*(1+IF(G$3&lt;=$O$2,$D178,$D178-($D178-$I$157)*MIN(G$3-$O$2,$Q$2)/$Q$2))</f>
        <v>2074.63721783488</v>
      </c>
      <c r="H178" s="15" t="n">
        <f aca="false">G178*(1+IF(H$3&lt;=$O$2,$D178,$D178-($D178-$I$157)*MIN(H$3-$O$2,$Q$2)/$Q$2))</f>
        <v>1890.91801119856</v>
      </c>
      <c r="I178" s="15" t="n">
        <f aca="false">H178*(1+IF(I$3&lt;=$O$2,$D178,$D178-($D178-$I$157)*MIN(I$3-$O$2,$Q$2)/$Q$2))</f>
        <v>1723.46803303116</v>
      </c>
      <c r="J178" s="15" t="n">
        <f aca="false">I178*(1+IF(J$3&lt;=$O$2,$D178,$D178-($D178-$I$157)*MIN(J$3-$O$2,$Q$2)/$Q$2))</f>
        <v>1614.57262301681</v>
      </c>
      <c r="K178" s="15" t="n">
        <f aca="false">J178*(1+IF(K$3&lt;=$O$2,$D178,$D178-($D178-$I$157)*MIN(K$3-$O$2,$Q$2)/$Q$2))</f>
        <v>1553.52092485919</v>
      </c>
      <c r="L178" s="15" t="n">
        <f aca="false">K178*(1+IF(L$3&lt;=$O$2,$D178,$D178-($D178-$I$157)*MIN(L$3-$O$2,$Q$2)/$Q$2))</f>
        <v>1534.19210503039</v>
      </c>
      <c r="M178" s="15" t="n">
        <f aca="false">L178*(1+IF(M$3&lt;=$O$2,$D178,$D178-($D178-$I$157)*MIN(M$3-$O$2,$Q$2)/$Q$2))</f>
        <v>1554.02771797103</v>
      </c>
      <c r="N178" s="15" t="n">
        <f aca="false">M178*(1+IF(N$3&lt;=$O$2,$D178,$D178-($D178-$I$157)*MIN(N$3-$O$2,$Q$2)/$Q$2))</f>
        <v>1613.54697956932</v>
      </c>
      <c r="O178" s="15" t="n">
        <f aca="false">SUMPRODUCT(E178:N178,1/(1+$F$157)^$E$3:$N$3)*$E$2</f>
        <v>9173.61358739876</v>
      </c>
      <c r="P178" s="15" t="n">
        <f aca="false">N178*$E$2*(1+$I$157)/($F$157-$I$157)/(1+$F$157)^$N$3</f>
        <v>20576.2261600114</v>
      </c>
      <c r="Q178" s="15" t="n">
        <f aca="false">O178+P178</f>
        <v>29749.8397474101</v>
      </c>
      <c r="R178" s="15" t="n">
        <f aca="false">Q178-$G$2+$I$2</f>
        <v>30519.8397474101</v>
      </c>
      <c r="S178" s="42" t="n">
        <f aca="false">R178/$K$2</f>
        <v>292.25164940544</v>
      </c>
      <c r="T178" s="43" t="n">
        <f aca="false">S178-$M$2</f>
        <v>-0.00153454553179699</v>
      </c>
    </row>
    <row r="179" customFormat="false" ht="15" hidden="false" customHeight="false" outlineLevel="0" collapsed="false">
      <c r="A179" s="5" t="n">
        <v>21</v>
      </c>
      <c r="B179" s="25" t="n">
        <f aca="false">IF(T178&gt;0,B178,D178)</f>
        <v>-0.088554859161377</v>
      </c>
      <c r="C179" s="25" t="n">
        <f aca="false">IF(T178&gt;0,D178,C178)</f>
        <v>-0.0885534286499023</v>
      </c>
      <c r="D179" s="41" t="n">
        <f aca="false">(B179+C179)/2</f>
        <v>-0.0885541439056397</v>
      </c>
      <c r="E179" s="15" t="n">
        <f aca="false">$C$2*(1+IF(E$3&lt;=$O$2,$D179,$D179-($D179-$I$157)*MIN(E$3-$O$2,$Q$2)/$Q$2))</f>
        <v>2497.36164569855</v>
      </c>
      <c r="F179" s="15" t="n">
        <f aca="false">E179*(1+IF(F$3&lt;=$O$2,$D179,$D179-($D179-$I$157)*MIN(F$3-$O$2,$Q$2)/$Q$2))</f>
        <v>2276.20992314093</v>
      </c>
      <c r="G179" s="15" t="n">
        <f aca="false">F179*(1+IF(G$3&lt;=$O$2,$D179,$D179-($D179-$I$157)*MIN(G$3-$O$2,$Q$2)/$Q$2))</f>
        <v>2074.64210204767</v>
      </c>
      <c r="H179" s="15" t="n">
        <f aca="false">G179*(1+IF(H$3&lt;=$O$2,$D179,$D179-($D179-$I$157)*MIN(H$3-$O$2,$Q$2)/$Q$2))</f>
        <v>1890.92394679024</v>
      </c>
      <c r="I179" s="15" t="n">
        <f aca="false">H179*(1+IF(I$3&lt;=$O$2,$D179,$D179-($D179-$I$157)*MIN(I$3-$O$2,$Q$2)/$Q$2))</f>
        <v>1723.47479549156</v>
      </c>
      <c r="J179" s="15" t="n">
        <f aca="false">I179*(1+IF(J$3&lt;=$O$2,$D179,$D179-($D179-$I$157)*MIN(J$3-$O$2,$Q$2)/$Q$2))</f>
        <v>1614.57994437886</v>
      </c>
      <c r="K179" s="15" t="n">
        <f aca="false">J179*(1+IF(K$3&lt;=$O$2,$D179,$D179-($D179-$I$157)*MIN(K$3-$O$2,$Q$2)/$Q$2))</f>
        <v>1553.52866228173</v>
      </c>
      <c r="L179" s="15" t="n">
        <f aca="false">K179*(1+IF(L$3&lt;=$O$2,$D179,$D179-($D179-$I$157)*MIN(L$3-$O$2,$Q$2)/$Q$2))</f>
        <v>1534.20019065247</v>
      </c>
      <c r="M179" s="15" t="n">
        <f aca="false">L179*(1+IF(M$3&lt;=$O$2,$D179,$D179-($D179-$I$157)*MIN(M$3-$O$2,$Q$2)/$Q$2))</f>
        <v>1554.03612760145</v>
      </c>
      <c r="N179" s="15" t="n">
        <f aca="false">M179*(1+IF(N$3&lt;=$O$2,$D179,$D179-($D179-$I$157)*MIN(N$3-$O$2,$Q$2)/$Q$2))</f>
        <v>1613.55571128858</v>
      </c>
      <c r="O179" s="15" t="n">
        <f aca="false">SUMPRODUCT(E179:N179,1/(1+$F$157)^$E$3:$N$3)*$E$2</f>
        <v>9173.64248605335</v>
      </c>
      <c r="P179" s="15" t="n">
        <f aca="false">N179*$E$2*(1+$I$157)/($F$157-$I$157)/(1+$F$157)^$N$3</f>
        <v>20576.337508384</v>
      </c>
      <c r="Q179" s="15" t="n">
        <f aca="false">O179+P179</f>
        <v>29749.9799944373</v>
      </c>
      <c r="R179" s="15" t="n">
        <f aca="false">Q179-$G$2+$I$2</f>
        <v>30519.9799944373</v>
      </c>
      <c r="S179" s="42" t="n">
        <f aca="false">R179/$K$2</f>
        <v>292.252992381857</v>
      </c>
      <c r="T179" s="43" t="n">
        <f aca="false">S179-$M$2</f>
        <v>-0.000191569115088441</v>
      </c>
    </row>
    <row r="180" customFormat="false" ht="15" hidden="false" customHeight="false" outlineLevel="0" collapsed="false">
      <c r="A180" s="5" t="n">
        <v>22</v>
      </c>
      <c r="B180" s="25" t="n">
        <f aca="false">IF(T179&gt;0,B179,D179)</f>
        <v>-0.0885541439056397</v>
      </c>
      <c r="C180" s="25" t="n">
        <f aca="false">IF(T179&gt;0,D179,C179)</f>
        <v>-0.0885534286499023</v>
      </c>
      <c r="D180" s="41" t="n">
        <f aca="false">(B180+C180)/2</f>
        <v>-0.088553786277771</v>
      </c>
      <c r="E180" s="15" t="n">
        <f aca="false">$C$2*(1+IF(E$3&lt;=$O$2,$D180,$D180-($D180-$I$157)*MIN(E$3-$O$2,$Q$2)/$Q$2))</f>
        <v>2497.36262559891</v>
      </c>
      <c r="F180" s="15" t="n">
        <f aca="false">E180*(1+IF(F$3&lt;=$O$2,$D180,$D180-($D180-$I$157)*MIN(F$3-$O$2,$Q$2)/$Q$2))</f>
        <v>2276.21170939353</v>
      </c>
      <c r="G180" s="15" t="n">
        <f aca="false">F180*(1+IF(G$3&lt;=$O$2,$D180,$D180-($D180-$I$157)*MIN(G$3-$O$2,$Q$2)/$Q$2))</f>
        <v>2074.64454415693</v>
      </c>
      <c r="H180" s="15" t="n">
        <f aca="false">G180*(1+IF(H$3&lt;=$O$2,$D180,$D180-($D180-$I$157)*MIN(H$3-$O$2,$Q$2)/$Q$2))</f>
        <v>1890.92691459132</v>
      </c>
      <c r="I180" s="15" t="n">
        <f aca="false">H180*(1+IF(I$3&lt;=$O$2,$D180,$D180-($D180-$I$157)*MIN(I$3-$O$2,$Q$2)/$Q$2))</f>
        <v>1723.47817672971</v>
      </c>
      <c r="J180" s="15" t="n">
        <f aca="false">I180*(1+IF(J$3&lt;=$O$2,$D180,$D180-($D180-$I$157)*MIN(J$3-$O$2,$Q$2)/$Q$2))</f>
        <v>1614.58360507024</v>
      </c>
      <c r="K180" s="15" t="n">
        <f aca="false">J180*(1+IF(K$3&lt;=$O$2,$D180,$D180-($D180-$I$157)*MIN(K$3-$O$2,$Q$2)/$Q$2))</f>
        <v>1553.53253100533</v>
      </c>
      <c r="L180" s="15" t="n">
        <f aca="false">K180*(1+IF(L$3&lt;=$O$2,$D180,$D180-($D180-$I$157)*MIN(L$3-$O$2,$Q$2)/$Q$2))</f>
        <v>1534.20423347735</v>
      </c>
      <c r="M180" s="15" t="n">
        <f aca="false">L180*(1+IF(M$3&lt;=$O$2,$D180,$D180-($D180-$I$157)*MIN(M$3-$O$2,$Q$2)/$Q$2))</f>
        <v>1554.04033243153</v>
      </c>
      <c r="N180" s="15" t="n">
        <f aca="false">M180*(1+IF(N$3&lt;=$O$2,$D180,$D180-($D180-$I$157)*MIN(N$3-$O$2,$Q$2)/$Q$2))</f>
        <v>1613.56007716366</v>
      </c>
      <c r="O180" s="15" t="n">
        <f aca="false">SUMPRODUCT(E180:N180,1/(1+$F$157)^$E$3:$N$3)*$E$2</f>
        <v>9173.65693541643</v>
      </c>
      <c r="P180" s="15" t="n">
        <f aca="false">N180*$E$2*(1+$I$157)/($F$157-$I$157)/(1+$F$157)^$N$3</f>
        <v>20576.3931827673</v>
      </c>
      <c r="Q180" s="15" t="n">
        <f aca="false">O180+P180</f>
        <v>29750.0501181837</v>
      </c>
      <c r="R180" s="15" t="n">
        <f aca="false">Q180-$G$2+$I$2</f>
        <v>30520.0501181837</v>
      </c>
      <c r="S180" s="42" t="n">
        <f aca="false">R180/$K$2</f>
        <v>292.253663872294</v>
      </c>
      <c r="T180" s="43" t="n">
        <f aca="false">S180-$M$2</f>
        <v>0.000479921322323662</v>
      </c>
    </row>
    <row r="181" customFormat="false" ht="15" hidden="false" customHeight="false" outlineLevel="0" collapsed="false">
      <c r="A181" s="5" t="n">
        <v>23</v>
      </c>
      <c r="B181" s="25" t="n">
        <f aca="false">IF(T180&gt;0,B180,D180)</f>
        <v>-0.0885541439056397</v>
      </c>
      <c r="C181" s="25" t="n">
        <f aca="false">IF(T180&gt;0,D180,C180)</f>
        <v>-0.088553786277771</v>
      </c>
      <c r="D181" s="41" t="n">
        <f aca="false">(B181+C181)/2</f>
        <v>-0.0885539650917053</v>
      </c>
      <c r="E181" s="15" t="n">
        <f aca="false">$C$2*(1+IF(E$3&lt;=$O$2,$D181,$D181-($D181-$I$157)*MIN(E$3-$O$2,$Q$2)/$Q$2))</f>
        <v>2497.36213564873</v>
      </c>
      <c r="F181" s="15" t="n">
        <f aca="false">E181*(1+IF(F$3&lt;=$O$2,$D181,$D181-($D181-$I$157)*MIN(F$3-$O$2,$Q$2)/$Q$2))</f>
        <v>2276.21081626714</v>
      </c>
      <c r="G181" s="15" t="n">
        <f aca="false">F181*(1+IF(G$3&lt;=$O$2,$D181,$D181-($D181-$I$157)*MIN(G$3-$O$2,$Q$2)/$Q$2))</f>
        <v>2074.64332310206</v>
      </c>
      <c r="H181" s="15" t="n">
        <f aca="false">G181*(1+IF(H$3&lt;=$O$2,$D181,$D181-($D181-$I$157)*MIN(H$3-$O$2,$Q$2)/$Q$2))</f>
        <v>1890.92543069034</v>
      </c>
      <c r="I181" s="15" t="n">
        <f aca="false">H181*(1+IF(I$3&lt;=$O$2,$D181,$D181-($D181-$I$157)*MIN(I$3-$O$2,$Q$2)/$Q$2))</f>
        <v>1723.47648610997</v>
      </c>
      <c r="J181" s="15" t="n">
        <f aca="false">I181*(1+IF(J$3&lt;=$O$2,$D181,$D181-($D181-$I$157)*MIN(J$3-$O$2,$Q$2)/$Q$2))</f>
        <v>1614.58177472369</v>
      </c>
      <c r="K181" s="15" t="n">
        <f aca="false">J181*(1+IF(K$3&lt;=$O$2,$D181,$D181-($D181-$I$157)*MIN(K$3-$O$2,$Q$2)/$Q$2))</f>
        <v>1553.5305966425</v>
      </c>
      <c r="L181" s="15" t="n">
        <f aca="false">K181*(1+IF(L$3&lt;=$O$2,$D181,$D181-($D181-$I$157)*MIN(L$3-$O$2,$Q$2)/$Q$2))</f>
        <v>1534.20221206376</v>
      </c>
      <c r="M181" s="15" t="n">
        <f aca="false">L181*(1+IF(M$3&lt;=$O$2,$D181,$D181-($D181-$I$157)*MIN(M$3-$O$2,$Q$2)/$Q$2))</f>
        <v>1554.03823001525</v>
      </c>
      <c r="N181" s="15" t="n">
        <f aca="false">M181*(1+IF(N$3&lt;=$O$2,$D181,$D181-($D181-$I$157)*MIN(N$3-$O$2,$Q$2)/$Q$2))</f>
        <v>1613.55789422483</v>
      </c>
      <c r="O181" s="15" t="n">
        <f aca="false">SUMPRODUCT(E181:N181,1/(1+$F$157)^$E$3:$N$3)*$E$2</f>
        <v>9173.64971073191</v>
      </c>
      <c r="P181" s="15" t="n">
        <f aca="false">N181*$E$2*(1+$I$157)/($F$157-$I$157)/(1+$F$157)^$N$3</f>
        <v>20576.3653455592</v>
      </c>
      <c r="Q181" s="15" t="n">
        <f aca="false">O181+P181</f>
        <v>29750.0150562911</v>
      </c>
      <c r="R181" s="15" t="n">
        <f aca="false">Q181-$G$2+$I$2</f>
        <v>30520.0150562911</v>
      </c>
      <c r="S181" s="42" t="n">
        <f aca="false">R181/$K$2</f>
        <v>292.25332812689</v>
      </c>
      <c r="T181" s="43" t="n">
        <f aca="false">S181-$M$2</f>
        <v>0.000144175917796474</v>
      </c>
    </row>
    <row r="182" customFormat="false" ht="15" hidden="false" customHeight="false" outlineLevel="0" collapsed="false">
      <c r="A182" s="5" t="n">
        <v>24</v>
      </c>
      <c r="B182" s="25" t="n">
        <f aca="false">IF(T181&gt;0,B181,D181)</f>
        <v>-0.0885541439056397</v>
      </c>
      <c r="C182" s="25" t="n">
        <f aca="false">IF(T181&gt;0,D181,C181)</f>
        <v>-0.0885539650917053</v>
      </c>
      <c r="D182" s="41" t="n">
        <f aca="false">(B182+C182)/2</f>
        <v>-0.0885540544986725</v>
      </c>
      <c r="E182" s="15" t="n">
        <f aca="false">$C$2*(1+IF(E$3&lt;=$O$2,$D182,$D182-($D182-$I$157)*MIN(E$3-$O$2,$Q$2)/$Q$2))</f>
        <v>2497.36189067364</v>
      </c>
      <c r="F182" s="15" t="n">
        <f aca="false">E182*(1+IF(F$3&lt;=$O$2,$D182,$D182-($D182-$I$157)*MIN(F$3-$O$2,$Q$2)/$Q$2))</f>
        <v>2276.21036970402</v>
      </c>
      <c r="G182" s="15" t="n">
        <f aca="false">F182*(1+IF(G$3&lt;=$O$2,$D182,$D182-($D182-$I$157)*MIN(G$3-$O$2,$Q$2)/$Q$2))</f>
        <v>2074.6427125748</v>
      </c>
      <c r="H182" s="15" t="n">
        <f aca="false">G182*(1+IF(H$3&lt;=$O$2,$D182,$D182-($D182-$I$157)*MIN(H$3-$O$2,$Q$2)/$Q$2))</f>
        <v>1890.92468874018</v>
      </c>
      <c r="I182" s="15" t="n">
        <f aca="false">H182*(1+IF(I$3&lt;=$O$2,$D182,$D182-($D182-$I$157)*MIN(I$3-$O$2,$Q$2)/$Q$2))</f>
        <v>1723.4756408006</v>
      </c>
      <c r="J182" s="15" t="n">
        <f aca="false">I182*(1+IF(J$3&lt;=$O$2,$D182,$D182-($D182-$I$157)*MIN(J$3-$O$2,$Q$2)/$Q$2))</f>
        <v>1614.58085955106</v>
      </c>
      <c r="K182" s="15" t="n">
        <f aca="false">J182*(1+IF(K$3&lt;=$O$2,$D182,$D182-($D182-$I$157)*MIN(K$3-$O$2,$Q$2)/$Q$2))</f>
        <v>1553.52962946186</v>
      </c>
      <c r="L182" s="15" t="n">
        <f aca="false">K182*(1+IF(L$3&lt;=$O$2,$D182,$D182-($D182-$I$157)*MIN(L$3-$O$2,$Q$2)/$Q$2))</f>
        <v>1534.20120135783</v>
      </c>
      <c r="M182" s="15" t="n">
        <f aca="false">L182*(1+IF(M$3&lt;=$O$2,$D182,$D182-($D182-$I$157)*MIN(M$3-$O$2,$Q$2)/$Q$2))</f>
        <v>1554.03717880804</v>
      </c>
      <c r="N182" s="15" t="n">
        <f aca="false">M182*(1+IF(N$3&lt;=$O$2,$D182,$D182-($D182-$I$157)*MIN(N$3-$O$2,$Q$2)/$Q$2))</f>
        <v>1613.55680275639</v>
      </c>
      <c r="O182" s="15" t="n">
        <f aca="false">SUMPRODUCT(E182:N182,1/(1+$F$157)^$E$3:$N$3)*$E$2</f>
        <v>9173.64609839188</v>
      </c>
      <c r="P182" s="15" t="n">
        <f aca="false">N182*$E$2*(1+$I$157)/($F$157-$I$157)/(1+$F$157)^$N$3</f>
        <v>20576.3514269675</v>
      </c>
      <c r="Q182" s="15" t="n">
        <f aca="false">O182+P182</f>
        <v>29749.9975253594</v>
      </c>
      <c r="R182" s="15" t="n">
        <f aca="false">Q182-$G$2+$I$2</f>
        <v>30519.9975253594</v>
      </c>
      <c r="S182" s="42" t="n">
        <f aca="false">R182/$K$2</f>
        <v>292.253160254327</v>
      </c>
      <c r="T182" s="43" t="n">
        <f aca="false">S182-$M$2</f>
        <v>-2.36966450870568E-005</v>
      </c>
    </row>
    <row r="184" customFormat="false" ht="15" hidden="false" customHeight="false" outlineLevel="0" collapsed="false">
      <c r="A184" s="38" t="s">
        <v>184</v>
      </c>
      <c r="E184" s="5" t="s">
        <v>11</v>
      </c>
      <c r="F184" s="12" t="n">
        <f aca="false">Sensitivity!$B$11</f>
        <v>0.0722772551778937</v>
      </c>
      <c r="G184" s="5" t="s">
        <v>12</v>
      </c>
      <c r="I184" s="12" t="n">
        <f aca="false">Sensitivity!$C$9</f>
        <v>0.0183</v>
      </c>
    </row>
    <row r="185" customFormat="false" ht="23.85" hidden="false" customHeight="false" outlineLevel="0" collapsed="false">
      <c r="A185" s="38" t="s">
        <v>159</v>
      </c>
      <c r="B185" s="28" t="s">
        <v>160</v>
      </c>
      <c r="C185" s="28" t="s">
        <v>161</v>
      </c>
      <c r="D185" s="28" t="s">
        <v>162</v>
      </c>
      <c r="E185" s="28" t="s">
        <v>163</v>
      </c>
      <c r="F185" s="28" t="s">
        <v>164</v>
      </c>
      <c r="G185" s="28" t="s">
        <v>165</v>
      </c>
      <c r="H185" s="28" t="s">
        <v>166</v>
      </c>
      <c r="I185" s="28" t="s">
        <v>167</v>
      </c>
      <c r="J185" s="28" t="s">
        <v>168</v>
      </c>
      <c r="K185" s="28" t="s">
        <v>169</v>
      </c>
      <c r="L185" s="28" t="s">
        <v>170</v>
      </c>
      <c r="M185" s="28" t="s">
        <v>171</v>
      </c>
      <c r="N185" s="28" t="s">
        <v>172</v>
      </c>
      <c r="O185" s="28" t="s">
        <v>173</v>
      </c>
      <c r="P185" s="28" t="s">
        <v>174</v>
      </c>
      <c r="Q185" s="28" t="s">
        <v>175</v>
      </c>
      <c r="R185" s="28" t="s">
        <v>176</v>
      </c>
      <c r="S185" s="28" t="s">
        <v>177</v>
      </c>
      <c r="T185" s="28" t="s">
        <v>178</v>
      </c>
    </row>
    <row r="186" customFormat="false" ht="15" hidden="false" customHeight="false" outlineLevel="0" collapsed="false">
      <c r="A186" s="5" t="n">
        <v>1</v>
      </c>
      <c r="B186" s="24" t="n">
        <v>-0.5</v>
      </c>
      <c r="C186" s="24" t="n">
        <v>1</v>
      </c>
      <c r="D186" s="41" t="n">
        <f aca="false">(B186+C186)/2</f>
        <v>0.25</v>
      </c>
      <c r="E186" s="15" t="n">
        <f aca="false">$C$2*(1+IF(E$3&lt;=$O$2,$D186,$D186-($D186-$I$184)*MIN(E$3-$O$2,$Q$2)/$Q$2))</f>
        <v>3425</v>
      </c>
      <c r="F186" s="15" t="n">
        <f aca="false">E186*(1+IF(F$3&lt;=$O$2,$D186,$D186-($D186-$I$184)*MIN(F$3-$O$2,$Q$2)/$Q$2))</f>
        <v>4281.25</v>
      </c>
      <c r="G186" s="15" t="n">
        <f aca="false">F186*(1+IF(G$3&lt;=$O$2,$D186,$D186-($D186-$I$184)*MIN(G$3-$O$2,$Q$2)/$Q$2))</f>
        <v>5351.5625</v>
      </c>
      <c r="H186" s="15" t="n">
        <f aca="false">G186*(1+IF(H$3&lt;=$O$2,$D186,$D186-($D186-$I$184)*MIN(H$3-$O$2,$Q$2)/$Q$2))</f>
        <v>6689.453125</v>
      </c>
      <c r="I186" s="15" t="n">
        <f aca="false">H186*(1+IF(I$3&lt;=$O$2,$D186,$D186-($D186-$I$184)*MIN(I$3-$O$2,$Q$2)/$Q$2))</f>
        <v>8361.81640625</v>
      </c>
      <c r="J186" s="15" t="n">
        <f aca="false">I186*(1+IF(J$3&lt;=$O$2,$D186,$D186-($D186-$I$184)*MIN(J$3-$O$2,$Q$2)/$Q$2))</f>
        <v>10064.7839355469</v>
      </c>
      <c r="K186" s="15" t="n">
        <f aca="false">J186*(1+IF(K$3&lt;=$O$2,$D186,$D186-($D186-$I$184)*MIN(K$3-$O$2,$Q$2)/$Q$2))</f>
        <v>11648.1757442871</v>
      </c>
      <c r="L186" s="15" t="n">
        <f aca="false">K186*(1+IF(L$3&lt;=$O$2,$D186,$D186-($D186-$I$184)*MIN(L$3-$O$2,$Q$2)/$Q$2))</f>
        <v>12940.8902883881</v>
      </c>
      <c r="M186" s="15" t="n">
        <f aca="false">L186*(1+IF(M$3&lt;=$O$2,$D186,$D186-($D186-$I$184)*MIN(M$3-$O$2,$Q$2)/$Q$2))</f>
        <v>13777.3894366295</v>
      </c>
      <c r="N186" s="15" t="n">
        <f aca="false">M186*(1+IF(N$3&lt;=$O$2,$D186,$D186-($D186-$I$184)*MIN(N$3-$O$2,$Q$2)/$Q$2))</f>
        <v>14029.5156633198</v>
      </c>
      <c r="O186" s="15" t="n">
        <f aca="false">SUMPRODUCT(E186:N186,1/(1+$F$184)^$E$3:$N$3)*$E$2</f>
        <v>39395.7052034237</v>
      </c>
      <c r="P186" s="15" t="n">
        <f aca="false">N186*$E$2*(1+$I$184)/($F$184-$I$184)/(1+$F$184)^$N$3</f>
        <v>89893.3840579523</v>
      </c>
      <c r="Q186" s="15" t="n">
        <f aca="false">O186+P186</f>
        <v>129289.089261376</v>
      </c>
      <c r="R186" s="15" t="n">
        <f aca="false">Q186-$G$2+$I$2</f>
        <v>130059.089261376</v>
      </c>
      <c r="S186" s="42" t="n">
        <f aca="false">R186/$K$2</f>
        <v>1245.41883808653</v>
      </c>
      <c r="T186" s="43" t="n">
        <f aca="false">S186-$M$2</f>
        <v>953.165654135555</v>
      </c>
    </row>
    <row r="187" customFormat="false" ht="15" hidden="false" customHeight="false" outlineLevel="0" collapsed="false">
      <c r="A187" s="5" t="n">
        <v>2</v>
      </c>
      <c r="B187" s="25" t="n">
        <f aca="false">IF(T186&gt;0,B186,D186)</f>
        <v>-0.5</v>
      </c>
      <c r="C187" s="25" t="n">
        <f aca="false">IF(T186&gt;0,D186,C186)</f>
        <v>0.25</v>
      </c>
      <c r="D187" s="41" t="n">
        <f aca="false">(B187+C187)/2</f>
        <v>-0.125</v>
      </c>
      <c r="E187" s="15" t="n">
        <f aca="false">$C$2*(1+IF(E$3&lt;=$O$2,$D187,$D187-($D187-$I$184)*MIN(E$3-$O$2,$Q$2)/$Q$2))</f>
        <v>2397.5</v>
      </c>
      <c r="F187" s="15" t="n">
        <f aca="false">E187*(1+IF(F$3&lt;=$O$2,$D187,$D187-($D187-$I$184)*MIN(F$3-$O$2,$Q$2)/$Q$2))</f>
        <v>2097.8125</v>
      </c>
      <c r="G187" s="15" t="n">
        <f aca="false">F187*(1+IF(G$3&lt;=$O$2,$D187,$D187-($D187-$I$184)*MIN(G$3-$O$2,$Q$2)/$Q$2))</f>
        <v>1835.5859375</v>
      </c>
      <c r="H187" s="15" t="n">
        <f aca="false">G187*(1+IF(H$3&lt;=$O$2,$D187,$D187-($D187-$I$184)*MIN(H$3-$O$2,$Q$2)/$Q$2))</f>
        <v>1606.1376953125</v>
      </c>
      <c r="I187" s="15" t="n">
        <f aca="false">H187*(1+IF(I$3&lt;=$O$2,$D187,$D187-($D187-$I$184)*MIN(I$3-$O$2,$Q$2)/$Q$2))</f>
        <v>1405.37048339844</v>
      </c>
      <c r="J187" s="15" t="n">
        <f aca="false">I187*(1+IF(J$3&lt;=$O$2,$D187,$D187-($D187-$I$184)*MIN(J$3-$O$2,$Q$2)/$Q$2))</f>
        <v>1269.97709102783</v>
      </c>
      <c r="K187" s="15" t="n">
        <f aca="false">J187*(1+IF(K$3&lt;=$O$2,$D187,$D187-($D187-$I$184)*MIN(K$3-$O$2,$Q$2)/$Q$2))</f>
        <v>1184.02504150707</v>
      </c>
      <c r="L187" s="15" t="n">
        <f aca="false">K187*(1+IF(L$3&lt;=$O$2,$D187,$D187-($D187-$I$184)*MIN(L$3-$O$2,$Q$2)/$Q$2))</f>
        <v>1137.82438438746</v>
      </c>
      <c r="M187" s="15" t="n">
        <f aca="false">L187*(1+IF(M$3&lt;=$O$2,$D187,$D187-($D187-$I$184)*MIN(M$3-$O$2,$Q$2)/$Q$2))</f>
        <v>1126.03652376521</v>
      </c>
      <c r="N187" s="15" t="n">
        <f aca="false">M187*(1+IF(N$3&lt;=$O$2,$D187,$D187-($D187-$I$184)*MIN(N$3-$O$2,$Q$2)/$Q$2))</f>
        <v>1146.64299215011</v>
      </c>
      <c r="O187" s="15" t="n">
        <f aca="false">SUMPRODUCT(E187:N187,1/(1+$F$184)^$E$3:$N$3)*$E$2</f>
        <v>7602.97448471744</v>
      </c>
      <c r="P187" s="15" t="n">
        <f aca="false">N187*$E$2*(1+$I$184)/($F$184-$I$184)/(1+$F$184)^$N$3</f>
        <v>7347.05469128923</v>
      </c>
      <c r="Q187" s="15" t="n">
        <f aca="false">O187+P187</f>
        <v>14950.0291760067</v>
      </c>
      <c r="R187" s="15" t="n">
        <f aca="false">Q187-$G$2+$I$2</f>
        <v>15720.0291760067</v>
      </c>
      <c r="S187" s="42" t="n">
        <f aca="false">R187/$K$2</f>
        <v>150.531735861406</v>
      </c>
      <c r="T187" s="43" t="n">
        <f aca="false">S187-$M$2</f>
        <v>-141.721448089566</v>
      </c>
    </row>
    <row r="188" customFormat="false" ht="15" hidden="false" customHeight="false" outlineLevel="0" collapsed="false">
      <c r="A188" s="5" t="n">
        <v>3</v>
      </c>
      <c r="B188" s="25" t="n">
        <f aca="false">IF(T187&gt;0,B187,D187)</f>
        <v>-0.125</v>
      </c>
      <c r="C188" s="25" t="n">
        <f aca="false">IF(T187&gt;0,D187,C187)</f>
        <v>0.25</v>
      </c>
      <c r="D188" s="41" t="n">
        <f aca="false">(B188+C188)/2</f>
        <v>0.0625</v>
      </c>
      <c r="E188" s="15" t="n">
        <f aca="false">$C$2*(1+IF(E$3&lt;=$O$2,$D188,$D188-($D188-$I$184)*MIN(E$3-$O$2,$Q$2)/$Q$2))</f>
        <v>2911.25</v>
      </c>
      <c r="F188" s="15" t="n">
        <f aca="false">E188*(1+IF(F$3&lt;=$O$2,$D188,$D188-($D188-$I$184)*MIN(F$3-$O$2,$Q$2)/$Q$2))</f>
        <v>3093.203125</v>
      </c>
      <c r="G188" s="15" t="n">
        <f aca="false">F188*(1+IF(G$3&lt;=$O$2,$D188,$D188-($D188-$I$184)*MIN(G$3-$O$2,$Q$2)/$Q$2))</f>
        <v>3286.5283203125</v>
      </c>
      <c r="H188" s="15" t="n">
        <f aca="false">G188*(1+IF(H$3&lt;=$O$2,$D188,$D188-($D188-$I$184)*MIN(H$3-$O$2,$Q$2)/$Q$2))</f>
        <v>3491.93634033203</v>
      </c>
      <c r="I188" s="15" t="n">
        <f aca="false">H188*(1+IF(I$3&lt;=$O$2,$D188,$D188-($D188-$I$184)*MIN(I$3-$O$2,$Q$2)/$Q$2))</f>
        <v>3710.18236160278</v>
      </c>
      <c r="J188" s="15" t="n">
        <f aca="false">I188*(1+IF(J$3&lt;=$O$2,$D188,$D188-($D188-$I$184)*MIN(J$3-$O$2,$Q$2)/$Q$2))</f>
        <v>3909.27074712639</v>
      </c>
      <c r="K188" s="15" t="n">
        <f aca="false">J188*(1+IF(K$3&lt;=$O$2,$D188,$D188-($D188-$I$184)*MIN(K$3-$O$2,$Q$2)/$Q$2))</f>
        <v>4084.48426201259</v>
      </c>
      <c r="L188" s="15" t="n">
        <f aca="false">K188*(1+IF(L$3&lt;=$O$2,$D188,$D188-($D188-$I$184)*MIN(L$3-$O$2,$Q$2)/$Q$2))</f>
        <v>4231.44400575981</v>
      </c>
      <c r="M188" s="15" t="n">
        <f aca="false">L188*(1+IF(M$3&lt;=$O$2,$D188,$D188-($D188-$I$184)*MIN(M$3-$O$2,$Q$2)/$Q$2))</f>
        <v>4346.28539607613</v>
      </c>
      <c r="N188" s="15" t="n">
        <f aca="false">M188*(1+IF(N$3&lt;=$O$2,$D188,$D188-($D188-$I$184)*MIN(N$3-$O$2,$Q$2)/$Q$2))</f>
        <v>4425.82241882432</v>
      </c>
      <c r="O188" s="15" t="n">
        <f aca="false">SUMPRODUCT(E188:N188,1/(1+$F$184)^$E$3:$N$3)*$E$2</f>
        <v>17301.4091951121</v>
      </c>
      <c r="P188" s="15" t="n">
        <f aca="false">N188*$E$2*(1+$I$184)/($F$184-$I$184)/(1+$F$184)^$N$3</f>
        <v>28358.2244758353</v>
      </c>
      <c r="Q188" s="15" t="n">
        <f aca="false">O188+P188</f>
        <v>45659.6336709474</v>
      </c>
      <c r="R188" s="15" t="n">
        <f aca="false">Q188-$G$2+$I$2</f>
        <v>46429.6336709474</v>
      </c>
      <c r="S188" s="42" t="n">
        <f aca="false">R188/$K$2</f>
        <v>444.600533093435</v>
      </c>
      <c r="T188" s="43" t="n">
        <f aca="false">S188-$M$2</f>
        <v>152.347349142463</v>
      </c>
    </row>
    <row r="189" customFormat="false" ht="15" hidden="false" customHeight="false" outlineLevel="0" collapsed="false">
      <c r="A189" s="5" t="n">
        <v>4</v>
      </c>
      <c r="B189" s="25" t="n">
        <f aca="false">IF(T188&gt;0,B188,D188)</f>
        <v>-0.125</v>
      </c>
      <c r="C189" s="25" t="n">
        <f aca="false">IF(T188&gt;0,D188,C188)</f>
        <v>0.0625</v>
      </c>
      <c r="D189" s="41" t="n">
        <f aca="false">(B189+C189)/2</f>
        <v>-0.03125</v>
      </c>
      <c r="E189" s="15" t="n">
        <f aca="false">$C$2*(1+IF(E$3&lt;=$O$2,$D189,$D189-($D189-$I$184)*MIN(E$3-$O$2,$Q$2)/$Q$2))</f>
        <v>2654.375</v>
      </c>
      <c r="F189" s="15" t="n">
        <f aca="false">E189*(1+IF(F$3&lt;=$O$2,$D189,$D189-($D189-$I$184)*MIN(F$3-$O$2,$Q$2)/$Q$2))</f>
        <v>2571.42578125</v>
      </c>
      <c r="G189" s="15" t="n">
        <f aca="false">F189*(1+IF(G$3&lt;=$O$2,$D189,$D189-($D189-$I$184)*MIN(G$3-$O$2,$Q$2)/$Q$2))</f>
        <v>2491.06872558594</v>
      </c>
      <c r="H189" s="15" t="n">
        <f aca="false">G189*(1+IF(H$3&lt;=$O$2,$D189,$D189-($D189-$I$184)*MIN(H$3-$O$2,$Q$2)/$Q$2))</f>
        <v>2413.22282791138</v>
      </c>
      <c r="I189" s="15" t="n">
        <f aca="false">H189*(1+IF(I$3&lt;=$O$2,$D189,$D189-($D189-$I$184)*MIN(I$3-$O$2,$Q$2)/$Q$2))</f>
        <v>2337.80961453915</v>
      </c>
      <c r="J189" s="15" t="n">
        <f aca="false">I189*(1+IF(J$3&lt;=$O$2,$D189,$D189-($D189-$I$184)*MIN(J$3-$O$2,$Q$2)/$Q$2))</f>
        <v>2287.92075736488</v>
      </c>
      <c r="K189" s="15" t="n">
        <f aca="false">J189*(1+IF(K$3&lt;=$O$2,$D189,$D189-($D189-$I$184)*MIN(K$3-$O$2,$Q$2)/$Q$2))</f>
        <v>2261.7698231082</v>
      </c>
      <c r="L189" s="15" t="n">
        <f aca="false">K189*(1+IF(L$3&lt;=$O$2,$D189,$D189-($D189-$I$184)*MIN(L$3-$O$2,$Q$2)/$Q$2))</f>
        <v>2258.33193297708</v>
      </c>
      <c r="M189" s="15" t="n">
        <f aca="false">L189*(1+IF(M$3&lt;=$O$2,$D189,$D189-($D189-$I$184)*MIN(M$3-$O$2,$Q$2)/$Q$2))</f>
        <v>2277.27933789475</v>
      </c>
      <c r="N189" s="15" t="n">
        <f aca="false">M189*(1+IF(N$3&lt;=$O$2,$D189,$D189-($D189-$I$184)*MIN(N$3-$O$2,$Q$2)/$Q$2))</f>
        <v>2318.95354977823</v>
      </c>
      <c r="O189" s="15" t="n">
        <f aca="false">SUMPRODUCT(E189:N189,1/(1+$F$184)^$E$3:$N$3)*$E$2</f>
        <v>11439.3938526853</v>
      </c>
      <c r="P189" s="15" t="n">
        <f aca="false">N189*$E$2*(1+$I$184)/($F$184-$I$184)/(1+$F$184)^$N$3</f>
        <v>14858.5729589925</v>
      </c>
      <c r="Q189" s="15" t="n">
        <f aca="false">O189+P189</f>
        <v>26297.9668116779</v>
      </c>
      <c r="R189" s="15" t="n">
        <f aca="false">Q189-$G$2+$I$2</f>
        <v>27067.9668116779</v>
      </c>
      <c r="S189" s="42" t="n">
        <f aca="false">R189/$K$2</f>
        <v>259.197230792663</v>
      </c>
      <c r="T189" s="43" t="n">
        <f aca="false">S189-$M$2</f>
        <v>-33.0559531583086</v>
      </c>
    </row>
    <row r="190" customFormat="false" ht="15" hidden="false" customHeight="false" outlineLevel="0" collapsed="false">
      <c r="A190" s="5" t="n">
        <v>5</v>
      </c>
      <c r="B190" s="25" t="n">
        <f aca="false">IF(T189&gt;0,B189,D189)</f>
        <v>-0.03125</v>
      </c>
      <c r="C190" s="25" t="n">
        <f aca="false">IF(T189&gt;0,D189,C189)</f>
        <v>0.0625</v>
      </c>
      <c r="D190" s="41" t="n">
        <f aca="false">(B190+C190)/2</f>
        <v>0.015625</v>
      </c>
      <c r="E190" s="15" t="n">
        <f aca="false">$C$2*(1+IF(E$3&lt;=$O$2,$D190,$D190-($D190-$I$184)*MIN(E$3-$O$2,$Q$2)/$Q$2))</f>
        <v>2782.8125</v>
      </c>
      <c r="F190" s="15" t="n">
        <f aca="false">E190*(1+IF(F$3&lt;=$O$2,$D190,$D190-($D190-$I$184)*MIN(F$3-$O$2,$Q$2)/$Q$2))</f>
        <v>2826.2939453125</v>
      </c>
      <c r="G190" s="15" t="n">
        <f aca="false">F190*(1+IF(G$3&lt;=$O$2,$D190,$D190-($D190-$I$184)*MIN(G$3-$O$2,$Q$2)/$Q$2))</f>
        <v>2870.45478820801</v>
      </c>
      <c r="H190" s="15" t="n">
        <f aca="false">G190*(1+IF(H$3&lt;=$O$2,$D190,$D190-($D190-$I$184)*MIN(H$3-$O$2,$Q$2)/$Q$2))</f>
        <v>2915.30564427376</v>
      </c>
      <c r="I190" s="15" t="n">
        <f aca="false">H190*(1+IF(I$3&lt;=$O$2,$D190,$D190-($D190-$I$184)*MIN(I$3-$O$2,$Q$2)/$Q$2))</f>
        <v>2960.85729496554</v>
      </c>
      <c r="J190" s="15" t="n">
        <f aca="false">I190*(1+IF(J$3&lt;=$O$2,$D190,$D190-($D190-$I$184)*MIN(J$3-$O$2,$Q$2)/$Q$2))</f>
        <v>3008.70474885218</v>
      </c>
      <c r="K190" s="15" t="n">
        <f aca="false">J190*(1+IF(K$3&lt;=$O$2,$D190,$D190-($D190-$I$184)*MIN(K$3-$O$2,$Q$2)/$Q$2))</f>
        <v>3058.93507463427</v>
      </c>
      <c r="L190" s="15" t="n">
        <f aca="false">K190*(1+IF(L$3&lt;=$O$2,$D190,$D190-($D190-$I$184)*MIN(L$3-$O$2,$Q$2)/$Q$2))</f>
        <v>3111.64052597021</v>
      </c>
      <c r="M190" s="15" t="n">
        <f aca="false">L190*(1+IF(M$3&lt;=$O$2,$D190,$D190-($D190-$I$184)*MIN(M$3-$O$2,$Q$2)/$Q$2))</f>
        <v>3166.91881991407</v>
      </c>
      <c r="N190" s="15" t="n">
        <f aca="false">M190*(1+IF(N$3&lt;=$O$2,$D190,$D190-($D190-$I$184)*MIN(N$3-$O$2,$Q$2)/$Q$2))</f>
        <v>3224.8734343185</v>
      </c>
      <c r="O190" s="15" t="n">
        <f aca="false">SUMPRODUCT(E190:N190,1/(1+$F$184)^$E$3:$N$3)*$E$2</f>
        <v>14063.9600715392</v>
      </c>
      <c r="P190" s="15" t="n">
        <f aca="false">N190*$E$2*(1+$I$184)/($F$184-$I$184)/(1+$F$184)^$N$3</f>
        <v>20663.2069934824</v>
      </c>
      <c r="Q190" s="15" t="n">
        <f aca="false">O190+P190</f>
        <v>34727.1670650216</v>
      </c>
      <c r="R190" s="15" t="n">
        <f aca="false">Q190-$G$2+$I$2</f>
        <v>35497.1670650216</v>
      </c>
      <c r="S190" s="42" t="n">
        <f aca="false">R190/$K$2</f>
        <v>339.913502489913</v>
      </c>
      <c r="T190" s="43" t="n">
        <f aca="false">S190-$M$2</f>
        <v>47.6603185389412</v>
      </c>
    </row>
    <row r="191" customFormat="false" ht="15" hidden="false" customHeight="false" outlineLevel="0" collapsed="false">
      <c r="A191" s="5" t="n">
        <v>6</v>
      </c>
      <c r="B191" s="25" t="n">
        <f aca="false">IF(T190&gt;0,B190,D190)</f>
        <v>-0.03125</v>
      </c>
      <c r="C191" s="25" t="n">
        <f aca="false">IF(T190&gt;0,D190,C190)</f>
        <v>0.015625</v>
      </c>
      <c r="D191" s="41" t="n">
        <f aca="false">(B191+C191)/2</f>
        <v>-0.0078125</v>
      </c>
      <c r="E191" s="15" t="n">
        <f aca="false">$C$2*(1+IF(E$3&lt;=$O$2,$D191,$D191-($D191-$I$184)*MIN(E$3-$O$2,$Q$2)/$Q$2))</f>
        <v>2718.59375</v>
      </c>
      <c r="F191" s="15" t="n">
        <f aca="false">E191*(1+IF(F$3&lt;=$O$2,$D191,$D191-($D191-$I$184)*MIN(F$3-$O$2,$Q$2)/$Q$2))</f>
        <v>2697.35473632813</v>
      </c>
      <c r="G191" s="15" t="n">
        <f aca="false">F191*(1+IF(G$3&lt;=$O$2,$D191,$D191-($D191-$I$184)*MIN(G$3-$O$2,$Q$2)/$Q$2))</f>
        <v>2676.28165245056</v>
      </c>
      <c r="H191" s="15" t="n">
        <f aca="false">G191*(1+IF(H$3&lt;=$O$2,$D191,$D191-($D191-$I$184)*MIN(H$3-$O$2,$Q$2)/$Q$2))</f>
        <v>2655.37320204079</v>
      </c>
      <c r="I191" s="15" t="n">
        <f aca="false">H191*(1+IF(I$3&lt;=$O$2,$D191,$D191-($D191-$I$184)*MIN(I$3-$O$2,$Q$2)/$Q$2))</f>
        <v>2634.62809889985</v>
      </c>
      <c r="J191" s="15" t="n">
        <f aca="false">I191*(1+IF(J$3&lt;=$O$2,$D191,$D191-($D191-$I$184)*MIN(J$3-$O$2,$Q$2)/$Q$2))</f>
        <v>2627.8044121237</v>
      </c>
      <c r="K191" s="15" t="n">
        <f aca="false">J191*(1+IF(K$3&lt;=$O$2,$D191,$D191-($D191-$I$184)*MIN(K$3-$O$2,$Q$2)/$Q$2))</f>
        <v>2634.72210723861</v>
      </c>
      <c r="L191" s="15" t="n">
        <f aca="false">K191*(1+IF(L$3&lt;=$O$2,$D191,$D191-($D191-$I$184)*MIN(L$3-$O$2,$Q$2)/$Q$2))</f>
        <v>2655.41784939097</v>
      </c>
      <c r="M191" s="15" t="n">
        <f aca="false">L191*(1+IF(M$3&lt;=$O$2,$D191,$D191-($D191-$I$184)*MIN(M$3-$O$2,$Q$2)/$Q$2))</f>
        <v>2690.14407631638</v>
      </c>
      <c r="N191" s="15" t="n">
        <f aca="false">M191*(1+IF(N$3&lt;=$O$2,$D191,$D191-($D191-$I$184)*MIN(N$3-$O$2,$Q$2)/$Q$2))</f>
        <v>2739.37371291297</v>
      </c>
      <c r="O191" s="15" t="n">
        <f aca="false">SUMPRODUCT(E191:N191,1/(1+$F$184)^$E$3:$N$3)*$E$2</f>
        <v>12682.4565471815</v>
      </c>
      <c r="P191" s="15" t="n">
        <f aca="false">N191*$E$2*(1+$I$184)/($F$184-$I$184)/(1+$F$184)^$N$3</f>
        <v>17552.3930520973</v>
      </c>
      <c r="Q191" s="15" t="n">
        <f aca="false">O191+P191</f>
        <v>30234.8495992788</v>
      </c>
      <c r="R191" s="15" t="n">
        <f aca="false">Q191-$G$2+$I$2</f>
        <v>31004.8495992788</v>
      </c>
      <c r="S191" s="42" t="n">
        <f aca="false">R191/$K$2</f>
        <v>296.896003057347</v>
      </c>
      <c r="T191" s="43" t="n">
        <f aca="false">S191-$M$2</f>
        <v>4.64281910637538</v>
      </c>
    </row>
    <row r="192" customFormat="false" ht="15" hidden="false" customHeight="false" outlineLevel="0" collapsed="false">
      <c r="A192" s="5" t="n">
        <v>7</v>
      </c>
      <c r="B192" s="25" t="n">
        <f aca="false">IF(T191&gt;0,B191,D191)</f>
        <v>-0.03125</v>
      </c>
      <c r="C192" s="25" t="n">
        <f aca="false">IF(T191&gt;0,D191,C191)</f>
        <v>-0.0078125</v>
      </c>
      <c r="D192" s="41" t="n">
        <f aca="false">(B192+C192)/2</f>
        <v>-0.01953125</v>
      </c>
      <c r="E192" s="15" t="n">
        <f aca="false">$C$2*(1+IF(E$3&lt;=$O$2,$D192,$D192-($D192-$I$184)*MIN(E$3-$O$2,$Q$2)/$Q$2))</f>
        <v>2686.484375</v>
      </c>
      <c r="F192" s="15" t="n">
        <f aca="false">E192*(1+IF(F$3&lt;=$O$2,$D192,$D192-($D192-$I$184)*MIN(F$3-$O$2,$Q$2)/$Q$2))</f>
        <v>2634.01397705078</v>
      </c>
      <c r="G192" s="15" t="n">
        <f aca="false">F192*(1+IF(G$3&lt;=$O$2,$D192,$D192-($D192-$I$184)*MIN(G$3-$O$2,$Q$2)/$Q$2))</f>
        <v>2582.56839156151</v>
      </c>
      <c r="H192" s="15" t="n">
        <f aca="false">G192*(1+IF(H$3&lt;=$O$2,$D192,$D192-($D192-$I$184)*MIN(H$3-$O$2,$Q$2)/$Q$2))</f>
        <v>2532.12760266382</v>
      </c>
      <c r="I192" s="15" t="n">
        <f aca="false">H192*(1+IF(I$3&lt;=$O$2,$D192,$D192-($D192-$I$184)*MIN(I$3-$O$2,$Q$2)/$Q$2))</f>
        <v>2482.67198542429</v>
      </c>
      <c r="J192" s="15" t="n">
        <f aca="false">I192*(1+IF(J$3&lt;=$O$2,$D192,$D192-($D192-$I$184)*MIN(J$3-$O$2,$Q$2)/$Q$2))</f>
        <v>2452.96681511869</v>
      </c>
      <c r="K192" s="15" t="n">
        <f aca="false">J192*(1+IF(K$3&lt;=$O$2,$D192,$D192-($D192-$I$184)*MIN(K$3-$O$2,$Q$2)/$Q$2))</f>
        <v>2442.17682734069</v>
      </c>
      <c r="L192" s="15" t="n">
        <f aca="false">K192*(1+IF(L$3&lt;=$O$2,$D192,$D192-($D192-$I$184)*MIN(L$3-$O$2,$Q$2)/$Q$2))</f>
        <v>2449.91242244129</v>
      </c>
      <c r="M192" s="15" t="n">
        <f aca="false">L192*(1+IF(M$3&lt;=$O$2,$D192,$D192-($D192-$I$184)*MIN(M$3-$O$2,$Q$2)/$Q$2))</f>
        <v>2476.20916990567</v>
      </c>
      <c r="N192" s="15" t="n">
        <f aca="false">M192*(1+IF(N$3&lt;=$O$2,$D192,$D192-($D192-$I$184)*MIN(N$3-$O$2,$Q$2)/$Q$2))</f>
        <v>2521.52379771494</v>
      </c>
      <c r="O192" s="15" t="n">
        <f aca="false">SUMPRODUCT(E192:N192,1/(1+$F$184)^$E$3:$N$3)*$E$2</f>
        <v>12044.4753655972</v>
      </c>
      <c r="P192" s="15" t="n">
        <f aca="false">N192*$E$2*(1+$I$184)/($F$184-$I$184)/(1+$F$184)^$N$3</f>
        <v>16156.5311731951</v>
      </c>
      <c r="Q192" s="15" t="n">
        <f aca="false">O192+P192</f>
        <v>28201.0065387924</v>
      </c>
      <c r="R192" s="15" t="n">
        <f aca="false">Q192-$G$2+$I$2</f>
        <v>28971.0065387924</v>
      </c>
      <c r="S192" s="42" t="n">
        <f aca="false">R192/$K$2</f>
        <v>277.420344142415</v>
      </c>
      <c r="T192" s="43" t="n">
        <f aca="false">S192-$M$2</f>
        <v>-14.8328398085573</v>
      </c>
    </row>
    <row r="193" customFormat="false" ht="15" hidden="false" customHeight="false" outlineLevel="0" collapsed="false">
      <c r="A193" s="5" t="n">
        <v>8</v>
      </c>
      <c r="B193" s="25" t="n">
        <f aca="false">IF(T192&gt;0,B192,D192)</f>
        <v>-0.01953125</v>
      </c>
      <c r="C193" s="25" t="n">
        <f aca="false">IF(T192&gt;0,D192,C192)</f>
        <v>-0.0078125</v>
      </c>
      <c r="D193" s="41" t="n">
        <f aca="false">(B193+C193)/2</f>
        <v>-0.013671875</v>
      </c>
      <c r="E193" s="15" t="n">
        <f aca="false">$C$2*(1+IF(E$3&lt;=$O$2,$D193,$D193-($D193-$I$184)*MIN(E$3-$O$2,$Q$2)/$Q$2))</f>
        <v>2702.5390625</v>
      </c>
      <c r="F193" s="15" t="n">
        <f aca="false">E193*(1+IF(F$3&lt;=$O$2,$D193,$D193-($D193-$I$184)*MIN(F$3-$O$2,$Q$2)/$Q$2))</f>
        <v>2665.59028625488</v>
      </c>
      <c r="G193" s="15" t="n">
        <f aca="false">F193*(1+IF(G$3&lt;=$O$2,$D193,$D193-($D193-$I$184)*MIN(G$3-$O$2,$Q$2)/$Q$2))</f>
        <v>2629.14666905999</v>
      </c>
      <c r="H193" s="15" t="n">
        <f aca="false">G193*(1+IF(H$3&lt;=$O$2,$D193,$D193-($D193-$I$184)*MIN(H$3-$O$2,$Q$2)/$Q$2))</f>
        <v>2593.20130444394</v>
      </c>
      <c r="I193" s="15" t="n">
        <f aca="false">H193*(1+IF(I$3&lt;=$O$2,$D193,$D193-($D193-$I$184)*MIN(I$3-$O$2,$Q$2)/$Q$2))</f>
        <v>2557.74738035974</v>
      </c>
      <c r="J193" s="15" t="n">
        <f aca="false">I193*(1+IF(J$3&lt;=$O$2,$D193,$D193-($D193-$I$184)*MIN(J$3-$O$2,$Q$2)/$Q$2))</f>
        <v>2539.13337379917</v>
      </c>
      <c r="K193" s="15" t="n">
        <f aca="false">J193*(1+IF(K$3&lt;=$O$2,$D193,$D193-($D193-$I$184)*MIN(K$3-$O$2,$Q$2)/$Q$2))</f>
        <v>2536.89100163844</v>
      </c>
      <c r="L193" s="15" t="n">
        <f aca="false">K193*(1+IF(L$3&lt;=$O$2,$D193,$D193-($D193-$I$184)*MIN(L$3-$O$2,$Q$2)/$Q$2))</f>
        <v>2550.87244217122</v>
      </c>
      <c r="M193" s="15" t="n">
        <f aca="false">L193*(1+IF(M$3&lt;=$O$2,$D193,$D193-($D193-$I$184)*MIN(M$3-$O$2,$Q$2)/$Q$2))</f>
        <v>2581.24217289054</v>
      </c>
      <c r="N193" s="15" t="n">
        <f aca="false">M193*(1+IF(N$3&lt;=$O$2,$D193,$D193-($D193-$I$184)*MIN(N$3-$O$2,$Q$2)/$Q$2))</f>
        <v>2628.47890465444</v>
      </c>
      <c r="O193" s="15" t="n">
        <f aca="false">SUMPRODUCT(E193:N193,1/(1+$F$184)^$E$3:$N$3)*$E$2</f>
        <v>12359.2495049517</v>
      </c>
      <c r="P193" s="15" t="n">
        <f aca="false">N193*$E$2*(1+$I$184)/($F$184-$I$184)/(1+$F$184)^$N$3</f>
        <v>16841.8403981036</v>
      </c>
      <c r="Q193" s="15" t="n">
        <f aca="false">O193+P193</f>
        <v>29201.0899030553</v>
      </c>
      <c r="R193" s="15" t="n">
        <f aca="false">Q193-$G$2+$I$2</f>
        <v>29971.0899030553</v>
      </c>
      <c r="S193" s="42" t="n">
        <f aca="false">R193/$K$2</f>
        <v>286.996934818111</v>
      </c>
      <c r="T193" s="43" t="n">
        <f aca="false">S193-$M$2</f>
        <v>-5.25624913286134</v>
      </c>
    </row>
    <row r="194" customFormat="false" ht="15" hidden="false" customHeight="false" outlineLevel="0" collapsed="false">
      <c r="A194" s="5" t="n">
        <v>9</v>
      </c>
      <c r="B194" s="25" t="n">
        <f aca="false">IF(T193&gt;0,B193,D193)</f>
        <v>-0.013671875</v>
      </c>
      <c r="C194" s="25" t="n">
        <f aca="false">IF(T193&gt;0,D193,C193)</f>
        <v>-0.0078125</v>
      </c>
      <c r="D194" s="41" t="n">
        <f aca="false">(B194+C194)/2</f>
        <v>-0.0107421875</v>
      </c>
      <c r="E194" s="15" t="n">
        <f aca="false">$C$2*(1+IF(E$3&lt;=$O$2,$D194,$D194-($D194-$I$184)*MIN(E$3-$O$2,$Q$2)/$Q$2))</f>
        <v>2710.56640625</v>
      </c>
      <c r="F194" s="15" t="n">
        <f aca="false">E194*(1+IF(F$3&lt;=$O$2,$D194,$D194-($D194-$I$184)*MIN(F$3-$O$2,$Q$2)/$Q$2))</f>
        <v>2681.44899368286</v>
      </c>
      <c r="G194" s="15" t="n">
        <f aca="false">F194*(1+IF(G$3&lt;=$O$2,$D194,$D194-($D194-$I$184)*MIN(G$3-$O$2,$Q$2)/$Q$2))</f>
        <v>2652.64436582103</v>
      </c>
      <c r="H194" s="15" t="n">
        <f aca="false">G194*(1+IF(H$3&lt;=$O$2,$D194,$D194-($D194-$I$184)*MIN(H$3-$O$2,$Q$2)/$Q$2))</f>
        <v>2624.14916267257</v>
      </c>
      <c r="I194" s="15" t="n">
        <f aca="false">H194*(1+IF(I$3&lt;=$O$2,$D194,$D194-($D194-$I$184)*MIN(I$3-$O$2,$Q$2)/$Q$2))</f>
        <v>2595.96006033917</v>
      </c>
      <c r="J194" s="15" t="n">
        <f aca="false">I194*(1+IF(J$3&lt;=$O$2,$D194,$D194-($D194-$I$184)*MIN(J$3-$O$2,$Q$2)/$Q$2))</f>
        <v>2583.15224239147</v>
      </c>
      <c r="K194" s="15" t="n">
        <f aca="false">J194*(1+IF(K$3&lt;=$O$2,$D194,$D194-($D194-$I$184)*MIN(K$3-$O$2,$Q$2)/$Q$2))</f>
        <v>2585.41169336849</v>
      </c>
      <c r="L194" s="15" t="n">
        <f aca="false">K194*(1+IF(L$3&lt;=$O$2,$D194,$D194-($D194-$I$184)*MIN(L$3-$O$2,$Q$2)/$Q$2))</f>
        <v>2602.69032289173</v>
      </c>
      <c r="M194" s="15" t="n">
        <f aca="false">L194*(1+IF(M$3&lt;=$O$2,$D194,$D194-($D194-$I$184)*MIN(M$3-$O$2,$Q$2)/$Q$2))</f>
        <v>2635.20199172828</v>
      </c>
      <c r="N194" s="15" t="n">
        <f aca="false">M194*(1+IF(N$3&lt;=$O$2,$D194,$D194-($D194-$I$184)*MIN(N$3-$O$2,$Q$2)/$Q$2))</f>
        <v>2683.42618817691</v>
      </c>
      <c r="O194" s="15" t="n">
        <f aca="false">SUMPRODUCT(E194:N194,1/(1+$F$184)^$E$3:$N$3)*$E$2</f>
        <v>12519.7856631147</v>
      </c>
      <c r="P194" s="15" t="n">
        <f aca="false">N194*$E$2*(1+$I$184)/($F$184-$I$184)/(1+$F$184)^$N$3</f>
        <v>17193.9122286046</v>
      </c>
      <c r="Q194" s="15" t="n">
        <f aca="false">O194+P194</f>
        <v>29713.6978917193</v>
      </c>
      <c r="R194" s="15" t="n">
        <f aca="false">Q194-$G$2+$I$2</f>
        <v>30483.6978917193</v>
      </c>
      <c r="S194" s="42" t="n">
        <f aca="false">R194/$K$2</f>
        <v>291.905562498509</v>
      </c>
      <c r="T194" s="43" t="n">
        <f aca="false">S194-$M$2</f>
        <v>-0.347621452463045</v>
      </c>
    </row>
    <row r="195" customFormat="false" ht="15" hidden="false" customHeight="false" outlineLevel="0" collapsed="false">
      <c r="A195" s="5" t="n">
        <v>10</v>
      </c>
      <c r="B195" s="25" t="n">
        <f aca="false">IF(T194&gt;0,B194,D194)</f>
        <v>-0.0107421875</v>
      </c>
      <c r="C195" s="25" t="n">
        <f aca="false">IF(T194&gt;0,D194,C194)</f>
        <v>-0.0078125</v>
      </c>
      <c r="D195" s="41" t="n">
        <f aca="false">(B195+C195)/2</f>
        <v>-0.00927734375</v>
      </c>
      <c r="E195" s="15" t="n">
        <f aca="false">$C$2*(1+IF(E$3&lt;=$O$2,$D195,$D195-($D195-$I$184)*MIN(E$3-$O$2,$Q$2)/$Q$2))</f>
        <v>2714.580078125</v>
      </c>
      <c r="F195" s="15" t="n">
        <f aca="false">E195*(1+IF(F$3&lt;=$O$2,$D195,$D195-($D195-$I$184)*MIN(F$3-$O$2,$Q$2)/$Q$2))</f>
        <v>2689.39598560333</v>
      </c>
      <c r="G195" s="15" t="n">
        <f aca="false">F195*(1+IF(G$3&lt;=$O$2,$D195,$D195-($D195-$I$184)*MIN(G$3-$O$2,$Q$2)/$Q$2))</f>
        <v>2664.44553456502</v>
      </c>
      <c r="H195" s="15" t="n">
        <f aca="false">G195*(1+IF(H$3&lt;=$O$2,$D195,$D195-($D195-$I$184)*MIN(H$3-$O$2,$Q$2)/$Q$2))</f>
        <v>2639.72655743771</v>
      </c>
      <c r="I195" s="15" t="n">
        <f aca="false">H195*(1+IF(I$3&lt;=$O$2,$D195,$D195-($D195-$I$184)*MIN(I$3-$O$2,$Q$2)/$Q$2))</f>
        <v>2615.23690675835</v>
      </c>
      <c r="J195" s="15" t="n">
        <f aca="false">I195*(1+IF(J$3&lt;=$O$2,$D195,$D195-($D195-$I$184)*MIN(J$3-$O$2,$Q$2)/$Q$2))</f>
        <v>2605.39871241974</v>
      </c>
      <c r="K195" s="15" t="n">
        <f aca="false">J195*(1+IF(K$3&lt;=$O$2,$D195,$D195-($D195-$I$184)*MIN(K$3-$O$2,$Q$2)/$Q$2))</f>
        <v>2609.9675233181</v>
      </c>
      <c r="L195" s="15" t="n">
        <f aca="false">K195*(1+IF(L$3&lt;=$O$2,$D195,$D195-($D195-$I$184)*MIN(L$3-$O$2,$Q$2)/$Q$2))</f>
        <v>2628.93954036807</v>
      </c>
      <c r="M195" s="15" t="n">
        <f aca="false">L195*(1+IF(M$3&lt;=$O$2,$D195,$D195-($D195-$I$184)*MIN(M$3-$O$2,$Q$2)/$Q$2))</f>
        <v>2662.54930007627</v>
      </c>
      <c r="N195" s="15" t="n">
        <f aca="false">M195*(1+IF(N$3&lt;=$O$2,$D195,$D195-($D195-$I$184)*MIN(N$3-$O$2,$Q$2)/$Q$2))</f>
        <v>2711.27395226766</v>
      </c>
      <c r="O195" s="15" t="n">
        <f aca="false">SUMPRODUCT(E195:N195,1/(1+$F$184)^$E$3:$N$3)*$E$2</f>
        <v>12600.8525922481</v>
      </c>
      <c r="P195" s="15" t="n">
        <f aca="false">N195*$E$2*(1+$I$184)/($F$184-$I$184)/(1+$F$184)^$N$3</f>
        <v>17372.3453130132</v>
      </c>
      <c r="Q195" s="15" t="n">
        <f aca="false">O195+P195</f>
        <v>29973.1979052613</v>
      </c>
      <c r="R195" s="15" t="n">
        <f aca="false">Q195-$G$2+$I$2</f>
        <v>30743.1979052613</v>
      </c>
      <c r="S195" s="42" t="n">
        <f aca="false">R195/$K$2</f>
        <v>294.390480755159</v>
      </c>
      <c r="T195" s="43" t="n">
        <f aca="false">S195-$M$2</f>
        <v>2.1372968041872</v>
      </c>
    </row>
    <row r="196" customFormat="false" ht="15" hidden="false" customHeight="false" outlineLevel="0" collapsed="false">
      <c r="A196" s="5" t="n">
        <v>11</v>
      </c>
      <c r="B196" s="25" t="n">
        <f aca="false">IF(T195&gt;0,B195,D195)</f>
        <v>-0.0107421875</v>
      </c>
      <c r="C196" s="25" t="n">
        <f aca="false">IF(T195&gt;0,D195,C195)</f>
        <v>-0.00927734375</v>
      </c>
      <c r="D196" s="41" t="n">
        <f aca="false">(B196+C196)/2</f>
        <v>-0.010009765625</v>
      </c>
      <c r="E196" s="15" t="n">
        <f aca="false">$C$2*(1+IF(E$3&lt;=$O$2,$D196,$D196-($D196-$I$184)*MIN(E$3-$O$2,$Q$2)/$Q$2))</f>
        <v>2712.5732421875</v>
      </c>
      <c r="F196" s="15" t="n">
        <f aca="false">E196*(1+IF(F$3&lt;=$O$2,$D196,$D196-($D196-$I$184)*MIN(F$3-$O$2,$Q$2)/$Q$2))</f>
        <v>2685.42101979256</v>
      </c>
      <c r="G196" s="15" t="n">
        <f aca="false">F196*(1+IF(G$3&lt;=$O$2,$D196,$D196-($D196-$I$184)*MIN(G$3-$O$2,$Q$2)/$Q$2))</f>
        <v>2658.54058477999</v>
      </c>
      <c r="H196" s="15" t="n">
        <f aca="false">G196*(1+IF(H$3&lt;=$O$2,$D196,$D196-($D196-$I$184)*MIN(H$3-$O$2,$Q$2)/$Q$2))</f>
        <v>2631.92921662179</v>
      </c>
      <c r="I196" s="15" t="n">
        <f aca="false">H196*(1+IF(I$3&lt;=$O$2,$D196,$D196-($D196-$I$184)*MIN(I$3-$O$2,$Q$2)/$Q$2))</f>
        <v>2605.58422202181</v>
      </c>
      <c r="J196" s="15" t="n">
        <f aca="false">I196*(1+IF(J$3&lt;=$O$2,$D196,$D196-($D196-$I$184)*MIN(J$3-$O$2,$Q$2)/$Q$2))</f>
        <v>2594.2556303715</v>
      </c>
      <c r="K196" s="15" t="n">
        <f aca="false">J196*(1+IF(K$3&lt;=$O$2,$D196,$D196-($D196-$I$184)*MIN(K$3-$O$2,$Q$2)/$Q$2))</f>
        <v>2597.66484708701</v>
      </c>
      <c r="L196" s="15" t="n">
        <f aca="false">K196*(1+IF(L$3&lt;=$O$2,$D196,$D196-($D196-$I$184)*MIN(L$3-$O$2,$Q$2)/$Q$2))</f>
        <v>2615.78640059137</v>
      </c>
      <c r="M196" s="15" t="n">
        <f aca="false">L196*(1+IF(M$3&lt;=$O$2,$D196,$D196-($D196-$I$184)*MIN(M$3-$O$2,$Q$2)/$Q$2))</f>
        <v>2648.84483173703</v>
      </c>
      <c r="N196" s="15" t="n">
        <f aca="false">M196*(1+IF(N$3&lt;=$O$2,$D196,$D196-($D196-$I$184)*MIN(N$3-$O$2,$Q$2)/$Q$2))</f>
        <v>2697.31869215782</v>
      </c>
      <c r="O196" s="15" t="n">
        <f aca="false">SUMPRODUCT(E196:N196,1/(1+$F$184)^$E$3:$N$3)*$E$2</f>
        <v>12560.2522091907</v>
      </c>
      <c r="P196" s="15" t="n">
        <f aca="false">N196*$E$2*(1+$I$184)/($F$184-$I$184)/(1+$F$184)^$N$3</f>
        <v>17282.9277175104</v>
      </c>
      <c r="Q196" s="15" t="n">
        <f aca="false">O196+P196</f>
        <v>29843.1799267011</v>
      </c>
      <c r="R196" s="15" t="n">
        <f aca="false">Q196-$G$2+$I$2</f>
        <v>30613.1799267011</v>
      </c>
      <c r="S196" s="42" t="n">
        <f aca="false">R196/$K$2</f>
        <v>293.145455584612</v>
      </c>
      <c r="T196" s="43" t="n">
        <f aca="false">S196-$M$2</f>
        <v>0.892271633640405</v>
      </c>
    </row>
    <row r="197" customFormat="false" ht="15" hidden="false" customHeight="false" outlineLevel="0" collapsed="false">
      <c r="A197" s="5" t="n">
        <v>12</v>
      </c>
      <c r="B197" s="25" t="n">
        <f aca="false">IF(T196&gt;0,B196,D196)</f>
        <v>-0.0107421875</v>
      </c>
      <c r="C197" s="25" t="n">
        <f aca="false">IF(T196&gt;0,D196,C196)</f>
        <v>-0.010009765625</v>
      </c>
      <c r="D197" s="41" t="n">
        <f aca="false">(B197+C197)/2</f>
        <v>-0.0103759765625</v>
      </c>
      <c r="E197" s="15" t="n">
        <f aca="false">$C$2*(1+IF(E$3&lt;=$O$2,$D197,$D197-($D197-$I$184)*MIN(E$3-$O$2,$Q$2)/$Q$2))</f>
        <v>2711.56982421875</v>
      </c>
      <c r="F197" s="15" t="n">
        <f aca="false">E197*(1+IF(F$3&lt;=$O$2,$D197,$D197-($D197-$I$184)*MIN(F$3-$O$2,$Q$2)/$Q$2))</f>
        <v>2683.43463927507</v>
      </c>
      <c r="G197" s="15" t="n">
        <f aca="false">F197*(1+IF(G$3&lt;=$O$2,$D197,$D197-($D197-$I$184)*MIN(G$3-$O$2,$Q$2)/$Q$2))</f>
        <v>2655.59138435096</v>
      </c>
      <c r="H197" s="15" t="n">
        <f aca="false">G197*(1+IF(H$3&lt;=$O$2,$D197,$D197-($D197-$I$184)*MIN(H$3-$O$2,$Q$2)/$Q$2))</f>
        <v>2628.03703038735</v>
      </c>
      <c r="I197" s="15" t="n">
        <f aca="false">H197*(1+IF(I$3&lt;=$O$2,$D197,$D197-($D197-$I$184)*MIN(I$3-$O$2,$Q$2)/$Q$2))</f>
        <v>2600.76857975467</v>
      </c>
      <c r="J197" s="15" t="n">
        <f aca="false">I197*(1+IF(J$3&lt;=$O$2,$D197,$D197-($D197-$I$184)*MIN(J$3-$O$2,$Q$2)/$Q$2))</f>
        <v>2588.69898169416</v>
      </c>
      <c r="K197" s="15" t="n">
        <f aca="false">J197*(1+IF(K$3&lt;=$O$2,$D197,$D197-($D197-$I$184)*MIN(K$3-$O$2,$Q$2)/$Q$2))</f>
        <v>2591.5320902633</v>
      </c>
      <c r="L197" s="15" t="n">
        <f aca="false">K197*(1+IF(L$3&lt;=$O$2,$D197,$D197-($D197-$I$184)*MIN(L$3-$O$2,$Q$2)/$Q$2))</f>
        <v>2609.23124212258</v>
      </c>
      <c r="M197" s="15" t="n">
        <f aca="false">L197*(1+IF(M$3&lt;=$O$2,$D197,$D197-($D197-$I$184)*MIN(M$3-$O$2,$Q$2)/$Q$2))</f>
        <v>2642.01572306437</v>
      </c>
      <c r="N197" s="15" t="n">
        <f aca="false">M197*(1+IF(N$3&lt;=$O$2,$D197,$D197-($D197-$I$184)*MIN(N$3-$O$2,$Q$2)/$Q$2))</f>
        <v>2690.36461079645</v>
      </c>
      <c r="O197" s="15" t="n">
        <f aca="false">SUMPRODUCT(E197:N197,1/(1+$F$184)^$E$3:$N$3)*$E$2</f>
        <v>12540.0022326842</v>
      </c>
      <c r="P197" s="15" t="n">
        <f aca="false">N197*$E$2*(1+$I$184)/($F$184-$I$184)/(1+$F$184)^$N$3</f>
        <v>17238.369806775</v>
      </c>
      <c r="Q197" s="15" t="n">
        <f aca="false">O197+P197</f>
        <v>29778.3720394592</v>
      </c>
      <c r="R197" s="15" t="n">
        <f aca="false">Q197-$G$2+$I$2</f>
        <v>30548.3720394592</v>
      </c>
      <c r="S197" s="42" t="n">
        <f aca="false">R197/$K$2</f>
        <v>292.524868710707</v>
      </c>
      <c r="T197" s="43" t="n">
        <f aca="false">S197-$M$2</f>
        <v>0.271684759735308</v>
      </c>
    </row>
    <row r="198" customFormat="false" ht="15" hidden="false" customHeight="false" outlineLevel="0" collapsed="false">
      <c r="A198" s="5" t="n">
        <v>13</v>
      </c>
      <c r="B198" s="25" t="n">
        <f aca="false">IF(T197&gt;0,B197,D197)</f>
        <v>-0.0107421875</v>
      </c>
      <c r="C198" s="25" t="n">
        <f aca="false">IF(T197&gt;0,D197,C197)</f>
        <v>-0.0103759765625</v>
      </c>
      <c r="D198" s="41" t="n">
        <f aca="false">(B198+C198)/2</f>
        <v>-0.01055908203125</v>
      </c>
      <c r="E198" s="15" t="n">
        <f aca="false">$C$2*(1+IF(E$3&lt;=$O$2,$D198,$D198-($D198-$I$184)*MIN(E$3-$O$2,$Q$2)/$Q$2))</f>
        <v>2711.06811523438</v>
      </c>
      <c r="F198" s="15" t="n">
        <f aca="false">E198*(1+IF(F$3&lt;=$O$2,$D198,$D198-($D198-$I$184)*MIN(F$3-$O$2,$Q$2)/$Q$2))</f>
        <v>2682.44172461331</v>
      </c>
      <c r="G198" s="15" t="n">
        <f aca="false">F198*(1+IF(G$3&lt;=$O$2,$D198,$D198-($D198-$I$184)*MIN(G$3-$O$2,$Q$2)/$Q$2))</f>
        <v>2654.11760239907</v>
      </c>
      <c r="H198" s="15" t="n">
        <f aca="false">G198*(1+IF(H$3&lt;=$O$2,$D198,$D198-($D198-$I$184)*MIN(H$3-$O$2,$Q$2)/$Q$2))</f>
        <v>2626.09255691475</v>
      </c>
      <c r="I198" s="15" t="n">
        <f aca="false">H198*(1+IF(I$3&lt;=$O$2,$D198,$D198-($D198-$I$184)*MIN(I$3-$O$2,$Q$2)/$Q$2))</f>
        <v>2598.36343018464</v>
      </c>
      <c r="J198" s="15" t="n">
        <f aca="false">I198*(1+IF(J$3&lt;=$O$2,$D198,$D198-($D198-$I$184)*MIN(J$3-$O$2,$Q$2)/$Q$2))</f>
        <v>2585.92437425406</v>
      </c>
      <c r="K198" s="15" t="n">
        <f aca="false">J198*(1+IF(K$3&lt;=$O$2,$D198,$D198-($D198-$I$184)*MIN(K$3-$O$2,$Q$2)/$Q$2))</f>
        <v>2588.47034811698</v>
      </c>
      <c r="L198" s="15" t="n">
        <f aca="false">K198*(1+IF(L$3&lt;=$O$2,$D198,$D198-($D198-$I$184)*MIN(L$3-$O$2,$Q$2)/$Q$2))</f>
        <v>2605.95900424281</v>
      </c>
      <c r="M198" s="15" t="n">
        <f aca="false">L198*(1+IF(M$3&lt;=$O$2,$D198,$D198-($D198-$I$184)*MIN(M$3-$O$2,$Q$2)/$Q$2))</f>
        <v>2638.60693708575</v>
      </c>
      <c r="N198" s="15" t="n">
        <f aca="false">M198*(1+IF(N$3&lt;=$O$2,$D198,$D198-($D198-$I$184)*MIN(N$3-$O$2,$Q$2)/$Q$2))</f>
        <v>2686.89344403442</v>
      </c>
      <c r="O198" s="15" t="n">
        <f aca="false">SUMPRODUCT(E198:N198,1/(1+$F$184)^$E$3:$N$3)*$E$2</f>
        <v>12529.8897752977</v>
      </c>
      <c r="P198" s="15" t="n">
        <f aca="false">N198*$E$2*(1+$I$184)/($F$184-$I$184)/(1+$F$184)^$N$3</f>
        <v>17216.1284882322</v>
      </c>
      <c r="Q198" s="15" t="n">
        <f aca="false">O198+P198</f>
        <v>29746.01826353</v>
      </c>
      <c r="R198" s="15" t="n">
        <f aca="false">Q198-$G$2+$I$2</f>
        <v>30516.01826353</v>
      </c>
      <c r="S198" s="42" t="n">
        <f aca="false">R198/$K$2</f>
        <v>292.215055669156</v>
      </c>
      <c r="T198" s="43" t="n">
        <f aca="false">S198-$M$2</f>
        <v>-0.0381282818160571</v>
      </c>
    </row>
    <row r="199" customFormat="false" ht="15" hidden="false" customHeight="false" outlineLevel="0" collapsed="false">
      <c r="A199" s="5" t="n">
        <v>14</v>
      </c>
      <c r="B199" s="25" t="n">
        <f aca="false">IF(T198&gt;0,B198,D198)</f>
        <v>-0.01055908203125</v>
      </c>
      <c r="C199" s="25" t="n">
        <f aca="false">IF(T198&gt;0,D198,C198)</f>
        <v>-0.0103759765625</v>
      </c>
      <c r="D199" s="41" t="n">
        <f aca="false">(B199+C199)/2</f>
        <v>-0.010467529296875</v>
      </c>
      <c r="E199" s="15" t="n">
        <f aca="false">$C$2*(1+IF(E$3&lt;=$O$2,$D199,$D199-($D199-$I$184)*MIN(E$3-$O$2,$Q$2)/$Q$2))</f>
        <v>2711.31896972656</v>
      </c>
      <c r="F199" s="15" t="n">
        <f aca="false">E199*(1+IF(F$3&lt;=$O$2,$D199,$D199-($D199-$I$184)*MIN(F$3-$O$2,$Q$2)/$Q$2))</f>
        <v>2682.93815897778</v>
      </c>
      <c r="G199" s="15" t="n">
        <f aca="false">F199*(1+IF(G$3&lt;=$O$2,$D199,$D199-($D199-$I$184)*MIN(G$3-$O$2,$Q$2)/$Q$2))</f>
        <v>2654.85442519697</v>
      </c>
      <c r="H199" s="15" t="n">
        <f aca="false">G199*(1+IF(H$3&lt;=$O$2,$D199,$D199-($D199-$I$184)*MIN(H$3-$O$2,$Q$2)/$Q$2))</f>
        <v>2627.06465872229</v>
      </c>
      <c r="I199" s="15" t="n">
        <f aca="false">H199*(1+IF(I$3&lt;=$O$2,$D199,$D199-($D199-$I$184)*MIN(I$3-$O$2,$Q$2)/$Q$2))</f>
        <v>2599.56578244233</v>
      </c>
      <c r="J199" s="15" t="n">
        <f aca="false">I199*(1+IF(J$3&lt;=$O$2,$D199,$D199-($D199-$I$184)*MIN(J$3-$O$2,$Q$2)/$Q$2))</f>
        <v>2587.31136841657</v>
      </c>
      <c r="K199" s="15" t="n">
        <f aca="false">J199*(1+IF(K$3&lt;=$O$2,$D199,$D199-($D199-$I$184)*MIN(K$3-$O$2,$Q$2)/$Q$2))</f>
        <v>2590.00083310396</v>
      </c>
      <c r="L199" s="15" t="n">
        <f aca="false">K199*(1+IF(L$3&lt;=$O$2,$D199,$D199-($D199-$I$184)*MIN(L$3-$O$2,$Q$2)/$Q$2))</f>
        <v>2607.59467841166</v>
      </c>
      <c r="M199" s="15" t="n">
        <f aca="false">L199*(1+IF(M$3&lt;=$O$2,$D199,$D199-($D199-$I$184)*MIN(M$3-$O$2,$Q$2)/$Q$2))</f>
        <v>2640.31084976548</v>
      </c>
      <c r="N199" s="15" t="n">
        <f aca="false">M199*(1+IF(N$3&lt;=$O$2,$D199,$D199-($D199-$I$184)*MIN(N$3-$O$2,$Q$2)/$Q$2))</f>
        <v>2688.62853831618</v>
      </c>
      <c r="O199" s="15" t="n">
        <f aca="false">SUMPRODUCT(E199:N199,1/(1+$F$184)^$E$3:$N$3)*$E$2</f>
        <v>12534.9449604325</v>
      </c>
      <c r="P199" s="15" t="n">
        <f aca="false">N199*$E$2*(1+$I$184)/($F$184-$I$184)/(1+$F$184)^$N$3</f>
        <v>17227.2460136258</v>
      </c>
      <c r="Q199" s="15" t="n">
        <f aca="false">O199+P199</f>
        <v>29762.1909740584</v>
      </c>
      <c r="R199" s="15" t="n">
        <f aca="false">Q199-$G$2+$I$2</f>
        <v>30532.1909740584</v>
      </c>
      <c r="S199" s="42" t="n">
        <f aca="false">R199/$K$2</f>
        <v>292.36992218767</v>
      </c>
      <c r="T199" s="43" t="n">
        <f aca="false">S199-$M$2</f>
        <v>0.116738236697927</v>
      </c>
    </row>
    <row r="200" customFormat="false" ht="15" hidden="false" customHeight="false" outlineLevel="0" collapsed="false">
      <c r="A200" s="5" t="n">
        <v>15</v>
      </c>
      <c r="B200" s="25" t="n">
        <f aca="false">IF(T199&gt;0,B199,D199)</f>
        <v>-0.01055908203125</v>
      </c>
      <c r="C200" s="25" t="n">
        <f aca="false">IF(T199&gt;0,D199,C199)</f>
        <v>-0.010467529296875</v>
      </c>
      <c r="D200" s="41" t="n">
        <f aca="false">(B200+C200)/2</f>
        <v>-0.0105133056640625</v>
      </c>
      <c r="E200" s="15" t="n">
        <f aca="false">$C$2*(1+IF(E$3&lt;=$O$2,$D200,$D200-($D200-$I$184)*MIN(E$3-$O$2,$Q$2)/$Q$2))</f>
        <v>2711.19354248047</v>
      </c>
      <c r="F200" s="15" t="n">
        <f aca="false">E200*(1+IF(F$3&lt;=$O$2,$D200,$D200-($D200-$I$184)*MIN(F$3-$O$2,$Q$2)/$Q$2))</f>
        <v>2682.68993605394</v>
      </c>
      <c r="G200" s="15" t="n">
        <f aca="false">F200*(1+IF(G$3&lt;=$O$2,$D200,$D200-($D200-$I$184)*MIN(G$3-$O$2,$Q$2)/$Q$2))</f>
        <v>2654.4859967543</v>
      </c>
      <c r="H200" s="15" t="n">
        <f aca="false">G200*(1+IF(H$3&lt;=$O$2,$D200,$D200-($D200-$I$184)*MIN(H$3-$O$2,$Q$2)/$Q$2))</f>
        <v>2626.57857408945</v>
      </c>
      <c r="I200" s="15" t="n">
        <f aca="false">H200*(1+IF(I$3&lt;=$O$2,$D200,$D200-($D200-$I$184)*MIN(I$3-$O$2,$Q$2)/$Q$2))</f>
        <v>2598.96455068937</v>
      </c>
      <c r="J200" s="15" t="n">
        <f aca="false">I200*(1+IF(J$3&lt;=$O$2,$D200,$D200-($D200-$I$184)*MIN(J$3-$O$2,$Q$2)/$Q$2))</f>
        <v>2586.61779395972</v>
      </c>
      <c r="K200" s="15" t="n">
        <f aca="false">J200*(1+IF(K$3&lt;=$O$2,$D200,$D200-($D200-$I$184)*MIN(K$3-$O$2,$Q$2)/$Q$2))</f>
        <v>2589.23549410911</v>
      </c>
      <c r="L200" s="15" t="n">
        <f aca="false">K200*(1+IF(L$3&lt;=$O$2,$D200,$D200-($D200-$I$184)*MIN(L$3-$O$2,$Q$2)/$Q$2))</f>
        <v>2606.7767301601</v>
      </c>
      <c r="M200" s="15" t="n">
        <f aca="false">L200*(1+IF(M$3&lt;=$O$2,$D200,$D200-($D200-$I$184)*MIN(M$3-$O$2,$Q$2)/$Q$2))</f>
        <v>2639.45877337722</v>
      </c>
      <c r="N200" s="15" t="n">
        <f aca="false">M200*(1+IF(N$3&lt;=$O$2,$D200,$D200-($D200-$I$184)*MIN(N$3-$O$2,$Q$2)/$Q$2))</f>
        <v>2687.76086893002</v>
      </c>
      <c r="O200" s="15" t="n">
        <f aca="false">SUMPRODUCT(E200:N200,1/(1+$F$184)^$E$3:$N$3)*$E$2</f>
        <v>12532.4171070265</v>
      </c>
      <c r="P200" s="15" t="n">
        <f aca="false">N200*$E$2*(1+$I$184)/($F$184-$I$184)/(1+$F$184)^$N$3</f>
        <v>17221.6864676488</v>
      </c>
      <c r="Q200" s="15" t="n">
        <f aca="false">O200+P200</f>
        <v>29754.1035746753</v>
      </c>
      <c r="R200" s="15" t="n">
        <f aca="false">Q200-$G$2+$I$2</f>
        <v>30524.1035746753</v>
      </c>
      <c r="S200" s="42" t="n">
        <f aca="false">R200/$K$2</f>
        <v>292.292478930148</v>
      </c>
      <c r="T200" s="43" t="n">
        <f aca="false">S200-$M$2</f>
        <v>0.0392949791759065</v>
      </c>
    </row>
    <row r="201" customFormat="false" ht="15" hidden="false" customHeight="false" outlineLevel="0" collapsed="false">
      <c r="A201" s="5" t="n">
        <v>16</v>
      </c>
      <c r="B201" s="25" t="n">
        <f aca="false">IF(T200&gt;0,B200,D200)</f>
        <v>-0.01055908203125</v>
      </c>
      <c r="C201" s="25" t="n">
        <f aca="false">IF(T200&gt;0,D200,C200)</f>
        <v>-0.0105133056640625</v>
      </c>
      <c r="D201" s="41" t="n">
        <f aca="false">(B201+C201)/2</f>
        <v>-0.0105361938476563</v>
      </c>
      <c r="E201" s="15" t="n">
        <f aca="false">$C$2*(1+IF(E$3&lt;=$O$2,$D201,$D201-($D201-$I$184)*MIN(E$3-$O$2,$Q$2)/$Q$2))</f>
        <v>2711.13082885742</v>
      </c>
      <c r="F201" s="15" t="n">
        <f aca="false">E201*(1+IF(F$3&lt;=$O$2,$D201,$D201-($D201-$I$184)*MIN(F$3-$O$2,$Q$2)/$Q$2))</f>
        <v>2682.56582889822</v>
      </c>
      <c r="G201" s="15" t="n">
        <f aca="false">F201*(1+IF(G$3&lt;=$O$2,$D201,$D201-($D201-$I$184)*MIN(G$3-$O$2,$Q$2)/$Q$2))</f>
        <v>2654.30179531585</v>
      </c>
      <c r="H201" s="15" t="n">
        <f aca="false">G201*(1+IF(H$3&lt;=$O$2,$D201,$D201-($D201-$I$184)*MIN(H$3-$O$2,$Q$2)/$Q$2))</f>
        <v>2626.33555707022</v>
      </c>
      <c r="I201" s="15" t="n">
        <f aca="false">H201*(1+IF(I$3&lt;=$O$2,$D201,$D201-($D201-$I$184)*MIN(I$3-$O$2,$Q$2)/$Q$2))</f>
        <v>2598.66397653194</v>
      </c>
      <c r="J201" s="15" t="n">
        <f aca="false">I201*(1+IF(J$3&lt;=$O$2,$D201,$D201-($D201-$I$184)*MIN(J$3-$O$2,$Q$2)/$Q$2))</f>
        <v>2586.27106476472</v>
      </c>
      <c r="K201" s="15" t="n">
        <f aca="false">J201*(1+IF(K$3&lt;=$O$2,$D201,$D201-($D201-$I$184)*MIN(K$3-$O$2,$Q$2)/$Q$2))</f>
        <v>2588.85289699023</v>
      </c>
      <c r="L201" s="15" t="n">
        <f aca="false">K201*(1+IF(L$3&lt;=$O$2,$D201,$D201-($D201-$I$184)*MIN(L$3-$O$2,$Q$2)/$Q$2))</f>
        <v>2606.36783941288</v>
      </c>
      <c r="M201" s="15" t="n">
        <f aca="false">L201*(1+IF(M$3&lt;=$O$2,$D201,$D201-($D201-$I$184)*MIN(M$3-$O$2,$Q$2)/$Q$2))</f>
        <v>2639.03282522301</v>
      </c>
      <c r="N201" s="15" t="n">
        <f aca="false">M201*(1+IF(N$3&lt;=$O$2,$D201,$D201-($D201-$I$184)*MIN(N$3-$O$2,$Q$2)/$Q$2))</f>
        <v>2687.32712592459</v>
      </c>
      <c r="O201" s="15" t="n">
        <f aca="false">SUMPRODUCT(E201:N201,1/(1+$F$184)^$E$3:$N$3)*$E$2</f>
        <v>12531.1533759589</v>
      </c>
      <c r="P201" s="15" t="n">
        <f aca="false">N201*$E$2*(1+$I$184)/($F$184-$I$184)/(1+$F$184)^$N$3</f>
        <v>17218.9072821441</v>
      </c>
      <c r="Q201" s="15" t="n">
        <f aca="false">O201+P201</f>
        <v>29750.060658103</v>
      </c>
      <c r="R201" s="15" t="n">
        <f aca="false">Q201-$G$2+$I$2</f>
        <v>30520.060658103</v>
      </c>
      <c r="S201" s="42" t="n">
        <f aca="false">R201/$K$2</f>
        <v>292.253764800373</v>
      </c>
      <c r="T201" s="43" t="n">
        <f aca="false">S201-$M$2</f>
        <v>0.000580849401160322</v>
      </c>
    </row>
    <row r="202" customFormat="false" ht="15" hidden="false" customHeight="false" outlineLevel="0" collapsed="false">
      <c r="A202" s="5" t="n">
        <v>17</v>
      </c>
      <c r="B202" s="25" t="n">
        <f aca="false">IF(T201&gt;0,B201,D201)</f>
        <v>-0.01055908203125</v>
      </c>
      <c r="C202" s="25" t="n">
        <f aca="false">IF(T201&gt;0,D201,C201)</f>
        <v>-0.0105361938476563</v>
      </c>
      <c r="D202" s="41" t="n">
        <f aca="false">(B202+C202)/2</f>
        <v>-0.0105476379394531</v>
      </c>
      <c r="E202" s="15" t="n">
        <f aca="false">$C$2*(1+IF(E$3&lt;=$O$2,$D202,$D202-($D202-$I$184)*MIN(E$3-$O$2,$Q$2)/$Q$2))</f>
        <v>2711.0994720459</v>
      </c>
      <c r="F202" s="15" t="n">
        <f aca="false">E202*(1+IF(F$3&lt;=$O$2,$D202,$D202-($D202-$I$184)*MIN(F$3-$O$2,$Q$2)/$Q$2))</f>
        <v>2682.50377639692</v>
      </c>
      <c r="G202" s="15" t="n">
        <f aca="false">F202*(1+IF(G$3&lt;=$O$2,$D202,$D202-($D202-$I$184)*MIN(G$3-$O$2,$Q$2)/$Q$2))</f>
        <v>2654.20969779227</v>
      </c>
      <c r="H202" s="15" t="n">
        <f aca="false">G202*(1+IF(H$3&lt;=$O$2,$D202,$D202-($D202-$I$184)*MIN(H$3-$O$2,$Q$2)/$Q$2))</f>
        <v>2626.21405488457</v>
      </c>
      <c r="I202" s="15" t="n">
        <f aca="false">H202*(1+IF(I$3&lt;=$O$2,$D202,$D202-($D202-$I$184)*MIN(I$3-$O$2,$Q$2)/$Q$2))</f>
        <v>2598.51369988214</v>
      </c>
      <c r="J202" s="15" t="n">
        <f aca="false">I202*(1+IF(J$3&lt;=$O$2,$D202,$D202-($D202-$I$184)*MIN(J$3-$O$2,$Q$2)/$Q$2))</f>
        <v>2586.09771467406</v>
      </c>
      <c r="K202" s="15" t="n">
        <f aca="false">J202*(1+IF(K$3&lt;=$O$2,$D202,$D202-($D202-$I$184)*MIN(K$3-$O$2,$Q$2)/$Q$2))</f>
        <v>2588.66161652321</v>
      </c>
      <c r="L202" s="15" t="n">
        <f aca="false">K202*(1+IF(L$3&lt;=$O$2,$D202,$D202-($D202-$I$184)*MIN(L$3-$O$2,$Q$2)/$Q$2))</f>
        <v>2606.1634148811</v>
      </c>
      <c r="M202" s="15" t="n">
        <f aca="false">L202*(1+IF(M$3&lt;=$O$2,$D202,$D202-($D202-$I$184)*MIN(M$3-$O$2,$Q$2)/$Q$2))</f>
        <v>2638.81987365272</v>
      </c>
      <c r="N202" s="15" t="n">
        <f aca="false">M202*(1+IF(N$3&lt;=$O$2,$D202,$D202-($D202-$I$184)*MIN(N$3-$O$2,$Q$2)/$Q$2))</f>
        <v>2687.11027734056</v>
      </c>
      <c r="O202" s="15" t="n">
        <f aca="false">SUMPRODUCT(E202:N202,1/(1+$F$184)^$E$3:$N$3)*$E$2</f>
        <v>12530.5215593283</v>
      </c>
      <c r="P202" s="15" t="n">
        <f aca="false">N202*$E$2*(1+$I$184)/($F$184-$I$184)/(1+$F$184)^$N$3</f>
        <v>17217.517836242</v>
      </c>
      <c r="Q202" s="15" t="n">
        <f aca="false">O202+P202</f>
        <v>29748.0393955703</v>
      </c>
      <c r="R202" s="15" t="n">
        <f aca="false">Q202-$G$2+$I$2</f>
        <v>30518.0393955703</v>
      </c>
      <c r="S202" s="42" t="n">
        <f aca="false">R202/$K$2</f>
        <v>292.234409609981</v>
      </c>
      <c r="T202" s="43" t="n">
        <f aca="false">S202-$M$2</f>
        <v>-0.0187743409912287</v>
      </c>
    </row>
    <row r="203" customFormat="false" ht="15" hidden="false" customHeight="false" outlineLevel="0" collapsed="false">
      <c r="A203" s="5" t="n">
        <v>18</v>
      </c>
      <c r="B203" s="25" t="n">
        <f aca="false">IF(T202&gt;0,B202,D202)</f>
        <v>-0.0105476379394531</v>
      </c>
      <c r="C203" s="25" t="n">
        <f aca="false">IF(T202&gt;0,D202,C202)</f>
        <v>-0.0105361938476563</v>
      </c>
      <c r="D203" s="41" t="n">
        <f aca="false">(B203+C203)/2</f>
        <v>-0.0105419158935547</v>
      </c>
      <c r="E203" s="15" t="n">
        <f aca="false">$C$2*(1+IF(E$3&lt;=$O$2,$D203,$D203-($D203-$I$184)*MIN(E$3-$O$2,$Q$2)/$Q$2))</f>
        <v>2711.11515045166</v>
      </c>
      <c r="F203" s="15" t="n">
        <f aca="false">E203*(1+IF(F$3&lt;=$O$2,$D203,$D203-($D203-$I$184)*MIN(F$3-$O$2,$Q$2)/$Q$2))</f>
        <v>2682.53480255786</v>
      </c>
      <c r="G203" s="15" t="n">
        <f aca="false">F203*(1+IF(G$3&lt;=$O$2,$D203,$D203-($D203-$I$184)*MIN(G$3-$O$2,$Q$2)/$Q$2))</f>
        <v>2654.25574628776</v>
      </c>
      <c r="H203" s="15" t="n">
        <f aca="false">G203*(1+IF(H$3&lt;=$O$2,$D203,$D203-($D203-$I$184)*MIN(H$3-$O$2,$Q$2)/$Q$2))</f>
        <v>2626.27480545041</v>
      </c>
      <c r="I203" s="15" t="n">
        <f aca="false">H203*(1+IF(I$3&lt;=$O$2,$D203,$D203-($D203-$I$184)*MIN(I$3-$O$2,$Q$2)/$Q$2))</f>
        <v>2598.58883733799</v>
      </c>
      <c r="J203" s="15" t="n">
        <f aca="false">I203*(1+IF(J$3&lt;=$O$2,$D203,$D203-($D203-$I$184)*MIN(J$3-$O$2,$Q$2)/$Q$2))</f>
        <v>2586.18438851053</v>
      </c>
      <c r="K203" s="15" t="n">
        <f aca="false">J203*(1+IF(K$3&lt;=$O$2,$D203,$D203-($D203-$I$184)*MIN(K$3-$O$2,$Q$2)/$Q$2))</f>
        <v>2588.75725524908</v>
      </c>
      <c r="L203" s="15" t="n">
        <f aca="false">K203*(1+IF(L$3&lt;=$O$2,$D203,$D203-($D203-$I$184)*MIN(L$3-$O$2,$Q$2)/$Q$2))</f>
        <v>2606.26562541025</v>
      </c>
      <c r="M203" s="15" t="n">
        <f aca="false">L203*(1+IF(M$3&lt;=$O$2,$D203,$D203-($D203-$I$184)*MIN(M$3-$O$2,$Q$2)/$Q$2))</f>
        <v>2638.92634756239</v>
      </c>
      <c r="N203" s="15" t="n">
        <f aca="false">M203*(1+IF(N$3&lt;=$O$2,$D203,$D203-($D203-$I$184)*MIN(N$3-$O$2,$Q$2)/$Q$2))</f>
        <v>2687.21869972278</v>
      </c>
      <c r="O203" s="15" t="n">
        <f aca="false">SUMPRODUCT(E203:N203,1/(1+$F$184)^$E$3:$N$3)*$E$2</f>
        <v>12530.8374635684</v>
      </c>
      <c r="P203" s="15" t="n">
        <f aca="false">N203*$E$2*(1+$I$184)/($F$184-$I$184)/(1+$F$184)^$N$3</f>
        <v>17218.2125469562</v>
      </c>
      <c r="Q203" s="15" t="n">
        <f aca="false">O203+P203</f>
        <v>29749.0500105246</v>
      </c>
      <c r="R203" s="15" t="n">
        <f aca="false">Q203-$G$2+$I$2</f>
        <v>30519.0500105246</v>
      </c>
      <c r="S203" s="42" t="n">
        <f aca="false">R203/$K$2</f>
        <v>292.244087048977</v>
      </c>
      <c r="T203" s="43" t="n">
        <f aca="false">S203-$M$2</f>
        <v>-0.0090969019955196</v>
      </c>
    </row>
    <row r="204" customFormat="false" ht="15" hidden="false" customHeight="false" outlineLevel="0" collapsed="false">
      <c r="A204" s="5" t="n">
        <v>19</v>
      </c>
      <c r="B204" s="25" t="n">
        <f aca="false">IF(T203&gt;0,B203,D203)</f>
        <v>-0.0105419158935547</v>
      </c>
      <c r="C204" s="25" t="n">
        <f aca="false">IF(T203&gt;0,D203,C203)</f>
        <v>-0.0105361938476563</v>
      </c>
      <c r="D204" s="41" t="n">
        <f aca="false">(B204+C204)/2</f>
        <v>-0.0105390548706055</v>
      </c>
      <c r="E204" s="15" t="n">
        <f aca="false">$C$2*(1+IF(E$3&lt;=$O$2,$D204,$D204-($D204-$I$184)*MIN(E$3-$O$2,$Q$2)/$Q$2))</f>
        <v>2711.12298965454</v>
      </c>
      <c r="F204" s="15" t="n">
        <f aca="false">E204*(1+IF(F$3&lt;=$O$2,$D204,$D204-($D204-$I$184)*MIN(F$3-$O$2,$Q$2)/$Q$2))</f>
        <v>2682.55031570561</v>
      </c>
      <c r="G204" s="15" t="n">
        <f aca="false">F204*(1+IF(G$3&lt;=$O$2,$D204,$D204-($D204-$I$184)*MIN(G$3-$O$2,$Q$2)/$Q$2))</f>
        <v>2654.27877073523</v>
      </c>
      <c r="H204" s="15" t="n">
        <f aca="false">G204*(1+IF(H$3&lt;=$O$2,$D204,$D204-($D204-$I$184)*MIN(H$3-$O$2,$Q$2)/$Q$2))</f>
        <v>2626.30518112857</v>
      </c>
      <c r="I204" s="15" t="n">
        <f aca="false">H204*(1+IF(I$3&lt;=$O$2,$D204,$D204-($D204-$I$184)*MIN(I$3-$O$2,$Q$2)/$Q$2))</f>
        <v>2598.6264067177</v>
      </c>
      <c r="J204" s="15" t="n">
        <f aca="false">I204*(1+IF(J$3&lt;=$O$2,$D204,$D204-($D204-$I$184)*MIN(J$3-$O$2,$Q$2)/$Q$2))</f>
        <v>2586.2277263354</v>
      </c>
      <c r="K204" s="15" t="n">
        <f aca="false">J204*(1+IF(K$3&lt;=$O$2,$D204,$D204-($D204-$I$184)*MIN(K$3-$O$2,$Q$2)/$Q$2))</f>
        <v>2588.80507574274</v>
      </c>
      <c r="L204" s="15" t="n">
        <f aca="false">K204*(1+IF(L$3&lt;=$O$2,$D204,$D204-($D204-$I$184)*MIN(L$3-$O$2,$Q$2)/$Q$2))</f>
        <v>2606.31673197738</v>
      </c>
      <c r="M204" s="15" t="n">
        <f aca="false">L204*(1+IF(M$3&lt;=$O$2,$D204,$D204-($D204-$I$184)*MIN(M$3-$O$2,$Q$2)/$Q$2))</f>
        <v>2638.97958592383</v>
      </c>
      <c r="N204" s="15" t="n">
        <f aca="false">M204*(1+IF(N$3&lt;=$O$2,$D204,$D204-($D204-$I$184)*MIN(N$3-$O$2,$Q$2)/$Q$2))</f>
        <v>2687.27291234623</v>
      </c>
      <c r="O204" s="15" t="n">
        <f aca="false">SUMPRODUCT(E204:N204,1/(1+$F$184)^$E$3:$N$3)*$E$2</f>
        <v>12530.9954187449</v>
      </c>
      <c r="P204" s="15" t="n">
        <f aca="false">N204*$E$2*(1+$I$184)/($F$184-$I$184)/(1+$F$184)^$N$3</f>
        <v>17218.5599114909</v>
      </c>
      <c r="Q204" s="15" t="n">
        <f aca="false">O204+P204</f>
        <v>29749.5553302357</v>
      </c>
      <c r="R204" s="15" t="n">
        <f aca="false">Q204-$G$2+$I$2</f>
        <v>30519.5553302357</v>
      </c>
      <c r="S204" s="42" t="n">
        <f aca="false">R204/$K$2</f>
        <v>292.248925885624</v>
      </c>
      <c r="T204" s="43" t="n">
        <f aca="false">S204-$M$2</f>
        <v>-0.00425806534781259</v>
      </c>
    </row>
    <row r="205" customFormat="false" ht="15" hidden="false" customHeight="false" outlineLevel="0" collapsed="false">
      <c r="A205" s="5" t="n">
        <v>20</v>
      </c>
      <c r="B205" s="25" t="n">
        <f aca="false">IF(T204&gt;0,B204,D204)</f>
        <v>-0.0105390548706055</v>
      </c>
      <c r="C205" s="25" t="n">
        <f aca="false">IF(T204&gt;0,D204,C204)</f>
        <v>-0.0105361938476563</v>
      </c>
      <c r="D205" s="41" t="n">
        <f aca="false">(B205+C205)/2</f>
        <v>-0.0105376243591309</v>
      </c>
      <c r="E205" s="15" t="n">
        <f aca="false">$C$2*(1+IF(E$3&lt;=$O$2,$D205,$D205-($D205-$I$184)*MIN(E$3-$O$2,$Q$2)/$Q$2))</f>
        <v>2711.12690925598</v>
      </c>
      <c r="F205" s="15" t="n">
        <f aca="false">E205*(1+IF(F$3&lt;=$O$2,$D205,$D205-($D205-$I$184)*MIN(F$3-$O$2,$Q$2)/$Q$2))</f>
        <v>2682.55807229631</v>
      </c>
      <c r="G205" s="15" t="n">
        <f aca="false">F205*(1+IF(G$3&lt;=$O$2,$D205,$D205-($D205-$I$184)*MIN(G$3-$O$2,$Q$2)/$Q$2))</f>
        <v>2654.2902830089</v>
      </c>
      <c r="H205" s="15" t="n">
        <f aca="false">G205*(1+IF(H$3&lt;=$O$2,$D205,$D205-($D205-$I$184)*MIN(H$3-$O$2,$Q$2)/$Q$2))</f>
        <v>2626.32036906646</v>
      </c>
      <c r="I205" s="15" t="n">
        <f aca="false">H205*(1+IF(I$3&lt;=$O$2,$D205,$D205-($D205-$I$184)*MIN(I$3-$O$2,$Q$2)/$Q$2))</f>
        <v>2598.6451915705</v>
      </c>
      <c r="J205" s="15" t="n">
        <f aca="false">I205*(1+IF(J$3&lt;=$O$2,$D205,$D205-($D205-$I$184)*MIN(J$3-$O$2,$Q$2)/$Q$2))</f>
        <v>2586.24939547451</v>
      </c>
      <c r="K205" s="15" t="n">
        <f aca="false">J205*(1+IF(K$3&lt;=$O$2,$D205,$D205-($D205-$I$184)*MIN(K$3-$O$2,$Q$2)/$Q$2))</f>
        <v>2588.82898627226</v>
      </c>
      <c r="L205" s="15" t="n">
        <f aca="false">K205*(1+IF(L$3&lt;=$O$2,$D205,$D205-($D205-$I$184)*MIN(L$3-$O$2,$Q$2)/$Q$2))</f>
        <v>2606.34228558658</v>
      </c>
      <c r="M205" s="15" t="n">
        <f aca="false">L205*(1+IF(M$3&lt;=$O$2,$D205,$D205-($D205-$I$184)*MIN(M$3-$O$2,$Q$2)/$Q$2))</f>
        <v>2639.0062054562</v>
      </c>
      <c r="N205" s="15" t="n">
        <f aca="false">M205*(1+IF(N$3&lt;=$O$2,$D205,$D205-($D205-$I$184)*MIN(N$3-$O$2,$Q$2)/$Q$2))</f>
        <v>2687.30001901605</v>
      </c>
      <c r="O205" s="15" t="n">
        <f aca="false">SUMPRODUCT(E205:N205,1/(1+$F$184)^$E$3:$N$3)*$E$2</f>
        <v>12531.0743970972</v>
      </c>
      <c r="P205" s="15" t="n">
        <f aca="false">N205*$E$2*(1+$I$184)/($F$184-$I$184)/(1+$F$184)^$N$3</f>
        <v>17218.7335960527</v>
      </c>
      <c r="Q205" s="15" t="n">
        <f aca="false">O205+P205</f>
        <v>29749.8079931498</v>
      </c>
      <c r="R205" s="15" t="n">
        <f aca="false">Q205-$G$2+$I$2</f>
        <v>30519.8079931498</v>
      </c>
      <c r="S205" s="42" t="n">
        <f aca="false">R205/$K$2</f>
        <v>292.251345333236</v>
      </c>
      <c r="T205" s="43" t="n">
        <f aca="false">S205-$M$2</f>
        <v>-0.00183861773604121</v>
      </c>
    </row>
    <row r="206" customFormat="false" ht="15" hidden="false" customHeight="false" outlineLevel="0" collapsed="false">
      <c r="A206" s="5" t="n">
        <v>21</v>
      </c>
      <c r="B206" s="25" t="n">
        <f aca="false">IF(T205&gt;0,B205,D205)</f>
        <v>-0.0105376243591309</v>
      </c>
      <c r="C206" s="25" t="n">
        <f aca="false">IF(T205&gt;0,D205,C205)</f>
        <v>-0.0105361938476563</v>
      </c>
      <c r="D206" s="41" t="n">
        <f aca="false">(B206+C206)/2</f>
        <v>-0.0105369091033936</v>
      </c>
      <c r="E206" s="15" t="n">
        <f aca="false">$C$2*(1+IF(E$3&lt;=$O$2,$D206,$D206-($D206-$I$184)*MIN(E$3-$O$2,$Q$2)/$Q$2))</f>
        <v>2711.1288690567</v>
      </c>
      <c r="F206" s="15" t="n">
        <f aca="false">E206*(1+IF(F$3&lt;=$O$2,$D206,$D206-($D206-$I$184)*MIN(F$3-$O$2,$Q$2)/$Q$2))</f>
        <v>2682.56195059587</v>
      </c>
      <c r="G206" s="15" t="n">
        <f aca="false">F206*(1+IF(G$3&lt;=$O$2,$D206,$D206-($D206-$I$184)*MIN(G$3-$O$2,$Q$2)/$Q$2))</f>
        <v>2654.29603915821</v>
      </c>
      <c r="H206" s="15" t="n">
        <f aca="false">G206*(1+IF(H$3&lt;=$O$2,$D206,$D206-($D206-$I$184)*MIN(H$3-$O$2,$Q$2)/$Q$2))</f>
        <v>2626.32796306011</v>
      </c>
      <c r="I206" s="15" t="n">
        <f aca="false">H206*(1+IF(I$3&lt;=$O$2,$D206,$D206-($D206-$I$184)*MIN(I$3-$O$2,$Q$2)/$Q$2))</f>
        <v>2598.65458403764</v>
      </c>
      <c r="J206" s="15" t="n">
        <f aca="false">I206*(1+IF(J$3&lt;=$O$2,$D206,$D206-($D206-$I$184)*MIN(J$3-$O$2,$Q$2)/$Q$2))</f>
        <v>2586.26023010072</v>
      </c>
      <c r="K206" s="15" t="n">
        <f aca="false">J206*(1+IF(K$3&lt;=$O$2,$D206,$D206-($D206-$I$184)*MIN(K$3-$O$2,$Q$2)/$Q$2))</f>
        <v>2588.84094160768</v>
      </c>
      <c r="L206" s="15" t="n">
        <f aca="false">K206*(1+IF(L$3&lt;=$O$2,$D206,$D206-($D206-$I$184)*MIN(L$3-$O$2,$Q$2)/$Q$2))</f>
        <v>2606.35506247259</v>
      </c>
      <c r="M206" s="15" t="n">
        <f aca="false">L206*(1+IF(M$3&lt;=$O$2,$D206,$D206-($D206-$I$184)*MIN(M$3-$O$2,$Q$2)/$Q$2))</f>
        <v>2639.0195153103</v>
      </c>
      <c r="N206" s="15" t="n">
        <f aca="false">M206*(1+IF(N$3&lt;=$O$2,$D206,$D206-($D206-$I$184)*MIN(N$3-$O$2,$Q$2)/$Q$2))</f>
        <v>2687.31357244048</v>
      </c>
      <c r="O206" s="15" t="n">
        <f aca="false">SUMPRODUCT(E206:N206,1/(1+$F$184)^$E$3:$N$3)*$E$2</f>
        <v>12531.1138864643</v>
      </c>
      <c r="P206" s="15" t="n">
        <f aca="false">N206*$E$2*(1+$I$184)/($F$184-$I$184)/(1+$F$184)^$N$3</f>
        <v>17218.8204389072</v>
      </c>
      <c r="Q206" s="15" t="n">
        <f aca="false">O206+P206</f>
        <v>29749.9343253715</v>
      </c>
      <c r="R206" s="15" t="n">
        <f aca="false">Q206-$G$2+$I$2</f>
        <v>30519.9343253715</v>
      </c>
      <c r="S206" s="42" t="n">
        <f aca="false">R206/$K$2</f>
        <v>292.252555064364</v>
      </c>
      <c r="T206" s="43" t="n">
        <f aca="false">S206-$M$2</f>
        <v>-0.000628886608240009</v>
      </c>
    </row>
    <row r="207" customFormat="false" ht="15" hidden="false" customHeight="false" outlineLevel="0" collapsed="false">
      <c r="A207" s="5" t="n">
        <v>22</v>
      </c>
      <c r="B207" s="25" t="n">
        <f aca="false">IF(T206&gt;0,B206,D206)</f>
        <v>-0.0105369091033936</v>
      </c>
      <c r="C207" s="25" t="n">
        <f aca="false">IF(T206&gt;0,D206,C206)</f>
        <v>-0.0105361938476563</v>
      </c>
      <c r="D207" s="41" t="n">
        <f aca="false">(B207+C207)/2</f>
        <v>-0.0105365514755249</v>
      </c>
      <c r="E207" s="15" t="n">
        <f aca="false">$C$2*(1+IF(E$3&lt;=$O$2,$D207,$D207-($D207-$I$184)*MIN(E$3-$O$2,$Q$2)/$Q$2))</f>
        <v>2711.12984895706</v>
      </c>
      <c r="F207" s="15" t="n">
        <f aca="false">E207*(1+IF(F$3&lt;=$O$2,$D207,$D207-($D207-$I$184)*MIN(F$3-$O$2,$Q$2)/$Q$2))</f>
        <v>2682.56388974669</v>
      </c>
      <c r="G207" s="15" t="n">
        <f aca="false">F207*(1+IF(G$3&lt;=$O$2,$D207,$D207-($D207-$I$184)*MIN(G$3-$O$2,$Q$2)/$Q$2))</f>
        <v>2654.29891723599</v>
      </c>
      <c r="H207" s="15" t="n">
        <f aca="false">G207*(1+IF(H$3&lt;=$O$2,$D207,$D207-($D207-$I$184)*MIN(H$3-$O$2,$Q$2)/$Q$2))</f>
        <v>2626.33176006311</v>
      </c>
      <c r="I207" s="15" t="n">
        <f aca="false">H207*(1+IF(I$3&lt;=$O$2,$D207,$D207-($D207-$I$184)*MIN(I$3-$O$2,$Q$2)/$Q$2))</f>
        <v>2598.6592802814</v>
      </c>
      <c r="J207" s="15" t="n">
        <f aca="false">I207*(1+IF(J$3&lt;=$O$2,$D207,$D207-($D207-$I$184)*MIN(J$3-$O$2,$Q$2)/$Q$2))</f>
        <v>2586.265647428</v>
      </c>
      <c r="K207" s="15" t="n">
        <f aca="false">J207*(1+IF(K$3&lt;=$O$2,$D207,$D207-($D207-$I$184)*MIN(K$3-$O$2,$Q$2)/$Q$2))</f>
        <v>2588.84691929307</v>
      </c>
      <c r="L207" s="15" t="n">
        <f aca="false">K207*(1+IF(L$3&lt;=$O$2,$D207,$D207-($D207-$I$184)*MIN(L$3-$O$2,$Q$2)/$Q$2))</f>
        <v>2606.36145093595</v>
      </c>
      <c r="M207" s="15" t="n">
        <f aca="false">L207*(1+IF(M$3&lt;=$O$2,$D207,$D207-($D207-$I$184)*MIN(M$3-$O$2,$Q$2)/$Q$2))</f>
        <v>2639.02617025933</v>
      </c>
      <c r="N207" s="15" t="n">
        <f aca="false">M207*(1+IF(N$3&lt;=$O$2,$D207,$D207-($D207-$I$184)*MIN(N$3-$O$2,$Q$2)/$Q$2))</f>
        <v>2687.32034917508</v>
      </c>
      <c r="O207" s="15" t="n">
        <f aca="false">SUMPRODUCT(E207:N207,1/(1+$F$184)^$E$3:$N$3)*$E$2</f>
        <v>12531.1336311957</v>
      </c>
      <c r="P207" s="15" t="n">
        <f aca="false">N207*$E$2*(1+$I$184)/($F$184-$I$184)/(1+$F$184)^$N$3</f>
        <v>17218.8638604779</v>
      </c>
      <c r="Q207" s="15" t="n">
        <f aca="false">O207+P207</f>
        <v>29749.9974916735</v>
      </c>
      <c r="R207" s="15" t="n">
        <f aca="false">Q207-$G$2+$I$2</f>
        <v>30519.9974916735</v>
      </c>
      <c r="S207" s="42" t="n">
        <f aca="false">R207/$K$2</f>
        <v>292.253159931758</v>
      </c>
      <c r="T207" s="43" t="n">
        <f aca="false">S207-$M$2</f>
        <v>-2.40192136402584E-005</v>
      </c>
    </row>
    <row r="208" customFormat="false" ht="15" hidden="false" customHeight="false" outlineLevel="0" collapsed="false">
      <c r="A208" s="5" t="n">
        <v>23</v>
      </c>
      <c r="B208" s="25" t="n">
        <f aca="false">IF(T207&gt;0,B207,D207)</f>
        <v>-0.0105365514755249</v>
      </c>
      <c r="C208" s="25" t="n">
        <f aca="false">IF(T207&gt;0,D207,C207)</f>
        <v>-0.0105361938476563</v>
      </c>
      <c r="D208" s="41" t="n">
        <f aca="false">(B208+C208)/2</f>
        <v>-0.0105363726615906</v>
      </c>
      <c r="E208" s="15" t="n">
        <f aca="false">$C$2*(1+IF(E$3&lt;=$O$2,$D208,$D208-($D208-$I$184)*MIN(E$3-$O$2,$Q$2)/$Q$2))</f>
        <v>2711.13033890724</v>
      </c>
      <c r="F208" s="15" t="n">
        <f aca="false">E208*(1+IF(F$3&lt;=$O$2,$D208,$D208-($D208-$I$184)*MIN(F$3-$O$2,$Q$2)/$Q$2))</f>
        <v>2682.56485932237</v>
      </c>
      <c r="G208" s="15" t="n">
        <f aca="false">F208*(1+IF(G$3&lt;=$O$2,$D208,$D208-($D208-$I$184)*MIN(G$3-$O$2,$Q$2)/$Q$2))</f>
        <v>2654.30035627566</v>
      </c>
      <c r="H208" s="15" t="n">
        <f aca="false">G208*(1+IF(H$3&lt;=$O$2,$D208,$D208-($D208-$I$184)*MIN(H$3-$O$2,$Q$2)/$Q$2))</f>
        <v>2626.33365856615</v>
      </c>
      <c r="I208" s="15" t="n">
        <f aca="false">H208*(1+IF(I$3&lt;=$O$2,$D208,$D208-($D208-$I$184)*MIN(I$3-$O$2,$Q$2)/$Q$2))</f>
        <v>2598.66162840582</v>
      </c>
      <c r="J208" s="15" t="n">
        <f aca="false">I208*(1+IF(J$3&lt;=$O$2,$D208,$D208-($D208-$I$184)*MIN(J$3-$O$2,$Q$2)/$Q$2))</f>
        <v>2586.26835609518</v>
      </c>
      <c r="K208" s="15" t="n">
        <f aca="false">J208*(1+IF(K$3&lt;=$O$2,$D208,$D208-($D208-$I$184)*MIN(K$3-$O$2,$Q$2)/$Q$2))</f>
        <v>2588.84990814017</v>
      </c>
      <c r="L208" s="15" t="n">
        <f aca="false">K208*(1+IF(L$3&lt;=$O$2,$D208,$D208-($D208-$I$184)*MIN(L$3-$O$2,$Q$2)/$Q$2))</f>
        <v>2606.36464517272</v>
      </c>
      <c r="M208" s="15" t="n">
        <f aca="false">L208*(1+IF(M$3&lt;=$O$2,$D208,$D208-($D208-$I$184)*MIN(M$3-$O$2,$Q$2)/$Q$2))</f>
        <v>2639.02949773934</v>
      </c>
      <c r="N208" s="15" t="n">
        <f aca="false">M208*(1+IF(N$3&lt;=$O$2,$D208,$D208-($D208-$I$184)*MIN(N$3-$O$2,$Q$2)/$Q$2))</f>
        <v>2687.32373754797</v>
      </c>
      <c r="O208" s="15" t="n">
        <f aca="false">SUMPRODUCT(E208:N208,1/(1+$F$184)^$E$3:$N$3)*$E$2</f>
        <v>12531.1435035733</v>
      </c>
      <c r="P208" s="15" t="n">
        <f aca="false">N208*$E$2*(1+$I$184)/($F$184-$I$184)/(1+$F$184)^$N$3</f>
        <v>17218.885571299</v>
      </c>
      <c r="Q208" s="15" t="n">
        <f aca="false">O208+P208</f>
        <v>29750.0290748723</v>
      </c>
      <c r="R208" s="15" t="n">
        <f aca="false">Q208-$G$2+$I$2</f>
        <v>30520.0290748723</v>
      </c>
      <c r="S208" s="42" t="n">
        <f aca="false">R208/$K$2</f>
        <v>292.253462365913</v>
      </c>
      <c r="T208" s="43" t="n">
        <f aca="false">S208-$M$2</f>
        <v>0.000278414941305982</v>
      </c>
    </row>
    <row r="209" customFormat="false" ht="15" hidden="false" customHeight="false" outlineLevel="0" collapsed="false">
      <c r="A209" s="5" t="n">
        <v>24</v>
      </c>
      <c r="B209" s="25" t="n">
        <f aca="false">IF(T208&gt;0,B208,D208)</f>
        <v>-0.0105365514755249</v>
      </c>
      <c r="C209" s="25" t="n">
        <f aca="false">IF(T208&gt;0,D208,C208)</f>
        <v>-0.0105363726615906</v>
      </c>
      <c r="D209" s="41" t="n">
        <f aca="false">(B209+C209)/2</f>
        <v>-0.0105364620685577</v>
      </c>
      <c r="E209" s="15" t="n">
        <f aca="false">$C$2*(1+IF(E$3&lt;=$O$2,$D209,$D209-($D209-$I$184)*MIN(E$3-$O$2,$Q$2)/$Q$2))</f>
        <v>2711.13009393215</v>
      </c>
      <c r="F209" s="15" t="n">
        <f aca="false">E209*(1+IF(F$3&lt;=$O$2,$D209,$D209-($D209-$I$184)*MIN(F$3-$O$2,$Q$2)/$Q$2))</f>
        <v>2682.56437453451</v>
      </c>
      <c r="G209" s="15" t="n">
        <f aca="false">F209*(1+IF(G$3&lt;=$O$2,$D209,$D209-($D209-$I$184)*MIN(G$3-$O$2,$Q$2)/$Q$2))</f>
        <v>2654.29963675576</v>
      </c>
      <c r="H209" s="15" t="n">
        <f aca="false">G209*(1+IF(H$3&lt;=$O$2,$D209,$D209-($D209-$I$184)*MIN(H$3-$O$2,$Q$2)/$Q$2))</f>
        <v>2626.3327093145</v>
      </c>
      <c r="I209" s="15" t="n">
        <f aca="false">H209*(1+IF(I$3&lt;=$O$2,$D209,$D209-($D209-$I$184)*MIN(I$3-$O$2,$Q$2)/$Q$2))</f>
        <v>2598.66045434339</v>
      </c>
      <c r="J209" s="15" t="n">
        <f aca="false">I209*(1+IF(J$3&lt;=$O$2,$D209,$D209-($D209-$I$184)*MIN(J$3-$O$2,$Q$2)/$Q$2))</f>
        <v>2586.26700176129</v>
      </c>
      <c r="K209" s="15" t="n">
        <f aca="false">J209*(1+IF(K$3&lt;=$O$2,$D209,$D209-($D209-$I$184)*MIN(K$3-$O$2,$Q$2)/$Q$2))</f>
        <v>2588.84841371625</v>
      </c>
      <c r="L209" s="15" t="n">
        <f aca="false">K209*(1+IF(L$3&lt;=$O$2,$D209,$D209-($D209-$I$184)*MIN(L$3-$O$2,$Q$2)/$Q$2))</f>
        <v>2606.36304805391</v>
      </c>
      <c r="M209" s="15" t="n">
        <f aca="false">L209*(1+IF(M$3&lt;=$O$2,$D209,$D209-($D209-$I$184)*MIN(M$3-$O$2,$Q$2)/$Q$2))</f>
        <v>2639.02783399888</v>
      </c>
      <c r="N209" s="15" t="n">
        <f aca="false">M209*(1+IF(N$3&lt;=$O$2,$D209,$D209-($D209-$I$184)*MIN(N$3-$O$2,$Q$2)/$Q$2))</f>
        <v>2687.32204336106</v>
      </c>
      <c r="O209" s="15" t="n">
        <f aca="false">SUMPRODUCT(E209:N209,1/(1+$F$184)^$E$3:$N$3)*$E$2</f>
        <v>12531.1385673835</v>
      </c>
      <c r="P209" s="15" t="n">
        <f aca="false">N209*$E$2*(1+$I$184)/($F$184-$I$184)/(1+$F$184)^$N$3</f>
        <v>17218.8747158855</v>
      </c>
      <c r="Q209" s="15" t="n">
        <f aca="false">O209+P209</f>
        <v>29750.0132832689</v>
      </c>
      <c r="R209" s="15" t="n">
        <f aca="false">Q209-$G$2+$I$2</f>
        <v>30520.0132832689</v>
      </c>
      <c r="S209" s="42" t="n">
        <f aca="false">R209/$K$2</f>
        <v>292.253311148798</v>
      </c>
      <c r="T209" s="43" t="n">
        <f aca="false">S209-$M$2</f>
        <v>0.000127197825634084</v>
      </c>
    </row>
    <row r="211" customFormat="false" ht="15" hidden="false" customHeight="false" outlineLevel="0" collapsed="false">
      <c r="A211" s="38" t="s">
        <v>185</v>
      </c>
      <c r="E211" s="5" t="s">
        <v>11</v>
      </c>
      <c r="F211" s="12" t="n">
        <f aca="false">Sensitivity!$B$11</f>
        <v>0.0722772551778937</v>
      </c>
      <c r="G211" s="5" t="s">
        <v>12</v>
      </c>
      <c r="I211" s="12" t="n">
        <f aca="false">Sensitivity!$D$9</f>
        <v>0.0233</v>
      </c>
    </row>
    <row r="212" customFormat="false" ht="23.85" hidden="false" customHeight="false" outlineLevel="0" collapsed="false">
      <c r="A212" s="38" t="s">
        <v>159</v>
      </c>
      <c r="B212" s="28" t="s">
        <v>160</v>
      </c>
      <c r="C212" s="28" t="s">
        <v>161</v>
      </c>
      <c r="D212" s="28" t="s">
        <v>162</v>
      </c>
      <c r="E212" s="28" t="s">
        <v>163</v>
      </c>
      <c r="F212" s="28" t="s">
        <v>164</v>
      </c>
      <c r="G212" s="28" t="s">
        <v>165</v>
      </c>
      <c r="H212" s="28" t="s">
        <v>166</v>
      </c>
      <c r="I212" s="28" t="s">
        <v>167</v>
      </c>
      <c r="J212" s="28" t="s">
        <v>168</v>
      </c>
      <c r="K212" s="28" t="s">
        <v>169</v>
      </c>
      <c r="L212" s="28" t="s">
        <v>170</v>
      </c>
      <c r="M212" s="28" t="s">
        <v>171</v>
      </c>
      <c r="N212" s="28" t="s">
        <v>172</v>
      </c>
      <c r="O212" s="28" t="s">
        <v>173</v>
      </c>
      <c r="P212" s="28" t="s">
        <v>174</v>
      </c>
      <c r="Q212" s="28" t="s">
        <v>175</v>
      </c>
      <c r="R212" s="28" t="s">
        <v>176</v>
      </c>
      <c r="S212" s="28" t="s">
        <v>177</v>
      </c>
      <c r="T212" s="28" t="s">
        <v>178</v>
      </c>
    </row>
    <row r="213" customFormat="false" ht="15" hidden="false" customHeight="false" outlineLevel="0" collapsed="false">
      <c r="A213" s="5" t="n">
        <v>1</v>
      </c>
      <c r="B213" s="24" t="n">
        <v>-0.5</v>
      </c>
      <c r="C213" s="24" t="n">
        <v>1</v>
      </c>
      <c r="D213" s="41" t="n">
        <f aca="false">(B213+C213)/2</f>
        <v>0.25</v>
      </c>
      <c r="E213" s="15" t="n">
        <f aca="false">$C$2*(1+IF(E$3&lt;=$O$2,$D213,$D213-($D213-$I$211)*MIN(E$3-$O$2,$Q$2)/$Q$2))</f>
        <v>3425</v>
      </c>
      <c r="F213" s="15" t="n">
        <f aca="false">E213*(1+IF(F$3&lt;=$O$2,$D213,$D213-($D213-$I$211)*MIN(F$3-$O$2,$Q$2)/$Q$2))</f>
        <v>4281.25</v>
      </c>
      <c r="G213" s="15" t="n">
        <f aca="false">F213*(1+IF(G$3&lt;=$O$2,$D213,$D213-($D213-$I$211)*MIN(G$3-$O$2,$Q$2)/$Q$2))</f>
        <v>5351.5625</v>
      </c>
      <c r="H213" s="15" t="n">
        <f aca="false">G213*(1+IF(H$3&lt;=$O$2,$D213,$D213-($D213-$I$211)*MIN(H$3-$O$2,$Q$2)/$Q$2))</f>
        <v>6689.453125</v>
      </c>
      <c r="I213" s="15" t="n">
        <f aca="false">H213*(1+IF(I$3&lt;=$O$2,$D213,$D213-($D213-$I$211)*MIN(I$3-$O$2,$Q$2)/$Q$2))</f>
        <v>8361.81640625</v>
      </c>
      <c r="J213" s="15" t="n">
        <f aca="false">I213*(1+IF(J$3&lt;=$O$2,$D213,$D213-($D213-$I$211)*MIN(J$3-$O$2,$Q$2)/$Q$2))</f>
        <v>10073.1457519531</v>
      </c>
      <c r="K213" s="15" t="n">
        <f aca="false">J213*(1+IF(K$3&lt;=$O$2,$D213,$D213-($D213-$I$211)*MIN(K$3-$O$2,$Q$2)/$Q$2))</f>
        <v>11677.9993331543</v>
      </c>
      <c r="L213" s="15" t="n">
        <f aca="false">K213*(1+IF(L$3&lt;=$O$2,$D213,$D213-($D213-$I$211)*MIN(L$3-$O$2,$Q$2)/$Q$2))</f>
        <v>13009.0576971472</v>
      </c>
      <c r="M213" s="15" t="n">
        <f aca="false">L213*(1+IF(M$3&lt;=$O$2,$D213,$D213-($D213-$I$211)*MIN(M$3-$O$2,$Q$2)/$Q$2))</f>
        <v>13901.9994174794</v>
      </c>
      <c r="N213" s="15" t="n">
        <f aca="false">M213*(1+IF(N$3&lt;=$O$2,$D213,$D213-($D213-$I$211)*MIN(N$3-$O$2,$Q$2)/$Q$2))</f>
        <v>14225.9160039067</v>
      </c>
      <c r="O213" s="15" t="n">
        <f aca="false">SUMPRODUCT(E213:N213,1/(1+$F$211)^$E$3:$N$3)*$E$2</f>
        <v>39550.6553349314</v>
      </c>
      <c r="P213" s="15" t="n">
        <f aca="false">N213*$E$2*(1+$I$211)/($F$211-$I$211)/(1+$F$211)^$N$3</f>
        <v>100950.593353817</v>
      </c>
      <c r="Q213" s="15" t="n">
        <f aca="false">O213+P213</f>
        <v>140501.248688748</v>
      </c>
      <c r="R213" s="15" t="n">
        <f aca="false">Q213-$G$2+$I$2</f>
        <v>141271.248688748</v>
      </c>
      <c r="S213" s="42" t="n">
        <f aca="false">R213/$K$2</f>
        <v>1352.7841490831</v>
      </c>
      <c r="T213" s="43" t="n">
        <f aca="false">S213-$M$2</f>
        <v>1060.53096513213</v>
      </c>
    </row>
    <row r="214" customFormat="false" ht="15" hidden="false" customHeight="false" outlineLevel="0" collapsed="false">
      <c r="A214" s="5" t="n">
        <v>2</v>
      </c>
      <c r="B214" s="25" t="n">
        <f aca="false">IF(T213&gt;0,B213,D213)</f>
        <v>-0.5</v>
      </c>
      <c r="C214" s="25" t="n">
        <f aca="false">IF(T213&gt;0,D213,C213)</f>
        <v>0.25</v>
      </c>
      <c r="D214" s="41" t="n">
        <f aca="false">(B214+C214)/2</f>
        <v>-0.125</v>
      </c>
      <c r="E214" s="15" t="n">
        <f aca="false">$C$2*(1+IF(E$3&lt;=$O$2,$D214,$D214-($D214-$I$211)*MIN(E$3-$O$2,$Q$2)/$Q$2))</f>
        <v>2397.5</v>
      </c>
      <c r="F214" s="15" t="n">
        <f aca="false">E214*(1+IF(F$3&lt;=$O$2,$D214,$D214-($D214-$I$211)*MIN(F$3-$O$2,$Q$2)/$Q$2))</f>
        <v>2097.8125</v>
      </c>
      <c r="G214" s="15" t="n">
        <f aca="false">F214*(1+IF(G$3&lt;=$O$2,$D214,$D214-($D214-$I$211)*MIN(G$3-$O$2,$Q$2)/$Q$2))</f>
        <v>1835.5859375</v>
      </c>
      <c r="H214" s="15" t="n">
        <f aca="false">G214*(1+IF(H$3&lt;=$O$2,$D214,$D214-($D214-$I$211)*MIN(H$3-$O$2,$Q$2)/$Q$2))</f>
        <v>1606.1376953125</v>
      </c>
      <c r="I214" s="15" t="n">
        <f aca="false">H214*(1+IF(I$3&lt;=$O$2,$D214,$D214-($D214-$I$211)*MIN(I$3-$O$2,$Q$2)/$Q$2))</f>
        <v>1405.37048339844</v>
      </c>
      <c r="J214" s="15" t="n">
        <f aca="false">I214*(1+IF(J$3&lt;=$O$2,$D214,$D214-($D214-$I$211)*MIN(J$3-$O$2,$Q$2)/$Q$2))</f>
        <v>1271.38246151123</v>
      </c>
      <c r="K214" s="15" t="n">
        <f aca="false">J214*(1+IF(K$3&lt;=$O$2,$D214,$D214-($D214-$I$211)*MIN(K$3-$O$2,$Q$2)/$Q$2))</f>
        <v>1187.87806143917</v>
      </c>
      <c r="L214" s="15" t="n">
        <f aca="false">K214*(1+IF(L$3&lt;=$O$2,$D214,$D214-($D214-$I$211)*MIN(L$3-$O$2,$Q$2)/$Q$2))</f>
        <v>1145.09069366613</v>
      </c>
      <c r="M214" s="15" t="n">
        <f aca="false">L214*(1+IF(M$3&lt;=$O$2,$D214,$D214-($D214-$I$211)*MIN(M$3-$O$2,$Q$2)/$Q$2))</f>
        <v>1137.80791685442</v>
      </c>
      <c r="N214" s="15" t="n">
        <f aca="false">M214*(1+IF(N$3&lt;=$O$2,$D214,$D214-($D214-$I$211)*MIN(N$3-$O$2,$Q$2)/$Q$2))</f>
        <v>1164.31884131713</v>
      </c>
      <c r="O214" s="15" t="n">
        <f aca="false">SUMPRODUCT(E214:N214,1/(1+$F$211)^$E$3:$N$3)*$E$2</f>
        <v>7618.34694029101</v>
      </c>
      <c r="P214" s="15" t="n">
        <f aca="false">N214*$E$2*(1+$I$211)/($F$211-$I$211)/(1+$F$211)^$N$3</f>
        <v>8262.29241419068</v>
      </c>
      <c r="Q214" s="15" t="n">
        <f aca="false">O214+P214</f>
        <v>15880.6393544817</v>
      </c>
      <c r="R214" s="15" t="n">
        <f aca="false">Q214-$G$2+$I$2</f>
        <v>16650.6393544817</v>
      </c>
      <c r="S214" s="42" t="n">
        <f aca="false">R214/$K$2</f>
        <v>159.443065732852</v>
      </c>
      <c r="T214" s="43" t="n">
        <f aca="false">S214-$M$2</f>
        <v>-132.81011821812</v>
      </c>
    </row>
    <row r="215" customFormat="false" ht="15" hidden="false" customHeight="false" outlineLevel="0" collapsed="false">
      <c r="A215" s="5" t="n">
        <v>3</v>
      </c>
      <c r="B215" s="25" t="n">
        <f aca="false">IF(T214&gt;0,B214,D214)</f>
        <v>-0.125</v>
      </c>
      <c r="C215" s="25" t="n">
        <f aca="false">IF(T214&gt;0,D214,C214)</f>
        <v>0.25</v>
      </c>
      <c r="D215" s="41" t="n">
        <f aca="false">(B215+C215)/2</f>
        <v>0.0625</v>
      </c>
      <c r="E215" s="15" t="n">
        <f aca="false">$C$2*(1+IF(E$3&lt;=$O$2,$D215,$D215-($D215-$I$211)*MIN(E$3-$O$2,$Q$2)/$Q$2))</f>
        <v>2911.25</v>
      </c>
      <c r="F215" s="15" t="n">
        <f aca="false">E215*(1+IF(F$3&lt;=$O$2,$D215,$D215-($D215-$I$211)*MIN(F$3-$O$2,$Q$2)/$Q$2))</f>
        <v>3093.203125</v>
      </c>
      <c r="G215" s="15" t="n">
        <f aca="false">F215*(1+IF(G$3&lt;=$O$2,$D215,$D215-($D215-$I$211)*MIN(G$3-$O$2,$Q$2)/$Q$2))</f>
        <v>3286.5283203125</v>
      </c>
      <c r="H215" s="15" t="n">
        <f aca="false">G215*(1+IF(H$3&lt;=$O$2,$D215,$D215-($D215-$I$211)*MIN(H$3-$O$2,$Q$2)/$Q$2))</f>
        <v>3491.93634033203</v>
      </c>
      <c r="I215" s="15" t="n">
        <f aca="false">H215*(1+IF(I$3&lt;=$O$2,$D215,$D215-($D215-$I$211)*MIN(I$3-$O$2,$Q$2)/$Q$2))</f>
        <v>3710.18236160278</v>
      </c>
      <c r="J215" s="15" t="n">
        <f aca="false">I215*(1+IF(J$3&lt;=$O$2,$D215,$D215-($D215-$I$211)*MIN(J$3-$O$2,$Q$2)/$Q$2))</f>
        <v>3912.98092948799</v>
      </c>
      <c r="K215" s="15" t="n">
        <f aca="false">J215*(1+IF(K$3&lt;=$O$2,$D215,$D215-($D215-$I$211)*MIN(K$3-$O$2,$Q$2)/$Q$2))</f>
        <v>4096.18669660662</v>
      </c>
      <c r="L215" s="15" t="n">
        <f aca="false">K215*(1+IF(L$3&lt;=$O$2,$D215,$D215-($D215-$I$211)*MIN(L$3-$O$2,$Q$2)/$Q$2))</f>
        <v>4255.85605404035</v>
      </c>
      <c r="M215" s="15" t="n">
        <f aca="false">L215*(1+IF(M$3&lt;=$O$2,$D215,$D215-($D215-$I$211)*MIN(M$3-$O$2,$Q$2)/$Q$2))</f>
        <v>4388.38341156316</v>
      </c>
      <c r="N215" s="15" t="n">
        <f aca="false">M215*(1+IF(N$3&lt;=$O$2,$D215,$D215-($D215-$I$211)*MIN(N$3-$O$2,$Q$2)/$Q$2))</f>
        <v>4490.63274505258</v>
      </c>
      <c r="O215" s="15" t="n">
        <f aca="false">SUMPRODUCT(E215:N215,1/(1+$F$211)^$E$3:$N$3)*$E$2</f>
        <v>17354.8524049108</v>
      </c>
      <c r="P215" s="15" t="n">
        <f aca="false">N215*$E$2*(1+$I$211)/($F$211-$I$211)/(1+$F$211)^$N$3</f>
        <v>31866.63270208</v>
      </c>
      <c r="Q215" s="15" t="n">
        <f aca="false">O215+P215</f>
        <v>49221.4851069908</v>
      </c>
      <c r="R215" s="15" t="n">
        <f aca="false">Q215-$G$2+$I$2</f>
        <v>49991.4851069908</v>
      </c>
      <c r="S215" s="42" t="n">
        <f aca="false">R215/$K$2</f>
        <v>478.708082993304</v>
      </c>
      <c r="T215" s="43" t="n">
        <f aca="false">S215-$M$2</f>
        <v>186.454899042332</v>
      </c>
    </row>
    <row r="216" customFormat="false" ht="15" hidden="false" customHeight="false" outlineLevel="0" collapsed="false">
      <c r="A216" s="5" t="n">
        <v>4</v>
      </c>
      <c r="B216" s="25" t="n">
        <f aca="false">IF(T215&gt;0,B215,D215)</f>
        <v>-0.125</v>
      </c>
      <c r="C216" s="25" t="n">
        <f aca="false">IF(T215&gt;0,D215,C215)</f>
        <v>0.0625</v>
      </c>
      <c r="D216" s="41" t="n">
        <f aca="false">(B216+C216)/2</f>
        <v>-0.03125</v>
      </c>
      <c r="E216" s="15" t="n">
        <f aca="false">$C$2*(1+IF(E$3&lt;=$O$2,$D216,$D216-($D216-$I$211)*MIN(E$3-$O$2,$Q$2)/$Q$2))</f>
        <v>2654.375</v>
      </c>
      <c r="F216" s="15" t="n">
        <f aca="false">E216*(1+IF(F$3&lt;=$O$2,$D216,$D216-($D216-$I$211)*MIN(F$3-$O$2,$Q$2)/$Q$2))</f>
        <v>2571.42578125</v>
      </c>
      <c r="G216" s="15" t="n">
        <f aca="false">F216*(1+IF(G$3&lt;=$O$2,$D216,$D216-($D216-$I$211)*MIN(G$3-$O$2,$Q$2)/$Q$2))</f>
        <v>2491.06872558594</v>
      </c>
      <c r="H216" s="15" t="n">
        <f aca="false">G216*(1+IF(H$3&lt;=$O$2,$D216,$D216-($D216-$I$211)*MIN(H$3-$O$2,$Q$2)/$Q$2))</f>
        <v>2413.22282791138</v>
      </c>
      <c r="I216" s="15" t="n">
        <f aca="false">H216*(1+IF(I$3&lt;=$O$2,$D216,$D216-($D216-$I$211)*MIN(I$3-$O$2,$Q$2)/$Q$2))</f>
        <v>2337.80961453915</v>
      </c>
      <c r="J216" s="15" t="n">
        <f aca="false">I216*(1+IF(J$3&lt;=$O$2,$D216,$D216-($D216-$I$211)*MIN(J$3-$O$2,$Q$2)/$Q$2))</f>
        <v>2290.25856697942</v>
      </c>
      <c r="K216" s="15" t="n">
        <f aca="false">J216*(1+IF(K$3&lt;=$O$2,$D216,$D216-($D216-$I$211)*MIN(K$3-$O$2,$Q$2)/$Q$2))</f>
        <v>2268.6614286928</v>
      </c>
      <c r="L216" s="15" t="n">
        <f aca="false">K216*(1+IF(L$3&lt;=$O$2,$D216,$D216-($D216-$I$211)*MIN(L$3-$O$2,$Q$2)/$Q$2))</f>
        <v>2272.01904760727</v>
      </c>
      <c r="M216" s="15" t="n">
        <f aca="false">L216*(1+IF(M$3&lt;=$O$2,$D216,$D216-($D216-$I$211)*MIN(M$3-$O$2,$Q$2)/$Q$2))</f>
        <v>2300.16936360712</v>
      </c>
      <c r="N216" s="15" t="n">
        <f aca="false">M216*(1+IF(N$3&lt;=$O$2,$D216,$D216-($D216-$I$211)*MIN(N$3-$O$2,$Q$2)/$Q$2))</f>
        <v>2353.76330977917</v>
      </c>
      <c r="O216" s="15" t="n">
        <f aca="false">SUMPRODUCT(E216:N216,1/(1+$F$211)^$E$3:$N$3)*$E$2</f>
        <v>11468.8334105839</v>
      </c>
      <c r="P216" s="15" t="n">
        <f aca="false">N216*$E$2*(1+$I$211)/($F$211-$I$211)/(1+$F$211)^$N$3</f>
        <v>16702.8824485817</v>
      </c>
      <c r="Q216" s="15" t="n">
        <f aca="false">O216+P216</f>
        <v>28171.7158591656</v>
      </c>
      <c r="R216" s="15" t="n">
        <f aca="false">Q216-$G$2+$I$2</f>
        <v>28941.7158591656</v>
      </c>
      <c r="S216" s="42" t="n">
        <f aca="false">R216/$K$2</f>
        <v>277.139862675147</v>
      </c>
      <c r="T216" s="43" t="n">
        <f aca="false">S216-$M$2</f>
        <v>-15.1133212758249</v>
      </c>
    </row>
    <row r="217" customFormat="false" ht="15" hidden="false" customHeight="false" outlineLevel="0" collapsed="false">
      <c r="A217" s="5" t="n">
        <v>5</v>
      </c>
      <c r="B217" s="25" t="n">
        <f aca="false">IF(T216&gt;0,B216,D216)</f>
        <v>-0.03125</v>
      </c>
      <c r="C217" s="25" t="n">
        <f aca="false">IF(T216&gt;0,D216,C216)</f>
        <v>0.0625</v>
      </c>
      <c r="D217" s="41" t="n">
        <f aca="false">(B217+C217)/2</f>
        <v>0.015625</v>
      </c>
      <c r="E217" s="15" t="n">
        <f aca="false">$C$2*(1+IF(E$3&lt;=$O$2,$D217,$D217-($D217-$I$211)*MIN(E$3-$O$2,$Q$2)/$Q$2))</f>
        <v>2782.8125</v>
      </c>
      <c r="F217" s="15" t="n">
        <f aca="false">E217*(1+IF(F$3&lt;=$O$2,$D217,$D217-($D217-$I$211)*MIN(F$3-$O$2,$Q$2)/$Q$2))</f>
        <v>2826.2939453125</v>
      </c>
      <c r="G217" s="15" t="n">
        <f aca="false">F217*(1+IF(G$3&lt;=$O$2,$D217,$D217-($D217-$I$211)*MIN(G$3-$O$2,$Q$2)/$Q$2))</f>
        <v>2870.45478820801</v>
      </c>
      <c r="H217" s="15" t="n">
        <f aca="false">G217*(1+IF(H$3&lt;=$O$2,$D217,$D217-($D217-$I$211)*MIN(H$3-$O$2,$Q$2)/$Q$2))</f>
        <v>2915.30564427376</v>
      </c>
      <c r="I217" s="15" t="n">
        <f aca="false">H217*(1+IF(I$3&lt;=$O$2,$D217,$D217-($D217-$I$211)*MIN(I$3-$O$2,$Q$2)/$Q$2))</f>
        <v>2960.85729496554</v>
      </c>
      <c r="J217" s="15" t="n">
        <f aca="false">I217*(1+IF(J$3&lt;=$O$2,$D217,$D217-($D217-$I$211)*MIN(J$3-$O$2,$Q$2)/$Q$2))</f>
        <v>3011.66560614714</v>
      </c>
      <c r="K217" s="15" t="n">
        <f aca="false">J217*(1+IF(K$3&lt;=$O$2,$D217,$D217-($D217-$I$211)*MIN(K$3-$O$2,$Q$2)/$Q$2))</f>
        <v>3067.96869465406</v>
      </c>
      <c r="L217" s="15" t="n">
        <f aca="false">K217*(1+IF(L$3&lt;=$O$2,$D217,$D217-($D217-$I$211)*MIN(L$3-$O$2,$Q$2)/$Q$2))</f>
        <v>3130.03370134692</v>
      </c>
      <c r="M217" s="15" t="n">
        <f aca="false">L217*(1+IF(M$3&lt;=$O$2,$D217,$D217-($D217-$I$211)*MIN(M$3-$O$2,$Q$2)/$Q$2))</f>
        <v>3198.15888485673</v>
      </c>
      <c r="N217" s="15" t="n">
        <f aca="false">M217*(1+IF(N$3&lt;=$O$2,$D217,$D217-($D217-$I$211)*MIN(N$3-$O$2,$Q$2)/$Q$2))</f>
        <v>3272.67598687389</v>
      </c>
      <c r="O217" s="15" t="n">
        <f aca="false">SUMPRODUCT(E217:N217,1/(1+$F$211)^$E$3:$N$3)*$E$2</f>
        <v>14103.8679728711</v>
      </c>
      <c r="P217" s="15" t="n">
        <f aca="false">N217*$E$2*(1+$I$211)/($F$211-$I$211)/(1+$F$211)^$N$3</f>
        <v>23223.7124582332</v>
      </c>
      <c r="Q217" s="15" t="n">
        <f aca="false">O217+P217</f>
        <v>37327.5804311043</v>
      </c>
      <c r="R217" s="15" t="n">
        <f aca="false">Q217-$G$2+$I$2</f>
        <v>38097.5804311043</v>
      </c>
      <c r="S217" s="42" t="n">
        <f aca="false">R217/$K$2</f>
        <v>364.814521029439</v>
      </c>
      <c r="T217" s="43" t="n">
        <f aca="false">S217-$M$2</f>
        <v>72.5613370784668</v>
      </c>
    </row>
    <row r="218" customFormat="false" ht="15" hidden="false" customHeight="false" outlineLevel="0" collapsed="false">
      <c r="A218" s="5" t="n">
        <v>6</v>
      </c>
      <c r="B218" s="25" t="n">
        <f aca="false">IF(T217&gt;0,B217,D217)</f>
        <v>-0.03125</v>
      </c>
      <c r="C218" s="25" t="n">
        <f aca="false">IF(T217&gt;0,D217,C217)</f>
        <v>0.015625</v>
      </c>
      <c r="D218" s="41" t="n">
        <f aca="false">(B218+C218)/2</f>
        <v>-0.0078125</v>
      </c>
      <c r="E218" s="15" t="n">
        <f aca="false">$C$2*(1+IF(E$3&lt;=$O$2,$D218,$D218-($D218-$I$211)*MIN(E$3-$O$2,$Q$2)/$Q$2))</f>
        <v>2718.59375</v>
      </c>
      <c r="F218" s="15" t="n">
        <f aca="false">E218*(1+IF(F$3&lt;=$O$2,$D218,$D218-($D218-$I$211)*MIN(F$3-$O$2,$Q$2)/$Q$2))</f>
        <v>2697.35473632813</v>
      </c>
      <c r="G218" s="15" t="n">
        <f aca="false">F218*(1+IF(G$3&lt;=$O$2,$D218,$D218-($D218-$I$211)*MIN(G$3-$O$2,$Q$2)/$Q$2))</f>
        <v>2676.28165245056</v>
      </c>
      <c r="H218" s="15" t="n">
        <f aca="false">G218*(1+IF(H$3&lt;=$O$2,$D218,$D218-($D218-$I$211)*MIN(H$3-$O$2,$Q$2)/$Q$2))</f>
        <v>2655.37320204079</v>
      </c>
      <c r="I218" s="15" t="n">
        <f aca="false">H218*(1+IF(I$3&lt;=$O$2,$D218,$D218-($D218-$I$211)*MIN(I$3-$O$2,$Q$2)/$Q$2))</f>
        <v>2634.62809889985</v>
      </c>
      <c r="J218" s="15" t="n">
        <f aca="false">I218*(1+IF(J$3&lt;=$O$2,$D218,$D218-($D218-$I$211)*MIN(J$3-$O$2,$Q$2)/$Q$2))</f>
        <v>2630.4390402226</v>
      </c>
      <c r="K218" s="15" t="n">
        <f aca="false">J218*(1+IF(K$3&lt;=$O$2,$D218,$D218-($D218-$I$211)*MIN(K$3-$O$2,$Q$2)/$Q$2))</f>
        <v>2642.62454907643</v>
      </c>
      <c r="L218" s="15" t="n">
        <f aca="false">K218*(1+IF(L$3&lt;=$O$2,$D218,$D218-($D218-$I$211)*MIN(L$3-$O$2,$Q$2)/$Q$2))</f>
        <v>2671.31023855665</v>
      </c>
      <c r="M218" s="15" t="n">
        <f aca="false">L218*(1+IF(M$3&lt;=$O$2,$D218,$D218-($D218-$I$211)*MIN(M$3-$O$2,$Q$2)/$Q$2))</f>
        <v>2716.92953915561</v>
      </c>
      <c r="N218" s="15" t="n">
        <f aca="false">M218*(1+IF(N$3&lt;=$O$2,$D218,$D218-($D218-$I$211)*MIN(N$3-$O$2,$Q$2)/$Q$2))</f>
        <v>2780.23399741793</v>
      </c>
      <c r="O218" s="15" t="n">
        <f aca="false">SUMPRODUCT(E218:N218,1/(1+$F$211)^$E$3:$N$3)*$E$2</f>
        <v>12716.787520545</v>
      </c>
      <c r="P218" s="15" t="n">
        <f aca="false">N218*$E$2*(1+$I$211)/($F$211-$I$211)/(1+$F$211)^$N$3</f>
        <v>19729.2231744316</v>
      </c>
      <c r="Q218" s="15" t="n">
        <f aca="false">O218+P218</f>
        <v>32446.0106949766</v>
      </c>
      <c r="R218" s="15" t="n">
        <f aca="false">Q218-$G$2+$I$2</f>
        <v>33216.0106949766</v>
      </c>
      <c r="S218" s="42" t="n">
        <f aca="false">R218/$K$2</f>
        <v>318.069622665676</v>
      </c>
      <c r="T218" s="43" t="n">
        <f aca="false">S218-$M$2</f>
        <v>25.8164387147042</v>
      </c>
    </row>
    <row r="219" customFormat="false" ht="15" hidden="false" customHeight="false" outlineLevel="0" collapsed="false">
      <c r="A219" s="5" t="n">
        <v>7</v>
      </c>
      <c r="B219" s="25" t="n">
        <f aca="false">IF(T218&gt;0,B218,D218)</f>
        <v>-0.03125</v>
      </c>
      <c r="C219" s="25" t="n">
        <f aca="false">IF(T218&gt;0,D218,C218)</f>
        <v>-0.0078125</v>
      </c>
      <c r="D219" s="41" t="n">
        <f aca="false">(B219+C219)/2</f>
        <v>-0.01953125</v>
      </c>
      <c r="E219" s="15" t="n">
        <f aca="false">$C$2*(1+IF(E$3&lt;=$O$2,$D219,$D219-($D219-$I$211)*MIN(E$3-$O$2,$Q$2)/$Q$2))</f>
        <v>2686.484375</v>
      </c>
      <c r="F219" s="15" t="n">
        <f aca="false">E219*(1+IF(F$3&lt;=$O$2,$D219,$D219-($D219-$I$211)*MIN(F$3-$O$2,$Q$2)/$Q$2))</f>
        <v>2634.01397705078</v>
      </c>
      <c r="G219" s="15" t="n">
        <f aca="false">F219*(1+IF(G$3&lt;=$O$2,$D219,$D219-($D219-$I$211)*MIN(G$3-$O$2,$Q$2)/$Q$2))</f>
        <v>2582.56839156151</v>
      </c>
      <c r="H219" s="15" t="n">
        <f aca="false">G219*(1+IF(H$3&lt;=$O$2,$D219,$D219-($D219-$I$211)*MIN(H$3-$O$2,$Q$2)/$Q$2))</f>
        <v>2532.12760266382</v>
      </c>
      <c r="I219" s="15" t="n">
        <f aca="false">H219*(1+IF(I$3&lt;=$O$2,$D219,$D219-($D219-$I$211)*MIN(I$3-$O$2,$Q$2)/$Q$2))</f>
        <v>2482.67198542429</v>
      </c>
      <c r="J219" s="15" t="n">
        <f aca="false">I219*(1+IF(J$3&lt;=$O$2,$D219,$D219-($D219-$I$211)*MIN(J$3-$O$2,$Q$2)/$Q$2))</f>
        <v>2455.44948710412</v>
      </c>
      <c r="K219" s="15" t="n">
        <f aca="false">J219*(1+IF(K$3&lt;=$O$2,$D219,$D219-($D219-$I$211)*MIN(K$3-$O$2,$Q$2)/$Q$2))</f>
        <v>2449.55947764693</v>
      </c>
      <c r="L219" s="15" t="n">
        <f aca="false">K219*(1+IF(L$3&lt;=$O$2,$D219,$D219-($D219-$I$211)*MIN(L$3-$O$2,$Q$2)/$Q$2))</f>
        <v>2464.66713572531</v>
      </c>
      <c r="M219" s="15" t="n">
        <f aca="false">L219*(1+IF(M$3&lt;=$O$2,$D219,$D219-($D219-$I$211)*MIN(M$3-$O$2,$Q$2)/$Q$2))</f>
        <v>2500.98092513631</v>
      </c>
      <c r="N219" s="15" t="n">
        <f aca="false">M219*(1+IF(N$3&lt;=$O$2,$D219,$D219-($D219-$I$211)*MIN(N$3-$O$2,$Q$2)/$Q$2))</f>
        <v>2559.25378069198</v>
      </c>
      <c r="O219" s="15" t="n">
        <f aca="false">SUMPRODUCT(E219:N219,1/(1+$F$211)^$E$3:$N$3)*$E$2</f>
        <v>12076.2796288525</v>
      </c>
      <c r="P219" s="15" t="n">
        <f aca="false">N219*$E$2*(1+$I$211)/($F$211-$I$211)/(1+$F$211)^$N$3</f>
        <v>18161.0932914903</v>
      </c>
      <c r="Q219" s="15" t="n">
        <f aca="false">O219+P219</f>
        <v>30237.3729203428</v>
      </c>
      <c r="R219" s="15" t="n">
        <f aca="false">Q219-$G$2+$I$2</f>
        <v>31007.3729203428</v>
      </c>
      <c r="S219" s="42" t="n">
        <f aca="false">R219/$K$2</f>
        <v>296.920165856007</v>
      </c>
      <c r="T219" s="43" t="n">
        <f aca="false">S219-$M$2</f>
        <v>4.66698190503524</v>
      </c>
    </row>
    <row r="220" customFormat="false" ht="15" hidden="false" customHeight="false" outlineLevel="0" collapsed="false">
      <c r="A220" s="5" t="n">
        <v>8</v>
      </c>
      <c r="B220" s="25" t="n">
        <f aca="false">IF(T219&gt;0,B219,D219)</f>
        <v>-0.03125</v>
      </c>
      <c r="C220" s="25" t="n">
        <f aca="false">IF(T219&gt;0,D219,C219)</f>
        <v>-0.01953125</v>
      </c>
      <c r="D220" s="41" t="n">
        <f aca="false">(B220+C220)/2</f>
        <v>-0.025390625</v>
      </c>
      <c r="E220" s="15" t="n">
        <f aca="false">$C$2*(1+IF(E$3&lt;=$O$2,$D220,$D220-($D220-$I$211)*MIN(E$3-$O$2,$Q$2)/$Q$2))</f>
        <v>2670.4296875</v>
      </c>
      <c r="F220" s="15" t="n">
        <f aca="false">E220*(1+IF(F$3&lt;=$O$2,$D220,$D220-($D220-$I$211)*MIN(F$3-$O$2,$Q$2)/$Q$2))</f>
        <v>2602.62580871582</v>
      </c>
      <c r="G220" s="15" t="n">
        <f aca="false">F220*(1+IF(G$3&lt;=$O$2,$D220,$D220-($D220-$I$211)*MIN(G$3-$O$2,$Q$2)/$Q$2))</f>
        <v>2536.5435127914</v>
      </c>
      <c r="H220" s="15" t="n">
        <f aca="false">G220*(1+IF(H$3&lt;=$O$2,$D220,$D220-($D220-$I$211)*MIN(H$3-$O$2,$Q$2)/$Q$2))</f>
        <v>2472.13908766193</v>
      </c>
      <c r="I220" s="15" t="n">
        <f aca="false">H220*(1+IF(I$3&lt;=$O$2,$D220,$D220-($D220-$I$211)*MIN(I$3-$O$2,$Q$2)/$Q$2))</f>
        <v>2409.36993113926</v>
      </c>
      <c r="J220" s="15" t="n">
        <f aca="false">I220*(1+IF(J$3&lt;=$O$2,$D220,$D220-($D220-$I$211)*MIN(J$3-$O$2,$Q$2)/$Q$2))</f>
        <v>2371.6572682921</v>
      </c>
      <c r="K220" s="15" t="n">
        <f aca="false">J220*(1+IF(K$3&lt;=$O$2,$D220,$D220-($D220-$I$211)*MIN(K$3-$O$2,$Q$2)/$Q$2))</f>
        <v>2357.63039783595</v>
      </c>
      <c r="L220" s="15" t="n">
        <f aca="false">K220*(1+IF(L$3&lt;=$O$2,$D220,$D220-($D220-$I$211)*MIN(L$3-$O$2,$Q$2)/$Q$2))</f>
        <v>2366.64538706967</v>
      </c>
      <c r="M220" s="15" t="n">
        <f aca="false">L220*(1+IF(M$3&lt;=$O$2,$D220,$D220-($D220-$I$211)*MIN(M$3-$O$2,$Q$2)/$Q$2))</f>
        <v>2398.74153597844</v>
      </c>
      <c r="N220" s="15" t="n">
        <f aca="false">M220*(1+IF(N$3&lt;=$O$2,$D220,$D220-($D220-$I$211)*MIN(N$3-$O$2,$Q$2)/$Q$2))</f>
        <v>2454.63221376674</v>
      </c>
      <c r="O220" s="15" t="n">
        <f aca="false">SUMPRODUCT(E220:N220,1/(1+$F$211)^$E$3:$N$3)*$E$2</f>
        <v>11768.5272291291</v>
      </c>
      <c r="P220" s="15" t="n">
        <f aca="false">N220*$E$2*(1+$I$211)/($F$211-$I$211)/(1+$F$211)^$N$3</f>
        <v>17418.6729611714</v>
      </c>
      <c r="Q220" s="15" t="n">
        <f aca="false">O220+P220</f>
        <v>29187.2001903004</v>
      </c>
      <c r="R220" s="15" t="n">
        <f aca="false">Q220-$G$2+$I$2</f>
        <v>29957.2001903004</v>
      </c>
      <c r="S220" s="42" t="n">
        <f aca="false">R220/$K$2</f>
        <v>286.863929812319</v>
      </c>
      <c r="T220" s="43" t="n">
        <f aca="false">S220-$M$2</f>
        <v>-5.38925413865331</v>
      </c>
    </row>
    <row r="221" customFormat="false" ht="15" hidden="false" customHeight="false" outlineLevel="0" collapsed="false">
      <c r="A221" s="5" t="n">
        <v>9</v>
      </c>
      <c r="B221" s="25" t="n">
        <f aca="false">IF(T220&gt;0,B220,D220)</f>
        <v>-0.025390625</v>
      </c>
      <c r="C221" s="25" t="n">
        <f aca="false">IF(T220&gt;0,D220,C220)</f>
        <v>-0.01953125</v>
      </c>
      <c r="D221" s="41" t="n">
        <f aca="false">(B221+C221)/2</f>
        <v>-0.0224609375</v>
      </c>
      <c r="E221" s="15" t="n">
        <f aca="false">$C$2*(1+IF(E$3&lt;=$O$2,$D221,$D221-($D221-$I$211)*MIN(E$3-$O$2,$Q$2)/$Q$2))</f>
        <v>2678.45703125</v>
      </c>
      <c r="F221" s="15" t="n">
        <f aca="false">E221*(1+IF(F$3&lt;=$O$2,$D221,$D221-($D221-$I$211)*MIN(F$3-$O$2,$Q$2)/$Q$2))</f>
        <v>2618.29637527466</v>
      </c>
      <c r="G221" s="15" t="n">
        <f aca="false">F221*(1+IF(G$3&lt;=$O$2,$D221,$D221-($D221-$I$211)*MIN(G$3-$O$2,$Q$2)/$Q$2))</f>
        <v>2559.48698403314</v>
      </c>
      <c r="H221" s="15" t="n">
        <f aca="false">G221*(1+IF(H$3&lt;=$O$2,$D221,$D221-($D221-$I$211)*MIN(H$3-$O$2,$Q$2)/$Q$2))</f>
        <v>2501.99850685271</v>
      </c>
      <c r="I221" s="15" t="n">
        <f aca="false">H221*(1+IF(I$3&lt;=$O$2,$D221,$D221-($D221-$I$211)*MIN(I$3-$O$2,$Q$2)/$Q$2))</f>
        <v>2445.80127476519</v>
      </c>
      <c r="J221" s="15" t="n">
        <f aca="false">I221*(1+IF(J$3&lt;=$O$2,$D221,$D221-($D221-$I$211)*MIN(J$3-$O$2,$Q$2)/$Q$2))</f>
        <v>2413.25071704966</v>
      </c>
      <c r="K221" s="15" t="n">
        <f aca="false">J221*(1+IF(K$3&lt;=$O$2,$D221,$D221-($D221-$I$211)*MIN(K$3-$O$2,$Q$2)/$Q$2))</f>
        <v>2403.21988961608</v>
      </c>
      <c r="L221" s="15" t="n">
        <f aca="false">K221*(1+IF(L$3&lt;=$O$2,$D221,$D221-($D221-$I$211)*MIN(L$3-$O$2,$Q$2)/$Q$2))</f>
        <v>2415.22547497714</v>
      </c>
      <c r="M221" s="15" t="n">
        <f aca="false">L221*(1+IF(M$3&lt;=$O$2,$D221,$D221-($D221-$I$211)*MIN(M$3-$O$2,$Q$2)/$Q$2))</f>
        <v>2449.39563214234</v>
      </c>
      <c r="N221" s="15" t="n">
        <f aca="false">M221*(1+IF(N$3&lt;=$O$2,$D221,$D221-($D221-$I$211)*MIN(N$3-$O$2,$Q$2)/$Q$2))</f>
        <v>2506.46655037126</v>
      </c>
      <c r="O221" s="15" t="n">
        <f aca="false">SUMPRODUCT(E221:N221,1/(1+$F$211)^$E$3:$N$3)*$E$2</f>
        <v>11921.3833567164</v>
      </c>
      <c r="P221" s="15" t="n">
        <f aca="false">N221*$E$2*(1+$I$211)/($F$211-$I$211)/(1+$F$211)^$N$3</f>
        <v>17786.5021424269</v>
      </c>
      <c r="Q221" s="15" t="n">
        <f aca="false">O221+P221</f>
        <v>29707.8854991433</v>
      </c>
      <c r="R221" s="15" t="n">
        <f aca="false">Q221-$G$2+$I$2</f>
        <v>30477.8854991433</v>
      </c>
      <c r="S221" s="42" t="n">
        <f aca="false">R221/$K$2</f>
        <v>291.849904233873</v>
      </c>
      <c r="T221" s="43" t="n">
        <f aca="false">S221-$M$2</f>
        <v>-0.403279717099451</v>
      </c>
    </row>
    <row r="222" customFormat="false" ht="15" hidden="false" customHeight="false" outlineLevel="0" collapsed="false">
      <c r="A222" s="5" t="n">
        <v>10</v>
      </c>
      <c r="B222" s="25" t="n">
        <f aca="false">IF(T221&gt;0,B221,D221)</f>
        <v>-0.0224609375</v>
      </c>
      <c r="C222" s="25" t="n">
        <f aca="false">IF(T221&gt;0,D221,C221)</f>
        <v>-0.01953125</v>
      </c>
      <c r="D222" s="41" t="n">
        <f aca="false">(B222+C222)/2</f>
        <v>-0.02099609375</v>
      </c>
      <c r="E222" s="15" t="n">
        <f aca="false">$C$2*(1+IF(E$3&lt;=$O$2,$D222,$D222-($D222-$I$211)*MIN(E$3-$O$2,$Q$2)/$Q$2))</f>
        <v>2682.470703125</v>
      </c>
      <c r="F222" s="15" t="n">
        <f aca="false">E222*(1+IF(F$3&lt;=$O$2,$D222,$D222-($D222-$I$211)*MIN(F$3-$O$2,$Q$2)/$Q$2))</f>
        <v>2626.14929676056</v>
      </c>
      <c r="G222" s="15" t="n">
        <f aca="false">F222*(1+IF(G$3&lt;=$O$2,$D222,$D222-($D222-$I$211)*MIN(G$3-$O$2,$Q$2)/$Q$2))</f>
        <v>2571.01041992428</v>
      </c>
      <c r="H222" s="15" t="n">
        <f aca="false">G222*(1+IF(H$3&lt;=$O$2,$D222,$D222-($D222-$I$211)*MIN(H$3-$O$2,$Q$2)/$Q$2))</f>
        <v>2517.02924411532</v>
      </c>
      <c r="I222" s="15" t="n">
        <f aca="false">H222*(1+IF(I$3&lt;=$O$2,$D222,$D222-($D222-$I$211)*MIN(I$3-$O$2,$Q$2)/$Q$2))</f>
        <v>2464.18146213438</v>
      </c>
      <c r="J222" s="15" t="n">
        <f aca="false">I222*(1+IF(J$3&lt;=$O$2,$D222,$D222-($D222-$I$211)*MIN(J$3-$O$2,$Q$2)/$Q$2))</f>
        <v>2434.27399975114</v>
      </c>
      <c r="K222" s="15" t="n">
        <f aca="false">J222*(1+IF(K$3&lt;=$O$2,$D222,$D222-($D222-$I$211)*MIN(K$3-$O$2,$Q$2)/$Q$2))</f>
        <v>2426.29528636164</v>
      </c>
      <c r="L222" s="15" t="n">
        <f aca="false">K222*(1+IF(L$3&lt;=$O$2,$D222,$D222-($D222-$I$211)*MIN(L$3-$O$2,$Q$2)/$Q$2))</f>
        <v>2439.83780514593</v>
      </c>
      <c r="M222" s="15" t="n">
        <f aca="false">L222*(1+IF(M$3&lt;=$O$2,$D222,$D222-($D222-$I$211)*MIN(M$3-$O$2,$Q$2)/$Q$2))</f>
        <v>2475.07096917552</v>
      </c>
      <c r="N222" s="15" t="n">
        <f aca="false">M222*(1+IF(N$3&lt;=$O$2,$D222,$D222-($D222-$I$211)*MIN(N$3-$O$2,$Q$2)/$Q$2))</f>
        <v>2532.74012275731</v>
      </c>
      <c r="O222" s="15" t="n">
        <f aca="false">SUMPRODUCT(E222:N222,1/(1+$F$211)^$E$3:$N$3)*$E$2</f>
        <v>11998.5748655913</v>
      </c>
      <c r="P222" s="15" t="n">
        <f aca="false">N222*$E$2*(1+$I$211)/($F$211-$I$211)/(1+$F$211)^$N$3</f>
        <v>17972.9458639538</v>
      </c>
      <c r="Q222" s="15" t="n">
        <f aca="false">O222+P222</f>
        <v>29971.5207295451</v>
      </c>
      <c r="R222" s="15" t="n">
        <f aca="false">Q222-$G$2+$I$2</f>
        <v>30741.5207295451</v>
      </c>
      <c r="S222" s="42" t="n">
        <f aca="false">R222/$K$2</f>
        <v>294.374420468688</v>
      </c>
      <c r="T222" s="43" t="n">
        <f aca="false">S222-$M$2</f>
        <v>2.12123651771572</v>
      </c>
    </row>
    <row r="223" customFormat="false" ht="15" hidden="false" customHeight="false" outlineLevel="0" collapsed="false">
      <c r="A223" s="5" t="n">
        <v>11</v>
      </c>
      <c r="B223" s="25" t="n">
        <f aca="false">IF(T222&gt;0,B222,D222)</f>
        <v>-0.0224609375</v>
      </c>
      <c r="C223" s="25" t="n">
        <f aca="false">IF(T222&gt;0,D222,C222)</f>
        <v>-0.02099609375</v>
      </c>
      <c r="D223" s="41" t="n">
        <f aca="false">(B223+C223)/2</f>
        <v>-0.021728515625</v>
      </c>
      <c r="E223" s="15" t="n">
        <f aca="false">$C$2*(1+IF(E$3&lt;=$O$2,$D223,$D223-($D223-$I$211)*MIN(E$3-$O$2,$Q$2)/$Q$2))</f>
        <v>2680.4638671875</v>
      </c>
      <c r="F223" s="15" t="n">
        <f aca="false">E223*(1+IF(F$3&lt;=$O$2,$D223,$D223-($D223-$I$211)*MIN(F$3-$O$2,$Q$2)/$Q$2))</f>
        <v>2622.22136616707</v>
      </c>
      <c r="G223" s="15" t="n">
        <f aca="false">F223*(1+IF(G$3&lt;=$O$2,$D223,$D223-($D223-$I$211)*MIN(G$3-$O$2,$Q$2)/$Q$2))</f>
        <v>2565.2443882401</v>
      </c>
      <c r="H223" s="15" t="n">
        <f aca="false">G223*(1+IF(H$3&lt;=$O$2,$D223,$D223-($D223-$I$211)*MIN(H$3-$O$2,$Q$2)/$Q$2))</f>
        <v>2509.50543546828</v>
      </c>
      <c r="I223" s="15" t="n">
        <f aca="false">H223*(1+IF(I$3&lt;=$O$2,$D223,$D223-($D223-$I$211)*MIN(I$3-$O$2,$Q$2)/$Q$2))</f>
        <v>2454.97760740269</v>
      </c>
      <c r="J223" s="15" t="n">
        <f aca="false">I223*(1+IF(J$3&lt;=$O$2,$D223,$D223-($D223-$I$211)*MIN(J$3-$O$2,$Q$2)/$Q$2))</f>
        <v>2423.743387612</v>
      </c>
      <c r="K223" s="15" t="n">
        <f aca="false">J223*(1+IF(K$3&lt;=$O$2,$D223,$D223-($D223-$I$211)*MIN(K$3-$O$2,$Q$2)/$Q$2))</f>
        <v>2414.73406834332</v>
      </c>
      <c r="L223" s="15" t="n">
        <f aca="false">K223*(1+IF(L$3&lt;=$O$2,$D223,$D223-($D223-$I$211)*MIN(L$3-$O$2,$Q$2)/$Q$2))</f>
        <v>2427.50461584507</v>
      </c>
      <c r="M223" s="15" t="n">
        <f aca="false">L223*(1+IF(M$3&lt;=$O$2,$D223,$D223-($D223-$I$211)*MIN(M$3-$O$2,$Q$2)/$Q$2))</f>
        <v>2462.20408748939</v>
      </c>
      <c r="N223" s="15" t="n">
        <f aca="false">M223*(1+IF(N$3&lt;=$O$2,$D223,$D223-($D223-$I$211)*MIN(N$3-$O$2,$Q$2)/$Q$2))</f>
        <v>2519.57344272789</v>
      </c>
      <c r="O223" s="15" t="n">
        <f aca="false">SUMPRODUCT(E223:N223,1/(1+$F$211)^$E$3:$N$3)*$E$2</f>
        <v>11959.9151561886</v>
      </c>
      <c r="P223" s="15" t="n">
        <f aca="false">N223*$E$2*(1+$I$211)/($F$211-$I$211)/(1+$F$211)^$N$3</f>
        <v>17879.5118691865</v>
      </c>
      <c r="Q223" s="15" t="n">
        <f aca="false">O223+P223</f>
        <v>29839.4270253751</v>
      </c>
      <c r="R223" s="15" t="n">
        <f aca="false">Q223-$G$2+$I$2</f>
        <v>30609.4270253751</v>
      </c>
      <c r="S223" s="42" t="n">
        <f aca="false">R223/$K$2</f>
        <v>293.109518580629</v>
      </c>
      <c r="T223" s="43" t="n">
        <f aca="false">S223-$M$2</f>
        <v>0.856334629656885</v>
      </c>
    </row>
    <row r="224" customFormat="false" ht="15" hidden="false" customHeight="false" outlineLevel="0" collapsed="false">
      <c r="A224" s="5" t="n">
        <v>12</v>
      </c>
      <c r="B224" s="25" t="n">
        <f aca="false">IF(T223&gt;0,B223,D223)</f>
        <v>-0.0224609375</v>
      </c>
      <c r="C224" s="25" t="n">
        <f aca="false">IF(T223&gt;0,D223,C223)</f>
        <v>-0.021728515625</v>
      </c>
      <c r="D224" s="41" t="n">
        <f aca="false">(B224+C224)/2</f>
        <v>-0.0220947265625</v>
      </c>
      <c r="E224" s="15" t="n">
        <f aca="false">$C$2*(1+IF(E$3&lt;=$O$2,$D224,$D224-($D224-$I$211)*MIN(E$3-$O$2,$Q$2)/$Q$2))</f>
        <v>2679.46044921875</v>
      </c>
      <c r="F224" s="15" t="n">
        <f aca="false">E224*(1+IF(F$3&lt;=$O$2,$D224,$D224-($D224-$I$211)*MIN(F$3-$O$2,$Q$2)/$Q$2))</f>
        <v>2620.25850325823</v>
      </c>
      <c r="G224" s="15" t="n">
        <f aca="false">F224*(1+IF(G$3&lt;=$O$2,$D224,$D224-($D224-$I$211)*MIN(G$3-$O$2,$Q$2)/$Q$2))</f>
        <v>2562.36460810567</v>
      </c>
      <c r="H224" s="15" t="n">
        <f aca="false">G224*(1+IF(H$3&lt;=$O$2,$D224,$D224-($D224-$I$211)*MIN(H$3-$O$2,$Q$2)/$Q$2))</f>
        <v>2505.74986273615</v>
      </c>
      <c r="I224" s="15" t="n">
        <f aca="false">H224*(1+IF(I$3&lt;=$O$2,$D224,$D224-($D224-$I$211)*MIN(I$3-$O$2,$Q$2)/$Q$2))</f>
        <v>2450.38600468497</v>
      </c>
      <c r="J224" s="15" t="n">
        <f aca="false">I224*(1+IF(J$3&lt;=$O$2,$D224,$D224-($D224-$I$211)*MIN(J$3-$O$2,$Q$2)/$Q$2))</f>
        <v>2418.49231646993</v>
      </c>
      <c r="K224" s="15" t="n">
        <f aca="false">J224*(1+IF(K$3&lt;=$O$2,$D224,$D224-($D224-$I$211)*MIN(K$3-$O$2,$Q$2)/$Q$2))</f>
        <v>2408.97110900389</v>
      </c>
      <c r="L224" s="15" t="n">
        <f aca="false">K224*(1+IF(L$3&lt;=$O$2,$D224,$D224-($D224-$I$211)*MIN(L$3-$O$2,$Q$2)/$Q$2))</f>
        <v>2421.3583019276</v>
      </c>
      <c r="M224" s="15" t="n">
        <f aca="false">L224*(1+IF(M$3&lt;=$O$2,$D224,$D224-($D224-$I$211)*MIN(M$3-$O$2,$Q$2)/$Q$2))</f>
        <v>2455.79257075734</v>
      </c>
      <c r="N224" s="15" t="n">
        <f aca="false">M224*(1+IF(N$3&lt;=$O$2,$D224,$D224-($D224-$I$211)*MIN(N$3-$O$2,$Q$2)/$Q$2))</f>
        <v>2513.01253765599</v>
      </c>
      <c r="O224" s="15" t="n">
        <f aca="false">SUMPRODUCT(E224:N224,1/(1+$F$211)^$E$3:$N$3)*$E$2</f>
        <v>11940.6332928796</v>
      </c>
      <c r="P224" s="15" t="n">
        <f aca="false">N224*$E$2*(1+$I$211)/($F$211-$I$211)/(1+$F$211)^$N$3</f>
        <v>17832.9540756662</v>
      </c>
      <c r="Q224" s="15" t="n">
        <f aca="false">O224+P224</f>
        <v>29773.5873685458</v>
      </c>
      <c r="R224" s="15" t="n">
        <f aca="false">Q224-$G$2+$I$2</f>
        <v>30543.5873685458</v>
      </c>
      <c r="S224" s="42" t="n">
        <f aca="false">R224/$K$2</f>
        <v>292.479051695354</v>
      </c>
      <c r="T224" s="43" t="n">
        <f aca="false">S224-$M$2</f>
        <v>0.225867744381731</v>
      </c>
    </row>
    <row r="225" customFormat="false" ht="15" hidden="false" customHeight="false" outlineLevel="0" collapsed="false">
      <c r="A225" s="5" t="n">
        <v>13</v>
      </c>
      <c r="B225" s="25" t="n">
        <f aca="false">IF(T224&gt;0,B224,D224)</f>
        <v>-0.0224609375</v>
      </c>
      <c r="C225" s="25" t="n">
        <f aca="false">IF(T224&gt;0,D224,C224)</f>
        <v>-0.0220947265625</v>
      </c>
      <c r="D225" s="41" t="n">
        <f aca="false">(B225+C225)/2</f>
        <v>-0.02227783203125</v>
      </c>
      <c r="E225" s="15" t="n">
        <f aca="false">$C$2*(1+IF(E$3&lt;=$O$2,$D225,$D225-($D225-$I$211)*MIN(E$3-$O$2,$Q$2)/$Q$2))</f>
        <v>2678.95874023438</v>
      </c>
      <c r="F225" s="15" t="n">
        <f aca="false">E225*(1+IF(F$3&lt;=$O$2,$D225,$D225-($D225-$I$211)*MIN(F$3-$O$2,$Q$2)/$Q$2))</f>
        <v>2619.27734740078</v>
      </c>
      <c r="G225" s="15" t="n">
        <f aca="false">F225*(1+IF(G$3&lt;=$O$2,$D225,$D225-($D225-$I$211)*MIN(G$3-$O$2,$Q$2)/$Q$2))</f>
        <v>2560.92552661213</v>
      </c>
      <c r="H225" s="15" t="n">
        <f aca="false">G225*(1+IF(H$3&lt;=$O$2,$D225,$D225-($D225-$I$211)*MIN(H$3-$O$2,$Q$2)/$Q$2))</f>
        <v>2503.87365788573</v>
      </c>
      <c r="I225" s="15" t="n">
        <f aca="false">H225*(1+IF(I$3&lt;=$O$2,$D225,$D225-($D225-$I$211)*MIN(I$3-$O$2,$Q$2)/$Q$2))</f>
        <v>2448.09278110788</v>
      </c>
      <c r="J225" s="15" t="n">
        <f aca="false">I225*(1+IF(J$3&lt;=$O$2,$D225,$D225-($D225-$I$211)*MIN(J$3-$O$2,$Q$2)/$Q$2))</f>
        <v>2415.87033364829</v>
      </c>
      <c r="K225" s="15" t="n">
        <f aca="false">J225*(1+IF(K$3&lt;=$O$2,$D225,$D225-($D225-$I$211)*MIN(K$3-$O$2,$Q$2)/$Q$2))</f>
        <v>2406.09403305651</v>
      </c>
      <c r="L225" s="15" t="n">
        <f aca="false">K225*(1+IF(L$3&lt;=$O$2,$D225,$D225-($D225-$I$211)*MIN(L$3-$O$2,$Q$2)/$Q$2))</f>
        <v>2418.29020415071</v>
      </c>
      <c r="M225" s="15" t="n">
        <f aca="false">L225*(1+IF(M$3&lt;=$O$2,$D225,$D225-($D225-$I$211)*MIN(M$3-$O$2,$Q$2)/$Q$2))</f>
        <v>2452.59228096191</v>
      </c>
      <c r="N225" s="15" t="n">
        <f aca="false">M225*(1+IF(N$3&lt;=$O$2,$D225,$D225-($D225-$I$211)*MIN(N$3-$O$2,$Q$2)/$Q$2))</f>
        <v>2509.73768110832</v>
      </c>
      <c r="O225" s="15" t="n">
        <f aca="false">SUMPRODUCT(E225:N225,1/(1+$F$211)^$E$3:$N$3)*$E$2</f>
        <v>11931.004337047</v>
      </c>
      <c r="P225" s="15" t="n">
        <f aca="false">N225*$E$2*(1+$I$211)/($F$211-$I$211)/(1+$F$211)^$N$3</f>
        <v>17809.7148894131</v>
      </c>
      <c r="Q225" s="15" t="n">
        <f aca="false">O225+P225</f>
        <v>29740.7192264601</v>
      </c>
      <c r="R225" s="15" t="n">
        <f aca="false">Q225-$G$2+$I$2</f>
        <v>30510.7192264601</v>
      </c>
      <c r="S225" s="42" t="n">
        <f aca="false">R225/$K$2</f>
        <v>292.164313190272</v>
      </c>
      <c r="T225" s="43" t="n">
        <f aca="false">S225-$M$2</f>
        <v>-0.0888707607001606</v>
      </c>
    </row>
    <row r="226" customFormat="false" ht="15" hidden="false" customHeight="false" outlineLevel="0" collapsed="false">
      <c r="A226" s="5" t="n">
        <v>14</v>
      </c>
      <c r="B226" s="25" t="n">
        <f aca="false">IF(T225&gt;0,B225,D225)</f>
        <v>-0.02227783203125</v>
      </c>
      <c r="C226" s="25" t="n">
        <f aca="false">IF(T225&gt;0,D225,C225)</f>
        <v>-0.0220947265625</v>
      </c>
      <c r="D226" s="41" t="n">
        <f aca="false">(B226+C226)/2</f>
        <v>-0.022186279296875</v>
      </c>
      <c r="E226" s="15" t="n">
        <f aca="false">$C$2*(1+IF(E$3&lt;=$O$2,$D226,$D226-($D226-$I$211)*MIN(E$3-$O$2,$Q$2)/$Q$2))</f>
        <v>2679.20959472656</v>
      </c>
      <c r="F226" s="15" t="n">
        <f aca="false">E226*(1+IF(F$3&lt;=$O$2,$D226,$D226-($D226-$I$211)*MIN(F$3-$O$2,$Q$2)/$Q$2))</f>
        <v>2619.76790236309</v>
      </c>
      <c r="G226" s="15" t="n">
        <f aca="false">F226*(1+IF(G$3&lt;=$O$2,$D226,$D226-($D226-$I$211)*MIN(G$3-$O$2,$Q$2)/$Q$2))</f>
        <v>2561.64499998828</v>
      </c>
      <c r="H226" s="15" t="n">
        <f aca="false">G226*(1+IF(H$3&lt;=$O$2,$D226,$D226-($D226-$I$211)*MIN(H$3-$O$2,$Q$2)/$Q$2))</f>
        <v>2504.81162855909</v>
      </c>
      <c r="I226" s="15" t="n">
        <f aca="false">H226*(1+IF(I$3&lt;=$O$2,$D226,$D226-($D226-$I$211)*MIN(I$3-$O$2,$Q$2)/$Q$2))</f>
        <v>2449.23917818182</v>
      </c>
      <c r="J226" s="15" t="n">
        <f aca="false">I226*(1+IF(J$3&lt;=$O$2,$D226,$D226-($D226-$I$211)*MIN(J$3-$O$2,$Q$2)/$Q$2))</f>
        <v>2417.18102917456</v>
      </c>
      <c r="K226" s="15" t="n">
        <f aca="false">J226*(1+IF(K$3&lt;=$O$2,$D226,$D226-($D226-$I$211)*MIN(K$3-$O$2,$Q$2)/$Q$2))</f>
        <v>2407.53220431184</v>
      </c>
      <c r="L226" s="15" t="n">
        <f aca="false">K226*(1+IF(L$3&lt;=$O$2,$D226,$D226-($D226-$I$211)*MIN(L$3-$O$2,$Q$2)/$Q$2))</f>
        <v>2419.82383176768</v>
      </c>
      <c r="M226" s="15" t="n">
        <f aca="false">L226*(1+IF(M$3&lt;=$O$2,$D226,$D226-($D226-$I$211)*MIN(M$3-$O$2,$Q$2)/$Q$2))</f>
        <v>2454.19197051567</v>
      </c>
      <c r="N226" s="15" t="n">
        <f aca="false">M226*(1+IF(N$3&lt;=$O$2,$D226,$D226-($D226-$I$211)*MIN(N$3-$O$2,$Q$2)/$Q$2))</f>
        <v>2511.37464342868</v>
      </c>
      <c r="O226" s="15" t="n">
        <f aca="false">SUMPRODUCT(E226:N226,1/(1+$F$211)^$E$3:$N$3)*$E$2</f>
        <v>11935.817817633</v>
      </c>
      <c r="P226" s="15" t="n">
        <f aca="false">N226*$E$2*(1+$I$211)/($F$211-$I$211)/(1+$F$211)^$N$3</f>
        <v>17821.3311760194</v>
      </c>
      <c r="Q226" s="15" t="n">
        <f aca="false">O226+P226</f>
        <v>29757.1489936523</v>
      </c>
      <c r="R226" s="15" t="n">
        <f aca="false">Q226-$G$2+$I$2</f>
        <v>30527.1489936523</v>
      </c>
      <c r="S226" s="42" t="n">
        <f aca="false">R226/$K$2</f>
        <v>292.321641230033</v>
      </c>
      <c r="T226" s="43" t="n">
        <f aca="false">S226-$M$2</f>
        <v>0.0684572790607945</v>
      </c>
    </row>
    <row r="227" customFormat="false" ht="15" hidden="false" customHeight="false" outlineLevel="0" collapsed="false">
      <c r="A227" s="5" t="n">
        <v>15</v>
      </c>
      <c r="B227" s="25" t="n">
        <f aca="false">IF(T226&gt;0,B226,D226)</f>
        <v>-0.02227783203125</v>
      </c>
      <c r="C227" s="25" t="n">
        <f aca="false">IF(T226&gt;0,D226,C226)</f>
        <v>-0.022186279296875</v>
      </c>
      <c r="D227" s="41" t="n">
        <f aca="false">(B227+C227)/2</f>
        <v>-0.0222320556640625</v>
      </c>
      <c r="E227" s="15" t="n">
        <f aca="false">$C$2*(1+IF(E$3&lt;=$O$2,$D227,$D227-($D227-$I$211)*MIN(E$3-$O$2,$Q$2)/$Q$2))</f>
        <v>2679.08416748047</v>
      </c>
      <c r="F227" s="15" t="n">
        <f aca="false">E227*(1+IF(F$3&lt;=$O$2,$D227,$D227-($D227-$I$211)*MIN(F$3-$O$2,$Q$2)/$Q$2))</f>
        <v>2619.52261914033</v>
      </c>
      <c r="G227" s="15" t="n">
        <f aca="false">F227*(1+IF(G$3&lt;=$O$2,$D227,$D227-($D227-$I$211)*MIN(G$3-$O$2,$Q$2)/$Q$2))</f>
        <v>2561.28524645834</v>
      </c>
      <c r="H227" s="15" t="n">
        <f aca="false">G227*(1+IF(H$3&lt;=$O$2,$D227,$D227-($D227-$I$211)*MIN(H$3-$O$2,$Q$2)/$Q$2))</f>
        <v>2504.34261028753</v>
      </c>
      <c r="I227" s="15" t="n">
        <f aca="false">H227*(1+IF(I$3&lt;=$O$2,$D227,$D227-($D227-$I$211)*MIN(I$3-$O$2,$Q$2)/$Q$2))</f>
        <v>2448.66592597374</v>
      </c>
      <c r="J227" s="15" t="n">
        <f aca="false">I227*(1+IF(J$3&lt;=$O$2,$D227,$D227-($D227-$I$211)*MIN(J$3-$O$2,$Q$2)/$Q$2))</f>
        <v>2416.52560745362</v>
      </c>
      <c r="K227" s="15" t="n">
        <f aca="false">J227*(1+IF(K$3&lt;=$O$2,$D227,$D227-($D227-$I$211)*MIN(K$3-$O$2,$Q$2)/$Q$2))</f>
        <v>2406.81302702396</v>
      </c>
      <c r="L227" s="15" t="n">
        <f aca="false">K227*(1+IF(L$3&lt;=$O$2,$D227,$D227-($D227-$I$211)*MIN(L$3-$O$2,$Q$2)/$Q$2))</f>
        <v>2419.05691266584</v>
      </c>
      <c r="M227" s="15" t="n">
        <f aca="false">L227*(1+IF(M$3&lt;=$O$2,$D227,$D227-($D227-$I$211)*MIN(M$3-$O$2,$Q$2)/$Q$2))</f>
        <v>2453.39201193055</v>
      </c>
      <c r="N227" s="15" t="n">
        <f aca="false">M227*(1+IF(N$3&lt;=$O$2,$D227,$D227-($D227-$I$211)*MIN(N$3-$O$2,$Q$2)/$Q$2))</f>
        <v>2510.55604580853</v>
      </c>
      <c r="O227" s="15" t="n">
        <f aca="false">SUMPRODUCT(E227:N227,1/(1+$F$211)^$E$3:$N$3)*$E$2</f>
        <v>11933.4108280565</v>
      </c>
      <c r="P227" s="15" t="n">
        <f aca="false">N227*$E$2*(1+$I$211)/($F$211-$I$211)/(1+$F$211)^$N$3</f>
        <v>17815.5222062877</v>
      </c>
      <c r="Q227" s="15" t="n">
        <f aca="false">O227+P227</f>
        <v>29748.9330343442</v>
      </c>
      <c r="R227" s="15" t="n">
        <f aca="false">Q227-$G$2+$I$2</f>
        <v>30518.9330343442</v>
      </c>
      <c r="S227" s="42" t="n">
        <f aca="false">R227/$K$2</f>
        <v>292.242966909357</v>
      </c>
      <c r="T227" s="43" t="n">
        <f aca="false">S227-$M$2</f>
        <v>-0.0102170416147374</v>
      </c>
    </row>
    <row r="228" customFormat="false" ht="15" hidden="false" customHeight="false" outlineLevel="0" collapsed="false">
      <c r="A228" s="5" t="n">
        <v>16</v>
      </c>
      <c r="B228" s="25" t="n">
        <f aca="false">IF(T227&gt;0,B227,D227)</f>
        <v>-0.0222320556640625</v>
      </c>
      <c r="C228" s="25" t="n">
        <f aca="false">IF(T227&gt;0,D227,C227)</f>
        <v>-0.022186279296875</v>
      </c>
      <c r="D228" s="41" t="n">
        <f aca="false">(B228+C228)/2</f>
        <v>-0.0222091674804688</v>
      </c>
      <c r="E228" s="15" t="n">
        <f aca="false">$C$2*(1+IF(E$3&lt;=$O$2,$D228,$D228-($D228-$I$211)*MIN(E$3-$O$2,$Q$2)/$Q$2))</f>
        <v>2679.14688110352</v>
      </c>
      <c r="F228" s="15" t="n">
        <f aca="false">E228*(1+IF(F$3&lt;=$O$2,$D228,$D228-($D228-$I$211)*MIN(F$3-$O$2,$Q$2)/$Q$2))</f>
        <v>2619.64525931631</v>
      </c>
      <c r="G228" s="15" t="n">
        <f aca="false">F228*(1+IF(G$3&lt;=$O$2,$D228,$D228-($D228-$I$211)*MIN(G$3-$O$2,$Q$2)/$Q$2))</f>
        <v>2561.46511901274</v>
      </c>
      <c r="H228" s="15" t="n">
        <f aca="false">G228*(1+IF(H$3&lt;=$O$2,$D228,$D228-($D228-$I$211)*MIN(H$3-$O$2,$Q$2)/$Q$2))</f>
        <v>2504.57711118921</v>
      </c>
      <c r="I228" s="15" t="n">
        <f aca="false">H228*(1+IF(I$3&lt;=$O$2,$D228,$D228-($D228-$I$211)*MIN(I$3-$O$2,$Q$2)/$Q$2))</f>
        <v>2448.95253865906</v>
      </c>
      <c r="J228" s="15" t="n">
        <f aca="false">I228*(1+IF(J$3&lt;=$O$2,$D228,$D228-($D228-$I$211)*MIN(J$3-$O$2,$Q$2)/$Q$2))</f>
        <v>2416.85329982297</v>
      </c>
      <c r="K228" s="15" t="n">
        <f aca="false">J228*(1+IF(K$3&lt;=$O$2,$D228,$D228-($D228-$I$211)*MIN(K$3-$O$2,$Q$2)/$Q$2))</f>
        <v>2407.17259275043</v>
      </c>
      <c r="L228" s="15" t="n">
        <f aca="false">K228*(1+IF(L$3&lt;=$O$2,$D228,$D228-($D228-$I$211)*MIN(L$3-$O$2,$Q$2)/$Q$2))</f>
        <v>2419.44034589036</v>
      </c>
      <c r="M228" s="15" t="n">
        <f aca="false">L228*(1+IF(M$3&lt;=$O$2,$D228,$D228-($D228-$I$211)*MIN(M$3-$O$2,$Q$2)/$Q$2))</f>
        <v>2453.79196276758</v>
      </c>
      <c r="N228" s="15" t="n">
        <f aca="false">M228*(1+IF(N$3&lt;=$O$2,$D228,$D228-($D228-$I$211)*MIN(N$3-$O$2,$Q$2)/$Q$2))</f>
        <v>2510.96531550007</v>
      </c>
      <c r="O228" s="15" t="n">
        <f aca="false">SUMPRODUCT(E228:N228,1/(1+$F$211)^$E$3:$N$3)*$E$2</f>
        <v>11934.6142605177</v>
      </c>
      <c r="P228" s="15" t="n">
        <f aca="false">N228*$E$2*(1+$I$211)/($F$211-$I$211)/(1+$F$211)^$N$3</f>
        <v>17818.4264845212</v>
      </c>
      <c r="Q228" s="15" t="n">
        <f aca="false">O228+P228</f>
        <v>29753.0407450389</v>
      </c>
      <c r="R228" s="15" t="n">
        <f aca="false">Q228-$G$2+$I$2</f>
        <v>30523.0407450389</v>
      </c>
      <c r="S228" s="42" t="n">
        <f aca="false">R228/$K$2</f>
        <v>292.282301494196</v>
      </c>
      <c r="T228" s="43" t="n">
        <f aca="false">S228-$M$2</f>
        <v>0.0291175432242881</v>
      </c>
    </row>
    <row r="229" customFormat="false" ht="15" hidden="false" customHeight="false" outlineLevel="0" collapsed="false">
      <c r="A229" s="5" t="n">
        <v>17</v>
      </c>
      <c r="B229" s="25" t="n">
        <f aca="false">IF(T228&gt;0,B228,D228)</f>
        <v>-0.0222320556640625</v>
      </c>
      <c r="C229" s="25" t="n">
        <f aca="false">IF(T228&gt;0,D228,C228)</f>
        <v>-0.0222091674804688</v>
      </c>
      <c r="D229" s="41" t="n">
        <f aca="false">(B229+C229)/2</f>
        <v>-0.0222206115722656</v>
      </c>
      <c r="E229" s="15" t="n">
        <f aca="false">$C$2*(1+IF(E$3&lt;=$O$2,$D229,$D229-($D229-$I$211)*MIN(E$3-$O$2,$Q$2)/$Q$2))</f>
        <v>2679.11552429199</v>
      </c>
      <c r="F229" s="15" t="n">
        <f aca="false">E229*(1+IF(F$3&lt;=$O$2,$D229,$D229-($D229-$I$211)*MIN(F$3-$O$2,$Q$2)/$Q$2))</f>
        <v>2619.58393886947</v>
      </c>
      <c r="G229" s="15" t="n">
        <f aca="false">F229*(1+IF(G$3&lt;=$O$2,$D229,$D229-($D229-$I$211)*MIN(G$3-$O$2,$Q$2)/$Q$2))</f>
        <v>2561.37518168291</v>
      </c>
      <c r="H229" s="15" t="n">
        <f aca="false">G229*(1+IF(H$3&lt;=$O$2,$D229,$D229-($D229-$I$211)*MIN(H$3-$O$2,$Q$2)/$Q$2))</f>
        <v>2504.45985867989</v>
      </c>
      <c r="I229" s="15" t="n">
        <f aca="false">H229*(1+IF(I$3&lt;=$O$2,$D229,$D229-($D229-$I$211)*MIN(I$3-$O$2,$Q$2)/$Q$2))</f>
        <v>2448.80922896183</v>
      </c>
      <c r="J229" s="15" t="n">
        <f aca="false">I229*(1+IF(J$3&lt;=$O$2,$D229,$D229-($D229-$I$211)*MIN(J$3-$O$2,$Q$2)/$Q$2))</f>
        <v>2416.68944901572</v>
      </c>
      <c r="K229" s="15" t="n">
        <f aca="false">J229*(1+IF(K$3&lt;=$O$2,$D229,$D229-($D229-$I$211)*MIN(K$3-$O$2,$Q$2)/$Q$2))</f>
        <v>2406.99280415813</v>
      </c>
      <c r="L229" s="15" t="n">
        <f aca="false">K229*(1+IF(L$3&lt;=$O$2,$D229,$D229-($D229-$I$211)*MIN(L$3-$O$2,$Q$2)/$Q$2))</f>
        <v>2419.24862269688</v>
      </c>
      <c r="M229" s="15" t="n">
        <f aca="false">L229*(1+IF(M$3&lt;=$O$2,$D229,$D229-($D229-$I$211)*MIN(M$3-$O$2,$Q$2)/$Q$2))</f>
        <v>2453.59198023562</v>
      </c>
      <c r="N229" s="15" t="n">
        <f aca="false">M229*(1+IF(N$3&lt;=$O$2,$D229,$D229-($D229-$I$211)*MIN(N$3-$O$2,$Q$2)/$Q$2))</f>
        <v>2510.76067337511</v>
      </c>
      <c r="O229" s="15" t="n">
        <f aca="false">SUMPRODUCT(E229:N229,1/(1+$F$211)^$E$3:$N$3)*$E$2</f>
        <v>11934.0125287061</v>
      </c>
      <c r="P229" s="15" t="n">
        <f aca="false">N229*$E$2*(1+$I$211)/($F$211-$I$211)/(1+$F$211)^$N$3</f>
        <v>17816.9742937495</v>
      </c>
      <c r="Q229" s="15" t="n">
        <f aca="false">O229+P229</f>
        <v>29750.9868224556</v>
      </c>
      <c r="R229" s="15" t="n">
        <f aca="false">Q229-$G$2+$I$2</f>
        <v>30520.9868224556</v>
      </c>
      <c r="S229" s="42" t="n">
        <f aca="false">R229/$K$2</f>
        <v>292.26263355794</v>
      </c>
      <c r="T229" s="43" t="n">
        <f aca="false">S229-$M$2</f>
        <v>0.00944960696756425</v>
      </c>
    </row>
    <row r="230" customFormat="false" ht="15" hidden="false" customHeight="false" outlineLevel="0" collapsed="false">
      <c r="A230" s="5" t="n">
        <v>18</v>
      </c>
      <c r="B230" s="25" t="n">
        <f aca="false">IF(T229&gt;0,B229,D229)</f>
        <v>-0.0222320556640625</v>
      </c>
      <c r="C230" s="25" t="n">
        <f aca="false">IF(T229&gt;0,D229,C229)</f>
        <v>-0.0222206115722656</v>
      </c>
      <c r="D230" s="41" t="n">
        <f aca="false">(B230+C230)/2</f>
        <v>-0.0222263336181641</v>
      </c>
      <c r="E230" s="15" t="n">
        <f aca="false">$C$2*(1+IF(E$3&lt;=$O$2,$D230,$D230-($D230-$I$211)*MIN(E$3-$O$2,$Q$2)/$Q$2))</f>
        <v>2679.09984588623</v>
      </c>
      <c r="F230" s="15" t="n">
        <f aca="false">E230*(1+IF(F$3&lt;=$O$2,$D230,$D230-($D230-$I$211)*MIN(F$3-$O$2,$Q$2)/$Q$2))</f>
        <v>2619.55327891519</v>
      </c>
      <c r="G230" s="15" t="n">
        <f aca="false">F230*(1+IF(G$3&lt;=$O$2,$D230,$D230-($D230-$I$211)*MIN(G$3-$O$2,$Q$2)/$Q$2))</f>
        <v>2561.33021380747</v>
      </c>
      <c r="H230" s="15" t="n">
        <f aca="false">G230*(1+IF(H$3&lt;=$O$2,$D230,$D230-($D230-$I$211)*MIN(H$3-$O$2,$Q$2)/$Q$2))</f>
        <v>2504.4012339691</v>
      </c>
      <c r="I230" s="15" t="n">
        <f aca="false">H230*(1+IF(I$3&lt;=$O$2,$D230,$D230-($D230-$I$211)*MIN(I$3-$O$2,$Q$2)/$Q$2))</f>
        <v>2448.73757662916</v>
      </c>
      <c r="J230" s="15" t="n">
        <f aca="false">I230*(1+IF(J$3&lt;=$O$2,$D230,$D230-($D230-$I$211)*MIN(J$3-$O$2,$Q$2)/$Q$2))</f>
        <v>2416.60752707906</v>
      </c>
      <c r="K230" s="15" t="n">
        <f aca="false">J230*(1+IF(K$3&lt;=$O$2,$D230,$D230-($D230-$I$211)*MIN(K$3-$O$2,$Q$2)/$Q$2))</f>
        <v>2406.90291415882</v>
      </c>
      <c r="L230" s="15" t="n">
        <f aca="false">K230*(1+IF(L$3&lt;=$O$2,$D230,$D230-($D230-$I$211)*MIN(L$3-$O$2,$Q$2)/$Q$2))</f>
        <v>2419.15276603611</v>
      </c>
      <c r="M230" s="15" t="n">
        <f aca="false">L230*(1+IF(M$3&lt;=$O$2,$D230,$D230-($D230-$I$211)*MIN(M$3-$O$2,$Q$2)/$Q$2))</f>
        <v>2453.49199430478</v>
      </c>
      <c r="N230" s="15" t="n">
        <f aca="false">M230*(1+IF(N$3&lt;=$O$2,$D230,$D230-($D230-$I$211)*MIN(N$3-$O$2,$Q$2)/$Q$2))</f>
        <v>2510.65835777208</v>
      </c>
      <c r="O230" s="15" t="n">
        <f aca="false">SUMPRODUCT(E230:N230,1/(1+$F$211)^$E$3:$N$3)*$E$2</f>
        <v>11933.7116744862</v>
      </c>
      <c r="P230" s="15" t="n">
        <f aca="false">N230*$E$2*(1+$I$211)/($F$211-$I$211)/(1+$F$211)^$N$3</f>
        <v>17816.2482371052</v>
      </c>
      <c r="Q230" s="15" t="n">
        <f aca="false">O230+P230</f>
        <v>29749.9599115914</v>
      </c>
      <c r="R230" s="15" t="n">
        <f aca="false">Q230-$G$2+$I$2</f>
        <v>30519.9599115914</v>
      </c>
      <c r="S230" s="42" t="n">
        <f aca="false">R230/$K$2</f>
        <v>292.252800072694</v>
      </c>
      <c r="T230" s="43" t="n">
        <f aca="false">S230-$M$2</f>
        <v>-0.000383878278228167</v>
      </c>
    </row>
    <row r="231" customFormat="false" ht="15" hidden="false" customHeight="false" outlineLevel="0" collapsed="false">
      <c r="A231" s="5" t="n">
        <v>19</v>
      </c>
      <c r="B231" s="25" t="n">
        <f aca="false">IF(T230&gt;0,B230,D230)</f>
        <v>-0.0222263336181641</v>
      </c>
      <c r="C231" s="25" t="n">
        <f aca="false">IF(T230&gt;0,D230,C230)</f>
        <v>-0.0222206115722656</v>
      </c>
      <c r="D231" s="41" t="n">
        <f aca="false">(B231+C231)/2</f>
        <v>-0.0222234725952148</v>
      </c>
      <c r="E231" s="15" t="n">
        <f aca="false">$C$2*(1+IF(E$3&lt;=$O$2,$D231,$D231-($D231-$I$211)*MIN(E$3-$O$2,$Q$2)/$Q$2))</f>
        <v>2679.10768508911</v>
      </c>
      <c r="F231" s="15" t="n">
        <f aca="false">E231*(1+IF(F$3&lt;=$O$2,$D231,$D231-($D231-$I$211)*MIN(F$3-$O$2,$Q$2)/$Q$2))</f>
        <v>2619.5686088699</v>
      </c>
      <c r="G231" s="15" t="n">
        <f aca="false">F231*(1+IF(G$3&lt;=$O$2,$D231,$D231-($D231-$I$211)*MIN(G$3-$O$2,$Q$2)/$Q$2))</f>
        <v>2561.3526976794</v>
      </c>
      <c r="H231" s="15" t="n">
        <f aca="false">G231*(1+IF(H$3&lt;=$O$2,$D231,$D231-($D231-$I$211)*MIN(H$3-$O$2,$Q$2)/$Q$2))</f>
        <v>2504.43054619584</v>
      </c>
      <c r="I231" s="15" t="n">
        <f aca="false">H231*(1+IF(I$3&lt;=$O$2,$D231,$D231-($D231-$I$211)*MIN(I$3-$O$2,$Q$2)/$Q$2))</f>
        <v>2448.77340258584</v>
      </c>
      <c r="J231" s="15" t="n">
        <f aca="false">I231*(1+IF(J$3&lt;=$O$2,$D231,$D231-($D231-$I$211)*MIN(J$3-$O$2,$Q$2)/$Q$2))</f>
        <v>2416.64848775848</v>
      </c>
      <c r="K231" s="15" t="n">
        <f aca="false">J231*(1+IF(K$3&lt;=$O$2,$D231,$D231-($D231-$I$211)*MIN(K$3-$O$2,$Q$2)/$Q$2))</f>
        <v>2406.94785880041</v>
      </c>
      <c r="L231" s="15" t="n">
        <f aca="false">K231*(1+IF(L$3&lt;=$O$2,$D231,$D231-($D231-$I$211)*MIN(L$3-$O$2,$Q$2)/$Q$2))</f>
        <v>2419.20069395518</v>
      </c>
      <c r="M231" s="15" t="n">
        <f aca="false">L231*(1+IF(M$3&lt;=$O$2,$D231,$D231-($D231-$I$211)*MIN(M$3-$O$2,$Q$2)/$Q$2))</f>
        <v>2453.54198682561</v>
      </c>
      <c r="N231" s="15" t="n">
        <f aca="false">M231*(1+IF(N$3&lt;=$O$2,$D231,$D231-($D231-$I$211)*MIN(N$3-$O$2,$Q$2)/$Q$2))</f>
        <v>2510.70951511865</v>
      </c>
      <c r="O231" s="15" t="n">
        <f aca="false">SUMPRODUCT(E231:N231,1/(1+$F$211)^$E$3:$N$3)*$E$2</f>
        <v>11933.8621006224</v>
      </c>
      <c r="P231" s="15" t="n">
        <f aca="false">N231*$E$2*(1+$I$211)/($F$211-$I$211)/(1+$F$211)^$N$3</f>
        <v>17816.611262199</v>
      </c>
      <c r="Q231" s="15" t="n">
        <f aca="false">O231+P231</f>
        <v>29750.4733628213</v>
      </c>
      <c r="R231" s="15" t="n">
        <f aca="false">Q231-$G$2+$I$2</f>
        <v>30520.4733628213</v>
      </c>
      <c r="S231" s="42" t="n">
        <f aca="false">R231/$K$2</f>
        <v>292.257716775078</v>
      </c>
      <c r="T231" s="43" t="n">
        <f aca="false">S231-$M$2</f>
        <v>0.00453282410546763</v>
      </c>
    </row>
    <row r="232" customFormat="false" ht="15" hidden="false" customHeight="false" outlineLevel="0" collapsed="false">
      <c r="A232" s="5" t="n">
        <v>20</v>
      </c>
      <c r="B232" s="25" t="n">
        <f aca="false">IF(T231&gt;0,B231,D231)</f>
        <v>-0.0222263336181641</v>
      </c>
      <c r="C232" s="25" t="n">
        <f aca="false">IF(T231&gt;0,D231,C231)</f>
        <v>-0.0222234725952148</v>
      </c>
      <c r="D232" s="41" t="n">
        <f aca="false">(B232+C232)/2</f>
        <v>-0.0222249031066895</v>
      </c>
      <c r="E232" s="15" t="n">
        <f aca="false">$C$2*(1+IF(E$3&lt;=$O$2,$D232,$D232-($D232-$I$211)*MIN(E$3-$O$2,$Q$2)/$Q$2))</f>
        <v>2679.10376548767</v>
      </c>
      <c r="F232" s="15" t="n">
        <f aca="false">E232*(1+IF(F$3&lt;=$O$2,$D232,$D232-($D232-$I$211)*MIN(F$3-$O$2,$Q$2)/$Q$2))</f>
        <v>2619.56094388694</v>
      </c>
      <c r="G232" s="15" t="n">
        <f aca="false">F232*(1+IF(G$3&lt;=$O$2,$D232,$D232-($D232-$I$211)*MIN(G$3-$O$2,$Q$2)/$Q$2))</f>
        <v>2561.34145572699</v>
      </c>
      <c r="H232" s="15" t="n">
        <f aca="false">G232*(1+IF(H$3&lt;=$O$2,$D232,$D232-($D232-$I$211)*MIN(H$3-$O$2,$Q$2)/$Q$2))</f>
        <v>2504.41589005031</v>
      </c>
      <c r="I232" s="15" t="n">
        <f aca="false">H232*(1+IF(I$3&lt;=$O$2,$D232,$D232-($D232-$I$211)*MIN(I$3-$O$2,$Q$2)/$Q$2))</f>
        <v>2448.75548955508</v>
      </c>
      <c r="J232" s="15" t="n">
        <f aca="false">I232*(1+IF(J$3&lt;=$O$2,$D232,$D232-($D232-$I$211)*MIN(J$3-$O$2,$Q$2)/$Q$2))</f>
        <v>2416.62800734654</v>
      </c>
      <c r="K232" s="15" t="n">
        <f aca="false">J232*(1+IF(K$3&lt;=$O$2,$D232,$D232-($D232-$I$211)*MIN(K$3-$O$2,$Q$2)/$Q$2))</f>
        <v>2406.9253863901</v>
      </c>
      <c r="L232" s="15" t="n">
        <f aca="false">K232*(1+IF(L$3&lt;=$O$2,$D232,$D232-($D232-$I$211)*MIN(L$3-$O$2,$Q$2)/$Q$2))</f>
        <v>2419.17672989281</v>
      </c>
      <c r="M232" s="15" t="n">
        <f aca="false">L232*(1+IF(M$3&lt;=$O$2,$D232,$D232-($D232-$I$211)*MIN(M$3-$O$2,$Q$2)/$Q$2))</f>
        <v>2453.51699045405</v>
      </c>
      <c r="N232" s="15" t="n">
        <f aca="false">M232*(1+IF(N$3&lt;=$O$2,$D232,$D232-($D232-$I$211)*MIN(N$3-$O$2,$Q$2)/$Q$2))</f>
        <v>2510.68393633163</v>
      </c>
      <c r="O232" s="15" t="n">
        <f aca="false">SUMPRODUCT(E232:N232,1/(1+$F$211)^$E$3:$N$3)*$E$2</f>
        <v>11933.7868873108</v>
      </c>
      <c r="P232" s="15" t="n">
        <f aca="false">N232*$E$2*(1+$I$211)/($F$211-$I$211)/(1+$F$211)^$N$3</f>
        <v>17816.429748845</v>
      </c>
      <c r="Q232" s="15" t="n">
        <f aca="false">O232+P232</f>
        <v>29750.2166361559</v>
      </c>
      <c r="R232" s="15" t="n">
        <f aca="false">Q232-$G$2+$I$2</f>
        <v>30520.2166361559</v>
      </c>
      <c r="S232" s="42" t="n">
        <f aca="false">R232/$K$2</f>
        <v>292.255258413826</v>
      </c>
      <c r="T232" s="43" t="n">
        <f aca="false">S232-$M$2</f>
        <v>0.00207446285395463</v>
      </c>
    </row>
    <row r="233" customFormat="false" ht="15" hidden="false" customHeight="false" outlineLevel="0" collapsed="false">
      <c r="A233" s="5" t="n">
        <v>21</v>
      </c>
      <c r="B233" s="25" t="n">
        <f aca="false">IF(T232&gt;0,B232,D232)</f>
        <v>-0.0222263336181641</v>
      </c>
      <c r="C233" s="25" t="n">
        <f aca="false">IF(T232&gt;0,D232,C232)</f>
        <v>-0.0222249031066895</v>
      </c>
      <c r="D233" s="41" t="n">
        <f aca="false">(B233+C233)/2</f>
        <v>-0.0222256183624268</v>
      </c>
      <c r="E233" s="15" t="n">
        <f aca="false">$C$2*(1+IF(E$3&lt;=$O$2,$D233,$D233-($D233-$I$211)*MIN(E$3-$O$2,$Q$2)/$Q$2))</f>
        <v>2679.10180568695</v>
      </c>
      <c r="F233" s="15" t="n">
        <f aca="false">E233*(1+IF(F$3&lt;=$O$2,$D233,$D233-($D233-$I$211)*MIN(F$3-$O$2,$Q$2)/$Q$2))</f>
        <v>2619.55711139966</v>
      </c>
      <c r="G233" s="15" t="n">
        <f aca="false">F233*(1+IF(G$3&lt;=$O$2,$D233,$D233-($D233-$I$211)*MIN(G$3-$O$2,$Q$2)/$Q$2))</f>
        <v>2561.33583476311</v>
      </c>
      <c r="H233" s="15" t="n">
        <f aca="false">G233*(1+IF(H$3&lt;=$O$2,$D233,$D233-($D233-$I$211)*MIN(H$3-$O$2,$Q$2)/$Q$2))</f>
        <v>2504.40856200166</v>
      </c>
      <c r="I233" s="15" t="n">
        <f aca="false">H233*(1+IF(I$3&lt;=$O$2,$D233,$D233-($D233-$I$211)*MIN(I$3-$O$2,$Q$2)/$Q$2))</f>
        <v>2448.74653307902</v>
      </c>
      <c r="J233" s="15" t="n">
        <f aca="false">I233*(1+IF(J$3&lt;=$O$2,$D233,$D233-($D233-$I$211)*MIN(J$3-$O$2,$Q$2)/$Q$2))</f>
        <v>2416.61776719474</v>
      </c>
      <c r="K233" s="15" t="n">
        <f aca="false">J233*(1+IF(K$3&lt;=$O$2,$D233,$D233-($D233-$I$211)*MIN(K$3-$O$2,$Q$2)/$Q$2))</f>
        <v>2406.91415025208</v>
      </c>
      <c r="L233" s="15" t="n">
        <f aca="false">K233*(1+IF(L$3&lt;=$O$2,$D233,$D233-($D233-$I$211)*MIN(L$3-$O$2,$Q$2)/$Q$2))</f>
        <v>2419.16474793875</v>
      </c>
      <c r="M233" s="15" t="n">
        <f aca="false">L233*(1+IF(M$3&lt;=$O$2,$D233,$D233-($D233-$I$211)*MIN(M$3-$O$2,$Q$2)/$Q$2))</f>
        <v>2453.50449235163</v>
      </c>
      <c r="N233" s="15" t="n">
        <f aca="false">M233*(1+IF(N$3&lt;=$O$2,$D233,$D233-($D233-$I$211)*MIN(N$3-$O$2,$Q$2)/$Q$2))</f>
        <v>2510.67114702342</v>
      </c>
      <c r="O233" s="15" t="n">
        <f aca="false">SUMPRODUCT(E233:N233,1/(1+$F$211)^$E$3:$N$3)*$E$2</f>
        <v>11933.7492808376</v>
      </c>
      <c r="P233" s="15" t="n">
        <f aca="false">N233*$E$2*(1+$I$211)/($F$211-$I$211)/(1+$F$211)^$N$3</f>
        <v>17816.3389927734</v>
      </c>
      <c r="Q233" s="15" t="n">
        <f aca="false">O233+P233</f>
        <v>29750.088273611</v>
      </c>
      <c r="R233" s="15" t="n">
        <f aca="false">Q233-$G$2+$I$2</f>
        <v>30520.088273611</v>
      </c>
      <c r="S233" s="42" t="n">
        <f aca="false">R233/$K$2</f>
        <v>292.254029240745</v>
      </c>
      <c r="T233" s="43" t="n">
        <f aca="false">S233-$M$2</f>
        <v>0.000845289772883007</v>
      </c>
    </row>
    <row r="234" customFormat="false" ht="15" hidden="false" customHeight="false" outlineLevel="0" collapsed="false">
      <c r="A234" s="5" t="n">
        <v>22</v>
      </c>
      <c r="B234" s="25" t="n">
        <f aca="false">IF(T233&gt;0,B233,D233)</f>
        <v>-0.0222263336181641</v>
      </c>
      <c r="C234" s="25" t="n">
        <f aca="false">IF(T233&gt;0,D233,C233)</f>
        <v>-0.0222256183624268</v>
      </c>
      <c r="D234" s="41" t="n">
        <f aca="false">(B234+C234)/2</f>
        <v>-0.0222259759902954</v>
      </c>
      <c r="E234" s="15" t="n">
        <f aca="false">$C$2*(1+IF(E$3&lt;=$O$2,$D234,$D234-($D234-$I$211)*MIN(E$3-$O$2,$Q$2)/$Q$2))</f>
        <v>2679.10082578659</v>
      </c>
      <c r="F234" s="15" t="n">
        <f aca="false">E234*(1+IF(F$3&lt;=$O$2,$D234,$D234-($D234-$I$211)*MIN(F$3-$O$2,$Q$2)/$Q$2))</f>
        <v>2619.55519515708</v>
      </c>
      <c r="G234" s="15" t="n">
        <f aca="false">F234*(1+IF(G$3&lt;=$O$2,$D234,$D234-($D234-$I$211)*MIN(G$3-$O$2,$Q$2)/$Q$2))</f>
        <v>2561.33302428426</v>
      </c>
      <c r="H234" s="15" t="n">
        <f aca="false">G234*(1+IF(H$3&lt;=$O$2,$D234,$D234-($D234-$I$211)*MIN(H$3-$O$2,$Q$2)/$Q$2))</f>
        <v>2504.40489798337</v>
      </c>
      <c r="I234" s="15" t="n">
        <f aca="false">H234*(1+IF(I$3&lt;=$O$2,$D234,$D234-($D234-$I$211)*MIN(I$3-$O$2,$Q$2)/$Q$2))</f>
        <v>2448.74205485081</v>
      </c>
      <c r="J234" s="15" t="n">
        <f aca="false">I234*(1+IF(J$3&lt;=$O$2,$D234,$D234-($D234-$I$211)*MIN(J$3-$O$2,$Q$2)/$Q$2))</f>
        <v>2416.61264713239</v>
      </c>
      <c r="K234" s="15" t="n">
        <f aca="false">J234*(1+IF(K$3&lt;=$O$2,$D234,$D234-($D234-$I$211)*MIN(K$3-$O$2,$Q$2)/$Q$2))</f>
        <v>2406.90853219985</v>
      </c>
      <c r="L234" s="15" t="n">
        <f aca="false">K234*(1+IF(L$3&lt;=$O$2,$D234,$D234-($D234-$I$211)*MIN(L$3-$O$2,$Q$2)/$Q$2))</f>
        <v>2419.158756981</v>
      </c>
      <c r="M234" s="15" t="n">
        <f aca="false">L234*(1+IF(M$3&lt;=$O$2,$D234,$D234-($D234-$I$211)*MIN(M$3-$O$2,$Q$2)/$Q$2))</f>
        <v>2453.49824332126</v>
      </c>
      <c r="N234" s="15" t="n">
        <f aca="false">M234*(1+IF(N$3&lt;=$O$2,$D234,$D234-($D234-$I$211)*MIN(N$3-$O$2,$Q$2)/$Q$2))</f>
        <v>2510.66475239064</v>
      </c>
      <c r="O234" s="15" t="n">
        <f aca="false">SUMPRODUCT(E234:N234,1/(1+$F$211)^$E$3:$N$3)*$E$2</f>
        <v>11933.7304776467</v>
      </c>
      <c r="P234" s="15" t="n">
        <f aca="false">N234*$E$2*(1+$I$211)/($F$211-$I$211)/(1+$F$211)^$N$3</f>
        <v>17816.2936148889</v>
      </c>
      <c r="Q234" s="15" t="n">
        <f aca="false">O234+P234</f>
        <v>29750.0240925356</v>
      </c>
      <c r="R234" s="15" t="n">
        <f aca="false">Q234-$G$2+$I$2</f>
        <v>30520.0240925356</v>
      </c>
      <c r="S234" s="42" t="n">
        <f aca="false">R234/$K$2</f>
        <v>292.253414656091</v>
      </c>
      <c r="T234" s="43" t="n">
        <f aca="false">S234-$M$2</f>
        <v>0.000230705118667629</v>
      </c>
    </row>
    <row r="235" customFormat="false" ht="15" hidden="false" customHeight="false" outlineLevel="0" collapsed="false">
      <c r="A235" s="5" t="n">
        <v>23</v>
      </c>
      <c r="B235" s="25" t="n">
        <f aca="false">IF(T234&gt;0,B234,D234)</f>
        <v>-0.0222263336181641</v>
      </c>
      <c r="C235" s="25" t="n">
        <f aca="false">IF(T234&gt;0,D234,C234)</f>
        <v>-0.0222259759902954</v>
      </c>
      <c r="D235" s="41" t="n">
        <f aca="false">(B235+C235)/2</f>
        <v>-0.0222261548042297</v>
      </c>
      <c r="E235" s="15" t="n">
        <f aca="false">$C$2*(1+IF(E$3&lt;=$O$2,$D235,$D235-($D235-$I$211)*MIN(E$3-$O$2,$Q$2)/$Q$2))</f>
        <v>2679.10033583641</v>
      </c>
      <c r="F235" s="15" t="n">
        <f aca="false">E235*(1+IF(F$3&lt;=$O$2,$D235,$D235-($D235-$I$211)*MIN(F$3-$O$2,$Q$2)/$Q$2))</f>
        <v>2619.55423703605</v>
      </c>
      <c r="G235" s="15" t="n">
        <f aca="false">F235*(1+IF(G$3&lt;=$O$2,$D235,$D235-($D235-$I$211)*MIN(G$3-$O$2,$Q$2)/$Q$2))</f>
        <v>2561.33161904561</v>
      </c>
      <c r="H235" s="15" t="n">
        <f aca="false">G235*(1+IF(H$3&lt;=$O$2,$D235,$D235-($D235-$I$211)*MIN(H$3-$O$2,$Q$2)/$Q$2))</f>
        <v>2504.40306597573</v>
      </c>
      <c r="I235" s="15" t="n">
        <f aca="false">H235*(1+IF(I$3&lt;=$O$2,$D235,$D235-($D235-$I$211)*MIN(I$3-$O$2,$Q$2)/$Q$2))</f>
        <v>2448.73981573917</v>
      </c>
      <c r="J235" s="15" t="n">
        <f aca="false">I235*(1+IF(J$3&lt;=$O$2,$D235,$D235-($D235-$I$211)*MIN(J$3-$O$2,$Q$2)/$Q$2))</f>
        <v>2416.61008710459</v>
      </c>
      <c r="K235" s="15" t="n">
        <f aca="false">J235*(1+IF(K$3&lt;=$O$2,$D235,$D235-($D235-$I$211)*MIN(K$3-$O$2,$Q$2)/$Q$2))</f>
        <v>2406.90572317794</v>
      </c>
      <c r="L235" s="15" t="n">
        <f aca="false">K235*(1+IF(L$3&lt;=$O$2,$D235,$D235-($D235-$I$211)*MIN(L$3-$O$2,$Q$2)/$Q$2))</f>
        <v>2419.15576150695</v>
      </c>
      <c r="M235" s="15" t="n">
        <f aca="false">L235*(1+IF(M$3&lt;=$O$2,$D235,$D235-($D235-$I$211)*MIN(M$3-$O$2,$Q$2)/$Q$2))</f>
        <v>2453.49511881128</v>
      </c>
      <c r="N235" s="15" t="n">
        <f aca="false">M235*(1+IF(N$3&lt;=$O$2,$D235,$D235-($D235-$I$211)*MIN(N$3-$O$2,$Q$2)/$Q$2))</f>
        <v>2510.66155507958</v>
      </c>
      <c r="O235" s="15" t="n">
        <f aca="false">SUMPRODUCT(E235:N235,1/(1+$F$211)^$E$3:$N$3)*$E$2</f>
        <v>11933.7210760626</v>
      </c>
      <c r="P235" s="15" t="n">
        <f aca="false">N235*$E$2*(1+$I$211)/($F$211-$I$211)/(1+$F$211)^$N$3</f>
        <v>17816.2709259844</v>
      </c>
      <c r="Q235" s="15" t="n">
        <f aca="false">O235+P235</f>
        <v>29749.9920020471</v>
      </c>
      <c r="R235" s="15" t="n">
        <f aca="false">Q235-$G$2+$I$2</f>
        <v>30519.9920020471</v>
      </c>
      <c r="S235" s="42" t="n">
        <f aca="false">R235/$K$2</f>
        <v>292.253107364235</v>
      </c>
      <c r="T235" s="43" t="n">
        <f aca="false">S235-$M$2</f>
        <v>-7.65867369523221E-005</v>
      </c>
    </row>
    <row r="236" customFormat="false" ht="15" hidden="false" customHeight="false" outlineLevel="0" collapsed="false">
      <c r="A236" s="5" t="n">
        <v>24</v>
      </c>
      <c r="B236" s="25" t="n">
        <f aca="false">IF(T235&gt;0,B235,D235)</f>
        <v>-0.0222261548042297</v>
      </c>
      <c r="C236" s="25" t="n">
        <f aca="false">IF(T235&gt;0,D235,C235)</f>
        <v>-0.0222259759902954</v>
      </c>
      <c r="D236" s="41" t="n">
        <f aca="false">(B236+C236)/2</f>
        <v>-0.0222260653972626</v>
      </c>
      <c r="E236" s="15" t="n">
        <f aca="false">$C$2*(1+IF(E$3&lt;=$O$2,$D236,$D236-($D236-$I$211)*MIN(E$3-$O$2,$Q$2)/$Q$2))</f>
        <v>2679.1005808115</v>
      </c>
      <c r="F236" s="15" t="n">
        <f aca="false">E236*(1+IF(F$3&lt;=$O$2,$D236,$D236-($D236-$I$211)*MIN(F$3-$O$2,$Q$2)/$Q$2))</f>
        <v>2619.55471609654</v>
      </c>
      <c r="G236" s="15" t="n">
        <f aca="false">F236*(1+IF(G$3&lt;=$O$2,$D236,$D236-($D236-$I$211)*MIN(G$3-$O$2,$Q$2)/$Q$2))</f>
        <v>2561.33232166487</v>
      </c>
      <c r="H236" s="15" t="n">
        <f aca="false">G236*(1+IF(H$3&lt;=$O$2,$D236,$D236-($D236-$I$211)*MIN(H$3-$O$2,$Q$2)/$Q$2))</f>
        <v>2504.40398197942</v>
      </c>
      <c r="I236" s="15" t="n">
        <f aca="false">H236*(1+IF(I$3&lt;=$O$2,$D236,$D236-($D236-$I$211)*MIN(I$3-$O$2,$Q$2)/$Q$2))</f>
        <v>2448.74093529479</v>
      </c>
      <c r="J236" s="15" t="n">
        <f aca="false">I236*(1+IF(J$3&lt;=$O$2,$D236,$D236-($D236-$I$211)*MIN(J$3-$O$2,$Q$2)/$Q$2))</f>
        <v>2416.61136711821</v>
      </c>
      <c r="K236" s="15" t="n">
        <f aca="false">J236*(1+IF(K$3&lt;=$O$2,$D236,$D236-($D236-$I$211)*MIN(K$3-$O$2,$Q$2)/$Q$2))</f>
        <v>2406.90712768855</v>
      </c>
      <c r="L236" s="15" t="n">
        <f aca="false">K236*(1+IF(L$3&lt;=$O$2,$D236,$D236-($D236-$I$211)*MIN(L$3-$O$2,$Q$2)/$Q$2))</f>
        <v>2419.15725924357</v>
      </c>
      <c r="M236" s="15" t="n">
        <f aca="false">L236*(1+IF(M$3&lt;=$O$2,$D236,$D236-($D236-$I$211)*MIN(M$3-$O$2,$Q$2)/$Q$2))</f>
        <v>2453.49668106583</v>
      </c>
      <c r="N236" s="15" t="n">
        <f aca="false">M236*(1+IF(N$3&lt;=$O$2,$D236,$D236-($D236-$I$211)*MIN(N$3-$O$2,$Q$2)/$Q$2))</f>
        <v>2510.66315373467</v>
      </c>
      <c r="O236" s="15" t="n">
        <f aca="false">SUMPRODUCT(E236:N236,1/(1+$F$211)^$E$3:$N$3)*$E$2</f>
        <v>11933.7257768537</v>
      </c>
      <c r="P236" s="15" t="n">
        <f aca="false">N236*$E$2*(1+$I$211)/($F$211-$I$211)/(1+$F$211)^$N$3</f>
        <v>17816.2822704335</v>
      </c>
      <c r="Q236" s="15" t="n">
        <f aca="false">O236+P236</f>
        <v>29750.0080472872</v>
      </c>
      <c r="R236" s="15" t="n">
        <f aca="false">Q236-$G$2+$I$2</f>
        <v>30520.0080472872</v>
      </c>
      <c r="S236" s="42" t="n">
        <f aca="false">R236/$K$2</f>
        <v>292.253261010124</v>
      </c>
      <c r="T236" s="43" t="n">
        <f aca="false">S236-$M$2</f>
        <v>7.70591514651642E-005</v>
      </c>
    </row>
    <row r="238" customFormat="false" ht="15" hidden="false" customHeight="false" outlineLevel="0" collapsed="false">
      <c r="A238" s="38" t="s">
        <v>186</v>
      </c>
      <c r="E238" s="5" t="s">
        <v>11</v>
      </c>
      <c r="F238" s="12" t="n">
        <f aca="false">Sensitivity!$B$11</f>
        <v>0.0722772551778937</v>
      </c>
      <c r="G238" s="5" t="s">
        <v>12</v>
      </c>
      <c r="I238" s="12" t="n">
        <f aca="false">Sensitivity!$E$9</f>
        <v>0.0283</v>
      </c>
    </row>
    <row r="239" customFormat="false" ht="23.85" hidden="false" customHeight="false" outlineLevel="0" collapsed="false">
      <c r="A239" s="38" t="s">
        <v>159</v>
      </c>
      <c r="B239" s="28" t="s">
        <v>160</v>
      </c>
      <c r="C239" s="28" t="s">
        <v>161</v>
      </c>
      <c r="D239" s="28" t="s">
        <v>162</v>
      </c>
      <c r="E239" s="28" t="s">
        <v>163</v>
      </c>
      <c r="F239" s="28" t="s">
        <v>164</v>
      </c>
      <c r="G239" s="28" t="s">
        <v>165</v>
      </c>
      <c r="H239" s="28" t="s">
        <v>166</v>
      </c>
      <c r="I239" s="28" t="s">
        <v>167</v>
      </c>
      <c r="J239" s="28" t="s">
        <v>168</v>
      </c>
      <c r="K239" s="28" t="s">
        <v>169</v>
      </c>
      <c r="L239" s="28" t="s">
        <v>170</v>
      </c>
      <c r="M239" s="28" t="s">
        <v>171</v>
      </c>
      <c r="N239" s="28" t="s">
        <v>172</v>
      </c>
      <c r="O239" s="28" t="s">
        <v>173</v>
      </c>
      <c r="P239" s="28" t="s">
        <v>174</v>
      </c>
      <c r="Q239" s="28" t="s">
        <v>175</v>
      </c>
      <c r="R239" s="28" t="s">
        <v>176</v>
      </c>
      <c r="S239" s="28" t="s">
        <v>177</v>
      </c>
      <c r="T239" s="28" t="s">
        <v>178</v>
      </c>
    </row>
    <row r="240" customFormat="false" ht="15" hidden="false" customHeight="false" outlineLevel="0" collapsed="false">
      <c r="A240" s="5" t="n">
        <v>1</v>
      </c>
      <c r="B240" s="24" t="n">
        <v>-0.5</v>
      </c>
      <c r="C240" s="24" t="n">
        <v>1</v>
      </c>
      <c r="D240" s="41" t="n">
        <f aca="false">(B240+C240)/2</f>
        <v>0.25</v>
      </c>
      <c r="E240" s="15" t="n">
        <f aca="false">$C$2*(1+IF(E$3&lt;=$O$2,$D240,$D240-($D240-$I$238)*MIN(E$3-$O$2,$Q$2)/$Q$2))</f>
        <v>3425</v>
      </c>
      <c r="F240" s="15" t="n">
        <f aca="false">E240*(1+IF(F$3&lt;=$O$2,$D240,$D240-($D240-$I$238)*MIN(F$3-$O$2,$Q$2)/$Q$2))</f>
        <v>4281.25</v>
      </c>
      <c r="G240" s="15" t="n">
        <f aca="false">F240*(1+IF(G$3&lt;=$O$2,$D240,$D240-($D240-$I$238)*MIN(G$3-$O$2,$Q$2)/$Q$2))</f>
        <v>5351.5625</v>
      </c>
      <c r="H240" s="15" t="n">
        <f aca="false">G240*(1+IF(H$3&lt;=$O$2,$D240,$D240-($D240-$I$238)*MIN(H$3-$O$2,$Q$2)/$Q$2))</f>
        <v>6689.453125</v>
      </c>
      <c r="I240" s="15" t="n">
        <f aca="false">H240*(1+IF(I$3&lt;=$O$2,$D240,$D240-($D240-$I$238)*MIN(I$3-$O$2,$Q$2)/$Q$2))</f>
        <v>8361.81640625</v>
      </c>
      <c r="J240" s="15" t="n">
        <f aca="false">I240*(1+IF(J$3&lt;=$O$2,$D240,$D240-($D240-$I$238)*MIN(J$3-$O$2,$Q$2)/$Q$2))</f>
        <v>10081.5075683594</v>
      </c>
      <c r="K240" s="15" t="n">
        <f aca="false">J240*(1+IF(K$3&lt;=$O$2,$D240,$D240-($D240-$I$238)*MIN(K$3-$O$2,$Q$2)/$Q$2))</f>
        <v>11707.8563692871</v>
      </c>
      <c r="L240" s="15" t="n">
        <f aca="false">K240*(1+IF(L$3&lt;=$O$2,$D240,$D240-($D240-$I$238)*MIN(L$3-$O$2,$Q$2)/$Q$2))</f>
        <v>13077.4414073663</v>
      </c>
      <c r="M240" s="15" t="n">
        <f aca="false">L240*(1+IF(M$3&lt;=$O$2,$D240,$D240-($D240-$I$238)*MIN(M$3-$O$2,$Q$2)/$Q$2))</f>
        <v>14027.3867511974</v>
      </c>
      <c r="N240" s="15" t="n">
        <f aca="false">M240*(1+IF(N$3&lt;=$O$2,$D240,$D240-($D240-$I$238)*MIN(N$3-$O$2,$Q$2)/$Q$2))</f>
        <v>14424.3617962563</v>
      </c>
      <c r="O240" s="15" t="n">
        <f aca="false">SUMPRODUCT(E240:N240,1/(1+$F$238)^$E$3:$N$3)*$E$2</f>
        <v>39706.681763225</v>
      </c>
      <c r="P240" s="15" t="n">
        <f aca="false">N240*$E$2*(1+$I$238)/($F$238-$I$238)/(1+$F$238)^$N$3</f>
        <v>114553.516983209</v>
      </c>
      <c r="Q240" s="15" t="n">
        <f aca="false">O240+P240</f>
        <v>154260.198746434</v>
      </c>
      <c r="R240" s="15" t="n">
        <f aca="false">Q240-$G$2+$I$2</f>
        <v>155030.198746434</v>
      </c>
      <c r="S240" s="42" t="n">
        <f aca="false">R240/$K$2</f>
        <v>1484.53699843373</v>
      </c>
      <c r="T240" s="43" t="n">
        <f aca="false">S240-$M$2</f>
        <v>1192.28381448275</v>
      </c>
    </row>
    <row r="241" customFormat="false" ht="15" hidden="false" customHeight="false" outlineLevel="0" collapsed="false">
      <c r="A241" s="5" t="n">
        <v>2</v>
      </c>
      <c r="B241" s="25" t="n">
        <f aca="false">IF(T240&gt;0,B240,D240)</f>
        <v>-0.5</v>
      </c>
      <c r="C241" s="25" t="n">
        <f aca="false">IF(T240&gt;0,D240,C240)</f>
        <v>0.25</v>
      </c>
      <c r="D241" s="41" t="n">
        <f aca="false">(B241+C241)/2</f>
        <v>-0.125</v>
      </c>
      <c r="E241" s="15" t="n">
        <f aca="false">$C$2*(1+IF(E$3&lt;=$O$2,$D241,$D241-($D241-$I$238)*MIN(E$3-$O$2,$Q$2)/$Q$2))</f>
        <v>2397.5</v>
      </c>
      <c r="F241" s="15" t="n">
        <f aca="false">E241*(1+IF(F$3&lt;=$O$2,$D241,$D241-($D241-$I$238)*MIN(F$3-$O$2,$Q$2)/$Q$2))</f>
        <v>2097.8125</v>
      </c>
      <c r="G241" s="15" t="n">
        <f aca="false">F241*(1+IF(G$3&lt;=$O$2,$D241,$D241-($D241-$I$238)*MIN(G$3-$O$2,$Q$2)/$Q$2))</f>
        <v>1835.5859375</v>
      </c>
      <c r="H241" s="15" t="n">
        <f aca="false">G241*(1+IF(H$3&lt;=$O$2,$D241,$D241-($D241-$I$238)*MIN(H$3-$O$2,$Q$2)/$Q$2))</f>
        <v>1606.1376953125</v>
      </c>
      <c r="I241" s="15" t="n">
        <f aca="false">H241*(1+IF(I$3&lt;=$O$2,$D241,$D241-($D241-$I$238)*MIN(I$3-$O$2,$Q$2)/$Q$2))</f>
        <v>1405.37048339844</v>
      </c>
      <c r="J241" s="15" t="n">
        <f aca="false">I241*(1+IF(J$3&lt;=$O$2,$D241,$D241-($D241-$I$238)*MIN(J$3-$O$2,$Q$2)/$Q$2))</f>
        <v>1272.78783199463</v>
      </c>
      <c r="K241" s="15" t="n">
        <f aca="false">J241*(1+IF(K$3&lt;=$O$2,$D241,$D241-($D241-$I$238)*MIN(K$3-$O$2,$Q$2)/$Q$2))</f>
        <v>1191.73670285321</v>
      </c>
      <c r="L241" s="15" t="n">
        <f aca="false">K241*(1+IF(L$3&lt;=$O$2,$D241,$D241-($D241-$I$238)*MIN(L$3-$O$2,$Q$2)/$Q$2))</f>
        <v>1152.385556925</v>
      </c>
      <c r="M241" s="15" t="n">
        <f aca="false">L241*(1+IF(M$3&lt;=$O$2,$D241,$D241-($D241-$I$238)*MIN(M$3-$O$2,$Q$2)/$Q$2))</f>
        <v>1149.66592701066</v>
      </c>
      <c r="N241" s="15" t="n">
        <f aca="false">M241*(1+IF(N$3&lt;=$O$2,$D241,$D241-($D241-$I$238)*MIN(N$3-$O$2,$Q$2)/$Q$2))</f>
        <v>1182.20147274506</v>
      </c>
      <c r="O241" s="15" t="n">
        <f aca="false">SUMPRODUCT(E241:N241,1/(1+$F$238)^$E$3:$N$3)*$E$2</f>
        <v>7633.83467719985</v>
      </c>
      <c r="P241" s="15" t="n">
        <f aca="false">N241*$E$2*(1+$I$238)/($F$238-$I$238)/(1+$F$238)^$N$3</f>
        <v>9388.65361244779</v>
      </c>
      <c r="Q241" s="15" t="n">
        <f aca="false">O241+P241</f>
        <v>17022.4882896476</v>
      </c>
      <c r="R241" s="15" t="n">
        <f aca="false">Q241-$G$2+$I$2</f>
        <v>17792.4882896476</v>
      </c>
      <c r="S241" s="42" t="n">
        <f aca="false">R241/$K$2</f>
        <v>170.377174084532</v>
      </c>
      <c r="T241" s="43" t="n">
        <f aca="false">S241-$M$2</f>
        <v>-121.87600986644</v>
      </c>
    </row>
    <row r="242" customFormat="false" ht="15" hidden="false" customHeight="false" outlineLevel="0" collapsed="false">
      <c r="A242" s="5" t="n">
        <v>3</v>
      </c>
      <c r="B242" s="25" t="n">
        <f aca="false">IF(T241&gt;0,B241,D241)</f>
        <v>-0.125</v>
      </c>
      <c r="C242" s="25" t="n">
        <f aca="false">IF(T241&gt;0,D241,C241)</f>
        <v>0.25</v>
      </c>
      <c r="D242" s="41" t="n">
        <f aca="false">(B242+C242)/2</f>
        <v>0.0625</v>
      </c>
      <c r="E242" s="15" t="n">
        <f aca="false">$C$2*(1+IF(E$3&lt;=$O$2,$D242,$D242-($D242-$I$238)*MIN(E$3-$O$2,$Q$2)/$Q$2))</f>
        <v>2911.25</v>
      </c>
      <c r="F242" s="15" t="n">
        <f aca="false">E242*(1+IF(F$3&lt;=$O$2,$D242,$D242-($D242-$I$238)*MIN(F$3-$O$2,$Q$2)/$Q$2))</f>
        <v>3093.203125</v>
      </c>
      <c r="G242" s="15" t="n">
        <f aca="false">F242*(1+IF(G$3&lt;=$O$2,$D242,$D242-($D242-$I$238)*MIN(G$3-$O$2,$Q$2)/$Q$2))</f>
        <v>3286.5283203125</v>
      </c>
      <c r="H242" s="15" t="n">
        <f aca="false">G242*(1+IF(H$3&lt;=$O$2,$D242,$D242-($D242-$I$238)*MIN(H$3-$O$2,$Q$2)/$Q$2))</f>
        <v>3491.93634033203</v>
      </c>
      <c r="I242" s="15" t="n">
        <f aca="false">H242*(1+IF(I$3&lt;=$O$2,$D242,$D242-($D242-$I$238)*MIN(I$3-$O$2,$Q$2)/$Q$2))</f>
        <v>3710.18236160278</v>
      </c>
      <c r="J242" s="15" t="n">
        <f aca="false">I242*(1+IF(J$3&lt;=$O$2,$D242,$D242-($D242-$I$238)*MIN(J$3-$O$2,$Q$2)/$Q$2))</f>
        <v>3916.69111184959</v>
      </c>
      <c r="K242" s="15" t="n">
        <f aca="false">J242*(1+IF(K$3&lt;=$O$2,$D242,$D242-($D242-$I$238)*MIN(K$3-$O$2,$Q$2)/$Q$2))</f>
        <v>4107.90397193009</v>
      </c>
      <c r="L242" s="15" t="n">
        <f aca="false">K242*(1+IF(L$3&lt;=$O$2,$D242,$D242-($D242-$I$238)*MIN(L$3-$O$2,$Q$2)/$Q$2))</f>
        <v>4280.35378067172</v>
      </c>
      <c r="M242" s="15" t="n">
        <f aca="false">L242*(1+IF(M$3&lt;=$O$2,$D242,$D242-($D242-$I$238)*MIN(M$3-$O$2,$Q$2)/$Q$2))</f>
        <v>4430.76541252452</v>
      </c>
      <c r="N242" s="15" t="n">
        <f aca="false">M242*(1+IF(N$3&lt;=$O$2,$D242,$D242-($D242-$I$238)*MIN(N$3-$O$2,$Q$2)/$Q$2))</f>
        <v>4556.15607369897</v>
      </c>
      <c r="O242" s="15" t="n">
        <f aca="false">SUMPRODUCT(E242:N242,1/(1+$F$238)^$E$3:$N$3)*$E$2</f>
        <v>17408.6808768151</v>
      </c>
      <c r="P242" s="15" t="n">
        <f aca="false">N242*$E$2*(1+$I$238)/($F$238-$I$238)/(1+$F$238)^$N$3</f>
        <v>36183.4866276084</v>
      </c>
      <c r="Q242" s="15" t="n">
        <f aca="false">O242+P242</f>
        <v>53592.1675044236</v>
      </c>
      <c r="R242" s="15" t="n">
        <f aca="false">Q242-$G$2+$I$2</f>
        <v>54362.1675044236</v>
      </c>
      <c r="S242" s="42" t="n">
        <f aca="false">R242/$K$2</f>
        <v>520.56083026356</v>
      </c>
      <c r="T242" s="43" t="n">
        <f aca="false">S242-$M$2</f>
        <v>228.307646312588</v>
      </c>
    </row>
    <row r="243" customFormat="false" ht="15" hidden="false" customHeight="false" outlineLevel="0" collapsed="false">
      <c r="A243" s="5" t="n">
        <v>4</v>
      </c>
      <c r="B243" s="25" t="n">
        <f aca="false">IF(T242&gt;0,B242,D242)</f>
        <v>-0.125</v>
      </c>
      <c r="C243" s="25" t="n">
        <f aca="false">IF(T242&gt;0,D242,C242)</f>
        <v>0.0625</v>
      </c>
      <c r="D243" s="41" t="n">
        <f aca="false">(B243+C243)/2</f>
        <v>-0.03125</v>
      </c>
      <c r="E243" s="15" t="n">
        <f aca="false">$C$2*(1+IF(E$3&lt;=$O$2,$D243,$D243-($D243-$I$238)*MIN(E$3-$O$2,$Q$2)/$Q$2))</f>
        <v>2654.375</v>
      </c>
      <c r="F243" s="15" t="n">
        <f aca="false">E243*(1+IF(F$3&lt;=$O$2,$D243,$D243-($D243-$I$238)*MIN(F$3-$O$2,$Q$2)/$Q$2))</f>
        <v>2571.42578125</v>
      </c>
      <c r="G243" s="15" t="n">
        <f aca="false">F243*(1+IF(G$3&lt;=$O$2,$D243,$D243-($D243-$I$238)*MIN(G$3-$O$2,$Q$2)/$Q$2))</f>
        <v>2491.06872558594</v>
      </c>
      <c r="H243" s="15" t="n">
        <f aca="false">G243*(1+IF(H$3&lt;=$O$2,$D243,$D243-($D243-$I$238)*MIN(H$3-$O$2,$Q$2)/$Q$2))</f>
        <v>2413.22282791138</v>
      </c>
      <c r="I243" s="15" t="n">
        <f aca="false">H243*(1+IF(I$3&lt;=$O$2,$D243,$D243-($D243-$I$238)*MIN(I$3-$O$2,$Q$2)/$Q$2))</f>
        <v>2337.80961453915</v>
      </c>
      <c r="J243" s="15" t="n">
        <f aca="false">I243*(1+IF(J$3&lt;=$O$2,$D243,$D243-($D243-$I$238)*MIN(J$3-$O$2,$Q$2)/$Q$2))</f>
        <v>2292.59637659396</v>
      </c>
      <c r="K243" s="15" t="n">
        <f aca="false">J243*(1+IF(K$3&lt;=$O$2,$D243,$D243-($D243-$I$238)*MIN(K$3-$O$2,$Q$2)/$Q$2))</f>
        <v>2275.56238551587</v>
      </c>
      <c r="L243" s="15" t="n">
        <f aca="false">K243*(1+IF(L$3&lt;=$O$2,$D243,$D243-($D243-$I$238)*MIN(L$3-$O$2,$Q$2)/$Q$2))</f>
        <v>2285.75690500298</v>
      </c>
      <c r="M243" s="15" t="n">
        <f aca="false">L243*(1+IF(M$3&lt;=$O$2,$D243,$D243-($D243-$I$238)*MIN(M$3-$O$2,$Q$2)/$Q$2))</f>
        <v>2323.22046067598</v>
      </c>
      <c r="N243" s="15" t="n">
        <f aca="false">M243*(1+IF(N$3&lt;=$O$2,$D243,$D243-($D243-$I$238)*MIN(N$3-$O$2,$Q$2)/$Q$2))</f>
        <v>2388.96759971311</v>
      </c>
      <c r="O243" s="15" t="n">
        <f aca="false">SUMPRODUCT(E243:N243,1/(1+$F$238)^$E$3:$N$3)*$E$2</f>
        <v>11498.4893588528</v>
      </c>
      <c r="P243" s="15" t="n">
        <f aca="false">N243*$E$2*(1+$I$238)/($F$238-$I$238)/(1+$F$238)^$N$3</f>
        <v>18972.3915949681</v>
      </c>
      <c r="Q243" s="15" t="n">
        <f aca="false">O243+P243</f>
        <v>30470.8809538209</v>
      </c>
      <c r="R243" s="15" t="n">
        <f aca="false">Q243-$G$2+$I$2</f>
        <v>31240.8809538209</v>
      </c>
      <c r="S243" s="42" t="n">
        <f aca="false">R243/$K$2</f>
        <v>299.156190307583</v>
      </c>
      <c r="T243" s="43" t="n">
        <f aca="false">S243-$M$2</f>
        <v>6.90300635661083</v>
      </c>
    </row>
    <row r="244" customFormat="false" ht="15" hidden="false" customHeight="false" outlineLevel="0" collapsed="false">
      <c r="A244" s="5" t="n">
        <v>5</v>
      </c>
      <c r="B244" s="25" t="n">
        <f aca="false">IF(T243&gt;0,B243,D243)</f>
        <v>-0.125</v>
      </c>
      <c r="C244" s="25" t="n">
        <f aca="false">IF(T243&gt;0,D243,C243)</f>
        <v>-0.03125</v>
      </c>
      <c r="D244" s="41" t="n">
        <f aca="false">(B244+C244)/2</f>
        <v>-0.078125</v>
      </c>
      <c r="E244" s="15" t="n">
        <f aca="false">$C$2*(1+IF(E$3&lt;=$O$2,$D244,$D244-($D244-$I$238)*MIN(E$3-$O$2,$Q$2)/$Q$2))</f>
        <v>2525.9375</v>
      </c>
      <c r="F244" s="15" t="n">
        <f aca="false">E244*(1+IF(F$3&lt;=$O$2,$D244,$D244-($D244-$I$238)*MIN(F$3-$O$2,$Q$2)/$Q$2))</f>
        <v>2328.5986328125</v>
      </c>
      <c r="G244" s="15" t="n">
        <f aca="false">F244*(1+IF(G$3&lt;=$O$2,$D244,$D244-($D244-$I$238)*MIN(G$3-$O$2,$Q$2)/$Q$2))</f>
        <v>2146.67686462402</v>
      </c>
      <c r="H244" s="15" t="n">
        <f aca="false">G244*(1+IF(H$3&lt;=$O$2,$D244,$D244-($D244-$I$238)*MIN(H$3-$O$2,$Q$2)/$Q$2))</f>
        <v>1978.96773457527</v>
      </c>
      <c r="I244" s="15" t="n">
        <f aca="false">H244*(1+IF(I$3&lt;=$O$2,$D244,$D244-($D244-$I$238)*MIN(I$3-$O$2,$Q$2)/$Q$2))</f>
        <v>1824.36088031158</v>
      </c>
      <c r="J244" s="15" t="n">
        <f aca="false">I244*(1+IF(J$3&lt;=$O$2,$D244,$D244-($D244-$I$238)*MIN(J$3-$O$2,$Q$2)/$Q$2))</f>
        <v>1720.66420787467</v>
      </c>
      <c r="K244" s="15" t="n">
        <f aca="false">J244*(1+IF(K$3&lt;=$O$2,$D244,$D244-($D244-$I$238)*MIN(K$3-$O$2,$Q$2)/$Q$2))</f>
        <v>1659.48599196368</v>
      </c>
      <c r="L244" s="15" t="n">
        <f aca="false">K244*(1+IF(L$3&lt;=$O$2,$D244,$D244-($D244-$I$238)*MIN(L$3-$O$2,$Q$2)/$Q$2))</f>
        <v>1635.80512685836</v>
      </c>
      <c r="M244" s="15" t="n">
        <f aca="false">L244*(1+IF(M$3&lt;=$O$2,$D244,$D244-($D244-$I$238)*MIN(M$3-$O$2,$Q$2)/$Q$2))</f>
        <v>1647.28029982327</v>
      </c>
      <c r="N244" s="15" t="n">
        <f aca="false">M244*(1+IF(N$3&lt;=$O$2,$D244,$D244-($D244-$I$238)*MIN(N$3-$O$2,$Q$2)/$Q$2))</f>
        <v>1693.89833230827</v>
      </c>
      <c r="O244" s="15" t="n">
        <f aca="false">SUMPRODUCT(E244:N244,1/(1+$F$238)^$E$3:$N$3)*$E$2</f>
        <v>9359.74243290393</v>
      </c>
      <c r="P244" s="15" t="n">
        <f aca="false">N244*$E$2*(1+$I$238)/($F$238-$I$238)/(1+$F$238)^$N$3</f>
        <v>13452.3810563506</v>
      </c>
      <c r="Q244" s="15" t="n">
        <f aca="false">O244+P244</f>
        <v>22812.1234892545</v>
      </c>
      <c r="R244" s="15" t="n">
        <f aca="false">Q244-$G$2+$I$2</f>
        <v>23582.1234892545</v>
      </c>
      <c r="S244" s="42" t="n">
        <f aca="false">R244/$K$2</f>
        <v>225.817518809293</v>
      </c>
      <c r="T244" s="43" t="n">
        <f aca="false">S244-$M$2</f>
        <v>-66.4356651416786</v>
      </c>
    </row>
    <row r="245" customFormat="false" ht="15" hidden="false" customHeight="false" outlineLevel="0" collapsed="false">
      <c r="A245" s="5" t="n">
        <v>6</v>
      </c>
      <c r="B245" s="25" t="n">
        <f aca="false">IF(T244&gt;0,B244,D244)</f>
        <v>-0.078125</v>
      </c>
      <c r="C245" s="25" t="n">
        <f aca="false">IF(T244&gt;0,D244,C244)</f>
        <v>-0.03125</v>
      </c>
      <c r="D245" s="41" t="n">
        <f aca="false">(B245+C245)/2</f>
        <v>-0.0546875</v>
      </c>
      <c r="E245" s="15" t="n">
        <f aca="false">$C$2*(1+IF(E$3&lt;=$O$2,$D245,$D245-($D245-$I$238)*MIN(E$3-$O$2,$Q$2)/$Q$2))</f>
        <v>2590.15625</v>
      </c>
      <c r="F245" s="15" t="n">
        <f aca="false">E245*(1+IF(F$3&lt;=$O$2,$D245,$D245-($D245-$I$238)*MIN(F$3-$O$2,$Q$2)/$Q$2))</f>
        <v>2448.50708007813</v>
      </c>
      <c r="G245" s="15" t="n">
        <f aca="false">F245*(1+IF(G$3&lt;=$O$2,$D245,$D245-($D245-$I$238)*MIN(G$3-$O$2,$Q$2)/$Q$2))</f>
        <v>2314.60434913635</v>
      </c>
      <c r="H245" s="15" t="n">
        <f aca="false">G245*(1+IF(H$3&lt;=$O$2,$D245,$D245-($D245-$I$238)*MIN(H$3-$O$2,$Q$2)/$Q$2))</f>
        <v>2188.02442379296</v>
      </c>
      <c r="I245" s="15" t="n">
        <f aca="false">H245*(1+IF(I$3&lt;=$O$2,$D245,$D245-($D245-$I$238)*MIN(I$3-$O$2,$Q$2)/$Q$2))</f>
        <v>2068.36683811678</v>
      </c>
      <c r="J245" s="15" t="n">
        <f aca="false">I245*(1+IF(J$3&lt;=$O$2,$D245,$D245-($D245-$I$238)*MIN(J$3-$O$2,$Q$2)/$Q$2))</f>
        <v>1989.58274525291</v>
      </c>
      <c r="K245" s="15" t="n">
        <f aca="false">J245*(1+IF(K$3&lt;=$O$2,$D245,$D245-($D245-$I$238)*MIN(K$3-$O$2,$Q$2)/$Q$2))</f>
        <v>1946.82163810056</v>
      </c>
      <c r="L245" s="15" t="n">
        <f aca="false">K245*(1+IF(L$3&lt;=$O$2,$D245,$D245-($D245-$I$238)*MIN(L$3-$O$2,$Q$2)/$Q$2))</f>
        <v>1937.29194618206</v>
      </c>
      <c r="M245" s="15" t="n">
        <f aca="false">L245*(1+IF(M$3&lt;=$O$2,$D245,$D245-($D245-$I$238)*MIN(M$3-$O$2,$Q$2)/$Q$2))</f>
        <v>1959.96310518226</v>
      </c>
      <c r="N245" s="15" t="n">
        <f aca="false">M245*(1+IF(N$3&lt;=$O$2,$D245,$D245-($D245-$I$238)*MIN(N$3-$O$2,$Q$2)/$Q$2))</f>
        <v>2015.43006105892</v>
      </c>
      <c r="O245" s="15" t="n">
        <f aca="false">SUMPRODUCT(E245:N245,1/(1+$F$238)^$E$3:$N$3)*$E$2</f>
        <v>10372.0325932592</v>
      </c>
      <c r="P245" s="15" t="n">
        <f aca="false">N245*$E$2*(1+$I$238)/($F$238-$I$238)/(1+$F$238)^$N$3</f>
        <v>16005.8798433567</v>
      </c>
      <c r="Q245" s="15" t="n">
        <f aca="false">O245+P245</f>
        <v>26377.9124366158</v>
      </c>
      <c r="R245" s="15" t="n">
        <f aca="false">Q245-$G$2+$I$2</f>
        <v>27147.9124366158</v>
      </c>
      <c r="S245" s="42" t="n">
        <f aca="false">R245/$K$2</f>
        <v>259.962773500104</v>
      </c>
      <c r="T245" s="43" t="n">
        <f aca="false">S245-$M$2</f>
        <v>-32.2904104508684</v>
      </c>
    </row>
    <row r="246" customFormat="false" ht="15" hidden="false" customHeight="false" outlineLevel="0" collapsed="false">
      <c r="A246" s="5" t="n">
        <v>7</v>
      </c>
      <c r="B246" s="25" t="n">
        <f aca="false">IF(T245&gt;0,B245,D245)</f>
        <v>-0.0546875</v>
      </c>
      <c r="C246" s="25" t="n">
        <f aca="false">IF(T245&gt;0,D245,C245)</f>
        <v>-0.03125</v>
      </c>
      <c r="D246" s="41" t="n">
        <f aca="false">(B246+C246)/2</f>
        <v>-0.04296875</v>
      </c>
      <c r="E246" s="15" t="n">
        <f aca="false">$C$2*(1+IF(E$3&lt;=$O$2,$D246,$D246-($D246-$I$238)*MIN(E$3-$O$2,$Q$2)/$Q$2))</f>
        <v>2622.265625</v>
      </c>
      <c r="F246" s="15" t="n">
        <f aca="false">E246*(1+IF(F$3&lt;=$O$2,$D246,$D246-($D246-$I$238)*MIN(F$3-$O$2,$Q$2)/$Q$2))</f>
        <v>2509.59014892578</v>
      </c>
      <c r="G246" s="15" t="n">
        <f aca="false">F246*(1+IF(G$3&lt;=$O$2,$D246,$D246-($D246-$I$238)*MIN(G$3-$O$2,$Q$2)/$Q$2))</f>
        <v>2401.75619721413</v>
      </c>
      <c r="H246" s="15" t="n">
        <f aca="false">G246*(1+IF(H$3&lt;=$O$2,$D246,$D246-($D246-$I$238)*MIN(H$3-$O$2,$Q$2)/$Q$2))</f>
        <v>2298.55573561508</v>
      </c>
      <c r="I246" s="15" t="n">
        <f aca="false">H246*(1+IF(I$3&lt;=$O$2,$D246,$D246-($D246-$I$238)*MIN(I$3-$O$2,$Q$2)/$Q$2))</f>
        <v>2199.78966885037</v>
      </c>
      <c r="J246" s="15" t="n">
        <f aca="false">I246*(1+IF(J$3&lt;=$O$2,$D246,$D246-($D246-$I$238)*MIN(J$3-$O$2,$Q$2)/$Q$2))</f>
        <v>2136.62270850933</v>
      </c>
      <c r="K246" s="15" t="n">
        <f aca="false">J246*(1+IF(K$3&lt;=$O$2,$D246,$D246-($D246-$I$238)*MIN(K$3-$O$2,$Q$2)/$Q$2))</f>
        <v>2105.7244733659</v>
      </c>
      <c r="L246" s="15" t="n">
        <f aca="false">K246*(1+IF(L$3&lt;=$O$2,$D246,$D246-($D246-$I$238)*MIN(L$3-$O$2,$Q$2)/$Q$2))</f>
        <v>2105.28753553768</v>
      </c>
      <c r="M246" s="15" t="n">
        <f aca="false">L246*(1+IF(M$3&lt;=$O$2,$D246,$D246-($D246-$I$238)*MIN(M$3-$O$2,$Q$2)/$Q$2))</f>
        <v>2134.85893058373</v>
      </c>
      <c r="N246" s="15" t="n">
        <f aca="false">M246*(1+IF(N$3&lt;=$O$2,$D246,$D246-($D246-$I$238)*MIN(N$3-$O$2,$Q$2)/$Q$2))</f>
        <v>2195.27543831924</v>
      </c>
      <c r="O246" s="15" t="n">
        <f aca="false">SUMPRODUCT(E246:N246,1/(1+$F$238)^$E$3:$N$3)*$E$2</f>
        <v>10920.2497546089</v>
      </c>
      <c r="P246" s="15" t="n">
        <f aca="false">N246*$E$2*(1+$I$238)/($F$238-$I$238)/(1+$F$238)^$N$3</f>
        <v>17434.1524261818</v>
      </c>
      <c r="Q246" s="15" t="n">
        <f aca="false">O246+P246</f>
        <v>28354.4021807907</v>
      </c>
      <c r="R246" s="15" t="n">
        <f aca="false">Q246-$G$2+$I$2</f>
        <v>29124.4021807907</v>
      </c>
      <c r="S246" s="42" t="n">
        <f aca="false">R246/$K$2</f>
        <v>278.889228964768</v>
      </c>
      <c r="T246" s="43" t="n">
        <f aca="false">S246-$M$2</f>
        <v>-13.3639549862044</v>
      </c>
    </row>
    <row r="247" customFormat="false" ht="15" hidden="false" customHeight="false" outlineLevel="0" collapsed="false">
      <c r="A247" s="5" t="n">
        <v>8</v>
      </c>
      <c r="B247" s="25" t="n">
        <f aca="false">IF(T246&gt;0,B246,D246)</f>
        <v>-0.04296875</v>
      </c>
      <c r="C247" s="25" t="n">
        <f aca="false">IF(T246&gt;0,D246,C246)</f>
        <v>-0.03125</v>
      </c>
      <c r="D247" s="41" t="n">
        <f aca="false">(B247+C247)/2</f>
        <v>-0.037109375</v>
      </c>
      <c r="E247" s="15" t="n">
        <f aca="false">$C$2*(1+IF(E$3&lt;=$O$2,$D247,$D247-($D247-$I$238)*MIN(E$3-$O$2,$Q$2)/$Q$2))</f>
        <v>2638.3203125</v>
      </c>
      <c r="F247" s="15" t="n">
        <f aca="false">E247*(1+IF(F$3&lt;=$O$2,$D247,$D247-($D247-$I$238)*MIN(F$3-$O$2,$Q$2)/$Q$2))</f>
        <v>2540.41389465332</v>
      </c>
      <c r="G247" s="15" t="n">
        <f aca="false">F247*(1+IF(G$3&lt;=$O$2,$D247,$D247-($D247-$I$238)*MIN(G$3-$O$2,$Q$2)/$Q$2))</f>
        <v>2446.14072278142</v>
      </c>
      <c r="H247" s="15" t="n">
        <f aca="false">G247*(1+IF(H$3&lt;=$O$2,$D247,$D247-($D247-$I$238)*MIN(H$3-$O$2,$Q$2)/$Q$2))</f>
        <v>2355.36596939695</v>
      </c>
      <c r="I247" s="15" t="n">
        <f aca="false">H247*(1+IF(I$3&lt;=$O$2,$D247,$D247-($D247-$I$238)*MIN(I$3-$O$2,$Q$2)/$Q$2))</f>
        <v>2267.95981037636</v>
      </c>
      <c r="J247" s="15" t="n">
        <f aca="false">I247*(1+IF(J$3&lt;=$O$2,$D247,$D247-($D247-$I$238)*MIN(J$3-$O$2,$Q$2)/$Q$2))</f>
        <v>2213.46640603255</v>
      </c>
      <c r="K247" s="15" t="n">
        <f aca="false">J247*(1+IF(K$3&lt;=$O$2,$D247,$D247-($D247-$I$238)*MIN(K$3-$O$2,$Q$2)/$Q$2))</f>
        <v>2189.23863280202</v>
      </c>
      <c r="L247" s="15" t="n">
        <f aca="false">K247*(1+IF(L$3&lt;=$O$2,$D247,$D247-($D247-$I$238)*MIN(L$3-$O$2,$Q$2)/$Q$2))</f>
        <v>2193.91539383134</v>
      </c>
      <c r="M247" s="15" t="n">
        <f aca="false">L247*(1+IF(M$3&lt;=$O$2,$D247,$D247-($D247-$I$238)*MIN(M$3-$O$2,$Q$2)/$Q$2))</f>
        <v>2227.30267253409</v>
      </c>
      <c r="N247" s="15" t="n">
        <f aca="false">M247*(1+IF(N$3&lt;=$O$2,$D247,$D247-($D247-$I$238)*MIN(N$3-$O$2,$Q$2)/$Q$2))</f>
        <v>2290.3353381668</v>
      </c>
      <c r="O247" s="15" t="n">
        <f aca="false">SUMPRODUCT(E247:N247,1/(1+$F$238)^$E$3:$N$3)*$E$2</f>
        <v>11205.5205292474</v>
      </c>
      <c r="P247" s="15" t="n">
        <f aca="false">N247*$E$2*(1+$I$238)/($F$238-$I$238)/(1+$F$238)^$N$3</f>
        <v>18189.0867522492</v>
      </c>
      <c r="Q247" s="15" t="n">
        <f aca="false">O247+P247</f>
        <v>29394.6072814965</v>
      </c>
      <c r="R247" s="15" t="n">
        <f aca="false">Q247-$G$2+$I$2</f>
        <v>30164.6072814965</v>
      </c>
      <c r="S247" s="42" t="n">
        <f aca="false">R247/$K$2</f>
        <v>288.850017059241</v>
      </c>
      <c r="T247" s="43" t="n">
        <f aca="false">S247-$M$2</f>
        <v>-3.40316689173096</v>
      </c>
    </row>
    <row r="248" customFormat="false" ht="15" hidden="false" customHeight="false" outlineLevel="0" collapsed="false">
      <c r="A248" s="5" t="n">
        <v>9</v>
      </c>
      <c r="B248" s="25" t="n">
        <f aca="false">IF(T247&gt;0,B247,D247)</f>
        <v>-0.037109375</v>
      </c>
      <c r="C248" s="25" t="n">
        <f aca="false">IF(T247&gt;0,D247,C247)</f>
        <v>-0.03125</v>
      </c>
      <c r="D248" s="41" t="n">
        <f aca="false">(B248+C248)/2</f>
        <v>-0.0341796875</v>
      </c>
      <c r="E248" s="15" t="n">
        <f aca="false">$C$2*(1+IF(E$3&lt;=$O$2,$D248,$D248-($D248-$I$238)*MIN(E$3-$O$2,$Q$2)/$Q$2))</f>
        <v>2646.34765625</v>
      </c>
      <c r="F248" s="15" t="n">
        <f aca="false">E248*(1+IF(F$3&lt;=$O$2,$D248,$D248-($D248-$I$238)*MIN(F$3-$O$2,$Q$2)/$Q$2))</f>
        <v>2555.89632034302</v>
      </c>
      <c r="G248" s="15" t="n">
        <f aca="false">F248*(1+IF(G$3&lt;=$O$2,$D248,$D248-($D248-$I$238)*MIN(G$3-$O$2,$Q$2)/$Q$2))</f>
        <v>2468.53658283129</v>
      </c>
      <c r="H248" s="15" t="n">
        <f aca="false">G248*(1+IF(H$3&lt;=$O$2,$D248,$D248-($D248-$I$238)*MIN(H$3-$O$2,$Q$2)/$Q$2))</f>
        <v>2384.1627738478</v>
      </c>
      <c r="I248" s="15" t="n">
        <f aca="false">H248*(1+IF(I$3&lt;=$O$2,$D248,$D248-($D248-$I$238)*MIN(I$3-$O$2,$Q$2)/$Q$2))</f>
        <v>2302.67283528855</v>
      </c>
      <c r="J248" s="15" t="n">
        <f aca="false">I248*(1+IF(J$3&lt;=$O$2,$D248,$D248-($D248-$I$238)*MIN(J$3-$O$2,$Q$2)/$Q$2))</f>
        <v>2252.74225319636</v>
      </c>
      <c r="K248" s="15" t="n">
        <f aca="false">J248*(1+IF(K$3&lt;=$O$2,$D248,$D248-($D248-$I$238)*MIN(K$3-$O$2,$Q$2)/$Q$2))</f>
        <v>2232.04447976317</v>
      </c>
      <c r="L248" s="15" t="n">
        <f aca="false">K248*(1+IF(L$3&lt;=$O$2,$D248,$D248-($D248-$I$238)*MIN(L$3-$O$2,$Q$2)/$Q$2))</f>
        <v>2239.42836190778</v>
      </c>
      <c r="M248" s="15" t="n">
        <f aca="false">L248*(1+IF(M$3&lt;=$O$2,$D248,$D248-($D248-$I$238)*MIN(M$3-$O$2,$Q$2)/$Q$2))</f>
        <v>2274.82042770365</v>
      </c>
      <c r="N248" s="15" t="n">
        <f aca="false">M248*(1+IF(N$3&lt;=$O$2,$D248,$D248-($D248-$I$238)*MIN(N$3-$O$2,$Q$2)/$Q$2))</f>
        <v>2339.19784580766</v>
      </c>
      <c r="O248" s="15" t="n">
        <f aca="false">SUMPRODUCT(E248:N248,1/(1+$F$238)^$E$3:$N$3)*$E$2</f>
        <v>11351.030423453</v>
      </c>
      <c r="P248" s="15" t="n">
        <f aca="false">N248*$E$2*(1+$I$238)/($F$238-$I$238)/(1+$F$238)^$N$3</f>
        <v>18577.1366485248</v>
      </c>
      <c r="Q248" s="15" t="n">
        <f aca="false">O248+P248</f>
        <v>29928.1670719778</v>
      </c>
      <c r="R248" s="15" t="n">
        <f aca="false">Q248-$G$2+$I$2</f>
        <v>30698.1670719778</v>
      </c>
      <c r="S248" s="42" t="n">
        <f aca="false">R248/$K$2</f>
        <v>293.959274844181</v>
      </c>
      <c r="T248" s="43" t="n">
        <f aca="false">S248-$M$2</f>
        <v>1.70609089320874</v>
      </c>
    </row>
    <row r="249" customFormat="false" ht="15" hidden="false" customHeight="false" outlineLevel="0" collapsed="false">
      <c r="A249" s="5" t="n">
        <v>10</v>
      </c>
      <c r="B249" s="25" t="n">
        <f aca="false">IF(T248&gt;0,B248,D248)</f>
        <v>-0.037109375</v>
      </c>
      <c r="C249" s="25" t="n">
        <f aca="false">IF(T248&gt;0,D248,C248)</f>
        <v>-0.0341796875</v>
      </c>
      <c r="D249" s="41" t="n">
        <f aca="false">(B249+C249)/2</f>
        <v>-0.03564453125</v>
      </c>
      <c r="E249" s="15" t="n">
        <f aca="false">$C$2*(1+IF(E$3&lt;=$O$2,$D249,$D249-($D249-$I$238)*MIN(E$3-$O$2,$Q$2)/$Q$2))</f>
        <v>2642.333984375</v>
      </c>
      <c r="F249" s="15" t="n">
        <f aca="false">E249*(1+IF(F$3&lt;=$O$2,$D249,$D249-($D249-$I$238)*MIN(F$3-$O$2,$Q$2)/$Q$2))</f>
        <v>2548.14922809601</v>
      </c>
      <c r="G249" s="15" t="n">
        <f aca="false">F249*(1+IF(G$3&lt;=$O$2,$D249,$D249-($D249-$I$238)*MIN(G$3-$O$2,$Q$2)/$Q$2))</f>
        <v>2457.32164330548</v>
      </c>
      <c r="H249" s="15" t="n">
        <f aca="false">G249*(1+IF(H$3&lt;=$O$2,$D249,$D249-($D249-$I$238)*MIN(H$3-$O$2,$Q$2)/$Q$2))</f>
        <v>2369.73156519937</v>
      </c>
      <c r="I249" s="15" t="n">
        <f aca="false">H249*(1+IF(I$3&lt;=$O$2,$D249,$D249-($D249-$I$238)*MIN(I$3-$O$2,$Q$2)/$Q$2))</f>
        <v>2285.26359436951</v>
      </c>
      <c r="J249" s="15" t="n">
        <f aca="false">I249*(1+IF(J$3&lt;=$O$2,$D249,$D249-($D249-$I$238)*MIN(J$3-$O$2,$Q$2)/$Q$2))</f>
        <v>2233.03246663045</v>
      </c>
      <c r="K249" s="15" t="n">
        <f aca="false">J249*(1+IF(K$3&lt;=$O$2,$D249,$D249-($D249-$I$238)*MIN(K$3-$O$2,$Q$2)/$Q$2))</f>
        <v>2210.55315682926</v>
      </c>
      <c r="L249" s="15" t="n">
        <f aca="false">K249*(1+IF(L$3&lt;=$O$2,$D249,$D249-($D249-$I$238)*MIN(L$3-$O$2,$Q$2)/$Q$2))</f>
        <v>2216.57069700087</v>
      </c>
      <c r="M249" s="15" t="n">
        <f aca="false">L249*(1+IF(M$3&lt;=$O$2,$D249,$D249-($D249-$I$238)*MIN(M$3-$O$2,$Q$2)/$Q$2))</f>
        <v>2250.95213288555</v>
      </c>
      <c r="N249" s="15" t="n">
        <f aca="false">M249*(1+IF(N$3&lt;=$O$2,$D249,$D249-($D249-$I$238)*MIN(N$3-$O$2,$Q$2)/$Q$2))</f>
        <v>2314.65407824622</v>
      </c>
      <c r="O249" s="15" t="n">
        <f aca="false">SUMPRODUCT(E249:N249,1/(1+$F$238)^$E$3:$N$3)*$E$2</f>
        <v>11278.033389827</v>
      </c>
      <c r="P249" s="15" t="n">
        <f aca="false">N249*$E$2*(1+$I$238)/($F$238-$I$238)/(1+$F$238)^$N$3</f>
        <v>18382.2181534194</v>
      </c>
      <c r="Q249" s="15" t="n">
        <f aca="false">O249+P249</f>
        <v>29660.2515432464</v>
      </c>
      <c r="R249" s="15" t="n">
        <f aca="false">Q249-$G$2+$I$2</f>
        <v>30430.2515432464</v>
      </c>
      <c r="S249" s="42" t="n">
        <f aca="false">R249/$K$2</f>
        <v>291.393771361165</v>
      </c>
      <c r="T249" s="43" t="n">
        <f aca="false">S249-$M$2</f>
        <v>-0.859412589807278</v>
      </c>
    </row>
    <row r="250" customFormat="false" ht="15" hidden="false" customHeight="false" outlineLevel="0" collapsed="false">
      <c r="A250" s="5" t="n">
        <v>11</v>
      </c>
      <c r="B250" s="25" t="n">
        <f aca="false">IF(T249&gt;0,B249,D249)</f>
        <v>-0.03564453125</v>
      </c>
      <c r="C250" s="25" t="n">
        <f aca="false">IF(T249&gt;0,D249,C249)</f>
        <v>-0.0341796875</v>
      </c>
      <c r="D250" s="41" t="n">
        <f aca="false">(B250+C250)/2</f>
        <v>-0.034912109375</v>
      </c>
      <c r="E250" s="15" t="n">
        <f aca="false">$C$2*(1+IF(E$3&lt;=$O$2,$D250,$D250-($D250-$I$238)*MIN(E$3-$O$2,$Q$2)/$Q$2))</f>
        <v>2644.3408203125</v>
      </c>
      <c r="F250" s="15" t="n">
        <f aca="false">E250*(1+IF(F$3&lt;=$O$2,$D250,$D250-($D250-$I$238)*MIN(F$3-$O$2,$Q$2)/$Q$2))</f>
        <v>2552.02130436897</v>
      </c>
      <c r="G250" s="15" t="n">
        <f aca="false">F250*(1+IF(G$3&lt;=$O$2,$D250,$D250-($D250-$I$238)*MIN(G$3-$O$2,$Q$2)/$Q$2))</f>
        <v>2462.92485746351</v>
      </c>
      <c r="H250" s="15" t="n">
        <f aca="false">G250*(1+IF(H$3&lt;=$O$2,$D250,$D250-($D250-$I$238)*MIN(H$3-$O$2,$Q$2)/$Q$2))</f>
        <v>2376.93895545734</v>
      </c>
      <c r="I250" s="15" t="n">
        <f aca="false">H250*(1+IF(I$3&lt;=$O$2,$D250,$D250-($D250-$I$238)*MIN(I$3-$O$2,$Q$2)/$Q$2))</f>
        <v>2293.95500266672</v>
      </c>
      <c r="J250" s="15" t="n">
        <f aca="false">I250*(1+IF(J$3&lt;=$O$2,$D250,$D250-($D250-$I$238)*MIN(J$3-$O$2,$Q$2)/$Q$2))</f>
        <v>2242.86934161827</v>
      </c>
      <c r="K250" s="15" t="n">
        <f aca="false">J250*(1+IF(K$3&lt;=$O$2,$D250,$D250-($D250-$I$238)*MIN(K$3-$O$2,$Q$2)/$Q$2))</f>
        <v>2221.27664270434</v>
      </c>
      <c r="L250" s="15" t="n">
        <f aca="false">K250*(1+IF(L$3&lt;=$O$2,$D250,$D250-($D250-$I$238)*MIN(L$3-$O$2,$Q$2)/$Q$2))</f>
        <v>2227.97413885657</v>
      </c>
      <c r="M250" s="15" t="n">
        <f aca="false">L250*(1+IF(M$3&lt;=$O$2,$D250,$D250-($D250-$I$238)*MIN(M$3-$O$2,$Q$2)/$Q$2))</f>
        <v>2262.85881799619</v>
      </c>
      <c r="N250" s="15" t="n">
        <f aca="false">M250*(1+IF(N$3&lt;=$O$2,$D250,$D250-($D250-$I$238)*MIN(N$3-$O$2,$Q$2)/$Q$2))</f>
        <v>2326.89772254549</v>
      </c>
      <c r="O250" s="15" t="n">
        <f aca="false">SUMPRODUCT(E250:N250,1/(1+$F$238)^$E$3:$N$3)*$E$2</f>
        <v>11314.4711927256</v>
      </c>
      <c r="P250" s="15" t="n">
        <f aca="false">N250*$E$2*(1+$I$238)/($F$238-$I$238)/(1+$F$238)^$N$3</f>
        <v>18479.453132338</v>
      </c>
      <c r="Q250" s="15" t="n">
        <f aca="false">O250+P250</f>
        <v>29793.9243250636</v>
      </c>
      <c r="R250" s="15" t="n">
        <f aca="false">Q250-$G$2+$I$2</f>
        <v>30563.9243250636</v>
      </c>
      <c r="S250" s="42" t="n">
        <f aca="false">R250/$K$2</f>
        <v>292.673794168951</v>
      </c>
      <c r="T250" s="43" t="n">
        <f aca="false">S250-$M$2</f>
        <v>0.420610217979345</v>
      </c>
    </row>
    <row r="251" customFormat="false" ht="15" hidden="false" customHeight="false" outlineLevel="0" collapsed="false">
      <c r="A251" s="5" t="n">
        <v>12</v>
      </c>
      <c r="B251" s="25" t="n">
        <f aca="false">IF(T250&gt;0,B250,D250)</f>
        <v>-0.03564453125</v>
      </c>
      <c r="C251" s="25" t="n">
        <f aca="false">IF(T250&gt;0,D250,C250)</f>
        <v>-0.034912109375</v>
      </c>
      <c r="D251" s="41" t="n">
        <f aca="false">(B251+C251)/2</f>
        <v>-0.0352783203125</v>
      </c>
      <c r="E251" s="15" t="n">
        <f aca="false">$C$2*(1+IF(E$3&lt;=$O$2,$D251,$D251-($D251-$I$238)*MIN(E$3-$O$2,$Q$2)/$Q$2))</f>
        <v>2643.33740234375</v>
      </c>
      <c r="F251" s="15" t="n">
        <f aca="false">E251*(1+IF(F$3&lt;=$O$2,$D251,$D251-($D251-$I$238)*MIN(F$3-$O$2,$Q$2)/$Q$2))</f>
        <v>2550.08489876986</v>
      </c>
      <c r="G251" s="15" t="n">
        <f aca="false">F251*(1+IF(G$3&lt;=$O$2,$D251,$D251-($D251-$I$238)*MIN(G$3-$O$2,$Q$2)/$Q$2))</f>
        <v>2460.12218688698</v>
      </c>
      <c r="H251" s="15" t="n">
        <f aca="false">G251*(1+IF(H$3&lt;=$O$2,$D251,$D251-($D251-$I$238)*MIN(H$3-$O$2,$Q$2)/$Q$2))</f>
        <v>2373.3332083701</v>
      </c>
      <c r="I251" s="15" t="n">
        <f aca="false">H251*(1+IF(I$3&lt;=$O$2,$D251,$D251-($D251-$I$238)*MIN(I$3-$O$2,$Q$2)/$Q$2))</f>
        <v>2289.60599923692</v>
      </c>
      <c r="J251" s="15" t="n">
        <f aca="false">I251*(1+IF(J$3&lt;=$O$2,$D251,$D251-($D251-$I$238)*MIN(J$3-$O$2,$Q$2)/$Q$2))</f>
        <v>2237.9464061282</v>
      </c>
      <c r="K251" s="15" t="n">
        <f aca="false">J251*(1+IF(K$3&lt;=$O$2,$D251,$D251-($D251-$I$238)*MIN(K$3-$O$2,$Q$2)/$Q$2))</f>
        <v>2215.90936535101</v>
      </c>
      <c r="L251" s="15" t="n">
        <f aca="false">K251*(1+IF(L$3&lt;=$O$2,$D251,$D251-($D251-$I$238)*MIN(L$3-$O$2,$Q$2)/$Q$2))</f>
        <v>2222.26608222495</v>
      </c>
      <c r="M251" s="15" t="n">
        <f aca="false">L251*(1+IF(M$3&lt;=$O$2,$D251,$D251-($D251-$I$238)*MIN(M$3-$O$2,$Q$2)/$Q$2))</f>
        <v>2256.89862339285</v>
      </c>
      <c r="N251" s="15" t="n">
        <f aca="false">M251*(1+IF(N$3&lt;=$O$2,$D251,$D251-($D251-$I$238)*MIN(N$3-$O$2,$Q$2)/$Q$2))</f>
        <v>2320.76885443487</v>
      </c>
      <c r="O251" s="15" t="n">
        <f aca="false">SUMPRODUCT(E251:N251,1/(1+$F$238)^$E$3:$N$3)*$E$2</f>
        <v>11296.2371368749</v>
      </c>
      <c r="P251" s="15" t="n">
        <f aca="false">N251*$E$2*(1+$I$238)/($F$238-$I$238)/(1+$F$238)^$N$3</f>
        <v>18430.7796861839</v>
      </c>
      <c r="Q251" s="15" t="n">
        <f aca="false">O251+P251</f>
        <v>29727.0168230588</v>
      </c>
      <c r="R251" s="15" t="n">
        <f aca="false">Q251-$G$2+$I$2</f>
        <v>30497.0168230588</v>
      </c>
      <c r="S251" s="42" t="n">
        <f aca="false">R251/$K$2</f>
        <v>292.033101819964</v>
      </c>
      <c r="T251" s="43" t="n">
        <f aca="false">S251-$M$2</f>
        <v>-0.220082131008439</v>
      </c>
    </row>
    <row r="252" customFormat="false" ht="15" hidden="false" customHeight="false" outlineLevel="0" collapsed="false">
      <c r="A252" s="5" t="n">
        <v>13</v>
      </c>
      <c r="B252" s="25" t="n">
        <f aca="false">IF(T251&gt;0,B251,D251)</f>
        <v>-0.0352783203125</v>
      </c>
      <c r="C252" s="25" t="n">
        <f aca="false">IF(T251&gt;0,D251,C251)</f>
        <v>-0.034912109375</v>
      </c>
      <c r="D252" s="41" t="n">
        <f aca="false">(B252+C252)/2</f>
        <v>-0.03509521484375</v>
      </c>
      <c r="E252" s="15" t="n">
        <f aca="false">$C$2*(1+IF(E$3&lt;=$O$2,$D252,$D252-($D252-$I$238)*MIN(E$3-$O$2,$Q$2)/$Q$2))</f>
        <v>2643.83911132813</v>
      </c>
      <c r="F252" s="15" t="n">
        <f aca="false">E252*(1+IF(F$3&lt;=$O$2,$D252,$D252-($D252-$I$238)*MIN(F$3-$O$2,$Q$2)/$Q$2))</f>
        <v>2551.05300970376</v>
      </c>
      <c r="G252" s="15" t="n">
        <f aca="false">F252*(1+IF(G$3&lt;=$O$2,$D252,$D252-($D252-$I$238)*MIN(G$3-$O$2,$Q$2)/$Q$2))</f>
        <v>2461.52325625041</v>
      </c>
      <c r="H252" s="15" t="n">
        <f aca="false">G252*(1+IF(H$3&lt;=$O$2,$D252,$D252-($D252-$I$238)*MIN(H$3-$O$2,$Q$2)/$Q$2))</f>
        <v>2375.13556872941</v>
      </c>
      <c r="I252" s="15" t="n">
        <f aca="false">H252*(1+IF(I$3&lt;=$O$2,$D252,$D252-($D252-$I$238)*MIN(I$3-$O$2,$Q$2)/$Q$2))</f>
        <v>2291.77967566182</v>
      </c>
      <c r="J252" s="15" t="n">
        <f aca="false">I252*(1+IF(J$3&lt;=$O$2,$D252,$D252-($D252-$I$238)*MIN(J$3-$O$2,$Q$2)/$Q$2))</f>
        <v>2240.40674855255</v>
      </c>
      <c r="K252" s="15" t="n">
        <f aca="false">J252*(1+IF(K$3&lt;=$O$2,$D252,$D252-($D252-$I$238)*MIN(K$3-$O$2,$Q$2)/$Q$2))</f>
        <v>2218.59161923947</v>
      </c>
      <c r="L252" s="15" t="n">
        <f aca="false">K252*(1+IF(L$3&lt;=$O$2,$D252,$D252-($D252-$I$238)*MIN(L$3-$O$2,$Q$2)/$Q$2))</f>
        <v>2225.11852512305</v>
      </c>
      <c r="M252" s="15" t="n">
        <f aca="false">L252*(1+IF(M$3&lt;=$O$2,$D252,$D252-($D252-$I$238)*MIN(M$3-$O$2,$Q$2)/$Q$2))</f>
        <v>2259.87700599344</v>
      </c>
      <c r="N252" s="15" t="n">
        <f aca="false">M252*(1+IF(N$3&lt;=$O$2,$D252,$D252-($D252-$I$238)*MIN(N$3-$O$2,$Q$2)/$Q$2))</f>
        <v>2323.83152526305</v>
      </c>
      <c r="O252" s="15" t="n">
        <f aca="false">SUMPRODUCT(E252:N252,1/(1+$F$238)^$E$3:$N$3)*$E$2</f>
        <v>11305.3503731929</v>
      </c>
      <c r="P252" s="15" t="n">
        <f aca="false">N252*$E$2*(1+$I$238)/($F$238-$I$238)/(1+$F$238)^$N$3</f>
        <v>18455.1024062935</v>
      </c>
      <c r="Q252" s="15" t="n">
        <f aca="false">O252+P252</f>
        <v>29760.4527794864</v>
      </c>
      <c r="R252" s="15" t="n">
        <f aca="false">Q252-$G$2+$I$2</f>
        <v>30530.4527794864</v>
      </c>
      <c r="S252" s="42" t="n">
        <f aca="false">R252/$K$2</f>
        <v>292.353277597303</v>
      </c>
      <c r="T252" s="43" t="n">
        <f aca="false">S252-$M$2</f>
        <v>0.100093646331061</v>
      </c>
    </row>
    <row r="253" customFormat="false" ht="15" hidden="false" customHeight="false" outlineLevel="0" collapsed="false">
      <c r="A253" s="5" t="n">
        <v>14</v>
      </c>
      <c r="B253" s="25" t="n">
        <f aca="false">IF(T252&gt;0,B252,D252)</f>
        <v>-0.0352783203125</v>
      </c>
      <c r="C253" s="25" t="n">
        <f aca="false">IF(T252&gt;0,D252,C252)</f>
        <v>-0.03509521484375</v>
      </c>
      <c r="D253" s="41" t="n">
        <f aca="false">(B253+C253)/2</f>
        <v>-0.035186767578125</v>
      </c>
      <c r="E253" s="15" t="n">
        <f aca="false">$C$2*(1+IF(E$3&lt;=$O$2,$D253,$D253-($D253-$I$238)*MIN(E$3-$O$2,$Q$2)/$Q$2))</f>
        <v>2643.58825683594</v>
      </c>
      <c r="F253" s="15" t="n">
        <f aca="false">E253*(1+IF(F$3&lt;=$O$2,$D253,$D253-($D253-$I$238)*MIN(F$3-$O$2,$Q$2)/$Q$2))</f>
        <v>2550.56893127039</v>
      </c>
      <c r="G253" s="15" t="n">
        <f aca="false">F253*(1+IF(G$3&lt;=$O$2,$D253,$D253-($D253-$I$238)*MIN(G$3-$O$2,$Q$2)/$Q$2))</f>
        <v>2460.82265509379</v>
      </c>
      <c r="H253" s="15" t="n">
        <f aca="false">G253*(1+IF(H$3&lt;=$O$2,$D253,$D253-($D253-$I$238)*MIN(H$3-$O$2,$Q$2)/$Q$2))</f>
        <v>2374.23426027802</v>
      </c>
      <c r="I253" s="15" t="n">
        <f aca="false">H253*(1+IF(I$3&lt;=$O$2,$D253,$D253-($D253-$I$238)*MIN(I$3-$O$2,$Q$2)/$Q$2))</f>
        <v>2290.6926311856</v>
      </c>
      <c r="J253" s="15" t="n">
        <f aca="false">I253*(1+IF(J$3&lt;=$O$2,$D253,$D253-($D253-$I$238)*MIN(J$3-$O$2,$Q$2)/$Q$2))</f>
        <v>2239.17629611295</v>
      </c>
      <c r="K253" s="15" t="n">
        <f aca="false">J253*(1+IF(K$3&lt;=$O$2,$D253,$D253-($D253-$I$238)*MIN(K$3-$O$2,$Q$2)/$Q$2))</f>
        <v>2217.25014624628</v>
      </c>
      <c r="L253" s="15" t="n">
        <f aca="false">K253*(1+IF(L$3&lt;=$O$2,$D253,$D253-($D253-$I$238)*MIN(L$3-$O$2,$Q$2)/$Q$2))</f>
        <v>2223.69190750613</v>
      </c>
      <c r="M253" s="15" t="n">
        <f aca="false">L253*(1+IF(M$3&lt;=$O$2,$D253,$D253-($D253-$I$238)*MIN(M$3-$O$2,$Q$2)/$Q$2))</f>
        <v>2258.38738622912</v>
      </c>
      <c r="N253" s="15" t="n">
        <f aca="false">M253*(1+IF(N$3&lt;=$O$2,$D253,$D253-($D253-$I$238)*MIN(N$3-$O$2,$Q$2)/$Q$2))</f>
        <v>2322.2997492594</v>
      </c>
      <c r="O253" s="15" t="n">
        <f aca="false">SUMPRODUCT(E253:N253,1/(1+$F$238)^$E$3:$N$3)*$E$2</f>
        <v>11300.7928075081</v>
      </c>
      <c r="P253" s="15" t="n">
        <f aca="false">N253*$E$2*(1+$I$238)/($F$238-$I$238)/(1+$F$238)^$N$3</f>
        <v>18442.9375472219</v>
      </c>
      <c r="Q253" s="15" t="n">
        <f aca="false">O253+P253</f>
        <v>29743.73035473</v>
      </c>
      <c r="R253" s="15" t="n">
        <f aca="false">Q253-$G$2+$I$2</f>
        <v>30513.73035473</v>
      </c>
      <c r="S253" s="42" t="n">
        <f aca="false">R253/$K$2</f>
        <v>292.193147129465</v>
      </c>
      <c r="T253" s="43" t="n">
        <f aca="false">S253-$M$2</f>
        <v>-0.0600368215071399</v>
      </c>
    </row>
    <row r="254" customFormat="false" ht="15" hidden="false" customHeight="false" outlineLevel="0" collapsed="false">
      <c r="A254" s="5" t="n">
        <v>15</v>
      </c>
      <c r="B254" s="25" t="n">
        <f aca="false">IF(T253&gt;0,B253,D253)</f>
        <v>-0.035186767578125</v>
      </c>
      <c r="C254" s="25" t="n">
        <f aca="false">IF(T253&gt;0,D253,C253)</f>
        <v>-0.03509521484375</v>
      </c>
      <c r="D254" s="41" t="n">
        <f aca="false">(B254+C254)/2</f>
        <v>-0.0351409912109375</v>
      </c>
      <c r="E254" s="15" t="n">
        <f aca="false">$C$2*(1+IF(E$3&lt;=$O$2,$D254,$D254-($D254-$I$238)*MIN(E$3-$O$2,$Q$2)/$Q$2))</f>
        <v>2643.71368408203</v>
      </c>
      <c r="F254" s="15" t="n">
        <f aca="false">E254*(1+IF(F$3&lt;=$O$2,$D254,$D254-($D254-$I$238)*MIN(F$3-$O$2,$Q$2)/$Q$2))</f>
        <v>2550.81096474547</v>
      </c>
      <c r="G254" s="15" t="n">
        <f aca="false">F254*(1+IF(G$3&lt;=$O$2,$D254,$D254-($D254-$I$238)*MIN(G$3-$O$2,$Q$2)/$Q$2))</f>
        <v>2461.17293905259</v>
      </c>
      <c r="H254" s="15" t="n">
        <f aca="false">G254*(1+IF(H$3&lt;=$O$2,$D254,$D254-($D254-$I$238)*MIN(H$3-$O$2,$Q$2)/$Q$2))</f>
        <v>2374.68488243274</v>
      </c>
      <c r="I254" s="15" t="n">
        <f aca="false">H254*(1+IF(I$3&lt;=$O$2,$D254,$D254-($D254-$I$238)*MIN(I$3-$O$2,$Q$2)/$Q$2))</f>
        <v>2291.23610185043</v>
      </c>
      <c r="J254" s="15" t="n">
        <f aca="false">I254*(1+IF(J$3&lt;=$O$2,$D254,$D254-($D254-$I$238)*MIN(J$3-$O$2,$Q$2)/$Q$2))</f>
        <v>2239.79145201305</v>
      </c>
      <c r="K254" s="15" t="n">
        <f aca="false">J254*(1+IF(K$3&lt;=$O$2,$D254,$D254-($D254-$I$238)*MIN(K$3-$O$2,$Q$2)/$Q$2))</f>
        <v>2217.92079621213</v>
      </c>
      <c r="L254" s="15" t="n">
        <f aca="false">K254*(1+IF(L$3&lt;=$O$2,$D254,$D254-($D254-$I$238)*MIN(L$3-$O$2,$Q$2)/$Q$2))</f>
        <v>2224.40511724931</v>
      </c>
      <c r="M254" s="15" t="n">
        <f aca="false">L254*(1+IF(M$3&lt;=$O$2,$D254,$D254-($D254-$I$238)*MIN(M$3-$O$2,$Q$2)/$Q$2))</f>
        <v>2259.13208896887</v>
      </c>
      <c r="N254" s="15" t="n">
        <f aca="false">M254*(1+IF(N$3&lt;=$O$2,$D254,$D254-($D254-$I$238)*MIN(N$3-$O$2,$Q$2)/$Q$2))</f>
        <v>2323.06552708669</v>
      </c>
      <c r="O254" s="15" t="n">
        <f aca="false">SUMPRODUCT(E254:N254,1/(1+$F$238)^$E$3:$N$3)*$E$2</f>
        <v>11303.071353422</v>
      </c>
      <c r="P254" s="15" t="n">
        <f aca="false">N254*$E$2*(1+$I$238)/($F$238-$I$238)/(1+$F$238)^$N$3</f>
        <v>18449.0191017879</v>
      </c>
      <c r="Q254" s="15" t="n">
        <f aca="false">O254+P254</f>
        <v>29752.09045521</v>
      </c>
      <c r="R254" s="15" t="n">
        <f aca="false">Q254-$G$2+$I$2</f>
        <v>30522.09045521</v>
      </c>
      <c r="S254" s="42" t="n">
        <f aca="false">R254/$K$2</f>
        <v>292.273201716077</v>
      </c>
      <c r="T254" s="43" t="n">
        <f aca="false">S254-$M$2</f>
        <v>0.0200177651054219</v>
      </c>
    </row>
    <row r="255" customFormat="false" ht="15" hidden="false" customHeight="false" outlineLevel="0" collapsed="false">
      <c r="A255" s="5" t="n">
        <v>16</v>
      </c>
      <c r="B255" s="25" t="n">
        <f aca="false">IF(T254&gt;0,B254,D254)</f>
        <v>-0.035186767578125</v>
      </c>
      <c r="C255" s="25" t="n">
        <f aca="false">IF(T254&gt;0,D254,C254)</f>
        <v>-0.0351409912109375</v>
      </c>
      <c r="D255" s="41" t="n">
        <f aca="false">(B255+C255)/2</f>
        <v>-0.0351638793945313</v>
      </c>
      <c r="E255" s="15" t="n">
        <f aca="false">$C$2*(1+IF(E$3&lt;=$O$2,$D255,$D255-($D255-$I$238)*MIN(E$3-$O$2,$Q$2)/$Q$2))</f>
        <v>2643.65097045898</v>
      </c>
      <c r="F255" s="15" t="n">
        <f aca="false">E255*(1+IF(F$3&lt;=$O$2,$D255,$D255-($D255-$I$238)*MIN(F$3-$O$2,$Q$2)/$Q$2))</f>
        <v>2550.68994657253</v>
      </c>
      <c r="G255" s="15" t="n">
        <f aca="false">F255*(1+IF(G$3&lt;=$O$2,$D255,$D255-($D255-$I$238)*MIN(G$3-$O$2,$Q$2)/$Q$2))</f>
        <v>2460.99779291841</v>
      </c>
      <c r="H255" s="15" t="n">
        <f aca="false">G255*(1+IF(H$3&lt;=$O$2,$D255,$D255-($D255-$I$238)*MIN(H$3-$O$2,$Q$2)/$Q$2))</f>
        <v>2374.45956333802</v>
      </c>
      <c r="I255" s="15" t="n">
        <f aca="false">H255*(1+IF(I$3&lt;=$O$2,$D255,$D255-($D255-$I$238)*MIN(I$3-$O$2,$Q$2)/$Q$2))</f>
        <v>2290.96435362561</v>
      </c>
      <c r="J255" s="15" t="n">
        <f aca="false">I255*(1+IF(J$3&lt;=$O$2,$D255,$D255-($D255-$I$238)*MIN(J$3-$O$2,$Q$2)/$Q$2))</f>
        <v>2239.48385648468</v>
      </c>
      <c r="K255" s="15" t="n">
        <f aca="false">J255*(1+IF(K$3&lt;=$O$2,$D255,$D255-($D255-$I$238)*MIN(K$3-$O$2,$Q$2)/$Q$2))</f>
        <v>2217.58544959883</v>
      </c>
      <c r="L255" s="15" t="n">
        <f aca="false">K255*(1+IF(L$3&lt;=$O$2,$D255,$D255-($D255-$I$238)*MIN(L$3-$O$2,$Q$2)/$Q$2))</f>
        <v>2224.04848761432</v>
      </c>
      <c r="M255" s="15" t="n">
        <f aca="false">L255*(1+IF(M$3&lt;=$O$2,$D255,$D255-($D255-$I$238)*MIN(M$3-$O$2,$Q$2)/$Q$2))</f>
        <v>2258.75971081669</v>
      </c>
      <c r="N255" s="15" t="n">
        <f aca="false">M255*(1+IF(N$3&lt;=$O$2,$D255,$D255-($D255-$I$238)*MIN(N$3-$O$2,$Q$2)/$Q$2))</f>
        <v>2322.6826106328</v>
      </c>
      <c r="O255" s="15" t="n">
        <f aca="false">SUMPRODUCT(E255:N255,1/(1+$F$238)^$E$3:$N$3)*$E$2</f>
        <v>11301.9320212388</v>
      </c>
      <c r="P255" s="15" t="n">
        <f aca="false">N255*$E$2*(1+$I$238)/($F$238-$I$238)/(1+$F$238)^$N$3</f>
        <v>18445.9781057894</v>
      </c>
      <c r="Q255" s="15" t="n">
        <f aca="false">O255+P255</f>
        <v>29747.9101270283</v>
      </c>
      <c r="R255" s="15" t="n">
        <f aca="false">Q255-$G$2+$I$2</f>
        <v>30517.9101270283</v>
      </c>
      <c r="S255" s="42" t="n">
        <f aca="false">R255/$K$2</f>
        <v>292.233171761259</v>
      </c>
      <c r="T255" s="43" t="n">
        <f aca="false">S255-$M$2</f>
        <v>-0.0200121897131567</v>
      </c>
    </row>
    <row r="256" customFormat="false" ht="15" hidden="false" customHeight="false" outlineLevel="0" collapsed="false">
      <c r="A256" s="5" t="n">
        <v>17</v>
      </c>
      <c r="B256" s="25" t="n">
        <f aca="false">IF(T255&gt;0,B255,D255)</f>
        <v>-0.0351638793945313</v>
      </c>
      <c r="C256" s="25" t="n">
        <f aca="false">IF(T255&gt;0,D255,C255)</f>
        <v>-0.0351409912109375</v>
      </c>
      <c r="D256" s="41" t="n">
        <f aca="false">(B256+C256)/2</f>
        <v>-0.0351524353027344</v>
      </c>
      <c r="E256" s="15" t="n">
        <f aca="false">$C$2*(1+IF(E$3&lt;=$O$2,$D256,$D256-($D256-$I$238)*MIN(E$3-$O$2,$Q$2)/$Q$2))</f>
        <v>2643.68232727051</v>
      </c>
      <c r="F256" s="15" t="n">
        <f aca="false">E256*(1+IF(F$3&lt;=$O$2,$D256,$D256-($D256-$I$238)*MIN(F$3-$O$2,$Q$2)/$Q$2))</f>
        <v>2550.75045530015</v>
      </c>
      <c r="G256" s="15" t="n">
        <f aca="false">F256*(1+IF(G$3&lt;=$O$2,$D256,$D256-($D256-$I$238)*MIN(G$3-$O$2,$Q$2)/$Q$2))</f>
        <v>2461.08536494679</v>
      </c>
      <c r="H256" s="15" t="n">
        <f aca="false">G256*(1+IF(H$3&lt;=$O$2,$D256,$D256-($D256-$I$238)*MIN(H$3-$O$2,$Q$2)/$Q$2))</f>
        <v>2374.57222088099</v>
      </c>
      <c r="I256" s="15" t="n">
        <f aca="false">H256*(1+IF(I$3&lt;=$O$2,$D256,$D256-($D256-$I$238)*MIN(I$3-$O$2,$Q$2)/$Q$2))</f>
        <v>2291.1002245148</v>
      </c>
      <c r="J256" s="15" t="n">
        <f aca="false">I256*(1+IF(J$3&lt;=$O$2,$D256,$D256-($D256-$I$238)*MIN(J$3-$O$2,$Q$2)/$Q$2))</f>
        <v>2239.63764985409</v>
      </c>
      <c r="K256" s="15" t="n">
        <f aca="false">J256*(1+IF(K$3&lt;=$O$2,$D256,$D256-($D256-$I$238)*MIN(K$3-$O$2,$Q$2)/$Q$2))</f>
        <v>2217.7531174976</v>
      </c>
      <c r="L256" s="15" t="n">
        <f aca="false">K256*(1+IF(L$3&lt;=$O$2,$D256,$D256-($D256-$I$238)*MIN(L$3-$O$2,$Q$2)/$Q$2))</f>
        <v>2224.2267962406</v>
      </c>
      <c r="M256" s="15" t="n">
        <f aca="false">L256*(1+IF(M$3&lt;=$O$2,$D256,$D256-($D256-$I$238)*MIN(M$3-$O$2,$Q$2)/$Q$2))</f>
        <v>2258.94589319679</v>
      </c>
      <c r="N256" s="15" t="n">
        <f aca="false">M256*(1+IF(N$3&lt;=$O$2,$D256,$D256-($D256-$I$238)*MIN(N$3-$O$2,$Q$2)/$Q$2))</f>
        <v>2322.87406197426</v>
      </c>
      <c r="O256" s="15" t="n">
        <f aca="false">SUMPRODUCT(E256:N256,1/(1+$F$238)^$E$3:$N$3)*$E$2</f>
        <v>11302.5016725231</v>
      </c>
      <c r="P256" s="15" t="n">
        <f aca="false">N256*$E$2*(1+$I$238)/($F$238-$I$238)/(1+$F$238)^$N$3</f>
        <v>18447.4985491065</v>
      </c>
      <c r="Q256" s="15" t="n">
        <f aca="false">O256+P256</f>
        <v>29750.0002216296</v>
      </c>
      <c r="R256" s="15" t="n">
        <f aca="false">Q256-$G$2+$I$2</f>
        <v>30520.0002216296</v>
      </c>
      <c r="S256" s="42" t="n">
        <f aca="false">R256/$K$2</f>
        <v>292.253186073251</v>
      </c>
      <c r="T256" s="43" t="n">
        <f aca="false">S256-$M$2</f>
        <v>2.12227882911975E-006</v>
      </c>
    </row>
    <row r="257" customFormat="false" ht="15" hidden="false" customHeight="false" outlineLevel="0" collapsed="false">
      <c r="A257" s="5" t="n">
        <v>18</v>
      </c>
      <c r="B257" s="25" t="n">
        <f aca="false">IF(T256&gt;0,B256,D256)</f>
        <v>-0.0351638793945313</v>
      </c>
      <c r="C257" s="25" t="n">
        <f aca="false">IF(T256&gt;0,D256,C256)</f>
        <v>-0.0351524353027344</v>
      </c>
      <c r="D257" s="41" t="n">
        <f aca="false">(B257+C257)/2</f>
        <v>-0.0351581573486328</v>
      </c>
      <c r="E257" s="15" t="n">
        <f aca="false">$C$2*(1+IF(E$3&lt;=$O$2,$D257,$D257-($D257-$I$238)*MIN(E$3-$O$2,$Q$2)/$Q$2))</f>
        <v>2643.66664886475</v>
      </c>
      <c r="F257" s="15" t="n">
        <f aca="false">E257*(1+IF(F$3&lt;=$O$2,$D257,$D257-($D257-$I$238)*MIN(F$3-$O$2,$Q$2)/$Q$2))</f>
        <v>2550.72020084663</v>
      </c>
      <c r="G257" s="15" t="n">
        <f aca="false">F257*(1+IF(G$3&lt;=$O$2,$D257,$D257-($D257-$I$238)*MIN(G$3-$O$2,$Q$2)/$Q$2))</f>
        <v>2461.04157867292</v>
      </c>
      <c r="H257" s="15" t="n">
        <f aca="false">G257*(1+IF(H$3&lt;=$O$2,$D257,$D257-($D257-$I$238)*MIN(H$3-$O$2,$Q$2)/$Q$2))</f>
        <v>2374.51589160841</v>
      </c>
      <c r="I257" s="15" t="n">
        <f aca="false">H257*(1+IF(I$3&lt;=$O$2,$D257,$D257-($D257-$I$238)*MIN(I$3-$O$2,$Q$2)/$Q$2))</f>
        <v>2291.03228826442</v>
      </c>
      <c r="J257" s="15" t="n">
        <f aca="false">I257*(1+IF(J$3&lt;=$O$2,$D257,$D257-($D257-$I$238)*MIN(J$3-$O$2,$Q$2)/$Q$2))</f>
        <v>2239.56075207071</v>
      </c>
      <c r="K257" s="15" t="n">
        <f aca="false">J257*(1+IF(K$3&lt;=$O$2,$D257,$D257-($D257-$I$238)*MIN(K$3-$O$2,$Q$2)/$Q$2))</f>
        <v>2217.66928219628</v>
      </c>
      <c r="L257" s="15" t="n">
        <f aca="false">K257*(1+IF(L$3&lt;=$O$2,$D257,$D257-($D257-$I$238)*MIN(L$3-$O$2,$Q$2)/$Q$2))</f>
        <v>2224.1376403797</v>
      </c>
      <c r="M257" s="15" t="n">
        <f aca="false">L257*(1+IF(M$3&lt;=$O$2,$D257,$D257-($D257-$I$238)*MIN(M$3-$O$2,$Q$2)/$Q$2))</f>
        <v>2258.8528003328</v>
      </c>
      <c r="N257" s="15" t="n">
        <f aca="false">M257*(1+IF(N$3&lt;=$O$2,$D257,$D257-($D257-$I$238)*MIN(N$3-$O$2,$Q$2)/$Q$2))</f>
        <v>2322.77833458222</v>
      </c>
      <c r="O257" s="15" t="n">
        <f aca="false">SUMPRODUCT(E257:N257,1/(1+$F$238)^$E$3:$N$3)*$E$2</f>
        <v>11302.2168431792</v>
      </c>
      <c r="P257" s="15" t="n">
        <f aca="false">N257*$E$2*(1+$I$238)/($F$238-$I$238)/(1+$F$238)^$N$3</f>
        <v>18446.7383137778</v>
      </c>
      <c r="Q257" s="15" t="n">
        <f aca="false">O257+P257</f>
        <v>29748.9551569571</v>
      </c>
      <c r="R257" s="15" t="n">
        <f aca="false">Q257-$G$2+$I$2</f>
        <v>30518.9551569571</v>
      </c>
      <c r="S257" s="42" t="n">
        <f aca="false">R257/$K$2</f>
        <v>292.243178750905</v>
      </c>
      <c r="T257" s="43" t="n">
        <f aca="false">S257-$M$2</f>
        <v>-0.0100052000665869</v>
      </c>
    </row>
    <row r="258" customFormat="false" ht="15" hidden="false" customHeight="false" outlineLevel="0" collapsed="false">
      <c r="A258" s="5" t="n">
        <v>19</v>
      </c>
      <c r="B258" s="25" t="n">
        <f aca="false">IF(T257&gt;0,B257,D257)</f>
        <v>-0.0351581573486328</v>
      </c>
      <c r="C258" s="25" t="n">
        <f aca="false">IF(T257&gt;0,D257,C257)</f>
        <v>-0.0351524353027344</v>
      </c>
      <c r="D258" s="41" t="n">
        <f aca="false">(B258+C258)/2</f>
        <v>-0.0351552963256836</v>
      </c>
      <c r="E258" s="15" t="n">
        <f aca="false">$C$2*(1+IF(E$3&lt;=$O$2,$D258,$D258-($D258-$I$238)*MIN(E$3-$O$2,$Q$2)/$Q$2))</f>
        <v>2643.67448806763</v>
      </c>
      <c r="F258" s="15" t="n">
        <f aca="false">E258*(1+IF(F$3&lt;=$O$2,$D258,$D258-($D258-$I$238)*MIN(F$3-$O$2,$Q$2)/$Q$2))</f>
        <v>2550.73532805096</v>
      </c>
      <c r="G258" s="15" t="n">
        <f aca="false">F258*(1+IF(G$3&lt;=$O$2,$D258,$D258-($D258-$I$238)*MIN(G$3-$O$2,$Q$2)/$Q$2))</f>
        <v>2461.06347174494</v>
      </c>
      <c r="H258" s="15" t="n">
        <f aca="false">G258*(1+IF(H$3&lt;=$O$2,$D258,$D258-($D258-$I$238)*MIN(H$3-$O$2,$Q$2)/$Q$2))</f>
        <v>2374.54405611943</v>
      </c>
      <c r="I258" s="15" t="n">
        <f aca="false">H258*(1+IF(I$3&lt;=$O$2,$D258,$D258-($D258-$I$238)*MIN(I$3-$O$2,$Q$2)/$Q$2))</f>
        <v>2291.06625618816</v>
      </c>
      <c r="J258" s="15" t="n">
        <f aca="false">I258*(1+IF(J$3&lt;=$O$2,$D258,$D258-($D258-$I$238)*MIN(J$3-$O$2,$Q$2)/$Q$2))</f>
        <v>2239.59920068773</v>
      </c>
      <c r="K258" s="15" t="n">
        <f aca="false">J258*(1+IF(K$3&lt;=$O$2,$D258,$D258-($D258-$I$238)*MIN(K$3-$O$2,$Q$2)/$Q$2))</f>
        <v>2217.71119950895</v>
      </c>
      <c r="L258" s="15" t="n">
        <f aca="false">K258*(1+IF(L$3&lt;=$O$2,$D258,$D258-($D258-$I$238)*MIN(L$3-$O$2,$Q$2)/$Q$2))</f>
        <v>2224.1822179232</v>
      </c>
      <c r="M258" s="15" t="n">
        <f aca="false">L258*(1+IF(M$3&lt;=$O$2,$D258,$D258-($D258-$I$238)*MIN(M$3-$O$2,$Q$2)/$Q$2))</f>
        <v>2258.8993463463</v>
      </c>
      <c r="N258" s="15" t="n">
        <f aca="false">M258*(1+IF(N$3&lt;=$O$2,$D258,$D258-($D258-$I$238)*MIN(N$3-$O$2,$Q$2)/$Q$2))</f>
        <v>2322.8261978479</v>
      </c>
      <c r="O258" s="15" t="n">
        <f aca="false">SUMPRODUCT(E258:N258,1/(1+$F$238)^$E$3:$N$3)*$E$2</f>
        <v>11302.3592569257</v>
      </c>
      <c r="P258" s="15" t="n">
        <f aca="false">N258*$E$2*(1+$I$238)/($F$238-$I$238)/(1+$F$238)^$N$3</f>
        <v>18447.1184280245</v>
      </c>
      <c r="Q258" s="15" t="n">
        <f aca="false">O258+P258</f>
        <v>29749.4776849503</v>
      </c>
      <c r="R258" s="15" t="n">
        <f aca="false">Q258-$G$2+$I$2</f>
        <v>30519.4776849503</v>
      </c>
      <c r="S258" s="42" t="n">
        <f aca="false">R258/$K$2</f>
        <v>292.24818237049</v>
      </c>
      <c r="T258" s="43" t="n">
        <f aca="false">S258-$M$2</f>
        <v>-0.00500158048191679</v>
      </c>
    </row>
    <row r="259" customFormat="false" ht="15" hidden="false" customHeight="false" outlineLevel="0" collapsed="false">
      <c r="A259" s="5" t="n">
        <v>20</v>
      </c>
      <c r="B259" s="25" t="n">
        <f aca="false">IF(T258&gt;0,B258,D258)</f>
        <v>-0.0351552963256836</v>
      </c>
      <c r="C259" s="25" t="n">
        <f aca="false">IF(T258&gt;0,D258,C258)</f>
        <v>-0.0351524353027344</v>
      </c>
      <c r="D259" s="41" t="n">
        <f aca="false">(B259+C259)/2</f>
        <v>-0.035153865814209</v>
      </c>
      <c r="E259" s="15" t="n">
        <f aca="false">$C$2*(1+IF(E$3&lt;=$O$2,$D259,$D259-($D259-$I$238)*MIN(E$3-$O$2,$Q$2)/$Q$2))</f>
        <v>2643.67840766907</v>
      </c>
      <c r="F259" s="15" t="n">
        <f aca="false">E259*(1+IF(F$3&lt;=$O$2,$D259,$D259-($D259-$I$238)*MIN(F$3-$O$2,$Q$2)/$Q$2))</f>
        <v>2550.74289166995</v>
      </c>
      <c r="G259" s="15" t="n">
        <f aca="false">F259*(1+IF(G$3&lt;=$O$2,$D259,$D259-($D259-$I$238)*MIN(G$3-$O$2,$Q$2)/$Q$2))</f>
        <v>2461.07441832963</v>
      </c>
      <c r="H259" s="15" t="n">
        <f aca="false">G259*(1+IF(H$3&lt;=$O$2,$D259,$D259-($D259-$I$238)*MIN(H$3-$O$2,$Q$2)/$Q$2))</f>
        <v>2374.55813846889</v>
      </c>
      <c r="I259" s="15" t="n">
        <f aca="false">H259*(1+IF(I$3&lt;=$O$2,$D259,$D259-($D259-$I$238)*MIN(I$3-$O$2,$Q$2)/$Q$2))</f>
        <v>2291.08324030112</v>
      </c>
      <c r="J259" s="15" t="n">
        <f aca="false">I259*(1+IF(J$3&lt;=$O$2,$D259,$D259-($D259-$I$238)*MIN(J$3-$O$2,$Q$2)/$Q$2))</f>
        <v>2239.61842520224</v>
      </c>
      <c r="K259" s="15" t="n">
        <f aca="false">J259*(1+IF(K$3&lt;=$O$2,$D259,$D259-($D259-$I$238)*MIN(K$3-$O$2,$Q$2)/$Q$2))</f>
        <v>2217.73215841878</v>
      </c>
      <c r="L259" s="15" t="n">
        <f aca="false">K259*(1+IF(L$3&lt;=$O$2,$D259,$D259-($D259-$I$238)*MIN(L$3-$O$2,$Q$2)/$Q$2))</f>
        <v>2224.20450698516</v>
      </c>
      <c r="M259" s="15" t="n">
        <f aca="false">L259*(1+IF(M$3&lt;=$O$2,$D259,$D259-($D259-$I$238)*MIN(M$3-$O$2,$Q$2)/$Q$2))</f>
        <v>2258.92261966692</v>
      </c>
      <c r="N259" s="15" t="n">
        <f aca="false">M259*(1+IF(N$3&lt;=$O$2,$D259,$D259-($D259-$I$238)*MIN(N$3-$O$2,$Q$2)/$Q$2))</f>
        <v>2322.8501298035</v>
      </c>
      <c r="O259" s="15" t="n">
        <f aca="false">SUMPRODUCT(E259:N259,1/(1+$F$238)^$E$3:$N$3)*$E$2</f>
        <v>11302.4304644931</v>
      </c>
      <c r="P259" s="15" t="n">
        <f aca="false">N259*$E$2*(1+$I$238)/($F$238-$I$238)/(1+$F$238)^$N$3</f>
        <v>18447.3084877111</v>
      </c>
      <c r="Q259" s="15" t="n">
        <f aca="false">O259+P259</f>
        <v>29749.7389522042</v>
      </c>
      <c r="R259" s="15" t="n">
        <f aca="false">Q259-$G$2+$I$2</f>
        <v>30519.7389522042</v>
      </c>
      <c r="S259" s="42" t="n">
        <f aca="false">R259/$K$2</f>
        <v>292.250684211473</v>
      </c>
      <c r="T259" s="43" t="n">
        <f aca="false">S259-$M$2</f>
        <v>-0.00249973949865989</v>
      </c>
    </row>
    <row r="260" customFormat="false" ht="15" hidden="false" customHeight="false" outlineLevel="0" collapsed="false">
      <c r="A260" s="5" t="n">
        <v>21</v>
      </c>
      <c r="B260" s="25" t="n">
        <f aca="false">IF(T259&gt;0,B259,D259)</f>
        <v>-0.035153865814209</v>
      </c>
      <c r="C260" s="25" t="n">
        <f aca="false">IF(T259&gt;0,D259,C259)</f>
        <v>-0.0351524353027344</v>
      </c>
      <c r="D260" s="41" t="n">
        <f aca="false">(B260+C260)/2</f>
        <v>-0.0351531505584717</v>
      </c>
      <c r="E260" s="15" t="n">
        <f aca="false">$C$2*(1+IF(E$3&lt;=$O$2,$D260,$D260-($D260-$I$238)*MIN(E$3-$O$2,$Q$2)/$Q$2))</f>
        <v>2643.68036746979</v>
      </c>
      <c r="F260" s="15" t="n">
        <f aca="false">E260*(1+IF(F$3&lt;=$O$2,$D260,$D260-($D260-$I$238)*MIN(F$3-$O$2,$Q$2)/$Q$2))</f>
        <v>2550.74667348365</v>
      </c>
      <c r="G260" s="15" t="n">
        <f aca="false">F260*(1+IF(G$3&lt;=$O$2,$D260,$D260-($D260-$I$238)*MIN(G$3-$O$2,$Q$2)/$Q$2))</f>
        <v>2461.07989163415</v>
      </c>
      <c r="H260" s="15" t="n">
        <f aca="false">G260*(1+IF(H$3&lt;=$O$2,$D260,$D260-($D260-$I$238)*MIN(H$3-$O$2,$Q$2)/$Q$2))</f>
        <v>2374.56517966711</v>
      </c>
      <c r="I260" s="15" t="n">
        <f aca="false">H260*(1+IF(I$3&lt;=$O$2,$D260,$D260-($D260-$I$238)*MIN(I$3-$O$2,$Q$2)/$Q$2))</f>
        <v>2291.09173239537</v>
      </c>
      <c r="J260" s="15" t="n">
        <f aca="false">I260*(1+IF(J$3&lt;=$O$2,$D260,$D260-($D260-$I$238)*MIN(J$3-$O$2,$Q$2)/$Q$2))</f>
        <v>2239.628037511</v>
      </c>
      <c r="K260" s="15" t="n">
        <f aca="false">J260*(1+IF(K$3&lt;=$O$2,$D260,$D260-($D260-$I$238)*MIN(K$3-$O$2,$Q$2)/$Q$2))</f>
        <v>2217.74263793706</v>
      </c>
      <c r="L260" s="15" t="n">
        <f aca="false">K260*(1+IF(L$3&lt;=$O$2,$D260,$D260-($D260-$I$238)*MIN(L$3-$O$2,$Q$2)/$Q$2))</f>
        <v>2224.2156515887</v>
      </c>
      <c r="M260" s="15" t="n">
        <f aca="false">L260*(1+IF(M$3&lt;=$O$2,$D260,$D260-($D260-$I$238)*MIN(M$3-$O$2,$Q$2)/$Q$2))</f>
        <v>2258.9342564057</v>
      </c>
      <c r="N260" s="15" t="n">
        <f aca="false">M260*(1+IF(N$3&lt;=$O$2,$D260,$D260-($D260-$I$238)*MIN(N$3-$O$2,$Q$2)/$Q$2))</f>
        <v>2322.86209586198</v>
      </c>
      <c r="O260" s="15" t="n">
        <f aca="false">SUMPRODUCT(E260:N260,1/(1+$F$238)^$E$3:$N$3)*$E$2</f>
        <v>11302.4660684503</v>
      </c>
      <c r="P260" s="15" t="n">
        <f aca="false">N260*$E$2*(1+$I$238)/($F$238-$I$238)/(1+$F$238)^$N$3</f>
        <v>18447.4035181952</v>
      </c>
      <c r="Q260" s="15" t="n">
        <f aca="false">O260+P260</f>
        <v>29749.8695866454</v>
      </c>
      <c r="R260" s="15" t="n">
        <f aca="false">Q260-$G$2+$I$2</f>
        <v>30519.8695866454</v>
      </c>
      <c r="S260" s="42" t="n">
        <f aca="false">R260/$K$2</f>
        <v>292.251935139763</v>
      </c>
      <c r="T260" s="43" t="n">
        <f aca="false">S260-$M$2</f>
        <v>-0.00124881120922282</v>
      </c>
    </row>
    <row r="261" customFormat="false" ht="15" hidden="false" customHeight="false" outlineLevel="0" collapsed="false">
      <c r="A261" s="5" t="n">
        <v>22</v>
      </c>
      <c r="B261" s="25" t="n">
        <f aca="false">IF(T260&gt;0,B260,D260)</f>
        <v>-0.0351531505584717</v>
      </c>
      <c r="C261" s="25" t="n">
        <f aca="false">IF(T260&gt;0,D260,C260)</f>
        <v>-0.0351524353027344</v>
      </c>
      <c r="D261" s="41" t="n">
        <f aca="false">(B261+C261)/2</f>
        <v>-0.035152792930603</v>
      </c>
      <c r="E261" s="15" t="n">
        <f aca="false">$C$2*(1+IF(E$3&lt;=$O$2,$D261,$D261-($D261-$I$238)*MIN(E$3-$O$2,$Q$2)/$Q$2))</f>
        <v>2643.68134737015</v>
      </c>
      <c r="F261" s="15" t="n">
        <f aca="false">E261*(1+IF(F$3&lt;=$O$2,$D261,$D261-($D261-$I$238)*MIN(F$3-$O$2,$Q$2)/$Q$2))</f>
        <v>2550.74856439155</v>
      </c>
      <c r="G261" s="15" t="n">
        <f aca="false">F261*(1+IF(G$3&lt;=$O$2,$D261,$D261-($D261-$I$238)*MIN(G$3-$O$2,$Q$2)/$Q$2))</f>
        <v>2461.08262828946</v>
      </c>
      <c r="H261" s="15" t="n">
        <f aca="false">G261*(1+IF(H$3&lt;=$O$2,$D261,$D261-($D261-$I$238)*MIN(H$3-$O$2,$Q$2)/$Q$2))</f>
        <v>2374.5687002721</v>
      </c>
      <c r="I261" s="15" t="n">
        <f aca="false">H261*(1+IF(I$3&lt;=$O$2,$D261,$D261-($D261-$I$238)*MIN(I$3-$O$2,$Q$2)/$Q$2))</f>
        <v>2291.09597845194</v>
      </c>
      <c r="J261" s="15" t="n">
        <f aca="false">I261*(1+IF(J$3&lt;=$O$2,$D261,$D261-($D261-$I$238)*MIN(J$3-$O$2,$Q$2)/$Q$2))</f>
        <v>2239.63284367825</v>
      </c>
      <c r="K261" s="15" t="n">
        <f aca="false">J261*(1+IF(K$3&lt;=$O$2,$D261,$D261-($D261-$I$238)*MIN(K$3-$O$2,$Q$2)/$Q$2))</f>
        <v>2217.74787771205</v>
      </c>
      <c r="L261" s="15" t="n">
        <f aca="false">K261*(1+IF(L$3&lt;=$O$2,$D261,$D261-($D261-$I$238)*MIN(L$3-$O$2,$Q$2)/$Q$2))</f>
        <v>2224.2212239086</v>
      </c>
      <c r="M261" s="15" t="n">
        <f aca="false">L261*(1+IF(M$3&lt;=$O$2,$D261,$D261-($D261-$I$238)*MIN(M$3-$O$2,$Q$2)/$Q$2))</f>
        <v>2258.94007479471</v>
      </c>
      <c r="N261" s="15" t="n">
        <f aca="false">M261*(1+IF(N$3&lt;=$O$2,$D261,$D261-($D261-$I$238)*MIN(N$3-$O$2,$Q$2)/$Q$2))</f>
        <v>2322.8680789114</v>
      </c>
      <c r="O261" s="15" t="n">
        <f aca="false">SUMPRODUCT(E261:N261,1/(1+$F$238)^$E$3:$N$3)*$E$2</f>
        <v>11302.4838704722</v>
      </c>
      <c r="P261" s="15" t="n">
        <f aca="false">N261*$E$2*(1+$I$238)/($F$238-$I$238)/(1+$F$238)^$N$3</f>
        <v>18447.4510335974</v>
      </c>
      <c r="Q261" s="15" t="n">
        <f aca="false">O261+P261</f>
        <v>29749.9349040697</v>
      </c>
      <c r="R261" s="15" t="n">
        <f aca="false">Q261-$G$2+$I$2</f>
        <v>30519.9349040697</v>
      </c>
      <c r="S261" s="42" t="n">
        <f aca="false">R261/$K$2</f>
        <v>292.252560605857</v>
      </c>
      <c r="T261" s="43" t="n">
        <f aca="false">S261-$M$2</f>
        <v>-0.00062334511494555</v>
      </c>
    </row>
    <row r="262" customFormat="false" ht="15" hidden="false" customHeight="false" outlineLevel="0" collapsed="false">
      <c r="A262" s="5" t="n">
        <v>23</v>
      </c>
      <c r="B262" s="25" t="n">
        <f aca="false">IF(T261&gt;0,B261,D261)</f>
        <v>-0.035152792930603</v>
      </c>
      <c r="C262" s="25" t="n">
        <f aca="false">IF(T261&gt;0,D261,C261)</f>
        <v>-0.0351524353027344</v>
      </c>
      <c r="D262" s="41" t="n">
        <f aca="false">(B262+C262)/2</f>
        <v>-0.0351526141166687</v>
      </c>
      <c r="E262" s="15" t="n">
        <f aca="false">$C$2*(1+IF(E$3&lt;=$O$2,$D262,$D262-($D262-$I$238)*MIN(E$3-$O$2,$Q$2)/$Q$2))</f>
        <v>2643.68183732033</v>
      </c>
      <c r="F262" s="15" t="n">
        <f aca="false">E262*(1+IF(F$3&lt;=$O$2,$D262,$D262-($D262-$I$238)*MIN(F$3-$O$2,$Q$2)/$Q$2))</f>
        <v>2550.74950984576</v>
      </c>
      <c r="G262" s="15" t="n">
        <f aca="false">F262*(1+IF(G$3&lt;=$O$2,$D262,$D262-($D262-$I$238)*MIN(G$3-$O$2,$Q$2)/$Q$2))</f>
        <v>2461.08399661787</v>
      </c>
      <c r="H262" s="15" t="n">
        <f aca="false">G262*(1+IF(H$3&lt;=$O$2,$D262,$D262-($D262-$I$238)*MIN(H$3-$O$2,$Q$2)/$Q$2))</f>
        <v>2374.57046057605</v>
      </c>
      <c r="I262" s="15" t="n">
        <f aca="false">H262*(1+IF(I$3&lt;=$O$2,$D262,$D262-($D262-$I$238)*MIN(I$3-$O$2,$Q$2)/$Q$2))</f>
        <v>2291.09810148258</v>
      </c>
      <c r="J262" s="15" t="n">
        <f aca="false">I262*(1+IF(J$3&lt;=$O$2,$D262,$D262-($D262-$I$238)*MIN(J$3-$O$2,$Q$2)/$Q$2))</f>
        <v>2239.6352467651</v>
      </c>
      <c r="K262" s="15" t="n">
        <f aca="false">J262*(1+IF(K$3&lt;=$O$2,$D262,$D262-($D262-$I$238)*MIN(K$3-$O$2,$Q$2)/$Q$2))</f>
        <v>2217.7504976035</v>
      </c>
      <c r="L262" s="15" t="n">
        <f aca="false">K262*(1+IF(L$3&lt;=$O$2,$D262,$D262-($D262-$I$238)*MIN(L$3-$O$2,$Q$2)/$Q$2))</f>
        <v>2224.22401007309</v>
      </c>
      <c r="M262" s="15" t="n">
        <f aca="false">L262*(1+IF(M$3&lt;=$O$2,$D262,$D262-($D262-$I$238)*MIN(M$3-$O$2,$Q$2)/$Q$2))</f>
        <v>2258.94298399412</v>
      </c>
      <c r="N262" s="15" t="n">
        <f aca="false">M262*(1+IF(N$3&lt;=$O$2,$D262,$D262-($D262-$I$238)*MIN(N$3-$O$2,$Q$2)/$Q$2))</f>
        <v>2322.87107044115</v>
      </c>
      <c r="O262" s="15" t="n">
        <f aca="false">SUMPRODUCT(E262:N262,1/(1+$F$238)^$E$3:$N$3)*$E$2</f>
        <v>11302.4927714941</v>
      </c>
      <c r="P262" s="15" t="n">
        <f aca="false">N262*$E$2*(1+$I$238)/($F$238-$I$238)/(1+$F$238)^$N$3</f>
        <v>18447.4747913386</v>
      </c>
      <c r="Q262" s="15" t="n">
        <f aca="false">O262+P262</f>
        <v>29749.9675628326</v>
      </c>
      <c r="R262" s="15" t="n">
        <f aca="false">Q262-$G$2+$I$2</f>
        <v>30519.9675628326</v>
      </c>
      <c r="S262" s="42" t="n">
        <f aca="false">R262/$K$2</f>
        <v>292.252873339391</v>
      </c>
      <c r="T262" s="43" t="n">
        <f aca="false">S262-$M$2</f>
        <v>-0.000310611580630393</v>
      </c>
    </row>
    <row r="263" customFormat="false" ht="15" hidden="false" customHeight="false" outlineLevel="0" collapsed="false">
      <c r="A263" s="5" t="n">
        <v>24</v>
      </c>
      <c r="B263" s="25" t="n">
        <f aca="false">IF(T262&gt;0,B262,D262)</f>
        <v>-0.0351526141166687</v>
      </c>
      <c r="C263" s="25" t="n">
        <f aca="false">IF(T262&gt;0,D262,C262)</f>
        <v>-0.0351524353027344</v>
      </c>
      <c r="D263" s="41" t="n">
        <f aca="false">(B263+C263)/2</f>
        <v>-0.0351525247097015</v>
      </c>
      <c r="E263" s="15" t="n">
        <f aca="false">$C$2*(1+IF(E$3&lt;=$O$2,$D263,$D263-($D263-$I$238)*MIN(E$3-$O$2,$Q$2)/$Q$2))</f>
        <v>2643.68208229542</v>
      </c>
      <c r="F263" s="15" t="n">
        <f aca="false">E263*(1+IF(F$3&lt;=$O$2,$D263,$D263-($D263-$I$238)*MIN(F$3-$O$2,$Q$2)/$Q$2))</f>
        <v>2550.74998257293</v>
      </c>
      <c r="G263" s="15" t="n">
        <f aca="false">F263*(1+IF(G$3&lt;=$O$2,$D263,$D263-($D263-$I$238)*MIN(G$3-$O$2,$Q$2)/$Q$2))</f>
        <v>2461.08468078227</v>
      </c>
      <c r="H263" s="15" t="n">
        <f aca="false">G263*(1+IF(H$3&lt;=$O$2,$D263,$D263-($D263-$I$238)*MIN(H$3-$O$2,$Q$2)/$Q$2))</f>
        <v>2374.5713407284</v>
      </c>
      <c r="I263" s="15" t="n">
        <f aca="false">H263*(1+IF(I$3&lt;=$O$2,$D263,$D263-($D263-$I$238)*MIN(I$3-$O$2,$Q$2)/$Q$2))</f>
        <v>2291.0991629985</v>
      </c>
      <c r="J263" s="15" t="n">
        <f aca="false">I263*(1+IF(J$3&lt;=$O$2,$D263,$D263-($D263-$I$238)*MIN(J$3-$O$2,$Q$2)/$Q$2))</f>
        <v>2239.63644830932</v>
      </c>
      <c r="K263" s="15" t="n">
        <f aca="false">J263*(1+IF(K$3&lt;=$O$2,$D263,$D263-($D263-$I$238)*MIN(K$3-$O$2,$Q$2)/$Q$2))</f>
        <v>2217.75180755022</v>
      </c>
      <c r="L263" s="15" t="n">
        <f aca="false">K263*(1+IF(L$3&lt;=$O$2,$D263,$D263-($D263-$I$238)*MIN(L$3-$O$2,$Q$2)/$Q$2))</f>
        <v>2224.22540315646</v>
      </c>
      <c r="M263" s="15" t="n">
        <f aca="false">L263*(1+IF(M$3&lt;=$O$2,$D263,$D263-($D263-$I$238)*MIN(M$3-$O$2,$Q$2)/$Q$2))</f>
        <v>2258.94443859505</v>
      </c>
      <c r="N263" s="15" t="n">
        <f aca="false">M263*(1+IF(N$3&lt;=$O$2,$D263,$D263-($D263-$I$238)*MIN(N$3-$O$2,$Q$2)/$Q$2))</f>
        <v>2322.87256620729</v>
      </c>
      <c r="O263" s="15" t="n">
        <f aca="false">SUMPRODUCT(E263:N263,1/(1+$F$238)^$E$3:$N$3)*$E$2</f>
        <v>11302.4972220077</v>
      </c>
      <c r="P263" s="15" t="n">
        <f aca="false">N263*$E$2*(1+$I$238)/($F$238-$I$238)/(1+$F$238)^$N$3</f>
        <v>18447.4866702192</v>
      </c>
      <c r="Q263" s="15" t="n">
        <f aca="false">O263+P263</f>
        <v>29749.9838922269</v>
      </c>
      <c r="R263" s="15" t="n">
        <f aca="false">Q263-$G$2+$I$2</f>
        <v>30519.9838922269</v>
      </c>
      <c r="S263" s="42" t="n">
        <f aca="false">R263/$K$2</f>
        <v>292.253029706281</v>
      </c>
      <c r="T263" s="43" t="n">
        <f aca="false">S263-$M$2</f>
        <v>-0.000154244691543681</v>
      </c>
    </row>
    <row r="265" customFormat="false" ht="15" hidden="false" customHeight="false" outlineLevel="0" collapsed="false">
      <c r="A265" s="38" t="s">
        <v>187</v>
      </c>
      <c r="E265" s="5" t="s">
        <v>11</v>
      </c>
      <c r="F265" s="12" t="n">
        <f aca="false">Sensitivity!$B$11</f>
        <v>0.0722772551778937</v>
      </c>
      <c r="G265" s="5" t="s">
        <v>12</v>
      </c>
      <c r="I265" s="12" t="n">
        <f aca="false">Sensitivity!$F$9</f>
        <v>0.0333</v>
      </c>
    </row>
    <row r="266" customFormat="false" ht="23.85" hidden="false" customHeight="false" outlineLevel="0" collapsed="false">
      <c r="A266" s="38" t="s">
        <v>159</v>
      </c>
      <c r="B266" s="28" t="s">
        <v>160</v>
      </c>
      <c r="C266" s="28" t="s">
        <v>161</v>
      </c>
      <c r="D266" s="28" t="s">
        <v>162</v>
      </c>
      <c r="E266" s="28" t="s">
        <v>163</v>
      </c>
      <c r="F266" s="28" t="s">
        <v>164</v>
      </c>
      <c r="G266" s="28" t="s">
        <v>165</v>
      </c>
      <c r="H266" s="28" t="s">
        <v>166</v>
      </c>
      <c r="I266" s="28" t="s">
        <v>167</v>
      </c>
      <c r="J266" s="28" t="s">
        <v>168</v>
      </c>
      <c r="K266" s="28" t="s">
        <v>169</v>
      </c>
      <c r="L266" s="28" t="s">
        <v>170</v>
      </c>
      <c r="M266" s="28" t="s">
        <v>171</v>
      </c>
      <c r="N266" s="28" t="s">
        <v>172</v>
      </c>
      <c r="O266" s="28" t="s">
        <v>173</v>
      </c>
      <c r="P266" s="28" t="s">
        <v>174</v>
      </c>
      <c r="Q266" s="28" t="s">
        <v>175</v>
      </c>
      <c r="R266" s="28" t="s">
        <v>176</v>
      </c>
      <c r="S266" s="28" t="s">
        <v>177</v>
      </c>
      <c r="T266" s="28" t="s">
        <v>178</v>
      </c>
    </row>
    <row r="267" customFormat="false" ht="15" hidden="false" customHeight="false" outlineLevel="0" collapsed="false">
      <c r="A267" s="5" t="n">
        <v>1</v>
      </c>
      <c r="B267" s="24" t="n">
        <v>-0.5</v>
      </c>
      <c r="C267" s="24" t="n">
        <v>1</v>
      </c>
      <c r="D267" s="41" t="n">
        <f aca="false">(B267+C267)/2</f>
        <v>0.25</v>
      </c>
      <c r="E267" s="15" t="n">
        <f aca="false">$C$2*(1+IF(E$3&lt;=$O$2,$D267,$D267-($D267-$I$265)*MIN(E$3-$O$2,$Q$2)/$Q$2))</f>
        <v>3425</v>
      </c>
      <c r="F267" s="15" t="n">
        <f aca="false">E267*(1+IF(F$3&lt;=$O$2,$D267,$D267-($D267-$I$265)*MIN(F$3-$O$2,$Q$2)/$Q$2))</f>
        <v>4281.25</v>
      </c>
      <c r="G267" s="15" t="n">
        <f aca="false">F267*(1+IF(G$3&lt;=$O$2,$D267,$D267-($D267-$I$265)*MIN(G$3-$O$2,$Q$2)/$Q$2))</f>
        <v>5351.5625</v>
      </c>
      <c r="H267" s="15" t="n">
        <f aca="false">G267*(1+IF(H$3&lt;=$O$2,$D267,$D267-($D267-$I$265)*MIN(H$3-$O$2,$Q$2)/$Q$2))</f>
        <v>6689.453125</v>
      </c>
      <c r="I267" s="15" t="n">
        <f aca="false">H267*(1+IF(I$3&lt;=$O$2,$D267,$D267-($D267-$I$265)*MIN(I$3-$O$2,$Q$2)/$Q$2))</f>
        <v>8361.81640625</v>
      </c>
      <c r="J267" s="15" t="n">
        <f aca="false">I267*(1+IF(J$3&lt;=$O$2,$D267,$D267-($D267-$I$265)*MIN(J$3-$O$2,$Q$2)/$Q$2))</f>
        <v>10089.8693847656</v>
      </c>
      <c r="K267" s="15" t="n">
        <f aca="false">J267*(1+IF(K$3&lt;=$O$2,$D267,$D267-($D267-$I$265)*MIN(K$3-$O$2,$Q$2)/$Q$2))</f>
        <v>11737.7468526855</v>
      </c>
      <c r="L267" s="15" t="n">
        <f aca="false">K267*(1+IF(L$3&lt;=$O$2,$D267,$D267-($D267-$I$265)*MIN(L$3-$O$2,$Q$2)/$Q$2))</f>
        <v>13146.0417200708</v>
      </c>
      <c r="M267" s="15" t="n">
        <f aca="false">L267*(1+IF(M$3&lt;=$O$2,$D267,$D267-($D267-$I$265)*MIN(M$3-$O$2,$Q$2)/$Q$2))</f>
        <v>14153.554357497</v>
      </c>
      <c r="N267" s="15" t="n">
        <f aca="false">M267*(1+IF(N$3&lt;=$O$2,$D267,$D267-($D267-$I$265)*MIN(N$3-$O$2,$Q$2)/$Q$2))</f>
        <v>14624.8677176016</v>
      </c>
      <c r="O267" s="15" t="n">
        <f aca="false">SUMPRODUCT(E267:N267,1/(1+$F$265)^$E$3:$N$3)*$E$2</f>
        <v>39863.7906541768</v>
      </c>
      <c r="P267" s="15" t="n">
        <f aca="false">N267*$E$2*(1+$I$265)/($F$265-$I$265)/(1+$F$265)^$N$3</f>
        <v>131682.246710104</v>
      </c>
      <c r="Q267" s="15" t="n">
        <f aca="false">O267+P267</f>
        <v>171546.037364281</v>
      </c>
      <c r="R267" s="15" t="n">
        <f aca="false">Q267-$G$2+$I$2</f>
        <v>172316.037364281</v>
      </c>
      <c r="S267" s="42" t="n">
        <f aca="false">R267/$K$2</f>
        <v>1650.06260044318</v>
      </c>
      <c r="T267" s="43" t="n">
        <f aca="false">S267-$M$2</f>
        <v>1357.8094164922</v>
      </c>
    </row>
    <row r="268" customFormat="false" ht="15" hidden="false" customHeight="false" outlineLevel="0" collapsed="false">
      <c r="A268" s="5" t="n">
        <v>2</v>
      </c>
      <c r="B268" s="25" t="n">
        <f aca="false">IF(T267&gt;0,B267,D267)</f>
        <v>-0.5</v>
      </c>
      <c r="C268" s="25" t="n">
        <f aca="false">IF(T267&gt;0,D267,C267)</f>
        <v>0.25</v>
      </c>
      <c r="D268" s="41" t="n">
        <f aca="false">(B268+C268)/2</f>
        <v>-0.125</v>
      </c>
      <c r="E268" s="15" t="n">
        <f aca="false">$C$2*(1+IF(E$3&lt;=$O$2,$D268,$D268-($D268-$I$265)*MIN(E$3-$O$2,$Q$2)/$Q$2))</f>
        <v>2397.5</v>
      </c>
      <c r="F268" s="15" t="n">
        <f aca="false">E268*(1+IF(F$3&lt;=$O$2,$D268,$D268-($D268-$I$265)*MIN(F$3-$O$2,$Q$2)/$Q$2))</f>
        <v>2097.8125</v>
      </c>
      <c r="G268" s="15" t="n">
        <f aca="false">F268*(1+IF(G$3&lt;=$O$2,$D268,$D268-($D268-$I$265)*MIN(G$3-$O$2,$Q$2)/$Q$2))</f>
        <v>1835.5859375</v>
      </c>
      <c r="H268" s="15" t="n">
        <f aca="false">G268*(1+IF(H$3&lt;=$O$2,$D268,$D268-($D268-$I$265)*MIN(H$3-$O$2,$Q$2)/$Q$2))</f>
        <v>1606.1376953125</v>
      </c>
      <c r="I268" s="15" t="n">
        <f aca="false">H268*(1+IF(I$3&lt;=$O$2,$D268,$D268-($D268-$I$265)*MIN(I$3-$O$2,$Q$2)/$Q$2))</f>
        <v>1405.37048339844</v>
      </c>
      <c r="J268" s="15" t="n">
        <f aca="false">I268*(1+IF(J$3&lt;=$O$2,$D268,$D268-($D268-$I$265)*MIN(J$3-$O$2,$Q$2)/$Q$2))</f>
        <v>1274.19320247803</v>
      </c>
      <c r="K268" s="15" t="n">
        <f aca="false">J268*(1+IF(K$3&lt;=$O$2,$D268,$D268-($D268-$I$265)*MIN(K$3-$O$2,$Q$2)/$Q$2))</f>
        <v>1195.60096574918</v>
      </c>
      <c r="L268" s="15" t="n">
        <f aca="false">K268*(1+IF(L$3&lt;=$O$2,$D268,$D268-($D268-$I$265)*MIN(L$3-$O$2,$Q$2)/$Q$2))</f>
        <v>1159.70902475739</v>
      </c>
      <c r="M268" s="15" t="n">
        <f aca="false">L268*(1+IF(M$3&lt;=$O$2,$D268,$D268-($D268-$I$265)*MIN(M$3-$O$2,$Q$2)/$Q$2))</f>
        <v>1161.61094755799</v>
      </c>
      <c r="N268" s="15" t="n">
        <f aca="false">M268*(1+IF(N$3&lt;=$O$2,$D268,$D268-($D268-$I$265)*MIN(N$3-$O$2,$Q$2)/$Q$2))</f>
        <v>1200.29259211168</v>
      </c>
      <c r="O268" s="15" t="n">
        <f aca="false">SUMPRODUCT(E268:N268,1/(1+$F$265)^$E$3:$N$3)*$E$2</f>
        <v>7649.43843776376</v>
      </c>
      <c r="P268" s="15" t="n">
        <f aca="false">N268*$E$2*(1+$I$265)/($F$265-$I$265)/(1+$F$265)^$N$3</f>
        <v>10807.429392919</v>
      </c>
      <c r="Q268" s="15" t="n">
        <f aca="false">O268+P268</f>
        <v>18456.8678306828</v>
      </c>
      <c r="R268" s="15" t="n">
        <f aca="false">Q268-$G$2+$I$2</f>
        <v>19226.8678306828</v>
      </c>
      <c r="S268" s="42" t="n">
        <f aca="false">R268/$K$2</f>
        <v>184.112494787731</v>
      </c>
      <c r="T268" s="43" t="n">
        <f aca="false">S268-$M$2</f>
        <v>-108.140689163241</v>
      </c>
    </row>
    <row r="269" customFormat="false" ht="15" hidden="false" customHeight="false" outlineLevel="0" collapsed="false">
      <c r="A269" s="5" t="n">
        <v>3</v>
      </c>
      <c r="B269" s="25" t="n">
        <f aca="false">IF(T268&gt;0,B268,D268)</f>
        <v>-0.125</v>
      </c>
      <c r="C269" s="25" t="n">
        <f aca="false">IF(T268&gt;0,D268,C268)</f>
        <v>0.25</v>
      </c>
      <c r="D269" s="41" t="n">
        <f aca="false">(B269+C269)/2</f>
        <v>0.0625</v>
      </c>
      <c r="E269" s="15" t="n">
        <f aca="false">$C$2*(1+IF(E$3&lt;=$O$2,$D269,$D269-($D269-$I$265)*MIN(E$3-$O$2,$Q$2)/$Q$2))</f>
        <v>2911.25</v>
      </c>
      <c r="F269" s="15" t="n">
        <f aca="false">E269*(1+IF(F$3&lt;=$O$2,$D269,$D269-($D269-$I$265)*MIN(F$3-$O$2,$Q$2)/$Q$2))</f>
        <v>3093.203125</v>
      </c>
      <c r="G269" s="15" t="n">
        <f aca="false">F269*(1+IF(G$3&lt;=$O$2,$D269,$D269-($D269-$I$265)*MIN(G$3-$O$2,$Q$2)/$Q$2))</f>
        <v>3286.5283203125</v>
      </c>
      <c r="H269" s="15" t="n">
        <f aca="false">G269*(1+IF(H$3&lt;=$O$2,$D269,$D269-($D269-$I$265)*MIN(H$3-$O$2,$Q$2)/$Q$2))</f>
        <v>3491.93634033203</v>
      </c>
      <c r="I269" s="15" t="n">
        <f aca="false">H269*(1+IF(I$3&lt;=$O$2,$D269,$D269-($D269-$I$265)*MIN(I$3-$O$2,$Q$2)/$Q$2))</f>
        <v>3710.18236160278</v>
      </c>
      <c r="J269" s="15" t="n">
        <f aca="false">I269*(1+IF(J$3&lt;=$O$2,$D269,$D269-($D269-$I$265)*MIN(J$3-$O$2,$Q$2)/$Q$2))</f>
        <v>3920.4012942112</v>
      </c>
      <c r="K269" s="15" t="n">
        <f aca="false">J269*(1+IF(K$3&lt;=$O$2,$D269,$D269-($D269-$I$265)*MIN(K$3-$O$2,$Q$2)/$Q$2))</f>
        <v>4119.63608798301</v>
      </c>
      <c r="L269" s="15" t="n">
        <f aca="false">K269*(1+IF(L$3&lt;=$O$2,$D269,$D269-($D269-$I$265)*MIN(L$3-$O$2,$Q$2)/$Q$2))</f>
        <v>4304.93731922049</v>
      </c>
      <c r="M269" s="15" t="n">
        <f aca="false">L269*(1+IF(M$3&lt;=$O$2,$D269,$D269-($D269-$I$265)*MIN(M$3-$O$2,$Q$2)/$Q$2))</f>
        <v>4473.43256589478</v>
      </c>
      <c r="N269" s="15" t="n">
        <f aca="false">M269*(1+IF(N$3&lt;=$O$2,$D269,$D269-($D269-$I$265)*MIN(N$3-$O$2,$Q$2)/$Q$2))</f>
        <v>4622.39787033907</v>
      </c>
      <c r="O269" s="15" t="n">
        <f aca="false">SUMPRODUCT(E269:N269,1/(1+$F$265)^$E$3:$N$3)*$E$2</f>
        <v>17462.8969443032</v>
      </c>
      <c r="P269" s="15" t="n">
        <f aca="false">N269*$E$2*(1+$I$265)/($F$265-$I$265)/(1+$F$265)^$N$3</f>
        <v>41620.0507592741</v>
      </c>
      <c r="Q269" s="15" t="n">
        <f aca="false">O269+P269</f>
        <v>59082.9477035773</v>
      </c>
      <c r="R269" s="15" t="n">
        <f aca="false">Q269-$G$2+$I$2</f>
        <v>59852.9477035773</v>
      </c>
      <c r="S269" s="42" t="n">
        <f aca="false">R269/$K$2</f>
        <v>573.139401547231</v>
      </c>
      <c r="T269" s="43" t="n">
        <f aca="false">S269-$M$2</f>
        <v>280.886217596259</v>
      </c>
    </row>
    <row r="270" customFormat="false" ht="15" hidden="false" customHeight="false" outlineLevel="0" collapsed="false">
      <c r="A270" s="5" t="n">
        <v>4</v>
      </c>
      <c r="B270" s="25" t="n">
        <f aca="false">IF(T269&gt;0,B269,D269)</f>
        <v>-0.125</v>
      </c>
      <c r="C270" s="25" t="n">
        <f aca="false">IF(T269&gt;0,D269,C269)</f>
        <v>0.0625</v>
      </c>
      <c r="D270" s="41" t="n">
        <f aca="false">(B270+C270)/2</f>
        <v>-0.03125</v>
      </c>
      <c r="E270" s="15" t="n">
        <f aca="false">$C$2*(1+IF(E$3&lt;=$O$2,$D270,$D270-($D270-$I$265)*MIN(E$3-$O$2,$Q$2)/$Q$2))</f>
        <v>2654.375</v>
      </c>
      <c r="F270" s="15" t="n">
        <f aca="false">E270*(1+IF(F$3&lt;=$O$2,$D270,$D270-($D270-$I$265)*MIN(F$3-$O$2,$Q$2)/$Q$2))</f>
        <v>2571.42578125</v>
      </c>
      <c r="G270" s="15" t="n">
        <f aca="false">F270*(1+IF(G$3&lt;=$O$2,$D270,$D270-($D270-$I$265)*MIN(G$3-$O$2,$Q$2)/$Q$2))</f>
        <v>2491.06872558594</v>
      </c>
      <c r="H270" s="15" t="n">
        <f aca="false">G270*(1+IF(H$3&lt;=$O$2,$D270,$D270-($D270-$I$265)*MIN(H$3-$O$2,$Q$2)/$Q$2))</f>
        <v>2413.22282791138</v>
      </c>
      <c r="I270" s="15" t="n">
        <f aca="false">H270*(1+IF(I$3&lt;=$O$2,$D270,$D270-($D270-$I$265)*MIN(I$3-$O$2,$Q$2)/$Q$2))</f>
        <v>2337.80961453915</v>
      </c>
      <c r="J270" s="15" t="n">
        <f aca="false">I270*(1+IF(J$3&lt;=$O$2,$D270,$D270-($D270-$I$265)*MIN(J$3-$O$2,$Q$2)/$Q$2))</f>
        <v>2294.9341862085</v>
      </c>
      <c r="K270" s="15" t="n">
        <f aca="false">J270*(1+IF(K$3&lt;=$O$2,$D270,$D270-($D270-$I$265)*MIN(K$3-$O$2,$Q$2)/$Q$2))</f>
        <v>2282.47269357739</v>
      </c>
      <c r="L270" s="15" t="n">
        <f aca="false">K270*(1+IF(L$3&lt;=$O$2,$D270,$D270-($D270-$I$265)*MIN(L$3-$O$2,$Q$2)/$Q$2))</f>
        <v>2299.54558932534</v>
      </c>
      <c r="M270" s="15" t="n">
        <f aca="false">L270*(1+IF(M$3&lt;=$O$2,$D270,$D270-($D270-$I$265)*MIN(M$3-$O$2,$Q$2)/$Q$2))</f>
        <v>2346.43332389169</v>
      </c>
      <c r="N270" s="15" t="n">
        <f aca="false">M270*(1+IF(N$3&lt;=$O$2,$D270,$D270-($D270-$I$265)*MIN(N$3-$O$2,$Q$2)/$Q$2))</f>
        <v>2424.56955357728</v>
      </c>
      <c r="O270" s="15" t="n">
        <f aca="false">SUMPRODUCT(E270:N270,1/(1+$F$265)^$E$3:$N$3)*$E$2</f>
        <v>11528.363047827</v>
      </c>
      <c r="P270" s="15" t="n">
        <f aca="false">N270*$E$2*(1+$I$265)/($F$265-$I$265)/(1+$F$265)^$N$3</f>
        <v>21830.8139454631</v>
      </c>
      <c r="Q270" s="15" t="n">
        <f aca="false">O270+P270</f>
        <v>33359.1769932901</v>
      </c>
      <c r="R270" s="15" t="n">
        <f aca="false">Q270-$G$2+$I$2</f>
        <v>34129.1769932901</v>
      </c>
      <c r="S270" s="42" t="n">
        <f aca="false">R270/$K$2</f>
        <v>326.8139135621</v>
      </c>
      <c r="T270" s="43" t="n">
        <f aca="false">S270-$M$2</f>
        <v>34.5607296111281</v>
      </c>
    </row>
    <row r="271" customFormat="false" ht="15" hidden="false" customHeight="false" outlineLevel="0" collapsed="false">
      <c r="A271" s="5" t="n">
        <v>5</v>
      </c>
      <c r="B271" s="25" t="n">
        <f aca="false">IF(T270&gt;0,B270,D270)</f>
        <v>-0.125</v>
      </c>
      <c r="C271" s="25" t="n">
        <f aca="false">IF(T270&gt;0,D270,C270)</f>
        <v>-0.03125</v>
      </c>
      <c r="D271" s="41" t="n">
        <f aca="false">(B271+C271)/2</f>
        <v>-0.078125</v>
      </c>
      <c r="E271" s="15" t="n">
        <f aca="false">$C$2*(1+IF(E$3&lt;=$O$2,$D271,$D271-($D271-$I$265)*MIN(E$3-$O$2,$Q$2)/$Q$2))</f>
        <v>2525.9375</v>
      </c>
      <c r="F271" s="15" t="n">
        <f aca="false">E271*(1+IF(F$3&lt;=$O$2,$D271,$D271-($D271-$I$265)*MIN(F$3-$O$2,$Q$2)/$Q$2))</f>
        <v>2328.5986328125</v>
      </c>
      <c r="G271" s="15" t="n">
        <f aca="false">F271*(1+IF(G$3&lt;=$O$2,$D271,$D271-($D271-$I$265)*MIN(G$3-$O$2,$Q$2)/$Q$2))</f>
        <v>2146.67686462402</v>
      </c>
      <c r="H271" s="15" t="n">
        <f aca="false">G271*(1+IF(H$3&lt;=$O$2,$D271,$D271-($D271-$I$265)*MIN(H$3-$O$2,$Q$2)/$Q$2))</f>
        <v>1978.96773457527</v>
      </c>
      <c r="I271" s="15" t="n">
        <f aca="false">H271*(1+IF(I$3&lt;=$O$2,$D271,$D271-($D271-$I$265)*MIN(I$3-$O$2,$Q$2)/$Q$2))</f>
        <v>1824.36088031158</v>
      </c>
      <c r="J271" s="15" t="n">
        <f aca="false">I271*(1+IF(J$3&lt;=$O$2,$D271,$D271-($D271-$I$265)*MIN(J$3-$O$2,$Q$2)/$Q$2))</f>
        <v>1722.48856875498</v>
      </c>
      <c r="K271" s="15" t="n">
        <f aca="false">J271*(1+IF(K$3&lt;=$O$2,$D271,$D271-($D271-$I$265)*MIN(K$3-$O$2,$Q$2)/$Q$2))</f>
        <v>1664.69046483041</v>
      </c>
      <c r="L271" s="15" t="n">
        <f aca="false">K271*(1+IF(L$3&lt;=$O$2,$D271,$D271-($D271-$I$265)*MIN(L$3-$O$2,$Q$2)/$Q$2))</f>
        <v>1645.92940329177</v>
      </c>
      <c r="M271" s="15" t="n">
        <f aca="false">L271*(1+IF(M$3&lt;=$O$2,$D271,$D271-($D271-$I$265)*MIN(M$3-$O$2,$Q$2)/$Q$2))</f>
        <v>1664.05931566903</v>
      </c>
      <c r="N271" s="15" t="n">
        <f aca="false">M271*(1+IF(N$3&lt;=$O$2,$D271,$D271-($D271-$I$265)*MIN(N$3-$O$2,$Q$2)/$Q$2))</f>
        <v>1719.47249088081</v>
      </c>
      <c r="O271" s="15" t="n">
        <f aca="false">SUMPRODUCT(E271:N271,1/(1+$F$265)^$E$3:$N$3)*$E$2</f>
        <v>9381.49130209368</v>
      </c>
      <c r="P271" s="15" t="n">
        <f aca="false">N271*$E$2*(1+$I$265)/($F$265-$I$265)/(1+$F$265)^$N$3</f>
        <v>15482.1229926677</v>
      </c>
      <c r="Q271" s="15" t="n">
        <f aca="false">O271+P271</f>
        <v>24863.6142947613</v>
      </c>
      <c r="R271" s="15" t="n">
        <f aca="false">Q271-$G$2+$I$2</f>
        <v>25633.6142947613</v>
      </c>
      <c r="S271" s="42" t="n">
        <f aca="false">R271/$K$2</f>
        <v>245.462168866814</v>
      </c>
      <c r="T271" s="43" t="n">
        <f aca="false">S271-$M$2</f>
        <v>-46.7910150841584</v>
      </c>
    </row>
    <row r="272" customFormat="false" ht="15" hidden="false" customHeight="false" outlineLevel="0" collapsed="false">
      <c r="A272" s="5" t="n">
        <v>6</v>
      </c>
      <c r="B272" s="25" t="n">
        <f aca="false">IF(T271&gt;0,B271,D271)</f>
        <v>-0.078125</v>
      </c>
      <c r="C272" s="25" t="n">
        <f aca="false">IF(T271&gt;0,D271,C271)</f>
        <v>-0.03125</v>
      </c>
      <c r="D272" s="41" t="n">
        <f aca="false">(B272+C272)/2</f>
        <v>-0.0546875</v>
      </c>
      <c r="E272" s="15" t="n">
        <f aca="false">$C$2*(1+IF(E$3&lt;=$O$2,$D272,$D272-($D272-$I$265)*MIN(E$3-$O$2,$Q$2)/$Q$2))</f>
        <v>2590.15625</v>
      </c>
      <c r="F272" s="15" t="n">
        <f aca="false">E272*(1+IF(F$3&lt;=$O$2,$D272,$D272-($D272-$I$265)*MIN(F$3-$O$2,$Q$2)/$Q$2))</f>
        <v>2448.50708007813</v>
      </c>
      <c r="G272" s="15" t="n">
        <f aca="false">F272*(1+IF(G$3&lt;=$O$2,$D272,$D272-($D272-$I$265)*MIN(G$3-$O$2,$Q$2)/$Q$2))</f>
        <v>2314.60434913635</v>
      </c>
      <c r="H272" s="15" t="n">
        <f aca="false">G272*(1+IF(H$3&lt;=$O$2,$D272,$D272-($D272-$I$265)*MIN(H$3-$O$2,$Q$2)/$Q$2))</f>
        <v>2188.02442379296</v>
      </c>
      <c r="I272" s="15" t="n">
        <f aca="false">H272*(1+IF(I$3&lt;=$O$2,$D272,$D272-($D272-$I$265)*MIN(I$3-$O$2,$Q$2)/$Q$2))</f>
        <v>2068.36683811678</v>
      </c>
      <c r="J272" s="15" t="n">
        <f aca="false">I272*(1+IF(J$3&lt;=$O$2,$D272,$D272-($D272-$I$265)*MIN(J$3-$O$2,$Q$2)/$Q$2))</f>
        <v>1991.65111209103</v>
      </c>
      <c r="K272" s="15" t="n">
        <f aca="false">J272*(1+IF(K$3&lt;=$O$2,$D272,$D272-($D272-$I$265)*MIN(K$3-$O$2,$Q$2)/$Q$2))</f>
        <v>1952.8288527886</v>
      </c>
      <c r="L272" s="15" t="n">
        <f aca="false">K272*(1+IF(L$3&lt;=$O$2,$D272,$D272-($D272-$I$265)*MIN(L$3-$O$2,$Q$2)/$Q$2))</f>
        <v>1949.12824211256</v>
      </c>
      <c r="M272" s="15" t="n">
        <f aca="false">L272*(1+IF(M$3&lt;=$O$2,$D272,$D272-($D272-$I$265)*MIN(M$3-$O$2,$Q$2)/$Q$2))</f>
        <v>1979.73442833433</v>
      </c>
      <c r="N272" s="15" t="n">
        <f aca="false">M272*(1+IF(N$3&lt;=$O$2,$D272,$D272-($D272-$I$265)*MIN(N$3-$O$2,$Q$2)/$Q$2))</f>
        <v>2045.65958479787</v>
      </c>
      <c r="O272" s="15" t="n">
        <f aca="false">SUMPRODUCT(E272:N272,1/(1+$F$265)^$E$3:$N$3)*$E$2</f>
        <v>10397.5666426193</v>
      </c>
      <c r="P272" s="15" t="n">
        <f aca="false">N272*$E$2*(1+$I$265)/($F$265-$I$265)/(1+$F$265)^$N$3</f>
        <v>18419.1101985856</v>
      </c>
      <c r="Q272" s="15" t="n">
        <f aca="false">O272+P272</f>
        <v>28816.6768412049</v>
      </c>
      <c r="R272" s="15" t="n">
        <f aca="false">Q272-$G$2+$I$2</f>
        <v>29586.6768412049</v>
      </c>
      <c r="S272" s="42" t="n">
        <f aca="false">R272/$K$2</f>
        <v>283.315875143205</v>
      </c>
      <c r="T272" s="43" t="n">
        <f aca="false">S272-$M$2</f>
        <v>-8.9373088077673</v>
      </c>
    </row>
    <row r="273" customFormat="false" ht="15" hidden="false" customHeight="false" outlineLevel="0" collapsed="false">
      <c r="A273" s="5" t="n">
        <v>7</v>
      </c>
      <c r="B273" s="25" t="n">
        <f aca="false">IF(T272&gt;0,B272,D272)</f>
        <v>-0.0546875</v>
      </c>
      <c r="C273" s="25" t="n">
        <f aca="false">IF(T272&gt;0,D272,C272)</f>
        <v>-0.03125</v>
      </c>
      <c r="D273" s="41" t="n">
        <f aca="false">(B273+C273)/2</f>
        <v>-0.04296875</v>
      </c>
      <c r="E273" s="15" t="n">
        <f aca="false">$C$2*(1+IF(E$3&lt;=$O$2,$D273,$D273-($D273-$I$265)*MIN(E$3-$O$2,$Q$2)/$Q$2))</f>
        <v>2622.265625</v>
      </c>
      <c r="F273" s="15" t="n">
        <f aca="false">E273*(1+IF(F$3&lt;=$O$2,$D273,$D273-($D273-$I$265)*MIN(F$3-$O$2,$Q$2)/$Q$2))</f>
        <v>2509.59014892578</v>
      </c>
      <c r="G273" s="15" t="n">
        <f aca="false">F273*(1+IF(G$3&lt;=$O$2,$D273,$D273-($D273-$I$265)*MIN(G$3-$O$2,$Q$2)/$Q$2))</f>
        <v>2401.75619721413</v>
      </c>
      <c r="H273" s="15" t="n">
        <f aca="false">G273*(1+IF(H$3&lt;=$O$2,$D273,$D273-($D273-$I$265)*MIN(H$3-$O$2,$Q$2)/$Q$2))</f>
        <v>2298.55573561508</v>
      </c>
      <c r="I273" s="15" t="n">
        <f aca="false">H273*(1+IF(I$3&lt;=$O$2,$D273,$D273-($D273-$I$265)*MIN(I$3-$O$2,$Q$2)/$Q$2))</f>
        <v>2199.78966885037</v>
      </c>
      <c r="J273" s="15" t="n">
        <f aca="false">I273*(1+IF(J$3&lt;=$O$2,$D273,$D273-($D273-$I$265)*MIN(J$3-$O$2,$Q$2)/$Q$2))</f>
        <v>2138.82249817818</v>
      </c>
      <c r="K273" s="15" t="n">
        <f aca="false">J273*(1+IF(K$3&lt;=$O$2,$D273,$D273-($D273-$I$265)*MIN(K$3-$O$2,$Q$2)/$Q$2))</f>
        <v>2112.17009632276</v>
      </c>
      <c r="L273" s="15" t="n">
        <f aca="false">K273*(1+IF(L$3&lt;=$O$2,$D273,$D273-($D273-$I$265)*MIN(L$3-$O$2,$Q$2)/$Q$2))</f>
        <v>2118.06833131674</v>
      </c>
      <c r="M273" s="15" t="n">
        <f aca="false">L273*(1+IF(M$3&lt;=$O$2,$D273,$D273-($D273-$I$265)*MIN(M$3-$O$2,$Q$2)/$Q$2))</f>
        <v>2156.29152194077</v>
      </c>
      <c r="N273" s="15" t="n">
        <f aca="false">M273*(1+IF(N$3&lt;=$O$2,$D273,$D273-($D273-$I$265)*MIN(N$3-$O$2,$Q$2)/$Q$2))</f>
        <v>2228.09602962139</v>
      </c>
      <c r="O273" s="15" t="n">
        <f aca="false">SUMPRODUCT(E273:N273,1/(1+$F$265)^$E$3:$N$3)*$E$2</f>
        <v>10947.880278233</v>
      </c>
      <c r="P273" s="15" t="n">
        <f aca="false">N273*$E$2*(1+$I$265)/($F$265-$I$265)/(1+$F$265)^$N$3</f>
        <v>20061.7671716297</v>
      </c>
      <c r="Q273" s="15" t="n">
        <f aca="false">O273+P273</f>
        <v>31009.6474498627</v>
      </c>
      <c r="R273" s="15" t="n">
        <f aca="false">Q273-$G$2+$I$2</f>
        <v>31779.6474498627</v>
      </c>
      <c r="S273" s="42" t="n">
        <f aca="false">R273/$K$2</f>
        <v>304.315306424042</v>
      </c>
      <c r="T273" s="43" t="n">
        <f aca="false">S273-$M$2</f>
        <v>12.0621224730699</v>
      </c>
    </row>
    <row r="274" customFormat="false" ht="15" hidden="false" customHeight="false" outlineLevel="0" collapsed="false">
      <c r="A274" s="5" t="n">
        <v>8</v>
      </c>
      <c r="B274" s="25" t="n">
        <f aca="false">IF(T273&gt;0,B273,D273)</f>
        <v>-0.0546875</v>
      </c>
      <c r="C274" s="25" t="n">
        <f aca="false">IF(T273&gt;0,D273,C273)</f>
        <v>-0.04296875</v>
      </c>
      <c r="D274" s="41" t="n">
        <f aca="false">(B274+C274)/2</f>
        <v>-0.048828125</v>
      </c>
      <c r="E274" s="15" t="n">
        <f aca="false">$C$2*(1+IF(E$3&lt;=$O$2,$D274,$D274-($D274-$I$265)*MIN(E$3-$O$2,$Q$2)/$Q$2))</f>
        <v>2606.2109375</v>
      </c>
      <c r="F274" s="15" t="n">
        <f aca="false">E274*(1+IF(F$3&lt;=$O$2,$D274,$D274-($D274-$I$265)*MIN(F$3-$O$2,$Q$2)/$Q$2))</f>
        <v>2478.95454406738</v>
      </c>
      <c r="G274" s="15" t="n">
        <f aca="false">F274*(1+IF(G$3&lt;=$O$2,$D274,$D274-($D274-$I$265)*MIN(G$3-$O$2,$Q$2)/$Q$2))</f>
        <v>2357.91184172034</v>
      </c>
      <c r="H274" s="15" t="n">
        <f aca="false">G274*(1+IF(H$3&lt;=$O$2,$D274,$D274-($D274-$I$265)*MIN(H$3-$O$2,$Q$2)/$Q$2))</f>
        <v>2242.77942757384</v>
      </c>
      <c r="I274" s="15" t="n">
        <f aca="false">H274*(1+IF(I$3&lt;=$O$2,$D274,$D274-($D274-$I$265)*MIN(I$3-$O$2,$Q$2)/$Q$2))</f>
        <v>2133.26871333684</v>
      </c>
      <c r="J274" s="15" t="n">
        <f aca="false">I274*(1+IF(J$3&lt;=$O$2,$D274,$D274-($D274-$I$265)*MIN(J$3-$O$2,$Q$2)/$Q$2))</f>
        <v>2064.14547385294</v>
      </c>
      <c r="K274" s="15" t="n">
        <f aca="false">J274*(1+IF(K$3&lt;=$O$2,$D274,$D274-($D274-$I$265)*MIN(K$3-$O$2,$Q$2)/$Q$2))</f>
        <v>2031.16687963538</v>
      </c>
      <c r="L274" s="15" t="n">
        <f aca="false">K274*(1+IF(L$3&lt;=$O$2,$D274,$D274-($D274-$I$265)*MIN(L$3-$O$2,$Q$2)/$Q$2))</f>
        <v>2032.07836577261</v>
      </c>
      <c r="M274" s="15" t="n">
        <f aca="false">L274*(1+IF(M$3&lt;=$O$2,$D274,$D274-($D274-$I$265)*MIN(M$3-$O$2,$Q$2)/$Q$2))</f>
        <v>2066.36841814605</v>
      </c>
      <c r="N274" s="15" t="n">
        <f aca="false">M274*(1+IF(N$3&lt;=$O$2,$D274,$D274-($D274-$I$265)*MIN(N$3-$O$2,$Q$2)/$Q$2))</f>
        <v>2135.17848647031</v>
      </c>
      <c r="O274" s="15" t="n">
        <f aca="false">SUMPRODUCT(E274:N274,1/(1+$F$265)^$E$3:$N$3)*$E$2</f>
        <v>10669.0479916494</v>
      </c>
      <c r="P274" s="15" t="n">
        <f aca="false">N274*$E$2*(1+$I$265)/($F$265-$I$265)/(1+$F$265)^$N$3</f>
        <v>19225.1380084003</v>
      </c>
      <c r="Q274" s="15" t="n">
        <f aca="false">O274+P274</f>
        <v>29894.1860000497</v>
      </c>
      <c r="R274" s="15" t="n">
        <f aca="false">Q274-$G$2+$I$2</f>
        <v>30664.1860000497</v>
      </c>
      <c r="S274" s="42" t="n">
        <f aca="false">R274/$K$2</f>
        <v>293.633879153976</v>
      </c>
      <c r="T274" s="43" t="n">
        <f aca="false">S274-$M$2</f>
        <v>1.38069520300388</v>
      </c>
    </row>
    <row r="275" customFormat="false" ht="15" hidden="false" customHeight="false" outlineLevel="0" collapsed="false">
      <c r="A275" s="5" t="n">
        <v>9</v>
      </c>
      <c r="B275" s="25" t="n">
        <f aca="false">IF(T274&gt;0,B274,D274)</f>
        <v>-0.0546875</v>
      </c>
      <c r="C275" s="25" t="n">
        <f aca="false">IF(T274&gt;0,D274,C274)</f>
        <v>-0.048828125</v>
      </c>
      <c r="D275" s="41" t="n">
        <f aca="false">(B275+C275)/2</f>
        <v>-0.0517578125</v>
      </c>
      <c r="E275" s="15" t="n">
        <f aca="false">$C$2*(1+IF(E$3&lt;=$O$2,$D275,$D275-($D275-$I$265)*MIN(E$3-$O$2,$Q$2)/$Q$2))</f>
        <v>2598.18359375</v>
      </c>
      <c r="F275" s="15" t="n">
        <f aca="false">E275*(1+IF(F$3&lt;=$O$2,$D275,$D275-($D275-$I$265)*MIN(F$3-$O$2,$Q$2)/$Q$2))</f>
        <v>2463.70729446411</v>
      </c>
      <c r="G275" s="15" t="n">
        <f aca="false">F275*(1+IF(G$3&lt;=$O$2,$D275,$D275-($D275-$I$265)*MIN(G$3-$O$2,$Q$2)/$Q$2))</f>
        <v>2336.19119426236</v>
      </c>
      <c r="H275" s="15" t="n">
        <f aca="false">G275*(1+IF(H$3&lt;=$O$2,$D275,$D275-($D275-$I$265)*MIN(H$3-$O$2,$Q$2)/$Q$2))</f>
        <v>2215.27504846557</v>
      </c>
      <c r="I275" s="15" t="n">
        <f aca="false">H275*(1+IF(I$3&lt;=$O$2,$D275,$D275-($D275-$I$265)*MIN(I$3-$O$2,$Q$2)/$Q$2))</f>
        <v>2100.61725787116</v>
      </c>
      <c r="J275" s="15" t="n">
        <f aca="false">I275*(1+IF(J$3&lt;=$O$2,$D275,$D275-($D275-$I$265)*MIN(J$3-$O$2,$Q$2)/$Q$2))</f>
        <v>2027.62868547486</v>
      </c>
      <c r="K275" s="15" t="n">
        <f aca="false">J275*(1+IF(K$3&lt;=$O$2,$D275,$D275-($D275-$I$265)*MIN(K$3-$O$2,$Q$2)/$Q$2))</f>
        <v>1991.66932437193</v>
      </c>
      <c r="L275" s="15" t="n">
        <f aca="false">K275*(1+IF(L$3&lt;=$O$2,$D275,$D275-($D275-$I$265)*MIN(L$3-$O$2,$Q$2)/$Q$2))</f>
        <v>1990.22909849174</v>
      </c>
      <c r="M275" s="15" t="n">
        <f aca="false">L275*(1+IF(M$3&lt;=$O$2,$D275,$D275-($D275-$I$265)*MIN(M$3-$O$2,$Q$2)/$Q$2))</f>
        <v>2022.6468207732</v>
      </c>
      <c r="N275" s="15" t="n">
        <f aca="false">M275*(1+IF(N$3&lt;=$O$2,$D275,$D275-($D275-$I$265)*MIN(N$3-$O$2,$Q$2)/$Q$2))</f>
        <v>2090.00095990495</v>
      </c>
      <c r="O275" s="15" t="n">
        <f aca="false">SUMPRODUCT(E275:N275,1/(1+$F$265)^$E$3:$N$3)*$E$2</f>
        <v>10532.4001760946</v>
      </c>
      <c r="P275" s="15" t="n">
        <f aca="false">N275*$E$2*(1+$I$265)/($F$265-$I$265)/(1+$F$265)^$N$3</f>
        <v>18818.3597514065</v>
      </c>
      <c r="Q275" s="15" t="n">
        <f aca="false">O275+P275</f>
        <v>29350.759927501</v>
      </c>
      <c r="R275" s="15" t="n">
        <f aca="false">Q275-$G$2+$I$2</f>
        <v>30120.759927501</v>
      </c>
      <c r="S275" s="42" t="n">
        <f aca="false">R275/$K$2</f>
        <v>288.43014390023</v>
      </c>
      <c r="T275" s="43" t="n">
        <f aca="false">S275-$M$2</f>
        <v>-3.82304005074207</v>
      </c>
    </row>
    <row r="276" customFormat="false" ht="15" hidden="false" customHeight="false" outlineLevel="0" collapsed="false">
      <c r="A276" s="5" t="n">
        <v>10</v>
      </c>
      <c r="B276" s="25" t="n">
        <f aca="false">IF(T275&gt;0,B275,D275)</f>
        <v>-0.0517578125</v>
      </c>
      <c r="C276" s="25" t="n">
        <f aca="false">IF(T275&gt;0,D275,C275)</f>
        <v>-0.048828125</v>
      </c>
      <c r="D276" s="41" t="n">
        <f aca="false">(B276+C276)/2</f>
        <v>-0.05029296875</v>
      </c>
      <c r="E276" s="15" t="n">
        <f aca="false">$C$2*(1+IF(E$3&lt;=$O$2,$D276,$D276-($D276-$I$265)*MIN(E$3-$O$2,$Q$2)/$Q$2))</f>
        <v>2602.197265625</v>
      </c>
      <c r="F276" s="15" t="n">
        <f aca="false">E276*(1+IF(F$3&lt;=$O$2,$D276,$D276-($D276-$I$265)*MIN(F$3-$O$2,$Q$2)/$Q$2))</f>
        <v>2471.32503986359</v>
      </c>
      <c r="G276" s="15" t="n">
        <f aca="false">F276*(1+IF(G$3&lt;=$O$2,$D276,$D276-($D276-$I$265)*MIN(G$3-$O$2,$Q$2)/$Q$2))</f>
        <v>2347.03476686263</v>
      </c>
      <c r="H276" s="15" t="n">
        <f aca="false">G276*(1+IF(H$3&lt;=$O$2,$D276,$D276-($D276-$I$265)*MIN(H$3-$O$2,$Q$2)/$Q$2))</f>
        <v>2228.99542067765</v>
      </c>
      <c r="I276" s="15" t="n">
        <f aca="false">H276*(1+IF(I$3&lt;=$O$2,$D276,$D276-($D276-$I$265)*MIN(I$3-$O$2,$Q$2)/$Q$2))</f>
        <v>2116.89262364161</v>
      </c>
      <c r="J276" s="15" t="n">
        <f aca="false">I276*(1+IF(J$3&lt;=$O$2,$D276,$D276-($D276-$I$265)*MIN(J$3-$O$2,$Q$2)/$Q$2))</f>
        <v>2045.81927686074</v>
      </c>
      <c r="K276" s="15" t="n">
        <f aca="false">J276*(1+IF(K$3&lt;=$O$2,$D276,$D276-($D276-$I$265)*MIN(K$3-$O$2,$Q$2)/$Q$2))</f>
        <v>2011.33539465294</v>
      </c>
      <c r="L276" s="15" t="n">
        <f aca="false">K276*(1+IF(L$3&lt;=$O$2,$D276,$D276-($D276-$I$265)*MIN(L$3-$O$2,$Q$2)/$Q$2))</f>
        <v>2011.05946457849</v>
      </c>
      <c r="M276" s="15" t="n">
        <f aca="false">L276*(1+IF(M$3&lt;=$O$2,$D276,$D276-($D276-$I$265)*MIN(M$3-$O$2,$Q$2)/$Q$2))</f>
        <v>2044.40565855357</v>
      </c>
      <c r="N276" s="15" t="n">
        <f aca="false">M276*(1+IF(N$3&lt;=$O$2,$D276,$D276-($D276-$I$265)*MIN(N$3-$O$2,$Q$2)/$Q$2))</f>
        <v>2112.4843669834</v>
      </c>
      <c r="O276" s="15" t="n">
        <f aca="false">SUMPRODUCT(E276:N276,1/(1+$F$265)^$E$3:$N$3)*$E$2</f>
        <v>10600.4958431182</v>
      </c>
      <c r="P276" s="15" t="n">
        <f aca="false">N276*$E$2*(1+$I$265)/($F$265-$I$265)/(1+$F$265)^$N$3</f>
        <v>19020.8002530887</v>
      </c>
      <c r="Q276" s="15" t="n">
        <f aca="false">O276+P276</f>
        <v>29621.2960962069</v>
      </c>
      <c r="R276" s="15" t="n">
        <f aca="false">Q276-$G$2+$I$2</f>
        <v>30391.2960962069</v>
      </c>
      <c r="S276" s="42" t="n">
        <f aca="false">R276/$K$2</f>
        <v>291.020742087589</v>
      </c>
      <c r="T276" s="43" t="n">
        <f aca="false">S276-$M$2</f>
        <v>-1.2324418633828</v>
      </c>
    </row>
    <row r="277" customFormat="false" ht="15" hidden="false" customHeight="false" outlineLevel="0" collapsed="false">
      <c r="A277" s="5" t="n">
        <v>11</v>
      </c>
      <c r="B277" s="25" t="n">
        <f aca="false">IF(T276&gt;0,B276,D276)</f>
        <v>-0.05029296875</v>
      </c>
      <c r="C277" s="25" t="n">
        <f aca="false">IF(T276&gt;0,D276,C276)</f>
        <v>-0.048828125</v>
      </c>
      <c r="D277" s="41" t="n">
        <f aca="false">(B277+C277)/2</f>
        <v>-0.049560546875</v>
      </c>
      <c r="E277" s="15" t="n">
        <f aca="false">$C$2*(1+IF(E$3&lt;=$O$2,$D277,$D277-($D277-$I$265)*MIN(E$3-$O$2,$Q$2)/$Q$2))</f>
        <v>2604.2041015625</v>
      </c>
      <c r="F277" s="15" t="n">
        <f aca="false">E277*(1+IF(F$3&lt;=$O$2,$D277,$D277-($D277-$I$265)*MIN(F$3-$O$2,$Q$2)/$Q$2))</f>
        <v>2475.13832211494</v>
      </c>
      <c r="G277" s="15" t="n">
        <f aca="false">F277*(1+IF(G$3&lt;=$O$2,$D277,$D277-($D277-$I$265)*MIN(G$3-$O$2,$Q$2)/$Q$2))</f>
        <v>2352.46911327966</v>
      </c>
      <c r="H277" s="15" t="n">
        <f aca="false">G277*(1+IF(H$3&lt;=$O$2,$D277,$D277-($D277-$I$265)*MIN(H$3-$O$2,$Q$2)/$Q$2))</f>
        <v>2235.87945751897</v>
      </c>
      <c r="I277" s="15" t="n">
        <f aca="false">H277*(1+IF(I$3&lt;=$O$2,$D277,$D277-($D277-$I$265)*MIN(I$3-$O$2,$Q$2)/$Q$2))</f>
        <v>2125.06804885775</v>
      </c>
      <c r="J277" s="15" t="n">
        <f aca="false">I277*(1+IF(J$3&lt;=$O$2,$D277,$D277-($D277-$I$265)*MIN(J$3-$O$2,$Q$2)/$Q$2))</f>
        <v>2054.96537434476</v>
      </c>
      <c r="K277" s="15" t="n">
        <f aca="false">J277*(1+IF(K$3&lt;=$O$2,$D277,$D277-($D277-$I$265)*MIN(K$3-$O$2,$Q$2)/$Q$2))</f>
        <v>2021.23038847401</v>
      </c>
      <c r="L277" s="15" t="n">
        <f aca="false">K277*(1+IF(L$3&lt;=$O$2,$D277,$D277-($D277-$I$265)*MIN(L$3-$O$2,$Q$2)/$Q$2))</f>
        <v>2021.54525827046</v>
      </c>
      <c r="M277" s="15" t="n">
        <f aca="false">L277*(1+IF(M$3&lt;=$O$2,$D277,$D277-($D277-$I$265)*MIN(M$3-$O$2,$Q$2)/$Q$2))</f>
        <v>2055.36144624429</v>
      </c>
      <c r="N277" s="15" t="n">
        <f aca="false">M277*(1+IF(N$3&lt;=$O$2,$D277,$D277-($D277-$I$265)*MIN(N$3-$O$2,$Q$2)/$Q$2))</f>
        <v>2123.80498240423</v>
      </c>
      <c r="O277" s="15" t="n">
        <f aca="false">SUMPRODUCT(E277:N277,1/(1+$F$265)^$E$3:$N$3)*$E$2</f>
        <v>10634.7146743633</v>
      </c>
      <c r="P277" s="15" t="n">
        <f aca="false">N277*$E$2*(1+$I$265)/($F$265-$I$265)/(1+$F$265)^$N$3</f>
        <v>19122.7310261761</v>
      </c>
      <c r="Q277" s="15" t="n">
        <f aca="false">O277+P277</f>
        <v>29757.4457005394</v>
      </c>
      <c r="R277" s="15" t="n">
        <f aca="false">Q277-$G$2+$I$2</f>
        <v>30527.4457005394</v>
      </c>
      <c r="S277" s="42" t="n">
        <f aca="false">R277/$K$2</f>
        <v>292.324482433586</v>
      </c>
      <c r="T277" s="43" t="n">
        <f aca="false">S277-$M$2</f>
        <v>0.0712984826138836</v>
      </c>
    </row>
    <row r="278" customFormat="false" ht="15" hidden="false" customHeight="false" outlineLevel="0" collapsed="false">
      <c r="A278" s="5" t="n">
        <v>12</v>
      </c>
      <c r="B278" s="25" t="n">
        <f aca="false">IF(T277&gt;0,B277,D277)</f>
        <v>-0.05029296875</v>
      </c>
      <c r="C278" s="25" t="n">
        <f aca="false">IF(T277&gt;0,D277,C277)</f>
        <v>-0.049560546875</v>
      </c>
      <c r="D278" s="41" t="n">
        <f aca="false">(B278+C278)/2</f>
        <v>-0.0499267578125</v>
      </c>
      <c r="E278" s="15" t="n">
        <f aca="false">$C$2*(1+IF(E$3&lt;=$O$2,$D278,$D278-($D278-$I$265)*MIN(E$3-$O$2,$Q$2)/$Q$2))</f>
        <v>2603.20068359375</v>
      </c>
      <c r="F278" s="15" t="n">
        <f aca="false">E278*(1+IF(F$3&lt;=$O$2,$D278,$D278-($D278-$I$265)*MIN(F$3-$O$2,$Q$2)/$Q$2))</f>
        <v>2473.23131352663</v>
      </c>
      <c r="G278" s="15" t="n">
        <f aca="false">F278*(1+IF(G$3&lt;=$O$2,$D278,$D278-($D278-$I$265)*MIN(G$3-$O$2,$Q$2)/$Q$2))</f>
        <v>2349.7508927219</v>
      </c>
      <c r="H278" s="15" t="n">
        <f aca="false">G278*(1+IF(H$3&lt;=$O$2,$D278,$D278-($D278-$I$265)*MIN(H$3-$O$2,$Q$2)/$Q$2))</f>
        <v>2232.43544898126</v>
      </c>
      <c r="I278" s="15" t="n">
        <f aca="false">H278*(1+IF(I$3&lt;=$O$2,$D278,$D278-($D278-$I$265)*MIN(I$3-$O$2,$Q$2)/$Q$2))</f>
        <v>2120.97718498794</v>
      </c>
      <c r="J278" s="15" t="n">
        <f aca="false">I278*(1+IF(J$3&lt;=$O$2,$D278,$D278-($D278-$I$265)*MIN(J$3-$O$2,$Q$2)/$Q$2))</f>
        <v>2050.38808164737</v>
      </c>
      <c r="K278" s="15" t="n">
        <f aca="false">J278*(1+IF(K$3&lt;=$O$2,$D278,$D278-($D278-$I$265)*MIN(K$3-$O$2,$Q$2)/$Q$2))</f>
        <v>2016.27771339049</v>
      </c>
      <c r="L278" s="15" t="n">
        <f aca="false">K278*(1+IF(L$3&lt;=$O$2,$D278,$D278-($D278-$I$265)*MIN(L$3-$O$2,$Q$2)/$Q$2))</f>
        <v>2016.29645847235</v>
      </c>
      <c r="M278" s="15" t="n">
        <f aca="false">L278*(1+IF(M$3&lt;=$O$2,$D278,$D278-($D278-$I$265)*MIN(M$3-$O$2,$Q$2)/$Q$2))</f>
        <v>2049.87716713399</v>
      </c>
      <c r="N278" s="15" t="n">
        <f aca="false">M278*(1+IF(N$3&lt;=$O$2,$D278,$D278-($D278-$I$265)*MIN(N$3-$O$2,$Q$2)/$Q$2))</f>
        <v>2118.13807679955</v>
      </c>
      <c r="O278" s="15" t="n">
        <f aca="false">SUMPRODUCT(E278:N278,1/(1+$F$265)^$E$3:$N$3)*$E$2</f>
        <v>10617.5909708797</v>
      </c>
      <c r="P278" s="15" t="n">
        <f aca="false">N278*$E$2*(1+$I$265)/($F$265-$I$265)/(1+$F$265)^$N$3</f>
        <v>19071.7062322205</v>
      </c>
      <c r="Q278" s="15" t="n">
        <f aca="false">O278+P278</f>
        <v>29689.2972031002</v>
      </c>
      <c r="R278" s="15" t="n">
        <f aca="false">Q278-$G$2+$I$2</f>
        <v>30459.2972031002</v>
      </c>
      <c r="S278" s="42" t="n">
        <f aca="false">R278/$K$2</f>
        <v>291.671906569953</v>
      </c>
      <c r="T278" s="43" t="n">
        <f aca="false">S278-$M$2</f>
        <v>-0.581277381018595</v>
      </c>
    </row>
    <row r="279" customFormat="false" ht="15" hidden="false" customHeight="false" outlineLevel="0" collapsed="false">
      <c r="A279" s="5" t="n">
        <v>13</v>
      </c>
      <c r="B279" s="25" t="n">
        <f aca="false">IF(T278&gt;0,B278,D278)</f>
        <v>-0.0499267578125</v>
      </c>
      <c r="C279" s="25" t="n">
        <f aca="false">IF(T278&gt;0,D278,C278)</f>
        <v>-0.049560546875</v>
      </c>
      <c r="D279" s="41" t="n">
        <f aca="false">(B279+C279)/2</f>
        <v>-0.04974365234375</v>
      </c>
      <c r="E279" s="15" t="n">
        <f aca="false">$C$2*(1+IF(E$3&lt;=$O$2,$D279,$D279-($D279-$I$265)*MIN(E$3-$O$2,$Q$2)/$Q$2))</f>
        <v>2603.70239257813</v>
      </c>
      <c r="F279" s="15" t="n">
        <f aca="false">E279*(1+IF(F$3&lt;=$O$2,$D279,$D279-($D279-$I$265)*MIN(F$3-$O$2,$Q$2)/$Q$2))</f>
        <v>2474.18472595513</v>
      </c>
      <c r="G279" s="15" t="n">
        <f aca="false">F279*(1+IF(G$3&lt;=$O$2,$D279,$D279-($D279-$I$265)*MIN(G$3-$O$2,$Q$2)/$Q$2))</f>
        <v>2351.109741113</v>
      </c>
      <c r="H279" s="15" t="n">
        <f aca="false">G279*(1+IF(H$3&lt;=$O$2,$D279,$D279-($D279-$I$265)*MIN(H$3-$O$2,$Q$2)/$Q$2))</f>
        <v>2234.15695552907</v>
      </c>
      <c r="I279" s="15" t="n">
        <f aca="false">H279*(1+IF(I$3&lt;=$O$2,$D279,$D279-($D279-$I$265)*MIN(I$3-$O$2,$Q$2)/$Q$2))</f>
        <v>2123.02182865186</v>
      </c>
      <c r="J279" s="15" t="n">
        <f aca="false">I279*(1+IF(J$3&lt;=$O$2,$D279,$D279-($D279-$I$265)*MIN(J$3-$O$2,$Q$2)/$Q$2))</f>
        <v>2052.67566622056</v>
      </c>
      <c r="K279" s="15" t="n">
        <f aca="false">J279*(1+IF(K$3&lt;=$O$2,$D279,$D279-($D279-$I$265)*MIN(K$3-$O$2,$Q$2)/$Q$2))</f>
        <v>2018.75275526565</v>
      </c>
      <c r="L279" s="15" t="n">
        <f aca="false">K279*(1+IF(L$3&lt;=$O$2,$D279,$D279-($D279-$I$265)*MIN(L$3-$O$2,$Q$2)/$Q$2))</f>
        <v>2018.91938122549</v>
      </c>
      <c r="M279" s="15" t="n">
        <f aca="false">L279*(1+IF(M$3&lt;=$O$2,$D279,$D279-($D279-$I$265)*MIN(M$3-$O$2,$Q$2)/$Q$2))</f>
        <v>2052.61770877939</v>
      </c>
      <c r="N279" s="15" t="n">
        <f aca="false">M279*(1+IF(N$3&lt;=$O$2,$D279,$D279-($D279-$I$265)*MIN(N$3-$O$2,$Q$2)/$Q$2))</f>
        <v>2120.96987848174</v>
      </c>
      <c r="O279" s="15" t="n">
        <f aca="false">SUMPRODUCT(E279:N279,1/(1+$F$265)^$E$3:$N$3)*$E$2</f>
        <v>10626.149247797</v>
      </c>
      <c r="P279" s="15" t="n">
        <f aca="false">N279*$E$2*(1+$I$265)/($F$265-$I$265)/(1+$F$265)^$N$3</f>
        <v>19097.2037625195</v>
      </c>
      <c r="Q279" s="15" t="n">
        <f aca="false">O279+P279</f>
        <v>29723.3530103165</v>
      </c>
      <c r="R279" s="15" t="n">
        <f aca="false">Q279-$G$2+$I$2</f>
        <v>30493.3530103165</v>
      </c>
      <c r="S279" s="42" t="n">
        <f aca="false">R279/$K$2</f>
        <v>291.998017909763</v>
      </c>
      <c r="T279" s="43" t="n">
        <f aca="false">S279-$M$2</f>
        <v>-0.255166041209463</v>
      </c>
    </row>
    <row r="280" customFormat="false" ht="15" hidden="false" customHeight="false" outlineLevel="0" collapsed="false">
      <c r="A280" s="5" t="n">
        <v>14</v>
      </c>
      <c r="B280" s="25" t="n">
        <f aca="false">IF(T279&gt;0,B279,D279)</f>
        <v>-0.04974365234375</v>
      </c>
      <c r="C280" s="25" t="n">
        <f aca="false">IF(T279&gt;0,D279,C279)</f>
        <v>-0.049560546875</v>
      </c>
      <c r="D280" s="41" t="n">
        <f aca="false">(B280+C280)/2</f>
        <v>-0.049652099609375</v>
      </c>
      <c r="E280" s="15" t="n">
        <f aca="false">$C$2*(1+IF(E$3&lt;=$O$2,$D280,$D280-($D280-$I$265)*MIN(E$3-$O$2,$Q$2)/$Q$2))</f>
        <v>2603.95324707031</v>
      </c>
      <c r="F280" s="15" t="n">
        <f aca="false">E280*(1+IF(F$3&lt;=$O$2,$D280,$D280-($D280-$I$265)*MIN(F$3-$O$2,$Q$2)/$Q$2))</f>
        <v>2474.66150106862</v>
      </c>
      <c r="G280" s="15" t="n">
        <f aca="false">F280*(1+IF(G$3&lt;=$O$2,$D280,$D280-($D280-$I$265)*MIN(G$3-$O$2,$Q$2)/$Q$2))</f>
        <v>2351.78936171808</v>
      </c>
      <c r="H280" s="15" t="n">
        <f aca="false">G280*(1+IF(H$3&lt;=$O$2,$D280,$D280-($D280-$I$265)*MIN(H$3-$O$2,$Q$2)/$Q$2))</f>
        <v>2235.01808206978</v>
      </c>
      <c r="I280" s="15" t="n">
        <f aca="false">H280*(1+IF(I$3&lt;=$O$2,$D280,$D280-($D280-$I$265)*MIN(I$3-$O$2,$Q$2)/$Q$2))</f>
        <v>2124.0447416301</v>
      </c>
      <c r="J280" s="15" t="n">
        <f aca="false">I280*(1+IF(J$3&lt;=$O$2,$D280,$D280-($D280-$I$265)*MIN(J$3-$O$2,$Q$2)/$Q$2))</f>
        <v>2053.82025474041</v>
      </c>
      <c r="K280" s="15" t="n">
        <f aca="false">J280*(1+IF(K$3&lt;=$O$2,$D280,$D280-($D280-$I$265)*MIN(K$3-$O$2,$Q$2)/$Q$2))</f>
        <v>2019.99124781268</v>
      </c>
      <c r="L280" s="15" t="n">
        <f aca="false">K280*(1+IF(L$3&lt;=$O$2,$D280,$D280-($D280-$I$265)*MIN(L$3-$O$2,$Q$2)/$Q$2))</f>
        <v>2020.23195028539</v>
      </c>
      <c r="M280" s="15" t="n">
        <f aca="false">L280*(1+IF(M$3&lt;=$O$2,$D280,$D280-($D280-$I$265)*MIN(M$3-$O$2,$Q$2)/$Q$2))</f>
        <v>2053.98917783507</v>
      </c>
      <c r="N280" s="15" t="n">
        <f aca="false">M280*(1+IF(N$3&lt;=$O$2,$D280,$D280-($D280-$I$265)*MIN(N$3-$O$2,$Q$2)/$Q$2))</f>
        <v>2122.38701745698</v>
      </c>
      <c r="O280" s="15" t="n">
        <f aca="false">SUMPRODUCT(E280:N280,1/(1+$F$265)^$E$3:$N$3)*$E$2</f>
        <v>10630.4310670164</v>
      </c>
      <c r="P280" s="15" t="n">
        <f aca="false">N280*$E$2*(1+$I$265)/($F$265-$I$265)/(1+$F$265)^$N$3</f>
        <v>19109.9636758235</v>
      </c>
      <c r="Q280" s="15" t="n">
        <f aca="false">O280+P280</f>
        <v>29740.3947428399</v>
      </c>
      <c r="R280" s="15" t="n">
        <f aca="false">Q280-$G$2+$I$2</f>
        <v>30510.3947428399</v>
      </c>
      <c r="S280" s="42" t="n">
        <f aca="false">R280/$K$2</f>
        <v>292.161206002489</v>
      </c>
      <c r="T280" s="43" t="n">
        <f aca="false">S280-$M$2</f>
        <v>-0.0919779484830201</v>
      </c>
    </row>
    <row r="281" customFormat="false" ht="15" hidden="false" customHeight="false" outlineLevel="0" collapsed="false">
      <c r="A281" s="5" t="n">
        <v>15</v>
      </c>
      <c r="B281" s="25" t="n">
        <f aca="false">IF(T280&gt;0,B280,D280)</f>
        <v>-0.049652099609375</v>
      </c>
      <c r="C281" s="25" t="n">
        <f aca="false">IF(T280&gt;0,D280,C280)</f>
        <v>-0.049560546875</v>
      </c>
      <c r="D281" s="41" t="n">
        <f aca="false">(B281+C281)/2</f>
        <v>-0.0496063232421875</v>
      </c>
      <c r="E281" s="15" t="n">
        <f aca="false">$C$2*(1+IF(E$3&lt;=$O$2,$D281,$D281-($D281-$I$265)*MIN(E$3-$O$2,$Q$2)/$Q$2))</f>
        <v>2604.07867431641</v>
      </c>
      <c r="F281" s="15" t="n">
        <f aca="false">E281*(1+IF(F$3&lt;=$O$2,$D281,$D281-($D281-$I$265)*MIN(F$3-$O$2,$Q$2)/$Q$2))</f>
        <v>2474.89990585018</v>
      </c>
      <c r="G281" s="15" t="n">
        <f aca="false">F281*(1+IF(G$3&lt;=$O$2,$D281,$D281-($D281-$I$265)*MIN(G$3-$O$2,$Q$2)/$Q$2))</f>
        <v>2352.12922112852</v>
      </c>
      <c r="H281" s="15" t="n">
        <f aca="false">G281*(1+IF(H$3&lt;=$O$2,$D281,$D281-($D281-$I$265)*MIN(H$3-$O$2,$Q$2)/$Q$2))</f>
        <v>2235.44873867782</v>
      </c>
      <c r="I281" s="15" t="n">
        <f aca="false">H281*(1+IF(I$3&lt;=$O$2,$D281,$D281-($D281-$I$265)*MIN(I$3-$O$2,$Q$2)/$Q$2))</f>
        <v>2124.55634595563</v>
      </c>
      <c r="J281" s="15" t="n">
        <f aca="false">I281*(1+IF(J$3&lt;=$O$2,$D281,$D281-($D281-$I$265)*MIN(J$3-$O$2,$Q$2)/$Q$2))</f>
        <v>2054.39274814472</v>
      </c>
      <c r="K281" s="15" t="n">
        <f aca="false">J281*(1+IF(K$3&lt;=$O$2,$D281,$D281-($D281-$I$265)*MIN(K$3-$O$2,$Q$2)/$Q$2))</f>
        <v>2020.61073711148</v>
      </c>
      <c r="L281" s="15" t="n">
        <f aca="false">K281*(1+IF(L$3&lt;=$O$2,$D281,$D281-($D281-$I$265)*MIN(L$3-$O$2,$Q$2)/$Q$2))</f>
        <v>2020.88851189026</v>
      </c>
      <c r="M281" s="15" t="n">
        <f aca="false">L281*(1+IF(M$3&lt;=$O$2,$D281,$D281-($D281-$I$265)*MIN(M$3-$O$2,$Q$2)/$Q$2))</f>
        <v>2054.67521209556</v>
      </c>
      <c r="N281" s="15" t="n">
        <f aca="false">M281*(1+IF(N$3&lt;=$O$2,$D281,$D281-($D281-$I$265)*MIN(N$3-$O$2,$Q$2)/$Q$2))</f>
        <v>2123.09589665835</v>
      </c>
      <c r="O281" s="15" t="n">
        <f aca="false">SUMPRODUCT(E281:N281,1/(1+$F$265)^$E$3:$N$3)*$E$2</f>
        <v>10632.5726471292</v>
      </c>
      <c r="P281" s="15" t="n">
        <f aca="false">N281*$E$2*(1+$I$265)/($F$265-$I$265)/(1+$F$265)^$N$3</f>
        <v>19116.3464211368</v>
      </c>
      <c r="Q281" s="15" t="n">
        <f aca="false">O281+P281</f>
        <v>29748.919068266</v>
      </c>
      <c r="R281" s="15" t="n">
        <f aca="false">Q281-$G$2+$I$2</f>
        <v>30518.919068266</v>
      </c>
      <c r="S281" s="42" t="n">
        <f aca="false">R281/$K$2</f>
        <v>292.242833173092</v>
      </c>
      <c r="T281" s="43" t="n">
        <f aca="false">S281-$M$2</f>
        <v>-0.0103507778798644</v>
      </c>
    </row>
    <row r="282" customFormat="false" ht="15" hidden="false" customHeight="false" outlineLevel="0" collapsed="false">
      <c r="A282" s="5" t="n">
        <v>16</v>
      </c>
      <c r="B282" s="25" t="n">
        <f aca="false">IF(T281&gt;0,B281,D281)</f>
        <v>-0.0496063232421875</v>
      </c>
      <c r="C282" s="25" t="n">
        <f aca="false">IF(T281&gt;0,D281,C281)</f>
        <v>-0.049560546875</v>
      </c>
      <c r="D282" s="41" t="n">
        <f aca="false">(B282+C282)/2</f>
        <v>-0.0495834350585938</v>
      </c>
      <c r="E282" s="15" t="n">
        <f aca="false">$C$2*(1+IF(E$3&lt;=$O$2,$D282,$D282-($D282-$I$265)*MIN(E$3-$O$2,$Q$2)/$Q$2))</f>
        <v>2604.14138793945</v>
      </c>
      <c r="F282" s="15" t="n">
        <f aca="false">E282*(1+IF(F$3&lt;=$O$2,$D282,$D282-($D282-$I$265)*MIN(F$3-$O$2,$Q$2)/$Q$2))</f>
        <v>2475.01911254716</v>
      </c>
      <c r="G282" s="15" t="n">
        <f aca="false">F282*(1+IF(G$3&lt;=$O$2,$D282,$D282-($D282-$I$265)*MIN(G$3-$O$2,$Q$2)/$Q$2))</f>
        <v>2352.2991631114</v>
      </c>
      <c r="H282" s="15" t="n">
        <f aca="false">G282*(1+IF(H$3&lt;=$O$2,$D282,$D282-($D282-$I$265)*MIN(H$3-$O$2,$Q$2)/$Q$2))</f>
        <v>2235.66409031888</v>
      </c>
      <c r="I282" s="15" t="n">
        <f aca="false">H282*(1+IF(I$3&lt;=$O$2,$D282,$D282-($D282-$I$265)*MIN(I$3-$O$2,$Q$2)/$Q$2))</f>
        <v>2124.81218508373</v>
      </c>
      <c r="J282" s="15" t="n">
        <f aca="false">I282*(1+IF(J$3&lt;=$O$2,$D282,$D282-($D282-$I$265)*MIN(J$3-$O$2,$Q$2)/$Q$2))</f>
        <v>2054.67904464374</v>
      </c>
      <c r="K282" s="15" t="n">
        <f aca="false">J282*(1+IF(K$3&lt;=$O$2,$D282,$D282-($D282-$I$265)*MIN(K$3-$O$2,$Q$2)/$Q$2))</f>
        <v>2020.92054253258</v>
      </c>
      <c r="L282" s="15" t="n">
        <f aca="false">K282*(1+IF(L$3&lt;=$O$2,$D282,$D282-($D282-$I$265)*MIN(L$3-$O$2,$Q$2)/$Q$2))</f>
        <v>2021.21686198069</v>
      </c>
      <c r="M282" s="15" t="n">
        <f aca="false">L282*(1+IF(M$3&lt;=$O$2,$D282,$D282-($D282-$I$265)*MIN(M$3-$O$2,$Q$2)/$Q$2))</f>
        <v>2055.01830418078</v>
      </c>
      <c r="N282" s="15" t="n">
        <f aca="false">M282*(1+IF(N$3&lt;=$O$2,$D282,$D282-($D282-$I$265)*MIN(N$3-$O$2,$Q$2)/$Q$2))</f>
        <v>2123.45041371</v>
      </c>
      <c r="O282" s="15" t="n">
        <f aca="false">SUMPRODUCT(E282:N282,1/(1+$F$265)^$E$3:$N$3)*$E$2</f>
        <v>10633.6436048505</v>
      </c>
      <c r="P282" s="15" t="n">
        <f aca="false">N282*$E$2*(1+$I$265)/($F$265-$I$265)/(1+$F$265)^$N$3</f>
        <v>19119.5384911617</v>
      </c>
      <c r="Q282" s="15" t="n">
        <f aca="false">O282+P282</f>
        <v>29753.1820960122</v>
      </c>
      <c r="R282" s="15" t="n">
        <f aca="false">Q282-$G$2+$I$2</f>
        <v>30523.1820960122</v>
      </c>
      <c r="S282" s="42" t="n">
        <f aca="false">R282/$K$2</f>
        <v>292.283655041772</v>
      </c>
      <c r="T282" s="43" t="n">
        <f aca="false">S282-$M$2</f>
        <v>0.0304710907995513</v>
      </c>
    </row>
    <row r="283" customFormat="false" ht="15" hidden="false" customHeight="false" outlineLevel="0" collapsed="false">
      <c r="A283" s="5" t="n">
        <v>17</v>
      </c>
      <c r="B283" s="25" t="n">
        <f aca="false">IF(T282&gt;0,B282,D282)</f>
        <v>-0.0496063232421875</v>
      </c>
      <c r="C283" s="25" t="n">
        <f aca="false">IF(T282&gt;0,D282,C282)</f>
        <v>-0.0495834350585938</v>
      </c>
      <c r="D283" s="41" t="n">
        <f aca="false">(B283+C283)/2</f>
        <v>-0.0495948791503906</v>
      </c>
      <c r="E283" s="15" t="n">
        <f aca="false">$C$2*(1+IF(E$3&lt;=$O$2,$D283,$D283-($D283-$I$265)*MIN(E$3-$O$2,$Q$2)/$Q$2))</f>
        <v>2604.11003112793</v>
      </c>
      <c r="F283" s="15" t="n">
        <f aca="false">E283*(1+IF(F$3&lt;=$O$2,$D283,$D283-($D283-$I$265)*MIN(F$3-$O$2,$Q$2)/$Q$2))</f>
        <v>2474.95950883982</v>
      </c>
      <c r="G283" s="15" t="n">
        <f aca="false">F283*(1+IF(G$3&lt;=$O$2,$D283,$D283-($D283-$I$265)*MIN(G$3-$O$2,$Q$2)/$Q$2))</f>
        <v>2352.2141910968</v>
      </c>
      <c r="H283" s="15" t="n">
        <f aca="false">G283*(1+IF(H$3&lt;=$O$2,$D283,$D283-($D283-$I$265)*MIN(H$3-$O$2,$Q$2)/$Q$2))</f>
        <v>2235.55641255352</v>
      </c>
      <c r="I283" s="15" t="n">
        <f aca="false">H283*(1+IF(I$3&lt;=$O$2,$D283,$D283-($D283-$I$265)*MIN(I$3-$O$2,$Q$2)/$Q$2))</f>
        <v>2124.68426243905</v>
      </c>
      <c r="J283" s="15" t="n">
        <f aca="false">I283*(1+IF(J$3&lt;=$O$2,$D283,$D283-($D283-$I$265)*MIN(J$3-$O$2,$Q$2)/$Q$2))</f>
        <v>2054.53589224417</v>
      </c>
      <c r="K283" s="15" t="n">
        <f aca="false">J283*(1+IF(K$3&lt;=$O$2,$D283,$D283-($D283-$I$265)*MIN(K$3-$O$2,$Q$2)/$Q$2))</f>
        <v>2020.76563475727</v>
      </c>
      <c r="L283" s="15" t="n">
        <f aca="false">K283*(1+IF(L$3&lt;=$O$2,$D283,$D283-($D283-$I$265)*MIN(L$3-$O$2,$Q$2)/$Q$2))</f>
        <v>2021.0526811609</v>
      </c>
      <c r="M283" s="15" t="n">
        <f aca="false">L283*(1+IF(M$3&lt;=$O$2,$D283,$D283-($D283-$I$265)*MIN(M$3-$O$2,$Q$2)/$Q$2))</f>
        <v>2054.84675189128</v>
      </c>
      <c r="N283" s="15" t="n">
        <f aca="false">M283*(1+IF(N$3&lt;=$O$2,$D283,$D283-($D283-$I$265)*MIN(N$3-$O$2,$Q$2)/$Q$2))</f>
        <v>2123.27314872926</v>
      </c>
      <c r="O283" s="15" t="n">
        <f aca="false">SUMPRODUCT(E283:N283,1/(1+$F$265)^$E$3:$N$3)*$E$2</f>
        <v>10633.1081120166</v>
      </c>
      <c r="P283" s="15" t="n">
        <f aca="false">N283*$E$2*(1+$I$265)/($F$265-$I$265)/(1+$F$265)^$N$3</f>
        <v>19117.9423980292</v>
      </c>
      <c r="Q283" s="15" t="n">
        <f aca="false">O283+P283</f>
        <v>29751.0505100458</v>
      </c>
      <c r="R283" s="15" t="n">
        <f aca="false">Q283-$G$2+$I$2</f>
        <v>30521.0505100458</v>
      </c>
      <c r="S283" s="42" t="n">
        <f aca="false">R283/$K$2</f>
        <v>292.263243417081</v>
      </c>
      <c r="T283" s="43" t="n">
        <f aca="false">S283-$M$2</f>
        <v>0.0100594661093396</v>
      </c>
    </row>
    <row r="284" customFormat="false" ht="15" hidden="false" customHeight="false" outlineLevel="0" collapsed="false">
      <c r="A284" s="5" t="n">
        <v>18</v>
      </c>
      <c r="B284" s="25" t="n">
        <f aca="false">IF(T283&gt;0,B283,D283)</f>
        <v>-0.0496063232421875</v>
      </c>
      <c r="C284" s="25" t="n">
        <f aca="false">IF(T283&gt;0,D283,C283)</f>
        <v>-0.0495948791503906</v>
      </c>
      <c r="D284" s="41" t="n">
        <f aca="false">(B284+C284)/2</f>
        <v>-0.0496006011962891</v>
      </c>
      <c r="E284" s="15" t="n">
        <f aca="false">$C$2*(1+IF(E$3&lt;=$O$2,$D284,$D284-($D284-$I$265)*MIN(E$3-$O$2,$Q$2)/$Q$2))</f>
        <v>2604.09435272217</v>
      </c>
      <c r="F284" s="15" t="n">
        <f aca="false">E284*(1+IF(F$3&lt;=$O$2,$D284,$D284-($D284-$I$265)*MIN(F$3-$O$2,$Q$2)/$Q$2))</f>
        <v>2474.92970725529</v>
      </c>
      <c r="G284" s="15" t="n">
        <f aca="false">F284*(1+IF(G$3&lt;=$O$2,$D284,$D284-($D284-$I$265)*MIN(G$3-$O$2,$Q$2)/$Q$2))</f>
        <v>2352.17170585687</v>
      </c>
      <c r="H284" s="15" t="n">
        <f aca="false">G284*(1+IF(H$3&lt;=$O$2,$D284,$D284-($D284-$I$265)*MIN(H$3-$O$2,$Q$2)/$Q$2))</f>
        <v>2235.50257512947</v>
      </c>
      <c r="I284" s="15" t="n">
        <f aca="false">H284*(1+IF(I$3&lt;=$O$2,$D284,$D284-($D284-$I$265)*MIN(I$3-$O$2,$Q$2)/$Q$2))</f>
        <v>2124.62030342719</v>
      </c>
      <c r="J284" s="15" t="n">
        <f aca="false">I284*(1+IF(J$3&lt;=$O$2,$D284,$D284-($D284-$I$265)*MIN(J$3-$O$2,$Q$2)/$Q$2))</f>
        <v>2054.46431915695</v>
      </c>
      <c r="K284" s="15" t="n">
        <f aca="false">J284*(1+IF(K$3&lt;=$O$2,$D284,$D284-($D284-$I$265)*MIN(K$3-$O$2,$Q$2)/$Q$2))</f>
        <v>2020.68818466822</v>
      </c>
      <c r="L284" s="15" t="n">
        <f aca="false">K284*(1+IF(L$3&lt;=$O$2,$D284,$D284-($D284-$I$265)*MIN(L$3-$O$2,$Q$2)/$Q$2))</f>
        <v>2020.97059508198</v>
      </c>
      <c r="M284" s="15" t="n">
        <f aca="false">L284*(1+IF(M$3&lt;=$O$2,$D284,$D284-($D284-$I$265)*MIN(M$3-$O$2,$Q$2)/$Q$2))</f>
        <v>2054.76098043174</v>
      </c>
      <c r="N284" s="15" t="n">
        <f aca="false">M284*(1+IF(N$3&lt;=$O$2,$D284,$D284-($D284-$I$265)*MIN(N$3-$O$2,$Q$2)/$Q$2))</f>
        <v>2123.18452108012</v>
      </c>
      <c r="O284" s="15" t="n">
        <f aca="false">SUMPRODUCT(E284:N284,1/(1+$F$265)^$E$3:$N$3)*$E$2</f>
        <v>10632.8403760797</v>
      </c>
      <c r="P284" s="15" t="n">
        <f aca="false">N284*$E$2*(1+$I$265)/($F$265-$I$265)/(1+$F$265)^$N$3</f>
        <v>19117.1443950535</v>
      </c>
      <c r="Q284" s="15" t="n">
        <f aca="false">O284+P284</f>
        <v>29749.9847711331</v>
      </c>
      <c r="R284" s="15" t="n">
        <f aca="false">Q284-$G$2+$I$2</f>
        <v>30519.9847711331</v>
      </c>
      <c r="S284" s="42" t="n">
        <f aca="false">R284/$K$2</f>
        <v>292.253038122504</v>
      </c>
      <c r="T284" s="43" t="n">
        <f aca="false">S284-$M$2</f>
        <v>-0.000145828467680076</v>
      </c>
    </row>
    <row r="285" customFormat="false" ht="15" hidden="false" customHeight="false" outlineLevel="0" collapsed="false">
      <c r="A285" s="5" t="n">
        <v>19</v>
      </c>
      <c r="B285" s="25" t="n">
        <f aca="false">IF(T284&gt;0,B284,D284)</f>
        <v>-0.0496006011962891</v>
      </c>
      <c r="C285" s="25" t="n">
        <f aca="false">IF(T284&gt;0,D284,C284)</f>
        <v>-0.0495948791503906</v>
      </c>
      <c r="D285" s="41" t="n">
        <f aca="false">(B285+C285)/2</f>
        <v>-0.0495977401733398</v>
      </c>
      <c r="E285" s="15" t="n">
        <f aca="false">$C$2*(1+IF(E$3&lt;=$O$2,$D285,$D285-($D285-$I$265)*MIN(E$3-$O$2,$Q$2)/$Q$2))</f>
        <v>2604.10219192505</v>
      </c>
      <c r="F285" s="15" t="n">
        <f aca="false">E285*(1+IF(F$3&lt;=$O$2,$D285,$D285-($D285-$I$265)*MIN(F$3-$O$2,$Q$2)/$Q$2))</f>
        <v>2474.94460802513</v>
      </c>
      <c r="G285" s="15" t="n">
        <f aca="false">F285*(1+IF(G$3&lt;=$O$2,$D285,$D285-($D285-$I$265)*MIN(G$3-$O$2,$Q$2)/$Q$2))</f>
        <v>2352.19294841289</v>
      </c>
      <c r="H285" s="15" t="n">
        <f aca="false">G285*(1+IF(H$3&lt;=$O$2,$D285,$D285-($D285-$I$265)*MIN(H$3-$O$2,$Q$2)/$Q$2))</f>
        <v>2235.52949371994</v>
      </c>
      <c r="I285" s="15" t="n">
        <f aca="false">H285*(1+IF(I$3&lt;=$O$2,$D285,$D285-($D285-$I$265)*MIN(I$3-$O$2,$Q$2)/$Q$2))</f>
        <v>2124.65228274058</v>
      </c>
      <c r="J285" s="15" t="n">
        <f aca="false">I285*(1+IF(J$3&lt;=$O$2,$D285,$D285-($D285-$I$265)*MIN(J$3-$O$2,$Q$2)/$Q$2))</f>
        <v>2054.50010544119</v>
      </c>
      <c r="K285" s="15" t="n">
        <f aca="false">J285*(1+IF(K$3&lt;=$O$2,$D285,$D285-($D285-$I$265)*MIN(K$3-$O$2,$Q$2)/$Q$2))</f>
        <v>2020.7269093962</v>
      </c>
      <c r="L285" s="15" t="n">
        <f aca="false">K285*(1+IF(L$3&lt;=$O$2,$D285,$D285-($D285-$I$265)*MIN(L$3-$O$2,$Q$2)/$Q$2))</f>
        <v>2021.01163776053</v>
      </c>
      <c r="M285" s="15" t="n">
        <f aca="false">L285*(1+IF(M$3&lt;=$O$2,$D285,$D285-($D285-$I$265)*MIN(M$3-$O$2,$Q$2)/$Q$2))</f>
        <v>2054.80386577109</v>
      </c>
      <c r="N285" s="15" t="n">
        <f aca="false">M285*(1+IF(N$3&lt;=$O$2,$D285,$D285-($D285-$I$265)*MIN(N$3-$O$2,$Q$2)/$Q$2))</f>
        <v>2123.22883450126</v>
      </c>
      <c r="O285" s="15" t="n">
        <f aca="false">SUMPRODUCT(E285:N285,1/(1+$F$265)^$E$3:$N$3)*$E$2</f>
        <v>10632.9742431748</v>
      </c>
      <c r="P285" s="15" t="n">
        <f aca="false">N285*$E$2*(1+$I$265)/($F$265-$I$265)/(1+$F$265)^$N$3</f>
        <v>19117.5433929089</v>
      </c>
      <c r="Q285" s="15" t="n">
        <f aca="false">O285+P285</f>
        <v>29750.5176360837</v>
      </c>
      <c r="R285" s="15" t="n">
        <f aca="false">Q285-$G$2+$I$2</f>
        <v>30520.5176360837</v>
      </c>
      <c r="S285" s="42" t="n">
        <f aca="false">R285/$K$2</f>
        <v>292.258140726647</v>
      </c>
      <c r="T285" s="43" t="n">
        <f aca="false">S285-$M$2</f>
        <v>0.00495677567465691</v>
      </c>
    </row>
    <row r="286" customFormat="false" ht="15" hidden="false" customHeight="false" outlineLevel="0" collapsed="false">
      <c r="A286" s="5" t="n">
        <v>20</v>
      </c>
      <c r="B286" s="25" t="n">
        <f aca="false">IF(T285&gt;0,B285,D285)</f>
        <v>-0.0496006011962891</v>
      </c>
      <c r="C286" s="25" t="n">
        <f aca="false">IF(T285&gt;0,D285,C285)</f>
        <v>-0.0495977401733398</v>
      </c>
      <c r="D286" s="41" t="n">
        <f aca="false">(B286+C286)/2</f>
        <v>-0.0495991706848145</v>
      </c>
      <c r="E286" s="15" t="n">
        <f aca="false">$C$2*(1+IF(E$3&lt;=$O$2,$D286,$D286-($D286-$I$265)*MIN(E$3-$O$2,$Q$2)/$Q$2))</f>
        <v>2604.09827232361</v>
      </c>
      <c r="F286" s="15" t="n">
        <f aca="false">E286*(1+IF(F$3&lt;=$O$2,$D286,$D286-($D286-$I$265)*MIN(F$3-$O$2,$Q$2)/$Q$2))</f>
        <v>2474.9371576346</v>
      </c>
      <c r="G286" s="15" t="n">
        <f aca="false">F286*(1+IF(G$3&lt;=$O$2,$D286,$D286-($D286-$I$265)*MIN(G$3-$O$2,$Q$2)/$Q$2))</f>
        <v>2352.18232711889</v>
      </c>
      <c r="H286" s="15" t="n">
        <f aca="false">G286*(1+IF(H$3&lt;=$O$2,$D286,$D286-($D286-$I$265)*MIN(H$3-$O$2,$Q$2)/$Q$2))</f>
        <v>2235.51603439432</v>
      </c>
      <c r="I286" s="15" t="n">
        <f aca="false">H286*(1+IF(I$3&lt;=$O$2,$D286,$D286-($D286-$I$265)*MIN(I$3-$O$2,$Q$2)/$Q$2))</f>
        <v>2124.63629303575</v>
      </c>
      <c r="J286" s="15" t="n">
        <f aca="false">I286*(1+IF(J$3&lt;=$O$2,$D286,$D286-($D286-$I$265)*MIN(J$3-$O$2,$Q$2)/$Q$2))</f>
        <v>2054.48221223423</v>
      </c>
      <c r="K286" s="15" t="n">
        <f aca="false">J286*(1+IF(K$3&lt;=$O$2,$D286,$D286-($D286-$I$265)*MIN(K$3-$O$2,$Q$2)/$Q$2))</f>
        <v>2020.70754695307</v>
      </c>
      <c r="L286" s="15" t="n">
        <f aca="false">K286*(1+IF(L$3&lt;=$O$2,$D286,$D286-($D286-$I$265)*MIN(L$3-$O$2,$Q$2)/$Q$2))</f>
        <v>2020.99111633103</v>
      </c>
      <c r="M286" s="15" t="n">
        <f aca="false">L286*(1+IF(M$3&lt;=$O$2,$D286,$D286-($D286-$I$265)*MIN(M$3-$O$2,$Q$2)/$Q$2))</f>
        <v>2054.78242300381</v>
      </c>
      <c r="N286" s="15" t="n">
        <f aca="false">M286*(1+IF(N$3&lt;=$O$2,$D286,$D286-($D286-$I$265)*MIN(N$3-$O$2,$Q$2)/$Q$2))</f>
        <v>2123.20667768984</v>
      </c>
      <c r="O286" s="15" t="n">
        <f aca="false">SUMPRODUCT(E286:N286,1/(1+$F$265)^$E$3:$N$3)*$E$2</f>
        <v>10632.9073094089</v>
      </c>
      <c r="P286" s="15" t="n">
        <f aca="false">N286*$E$2*(1+$I$265)/($F$265-$I$265)/(1+$F$265)^$N$3</f>
        <v>19117.3438930731</v>
      </c>
      <c r="Q286" s="15" t="n">
        <f aca="false">O286+P286</f>
        <v>29750.251202482</v>
      </c>
      <c r="R286" s="15" t="n">
        <f aca="false">Q286-$G$2+$I$2</f>
        <v>30520.251202482</v>
      </c>
      <c r="S286" s="42" t="n">
        <f aca="false">R286/$K$2</f>
        <v>292.255589413789</v>
      </c>
      <c r="T286" s="43" t="n">
        <f aca="false">S286-$M$2</f>
        <v>0.00240546281690968</v>
      </c>
    </row>
    <row r="287" customFormat="false" ht="15" hidden="false" customHeight="false" outlineLevel="0" collapsed="false">
      <c r="A287" s="5" t="n">
        <v>21</v>
      </c>
      <c r="B287" s="25" t="n">
        <f aca="false">IF(T286&gt;0,B286,D286)</f>
        <v>-0.0496006011962891</v>
      </c>
      <c r="C287" s="25" t="n">
        <f aca="false">IF(T286&gt;0,D286,C286)</f>
        <v>-0.0495991706848145</v>
      </c>
      <c r="D287" s="41" t="n">
        <f aca="false">(B287+C287)/2</f>
        <v>-0.0495998859405518</v>
      </c>
      <c r="E287" s="15" t="n">
        <f aca="false">$C$2*(1+IF(E$3&lt;=$O$2,$D287,$D287-($D287-$I$265)*MIN(E$3-$O$2,$Q$2)/$Q$2))</f>
        <v>2604.09631252289</v>
      </c>
      <c r="F287" s="15" t="n">
        <f aca="false">E287*(1+IF(F$3&lt;=$O$2,$D287,$D287-($D287-$I$265)*MIN(F$3-$O$2,$Q$2)/$Q$2))</f>
        <v>2474.93343244354</v>
      </c>
      <c r="G287" s="15" t="n">
        <f aca="false">F287*(1+IF(G$3&lt;=$O$2,$D287,$D287-($D287-$I$265)*MIN(G$3-$O$2,$Q$2)/$Q$2))</f>
        <v>2352.17701648388</v>
      </c>
      <c r="H287" s="15" t="n">
        <f aca="false">G287*(1+IF(H$3&lt;=$O$2,$D287,$D287-($D287-$I$265)*MIN(H$3-$O$2,$Q$2)/$Q$2))</f>
        <v>2235.5093047543</v>
      </c>
      <c r="I287" s="15" t="n">
        <f aca="false">H287*(1+IF(I$3&lt;=$O$2,$D287,$D287-($D287-$I$265)*MIN(I$3-$O$2,$Q$2)/$Q$2))</f>
        <v>2124.62829821944</v>
      </c>
      <c r="J287" s="15" t="n">
        <f aca="false">I287*(1+IF(J$3&lt;=$O$2,$D287,$D287-($D287-$I$265)*MIN(J$3-$O$2,$Q$2)/$Q$2))</f>
        <v>2054.47326567938</v>
      </c>
      <c r="K287" s="15" t="n">
        <f aca="false">J287*(1+IF(K$3&lt;=$O$2,$D287,$D287-($D287-$I$265)*MIN(K$3-$O$2,$Q$2)/$Q$2))</f>
        <v>2020.69786579086</v>
      </c>
      <c r="L287" s="15" t="n">
        <f aca="false">K287*(1+IF(L$3&lt;=$O$2,$D287,$D287-($D287-$I$265)*MIN(L$3-$O$2,$Q$2)/$Q$2))</f>
        <v>2020.98085568395</v>
      </c>
      <c r="M287" s="15" t="n">
        <f aca="false">L287*(1+IF(M$3&lt;=$O$2,$D287,$D287-($D287-$I$265)*MIN(M$3-$O$2,$Q$2)/$Q$2))</f>
        <v>2054.77170169337</v>
      </c>
      <c r="N287" s="15" t="n">
        <f aca="false">M287*(1+IF(N$3&lt;=$O$2,$D287,$D287-($D287-$I$265)*MIN(N$3-$O$2,$Q$2)/$Q$2))</f>
        <v>2123.19559935976</v>
      </c>
      <c r="O287" s="15" t="n">
        <f aca="false">SUMPRODUCT(E287:N287,1/(1+$F$265)^$E$3:$N$3)*$E$2</f>
        <v>10632.8738426897</v>
      </c>
      <c r="P287" s="15" t="n">
        <f aca="false">N287*$E$2*(1+$I$265)/($F$265-$I$265)/(1+$F$265)^$N$3</f>
        <v>19117.2441438363</v>
      </c>
      <c r="Q287" s="15" t="n">
        <f aca="false">O287+P287</f>
        <v>29750.1179865259</v>
      </c>
      <c r="R287" s="15" t="n">
        <f aca="false">Q287-$G$2+$I$2</f>
        <v>30520.1179865259</v>
      </c>
      <c r="S287" s="42" t="n">
        <f aca="false">R287/$K$2</f>
        <v>292.25431376545</v>
      </c>
      <c r="T287" s="43" t="n">
        <f aca="false">S287-$M$2</f>
        <v>0.00112981447796301</v>
      </c>
    </row>
    <row r="288" customFormat="false" ht="15" hidden="false" customHeight="false" outlineLevel="0" collapsed="false">
      <c r="A288" s="5" t="n">
        <v>22</v>
      </c>
      <c r="B288" s="25" t="n">
        <f aca="false">IF(T287&gt;0,B287,D287)</f>
        <v>-0.0496006011962891</v>
      </c>
      <c r="C288" s="25" t="n">
        <f aca="false">IF(T287&gt;0,D287,C287)</f>
        <v>-0.0495998859405518</v>
      </c>
      <c r="D288" s="41" t="n">
        <f aca="false">(B288+C288)/2</f>
        <v>-0.0496002435684204</v>
      </c>
      <c r="E288" s="15" t="n">
        <f aca="false">$C$2*(1+IF(E$3&lt;=$O$2,$D288,$D288-($D288-$I$265)*MIN(E$3-$O$2,$Q$2)/$Q$2))</f>
        <v>2604.09533262253</v>
      </c>
      <c r="F288" s="15" t="n">
        <f aca="false">E288*(1+IF(F$3&lt;=$O$2,$D288,$D288-($D288-$I$265)*MIN(F$3-$O$2,$Q$2)/$Q$2))</f>
        <v>2474.93156984906</v>
      </c>
      <c r="G288" s="15" t="n">
        <f aca="false">F288*(1+IF(G$3&lt;=$O$2,$D288,$D288-($D288-$I$265)*MIN(G$3-$O$2,$Q$2)/$Q$2))</f>
        <v>2352.17436116938</v>
      </c>
      <c r="H288" s="15" t="n">
        <f aca="false">G288*(1+IF(H$3&lt;=$O$2,$D288,$D288-($D288-$I$265)*MIN(H$3-$O$2,$Q$2)/$Q$2))</f>
        <v>2235.50593993998</v>
      </c>
      <c r="I288" s="15" t="n">
        <f aca="false">H288*(1+IF(I$3&lt;=$O$2,$D288,$D288-($D288-$I$265)*MIN(I$3-$O$2,$Q$2)/$Q$2))</f>
        <v>2124.62430082031</v>
      </c>
      <c r="J288" s="15" t="n">
        <f aca="false">I288*(1+IF(J$3&lt;=$O$2,$D288,$D288-($D288-$I$265)*MIN(J$3-$O$2,$Q$2)/$Q$2))</f>
        <v>2054.46879241411</v>
      </c>
      <c r="K288" s="15" t="n">
        <f aca="false">J288*(1+IF(K$3&lt;=$O$2,$D288,$D288-($D288-$I$265)*MIN(K$3-$O$2,$Q$2)/$Q$2))</f>
        <v>2020.6930252246</v>
      </c>
      <c r="L288" s="15" t="n">
        <f aca="false">K288*(1+IF(L$3&lt;=$O$2,$D288,$D288-($D288-$I$265)*MIN(L$3-$O$2,$Q$2)/$Q$2))</f>
        <v>2020.97572537732</v>
      </c>
      <c r="M288" s="15" t="n">
        <f aca="false">L288*(1+IF(M$3&lt;=$O$2,$D288,$D288-($D288-$I$265)*MIN(M$3-$O$2,$Q$2)/$Q$2))</f>
        <v>2054.76634105646</v>
      </c>
      <c r="N288" s="15" t="n">
        <f aca="false">M288*(1+IF(N$3&lt;=$O$2,$D288,$D288-($D288-$I$265)*MIN(N$3-$O$2,$Q$2)/$Q$2))</f>
        <v>2123.19006021364</v>
      </c>
      <c r="O288" s="15" t="n">
        <f aca="false">SUMPRODUCT(E288:N288,1/(1+$F$265)^$E$3:$N$3)*$E$2</f>
        <v>10632.857109371</v>
      </c>
      <c r="P288" s="15" t="n">
        <f aca="false">N288*$E$2*(1+$I$265)/($F$265-$I$265)/(1+$F$265)^$N$3</f>
        <v>19117.1942693881</v>
      </c>
      <c r="Q288" s="15" t="n">
        <f aca="false">O288+P288</f>
        <v>29750.0513787591</v>
      </c>
      <c r="R288" s="15" t="n">
        <f aca="false">Q288-$G$2+$I$2</f>
        <v>30520.0513787591</v>
      </c>
      <c r="S288" s="42" t="n">
        <f aca="false">R288/$K$2</f>
        <v>292.253675943303</v>
      </c>
      <c r="T288" s="43" t="n">
        <f aca="false">S288-$M$2</f>
        <v>0.000491992331035362</v>
      </c>
    </row>
    <row r="289" customFormat="false" ht="15" hidden="false" customHeight="false" outlineLevel="0" collapsed="false">
      <c r="A289" s="5" t="n">
        <v>23</v>
      </c>
      <c r="B289" s="25" t="n">
        <f aca="false">IF(T288&gt;0,B288,D288)</f>
        <v>-0.0496006011962891</v>
      </c>
      <c r="C289" s="25" t="n">
        <f aca="false">IF(T288&gt;0,D288,C288)</f>
        <v>-0.0496002435684204</v>
      </c>
      <c r="D289" s="41" t="n">
        <f aca="false">(B289+C289)/2</f>
        <v>-0.0496004223823547</v>
      </c>
      <c r="E289" s="15" t="n">
        <f aca="false">$C$2*(1+IF(E$3&lt;=$O$2,$D289,$D289-($D289-$I$265)*MIN(E$3-$O$2,$Q$2)/$Q$2))</f>
        <v>2604.09484267235</v>
      </c>
      <c r="F289" s="15" t="n">
        <f aca="false">E289*(1+IF(F$3&lt;=$O$2,$D289,$D289-($D289-$I$265)*MIN(F$3-$O$2,$Q$2)/$Q$2))</f>
        <v>2474.93063855209</v>
      </c>
      <c r="G289" s="15" t="n">
        <f aca="false">F289*(1+IF(G$3&lt;=$O$2,$D289,$D289-($D289-$I$265)*MIN(G$3-$O$2,$Q$2)/$Q$2))</f>
        <v>2352.17303351287</v>
      </c>
      <c r="H289" s="15" t="n">
        <f aca="false">G289*(1+IF(H$3&lt;=$O$2,$D289,$D289-($D289-$I$265)*MIN(H$3-$O$2,$Q$2)/$Q$2))</f>
        <v>2235.50425753425</v>
      </c>
      <c r="I289" s="15" t="n">
        <f aca="false">H289*(1+IF(I$3&lt;=$O$2,$D289,$D289-($D289-$I$265)*MIN(I$3-$O$2,$Q$2)/$Q$2))</f>
        <v>2124.622302123</v>
      </c>
      <c r="J289" s="15" t="n">
        <f aca="false">I289*(1+IF(J$3&lt;=$O$2,$D289,$D289-($D289-$I$265)*MIN(J$3-$O$2,$Q$2)/$Q$2))</f>
        <v>2054.46655578452</v>
      </c>
      <c r="K289" s="15" t="n">
        <f aca="false">J289*(1+IF(K$3&lt;=$O$2,$D289,$D289-($D289-$I$265)*MIN(K$3-$O$2,$Q$2)/$Q$2))</f>
        <v>2020.69060494517</v>
      </c>
      <c r="L289" s="15" t="n">
        <f aca="false">K289*(1+IF(L$3&lt;=$O$2,$D289,$D289-($D289-$I$265)*MIN(L$3-$O$2,$Q$2)/$Q$2))</f>
        <v>2020.97316022824</v>
      </c>
      <c r="M289" s="15" t="n">
        <f aca="false">L289*(1+IF(M$3&lt;=$O$2,$D289,$D289-($D289-$I$265)*MIN(M$3-$O$2,$Q$2)/$Q$2))</f>
        <v>2054.76366074258</v>
      </c>
      <c r="N289" s="15" t="n">
        <f aca="false">M289*(1+IF(N$3&lt;=$O$2,$D289,$D289-($D289-$I$265)*MIN(N$3-$O$2,$Q$2)/$Q$2))</f>
        <v>2123.18729064531</v>
      </c>
      <c r="O289" s="15" t="n">
        <f aca="false">SUMPRODUCT(E289:N289,1/(1+$F$265)^$E$3:$N$3)*$E$2</f>
        <v>10632.8487427219</v>
      </c>
      <c r="P289" s="15" t="n">
        <f aca="false">N289*$E$2*(1+$I$265)/($F$265-$I$265)/(1+$F$265)^$N$3</f>
        <v>19117.1693322066</v>
      </c>
      <c r="Q289" s="15" t="n">
        <f aca="false">O289+P289</f>
        <v>29750.0180749285</v>
      </c>
      <c r="R289" s="15" t="n">
        <f aca="false">Q289-$G$2+$I$2</f>
        <v>30520.0180749285</v>
      </c>
      <c r="S289" s="42" t="n">
        <f aca="false">R289/$K$2</f>
        <v>292.253357032735</v>
      </c>
      <c r="T289" s="43" t="n">
        <f aca="false">S289-$M$2</f>
        <v>0.00017308176319375</v>
      </c>
    </row>
    <row r="290" customFormat="false" ht="15" hidden="false" customHeight="false" outlineLevel="0" collapsed="false">
      <c r="A290" s="5" t="n">
        <v>24</v>
      </c>
      <c r="B290" s="25" t="n">
        <f aca="false">IF(T289&gt;0,B289,D289)</f>
        <v>-0.0496006011962891</v>
      </c>
      <c r="C290" s="25" t="n">
        <f aca="false">IF(T289&gt;0,D289,C289)</f>
        <v>-0.0496004223823547</v>
      </c>
      <c r="D290" s="41" t="n">
        <f aca="false">(B290+C290)/2</f>
        <v>-0.0496005117893219</v>
      </c>
      <c r="E290" s="15" t="n">
        <f aca="false">$C$2*(1+IF(E$3&lt;=$O$2,$D290,$D290-($D290-$I$265)*MIN(E$3-$O$2,$Q$2)/$Q$2))</f>
        <v>2604.09459769726</v>
      </c>
      <c r="F290" s="15" t="n">
        <f aca="false">E290*(1+IF(F$3&lt;=$O$2,$D290,$D290-($D290-$I$265)*MIN(F$3-$O$2,$Q$2)/$Q$2))</f>
        <v>2474.93017290367</v>
      </c>
      <c r="G290" s="15" t="n">
        <f aca="false">F290*(1+IF(G$3&lt;=$O$2,$D290,$D290-($D290-$I$265)*MIN(G$3-$O$2,$Q$2)/$Q$2))</f>
        <v>2352.17236968481</v>
      </c>
      <c r="H290" s="15" t="n">
        <f aca="false">G290*(1+IF(H$3&lt;=$O$2,$D290,$D290-($D290-$I$265)*MIN(H$3-$O$2,$Q$2)/$Q$2))</f>
        <v>2235.50341633174</v>
      </c>
      <c r="I290" s="15" t="n">
        <f aca="false">H290*(1+IF(I$3&lt;=$O$2,$D290,$D290-($D290-$I$265)*MIN(I$3-$O$2,$Q$2)/$Q$2))</f>
        <v>2124.62130277491</v>
      </c>
      <c r="J290" s="15" t="n">
        <f aca="false">I290*(1+IF(J$3&lt;=$O$2,$D290,$D290-($D290-$I$265)*MIN(J$3-$O$2,$Q$2)/$Q$2))</f>
        <v>2054.46543747048</v>
      </c>
      <c r="K290" s="15" t="n">
        <f aca="false">J290*(1+IF(K$3&lt;=$O$2,$D290,$D290-($D290-$I$265)*MIN(K$3-$O$2,$Q$2)/$Q$2))</f>
        <v>2020.68939480639</v>
      </c>
      <c r="L290" s="15" t="n">
        <f aca="false">K290*(1+IF(L$3&lt;=$O$2,$D290,$D290-($D290-$I$265)*MIN(L$3-$O$2,$Q$2)/$Q$2))</f>
        <v>2020.97187765476</v>
      </c>
      <c r="M290" s="15" t="n">
        <f aca="false">L290*(1+IF(M$3&lt;=$O$2,$D290,$D290-($D290-$I$265)*MIN(M$3-$O$2,$Q$2)/$Q$2))</f>
        <v>2054.76232058678</v>
      </c>
      <c r="N290" s="15" t="n">
        <f aca="false">M290*(1+IF(N$3&lt;=$O$2,$D290,$D290-($D290-$I$265)*MIN(N$3-$O$2,$Q$2)/$Q$2))</f>
        <v>2123.18590586232</v>
      </c>
      <c r="O290" s="15" t="n">
        <f aca="false">SUMPRODUCT(E290:N290,1/(1+$F$265)^$E$3:$N$3)*$E$2</f>
        <v>10632.8445593999</v>
      </c>
      <c r="P290" s="15" t="n">
        <f aca="false">N290*$E$2*(1+$I$265)/($F$265-$I$265)/(1+$F$265)^$N$3</f>
        <v>19117.1568636265</v>
      </c>
      <c r="Q290" s="15" t="n">
        <f aca="false">O290+P290</f>
        <v>29750.0014230264</v>
      </c>
      <c r="R290" s="15" t="n">
        <f aca="false">Q290-$G$2+$I$2</f>
        <v>30520.0014230264</v>
      </c>
      <c r="S290" s="42" t="n">
        <f aca="false">R290/$K$2</f>
        <v>292.253197577578</v>
      </c>
      <c r="T290" s="43" t="n">
        <f aca="false">S290-$M$2</f>
        <v>1.36266056074419E-005</v>
      </c>
    </row>
    <row r="292" customFormat="false" ht="15" hidden="false" customHeight="false" outlineLevel="0" collapsed="false">
      <c r="A292" s="38" t="s">
        <v>188</v>
      </c>
      <c r="E292" s="5" t="s">
        <v>11</v>
      </c>
      <c r="F292" s="12" t="n">
        <f aca="false">Sensitivity!$B$11</f>
        <v>0.0722772551778937</v>
      </c>
      <c r="G292" s="5" t="s">
        <v>12</v>
      </c>
      <c r="I292" s="12" t="n">
        <f aca="false">Sensitivity!$G$9</f>
        <v>0.0383</v>
      </c>
    </row>
    <row r="293" customFormat="false" ht="23.85" hidden="false" customHeight="false" outlineLevel="0" collapsed="false">
      <c r="A293" s="38" t="s">
        <v>159</v>
      </c>
      <c r="B293" s="28" t="s">
        <v>160</v>
      </c>
      <c r="C293" s="28" t="s">
        <v>161</v>
      </c>
      <c r="D293" s="28" t="s">
        <v>162</v>
      </c>
      <c r="E293" s="28" t="s">
        <v>163</v>
      </c>
      <c r="F293" s="28" t="s">
        <v>164</v>
      </c>
      <c r="G293" s="28" t="s">
        <v>165</v>
      </c>
      <c r="H293" s="28" t="s">
        <v>166</v>
      </c>
      <c r="I293" s="28" t="s">
        <v>167</v>
      </c>
      <c r="J293" s="28" t="s">
        <v>168</v>
      </c>
      <c r="K293" s="28" t="s">
        <v>169</v>
      </c>
      <c r="L293" s="28" t="s">
        <v>170</v>
      </c>
      <c r="M293" s="28" t="s">
        <v>171</v>
      </c>
      <c r="N293" s="28" t="s">
        <v>172</v>
      </c>
      <c r="O293" s="28" t="s">
        <v>173</v>
      </c>
      <c r="P293" s="28" t="s">
        <v>174</v>
      </c>
      <c r="Q293" s="28" t="s">
        <v>175</v>
      </c>
      <c r="R293" s="28" t="s">
        <v>176</v>
      </c>
      <c r="S293" s="28" t="s">
        <v>177</v>
      </c>
      <c r="T293" s="28" t="s">
        <v>178</v>
      </c>
    </row>
    <row r="294" customFormat="false" ht="15" hidden="false" customHeight="false" outlineLevel="0" collapsed="false">
      <c r="A294" s="5" t="n">
        <v>1</v>
      </c>
      <c r="B294" s="24" t="n">
        <v>-0.5</v>
      </c>
      <c r="C294" s="24" t="n">
        <v>1</v>
      </c>
      <c r="D294" s="41" t="n">
        <f aca="false">(B294+C294)/2</f>
        <v>0.25</v>
      </c>
      <c r="E294" s="15" t="n">
        <f aca="false">$C$2*(1+IF(E$3&lt;=$O$2,$D294,$D294-($D294-$I$292)*MIN(E$3-$O$2,$Q$2)/$Q$2))</f>
        <v>3425</v>
      </c>
      <c r="F294" s="15" t="n">
        <f aca="false">E294*(1+IF(F$3&lt;=$O$2,$D294,$D294-($D294-$I$292)*MIN(F$3-$O$2,$Q$2)/$Q$2))</f>
        <v>4281.25</v>
      </c>
      <c r="G294" s="15" t="n">
        <f aca="false">F294*(1+IF(G$3&lt;=$O$2,$D294,$D294-($D294-$I$292)*MIN(G$3-$O$2,$Q$2)/$Q$2))</f>
        <v>5351.5625</v>
      </c>
      <c r="H294" s="15" t="n">
        <f aca="false">G294*(1+IF(H$3&lt;=$O$2,$D294,$D294-($D294-$I$292)*MIN(H$3-$O$2,$Q$2)/$Q$2))</f>
        <v>6689.453125</v>
      </c>
      <c r="I294" s="15" t="n">
        <f aca="false">H294*(1+IF(I$3&lt;=$O$2,$D294,$D294-($D294-$I$292)*MIN(I$3-$O$2,$Q$2)/$Q$2))</f>
        <v>8361.81640625</v>
      </c>
      <c r="J294" s="15" t="n">
        <f aca="false">I294*(1+IF(J$3&lt;=$O$2,$D294,$D294-($D294-$I$292)*MIN(J$3-$O$2,$Q$2)/$Q$2))</f>
        <v>10098.2312011719</v>
      </c>
      <c r="K294" s="15" t="n">
        <f aca="false">J294*(1+IF(K$3&lt;=$O$2,$D294,$D294-($D294-$I$292)*MIN(K$3-$O$2,$Q$2)/$Q$2))</f>
        <v>11767.6707833496</v>
      </c>
      <c r="L294" s="15" t="n">
        <f aca="false">K294*(1+IF(L$3&lt;=$O$2,$D294,$D294-($D294-$I$292)*MIN(L$3-$O$2,$Q$2)/$Q$2))</f>
        <v>13214.8589362859</v>
      </c>
      <c r="M294" s="15" t="n">
        <f aca="false">L294*(1+IF(M$3&lt;=$O$2,$D294,$D294-($D294-$I$292)*MIN(M$3-$O$2,$Q$2)/$Q$2))</f>
        <v>14280.505160908</v>
      </c>
      <c r="N294" s="15" t="n">
        <f aca="false">M294*(1+IF(N$3&lt;=$O$2,$D294,$D294-($D294-$I$292)*MIN(N$3-$O$2,$Q$2)/$Q$2))</f>
        <v>14827.4485085708</v>
      </c>
      <c r="O294" s="15" t="n">
        <f aca="false">SUMPRODUCT(E294:N294,1/(1+$F$292)^$E$3:$N$3)*$E$2</f>
        <v>40021.9881969449</v>
      </c>
      <c r="P294" s="15" t="n">
        <f aca="false">N294*$E$2*(1+$I$292)/($F$292-$I$292)/(1+$F$292)^$N$3</f>
        <v>153893.788390944</v>
      </c>
      <c r="Q294" s="15" t="n">
        <f aca="false">O294+P294</f>
        <v>193915.776587889</v>
      </c>
      <c r="R294" s="15" t="n">
        <f aca="false">Q294-$G$2+$I$2</f>
        <v>194685.776587889</v>
      </c>
      <c r="S294" s="42" t="n">
        <f aca="false">R294/$K$2</f>
        <v>1864.27057921947</v>
      </c>
      <c r="T294" s="43" t="n">
        <f aca="false">S294-$M$2</f>
        <v>1572.0173952685</v>
      </c>
    </row>
    <row r="295" customFormat="false" ht="15" hidden="false" customHeight="false" outlineLevel="0" collapsed="false">
      <c r="A295" s="5" t="n">
        <v>2</v>
      </c>
      <c r="B295" s="25" t="n">
        <f aca="false">IF(T294&gt;0,B294,D294)</f>
        <v>-0.5</v>
      </c>
      <c r="C295" s="25" t="n">
        <f aca="false">IF(T294&gt;0,D294,C294)</f>
        <v>0.25</v>
      </c>
      <c r="D295" s="41" t="n">
        <f aca="false">(B295+C295)/2</f>
        <v>-0.125</v>
      </c>
      <c r="E295" s="15" t="n">
        <f aca="false">$C$2*(1+IF(E$3&lt;=$O$2,$D295,$D295-($D295-$I$292)*MIN(E$3-$O$2,$Q$2)/$Q$2))</f>
        <v>2397.5</v>
      </c>
      <c r="F295" s="15" t="n">
        <f aca="false">E295*(1+IF(F$3&lt;=$O$2,$D295,$D295-($D295-$I$292)*MIN(F$3-$O$2,$Q$2)/$Q$2))</f>
        <v>2097.8125</v>
      </c>
      <c r="G295" s="15" t="n">
        <f aca="false">F295*(1+IF(G$3&lt;=$O$2,$D295,$D295-($D295-$I$292)*MIN(G$3-$O$2,$Q$2)/$Q$2))</f>
        <v>1835.5859375</v>
      </c>
      <c r="H295" s="15" t="n">
        <f aca="false">G295*(1+IF(H$3&lt;=$O$2,$D295,$D295-($D295-$I$292)*MIN(H$3-$O$2,$Q$2)/$Q$2))</f>
        <v>1606.1376953125</v>
      </c>
      <c r="I295" s="15" t="n">
        <f aca="false">H295*(1+IF(I$3&lt;=$O$2,$D295,$D295-($D295-$I$292)*MIN(I$3-$O$2,$Q$2)/$Q$2))</f>
        <v>1405.37048339844</v>
      </c>
      <c r="J295" s="15" t="n">
        <f aca="false">I295*(1+IF(J$3&lt;=$O$2,$D295,$D295-($D295-$I$292)*MIN(J$3-$O$2,$Q$2)/$Q$2))</f>
        <v>1275.59857296143</v>
      </c>
      <c r="K295" s="15" t="n">
        <f aca="false">J295*(1+IF(K$3&lt;=$O$2,$D295,$D295-($D295-$I$292)*MIN(K$3-$O$2,$Q$2)/$Q$2))</f>
        <v>1199.47085012709</v>
      </c>
      <c r="L295" s="15" t="n">
        <f aca="false">K295*(1+IF(L$3&lt;=$O$2,$D295,$D295-($D295-$I$292)*MIN(L$3-$O$2,$Q$2)/$Q$2))</f>
        <v>1167.06114775665</v>
      </c>
      <c r="M295" s="15" t="n">
        <f aca="false">L295*(1+IF(M$3&lt;=$O$2,$D295,$D295-($D295-$I$292)*MIN(M$3-$O$2,$Q$2)/$Q$2))</f>
        <v>1173.64337263</v>
      </c>
      <c r="N295" s="15" t="n">
        <f aca="false">M295*(1+IF(N$3&lt;=$O$2,$D295,$D295-($D295-$I$292)*MIN(N$3-$O$2,$Q$2)/$Q$2))</f>
        <v>1218.59391380173</v>
      </c>
      <c r="O295" s="15" t="n">
        <f aca="false">SUMPRODUCT(E295:N295,1/(1+$F$292)^$E$3:$N$3)*$E$2</f>
        <v>7665.15896755463</v>
      </c>
      <c r="P295" s="15" t="n">
        <f aca="false">N295*$E$2*(1+$I$292)/($F$292-$I$292)/(1+$F$292)^$N$3</f>
        <v>12647.7616021863</v>
      </c>
      <c r="Q295" s="15" t="n">
        <f aca="false">O295+P295</f>
        <v>20312.9205697409</v>
      </c>
      <c r="R295" s="15" t="n">
        <f aca="false">Q295-$G$2+$I$2</f>
        <v>21082.9205697409</v>
      </c>
      <c r="S295" s="42" t="n">
        <f aca="false">R295/$K$2</f>
        <v>201.885670494502</v>
      </c>
      <c r="T295" s="43" t="n">
        <f aca="false">S295-$M$2</f>
        <v>-90.3675134564696</v>
      </c>
    </row>
    <row r="296" customFormat="false" ht="15" hidden="false" customHeight="false" outlineLevel="0" collapsed="false">
      <c r="A296" s="5" t="n">
        <v>3</v>
      </c>
      <c r="B296" s="25" t="n">
        <f aca="false">IF(T295&gt;0,B295,D295)</f>
        <v>-0.125</v>
      </c>
      <c r="C296" s="25" t="n">
        <f aca="false">IF(T295&gt;0,D295,C295)</f>
        <v>0.25</v>
      </c>
      <c r="D296" s="41" t="n">
        <f aca="false">(B296+C296)/2</f>
        <v>0.0625</v>
      </c>
      <c r="E296" s="15" t="n">
        <f aca="false">$C$2*(1+IF(E$3&lt;=$O$2,$D296,$D296-($D296-$I$292)*MIN(E$3-$O$2,$Q$2)/$Q$2))</f>
        <v>2911.25</v>
      </c>
      <c r="F296" s="15" t="n">
        <f aca="false">E296*(1+IF(F$3&lt;=$O$2,$D296,$D296-($D296-$I$292)*MIN(F$3-$O$2,$Q$2)/$Q$2))</f>
        <v>3093.203125</v>
      </c>
      <c r="G296" s="15" t="n">
        <f aca="false">F296*(1+IF(G$3&lt;=$O$2,$D296,$D296-($D296-$I$292)*MIN(G$3-$O$2,$Q$2)/$Q$2))</f>
        <v>3286.5283203125</v>
      </c>
      <c r="H296" s="15" t="n">
        <f aca="false">G296*(1+IF(H$3&lt;=$O$2,$D296,$D296-($D296-$I$292)*MIN(H$3-$O$2,$Q$2)/$Q$2))</f>
        <v>3491.93634033203</v>
      </c>
      <c r="I296" s="15" t="n">
        <f aca="false">H296*(1+IF(I$3&lt;=$O$2,$D296,$D296-($D296-$I$292)*MIN(I$3-$O$2,$Q$2)/$Q$2))</f>
        <v>3710.18236160278</v>
      </c>
      <c r="J296" s="15" t="n">
        <f aca="false">I296*(1+IF(J$3&lt;=$O$2,$D296,$D296-($D296-$I$292)*MIN(J$3-$O$2,$Q$2)/$Q$2))</f>
        <v>3924.1114765728</v>
      </c>
      <c r="K296" s="15" t="n">
        <f aca="false">J296*(1+IF(K$3&lt;=$O$2,$D296,$D296-($D296-$I$292)*MIN(K$3-$O$2,$Q$2)/$Q$2))</f>
        <v>4131.38304476538</v>
      </c>
      <c r="L296" s="15" t="n">
        <f aca="false">K296*(1+IF(L$3&lt;=$O$2,$D296,$D296-($D296-$I$292)*MIN(L$3-$O$2,$Q$2)/$Q$2))</f>
        <v>4329.60680325322</v>
      </c>
      <c r="M296" s="15" t="n">
        <f aca="false">L296*(1+IF(M$3&lt;=$O$2,$D296,$D296-($D296-$I$292)*MIN(M$3-$O$2,$Q$2)/$Q$2))</f>
        <v>4516.38604074556</v>
      </c>
      <c r="N296" s="15" t="n">
        <f aca="false">M296*(1+IF(N$3&lt;=$O$2,$D296,$D296-($D296-$I$292)*MIN(N$3-$O$2,$Q$2)/$Q$2))</f>
        <v>4689.36362610612</v>
      </c>
      <c r="O296" s="15" t="n">
        <f aca="false">SUMPRODUCT(E296:N296,1/(1+$F$292)^$E$3:$N$3)*$E$2</f>
        <v>17517.5029503116</v>
      </c>
      <c r="P296" s="15" t="n">
        <f aca="false">N296*$E$2*(1+$I$292)/($F$292-$I$292)/(1+$F$292)^$N$3</f>
        <v>48670.8102980103</v>
      </c>
      <c r="Q296" s="15" t="n">
        <f aca="false">O296+P296</f>
        <v>66188.3132483219</v>
      </c>
      <c r="R296" s="15" t="n">
        <f aca="false">Q296-$G$2+$I$2</f>
        <v>66958.3132483219</v>
      </c>
      <c r="S296" s="42" t="n">
        <f aca="false">R296/$K$2</f>
        <v>641.178906907229</v>
      </c>
      <c r="T296" s="43" t="n">
        <f aca="false">S296-$M$2</f>
        <v>348.925722956257</v>
      </c>
    </row>
    <row r="297" customFormat="false" ht="15" hidden="false" customHeight="false" outlineLevel="0" collapsed="false">
      <c r="A297" s="5" t="n">
        <v>4</v>
      </c>
      <c r="B297" s="25" t="n">
        <f aca="false">IF(T296&gt;0,B296,D296)</f>
        <v>-0.125</v>
      </c>
      <c r="C297" s="25" t="n">
        <f aca="false">IF(T296&gt;0,D296,C296)</f>
        <v>0.0625</v>
      </c>
      <c r="D297" s="41" t="n">
        <f aca="false">(B297+C297)/2</f>
        <v>-0.03125</v>
      </c>
      <c r="E297" s="15" t="n">
        <f aca="false">$C$2*(1+IF(E$3&lt;=$O$2,$D297,$D297-($D297-$I$292)*MIN(E$3-$O$2,$Q$2)/$Q$2))</f>
        <v>2654.375</v>
      </c>
      <c r="F297" s="15" t="n">
        <f aca="false">E297*(1+IF(F$3&lt;=$O$2,$D297,$D297-($D297-$I$292)*MIN(F$3-$O$2,$Q$2)/$Q$2))</f>
        <v>2571.42578125</v>
      </c>
      <c r="G297" s="15" t="n">
        <f aca="false">F297*(1+IF(G$3&lt;=$O$2,$D297,$D297-($D297-$I$292)*MIN(G$3-$O$2,$Q$2)/$Q$2))</f>
        <v>2491.06872558594</v>
      </c>
      <c r="H297" s="15" t="n">
        <f aca="false">G297*(1+IF(H$3&lt;=$O$2,$D297,$D297-($D297-$I$292)*MIN(H$3-$O$2,$Q$2)/$Q$2))</f>
        <v>2413.22282791138</v>
      </c>
      <c r="I297" s="15" t="n">
        <f aca="false">H297*(1+IF(I$3&lt;=$O$2,$D297,$D297-($D297-$I$292)*MIN(I$3-$O$2,$Q$2)/$Q$2))</f>
        <v>2337.80961453915</v>
      </c>
      <c r="J297" s="15" t="n">
        <f aca="false">I297*(1+IF(J$3&lt;=$O$2,$D297,$D297-($D297-$I$292)*MIN(J$3-$O$2,$Q$2)/$Q$2))</f>
        <v>2297.27199582304</v>
      </c>
      <c r="K297" s="15" t="n">
        <f aca="false">J297*(1+IF(K$3&lt;=$O$2,$D297,$D297-($D297-$I$292)*MIN(K$3-$O$2,$Q$2)/$Q$2))</f>
        <v>2289.39235287737</v>
      </c>
      <c r="L297" s="15" t="n">
        <f aca="false">K297*(1+IF(L$3&lt;=$O$2,$D297,$D297-($D297-$I$292)*MIN(L$3-$O$2,$Q$2)/$Q$2))</f>
        <v>2313.38518473552</v>
      </c>
      <c r="M297" s="15" t="n">
        <f aca="false">L297*(1+IF(M$3&lt;=$O$2,$D297,$D297-($D297-$I$292)*MIN(M$3-$O$2,$Q$2)/$Q$2))</f>
        <v>2369.80864939122</v>
      </c>
      <c r="N297" s="15" t="n">
        <f aca="false">M297*(1+IF(N$3&lt;=$O$2,$D297,$D297-($D297-$I$292)*MIN(N$3-$O$2,$Q$2)/$Q$2))</f>
        <v>2460.5723206629</v>
      </c>
      <c r="O297" s="15" t="n">
        <f aca="false">SUMPRODUCT(E297:N297,1/(1+$F$292)^$E$3:$N$3)*$E$2</f>
        <v>11558.4558335266</v>
      </c>
      <c r="P297" s="15" t="n">
        <f aca="false">N297*$E$2*(1+$I$292)/($F$292-$I$292)/(1+$F$292)^$N$3</f>
        <v>25538.2303852094</v>
      </c>
      <c r="Q297" s="15" t="n">
        <f aca="false">O297+P297</f>
        <v>37096.686218736</v>
      </c>
      <c r="R297" s="15" t="n">
        <f aca="false">Q297-$G$2+$I$2</f>
        <v>37866.686218736</v>
      </c>
      <c r="S297" s="42" t="n">
        <f aca="false">R297/$K$2</f>
        <v>362.603525986172</v>
      </c>
      <c r="T297" s="43" t="n">
        <f aca="false">S297-$M$2</f>
        <v>70.3503420352004</v>
      </c>
    </row>
    <row r="298" customFormat="false" ht="15" hidden="false" customHeight="false" outlineLevel="0" collapsed="false">
      <c r="A298" s="5" t="n">
        <v>5</v>
      </c>
      <c r="B298" s="25" t="n">
        <f aca="false">IF(T297&gt;0,B297,D297)</f>
        <v>-0.125</v>
      </c>
      <c r="C298" s="25" t="n">
        <f aca="false">IF(T297&gt;0,D297,C297)</f>
        <v>-0.03125</v>
      </c>
      <c r="D298" s="41" t="n">
        <f aca="false">(B298+C298)/2</f>
        <v>-0.078125</v>
      </c>
      <c r="E298" s="15" t="n">
        <f aca="false">$C$2*(1+IF(E$3&lt;=$O$2,$D298,$D298-($D298-$I$292)*MIN(E$3-$O$2,$Q$2)/$Q$2))</f>
        <v>2525.9375</v>
      </c>
      <c r="F298" s="15" t="n">
        <f aca="false">E298*(1+IF(F$3&lt;=$O$2,$D298,$D298-($D298-$I$292)*MIN(F$3-$O$2,$Q$2)/$Q$2))</f>
        <v>2328.5986328125</v>
      </c>
      <c r="G298" s="15" t="n">
        <f aca="false">F298*(1+IF(G$3&lt;=$O$2,$D298,$D298-($D298-$I$292)*MIN(G$3-$O$2,$Q$2)/$Q$2))</f>
        <v>2146.67686462402</v>
      </c>
      <c r="H298" s="15" t="n">
        <f aca="false">G298*(1+IF(H$3&lt;=$O$2,$D298,$D298-($D298-$I$292)*MIN(H$3-$O$2,$Q$2)/$Q$2))</f>
        <v>1978.96773457527</v>
      </c>
      <c r="I298" s="15" t="n">
        <f aca="false">H298*(1+IF(I$3&lt;=$O$2,$D298,$D298-($D298-$I$292)*MIN(I$3-$O$2,$Q$2)/$Q$2))</f>
        <v>1824.36088031158</v>
      </c>
      <c r="J298" s="15" t="n">
        <f aca="false">I298*(1+IF(J$3&lt;=$O$2,$D298,$D298-($D298-$I$292)*MIN(J$3-$O$2,$Q$2)/$Q$2))</f>
        <v>1724.31292963529</v>
      </c>
      <c r="K298" s="15" t="n">
        <f aca="false">J298*(1+IF(K$3&lt;=$O$2,$D298,$D298-($D298-$I$292)*MIN(K$3-$O$2,$Q$2)/$Q$2))</f>
        <v>1669.90223514065</v>
      </c>
      <c r="L298" s="15" t="n">
        <f aca="false">K298*(1+IF(L$3&lt;=$O$2,$D298,$D298-($D298-$I$292)*MIN(L$3-$O$2,$Q$2)/$Q$2))</f>
        <v>1656.09214365604</v>
      </c>
      <c r="M298" s="15" t="n">
        <f aca="false">L298*(1+IF(M$3&lt;=$O$2,$D298,$D298-($D298-$I$292)*MIN(M$3-$O$2,$Q$2)/$Q$2))</f>
        <v>1680.95836719303</v>
      </c>
      <c r="N298" s="15" t="n">
        <f aca="false">M298*(1+IF(N$3&lt;=$O$2,$D298,$D298-($D298-$I$292)*MIN(N$3-$O$2,$Q$2)/$Q$2))</f>
        <v>1745.33907265653</v>
      </c>
      <c r="O298" s="15" t="n">
        <f aca="false">SUMPRODUCT(E298:N298,1/(1+$F$292)^$E$3:$N$3)*$E$2</f>
        <v>9403.40128223563</v>
      </c>
      <c r="P298" s="15" t="n">
        <f aca="false">N298*$E$2*(1+$I$292)/($F$292-$I$292)/(1+$F$292)^$N$3</f>
        <v>18114.8389598245</v>
      </c>
      <c r="Q298" s="15" t="n">
        <f aca="false">O298+P298</f>
        <v>27518.2402420601</v>
      </c>
      <c r="R298" s="15" t="n">
        <f aca="false">Q298-$G$2+$I$2</f>
        <v>28288.2402420601</v>
      </c>
      <c r="S298" s="42" t="n">
        <f aca="false">R298/$K$2</f>
        <v>270.88231582936</v>
      </c>
      <c r="T298" s="43" t="n">
        <f aca="false">S298-$M$2</f>
        <v>-21.3708681216116</v>
      </c>
    </row>
    <row r="299" customFormat="false" ht="15" hidden="false" customHeight="false" outlineLevel="0" collapsed="false">
      <c r="A299" s="5" t="n">
        <v>6</v>
      </c>
      <c r="B299" s="25" t="n">
        <f aca="false">IF(T298&gt;0,B298,D298)</f>
        <v>-0.078125</v>
      </c>
      <c r="C299" s="25" t="n">
        <f aca="false">IF(T298&gt;0,D298,C298)</f>
        <v>-0.03125</v>
      </c>
      <c r="D299" s="41" t="n">
        <f aca="false">(B299+C299)/2</f>
        <v>-0.0546875</v>
      </c>
      <c r="E299" s="15" t="n">
        <f aca="false">$C$2*(1+IF(E$3&lt;=$O$2,$D299,$D299-($D299-$I$292)*MIN(E$3-$O$2,$Q$2)/$Q$2))</f>
        <v>2590.15625</v>
      </c>
      <c r="F299" s="15" t="n">
        <f aca="false">E299*(1+IF(F$3&lt;=$O$2,$D299,$D299-($D299-$I$292)*MIN(F$3-$O$2,$Q$2)/$Q$2))</f>
        <v>2448.50708007813</v>
      </c>
      <c r="G299" s="15" t="n">
        <f aca="false">F299*(1+IF(G$3&lt;=$O$2,$D299,$D299-($D299-$I$292)*MIN(G$3-$O$2,$Q$2)/$Q$2))</f>
        <v>2314.60434913635</v>
      </c>
      <c r="H299" s="15" t="n">
        <f aca="false">G299*(1+IF(H$3&lt;=$O$2,$D299,$D299-($D299-$I$292)*MIN(H$3-$O$2,$Q$2)/$Q$2))</f>
        <v>2188.02442379296</v>
      </c>
      <c r="I299" s="15" t="n">
        <f aca="false">H299*(1+IF(I$3&lt;=$O$2,$D299,$D299-($D299-$I$292)*MIN(I$3-$O$2,$Q$2)/$Q$2))</f>
        <v>2068.36683811678</v>
      </c>
      <c r="J299" s="15" t="n">
        <f aca="false">I299*(1+IF(J$3&lt;=$O$2,$D299,$D299-($D299-$I$292)*MIN(J$3-$O$2,$Q$2)/$Q$2))</f>
        <v>1993.71947892915</v>
      </c>
      <c r="K299" s="15" t="n">
        <f aca="false">J299*(1+IF(K$3&lt;=$O$2,$D299,$D299-($D299-$I$292)*MIN(K$3-$O$2,$Q$2)/$Q$2))</f>
        <v>1958.84434094398</v>
      </c>
      <c r="L299" s="15" t="n">
        <f aca="false">K299*(1+IF(L$3&lt;=$O$2,$D299,$D299-($D299-$I$292)*MIN(L$3-$O$2,$Q$2)/$Q$2))</f>
        <v>1961.00886394072</v>
      </c>
      <c r="M299" s="15" t="n">
        <f aca="false">L299*(1+IF(M$3&lt;=$O$2,$D299,$D299-($D299-$I$292)*MIN(M$3-$O$2,$Q$2)/$Q$2))</f>
        <v>1999.64564108251</v>
      </c>
      <c r="N299" s="15" t="n">
        <f aca="false">M299*(1+IF(N$3&lt;=$O$2,$D299,$D299-($D299-$I$292)*MIN(N$3-$O$2,$Q$2)/$Q$2))</f>
        <v>2076.23206913597</v>
      </c>
      <c r="O299" s="15" t="n">
        <f aca="false">SUMPRODUCT(E299:N299,1/(1+$F$292)^$E$3:$N$3)*$E$2</f>
        <v>10423.2888959529</v>
      </c>
      <c r="P299" s="15" t="n">
        <f aca="false">N299*$E$2*(1+$I$292)/($F$292-$I$292)/(1+$F$292)^$N$3</f>
        <v>21549.1706825628</v>
      </c>
      <c r="Q299" s="15" t="n">
        <f aca="false">O299+P299</f>
        <v>31972.4595785157</v>
      </c>
      <c r="R299" s="15" t="n">
        <f aca="false">Q299-$G$2+$I$2</f>
        <v>32742.4595785157</v>
      </c>
      <c r="S299" s="42" t="n">
        <f aca="false">R299/$K$2</f>
        <v>313.534995485165</v>
      </c>
      <c r="T299" s="43" t="n">
        <f aca="false">S299-$M$2</f>
        <v>21.2818115341926</v>
      </c>
    </row>
    <row r="300" customFormat="false" ht="15" hidden="false" customHeight="false" outlineLevel="0" collapsed="false">
      <c r="A300" s="5" t="n">
        <v>7</v>
      </c>
      <c r="B300" s="25" t="n">
        <f aca="false">IF(T299&gt;0,B299,D299)</f>
        <v>-0.078125</v>
      </c>
      <c r="C300" s="25" t="n">
        <f aca="false">IF(T299&gt;0,D299,C299)</f>
        <v>-0.0546875</v>
      </c>
      <c r="D300" s="41" t="n">
        <f aca="false">(B300+C300)/2</f>
        <v>-0.06640625</v>
      </c>
      <c r="E300" s="15" t="n">
        <f aca="false">$C$2*(1+IF(E$3&lt;=$O$2,$D300,$D300-($D300-$I$292)*MIN(E$3-$O$2,$Q$2)/$Q$2))</f>
        <v>2558.046875</v>
      </c>
      <c r="F300" s="15" t="n">
        <f aca="false">E300*(1+IF(F$3&lt;=$O$2,$D300,$D300-($D300-$I$292)*MIN(F$3-$O$2,$Q$2)/$Q$2))</f>
        <v>2388.17657470703</v>
      </c>
      <c r="G300" s="15" t="n">
        <f aca="false">F300*(1+IF(G$3&lt;=$O$2,$D300,$D300-($D300-$I$292)*MIN(G$3-$O$2,$Q$2)/$Q$2))</f>
        <v>2229.58672404289</v>
      </c>
      <c r="H300" s="15" t="n">
        <f aca="false">G300*(1+IF(H$3&lt;=$O$2,$D300,$D300-($D300-$I$292)*MIN(H$3-$O$2,$Q$2)/$Q$2))</f>
        <v>2081.52823064942</v>
      </c>
      <c r="I300" s="15" t="n">
        <f aca="false">H300*(1+IF(I$3&lt;=$O$2,$D300,$D300-($D300-$I$292)*MIN(I$3-$O$2,$Q$2)/$Q$2))</f>
        <v>1943.30174658286</v>
      </c>
      <c r="J300" s="15" t="n">
        <f aca="false">I300*(1+IF(J$3&lt;=$O$2,$D300,$D300-($D300-$I$292)*MIN(J$3-$O$2,$Q$2)/$Q$2))</f>
        <v>1854.94953267447</v>
      </c>
      <c r="K300" s="15" t="n">
        <f aca="false">J300*(1+IF(K$3&lt;=$O$2,$D300,$D300-($D300-$I$292)*MIN(K$3-$O$2,$Q$2)/$Q$2))</f>
        <v>1809.45921407254</v>
      </c>
      <c r="L300" s="15" t="n">
        <f aca="false">K300*(1+IF(L$3&lt;=$O$2,$D300,$D300-($D300-$I$292)*MIN(L$3-$O$2,$Q$2)/$Q$2))</f>
        <v>1802.97682643813</v>
      </c>
      <c r="M300" s="15" t="n">
        <f aca="false">L300*(1+IF(M$3&lt;=$O$2,$D300,$D300-($D300-$I$292)*MIN(M$3-$O$2,$Q$2)/$Q$2))</f>
        <v>1834.27425042406</v>
      </c>
      <c r="N300" s="15" t="n">
        <f aca="false">M300*(1+IF(N$3&lt;=$O$2,$D300,$D300-($D300-$I$292)*MIN(N$3-$O$2,$Q$2)/$Q$2))</f>
        <v>1904.5269542153</v>
      </c>
      <c r="O300" s="15" t="n">
        <f aca="false">SUMPRODUCT(E300:N300,1/(1+$F$292)^$E$3:$N$3)*$E$2</f>
        <v>9899.66700285157</v>
      </c>
      <c r="P300" s="15" t="n">
        <f aca="false">N300*$E$2*(1+$I$292)/($F$292-$I$292)/(1+$F$292)^$N$3</f>
        <v>19767.0467651558</v>
      </c>
      <c r="Q300" s="15" t="n">
        <f aca="false">O300+P300</f>
        <v>29666.7137680074</v>
      </c>
      <c r="R300" s="15" t="n">
        <f aca="false">Q300-$G$2+$I$2</f>
        <v>30436.7137680074</v>
      </c>
      <c r="S300" s="42" t="n">
        <f aca="false">R300/$K$2</f>
        <v>291.455652283897</v>
      </c>
      <c r="T300" s="43" t="n">
        <f aca="false">S300-$M$2</f>
        <v>-0.797531667075077</v>
      </c>
    </row>
    <row r="301" customFormat="false" ht="15" hidden="false" customHeight="false" outlineLevel="0" collapsed="false">
      <c r="A301" s="5" t="n">
        <v>8</v>
      </c>
      <c r="B301" s="25" t="n">
        <f aca="false">IF(T300&gt;0,B300,D300)</f>
        <v>-0.06640625</v>
      </c>
      <c r="C301" s="25" t="n">
        <f aca="false">IF(T300&gt;0,D300,C300)</f>
        <v>-0.0546875</v>
      </c>
      <c r="D301" s="41" t="n">
        <f aca="false">(B301+C301)/2</f>
        <v>-0.060546875</v>
      </c>
      <c r="E301" s="15" t="n">
        <f aca="false">$C$2*(1+IF(E$3&lt;=$O$2,$D301,$D301-($D301-$I$292)*MIN(E$3-$O$2,$Q$2)/$Q$2))</f>
        <v>2574.1015625</v>
      </c>
      <c r="F301" s="15" t="n">
        <f aca="false">E301*(1+IF(F$3&lt;=$O$2,$D301,$D301-($D301-$I$292)*MIN(F$3-$O$2,$Q$2)/$Q$2))</f>
        <v>2418.24775695801</v>
      </c>
      <c r="G301" s="15" t="n">
        <f aca="false">F301*(1+IF(G$3&lt;=$O$2,$D301,$D301-($D301-$I$292)*MIN(G$3-$O$2,$Q$2)/$Q$2))</f>
        <v>2271.83041229844</v>
      </c>
      <c r="H301" s="15" t="n">
        <f aca="false">G301*(1+IF(H$3&lt;=$O$2,$D301,$D301-($D301-$I$292)*MIN(H$3-$O$2,$Q$2)/$Q$2))</f>
        <v>2134.27818030381</v>
      </c>
      <c r="I301" s="15" t="n">
        <f aca="false">H301*(1+IF(I$3&lt;=$O$2,$D301,$D301-($D301-$I$292)*MIN(I$3-$O$2,$Q$2)/$Q$2))</f>
        <v>2005.05430610573</v>
      </c>
      <c r="J301" s="15" t="n">
        <f aca="false">I301*(1+IF(J$3&lt;=$O$2,$D301,$D301-($D301-$I$292)*MIN(J$3-$O$2,$Q$2)/$Q$2))</f>
        <v>1923.2932041385</v>
      </c>
      <c r="K301" s="15" t="n">
        <f aca="false">J301*(1+IF(K$3&lt;=$O$2,$D301,$D301-($D301-$I$292)*MIN(K$3-$O$2,$Q$2)/$Q$2))</f>
        <v>1882.88842009431</v>
      </c>
      <c r="L301" s="15" t="n">
        <f aca="false">K301*(1+IF(L$3&lt;=$O$2,$D301,$D301-($D301-$I$292)*MIN(L$3-$O$2,$Q$2)/$Q$2))</f>
        <v>1880.55599206392</v>
      </c>
      <c r="M301" s="15" t="n">
        <f aca="false">L301*(1+IF(M$3&lt;=$O$2,$D301,$D301-($D301-$I$292)*MIN(M$3-$O$2,$Q$2)/$Q$2))</f>
        <v>1915.40386994436</v>
      </c>
      <c r="N301" s="15" t="n">
        <f aca="false">M301*(1+IF(N$3&lt;=$O$2,$D301,$D301-($D301-$I$292)*MIN(N$3-$O$2,$Q$2)/$Q$2))</f>
        <v>1988.76383816322</v>
      </c>
      <c r="O301" s="15" t="n">
        <f aca="false">SUMPRODUCT(E301:N301,1/(1+$F$292)^$E$3:$N$3)*$E$2</f>
        <v>10157.9695247043</v>
      </c>
      <c r="P301" s="15" t="n">
        <f aca="false">N301*$E$2*(1+$I$292)/($F$292-$I$292)/(1+$F$292)^$N$3</f>
        <v>20641.3396811286</v>
      </c>
      <c r="Q301" s="15" t="n">
        <f aca="false">O301+P301</f>
        <v>30799.3092058328</v>
      </c>
      <c r="R301" s="15" t="n">
        <f aca="false">Q301-$G$2+$I$2</f>
        <v>31569.3092058328</v>
      </c>
      <c r="S301" s="42" t="n">
        <f aca="false">R301/$K$2</f>
        <v>302.3011510661</v>
      </c>
      <c r="T301" s="43" t="n">
        <f aca="false">S301-$M$2</f>
        <v>10.0479671151278</v>
      </c>
    </row>
    <row r="302" customFormat="false" ht="15" hidden="false" customHeight="false" outlineLevel="0" collapsed="false">
      <c r="A302" s="5" t="n">
        <v>9</v>
      </c>
      <c r="B302" s="25" t="n">
        <f aca="false">IF(T301&gt;0,B301,D301)</f>
        <v>-0.06640625</v>
      </c>
      <c r="C302" s="25" t="n">
        <f aca="false">IF(T301&gt;0,D301,C301)</f>
        <v>-0.060546875</v>
      </c>
      <c r="D302" s="41" t="n">
        <f aca="false">(B302+C302)/2</f>
        <v>-0.0634765625</v>
      </c>
      <c r="E302" s="15" t="n">
        <f aca="false">$C$2*(1+IF(E$3&lt;=$O$2,$D302,$D302-($D302-$I$292)*MIN(E$3-$O$2,$Q$2)/$Q$2))</f>
        <v>2566.07421875</v>
      </c>
      <c r="F302" s="15" t="n">
        <f aca="false">E302*(1+IF(F$3&lt;=$O$2,$D302,$D302-($D302-$I$292)*MIN(F$3-$O$2,$Q$2)/$Q$2))</f>
        <v>2403.18864822388</v>
      </c>
      <c r="G302" s="15" t="n">
        <f aca="false">F302*(1+IF(G$3&lt;=$O$2,$D302,$D302-($D302-$I$292)*MIN(G$3-$O$2,$Q$2)/$Q$2))</f>
        <v>2250.6424937956</v>
      </c>
      <c r="H302" s="15" t="n">
        <f aca="false">G302*(1+IF(H$3&lt;=$O$2,$D302,$D302-($D302-$I$292)*MIN(H$3-$O$2,$Q$2)/$Q$2))</f>
        <v>2107.77944487303</v>
      </c>
      <c r="I302" s="15" t="n">
        <f aca="false">H302*(1+IF(I$3&lt;=$O$2,$D302,$D302-($D302-$I$292)*MIN(I$3-$O$2,$Q$2)/$Q$2))</f>
        <v>1973.98485120433</v>
      </c>
      <c r="J302" s="15" t="n">
        <f aca="false">I302*(1+IF(J$3&lt;=$O$2,$D302,$D302-($D302-$I$292)*MIN(J$3-$O$2,$Q$2)/$Q$2))</f>
        <v>1888.86415693934</v>
      </c>
      <c r="K302" s="15" t="n">
        <f aca="false">J302*(1+IF(K$3&lt;=$O$2,$D302,$D302-($D302-$I$292)*MIN(K$3-$O$2,$Q$2)/$Q$2))</f>
        <v>1845.86239359647</v>
      </c>
      <c r="L302" s="15" t="n">
        <f aca="false">K302*(1+IF(L$3&lt;=$O$2,$D302,$D302-($D302-$I$292)*MIN(L$3-$O$2,$Q$2)/$Q$2))</f>
        <v>1841.4127115639</v>
      </c>
      <c r="M302" s="15" t="n">
        <f aca="false">L302*(1+IF(M$3&lt;=$O$2,$D302,$D302-($D302-$I$292)*MIN(M$3-$O$2,$Q$2)/$Q$2))</f>
        <v>1874.45628723145</v>
      </c>
      <c r="N302" s="15" t="n">
        <f aca="false">M302*(1+IF(N$3&lt;=$O$2,$D302,$D302-($D302-$I$292)*MIN(N$3-$O$2,$Q$2)/$Q$2))</f>
        <v>1946.24796303241</v>
      </c>
      <c r="O302" s="15" t="n">
        <f aca="false">SUMPRODUCT(E302:N302,1/(1+$F$292)^$E$3:$N$3)*$E$2</f>
        <v>10027.952428169</v>
      </c>
      <c r="P302" s="15" t="n">
        <f aca="false">N302*$E$2*(1+$I$292)/($F$292-$I$292)/(1+$F$292)^$N$3</f>
        <v>20200.0682724398</v>
      </c>
      <c r="Q302" s="15" t="n">
        <f aca="false">O302+P302</f>
        <v>30228.0207006088</v>
      </c>
      <c r="R302" s="15" t="n">
        <f aca="false">Q302-$G$2+$I$2</f>
        <v>30998.0207006088</v>
      </c>
      <c r="S302" s="42" t="n">
        <f aca="false">R302/$K$2</f>
        <v>296.830610941384</v>
      </c>
      <c r="T302" s="43" t="n">
        <f aca="false">S302-$M$2</f>
        <v>4.57742699041222</v>
      </c>
    </row>
    <row r="303" customFormat="false" ht="15" hidden="false" customHeight="false" outlineLevel="0" collapsed="false">
      <c r="A303" s="5" t="n">
        <v>10</v>
      </c>
      <c r="B303" s="25" t="n">
        <f aca="false">IF(T302&gt;0,B302,D302)</f>
        <v>-0.06640625</v>
      </c>
      <c r="C303" s="25" t="n">
        <f aca="false">IF(T302&gt;0,D302,C302)</f>
        <v>-0.0634765625</v>
      </c>
      <c r="D303" s="41" t="n">
        <f aca="false">(B303+C303)/2</f>
        <v>-0.06494140625</v>
      </c>
      <c r="E303" s="15" t="n">
        <f aca="false">$C$2*(1+IF(E$3&lt;=$O$2,$D303,$D303-($D303-$I$292)*MIN(E$3-$O$2,$Q$2)/$Q$2))</f>
        <v>2562.060546875</v>
      </c>
      <c r="F303" s="15" t="n">
        <f aca="false">E303*(1+IF(F$3&lt;=$O$2,$D303,$D303-($D303-$I$292)*MIN(F$3-$O$2,$Q$2)/$Q$2))</f>
        <v>2395.67673206329</v>
      </c>
      <c r="G303" s="15" t="n">
        <f aca="false">F303*(1+IF(G$3&lt;=$O$2,$D303,$D303-($D303-$I$292)*MIN(G$3-$O$2,$Q$2)/$Q$2))</f>
        <v>2240.0981161627</v>
      </c>
      <c r="H303" s="15" t="n">
        <f aca="false">G303*(1+IF(H$3&lt;=$O$2,$D303,$D303-($D303-$I$292)*MIN(H$3-$O$2,$Q$2)/$Q$2))</f>
        <v>2094.62299436112</v>
      </c>
      <c r="I303" s="15" t="n">
        <f aca="false">H303*(1+IF(I$3&lt;=$O$2,$D303,$D303-($D303-$I$292)*MIN(I$3-$O$2,$Q$2)/$Q$2))</f>
        <v>1958.59523154372</v>
      </c>
      <c r="J303" s="15" t="n">
        <f aca="false">I303*(1+IF(J$3&lt;=$O$2,$D303,$D303-($D303-$I$292)*MIN(J$3-$O$2,$Q$2)/$Q$2))</f>
        <v>1871.84292812855</v>
      </c>
      <c r="K303" s="15" t="n">
        <f aca="false">J303*(1+IF(K$3&lt;=$O$2,$D303,$D303-($D303-$I$292)*MIN(K$3-$O$2,$Q$2)/$Q$2))</f>
        <v>1827.58349456841</v>
      </c>
      <c r="L303" s="15" t="n">
        <f aca="false">K303*(1+IF(L$3&lt;=$O$2,$D303,$D303-($D303-$I$292)*MIN(L$3-$O$2,$Q$2)/$Q$2))</f>
        <v>1822.10702640297</v>
      </c>
      <c r="M303" s="15" t="n">
        <f aca="false">L303*(1+IF(M$3&lt;=$O$2,$D303,$D303-($D303-$I$292)*MIN(M$3-$O$2,$Q$2)/$Q$2))</f>
        <v>1854.27034716543</v>
      </c>
      <c r="N303" s="15" t="n">
        <f aca="false">M303*(1+IF(N$3&lt;=$O$2,$D303,$D303-($D303-$I$292)*MIN(N$3-$O$2,$Q$2)/$Q$2))</f>
        <v>1925.28890146187</v>
      </c>
      <c r="O303" s="15" t="n">
        <f aca="false">SUMPRODUCT(E303:N303,1/(1+$F$292)^$E$3:$N$3)*$E$2</f>
        <v>9963.59465151596</v>
      </c>
      <c r="P303" s="15" t="n">
        <f aca="false">N303*$E$2*(1+$I$292)/($F$292-$I$292)/(1+$F$292)^$N$3</f>
        <v>19982.5345960054</v>
      </c>
      <c r="Q303" s="15" t="n">
        <f aca="false">O303+P303</f>
        <v>29946.1292475214</v>
      </c>
      <c r="R303" s="15" t="n">
        <f aca="false">Q303-$G$2+$I$2</f>
        <v>30716.1292475214</v>
      </c>
      <c r="S303" s="42" t="n">
        <f aca="false">R303/$K$2</f>
        <v>294.131276908182</v>
      </c>
      <c r="T303" s="43" t="n">
        <f aca="false">S303-$M$2</f>
        <v>1.87809295720956</v>
      </c>
    </row>
    <row r="304" customFormat="false" ht="15" hidden="false" customHeight="false" outlineLevel="0" collapsed="false">
      <c r="A304" s="5" t="n">
        <v>11</v>
      </c>
      <c r="B304" s="25" t="n">
        <f aca="false">IF(T303&gt;0,B303,D303)</f>
        <v>-0.06640625</v>
      </c>
      <c r="C304" s="25" t="n">
        <f aca="false">IF(T303&gt;0,D303,C303)</f>
        <v>-0.06494140625</v>
      </c>
      <c r="D304" s="41" t="n">
        <f aca="false">(B304+C304)/2</f>
        <v>-0.065673828125</v>
      </c>
      <c r="E304" s="15" t="n">
        <f aca="false">$C$2*(1+IF(E$3&lt;=$O$2,$D304,$D304-($D304-$I$292)*MIN(E$3-$O$2,$Q$2)/$Q$2))</f>
        <v>2560.0537109375</v>
      </c>
      <c r="F304" s="15" t="n">
        <f aca="false">E304*(1+IF(F$3&lt;=$O$2,$D304,$D304-($D304-$I$292)*MIN(F$3-$O$2,$Q$2)/$Q$2))</f>
        <v>2391.92518353462</v>
      </c>
      <c r="G304" s="15" t="n">
        <f aca="false">F304*(1+IF(G$3&lt;=$O$2,$D304,$D304-($D304-$I$292)*MIN(G$3-$O$2,$Q$2)/$Q$2))</f>
        <v>2234.83830014331</v>
      </c>
      <c r="H304" s="15" t="n">
        <f aca="false">G304*(1+IF(H$3&lt;=$O$2,$D304,$D304-($D304-$I$292)*MIN(H$3-$O$2,$Q$2)/$Q$2))</f>
        <v>2088.06791373253</v>
      </c>
      <c r="I304" s="15" t="n">
        <f aca="false">H304*(1+IF(I$3&lt;=$O$2,$D304,$D304-($D304-$I$292)*MIN(I$3-$O$2,$Q$2)/$Q$2))</f>
        <v>1950.93650045273</v>
      </c>
      <c r="J304" s="15" t="n">
        <f aca="false">I304*(1+IF(J$3&lt;=$O$2,$D304,$D304-($D304-$I$292)*MIN(J$3-$O$2,$Q$2)/$Q$2))</f>
        <v>1863.38029931538</v>
      </c>
      <c r="K304" s="15" t="n">
        <f aca="false">J304*(1+IF(K$3&lt;=$O$2,$D304,$D304-($D304-$I$292)*MIN(K$3-$O$2,$Q$2)/$Q$2))</f>
        <v>1818.50209499565</v>
      </c>
      <c r="L304" s="15" t="n">
        <f aca="false">K304*(1+IF(L$3&lt;=$O$2,$D304,$D304-($D304-$I$292)*MIN(L$3-$O$2,$Q$2)/$Q$2))</f>
        <v>1812.52007552597</v>
      </c>
      <c r="M304" s="15" t="n">
        <f aca="false">L304*(1+IF(M$3&lt;=$O$2,$D304,$D304-($D304-$I$292)*MIN(M$3-$O$2,$Q$2)/$Q$2))</f>
        <v>1844.24866425744</v>
      </c>
      <c r="N304" s="15" t="n">
        <f aca="false">M304*(1+IF(N$3&lt;=$O$2,$D304,$D304-($D304-$I$292)*MIN(N$3-$O$2,$Q$2)/$Q$2))</f>
        <v>1914.8833880985</v>
      </c>
      <c r="O304" s="15" t="n">
        <f aca="false">SUMPRODUCT(E304:N304,1/(1+$F$292)^$E$3:$N$3)*$E$2</f>
        <v>9931.57723468522</v>
      </c>
      <c r="P304" s="15" t="n">
        <f aca="false">N304*$E$2*(1+$I$292)/($F$292-$I$292)/(1+$F$292)^$N$3</f>
        <v>19874.5359831143</v>
      </c>
      <c r="Q304" s="15" t="n">
        <f aca="false">O304+P304</f>
        <v>29806.1132177995</v>
      </c>
      <c r="R304" s="15" t="n">
        <f aca="false">Q304-$G$2+$I$2</f>
        <v>30576.1132177995</v>
      </c>
      <c r="S304" s="42" t="n">
        <f aca="false">R304/$K$2</f>
        <v>292.790512475338</v>
      </c>
      <c r="T304" s="43" t="n">
        <f aca="false">S304-$M$2</f>
        <v>0.537328524365648</v>
      </c>
    </row>
    <row r="305" customFormat="false" ht="15" hidden="false" customHeight="false" outlineLevel="0" collapsed="false">
      <c r="A305" s="5" t="n">
        <v>12</v>
      </c>
      <c r="B305" s="25" t="n">
        <f aca="false">IF(T304&gt;0,B304,D304)</f>
        <v>-0.06640625</v>
      </c>
      <c r="C305" s="25" t="n">
        <f aca="false">IF(T304&gt;0,D304,C304)</f>
        <v>-0.065673828125</v>
      </c>
      <c r="D305" s="41" t="n">
        <f aca="false">(B305+C305)/2</f>
        <v>-0.0660400390625</v>
      </c>
      <c r="E305" s="15" t="n">
        <f aca="false">$C$2*(1+IF(E$3&lt;=$O$2,$D305,$D305-($D305-$I$292)*MIN(E$3-$O$2,$Q$2)/$Q$2))</f>
        <v>2559.05029296875</v>
      </c>
      <c r="F305" s="15" t="n">
        <f aca="false">E305*(1+IF(F$3&lt;=$O$2,$D305,$D305-($D305-$I$292)*MIN(F$3-$O$2,$Q$2)/$Q$2))</f>
        <v>2390.05051165819</v>
      </c>
      <c r="G305" s="15" t="n">
        <f aca="false">F305*(1+IF(G$3&lt;=$O$2,$D305,$D305-($D305-$I$292)*MIN(G$3-$O$2,$Q$2)/$Q$2))</f>
        <v>2232.21148250694</v>
      </c>
      <c r="H305" s="15" t="n">
        <f aca="false">G305*(1+IF(H$3&lt;=$O$2,$D305,$D305-($D305-$I$292)*MIN(H$3-$O$2,$Q$2)/$Q$2))</f>
        <v>2084.79614900642</v>
      </c>
      <c r="I305" s="15" t="n">
        <f aca="false">H305*(1+IF(I$3&lt;=$O$2,$D305,$D305-($D305-$I$292)*MIN(I$3-$O$2,$Q$2)/$Q$2))</f>
        <v>1947.11612988868</v>
      </c>
      <c r="J305" s="15" t="n">
        <f aca="false">I305*(1+IF(J$3&lt;=$O$2,$D305,$D305-($D305-$I$292)*MIN(J$3-$O$2,$Q$2)/$Q$2))</f>
        <v>1859.16093922197</v>
      </c>
      <c r="K305" s="15" t="n">
        <f aca="false">J305*(1+IF(K$3&lt;=$O$2,$D305,$D305-($D305-$I$292)*MIN(K$3-$O$2,$Q$2)/$Q$2))</f>
        <v>1813.97584818104</v>
      </c>
      <c r="L305" s="15" t="n">
        <f aca="false">K305*(1+IF(L$3&lt;=$O$2,$D305,$D305-($D305-$I$292)*MIN(L$3-$O$2,$Q$2)/$Q$2))</f>
        <v>1807.74299882332</v>
      </c>
      <c r="M305" s="15" t="n">
        <f aca="false">L305*(1+IF(M$3&lt;=$O$2,$D305,$D305-($D305-$I$292)*MIN(M$3-$O$2,$Q$2)/$Q$2))</f>
        <v>1839.25556065581</v>
      </c>
      <c r="N305" s="15" t="n">
        <f aca="false">M305*(1+IF(N$3&lt;=$O$2,$D305,$D305-($D305-$I$292)*MIN(N$3-$O$2,$Q$2)/$Q$2))</f>
        <v>1909.69904862893</v>
      </c>
      <c r="O305" s="15" t="n">
        <f aca="false">SUMPRODUCT(E305:N305,1/(1+$F$292)^$E$3:$N$3)*$E$2</f>
        <v>9915.60874227748</v>
      </c>
      <c r="P305" s="15" t="n">
        <f aca="false">N305*$E$2*(1+$I$292)/($F$292-$I$292)/(1+$F$292)^$N$3</f>
        <v>19820.727828541</v>
      </c>
      <c r="Q305" s="15" t="n">
        <f aca="false">O305+P305</f>
        <v>29736.3365708184</v>
      </c>
      <c r="R305" s="15" t="n">
        <f aca="false">Q305-$G$2+$I$2</f>
        <v>30506.3365708184</v>
      </c>
      <c r="S305" s="42" t="n">
        <f aca="false">R305/$K$2</f>
        <v>292.122345789701</v>
      </c>
      <c r="T305" s="43" t="n">
        <f aca="false">S305-$M$2</f>
        <v>-0.130838161271356</v>
      </c>
    </row>
    <row r="306" customFormat="false" ht="15" hidden="false" customHeight="false" outlineLevel="0" collapsed="false">
      <c r="A306" s="5" t="n">
        <v>13</v>
      </c>
      <c r="B306" s="25" t="n">
        <f aca="false">IF(T305&gt;0,B305,D305)</f>
        <v>-0.0660400390625</v>
      </c>
      <c r="C306" s="25" t="n">
        <f aca="false">IF(T305&gt;0,D305,C305)</f>
        <v>-0.065673828125</v>
      </c>
      <c r="D306" s="41" t="n">
        <f aca="false">(B306+C306)/2</f>
        <v>-0.06585693359375</v>
      </c>
      <c r="E306" s="15" t="n">
        <f aca="false">$C$2*(1+IF(E$3&lt;=$O$2,$D306,$D306-($D306-$I$292)*MIN(E$3-$O$2,$Q$2)/$Q$2))</f>
        <v>2559.55200195313</v>
      </c>
      <c r="F306" s="15" t="n">
        <f aca="false">E306*(1+IF(F$3&lt;=$O$2,$D306,$D306-($D306-$I$292)*MIN(F$3-$O$2,$Q$2)/$Q$2))</f>
        <v>2390.98775573075</v>
      </c>
      <c r="G306" s="15" t="n">
        <f aca="false">F306*(1+IF(G$3&lt;=$O$2,$D306,$D306-($D306-$I$292)*MIN(G$3-$O$2,$Q$2)/$Q$2))</f>
        <v>2233.52463387812</v>
      </c>
      <c r="H306" s="15" t="n">
        <f aca="false">G306*(1+IF(H$3&lt;=$O$2,$D306,$D306-($D306-$I$292)*MIN(H$3-$O$2,$Q$2)/$Q$2))</f>
        <v>2086.4315503848</v>
      </c>
      <c r="I306" s="15" t="n">
        <f aca="false">H306*(1+IF(I$3&lt;=$O$2,$D306,$D306-($D306-$I$292)*MIN(I$3-$O$2,$Q$2)/$Q$2))</f>
        <v>1949.02556632321</v>
      </c>
      <c r="J306" s="15" t="n">
        <f aca="false">I306*(1+IF(J$3&lt;=$O$2,$D306,$D306-($D306-$I$292)*MIN(J$3-$O$2,$Q$2)/$Q$2))</f>
        <v>1861.26962432615</v>
      </c>
      <c r="K306" s="15" t="n">
        <f aca="false">J306*(1+IF(K$3&lt;=$O$2,$D306,$D306-($D306-$I$292)*MIN(K$3-$O$2,$Q$2)/$Q$2))</f>
        <v>1816.23776894124</v>
      </c>
      <c r="L306" s="15" t="n">
        <f aca="false">K306*(1+IF(L$3&lt;=$O$2,$D306,$D306-($D306-$I$292)*MIN(L$3-$O$2,$Q$2)/$Q$2))</f>
        <v>1810.13017281566</v>
      </c>
      <c r="M306" s="15" t="n">
        <f aca="false">L306*(1+IF(M$3&lt;=$O$2,$D306,$D306-($D306-$I$292)*MIN(M$3-$O$2,$Q$2)/$Q$2))</f>
        <v>1841.7506367933</v>
      </c>
      <c r="N306" s="15" t="n">
        <f aca="false">M306*(1+IF(N$3&lt;=$O$2,$D306,$D306-($D306-$I$292)*MIN(N$3-$O$2,$Q$2)/$Q$2))</f>
        <v>1912.28968618248</v>
      </c>
      <c r="O306" s="15" t="n">
        <f aca="false">SUMPRODUCT(E306:N306,1/(1+$F$292)^$E$3:$N$3)*$E$2</f>
        <v>9923.5896416568</v>
      </c>
      <c r="P306" s="15" t="n">
        <f aca="false">N306*$E$2*(1+$I$292)/($F$292-$I$292)/(1+$F$292)^$N$3</f>
        <v>19847.6160033495</v>
      </c>
      <c r="Q306" s="15" t="n">
        <f aca="false">O306+P306</f>
        <v>29771.2056450064</v>
      </c>
      <c r="R306" s="15" t="n">
        <f aca="false">Q306-$G$2+$I$2</f>
        <v>30541.2056450064</v>
      </c>
      <c r="S306" s="42" t="n">
        <f aca="false">R306/$K$2</f>
        <v>292.456244805193</v>
      </c>
      <c r="T306" s="43" t="n">
        <f aca="false">S306-$M$2</f>
        <v>0.203060854221405</v>
      </c>
    </row>
    <row r="307" customFormat="false" ht="15" hidden="false" customHeight="false" outlineLevel="0" collapsed="false">
      <c r="A307" s="5" t="n">
        <v>14</v>
      </c>
      <c r="B307" s="25" t="n">
        <f aca="false">IF(T306&gt;0,B306,D306)</f>
        <v>-0.0660400390625</v>
      </c>
      <c r="C307" s="25" t="n">
        <f aca="false">IF(T306&gt;0,D306,C306)</f>
        <v>-0.06585693359375</v>
      </c>
      <c r="D307" s="41" t="n">
        <f aca="false">(B307+C307)/2</f>
        <v>-0.065948486328125</v>
      </c>
      <c r="E307" s="15" t="n">
        <f aca="false">$C$2*(1+IF(E$3&lt;=$O$2,$D307,$D307-($D307-$I$292)*MIN(E$3-$O$2,$Q$2)/$Q$2))</f>
        <v>2559.30114746094</v>
      </c>
      <c r="F307" s="15" t="n">
        <f aca="false">E307*(1+IF(F$3&lt;=$O$2,$D307,$D307-($D307-$I$292)*MIN(F$3-$O$2,$Q$2)/$Q$2))</f>
        <v>2390.51911072806</v>
      </c>
      <c r="G307" s="15" t="n">
        <f aca="false">F307*(1+IF(G$3&lt;=$O$2,$D307,$D307-($D307-$I$292)*MIN(G$3-$O$2,$Q$2)/$Q$2))</f>
        <v>2232.86799383708</v>
      </c>
      <c r="H307" s="15" t="n">
        <f aca="false">G307*(1+IF(H$3&lt;=$O$2,$D307,$D307-($D307-$I$292)*MIN(H$3-$O$2,$Q$2)/$Q$2))</f>
        <v>2085.61372947301</v>
      </c>
      <c r="I307" s="15" t="n">
        <f aca="false">H307*(1+IF(I$3&lt;=$O$2,$D307,$D307-($D307-$I$292)*MIN(I$3-$O$2,$Q$2)/$Q$2))</f>
        <v>1948.07066094911</v>
      </c>
      <c r="J307" s="15" t="n">
        <f aca="false">I307*(1+IF(J$3&lt;=$O$2,$D307,$D307-($D307-$I$292)*MIN(J$3-$O$2,$Q$2)/$Q$2))</f>
        <v>1860.21503313212</v>
      </c>
      <c r="K307" s="15" t="n">
        <f aca="false">J307*(1+IF(K$3&lt;=$O$2,$D307,$D307-($D307-$I$292)*MIN(K$3-$O$2,$Q$2)/$Q$2))</f>
        <v>1815.10650803177</v>
      </c>
      <c r="L307" s="15" t="n">
        <f aca="false">K307*(1+IF(L$3&lt;=$O$2,$D307,$D307-($D307-$I$292)*MIN(L$3-$O$2,$Q$2)/$Q$2))</f>
        <v>1808.93624489474</v>
      </c>
      <c r="M307" s="15" t="n">
        <f aca="false">L307*(1+IF(M$3&lt;=$O$2,$D307,$D307-($D307-$I$292)*MIN(M$3-$O$2,$Q$2)/$Q$2))</f>
        <v>1840.50272999533</v>
      </c>
      <c r="N307" s="15" t="n">
        <f aca="false">M307*(1+IF(N$3&lt;=$O$2,$D307,$D307-($D307-$I$292)*MIN(N$3-$O$2,$Q$2)/$Q$2))</f>
        <v>1910.99398455415</v>
      </c>
      <c r="O307" s="15" t="n">
        <f aca="false">SUMPRODUCT(E307:N307,1/(1+$F$292)^$E$3:$N$3)*$E$2</f>
        <v>9919.59835559888</v>
      </c>
      <c r="P307" s="15" t="n">
        <f aca="false">N307*$E$2*(1+$I$292)/($F$292-$I$292)/(1+$F$292)^$N$3</f>
        <v>19834.1679423367</v>
      </c>
      <c r="Q307" s="15" t="n">
        <f aca="false">O307+P307</f>
        <v>29753.7662979356</v>
      </c>
      <c r="R307" s="15" t="n">
        <f aca="false">Q307-$G$2+$I$2</f>
        <v>30523.7662979356</v>
      </c>
      <c r="S307" s="42" t="n">
        <f aca="false">R307/$K$2</f>
        <v>292.289249238108</v>
      </c>
      <c r="T307" s="43" t="n">
        <f aca="false">S307-$M$2</f>
        <v>0.0360652871360117</v>
      </c>
    </row>
    <row r="308" customFormat="false" ht="15" hidden="false" customHeight="false" outlineLevel="0" collapsed="false">
      <c r="A308" s="5" t="n">
        <v>15</v>
      </c>
      <c r="B308" s="25" t="n">
        <f aca="false">IF(T307&gt;0,B307,D307)</f>
        <v>-0.0660400390625</v>
      </c>
      <c r="C308" s="25" t="n">
        <f aca="false">IF(T307&gt;0,D307,C307)</f>
        <v>-0.065948486328125</v>
      </c>
      <c r="D308" s="41" t="n">
        <f aca="false">(B308+C308)/2</f>
        <v>-0.0659942626953125</v>
      </c>
      <c r="E308" s="15" t="n">
        <f aca="false">$C$2*(1+IF(E$3&lt;=$O$2,$D308,$D308-($D308-$I$292)*MIN(E$3-$O$2,$Q$2)/$Q$2))</f>
        <v>2559.17572021484</v>
      </c>
      <c r="F308" s="15" t="n">
        <f aca="false">E308*(1+IF(F$3&lt;=$O$2,$D308,$D308-($D308-$I$292)*MIN(F$3-$O$2,$Q$2)/$Q$2))</f>
        <v>2390.28480545152</v>
      </c>
      <c r="G308" s="15" t="n">
        <f aca="false">F308*(1+IF(G$3&lt;=$O$2,$D308,$D308-($D308-$I$292)*MIN(G$3-$O$2,$Q$2)/$Q$2))</f>
        <v>2232.53972208394</v>
      </c>
      <c r="H308" s="15" t="n">
        <f aca="false">G308*(1+IF(H$3&lt;=$O$2,$D308,$D308-($D308-$I$292)*MIN(H$3-$O$2,$Q$2)/$Q$2))</f>
        <v>2085.20490918701</v>
      </c>
      <c r="I308" s="15" t="n">
        <f aca="false">H308*(1+IF(I$3&lt;=$O$2,$D308,$D308-($D308-$I$292)*MIN(I$3-$O$2,$Q$2)/$Q$2))</f>
        <v>1947.59334863657</v>
      </c>
      <c r="J308" s="15" t="n">
        <f aca="false">I308*(1+IF(J$3&lt;=$O$2,$D308,$D308-($D308-$I$292)*MIN(J$3-$O$2,$Q$2)/$Q$2))</f>
        <v>1859.68792402827</v>
      </c>
      <c r="K308" s="15" t="n">
        <f aca="false">J308*(1+IF(K$3&lt;=$O$2,$D308,$D308-($D308-$I$292)*MIN(K$3-$O$2,$Q$2)/$Q$2))</f>
        <v>1814.54110299061</v>
      </c>
      <c r="L308" s="15" t="n">
        <f aca="false">K308*(1+IF(L$3&lt;=$O$2,$D308,$D308-($D308-$I$292)*MIN(L$3-$O$2,$Q$2)/$Q$2))</f>
        <v>1808.33953664845</v>
      </c>
      <c r="M308" s="15" t="n">
        <f aca="false">L308*(1+IF(M$3&lt;=$O$2,$D308,$D308-($D308-$I$292)*MIN(M$3-$O$2,$Q$2)/$Q$2))</f>
        <v>1839.87905316658</v>
      </c>
      <c r="N308" s="15" t="n">
        <f aca="false">M308*(1+IF(N$3&lt;=$O$2,$D308,$D308-($D308-$I$292)*MIN(N$3-$O$2,$Q$2)/$Q$2))</f>
        <v>1910.34642090286</v>
      </c>
      <c r="O308" s="15" t="n">
        <f aca="false">SUMPRODUCT(E308:N308,1/(1+$F$292)^$E$3:$N$3)*$E$2</f>
        <v>9917.60333988834</v>
      </c>
      <c r="P308" s="15" t="n">
        <f aca="false">N308*$E$2*(1+$I$292)/($F$292-$I$292)/(1+$F$292)^$N$3</f>
        <v>19827.446892288</v>
      </c>
      <c r="Q308" s="15" t="n">
        <f aca="false">O308+P308</f>
        <v>29745.0502321763</v>
      </c>
      <c r="R308" s="15" t="n">
        <f aca="false">Q308-$G$2+$I$2</f>
        <v>30515.0502321763</v>
      </c>
      <c r="S308" s="42" t="n">
        <f aca="false">R308/$K$2</f>
        <v>292.20578600188</v>
      </c>
      <c r="T308" s="43" t="n">
        <f aca="false">S308-$M$2</f>
        <v>-0.0473979490919305</v>
      </c>
    </row>
    <row r="309" customFormat="false" ht="15" hidden="false" customHeight="false" outlineLevel="0" collapsed="false">
      <c r="A309" s="5" t="n">
        <v>16</v>
      </c>
      <c r="B309" s="25" t="n">
        <f aca="false">IF(T308&gt;0,B308,D308)</f>
        <v>-0.0659942626953125</v>
      </c>
      <c r="C309" s="25" t="n">
        <f aca="false">IF(T308&gt;0,D308,C308)</f>
        <v>-0.065948486328125</v>
      </c>
      <c r="D309" s="41" t="n">
        <f aca="false">(B309+C309)/2</f>
        <v>-0.0659713745117188</v>
      </c>
      <c r="E309" s="15" t="n">
        <f aca="false">$C$2*(1+IF(E$3&lt;=$O$2,$D309,$D309-($D309-$I$292)*MIN(E$3-$O$2,$Q$2)/$Q$2))</f>
        <v>2559.23843383789</v>
      </c>
      <c r="F309" s="15" t="n">
        <f aca="false">E309*(1+IF(F$3&lt;=$O$2,$D309,$D309-($D309-$I$292)*MIN(F$3-$O$2,$Q$2)/$Q$2))</f>
        <v>2390.40195665439</v>
      </c>
      <c r="G309" s="15" t="n">
        <f aca="false">F309*(1+IF(G$3&lt;=$O$2,$D309,$D309-($D309-$I$292)*MIN(G$3-$O$2,$Q$2)/$Q$2))</f>
        <v>2232.7038539384</v>
      </c>
      <c r="H309" s="15" t="n">
        <f aca="false">G309*(1+IF(H$3&lt;=$O$2,$D309,$D309-($D309-$I$292)*MIN(H$3-$O$2,$Q$2)/$Q$2))</f>
        <v>2085.40931181647</v>
      </c>
      <c r="I309" s="15" t="n">
        <f aca="false">H309*(1+IF(I$3&lt;=$O$2,$D309,$D309-($D309-$I$292)*MIN(I$3-$O$2,$Q$2)/$Q$2))</f>
        <v>1947.8319930964</v>
      </c>
      <c r="J309" s="15" t="n">
        <f aca="false">I309*(1+IF(J$3&lt;=$O$2,$D309,$D309-($D309-$I$292)*MIN(J$3-$O$2,$Q$2)/$Q$2))</f>
        <v>1859.95146304154</v>
      </c>
      <c r="K309" s="15" t="n">
        <f aca="false">J309*(1+IF(K$3&lt;=$O$2,$D309,$D309-($D309-$I$292)*MIN(K$3-$O$2,$Q$2)/$Q$2))</f>
        <v>1814.82378673018</v>
      </c>
      <c r="L309" s="15" t="n">
        <f aca="false">K309*(1+IF(L$3&lt;=$O$2,$D309,$D309-($D309-$I$292)*MIN(L$3-$O$2,$Q$2)/$Q$2))</f>
        <v>1808.63786946638</v>
      </c>
      <c r="M309" s="15" t="n">
        <f aca="false">L309*(1+IF(M$3&lt;=$O$2,$D309,$D309-($D309-$I$292)*MIN(M$3-$O$2,$Q$2)/$Q$2))</f>
        <v>1840.1908685383</v>
      </c>
      <c r="N309" s="15" t="n">
        <f aca="false">M309*(1+IF(N$3&lt;=$O$2,$D309,$D309-($D309-$I$292)*MIN(N$3-$O$2,$Q$2)/$Q$2))</f>
        <v>1910.67017880331</v>
      </c>
      <c r="O309" s="15" t="n">
        <f aca="false">SUMPRODUCT(E309:N309,1/(1+$F$292)^$E$3:$N$3)*$E$2</f>
        <v>9918.60079547587</v>
      </c>
      <c r="P309" s="15" t="n">
        <f aca="false">N309*$E$2*(1+$I$292)/($F$292-$I$292)/(1+$F$292)^$N$3</f>
        <v>19830.8071689933</v>
      </c>
      <c r="Q309" s="15" t="n">
        <f aca="false">O309+P309</f>
        <v>29749.4079644691</v>
      </c>
      <c r="R309" s="15" t="n">
        <f aca="false">Q309-$G$2+$I$2</f>
        <v>30519.4079644691</v>
      </c>
      <c r="S309" s="42" t="n">
        <f aca="false">R309/$K$2</f>
        <v>292.247514741637</v>
      </c>
      <c r="T309" s="43" t="n">
        <f aca="false">S309-$M$2</f>
        <v>-0.00566920933533766</v>
      </c>
    </row>
    <row r="310" customFormat="false" ht="15" hidden="false" customHeight="false" outlineLevel="0" collapsed="false">
      <c r="A310" s="5" t="n">
        <v>17</v>
      </c>
      <c r="B310" s="25" t="n">
        <f aca="false">IF(T309&gt;0,B309,D309)</f>
        <v>-0.0659713745117188</v>
      </c>
      <c r="C310" s="25" t="n">
        <f aca="false">IF(T309&gt;0,D309,C309)</f>
        <v>-0.065948486328125</v>
      </c>
      <c r="D310" s="41" t="n">
        <f aca="false">(B310+C310)/2</f>
        <v>-0.0659599304199219</v>
      </c>
      <c r="E310" s="15" t="n">
        <f aca="false">$C$2*(1+IF(E$3&lt;=$O$2,$D310,$D310-($D310-$I$292)*MIN(E$3-$O$2,$Q$2)/$Q$2))</f>
        <v>2559.26979064941</v>
      </c>
      <c r="F310" s="15" t="n">
        <f aca="false">E310*(1+IF(F$3&lt;=$O$2,$D310,$D310-($D310-$I$292)*MIN(F$3-$O$2,$Q$2)/$Q$2))</f>
        <v>2390.46053333237</v>
      </c>
      <c r="G310" s="15" t="n">
        <f aca="false">F310*(1+IF(G$3&lt;=$O$2,$D310,$D310-($D310-$I$292)*MIN(G$3-$O$2,$Q$2)/$Q$2))</f>
        <v>2232.7859228822</v>
      </c>
      <c r="H310" s="15" t="n">
        <f aca="false">G310*(1+IF(H$3&lt;=$O$2,$D310,$D310-($D310-$I$292)*MIN(H$3-$O$2,$Q$2)/$Q$2))</f>
        <v>2085.51151876631</v>
      </c>
      <c r="I310" s="15" t="n">
        <f aca="false">H310*(1+IF(I$3&lt;=$O$2,$D310,$D310-($D310-$I$292)*MIN(I$3-$O$2,$Q$2)/$Q$2))</f>
        <v>1947.95132409854</v>
      </c>
      <c r="J310" s="15" t="n">
        <f aca="false">I310*(1+IF(J$3&lt;=$O$2,$D310,$D310-($D310-$I$292)*MIN(J$3-$O$2,$Q$2)/$Q$2))</f>
        <v>1860.08324420198</v>
      </c>
      <c r="K310" s="15" t="n">
        <f aca="false">J310*(1+IF(K$3&lt;=$O$2,$D310,$D310-($D310-$I$292)*MIN(K$3-$O$2,$Q$2)/$Q$2))</f>
        <v>1814.96514268546</v>
      </c>
      <c r="L310" s="15" t="n">
        <f aca="false">K310*(1+IF(L$3&lt;=$O$2,$D310,$D310-($D310-$I$292)*MIN(L$3-$O$2,$Q$2)/$Q$2))</f>
        <v>1808.78705185393</v>
      </c>
      <c r="M310" s="15" t="n">
        <f aca="false">L310*(1+IF(M$3&lt;=$O$2,$D310,$D310-($D310-$I$292)*MIN(M$3-$O$2,$Q$2)/$Q$2))</f>
        <v>1840.34679350578</v>
      </c>
      <c r="N310" s="15" t="n">
        <f aca="false">M310*(1+IF(N$3&lt;=$O$2,$D310,$D310-($D310-$I$292)*MIN(N$3-$O$2,$Q$2)/$Q$2))</f>
        <v>1910.83207569706</v>
      </c>
      <c r="O310" s="15" t="n">
        <f aca="false">SUMPRODUCT(E310:N310,1/(1+$F$292)^$E$3:$N$3)*$E$2</f>
        <v>9919.09956246978</v>
      </c>
      <c r="P310" s="15" t="n">
        <f aca="false">N310*$E$2*(1+$I$292)/($F$292-$I$292)/(1+$F$292)^$N$3</f>
        <v>19832.4874935813</v>
      </c>
      <c r="Q310" s="15" t="n">
        <f aca="false">O310+P310</f>
        <v>29751.5870560511</v>
      </c>
      <c r="R310" s="15" t="n">
        <f aca="false">Q310-$G$2+$I$2</f>
        <v>30521.5870560511</v>
      </c>
      <c r="S310" s="42" t="n">
        <f aca="false">R310/$K$2</f>
        <v>292.268381270239</v>
      </c>
      <c r="T310" s="43" t="n">
        <f aca="false">S310-$M$2</f>
        <v>0.015197319267088</v>
      </c>
    </row>
    <row r="311" customFormat="false" ht="15" hidden="false" customHeight="false" outlineLevel="0" collapsed="false">
      <c r="A311" s="5" t="n">
        <v>18</v>
      </c>
      <c r="B311" s="25" t="n">
        <f aca="false">IF(T310&gt;0,B310,D310)</f>
        <v>-0.0659713745117188</v>
      </c>
      <c r="C311" s="25" t="n">
        <f aca="false">IF(T310&gt;0,D310,C310)</f>
        <v>-0.0659599304199219</v>
      </c>
      <c r="D311" s="41" t="n">
        <f aca="false">(B311+C311)/2</f>
        <v>-0.0659656524658203</v>
      </c>
      <c r="E311" s="15" t="n">
        <f aca="false">$C$2*(1+IF(E$3&lt;=$O$2,$D311,$D311-($D311-$I$292)*MIN(E$3-$O$2,$Q$2)/$Q$2))</f>
        <v>2559.25411224365</v>
      </c>
      <c r="F311" s="15" t="n">
        <f aca="false">E311*(1+IF(F$3&lt;=$O$2,$D311,$D311-($D311-$I$292)*MIN(F$3-$O$2,$Q$2)/$Q$2))</f>
        <v>2390.43124490367</v>
      </c>
      <c r="G311" s="15" t="n">
        <f aca="false">F311*(1+IF(G$3&lt;=$O$2,$D311,$D311-($D311-$I$292)*MIN(G$3-$O$2,$Q$2)/$Q$2))</f>
        <v>2232.74488815891</v>
      </c>
      <c r="H311" s="15" t="n">
        <f aca="false">G311*(1+IF(H$3&lt;=$O$2,$D311,$D311-($D311-$I$292)*MIN(H$3-$O$2,$Q$2)/$Q$2))</f>
        <v>2085.46041482179</v>
      </c>
      <c r="I311" s="15" t="n">
        <f aca="false">H311*(1+IF(I$3&lt;=$O$2,$D311,$D311-($D311-$I$292)*MIN(I$3-$O$2,$Q$2)/$Q$2))</f>
        <v>1947.89165786643</v>
      </c>
      <c r="J311" s="15" t="n">
        <f aca="false">I311*(1+IF(J$3&lt;=$O$2,$D311,$D311-($D311-$I$292)*MIN(J$3-$O$2,$Q$2)/$Q$2))</f>
        <v>1860.01735265057</v>
      </c>
      <c r="K311" s="15" t="n">
        <f aca="false">J311*(1+IF(K$3&lt;=$O$2,$D311,$D311-($D311-$I$292)*MIN(K$3-$O$2,$Q$2)/$Q$2))</f>
        <v>1814.89446353397</v>
      </c>
      <c r="L311" s="15" t="n">
        <f aca="false">K311*(1+IF(L$3&lt;=$O$2,$D311,$D311-($D311-$I$292)*MIN(L$3-$O$2,$Q$2)/$Q$2))</f>
        <v>1808.71245932854</v>
      </c>
      <c r="M311" s="15" t="n">
        <f aca="false">L311*(1+IF(M$3&lt;=$O$2,$D311,$D311-($D311-$I$292)*MIN(M$3-$O$2,$Q$2)/$Q$2))</f>
        <v>1840.26882958183</v>
      </c>
      <c r="N311" s="15" t="n">
        <f aca="false">M311*(1+IF(N$3&lt;=$O$2,$D311,$D311-($D311-$I$292)*MIN(N$3-$O$2,$Q$2)/$Q$2))</f>
        <v>1910.75112575481</v>
      </c>
      <c r="O311" s="15" t="n">
        <f aca="false">SUMPRODUCT(E311:N311,1/(1+$F$292)^$E$3:$N$3)*$E$2</f>
        <v>9918.85017570601</v>
      </c>
      <c r="P311" s="15" t="n">
        <f aca="false">N311*$E$2*(1+$I$292)/($F$292-$I$292)/(1+$F$292)^$N$3</f>
        <v>19831.6473157668</v>
      </c>
      <c r="Q311" s="15" t="n">
        <f aca="false">O311+P311</f>
        <v>29750.4974914728</v>
      </c>
      <c r="R311" s="15" t="n">
        <f aca="false">Q311-$G$2+$I$2</f>
        <v>30520.4974914728</v>
      </c>
      <c r="S311" s="42" t="n">
        <f aca="false">R311/$K$2</f>
        <v>292.257947826035</v>
      </c>
      <c r="T311" s="43" t="n">
        <f aca="false">S311-$M$2</f>
        <v>0.00476387506307674</v>
      </c>
    </row>
    <row r="312" customFormat="false" ht="15" hidden="false" customHeight="false" outlineLevel="0" collapsed="false">
      <c r="A312" s="5" t="n">
        <v>19</v>
      </c>
      <c r="B312" s="25" t="n">
        <f aca="false">IF(T311&gt;0,B311,D311)</f>
        <v>-0.0659713745117188</v>
      </c>
      <c r="C312" s="25" t="n">
        <f aca="false">IF(T311&gt;0,D311,C311)</f>
        <v>-0.0659656524658203</v>
      </c>
      <c r="D312" s="41" t="n">
        <f aca="false">(B312+C312)/2</f>
        <v>-0.0659685134887695</v>
      </c>
      <c r="E312" s="15" t="n">
        <f aca="false">$C$2*(1+IF(E$3&lt;=$O$2,$D312,$D312-($D312-$I$292)*MIN(E$3-$O$2,$Q$2)/$Q$2))</f>
        <v>2559.24627304077</v>
      </c>
      <c r="F312" s="15" t="n">
        <f aca="false">E312*(1+IF(F$3&lt;=$O$2,$D312,$D312-($D312-$I$292)*MIN(F$3-$O$2,$Q$2)/$Q$2))</f>
        <v>2390.4166007566</v>
      </c>
      <c r="G312" s="15" t="n">
        <f aca="false">F312*(1+IF(G$3&lt;=$O$2,$D312,$D312-($D312-$I$292)*MIN(G$3-$O$2,$Q$2)/$Q$2))</f>
        <v>2232.72437098581</v>
      </c>
      <c r="H312" s="15" t="n">
        <f aca="false">G312*(1+IF(H$3&lt;=$O$2,$D312,$D312-($D312-$I$292)*MIN(H$3-$O$2,$Q$2)/$Q$2))</f>
        <v>2085.43486320173</v>
      </c>
      <c r="I312" s="15" t="n">
        <f aca="false">H312*(1+IF(I$3&lt;=$O$2,$D312,$D312-($D312-$I$292)*MIN(I$3-$O$2,$Q$2)/$Q$2))</f>
        <v>1947.86182529865</v>
      </c>
      <c r="J312" s="15" t="n">
        <f aca="false">I312*(1+IF(J$3&lt;=$O$2,$D312,$D312-($D312-$I$292)*MIN(J$3-$O$2,$Q$2)/$Q$2))</f>
        <v>1859.98440760326</v>
      </c>
      <c r="K312" s="15" t="n">
        <f aca="false">J312*(1+IF(K$3&lt;=$O$2,$D312,$D312-($D312-$I$292)*MIN(K$3-$O$2,$Q$2)/$Q$2))</f>
        <v>1814.85912483862</v>
      </c>
      <c r="L312" s="15" t="n">
        <f aca="false">K312*(1+IF(L$3&lt;=$O$2,$D312,$D312-($D312-$I$292)*MIN(L$3-$O$2,$Q$2)/$Q$2))</f>
        <v>1808.67516406456</v>
      </c>
      <c r="M312" s="15" t="n">
        <f aca="false">L312*(1+IF(M$3&lt;=$O$2,$D312,$D312-($D312-$I$292)*MIN(M$3-$O$2,$Q$2)/$Q$2))</f>
        <v>1840.22984870001</v>
      </c>
      <c r="N312" s="15" t="n">
        <f aca="false">M312*(1+IF(N$3&lt;=$O$2,$D312,$D312-($D312-$I$292)*MIN(N$3-$O$2,$Q$2)/$Q$2))</f>
        <v>1910.71065190523</v>
      </c>
      <c r="O312" s="15" t="n">
        <f aca="false">SUMPRODUCT(E312:N312,1/(1+$F$292)^$E$3:$N$3)*$E$2</f>
        <v>9918.72548477425</v>
      </c>
      <c r="P312" s="15" t="n">
        <f aca="false">N312*$E$2*(1+$I$292)/($F$292-$I$292)/(1+$F$292)^$N$3</f>
        <v>19831.2272385</v>
      </c>
      <c r="Q312" s="15" t="n">
        <f aca="false">O312+P312</f>
        <v>29749.9527232742</v>
      </c>
      <c r="R312" s="15" t="n">
        <f aca="false">Q312-$G$2+$I$2</f>
        <v>30519.9527232742</v>
      </c>
      <c r="S312" s="42" t="n">
        <f aca="false">R312/$K$2</f>
        <v>292.252731238861</v>
      </c>
      <c r="T312" s="43" t="n">
        <f aca="false">S312-$M$2</f>
        <v>-0.000452712111098208</v>
      </c>
    </row>
    <row r="313" customFormat="false" ht="15" hidden="false" customHeight="false" outlineLevel="0" collapsed="false">
      <c r="A313" s="5" t="n">
        <v>20</v>
      </c>
      <c r="B313" s="25" t="n">
        <f aca="false">IF(T312&gt;0,B312,D312)</f>
        <v>-0.0659685134887695</v>
      </c>
      <c r="C313" s="25" t="n">
        <f aca="false">IF(T312&gt;0,D312,C312)</f>
        <v>-0.0659656524658203</v>
      </c>
      <c r="D313" s="41" t="n">
        <f aca="false">(B313+C313)/2</f>
        <v>-0.0659670829772949</v>
      </c>
      <c r="E313" s="15" t="n">
        <f aca="false">$C$2*(1+IF(E$3&lt;=$O$2,$D313,$D313-($D313-$I$292)*MIN(E$3-$O$2,$Q$2)/$Q$2))</f>
        <v>2559.25019264221</v>
      </c>
      <c r="F313" s="15" t="n">
        <f aca="false">E313*(1+IF(F$3&lt;=$O$2,$D313,$D313-($D313-$I$292)*MIN(F$3-$O$2,$Q$2)/$Q$2))</f>
        <v>2390.42392282453</v>
      </c>
      <c r="G313" s="15" t="n">
        <f aca="false">F313*(1+IF(G$3&lt;=$O$2,$D313,$D313-($D313-$I$292)*MIN(G$3-$O$2,$Q$2)/$Q$2))</f>
        <v>2232.73462955665</v>
      </c>
      <c r="H313" s="15" t="n">
        <f aca="false">G313*(1+IF(H$3&lt;=$O$2,$D313,$D313-($D313-$I$292)*MIN(H$3-$O$2,$Q$2)/$Q$2))</f>
        <v>2085.44763898241</v>
      </c>
      <c r="I313" s="15" t="n">
        <f aca="false">H313*(1+IF(I$3&lt;=$O$2,$D313,$D313-($D313-$I$292)*MIN(I$3-$O$2,$Q$2)/$Q$2))</f>
        <v>1947.87674153685</v>
      </c>
      <c r="J313" s="15" t="n">
        <f aca="false">I313*(1+IF(J$3&lt;=$O$2,$D313,$D313-($D313-$I$292)*MIN(J$3-$O$2,$Q$2)/$Q$2))</f>
        <v>1860.00088006622</v>
      </c>
      <c r="K313" s="15" t="n">
        <f aca="false">J313*(1+IF(K$3&lt;=$O$2,$D313,$D313-($D313-$I$292)*MIN(K$3-$O$2,$Q$2)/$Q$2))</f>
        <v>1814.87679411293</v>
      </c>
      <c r="L313" s="15" t="n">
        <f aca="false">K313*(1+IF(L$3&lt;=$O$2,$D313,$D313-($D313-$I$292)*MIN(L$3-$O$2,$Q$2)/$Q$2))</f>
        <v>1808.69381161332</v>
      </c>
      <c r="M313" s="15" t="n">
        <f aca="false">L313*(1+IF(M$3&lt;=$O$2,$D313,$D313-($D313-$I$292)*MIN(M$3-$O$2,$Q$2)/$Q$2))</f>
        <v>1840.24933905091</v>
      </c>
      <c r="N313" s="15" t="n">
        <f aca="false">M313*(1+IF(N$3&lt;=$O$2,$D313,$D313-($D313-$I$292)*MIN(N$3-$O$2,$Q$2)/$Q$2))</f>
        <v>1910.73088873656</v>
      </c>
      <c r="O313" s="15" t="n">
        <f aca="false">SUMPRODUCT(E313:N313,1/(1+$F$292)^$E$3:$N$3)*$E$2</f>
        <v>9918.78783003596</v>
      </c>
      <c r="P313" s="15" t="n">
        <f aca="false">N313*$E$2*(1+$I$292)/($F$292-$I$292)/(1+$F$292)^$N$3</f>
        <v>19831.4372761634</v>
      </c>
      <c r="Q313" s="15" t="n">
        <f aca="false">O313+P313</f>
        <v>29750.2251061994</v>
      </c>
      <c r="R313" s="15" t="n">
        <f aca="false">Q313-$G$2+$I$2</f>
        <v>30520.2251061994</v>
      </c>
      <c r="S313" s="42" t="n">
        <f aca="false">R313/$K$2</f>
        <v>292.255339521204</v>
      </c>
      <c r="T313" s="43" t="n">
        <f aca="false">S313-$M$2</f>
        <v>0.00215557023221891</v>
      </c>
    </row>
    <row r="314" customFormat="false" ht="15" hidden="false" customHeight="false" outlineLevel="0" collapsed="false">
      <c r="A314" s="5" t="n">
        <v>21</v>
      </c>
      <c r="B314" s="25" t="n">
        <f aca="false">IF(T313&gt;0,B313,D313)</f>
        <v>-0.0659685134887695</v>
      </c>
      <c r="C314" s="25" t="n">
        <f aca="false">IF(T313&gt;0,D313,C313)</f>
        <v>-0.0659670829772949</v>
      </c>
      <c r="D314" s="41" t="n">
        <f aca="false">(B314+C314)/2</f>
        <v>-0.0659677982330322</v>
      </c>
      <c r="E314" s="15" t="n">
        <f aca="false">$C$2*(1+IF(E$3&lt;=$O$2,$D314,$D314-($D314-$I$292)*MIN(E$3-$O$2,$Q$2)/$Q$2))</f>
        <v>2559.24823284149</v>
      </c>
      <c r="F314" s="15" t="n">
        <f aca="false">E314*(1+IF(F$3&lt;=$O$2,$D314,$D314-($D314-$I$292)*MIN(F$3-$O$2,$Q$2)/$Q$2))</f>
        <v>2390.42026178916</v>
      </c>
      <c r="G314" s="15" t="n">
        <f aca="false">F314*(1+IF(G$3&lt;=$O$2,$D314,$D314-($D314-$I$292)*MIN(G$3-$O$2,$Q$2)/$Q$2))</f>
        <v>2232.7295002673</v>
      </c>
      <c r="H314" s="15" t="n">
        <f aca="false">G314*(1+IF(H$3&lt;=$O$2,$D314,$D314-($D314-$I$292)*MIN(H$3-$O$2,$Q$2)/$Q$2))</f>
        <v>2085.44125108473</v>
      </c>
      <c r="I314" s="15" t="n">
        <f aca="false">H314*(1+IF(I$3&lt;=$O$2,$D314,$D314-($D314-$I$292)*MIN(I$3-$O$2,$Q$2)/$Q$2))</f>
        <v>1947.86928340633</v>
      </c>
      <c r="J314" s="15" t="n">
        <f aca="false">I314*(1+IF(J$3&lt;=$O$2,$D314,$D314-($D314-$I$292)*MIN(J$3-$O$2,$Q$2)/$Q$2))</f>
        <v>1859.99264381957</v>
      </c>
      <c r="K314" s="15" t="n">
        <f aca="false">J314*(1+IF(K$3&lt;=$O$2,$D314,$D314-($D314-$I$292)*MIN(K$3-$O$2,$Q$2)/$Q$2))</f>
        <v>1814.86795945743</v>
      </c>
      <c r="L314" s="15" t="n">
        <f aca="false">K314*(1+IF(L$3&lt;=$O$2,$D314,$D314-($D314-$I$292)*MIN(L$3-$O$2,$Q$2)/$Q$2))</f>
        <v>1808.68448781813</v>
      </c>
      <c r="M314" s="15" t="n">
        <f aca="false">L314*(1+IF(M$3&lt;=$O$2,$D314,$D314-($D314-$I$292)*MIN(M$3-$O$2,$Q$2)/$Q$2))</f>
        <v>1840.23959385296</v>
      </c>
      <c r="N314" s="15" t="n">
        <f aca="false">M314*(1+IF(N$3&lt;=$O$2,$D314,$D314-($D314-$I$292)*MIN(N$3-$O$2,$Q$2)/$Q$2))</f>
        <v>1910.72077029753</v>
      </c>
      <c r="O314" s="15" t="n">
        <f aca="false">SUMPRODUCT(E314:N314,1/(1+$F$292)^$E$3:$N$3)*$E$2</f>
        <v>9918.75665735406</v>
      </c>
      <c r="P314" s="15" t="n">
        <f aca="false">N314*$E$2*(1+$I$292)/($F$292-$I$292)/(1+$F$292)^$N$3</f>
        <v>19831.3322570892</v>
      </c>
      <c r="Q314" s="15" t="n">
        <f aca="false">O314+P314</f>
        <v>29750.0889144433</v>
      </c>
      <c r="R314" s="15" t="n">
        <f aca="false">Q314-$G$2+$I$2</f>
        <v>30520.0889144433</v>
      </c>
      <c r="S314" s="42" t="n">
        <f aca="false">R314/$K$2</f>
        <v>292.254035377222</v>
      </c>
      <c r="T314" s="43" t="n">
        <f aca="false">S314-$M$2</f>
        <v>0.0008514262495396</v>
      </c>
    </row>
    <row r="315" customFormat="false" ht="15" hidden="false" customHeight="false" outlineLevel="0" collapsed="false">
      <c r="A315" s="5" t="n">
        <v>22</v>
      </c>
      <c r="B315" s="25" t="n">
        <f aca="false">IF(T314&gt;0,B314,D314)</f>
        <v>-0.0659685134887695</v>
      </c>
      <c r="C315" s="25" t="n">
        <f aca="false">IF(T314&gt;0,D314,C314)</f>
        <v>-0.0659677982330322</v>
      </c>
      <c r="D315" s="41" t="n">
        <f aca="false">(B315+C315)/2</f>
        <v>-0.0659681558609009</v>
      </c>
      <c r="E315" s="15" t="n">
        <f aca="false">$C$2*(1+IF(E$3&lt;=$O$2,$D315,$D315-($D315-$I$292)*MIN(E$3-$O$2,$Q$2)/$Q$2))</f>
        <v>2559.24725294113</v>
      </c>
      <c r="F315" s="15" t="n">
        <f aca="false">E315*(1+IF(F$3&lt;=$O$2,$D315,$D315-($D315-$I$292)*MIN(F$3-$O$2,$Q$2)/$Q$2))</f>
        <v>2390.41843127253</v>
      </c>
      <c r="G315" s="15" t="n">
        <f aca="false">F315*(1+IF(G$3&lt;=$O$2,$D315,$D315-($D315-$I$292)*MIN(G$3-$O$2,$Q$2)/$Q$2))</f>
        <v>2232.72693562557</v>
      </c>
      <c r="H315" s="15" t="n">
        <f aca="false">G315*(1+IF(H$3&lt;=$O$2,$D315,$D315-($D315-$I$292)*MIN(H$3-$O$2,$Q$2)/$Q$2))</f>
        <v>2085.43805714139</v>
      </c>
      <c r="I315" s="15" t="n">
        <f aca="false">H315*(1+IF(I$3&lt;=$O$2,$D315,$D315-($D315-$I$292)*MIN(I$3-$O$2,$Q$2)/$Q$2))</f>
        <v>1947.86555434964</v>
      </c>
      <c r="J315" s="15" t="n">
        <f aca="false">I315*(1+IF(J$3&lt;=$O$2,$D315,$D315-($D315-$I$292)*MIN(J$3-$O$2,$Q$2)/$Q$2))</f>
        <v>1859.98852570762</v>
      </c>
      <c r="K315" s="15" t="n">
        <f aca="false">J315*(1+IF(K$3&lt;=$O$2,$D315,$D315-($D315-$I$292)*MIN(K$3-$O$2,$Q$2)/$Q$2))</f>
        <v>1814.86354214344</v>
      </c>
      <c r="L315" s="15" t="n">
        <f aca="false">K315*(1+IF(L$3&lt;=$O$2,$D315,$D315-($D315-$I$292)*MIN(L$3-$O$2,$Q$2)/$Q$2))</f>
        <v>1808.67982593614</v>
      </c>
      <c r="M315" s="15" t="n">
        <f aca="false">L315*(1+IF(M$3&lt;=$O$2,$D315,$D315-($D315-$I$292)*MIN(M$3-$O$2,$Q$2)/$Q$2))</f>
        <v>1840.23472127086</v>
      </c>
      <c r="N315" s="15" t="n">
        <f aca="false">M315*(1+IF(N$3&lt;=$O$2,$D315,$D315-($D315-$I$292)*MIN(N$3-$O$2,$Q$2)/$Q$2))</f>
        <v>1910.71571109554</v>
      </c>
      <c r="O315" s="15" t="n">
        <f aca="false">SUMPRODUCT(E315:N315,1/(1+$F$292)^$E$3:$N$3)*$E$2</f>
        <v>9918.74107105139</v>
      </c>
      <c r="P315" s="15" t="n">
        <f aca="false">N315*$E$2*(1+$I$292)/($F$292-$I$292)/(1+$F$292)^$N$3</f>
        <v>19831.279747734</v>
      </c>
      <c r="Q315" s="15" t="n">
        <f aca="false">O315+P315</f>
        <v>29750.0208187854</v>
      </c>
      <c r="R315" s="15" t="n">
        <f aca="false">Q315-$G$2+$I$2</f>
        <v>30520.0208187854</v>
      </c>
      <c r="S315" s="42" t="n">
        <f aca="false">R315/$K$2</f>
        <v>292.253383307339</v>
      </c>
      <c r="T315" s="43" t="n">
        <f aca="false">S315-$M$2</f>
        <v>0.000199356366522352</v>
      </c>
    </row>
    <row r="316" customFormat="false" ht="15" hidden="false" customHeight="false" outlineLevel="0" collapsed="false">
      <c r="A316" s="5" t="n">
        <v>23</v>
      </c>
      <c r="B316" s="25" t="n">
        <f aca="false">IF(T315&gt;0,B315,D315)</f>
        <v>-0.0659685134887695</v>
      </c>
      <c r="C316" s="25" t="n">
        <f aca="false">IF(T315&gt;0,D315,C315)</f>
        <v>-0.0659681558609009</v>
      </c>
      <c r="D316" s="41" t="n">
        <f aca="false">(B316+C316)/2</f>
        <v>-0.0659683346748352</v>
      </c>
      <c r="E316" s="15" t="n">
        <f aca="false">$C$2*(1+IF(E$3&lt;=$O$2,$D316,$D316-($D316-$I$292)*MIN(E$3-$O$2,$Q$2)/$Q$2))</f>
        <v>2559.24676299095</v>
      </c>
      <c r="F316" s="15" t="n">
        <f aca="false">E316*(1+IF(F$3&lt;=$O$2,$D316,$D316-($D316-$I$292)*MIN(F$3-$O$2,$Q$2)/$Q$2))</f>
        <v>2390.41751601448</v>
      </c>
      <c r="G316" s="15" t="n">
        <f aca="false">F316*(1+IF(G$3&lt;=$O$2,$D316,$D316-($D316-$I$292)*MIN(G$3-$O$2,$Q$2)/$Q$2))</f>
        <v>2232.72565330544</v>
      </c>
      <c r="H316" s="15" t="n">
        <f aca="false">G316*(1+IF(H$3&lt;=$O$2,$D316,$D316-($D316-$I$292)*MIN(H$3-$O$2,$Q$2)/$Q$2))</f>
        <v>2085.4364601711</v>
      </c>
      <c r="I316" s="15" t="n">
        <f aca="false">H316*(1+IF(I$3&lt;=$O$2,$D316,$D316-($D316-$I$292)*MIN(I$3-$O$2,$Q$2)/$Q$2))</f>
        <v>1947.86368982343</v>
      </c>
      <c r="J316" s="15" t="n">
        <f aca="false">I316*(1+IF(J$3&lt;=$O$2,$D316,$D316-($D316-$I$292)*MIN(J$3-$O$2,$Q$2)/$Q$2))</f>
        <v>1859.98646665449</v>
      </c>
      <c r="K316" s="15" t="n">
        <f aca="false">J316*(1+IF(K$3&lt;=$O$2,$D316,$D316-($D316-$I$292)*MIN(K$3-$O$2,$Q$2)/$Q$2))</f>
        <v>1814.86133348988</v>
      </c>
      <c r="L316" s="15" t="n">
        <f aca="false">K316*(1+IF(L$3&lt;=$O$2,$D316,$D316-($D316-$I$292)*MIN(L$3-$O$2,$Q$2)/$Q$2))</f>
        <v>1808.67749499905</v>
      </c>
      <c r="M316" s="15" t="n">
        <f aca="false">L316*(1+IF(M$3&lt;=$O$2,$D316,$D316-($D316-$I$292)*MIN(M$3-$O$2,$Q$2)/$Q$2))</f>
        <v>1840.23228498403</v>
      </c>
      <c r="N316" s="15" t="n">
        <f aca="false">M316*(1+IF(N$3&lt;=$O$2,$D316,$D316-($D316-$I$292)*MIN(N$3-$O$2,$Q$2)/$Q$2))</f>
        <v>1910.71318149892</v>
      </c>
      <c r="O316" s="15" t="n">
        <f aca="false">SUMPRODUCT(E316:N316,1/(1+$F$292)^$E$3:$N$3)*$E$2</f>
        <v>9918.73327790963</v>
      </c>
      <c r="P316" s="15" t="n">
        <f aca="false">N316*$E$2*(1+$I$292)/($F$292-$I$292)/(1+$F$292)^$N$3</f>
        <v>19831.2534931018</v>
      </c>
      <c r="Q316" s="15" t="n">
        <f aca="false">O316+P316</f>
        <v>29749.9867710115</v>
      </c>
      <c r="R316" s="15" t="n">
        <f aca="false">Q316-$G$2+$I$2</f>
        <v>30519.9867710115</v>
      </c>
      <c r="S316" s="42" t="n">
        <f aca="false">R316/$K$2</f>
        <v>292.253057272924</v>
      </c>
      <c r="T316" s="43" t="n">
        <f aca="false">S316-$M$2</f>
        <v>-0.000126678047990936</v>
      </c>
    </row>
    <row r="317" customFormat="false" ht="15" hidden="false" customHeight="false" outlineLevel="0" collapsed="false">
      <c r="A317" s="5" t="n">
        <v>24</v>
      </c>
      <c r="B317" s="25" t="n">
        <f aca="false">IF(T316&gt;0,B316,D316)</f>
        <v>-0.0659683346748352</v>
      </c>
      <c r="C317" s="25" t="n">
        <f aca="false">IF(T316&gt;0,D316,C316)</f>
        <v>-0.0659681558609009</v>
      </c>
      <c r="D317" s="41" t="n">
        <f aca="false">(B317+C317)/2</f>
        <v>-0.065968245267868</v>
      </c>
      <c r="E317" s="15" t="n">
        <f aca="false">$C$2*(1+IF(E$3&lt;=$O$2,$D317,$D317-($D317-$I$292)*MIN(E$3-$O$2,$Q$2)/$Q$2))</f>
        <v>2559.24700796604</v>
      </c>
      <c r="F317" s="15" t="n">
        <f aca="false">E317*(1+IF(F$3&lt;=$O$2,$D317,$D317-($D317-$I$292)*MIN(F$3-$O$2,$Q$2)/$Q$2))</f>
        <v>2390.41797364348</v>
      </c>
      <c r="G317" s="15" t="n">
        <f aca="false">F317*(1+IF(G$3&lt;=$O$2,$D317,$D317-($D317-$I$292)*MIN(G$3-$O$2,$Q$2)/$Q$2))</f>
        <v>2232.72629446545</v>
      </c>
      <c r="H317" s="15" t="n">
        <f aca="false">G317*(1+IF(H$3&lt;=$O$2,$D317,$D317-($D317-$I$292)*MIN(H$3-$O$2,$Q$2)/$Q$2))</f>
        <v>2085.43725865613</v>
      </c>
      <c r="I317" s="15" t="n">
        <f aca="false">H317*(1+IF(I$3&lt;=$O$2,$D317,$D317-($D317-$I$292)*MIN(I$3-$O$2,$Q$2)/$Q$2))</f>
        <v>1947.86462208635</v>
      </c>
      <c r="J317" s="15" t="n">
        <f aca="false">I317*(1+IF(J$3&lt;=$O$2,$D317,$D317-($D317-$I$292)*MIN(J$3-$O$2,$Q$2)/$Q$2))</f>
        <v>1859.98749618082</v>
      </c>
      <c r="K317" s="15" t="n">
        <f aca="false">J317*(1+IF(K$3&lt;=$O$2,$D317,$D317-($D317-$I$292)*MIN(K$3-$O$2,$Q$2)/$Q$2))</f>
        <v>1814.86243781637</v>
      </c>
      <c r="L317" s="15" t="n">
        <f aca="false">K317*(1+IF(L$3&lt;=$O$2,$D317,$D317-($D317-$I$292)*MIN(L$3-$O$2,$Q$2)/$Q$2))</f>
        <v>1808.67866046727</v>
      </c>
      <c r="M317" s="15" t="n">
        <f aca="false">L317*(1+IF(M$3&lt;=$O$2,$D317,$D317-($D317-$I$292)*MIN(M$3-$O$2,$Q$2)/$Q$2))</f>
        <v>1840.2335031271</v>
      </c>
      <c r="N317" s="15" t="n">
        <f aca="false">M317*(1+IF(N$3&lt;=$O$2,$D317,$D317-($D317-$I$292)*MIN(N$3-$O$2,$Q$2)/$Q$2))</f>
        <v>1910.71444629686</v>
      </c>
      <c r="O317" s="15" t="n">
        <f aca="false">SUMPRODUCT(E317:N317,1/(1+$F$292)^$E$3:$N$3)*$E$2</f>
        <v>9918.73717447972</v>
      </c>
      <c r="P317" s="15" t="n">
        <f aca="false">N317*$E$2*(1+$I$292)/($F$292-$I$292)/(1+$F$292)^$N$3</f>
        <v>19831.2666204141</v>
      </c>
      <c r="Q317" s="15" t="n">
        <f aca="false">O317+P317</f>
        <v>29750.0037948938</v>
      </c>
      <c r="R317" s="15" t="n">
        <f aca="false">Q317-$G$2+$I$2</f>
        <v>30520.0037948938</v>
      </c>
      <c r="S317" s="42" t="n">
        <f aca="false">R317/$K$2</f>
        <v>292.253220290087</v>
      </c>
      <c r="T317" s="43" t="n">
        <f aca="false">S317-$M$2</f>
        <v>3.63391152973236E-005</v>
      </c>
    </row>
    <row r="319" customFormat="false" ht="15" hidden="false" customHeight="false" outlineLevel="0" collapsed="false">
      <c r="A319" s="38" t="s">
        <v>189</v>
      </c>
      <c r="E319" s="5" t="s">
        <v>11</v>
      </c>
      <c r="F319" s="12" t="n">
        <f aca="false">Sensitivity!$B$12</f>
        <v>0.0772772551778937</v>
      </c>
      <c r="G319" s="5" t="s">
        <v>12</v>
      </c>
      <c r="I319" s="12" t="n">
        <f aca="false">Sensitivity!$C$9</f>
        <v>0.0183</v>
      </c>
    </row>
    <row r="320" customFormat="false" ht="23.85" hidden="false" customHeight="false" outlineLevel="0" collapsed="false">
      <c r="A320" s="38" t="s">
        <v>159</v>
      </c>
      <c r="B320" s="28" t="s">
        <v>160</v>
      </c>
      <c r="C320" s="28" t="s">
        <v>161</v>
      </c>
      <c r="D320" s="28" t="s">
        <v>162</v>
      </c>
      <c r="E320" s="28" t="s">
        <v>163</v>
      </c>
      <c r="F320" s="28" t="s">
        <v>164</v>
      </c>
      <c r="G320" s="28" t="s">
        <v>165</v>
      </c>
      <c r="H320" s="28" t="s">
        <v>166</v>
      </c>
      <c r="I320" s="28" t="s">
        <v>167</v>
      </c>
      <c r="J320" s="28" t="s">
        <v>168</v>
      </c>
      <c r="K320" s="28" t="s">
        <v>169</v>
      </c>
      <c r="L320" s="28" t="s">
        <v>170</v>
      </c>
      <c r="M320" s="28" t="s">
        <v>171</v>
      </c>
      <c r="N320" s="28" t="s">
        <v>172</v>
      </c>
      <c r="O320" s="28" t="s">
        <v>173</v>
      </c>
      <c r="P320" s="28" t="s">
        <v>174</v>
      </c>
      <c r="Q320" s="28" t="s">
        <v>175</v>
      </c>
      <c r="R320" s="28" t="s">
        <v>176</v>
      </c>
      <c r="S320" s="28" t="s">
        <v>177</v>
      </c>
      <c r="T320" s="28" t="s">
        <v>178</v>
      </c>
    </row>
    <row r="321" customFormat="false" ht="15" hidden="false" customHeight="false" outlineLevel="0" collapsed="false">
      <c r="A321" s="5" t="n">
        <v>1</v>
      </c>
      <c r="B321" s="24" t="n">
        <v>-0.5</v>
      </c>
      <c r="C321" s="24" t="n">
        <v>1</v>
      </c>
      <c r="D321" s="41" t="n">
        <f aca="false">(B321+C321)/2</f>
        <v>0.25</v>
      </c>
      <c r="E321" s="15" t="n">
        <f aca="false">$C$2*(1+IF(E$3&lt;=$O$2,$D321,$D321-($D321-$I$319)*MIN(E$3-$O$2,$Q$2)/$Q$2))</f>
        <v>3425</v>
      </c>
      <c r="F321" s="15" t="n">
        <f aca="false">E321*(1+IF(F$3&lt;=$O$2,$D321,$D321-($D321-$I$319)*MIN(F$3-$O$2,$Q$2)/$Q$2))</f>
        <v>4281.25</v>
      </c>
      <c r="G321" s="15" t="n">
        <f aca="false">F321*(1+IF(G$3&lt;=$O$2,$D321,$D321-($D321-$I$319)*MIN(G$3-$O$2,$Q$2)/$Q$2))</f>
        <v>5351.5625</v>
      </c>
      <c r="H321" s="15" t="n">
        <f aca="false">G321*(1+IF(H$3&lt;=$O$2,$D321,$D321-($D321-$I$319)*MIN(H$3-$O$2,$Q$2)/$Q$2))</f>
        <v>6689.453125</v>
      </c>
      <c r="I321" s="15" t="n">
        <f aca="false">H321*(1+IF(I$3&lt;=$O$2,$D321,$D321-($D321-$I$319)*MIN(I$3-$O$2,$Q$2)/$Q$2))</f>
        <v>8361.81640625</v>
      </c>
      <c r="J321" s="15" t="n">
        <f aca="false">I321*(1+IF(J$3&lt;=$O$2,$D321,$D321-($D321-$I$319)*MIN(J$3-$O$2,$Q$2)/$Q$2))</f>
        <v>10064.7839355469</v>
      </c>
      <c r="K321" s="15" t="n">
        <f aca="false">J321*(1+IF(K$3&lt;=$O$2,$D321,$D321-($D321-$I$319)*MIN(K$3-$O$2,$Q$2)/$Q$2))</f>
        <v>11648.1757442871</v>
      </c>
      <c r="L321" s="15" t="n">
        <f aca="false">K321*(1+IF(L$3&lt;=$O$2,$D321,$D321-($D321-$I$319)*MIN(L$3-$O$2,$Q$2)/$Q$2))</f>
        <v>12940.8902883881</v>
      </c>
      <c r="M321" s="15" t="n">
        <f aca="false">L321*(1+IF(M$3&lt;=$O$2,$D321,$D321-($D321-$I$319)*MIN(M$3-$O$2,$Q$2)/$Q$2))</f>
        <v>13777.3894366295</v>
      </c>
      <c r="N321" s="15" t="n">
        <f aca="false">M321*(1+IF(N$3&lt;=$O$2,$D321,$D321-($D321-$I$319)*MIN(N$3-$O$2,$Q$2)/$Q$2))</f>
        <v>14029.5156633198</v>
      </c>
      <c r="O321" s="15" t="n">
        <f aca="false">SUMPRODUCT(E321:N321,1/(1+$F$319)^$E$3:$N$3)*$E$2</f>
        <v>38277.1234291191</v>
      </c>
      <c r="P321" s="15" t="n">
        <f aca="false">N321*$E$2*(1+$I$319)/($F$319-$I$319)/(1+$F$319)^$N$3</f>
        <v>78532.6049796464</v>
      </c>
      <c r="Q321" s="15" t="n">
        <f aca="false">O321+P321</f>
        <v>116809.728408766</v>
      </c>
      <c r="R321" s="15" t="n">
        <f aca="false">Q321-$G$2+$I$2</f>
        <v>117579.728408766</v>
      </c>
      <c r="S321" s="42" t="n">
        <f aca="false">R321/$K$2</f>
        <v>1125.91906931692</v>
      </c>
      <c r="T321" s="43" t="n">
        <f aca="false">S321-$M$2</f>
        <v>833.665885365944</v>
      </c>
    </row>
    <row r="322" customFormat="false" ht="15" hidden="false" customHeight="false" outlineLevel="0" collapsed="false">
      <c r="A322" s="5" t="n">
        <v>2</v>
      </c>
      <c r="B322" s="25" t="n">
        <f aca="false">IF(T321&gt;0,B321,D321)</f>
        <v>-0.5</v>
      </c>
      <c r="C322" s="25" t="n">
        <f aca="false">IF(T321&gt;0,D321,C321)</f>
        <v>0.25</v>
      </c>
      <c r="D322" s="41" t="n">
        <f aca="false">(B322+C322)/2</f>
        <v>-0.125</v>
      </c>
      <c r="E322" s="15" t="n">
        <f aca="false">$C$2*(1+IF(E$3&lt;=$O$2,$D322,$D322-($D322-$I$319)*MIN(E$3-$O$2,$Q$2)/$Q$2))</f>
        <v>2397.5</v>
      </c>
      <c r="F322" s="15" t="n">
        <f aca="false">E322*(1+IF(F$3&lt;=$O$2,$D322,$D322-($D322-$I$319)*MIN(F$3-$O$2,$Q$2)/$Q$2))</f>
        <v>2097.8125</v>
      </c>
      <c r="G322" s="15" t="n">
        <f aca="false">F322*(1+IF(G$3&lt;=$O$2,$D322,$D322-($D322-$I$319)*MIN(G$3-$O$2,$Q$2)/$Q$2))</f>
        <v>1835.5859375</v>
      </c>
      <c r="H322" s="15" t="n">
        <f aca="false">G322*(1+IF(H$3&lt;=$O$2,$D322,$D322-($D322-$I$319)*MIN(H$3-$O$2,$Q$2)/$Q$2))</f>
        <v>1606.1376953125</v>
      </c>
      <c r="I322" s="15" t="n">
        <f aca="false">H322*(1+IF(I$3&lt;=$O$2,$D322,$D322-($D322-$I$319)*MIN(I$3-$O$2,$Q$2)/$Q$2))</f>
        <v>1405.37048339844</v>
      </c>
      <c r="J322" s="15" t="n">
        <f aca="false">I322*(1+IF(J$3&lt;=$O$2,$D322,$D322-($D322-$I$319)*MIN(J$3-$O$2,$Q$2)/$Q$2))</f>
        <v>1269.97709102783</v>
      </c>
      <c r="K322" s="15" t="n">
        <f aca="false">J322*(1+IF(K$3&lt;=$O$2,$D322,$D322-($D322-$I$319)*MIN(K$3-$O$2,$Q$2)/$Q$2))</f>
        <v>1184.02504150707</v>
      </c>
      <c r="L322" s="15" t="n">
        <f aca="false">K322*(1+IF(L$3&lt;=$O$2,$D322,$D322-($D322-$I$319)*MIN(L$3-$O$2,$Q$2)/$Q$2))</f>
        <v>1137.82438438746</v>
      </c>
      <c r="M322" s="15" t="n">
        <f aca="false">L322*(1+IF(M$3&lt;=$O$2,$D322,$D322-($D322-$I$319)*MIN(M$3-$O$2,$Q$2)/$Q$2))</f>
        <v>1126.03652376521</v>
      </c>
      <c r="N322" s="15" t="n">
        <f aca="false">M322*(1+IF(N$3&lt;=$O$2,$D322,$D322-($D322-$I$319)*MIN(N$3-$O$2,$Q$2)/$Q$2))</f>
        <v>1146.64299215011</v>
      </c>
      <c r="O322" s="15" t="n">
        <f aca="false">SUMPRODUCT(E322:N322,1/(1+$F$319)^$E$3:$N$3)*$E$2</f>
        <v>7457.09989449224</v>
      </c>
      <c r="P322" s="15" t="n">
        <f aca="false">N322*$E$2*(1+$I$319)/($F$319-$I$319)/(1+$F$319)^$N$3</f>
        <v>6418.52957124083</v>
      </c>
      <c r="Q322" s="15" t="n">
        <f aca="false">O322+P322</f>
        <v>13875.6294657331</v>
      </c>
      <c r="R322" s="15" t="n">
        <f aca="false">Q322-$G$2+$I$2</f>
        <v>14645.6294657331</v>
      </c>
      <c r="S322" s="42" t="n">
        <f aca="false">R322/$K$2</f>
        <v>140.243507284622</v>
      </c>
      <c r="T322" s="43" t="n">
        <f aca="false">S322-$M$2</f>
        <v>-152.00967666635</v>
      </c>
    </row>
    <row r="323" customFormat="false" ht="15" hidden="false" customHeight="false" outlineLevel="0" collapsed="false">
      <c r="A323" s="5" t="n">
        <v>3</v>
      </c>
      <c r="B323" s="25" t="n">
        <f aca="false">IF(T322&gt;0,B322,D322)</f>
        <v>-0.125</v>
      </c>
      <c r="C323" s="25" t="n">
        <f aca="false">IF(T322&gt;0,D322,C322)</f>
        <v>0.25</v>
      </c>
      <c r="D323" s="41" t="n">
        <f aca="false">(B323+C323)/2</f>
        <v>0.0625</v>
      </c>
      <c r="E323" s="15" t="n">
        <f aca="false">$C$2*(1+IF(E$3&lt;=$O$2,$D323,$D323-($D323-$I$319)*MIN(E$3-$O$2,$Q$2)/$Q$2))</f>
        <v>2911.25</v>
      </c>
      <c r="F323" s="15" t="n">
        <f aca="false">E323*(1+IF(F$3&lt;=$O$2,$D323,$D323-($D323-$I$319)*MIN(F$3-$O$2,$Q$2)/$Q$2))</f>
        <v>3093.203125</v>
      </c>
      <c r="G323" s="15" t="n">
        <f aca="false">F323*(1+IF(G$3&lt;=$O$2,$D323,$D323-($D323-$I$319)*MIN(G$3-$O$2,$Q$2)/$Q$2))</f>
        <v>3286.5283203125</v>
      </c>
      <c r="H323" s="15" t="n">
        <f aca="false">G323*(1+IF(H$3&lt;=$O$2,$D323,$D323-($D323-$I$319)*MIN(H$3-$O$2,$Q$2)/$Q$2))</f>
        <v>3491.93634033203</v>
      </c>
      <c r="I323" s="15" t="n">
        <f aca="false">H323*(1+IF(I$3&lt;=$O$2,$D323,$D323-($D323-$I$319)*MIN(I$3-$O$2,$Q$2)/$Q$2))</f>
        <v>3710.18236160278</v>
      </c>
      <c r="J323" s="15" t="n">
        <f aca="false">I323*(1+IF(J$3&lt;=$O$2,$D323,$D323-($D323-$I$319)*MIN(J$3-$O$2,$Q$2)/$Q$2))</f>
        <v>3909.27074712639</v>
      </c>
      <c r="K323" s="15" t="n">
        <f aca="false">J323*(1+IF(K$3&lt;=$O$2,$D323,$D323-($D323-$I$319)*MIN(K$3-$O$2,$Q$2)/$Q$2))</f>
        <v>4084.48426201259</v>
      </c>
      <c r="L323" s="15" t="n">
        <f aca="false">K323*(1+IF(L$3&lt;=$O$2,$D323,$D323-($D323-$I$319)*MIN(L$3-$O$2,$Q$2)/$Q$2))</f>
        <v>4231.44400575981</v>
      </c>
      <c r="M323" s="15" t="n">
        <f aca="false">L323*(1+IF(M$3&lt;=$O$2,$D323,$D323-($D323-$I$319)*MIN(M$3-$O$2,$Q$2)/$Q$2))</f>
        <v>4346.28539607613</v>
      </c>
      <c r="N323" s="15" t="n">
        <f aca="false">M323*(1+IF(N$3&lt;=$O$2,$D323,$D323-($D323-$I$319)*MIN(N$3-$O$2,$Q$2)/$Q$2))</f>
        <v>4425.82241882432</v>
      </c>
      <c r="O323" s="15" t="n">
        <f aca="false">SUMPRODUCT(E323:N323,1/(1+$F$319)^$E$3:$N$3)*$E$2</f>
        <v>16879.5649695219</v>
      </c>
      <c r="P323" s="15" t="n">
        <f aca="false">N323*$E$2*(1+$I$319)/($F$319-$I$319)/(1+$F$319)^$N$3</f>
        <v>24774.2952835014</v>
      </c>
      <c r="Q323" s="15" t="n">
        <f aca="false">O323+P323</f>
        <v>41653.8602530234</v>
      </c>
      <c r="R323" s="15" t="n">
        <f aca="false">Q323-$G$2+$I$2</f>
        <v>42423.8602530234</v>
      </c>
      <c r="S323" s="42" t="n">
        <f aca="false">R323/$K$2</f>
        <v>406.242078454691</v>
      </c>
      <c r="T323" s="43" t="n">
        <f aca="false">S323-$M$2</f>
        <v>113.988894503719</v>
      </c>
    </row>
    <row r="324" customFormat="false" ht="15" hidden="false" customHeight="false" outlineLevel="0" collapsed="false">
      <c r="A324" s="5" t="n">
        <v>4</v>
      </c>
      <c r="B324" s="25" t="n">
        <f aca="false">IF(T323&gt;0,B323,D323)</f>
        <v>-0.125</v>
      </c>
      <c r="C324" s="25" t="n">
        <f aca="false">IF(T323&gt;0,D323,C323)</f>
        <v>0.0625</v>
      </c>
      <c r="D324" s="41" t="n">
        <f aca="false">(B324+C324)/2</f>
        <v>-0.03125</v>
      </c>
      <c r="E324" s="15" t="n">
        <f aca="false">$C$2*(1+IF(E$3&lt;=$O$2,$D324,$D324-($D324-$I$319)*MIN(E$3-$O$2,$Q$2)/$Q$2))</f>
        <v>2654.375</v>
      </c>
      <c r="F324" s="15" t="n">
        <f aca="false">E324*(1+IF(F$3&lt;=$O$2,$D324,$D324-($D324-$I$319)*MIN(F$3-$O$2,$Q$2)/$Q$2))</f>
        <v>2571.42578125</v>
      </c>
      <c r="G324" s="15" t="n">
        <f aca="false">F324*(1+IF(G$3&lt;=$O$2,$D324,$D324-($D324-$I$319)*MIN(G$3-$O$2,$Q$2)/$Q$2))</f>
        <v>2491.06872558594</v>
      </c>
      <c r="H324" s="15" t="n">
        <f aca="false">G324*(1+IF(H$3&lt;=$O$2,$D324,$D324-($D324-$I$319)*MIN(H$3-$O$2,$Q$2)/$Q$2))</f>
        <v>2413.22282791138</v>
      </c>
      <c r="I324" s="15" t="n">
        <f aca="false">H324*(1+IF(I$3&lt;=$O$2,$D324,$D324-($D324-$I$319)*MIN(I$3-$O$2,$Q$2)/$Q$2))</f>
        <v>2337.80961453915</v>
      </c>
      <c r="J324" s="15" t="n">
        <f aca="false">I324*(1+IF(J$3&lt;=$O$2,$D324,$D324-($D324-$I$319)*MIN(J$3-$O$2,$Q$2)/$Q$2))</f>
        <v>2287.92075736488</v>
      </c>
      <c r="K324" s="15" t="n">
        <f aca="false">J324*(1+IF(K$3&lt;=$O$2,$D324,$D324-($D324-$I$319)*MIN(K$3-$O$2,$Q$2)/$Q$2))</f>
        <v>2261.7698231082</v>
      </c>
      <c r="L324" s="15" t="n">
        <f aca="false">K324*(1+IF(L$3&lt;=$O$2,$D324,$D324-($D324-$I$319)*MIN(L$3-$O$2,$Q$2)/$Q$2))</f>
        <v>2258.33193297708</v>
      </c>
      <c r="M324" s="15" t="n">
        <f aca="false">L324*(1+IF(M$3&lt;=$O$2,$D324,$D324-($D324-$I$319)*MIN(M$3-$O$2,$Q$2)/$Q$2))</f>
        <v>2277.27933789475</v>
      </c>
      <c r="N324" s="15" t="n">
        <f aca="false">M324*(1+IF(N$3&lt;=$O$2,$D324,$D324-($D324-$I$319)*MIN(N$3-$O$2,$Q$2)/$Q$2))</f>
        <v>2318.95354977823</v>
      </c>
      <c r="O324" s="15" t="n">
        <f aca="false">SUMPRODUCT(E324:N324,1/(1+$F$319)^$E$3:$N$3)*$E$2</f>
        <v>11188.8065617334</v>
      </c>
      <c r="P324" s="15" t="n">
        <f aca="false">N324*$E$2*(1+$I$319)/($F$319-$I$319)/(1+$F$319)^$N$3</f>
        <v>12980.737714775</v>
      </c>
      <c r="Q324" s="15" t="n">
        <f aca="false">O324+P324</f>
        <v>24169.5442765084</v>
      </c>
      <c r="R324" s="15" t="n">
        <f aca="false">Q324-$G$2+$I$2</f>
        <v>24939.5442765084</v>
      </c>
      <c r="S324" s="42" t="n">
        <f aca="false">R324/$K$2</f>
        <v>238.815898463166</v>
      </c>
      <c r="T324" s="43" t="n">
        <f aca="false">S324-$M$2</f>
        <v>-53.4372854878061</v>
      </c>
    </row>
    <row r="325" customFormat="false" ht="15" hidden="false" customHeight="false" outlineLevel="0" collapsed="false">
      <c r="A325" s="5" t="n">
        <v>5</v>
      </c>
      <c r="B325" s="25" t="n">
        <f aca="false">IF(T324&gt;0,B324,D324)</f>
        <v>-0.03125</v>
      </c>
      <c r="C325" s="25" t="n">
        <f aca="false">IF(T324&gt;0,D324,C324)</f>
        <v>0.0625</v>
      </c>
      <c r="D325" s="41" t="n">
        <f aca="false">(B325+C325)/2</f>
        <v>0.015625</v>
      </c>
      <c r="E325" s="15" t="n">
        <f aca="false">$C$2*(1+IF(E$3&lt;=$O$2,$D325,$D325-($D325-$I$319)*MIN(E$3-$O$2,$Q$2)/$Q$2))</f>
        <v>2782.8125</v>
      </c>
      <c r="F325" s="15" t="n">
        <f aca="false">E325*(1+IF(F$3&lt;=$O$2,$D325,$D325-($D325-$I$319)*MIN(F$3-$O$2,$Q$2)/$Q$2))</f>
        <v>2826.2939453125</v>
      </c>
      <c r="G325" s="15" t="n">
        <f aca="false">F325*(1+IF(G$3&lt;=$O$2,$D325,$D325-($D325-$I$319)*MIN(G$3-$O$2,$Q$2)/$Q$2))</f>
        <v>2870.45478820801</v>
      </c>
      <c r="H325" s="15" t="n">
        <f aca="false">G325*(1+IF(H$3&lt;=$O$2,$D325,$D325-($D325-$I$319)*MIN(H$3-$O$2,$Q$2)/$Q$2))</f>
        <v>2915.30564427376</v>
      </c>
      <c r="I325" s="15" t="n">
        <f aca="false">H325*(1+IF(I$3&lt;=$O$2,$D325,$D325-($D325-$I$319)*MIN(I$3-$O$2,$Q$2)/$Q$2))</f>
        <v>2960.85729496554</v>
      </c>
      <c r="J325" s="15" t="n">
        <f aca="false">I325*(1+IF(J$3&lt;=$O$2,$D325,$D325-($D325-$I$319)*MIN(J$3-$O$2,$Q$2)/$Q$2))</f>
        <v>3008.70474885218</v>
      </c>
      <c r="K325" s="15" t="n">
        <f aca="false">J325*(1+IF(K$3&lt;=$O$2,$D325,$D325-($D325-$I$319)*MIN(K$3-$O$2,$Q$2)/$Q$2))</f>
        <v>3058.93507463427</v>
      </c>
      <c r="L325" s="15" t="n">
        <f aca="false">K325*(1+IF(L$3&lt;=$O$2,$D325,$D325-($D325-$I$319)*MIN(L$3-$O$2,$Q$2)/$Q$2))</f>
        <v>3111.64052597021</v>
      </c>
      <c r="M325" s="15" t="n">
        <f aca="false">L325*(1+IF(M$3&lt;=$O$2,$D325,$D325-($D325-$I$319)*MIN(M$3-$O$2,$Q$2)/$Q$2))</f>
        <v>3166.91881991407</v>
      </c>
      <c r="N325" s="15" t="n">
        <f aca="false">M325*(1+IF(N$3&lt;=$O$2,$D325,$D325-($D325-$I$319)*MIN(N$3-$O$2,$Q$2)/$Q$2))</f>
        <v>3224.8734343185</v>
      </c>
      <c r="O325" s="15" t="n">
        <f aca="false">SUMPRODUCT(E325:N325,1/(1+$F$319)^$E$3:$N$3)*$E$2</f>
        <v>13737.9566521815</v>
      </c>
      <c r="P325" s="15" t="n">
        <f aca="false">N325*$E$2*(1+$I$319)/($F$319-$I$319)/(1+$F$319)^$N$3</f>
        <v>18051.7786646643</v>
      </c>
      <c r="Q325" s="15" t="n">
        <f aca="false">O325+P325</f>
        <v>31789.7353168458</v>
      </c>
      <c r="R325" s="15" t="n">
        <f aca="false">Q325-$G$2+$I$2</f>
        <v>32559.7353168458</v>
      </c>
      <c r="S325" s="42" t="n">
        <f aca="false">R325/$K$2</f>
        <v>311.785265889551</v>
      </c>
      <c r="T325" s="43" t="n">
        <f aca="false">S325-$M$2</f>
        <v>19.5320819385791</v>
      </c>
    </row>
    <row r="326" customFormat="false" ht="15" hidden="false" customHeight="false" outlineLevel="0" collapsed="false">
      <c r="A326" s="5" t="n">
        <v>6</v>
      </c>
      <c r="B326" s="25" t="n">
        <f aca="false">IF(T325&gt;0,B325,D325)</f>
        <v>-0.03125</v>
      </c>
      <c r="C326" s="25" t="n">
        <f aca="false">IF(T325&gt;0,D325,C325)</f>
        <v>0.015625</v>
      </c>
      <c r="D326" s="41" t="n">
        <f aca="false">(B326+C326)/2</f>
        <v>-0.0078125</v>
      </c>
      <c r="E326" s="15" t="n">
        <f aca="false">$C$2*(1+IF(E$3&lt;=$O$2,$D326,$D326-($D326-$I$319)*MIN(E$3-$O$2,$Q$2)/$Q$2))</f>
        <v>2718.59375</v>
      </c>
      <c r="F326" s="15" t="n">
        <f aca="false">E326*(1+IF(F$3&lt;=$O$2,$D326,$D326-($D326-$I$319)*MIN(F$3-$O$2,$Q$2)/$Q$2))</f>
        <v>2697.35473632813</v>
      </c>
      <c r="G326" s="15" t="n">
        <f aca="false">F326*(1+IF(G$3&lt;=$O$2,$D326,$D326-($D326-$I$319)*MIN(G$3-$O$2,$Q$2)/$Q$2))</f>
        <v>2676.28165245056</v>
      </c>
      <c r="H326" s="15" t="n">
        <f aca="false">G326*(1+IF(H$3&lt;=$O$2,$D326,$D326-($D326-$I$319)*MIN(H$3-$O$2,$Q$2)/$Q$2))</f>
        <v>2655.37320204079</v>
      </c>
      <c r="I326" s="15" t="n">
        <f aca="false">H326*(1+IF(I$3&lt;=$O$2,$D326,$D326-($D326-$I$319)*MIN(I$3-$O$2,$Q$2)/$Q$2))</f>
        <v>2634.62809889985</v>
      </c>
      <c r="J326" s="15" t="n">
        <f aca="false">I326*(1+IF(J$3&lt;=$O$2,$D326,$D326-($D326-$I$319)*MIN(J$3-$O$2,$Q$2)/$Q$2))</f>
        <v>2627.8044121237</v>
      </c>
      <c r="K326" s="15" t="n">
        <f aca="false">J326*(1+IF(K$3&lt;=$O$2,$D326,$D326-($D326-$I$319)*MIN(K$3-$O$2,$Q$2)/$Q$2))</f>
        <v>2634.72210723861</v>
      </c>
      <c r="L326" s="15" t="n">
        <f aca="false">K326*(1+IF(L$3&lt;=$O$2,$D326,$D326-($D326-$I$319)*MIN(L$3-$O$2,$Q$2)/$Q$2))</f>
        <v>2655.41784939097</v>
      </c>
      <c r="M326" s="15" t="n">
        <f aca="false">L326*(1+IF(M$3&lt;=$O$2,$D326,$D326-($D326-$I$319)*MIN(M$3-$O$2,$Q$2)/$Q$2))</f>
        <v>2690.14407631638</v>
      </c>
      <c r="N326" s="15" t="n">
        <f aca="false">M326*(1+IF(N$3&lt;=$O$2,$D326,$D326-($D326-$I$319)*MIN(N$3-$O$2,$Q$2)/$Q$2))</f>
        <v>2739.37371291297</v>
      </c>
      <c r="O326" s="15" t="n">
        <f aca="false">SUMPRODUCT(E326:N326,1/(1+$F$319)^$E$3:$N$3)*$E$2</f>
        <v>12396.4500017939</v>
      </c>
      <c r="P326" s="15" t="n">
        <f aca="false">N326*$E$2*(1+$I$319)/($F$319-$I$319)/(1+$F$319)^$N$3</f>
        <v>15334.1112302458</v>
      </c>
      <c r="Q326" s="15" t="n">
        <f aca="false">O326+P326</f>
        <v>27730.5612320397</v>
      </c>
      <c r="R326" s="15" t="n">
        <f aca="false">Q326-$G$2+$I$2</f>
        <v>28500.5612320397</v>
      </c>
      <c r="S326" s="42" t="n">
        <f aca="false">R326/$K$2</f>
        <v>272.915457550893</v>
      </c>
      <c r="T326" s="43" t="n">
        <f aca="false">S326-$M$2</f>
        <v>-19.3377264000792</v>
      </c>
    </row>
    <row r="327" customFormat="false" ht="15" hidden="false" customHeight="false" outlineLevel="0" collapsed="false">
      <c r="A327" s="5" t="n">
        <v>7</v>
      </c>
      <c r="B327" s="25" t="n">
        <f aca="false">IF(T326&gt;0,B326,D326)</f>
        <v>-0.0078125</v>
      </c>
      <c r="C327" s="25" t="n">
        <f aca="false">IF(T326&gt;0,D326,C326)</f>
        <v>0.015625</v>
      </c>
      <c r="D327" s="41" t="n">
        <f aca="false">(B327+C327)/2</f>
        <v>0.00390625</v>
      </c>
      <c r="E327" s="15" t="n">
        <f aca="false">$C$2*(1+IF(E$3&lt;=$O$2,$D327,$D327-($D327-$I$319)*MIN(E$3-$O$2,$Q$2)/$Q$2))</f>
        <v>2750.703125</v>
      </c>
      <c r="F327" s="15" t="n">
        <f aca="false">E327*(1+IF(F$3&lt;=$O$2,$D327,$D327-($D327-$I$319)*MIN(F$3-$O$2,$Q$2)/$Q$2))</f>
        <v>2761.44805908203</v>
      </c>
      <c r="G327" s="15" t="n">
        <f aca="false">F327*(1+IF(G$3&lt;=$O$2,$D327,$D327-($D327-$I$319)*MIN(G$3-$O$2,$Q$2)/$Q$2))</f>
        <v>2772.23496556282</v>
      </c>
      <c r="H327" s="15" t="n">
        <f aca="false">G327*(1+IF(H$3&lt;=$O$2,$D327,$D327-($D327-$I$319)*MIN(H$3-$O$2,$Q$2)/$Q$2))</f>
        <v>2783.06400839705</v>
      </c>
      <c r="I327" s="15" t="n">
        <f aca="false">H327*(1+IF(I$3&lt;=$O$2,$D327,$D327-($D327-$I$319)*MIN(I$3-$O$2,$Q$2)/$Q$2))</f>
        <v>2793.93535217985</v>
      </c>
      <c r="J327" s="15" t="n">
        <f aca="false">I327*(1+IF(J$3&lt;=$O$2,$D327,$D327-($D327-$I$319)*MIN(J$3-$O$2,$Q$2)/$Q$2))</f>
        <v>2812.89220354439</v>
      </c>
      <c r="K327" s="15" t="n">
        <f aca="false">J327*(1+IF(K$3&lt;=$O$2,$D327,$D327-($D327-$I$319)*MIN(K$3-$O$2,$Q$2)/$Q$2))</f>
        <v>2840.07529057639</v>
      </c>
      <c r="L327" s="15" t="n">
        <f aca="false">K327*(1+IF(L$3&lt;=$O$2,$D327,$D327-($D327-$I$319)*MIN(L$3-$O$2,$Q$2)/$Q$2))</f>
        <v>2875.69693490845</v>
      </c>
      <c r="M327" s="15" t="n">
        <f aca="false">L327*(1+IF(M$3&lt;=$O$2,$D327,$D327-($D327-$I$319)*MIN(M$3-$O$2,$Q$2)/$Q$2))</f>
        <v>2920.04377626591</v>
      </c>
      <c r="N327" s="15" t="n">
        <f aca="false">M327*(1+IF(N$3&lt;=$O$2,$D327,$D327-($D327-$I$319)*MIN(N$3-$O$2,$Q$2)/$Q$2))</f>
        <v>2973.48057737157</v>
      </c>
      <c r="O327" s="15" t="n">
        <f aca="false">SUMPRODUCT(E327:N327,1/(1+$F$319)^$E$3:$N$3)*$E$2</f>
        <v>13049.6274646583</v>
      </c>
      <c r="P327" s="15" t="n">
        <f aca="false">N327*$E$2*(1+$I$319)/($F$319-$I$319)/(1+$F$319)^$N$3</f>
        <v>16644.5643029501</v>
      </c>
      <c r="Q327" s="15" t="n">
        <f aca="false">O327+P327</f>
        <v>29694.1917676084</v>
      </c>
      <c r="R327" s="15" t="n">
        <f aca="false">Q327-$G$2+$I$2</f>
        <v>30464.1917676084</v>
      </c>
      <c r="S327" s="42" t="n">
        <f aca="false">R327/$K$2</f>
        <v>291.718775903556</v>
      </c>
      <c r="T327" s="43" t="n">
        <f aca="false">S327-$M$2</f>
        <v>-0.534408047415695</v>
      </c>
    </row>
    <row r="328" customFormat="false" ht="15" hidden="false" customHeight="false" outlineLevel="0" collapsed="false">
      <c r="A328" s="5" t="n">
        <v>8</v>
      </c>
      <c r="B328" s="25" t="n">
        <f aca="false">IF(T327&gt;0,B327,D327)</f>
        <v>0.00390625</v>
      </c>
      <c r="C328" s="25" t="n">
        <f aca="false">IF(T327&gt;0,D327,C327)</f>
        <v>0.015625</v>
      </c>
      <c r="D328" s="41" t="n">
        <f aca="false">(B328+C328)/2</f>
        <v>0.009765625</v>
      </c>
      <c r="E328" s="15" t="n">
        <f aca="false">$C$2*(1+IF(E$3&lt;=$O$2,$D328,$D328-($D328-$I$319)*MIN(E$3-$O$2,$Q$2)/$Q$2))</f>
        <v>2766.7578125</v>
      </c>
      <c r="F328" s="15" t="n">
        <f aca="false">E328*(1+IF(F$3&lt;=$O$2,$D328,$D328-($D328-$I$319)*MIN(F$3-$O$2,$Q$2)/$Q$2))</f>
        <v>2793.7769317627</v>
      </c>
      <c r="G328" s="15" t="n">
        <f aca="false">F328*(1+IF(G$3&lt;=$O$2,$D328,$D328-($D328-$I$319)*MIN(G$3-$O$2,$Q$2)/$Q$2))</f>
        <v>2821.05990961194</v>
      </c>
      <c r="H328" s="15" t="n">
        <f aca="false">G328*(1+IF(H$3&lt;=$O$2,$D328,$D328-($D328-$I$319)*MIN(H$3-$O$2,$Q$2)/$Q$2))</f>
        <v>2848.60932279174</v>
      </c>
      <c r="I328" s="15" t="n">
        <f aca="false">H328*(1+IF(I$3&lt;=$O$2,$D328,$D328-($D328-$I$319)*MIN(I$3-$O$2,$Q$2)/$Q$2))</f>
        <v>2876.42777320963</v>
      </c>
      <c r="J328" s="15" t="n">
        <f aca="false">I328*(1+IF(J$3&lt;=$O$2,$D328,$D328-($D328-$I$319)*MIN(J$3-$O$2,$Q$2)/$Q$2))</f>
        <v>2909.42759083778</v>
      </c>
      <c r="K328" s="15" t="n">
        <f aca="false">J328*(1+IF(K$3&lt;=$O$2,$D328,$D328-($D328-$I$319)*MIN(K$3-$O$2,$Q$2)/$Q$2))</f>
        <v>2947.77202809278</v>
      </c>
      <c r="L328" s="15" t="n">
        <f aca="false">K328*(1+IF(L$3&lt;=$O$2,$D328,$D328-($D328-$I$319)*MIN(L$3-$O$2,$Q$2)/$Q$2))</f>
        <v>2991.65329944597</v>
      </c>
      <c r="M328" s="15" t="n">
        <f aca="false">L328*(1+IF(M$3&lt;=$O$2,$D328,$D328-($D328-$I$319)*MIN(M$3-$O$2,$Q$2)/$Q$2))</f>
        <v>3041.29417660034</v>
      </c>
      <c r="N328" s="15" t="n">
        <f aca="false">M328*(1+IF(N$3&lt;=$O$2,$D328,$D328-($D328-$I$319)*MIN(N$3-$O$2,$Q$2)/$Q$2))</f>
        <v>3096.94986003213</v>
      </c>
      <c r="O328" s="15" t="n">
        <f aca="false">SUMPRODUCT(E328:N328,1/(1+$F$319)^$E$3:$N$3)*$E$2</f>
        <v>13389.2886786021</v>
      </c>
      <c r="P328" s="15" t="n">
        <f aca="false">N328*$E$2*(1+$I$319)/($F$319-$I$319)/(1+$F$319)^$N$3</f>
        <v>17335.7046555464</v>
      </c>
      <c r="Q328" s="15" t="n">
        <f aca="false">O328+P328</f>
        <v>30724.9933341485</v>
      </c>
      <c r="R328" s="15" t="n">
        <f aca="false">Q328-$G$2+$I$2</f>
        <v>31494.9933341485</v>
      </c>
      <c r="S328" s="42" t="n">
        <f aca="false">R328/$K$2</f>
        <v>301.589517707062</v>
      </c>
      <c r="T328" s="43" t="n">
        <f aca="false">S328-$M$2</f>
        <v>9.33633375609043</v>
      </c>
    </row>
    <row r="329" customFormat="false" ht="15" hidden="false" customHeight="false" outlineLevel="0" collapsed="false">
      <c r="A329" s="5" t="n">
        <v>9</v>
      </c>
      <c r="B329" s="25" t="n">
        <f aca="false">IF(T328&gt;0,B328,D328)</f>
        <v>0.00390625</v>
      </c>
      <c r="C329" s="25" t="n">
        <f aca="false">IF(T328&gt;0,D328,C328)</f>
        <v>0.009765625</v>
      </c>
      <c r="D329" s="41" t="n">
        <f aca="false">(B329+C329)/2</f>
        <v>0.0068359375</v>
      </c>
      <c r="E329" s="15" t="n">
        <f aca="false">$C$2*(1+IF(E$3&lt;=$O$2,$D329,$D329-($D329-$I$319)*MIN(E$3-$O$2,$Q$2)/$Q$2))</f>
        <v>2758.73046875</v>
      </c>
      <c r="F329" s="15" t="n">
        <f aca="false">E329*(1+IF(F$3&lt;=$O$2,$D329,$D329-($D329-$I$319)*MIN(F$3-$O$2,$Q$2)/$Q$2))</f>
        <v>2777.58897781372</v>
      </c>
      <c r="G329" s="15" t="n">
        <f aca="false">F329*(1+IF(G$3&lt;=$O$2,$D329,$D329-($D329-$I$319)*MIN(G$3-$O$2,$Q$2)/$Q$2))</f>
        <v>2796.57640246674</v>
      </c>
      <c r="H329" s="15" t="n">
        <f aca="false">G329*(1+IF(H$3&lt;=$O$2,$D329,$D329-($D329-$I$319)*MIN(H$3-$O$2,$Q$2)/$Q$2))</f>
        <v>2815.69362396798</v>
      </c>
      <c r="I329" s="15" t="n">
        <f aca="false">H329*(1+IF(I$3&lt;=$O$2,$D329,$D329-($D329-$I$319)*MIN(I$3-$O$2,$Q$2)/$Q$2))</f>
        <v>2834.94152960058</v>
      </c>
      <c r="J329" s="15" t="n">
        <f aca="false">I329*(1+IF(J$3&lt;=$O$2,$D329,$D329-($D329-$I$319)*MIN(J$3-$O$2,$Q$2)/$Q$2))</f>
        <v>2860.82100208892</v>
      </c>
      <c r="K329" s="15" t="n">
        <f aca="false">J329*(1+IF(K$3&lt;=$O$2,$D329,$D329-($D329-$I$319)*MIN(K$3-$O$2,$Q$2)/$Q$2))</f>
        <v>2893.49604796559</v>
      </c>
      <c r="L329" s="15" t="n">
        <f aca="false">K329*(1+IF(L$3&lt;=$O$2,$D329,$D329-($D329-$I$319)*MIN(L$3-$O$2,$Q$2)/$Q$2))</f>
        <v>2933.17853782841</v>
      </c>
      <c r="M329" s="15" t="n">
        <f aca="false">L329*(1+IF(M$3&lt;=$O$2,$D329,$D329-($D329-$I$319)*MIN(M$3-$O$2,$Q$2)/$Q$2))</f>
        <v>2980.1304766544</v>
      </c>
      <c r="N329" s="15" t="n">
        <f aca="false">M329*(1+IF(N$3&lt;=$O$2,$D329,$D329-($D329-$I$319)*MIN(N$3-$O$2,$Q$2)/$Q$2))</f>
        <v>3034.66686437718</v>
      </c>
      <c r="O329" s="15" t="n">
        <f aca="false">SUMPRODUCT(E329:N329,1/(1+$F$319)^$E$3:$N$3)*$E$2</f>
        <v>13218.3460882166</v>
      </c>
      <c r="P329" s="15" t="n">
        <f aca="false">N329*$E$2*(1+$I$319)/($F$319-$I$319)/(1+$F$319)^$N$3</f>
        <v>16987.0649724597</v>
      </c>
      <c r="Q329" s="15" t="n">
        <f aca="false">O329+P329</f>
        <v>30205.4110606764</v>
      </c>
      <c r="R329" s="15" t="n">
        <f aca="false">Q329-$G$2+$I$2</f>
        <v>30975.4110606764</v>
      </c>
      <c r="S329" s="42" t="n">
        <f aca="false">R329/$K$2</f>
        <v>296.614105723225</v>
      </c>
      <c r="T329" s="43" t="n">
        <f aca="false">S329-$M$2</f>
        <v>4.36092177225282</v>
      </c>
    </row>
    <row r="330" customFormat="false" ht="15" hidden="false" customHeight="false" outlineLevel="0" collapsed="false">
      <c r="A330" s="5" t="n">
        <v>10</v>
      </c>
      <c r="B330" s="25" t="n">
        <f aca="false">IF(T329&gt;0,B329,D329)</f>
        <v>0.00390625</v>
      </c>
      <c r="C330" s="25" t="n">
        <f aca="false">IF(T329&gt;0,D329,C329)</f>
        <v>0.0068359375</v>
      </c>
      <c r="D330" s="41" t="n">
        <f aca="false">(B330+C330)/2</f>
        <v>0.00537109375</v>
      </c>
      <c r="E330" s="15" t="n">
        <f aca="false">$C$2*(1+IF(E$3&lt;=$O$2,$D330,$D330-($D330-$I$319)*MIN(E$3-$O$2,$Q$2)/$Q$2))</f>
        <v>2754.716796875</v>
      </c>
      <c r="F330" s="15" t="n">
        <f aca="false">E330*(1+IF(F$3&lt;=$O$2,$D330,$D330-($D330-$I$319)*MIN(F$3-$O$2,$Q$2)/$Q$2))</f>
        <v>2769.51263904572</v>
      </c>
      <c r="G330" s="15" t="n">
        <f aca="false">F330*(1+IF(G$3&lt;=$O$2,$D330,$D330-($D330-$I$319)*MIN(G$3-$O$2,$Q$2)/$Q$2))</f>
        <v>2784.38795107184</v>
      </c>
      <c r="H330" s="15" t="n">
        <f aca="false">G330*(1+IF(H$3&lt;=$O$2,$D330,$D330-($D330-$I$319)*MIN(H$3-$O$2,$Q$2)/$Q$2))</f>
        <v>2799.34315979342</v>
      </c>
      <c r="I330" s="15" t="n">
        <f aca="false">H330*(1+IF(I$3&lt;=$O$2,$D330,$D330-($D330-$I$319)*MIN(I$3-$O$2,$Q$2)/$Q$2))</f>
        <v>2814.37869434309</v>
      </c>
      <c r="J330" s="15" t="n">
        <f aca="false">I330*(1+IF(J$3&lt;=$O$2,$D330,$D330-($D330-$I$319)*MIN(J$3-$O$2,$Q$2)/$Q$2))</f>
        <v>2836.77235381664</v>
      </c>
      <c r="K330" s="15" t="n">
        <f aca="false">J330*(1+IF(K$3&lt;=$O$2,$D330,$D330-($D330-$I$319)*MIN(K$3-$O$2,$Q$2)/$Q$2))</f>
        <v>2866.67946960243</v>
      </c>
      <c r="L330" s="15" t="n">
        <f aca="false">K330*(1+IF(L$3&lt;=$O$2,$D330,$D330-($D330-$I$319)*MIN(L$3-$O$2,$Q$2)/$Q$2))</f>
        <v>2904.31449185164</v>
      </c>
      <c r="M330" s="15" t="n">
        <f aca="false">L330*(1+IF(M$3&lt;=$O$2,$D330,$D330-($D330-$I$319)*MIN(M$3-$O$2,$Q$2)/$Q$2))</f>
        <v>2949.95352509539</v>
      </c>
      <c r="N330" s="15" t="n">
        <f aca="false">M330*(1+IF(N$3&lt;=$O$2,$D330,$D330-($D330-$I$319)*MIN(N$3-$O$2,$Q$2)/$Q$2))</f>
        <v>3003.93767460464</v>
      </c>
      <c r="O330" s="15" t="n">
        <f aca="false">SUMPRODUCT(E330:N330,1/(1+$F$319)^$E$3:$N$3)*$E$2</f>
        <v>13133.7104969803</v>
      </c>
      <c r="P330" s="15" t="n">
        <f aca="false">N330*$E$2*(1+$I$319)/($F$319-$I$319)/(1+$F$319)^$N$3</f>
        <v>16815.0530955237</v>
      </c>
      <c r="Q330" s="15" t="n">
        <f aca="false">O330+P330</f>
        <v>29948.763592504</v>
      </c>
      <c r="R330" s="15" t="n">
        <f aca="false">Q330-$G$2+$I$2</f>
        <v>30718.763592504</v>
      </c>
      <c r="S330" s="42" t="n">
        <f aca="false">R330/$K$2</f>
        <v>294.156502848837</v>
      </c>
      <c r="T330" s="43" t="n">
        <f aca="false">S330-$M$2</f>
        <v>1.90331889786467</v>
      </c>
    </row>
    <row r="331" customFormat="false" ht="15" hidden="false" customHeight="false" outlineLevel="0" collapsed="false">
      <c r="A331" s="5" t="n">
        <v>11</v>
      </c>
      <c r="B331" s="25" t="n">
        <f aca="false">IF(T330&gt;0,B330,D330)</f>
        <v>0.00390625</v>
      </c>
      <c r="C331" s="25" t="n">
        <f aca="false">IF(T330&gt;0,D330,C330)</f>
        <v>0.00537109375</v>
      </c>
      <c r="D331" s="41" t="n">
        <f aca="false">(B331+C331)/2</f>
        <v>0.004638671875</v>
      </c>
      <c r="E331" s="15" t="n">
        <f aca="false">$C$2*(1+IF(E$3&lt;=$O$2,$D331,$D331-($D331-$I$319)*MIN(E$3-$O$2,$Q$2)/$Q$2))</f>
        <v>2752.7099609375</v>
      </c>
      <c r="F331" s="15" t="n">
        <f aca="false">E331*(1+IF(F$3&lt;=$O$2,$D331,$D331-($D331-$I$319)*MIN(F$3-$O$2,$Q$2)/$Q$2))</f>
        <v>2765.47887921333</v>
      </c>
      <c r="G331" s="15" t="n">
        <f aca="false">F331*(1+IF(G$3&lt;=$O$2,$D331,$D331-($D331-$I$319)*MIN(G$3-$O$2,$Q$2)/$Q$2))</f>
        <v>2778.30702831125</v>
      </c>
      <c r="H331" s="15" t="n">
        <f aca="false">G331*(1+IF(H$3&lt;=$O$2,$D331,$D331-($D331-$I$319)*MIN(H$3-$O$2,$Q$2)/$Q$2))</f>
        <v>2791.19468298359</v>
      </c>
      <c r="I331" s="15" t="n">
        <f aca="false">H331*(1+IF(I$3&lt;=$O$2,$D331,$D331-($D331-$I$319)*MIN(I$3-$O$2,$Q$2)/$Q$2))</f>
        <v>2804.14211925719</v>
      </c>
      <c r="J331" s="15" t="n">
        <f aca="false">I331*(1+IF(J$3&lt;=$O$2,$D331,$D331-($D331-$I$319)*MIN(J$3-$O$2,$Q$2)/$Q$2))</f>
        <v>2824.81127555936</v>
      </c>
      <c r="K331" s="15" t="n">
        <f aca="false">J331*(1+IF(K$3&lt;=$O$2,$D331,$D331-($D331-$I$319)*MIN(K$3-$O$2,$Q$2)/$Q$2))</f>
        <v>2853.35091766612</v>
      </c>
      <c r="L331" s="15" t="n">
        <f aca="false">K331*(1+IF(L$3&lt;=$O$2,$D331,$D331-($D331-$I$319)*MIN(L$3-$O$2,$Q$2)/$Q$2))</f>
        <v>2889.97501420261</v>
      </c>
      <c r="M331" s="15" t="n">
        <f aca="false">L331*(1+IF(M$3&lt;=$O$2,$D331,$D331-($D331-$I$319)*MIN(M$3-$O$2,$Q$2)/$Q$2))</f>
        <v>2934.9653775741</v>
      </c>
      <c r="N331" s="15" t="n">
        <f aca="false">M331*(1+IF(N$3&lt;=$O$2,$D331,$D331-($D331-$I$319)*MIN(N$3-$O$2,$Q$2)/$Q$2))</f>
        <v>2988.67524398371</v>
      </c>
      <c r="O331" s="15" t="n">
        <f aca="false">SUMPRODUCT(E331:N331,1/(1+$F$319)^$E$3:$N$3)*$E$2</f>
        <v>13091.6001244928</v>
      </c>
      <c r="P331" s="15" t="n">
        <f aca="false">N331*$E$2*(1+$I$319)/($F$319-$I$319)/(1+$F$319)^$N$3</f>
        <v>16729.6190389428</v>
      </c>
      <c r="Q331" s="15" t="n">
        <f aca="false">O331+P331</f>
        <v>29821.2191634356</v>
      </c>
      <c r="R331" s="15" t="n">
        <f aca="false">Q331-$G$2+$I$2</f>
        <v>30591.2191634356</v>
      </c>
      <c r="S331" s="42" t="n">
        <f aca="false">R331/$K$2</f>
        <v>292.935163874707</v>
      </c>
      <c r="T331" s="43" t="n">
        <f aca="false">S331-$M$2</f>
        <v>0.681979923734559</v>
      </c>
    </row>
    <row r="332" customFormat="false" ht="15" hidden="false" customHeight="false" outlineLevel="0" collapsed="false">
      <c r="A332" s="5" t="n">
        <v>12</v>
      </c>
      <c r="B332" s="25" t="n">
        <f aca="false">IF(T331&gt;0,B331,D331)</f>
        <v>0.00390625</v>
      </c>
      <c r="C332" s="25" t="n">
        <f aca="false">IF(T331&gt;0,D331,C331)</f>
        <v>0.004638671875</v>
      </c>
      <c r="D332" s="41" t="n">
        <f aca="false">(B332+C332)/2</f>
        <v>0.0042724609375</v>
      </c>
      <c r="E332" s="15" t="n">
        <f aca="false">$C$2*(1+IF(E$3&lt;=$O$2,$D332,$D332-($D332-$I$319)*MIN(E$3-$O$2,$Q$2)/$Q$2))</f>
        <v>2751.70654296875</v>
      </c>
      <c r="F332" s="15" t="n">
        <f aca="false">E332*(1+IF(F$3&lt;=$O$2,$D332,$D332-($D332-$I$319)*MIN(F$3-$O$2,$Q$2)/$Q$2))</f>
        <v>2763.46310168505</v>
      </c>
      <c r="G332" s="15" t="n">
        <f aca="false">F332*(1+IF(G$3&lt;=$O$2,$D332,$D332-($D332-$I$319)*MIN(G$3-$O$2,$Q$2)/$Q$2))</f>
        <v>2775.26988983922</v>
      </c>
      <c r="H332" s="15" t="n">
        <f aca="false">G332*(1+IF(H$3&lt;=$O$2,$D332,$D332-($D332-$I$319)*MIN(H$3-$O$2,$Q$2)/$Q$2))</f>
        <v>2787.12712203458</v>
      </c>
      <c r="I332" s="15" t="n">
        <f aca="false">H332*(1+IF(I$3&lt;=$O$2,$D332,$D332-($D332-$I$319)*MIN(I$3-$O$2,$Q$2)/$Q$2))</f>
        <v>2799.03501379132</v>
      </c>
      <c r="J332" s="15" t="n">
        <f aca="false">I332*(1+IF(J$3&lt;=$O$2,$D332,$D332-($D332-$I$319)*MIN(J$3-$O$2,$Q$2)/$Q$2))</f>
        <v>2818.84649614909</v>
      </c>
      <c r="K332" s="15" t="n">
        <f aca="false">J332*(1+IF(K$3&lt;=$O$2,$D332,$D332-($D332-$I$319)*MIN(K$3-$O$2,$Q$2)/$Q$2))</f>
        <v>2846.70649942706</v>
      </c>
      <c r="L332" s="15" t="n">
        <f aca="false">K332*(1+IF(L$3&lt;=$O$2,$D332,$D332-($D332-$I$319)*MIN(L$3-$O$2,$Q$2)/$Q$2))</f>
        <v>2882.8283137185</v>
      </c>
      <c r="M332" s="15" t="n">
        <f aca="false">L332*(1+IF(M$3&lt;=$O$2,$D332,$D332-($D332-$I$319)*MIN(M$3-$O$2,$Q$2)/$Q$2))</f>
        <v>2927.49627450332</v>
      </c>
      <c r="N332" s="15" t="n">
        <f aca="false">M332*(1+IF(N$3&lt;=$O$2,$D332,$D332-($D332-$I$319)*MIN(N$3-$O$2,$Q$2)/$Q$2))</f>
        <v>2981.06945632673</v>
      </c>
      <c r="O332" s="15" t="n">
        <f aca="false">SUMPRODUCT(E332:N332,1/(1+$F$319)^$E$3:$N$3)*$E$2</f>
        <v>13070.5966071231</v>
      </c>
      <c r="P332" s="15" t="n">
        <f aca="false">N332*$E$2*(1+$I$319)/($F$319-$I$319)/(1+$F$319)^$N$3</f>
        <v>16687.0443462763</v>
      </c>
      <c r="Q332" s="15" t="n">
        <f aca="false">O332+P332</f>
        <v>29757.6409533995</v>
      </c>
      <c r="R332" s="15" t="n">
        <f aca="false">Q332-$G$2+$I$2</f>
        <v>30527.6409533995</v>
      </c>
      <c r="S332" s="42" t="n">
        <f aca="false">R332/$K$2</f>
        <v>292.326352134439</v>
      </c>
      <c r="T332" s="43" t="n">
        <f aca="false">S332-$M$2</f>
        <v>0.0731681834670326</v>
      </c>
    </row>
    <row r="333" customFormat="false" ht="15" hidden="false" customHeight="false" outlineLevel="0" collapsed="false">
      <c r="A333" s="5" t="n">
        <v>13</v>
      </c>
      <c r="B333" s="25" t="n">
        <f aca="false">IF(T332&gt;0,B332,D332)</f>
        <v>0.00390625</v>
      </c>
      <c r="C333" s="25" t="n">
        <f aca="false">IF(T332&gt;0,D332,C332)</f>
        <v>0.0042724609375</v>
      </c>
      <c r="D333" s="41" t="n">
        <f aca="false">(B333+C333)/2</f>
        <v>0.00408935546875</v>
      </c>
      <c r="E333" s="15" t="n">
        <f aca="false">$C$2*(1+IF(E$3&lt;=$O$2,$D333,$D333-($D333-$I$319)*MIN(E$3-$O$2,$Q$2)/$Q$2))</f>
        <v>2751.20483398438</v>
      </c>
      <c r="F333" s="15" t="n">
        <f aca="false">E333*(1+IF(F$3&lt;=$O$2,$D333,$D333-($D333-$I$319)*MIN(F$3-$O$2,$Q$2)/$Q$2))</f>
        <v>2762.45548851788</v>
      </c>
      <c r="G333" s="15" t="n">
        <f aca="false">F333*(1+IF(G$3&lt;=$O$2,$D333,$D333-($D333-$I$319)*MIN(G$3-$O$2,$Q$2)/$Q$2))</f>
        <v>2773.75215097703</v>
      </c>
      <c r="H333" s="15" t="n">
        <f aca="false">G333*(1+IF(H$3&lt;=$O$2,$D333,$D333-($D333-$I$319)*MIN(H$3-$O$2,$Q$2)/$Q$2))</f>
        <v>2785.09500950458</v>
      </c>
      <c r="I333" s="15" t="n">
        <f aca="false">H333*(1+IF(I$3&lt;=$O$2,$D333,$D333-($D333-$I$319)*MIN(I$3-$O$2,$Q$2)/$Q$2))</f>
        <v>2796.48425301269</v>
      </c>
      <c r="J333" s="15" t="n">
        <f aca="false">I333*(1+IF(J$3&lt;=$O$2,$D333,$D333-($D333-$I$319)*MIN(J$3-$O$2,$Q$2)/$Q$2))</f>
        <v>2815.86803991738</v>
      </c>
      <c r="K333" s="15" t="n">
        <f aca="false">J333*(1+IF(K$3&lt;=$O$2,$D333,$D333-($D333-$I$319)*MIN(K$3-$O$2,$Q$2)/$Q$2))</f>
        <v>2843.38924519057</v>
      </c>
      <c r="L333" s="15" t="n">
        <f aca="false">K333*(1+IF(L$3&lt;=$O$2,$D333,$D333-($D333-$I$319)*MIN(L$3-$O$2,$Q$2)/$Q$2))</f>
        <v>2879.2607108466</v>
      </c>
      <c r="M333" s="15" t="n">
        <f aca="false">L333*(1+IF(M$3&lt;=$O$2,$D333,$D333-($D333-$I$319)*MIN(M$3-$O$2,$Q$2)/$Q$2))</f>
        <v>2923.76795176017</v>
      </c>
      <c r="N333" s="15" t="n">
        <f aca="false">M333*(1+IF(N$3&lt;=$O$2,$D333,$D333-($D333-$I$319)*MIN(N$3-$O$2,$Q$2)/$Q$2))</f>
        <v>2977.27290527738</v>
      </c>
      <c r="O333" s="15" t="n">
        <f aca="false">SUMPRODUCT(E333:N333,1/(1+$F$319)^$E$3:$N$3)*$E$2</f>
        <v>13060.1077423523</v>
      </c>
      <c r="P333" s="15" t="n">
        <f aca="false">N333*$E$2*(1+$I$319)/($F$319-$I$319)/(1+$F$319)^$N$3</f>
        <v>16665.7925047304</v>
      </c>
      <c r="Q333" s="15" t="n">
        <f aca="false">O333+P333</f>
        <v>29725.9002470827</v>
      </c>
      <c r="R333" s="15" t="n">
        <f aca="false">Q333-$G$2+$I$2</f>
        <v>30495.9002470827</v>
      </c>
      <c r="S333" s="42" t="n">
        <f aca="false">R333/$K$2</f>
        <v>292.022409720221</v>
      </c>
      <c r="T333" s="43" t="n">
        <f aca="false">S333-$M$2</f>
        <v>-0.230774230751081</v>
      </c>
    </row>
    <row r="334" customFormat="false" ht="15" hidden="false" customHeight="false" outlineLevel="0" collapsed="false">
      <c r="A334" s="5" t="n">
        <v>14</v>
      </c>
      <c r="B334" s="25" t="n">
        <f aca="false">IF(T333&gt;0,B333,D333)</f>
        <v>0.00408935546875</v>
      </c>
      <c r="C334" s="25" t="n">
        <f aca="false">IF(T333&gt;0,D333,C333)</f>
        <v>0.0042724609375</v>
      </c>
      <c r="D334" s="41" t="n">
        <f aca="false">(B334+C334)/2</f>
        <v>0.004180908203125</v>
      </c>
      <c r="E334" s="15" t="n">
        <f aca="false">$C$2*(1+IF(E$3&lt;=$O$2,$D334,$D334-($D334-$I$319)*MIN(E$3-$O$2,$Q$2)/$Q$2))</f>
        <v>2751.45568847656</v>
      </c>
      <c r="F334" s="15" t="n">
        <f aca="false">E334*(1+IF(F$3&lt;=$O$2,$D334,$D334-($D334-$I$319)*MIN(F$3-$O$2,$Q$2)/$Q$2))</f>
        <v>2762.95927213505</v>
      </c>
      <c r="G334" s="15" t="n">
        <f aca="false">F334*(1+IF(G$3&lt;=$O$2,$D334,$D334-($D334-$I$319)*MIN(G$3-$O$2,$Q$2)/$Q$2))</f>
        <v>2774.51095122082</v>
      </c>
      <c r="H334" s="15" t="n">
        <f aca="false">G334*(1+IF(H$3&lt;=$O$2,$D334,$D334-($D334-$I$319)*MIN(H$3-$O$2,$Q$2)/$Q$2))</f>
        <v>2786.11092681644</v>
      </c>
      <c r="I334" s="15" t="n">
        <f aca="false">H334*(1+IF(I$3&lt;=$O$2,$D334,$D334-($D334-$I$319)*MIN(I$3-$O$2,$Q$2)/$Q$2))</f>
        <v>2797.75940084518</v>
      </c>
      <c r="J334" s="15" t="n">
        <f aca="false">I334*(1+IF(J$3&lt;=$O$2,$D334,$D334-($D334-$I$319)*MIN(J$3-$O$2,$Q$2)/$Q$2))</f>
        <v>2817.35694043577</v>
      </c>
      <c r="K334" s="15" t="n">
        <f aca="false">J334*(1+IF(K$3&lt;=$O$2,$D334,$D334-($D334-$I$319)*MIN(K$3-$O$2,$Q$2)/$Q$2))</f>
        <v>2845.04745968579</v>
      </c>
      <c r="L334" s="15" t="n">
        <f aca="false">K334*(1+IF(L$3&lt;=$O$2,$D334,$D334-($D334-$I$319)*MIN(L$3-$O$2,$Q$2)/$Q$2))</f>
        <v>2881.04403369814</v>
      </c>
      <c r="M334" s="15" t="n">
        <f aca="false">L334*(1+IF(M$3&lt;=$O$2,$D334,$D334-($D334-$I$319)*MIN(M$3-$O$2,$Q$2)/$Q$2))</f>
        <v>2925.63159447829</v>
      </c>
      <c r="N334" s="15" t="n">
        <f aca="false">M334*(1+IF(N$3&lt;=$O$2,$D334,$D334-($D334-$I$319)*MIN(N$3-$O$2,$Q$2)/$Q$2))</f>
        <v>2979.17065265724</v>
      </c>
      <c r="O334" s="15" t="n">
        <f aca="false">SUMPRODUCT(E334:N334,1/(1+$F$319)^$E$3:$N$3)*$E$2</f>
        <v>13065.3511009377</v>
      </c>
      <c r="P334" s="15" t="n">
        <f aca="false">N334*$E$2*(1+$I$319)/($F$319-$I$319)/(1+$F$319)^$N$3</f>
        <v>16676.4154691228</v>
      </c>
      <c r="Q334" s="15" t="n">
        <f aca="false">O334+P334</f>
        <v>29741.7665700605</v>
      </c>
      <c r="R334" s="15" t="n">
        <f aca="false">Q334-$G$2+$I$2</f>
        <v>30511.7665700605</v>
      </c>
      <c r="S334" s="42" t="n">
        <f aca="false">R334/$K$2</f>
        <v>292.174342335157</v>
      </c>
      <c r="T334" s="43" t="n">
        <f aca="false">S334-$M$2</f>
        <v>-0.078841615814838</v>
      </c>
    </row>
    <row r="335" customFormat="false" ht="15" hidden="false" customHeight="false" outlineLevel="0" collapsed="false">
      <c r="A335" s="5" t="n">
        <v>15</v>
      </c>
      <c r="B335" s="25" t="n">
        <f aca="false">IF(T334&gt;0,B334,D334)</f>
        <v>0.004180908203125</v>
      </c>
      <c r="C335" s="25" t="n">
        <f aca="false">IF(T334&gt;0,D334,C334)</f>
        <v>0.0042724609375</v>
      </c>
      <c r="D335" s="41" t="n">
        <f aca="false">(B335+C335)/2</f>
        <v>0.0042266845703125</v>
      </c>
      <c r="E335" s="15" t="n">
        <f aca="false">$C$2*(1+IF(E$3&lt;=$O$2,$D335,$D335-($D335-$I$319)*MIN(E$3-$O$2,$Q$2)/$Q$2))</f>
        <v>2751.58111572266</v>
      </c>
      <c r="F335" s="15" t="n">
        <f aca="false">E335*(1+IF(F$3&lt;=$O$2,$D335,$D335-($D335-$I$319)*MIN(F$3-$O$2,$Q$2)/$Q$2))</f>
        <v>2763.21118116844</v>
      </c>
      <c r="G335" s="15" t="n">
        <f aca="false">F335*(1+IF(G$3&lt;=$O$2,$D335,$D335-($D335-$I$319)*MIN(G$3-$O$2,$Q$2)/$Q$2))</f>
        <v>2774.8904032324</v>
      </c>
      <c r="H335" s="15" t="n">
        <f aca="false">G335*(1+IF(H$3&lt;=$O$2,$D335,$D335-($D335-$I$319)*MIN(H$3-$O$2,$Q$2)/$Q$2))</f>
        <v>2786.61898968405</v>
      </c>
      <c r="I335" s="15" t="n">
        <f aca="false">H335*(1+IF(I$3&lt;=$O$2,$D335,$D335-($D335-$I$319)*MIN(I$3-$O$2,$Q$2)/$Q$2))</f>
        <v>2798.39714917109</v>
      </c>
      <c r="J335" s="15" t="n">
        <f aca="false">I335*(1+IF(J$3&lt;=$O$2,$D335,$D335-($D335-$I$319)*MIN(J$3-$O$2,$Q$2)/$Q$2))</f>
        <v>2818.10163637867</v>
      </c>
      <c r="K335" s="15" t="n">
        <f aca="false">J335*(1+IF(K$3&lt;=$O$2,$D335,$D335-($D335-$I$319)*MIN(K$3-$O$2,$Q$2)/$Q$2))</f>
        <v>2845.87687637939</v>
      </c>
      <c r="L335" s="15" t="n">
        <f aca="false">K335*(1+IF(L$3&lt;=$O$2,$D335,$D335-($D335-$I$319)*MIN(L$3-$O$2,$Q$2)/$Q$2))</f>
        <v>2881.936054035</v>
      </c>
      <c r="M335" s="15" t="n">
        <f aca="false">L335*(1+IF(M$3&lt;=$O$2,$D335,$D335-($D335-$I$319)*MIN(M$3-$O$2,$Q$2)/$Q$2))</f>
        <v>2926.56380479651</v>
      </c>
      <c r="N335" s="15" t="n">
        <f aca="false">M335*(1+IF(N$3&lt;=$O$2,$D335,$D335-($D335-$I$319)*MIN(N$3-$O$2,$Q$2)/$Q$2))</f>
        <v>2980.11992242429</v>
      </c>
      <c r="O335" s="15" t="n">
        <f aca="false">SUMPRODUCT(E335:N335,1/(1+$F$319)^$E$3:$N$3)*$E$2</f>
        <v>13067.9735855285</v>
      </c>
      <c r="P335" s="15" t="n">
        <f aca="false">N335*$E$2*(1+$I$319)/($F$319-$I$319)/(1+$F$319)^$N$3</f>
        <v>16681.7291684281</v>
      </c>
      <c r="Q335" s="15" t="n">
        <f aca="false">O335+P335</f>
        <v>29749.7027539566</v>
      </c>
      <c r="R335" s="15" t="n">
        <f aca="false">Q335-$G$2+$I$2</f>
        <v>30519.7027539566</v>
      </c>
      <c r="S335" s="42" t="n">
        <f aca="false">R335/$K$2</f>
        <v>292.250337584569</v>
      </c>
      <c r="T335" s="43" t="n">
        <f aca="false">S335-$M$2</f>
        <v>-0.0028463664025935</v>
      </c>
    </row>
    <row r="336" customFormat="false" ht="15" hidden="false" customHeight="false" outlineLevel="0" collapsed="false">
      <c r="A336" s="5" t="n">
        <v>16</v>
      </c>
      <c r="B336" s="25" t="n">
        <f aca="false">IF(T335&gt;0,B335,D335)</f>
        <v>0.0042266845703125</v>
      </c>
      <c r="C336" s="25" t="n">
        <f aca="false">IF(T335&gt;0,D335,C335)</f>
        <v>0.0042724609375</v>
      </c>
      <c r="D336" s="41" t="n">
        <f aca="false">(B336+C336)/2</f>
        <v>0.00424957275390625</v>
      </c>
      <c r="E336" s="15" t="n">
        <f aca="false">$C$2*(1+IF(E$3&lt;=$O$2,$D336,$D336-($D336-$I$319)*MIN(E$3-$O$2,$Q$2)/$Q$2))</f>
        <v>2751.6438293457</v>
      </c>
      <c r="F336" s="15" t="n">
        <f aca="false">E336*(1+IF(F$3&lt;=$O$2,$D336,$D336-($D336-$I$319)*MIN(F$3-$O$2,$Q$2)/$Q$2))</f>
        <v>2763.33713999135</v>
      </c>
      <c r="G336" s="15" t="n">
        <f aca="false">F336*(1+IF(G$3&lt;=$O$2,$D336,$D336-($D336-$I$319)*MIN(G$3-$O$2,$Q$2)/$Q$2))</f>
        <v>2775.08014221131</v>
      </c>
      <c r="H336" s="15" t="n">
        <f aca="false">G336*(1+IF(H$3&lt;=$O$2,$D336,$D336-($D336-$I$319)*MIN(H$3-$O$2,$Q$2)/$Q$2))</f>
        <v>2786.87304717356</v>
      </c>
      <c r="I336" s="15" t="n">
        <f aca="false">H336*(1+IF(I$3&lt;=$O$2,$D336,$D336-($D336-$I$319)*MIN(I$3-$O$2,$Q$2)/$Q$2))</f>
        <v>2798.71606694342</v>
      </c>
      <c r="J336" s="15" t="n">
        <f aca="false">I336*(1+IF(J$3&lt;=$O$2,$D336,$D336-($D336-$I$319)*MIN(J$3-$O$2,$Q$2)/$Q$2))</f>
        <v>2818.47404578364</v>
      </c>
      <c r="K336" s="15" t="n">
        <f aca="false">J336*(1+IF(K$3&lt;=$O$2,$D336,$D336-($D336-$I$319)*MIN(K$3-$O$2,$Q$2)/$Q$2))</f>
        <v>2846.29166210631</v>
      </c>
      <c r="L336" s="15" t="n">
        <f aca="false">K336*(1+IF(L$3&lt;=$O$2,$D336,$D336-($D336-$I$319)*MIN(L$3-$O$2,$Q$2)/$Q$2))</f>
        <v>2882.38215395502</v>
      </c>
      <c r="M336" s="15" t="n">
        <f aca="false">L336*(1+IF(M$3&lt;=$O$2,$D336,$D336-($D336-$I$319)*MIN(M$3-$O$2,$Q$2)/$Q$2))</f>
        <v>2927.03000722248</v>
      </c>
      <c r="N336" s="15" t="n">
        <f aca="false">M336*(1+IF(N$3&lt;=$O$2,$D336,$D336-($D336-$I$319)*MIN(N$3-$O$2,$Q$2)/$Q$2))</f>
        <v>2980.59465635465</v>
      </c>
      <c r="O336" s="15" t="n">
        <f aca="false">SUMPRODUCT(E336:N336,1/(1+$F$319)^$E$3:$N$3)*$E$2</f>
        <v>13069.2850291938</v>
      </c>
      <c r="P336" s="15" t="n">
        <f aca="false">N336*$E$2*(1+$I$319)/($F$319-$I$319)/(1+$F$319)^$N$3</f>
        <v>16684.3865725123</v>
      </c>
      <c r="Q336" s="15" t="n">
        <f aca="false">O336+P336</f>
        <v>29753.6716017062</v>
      </c>
      <c r="R336" s="15" t="n">
        <f aca="false">Q336-$G$2+$I$2</f>
        <v>30523.6716017062</v>
      </c>
      <c r="S336" s="42" t="n">
        <f aca="false">R336/$K$2</f>
        <v>292.288342446674</v>
      </c>
      <c r="T336" s="43" t="n">
        <f aca="false">S336-$M$2</f>
        <v>0.0351584957018645</v>
      </c>
    </row>
    <row r="337" customFormat="false" ht="15" hidden="false" customHeight="false" outlineLevel="0" collapsed="false">
      <c r="A337" s="5" t="n">
        <v>17</v>
      </c>
      <c r="B337" s="25" t="n">
        <f aca="false">IF(T336&gt;0,B336,D336)</f>
        <v>0.0042266845703125</v>
      </c>
      <c r="C337" s="25" t="n">
        <f aca="false">IF(T336&gt;0,D336,C336)</f>
        <v>0.00424957275390625</v>
      </c>
      <c r="D337" s="41" t="n">
        <f aca="false">(B337+C337)/2</f>
        <v>0.00423812866210938</v>
      </c>
      <c r="E337" s="15" t="n">
        <f aca="false">$C$2*(1+IF(E$3&lt;=$O$2,$D337,$D337-($D337-$I$319)*MIN(E$3-$O$2,$Q$2)/$Q$2))</f>
        <v>2751.61247253418</v>
      </c>
      <c r="F337" s="15" t="n">
        <f aca="false">E337*(1+IF(F$3&lt;=$O$2,$D337,$D337-($D337-$I$319)*MIN(F$3-$O$2,$Q$2)/$Q$2))</f>
        <v>2763.27416022104</v>
      </c>
      <c r="G337" s="15" t="n">
        <f aca="false">F337*(1+IF(G$3&lt;=$O$2,$D337,$D337-($D337-$I$319)*MIN(G$3-$O$2,$Q$2)/$Q$2))</f>
        <v>2774.98527164074</v>
      </c>
      <c r="H337" s="15" t="n">
        <f aca="false">G337*(1+IF(H$3&lt;=$O$2,$D337,$D337-($D337-$I$319)*MIN(H$3-$O$2,$Q$2)/$Q$2))</f>
        <v>2786.74601625742</v>
      </c>
      <c r="I337" s="15" t="n">
        <f aca="false">H337*(1+IF(I$3&lt;=$O$2,$D337,$D337-($D337-$I$319)*MIN(I$3-$O$2,$Q$2)/$Q$2))</f>
        <v>2798.55660442294</v>
      </c>
      <c r="J337" s="15" t="n">
        <f aca="false">I337*(1+IF(J$3&lt;=$O$2,$D337,$D337-($D337-$I$319)*MIN(J$3-$O$2,$Q$2)/$Q$2))</f>
        <v>2818.28783596132</v>
      </c>
      <c r="K337" s="15" t="n">
        <f aca="false">J337*(1+IF(K$3&lt;=$O$2,$D337,$D337-($D337-$I$319)*MIN(K$3-$O$2,$Q$2)/$Q$2))</f>
        <v>2846.08426279395</v>
      </c>
      <c r="L337" s="15" t="n">
        <f aca="false">K337*(1+IF(L$3&lt;=$O$2,$D337,$D337-($D337-$I$319)*MIN(L$3-$O$2,$Q$2)/$Q$2))</f>
        <v>2882.159096515</v>
      </c>
      <c r="M337" s="15" t="n">
        <f aca="false">L337*(1+IF(M$3&lt;=$O$2,$D337,$D337-($D337-$I$319)*MIN(M$3-$O$2,$Q$2)/$Q$2))</f>
        <v>2926.79689790312</v>
      </c>
      <c r="N337" s="15" t="n">
        <f aca="false">M337*(1+IF(N$3&lt;=$O$2,$D337,$D337-($D337-$I$319)*MIN(N$3-$O$2,$Q$2)/$Q$2))</f>
        <v>2980.35728113474</v>
      </c>
      <c r="O337" s="15" t="n">
        <f aca="false">SUMPRODUCT(E337:N337,1/(1+$F$319)^$E$3:$N$3)*$E$2</f>
        <v>13068.629290579</v>
      </c>
      <c r="P337" s="15" t="n">
        <f aca="false">N337*$E$2*(1+$I$319)/($F$319-$I$319)/(1+$F$319)^$N$3</f>
        <v>16683.057824263</v>
      </c>
      <c r="Q337" s="15" t="n">
        <f aca="false">O337+P337</f>
        <v>29751.687114842</v>
      </c>
      <c r="R337" s="15" t="n">
        <f aca="false">Q337-$G$2+$I$2</f>
        <v>30521.687114842</v>
      </c>
      <c r="S337" s="42" t="n">
        <f aca="false">R337/$K$2</f>
        <v>292.269339412448</v>
      </c>
      <c r="T337" s="43" t="n">
        <f aca="false">S337-$M$2</f>
        <v>0.0161554614761599</v>
      </c>
    </row>
    <row r="338" customFormat="false" ht="15" hidden="false" customHeight="false" outlineLevel="0" collapsed="false">
      <c r="A338" s="5" t="n">
        <v>18</v>
      </c>
      <c r="B338" s="25" t="n">
        <f aca="false">IF(T337&gt;0,B337,D337)</f>
        <v>0.0042266845703125</v>
      </c>
      <c r="C338" s="25" t="n">
        <f aca="false">IF(T337&gt;0,D337,C337)</f>
        <v>0.00423812866210938</v>
      </c>
      <c r="D338" s="41" t="n">
        <f aca="false">(B338+C338)/2</f>
        <v>0.00423240661621094</v>
      </c>
      <c r="E338" s="15" t="n">
        <f aca="false">$C$2*(1+IF(E$3&lt;=$O$2,$D338,$D338-($D338-$I$319)*MIN(E$3-$O$2,$Q$2)/$Q$2))</f>
        <v>2751.59679412842</v>
      </c>
      <c r="F338" s="15" t="n">
        <f aca="false">E338*(1+IF(F$3&lt;=$O$2,$D338,$D338-($D338-$I$319)*MIN(F$3-$O$2,$Q$2)/$Q$2))</f>
        <v>2763.24267060503</v>
      </c>
      <c r="G338" s="15" t="n">
        <f aca="false">F338*(1+IF(G$3&lt;=$O$2,$D338,$D338-($D338-$I$319)*MIN(G$3-$O$2,$Q$2)/$Q$2))</f>
        <v>2774.9378371663</v>
      </c>
      <c r="H338" s="15" t="n">
        <f aca="false">G338*(1+IF(H$3&lt;=$O$2,$D338,$D338-($D338-$I$319)*MIN(H$3-$O$2,$Q$2)/$Q$2))</f>
        <v>2786.68250242789</v>
      </c>
      <c r="I338" s="15" t="n">
        <f aca="false">H338*(1+IF(I$3&lt;=$O$2,$D338,$D338-($D338-$I$319)*MIN(I$3-$O$2,$Q$2)/$Q$2))</f>
        <v>2798.47687588845</v>
      </c>
      <c r="J338" s="15" t="n">
        <f aca="false">I338*(1+IF(J$3&lt;=$O$2,$D338,$D338-($D338-$I$319)*MIN(J$3-$O$2,$Q$2)/$Q$2))</f>
        <v>2818.19473489006</v>
      </c>
      <c r="K338" s="15" t="n">
        <f aca="false">J338*(1+IF(K$3&lt;=$O$2,$D338,$D338-($D338-$I$319)*MIN(K$3-$O$2,$Q$2)/$Q$2))</f>
        <v>2845.98056797449</v>
      </c>
      <c r="L338" s="15" t="n">
        <f aca="false">K338*(1+IF(L$3&lt;=$O$2,$D338,$D338-($D338-$I$319)*MIN(L$3-$O$2,$Q$2)/$Q$2))</f>
        <v>2882.04757340505</v>
      </c>
      <c r="M338" s="15" t="n">
        <f aca="false">L338*(1+IF(M$3&lt;=$O$2,$D338,$D338-($D338-$I$319)*MIN(M$3-$O$2,$Q$2)/$Q$2))</f>
        <v>2926.68034932328</v>
      </c>
      <c r="N338" s="15" t="n">
        <f aca="false">M338*(1+IF(N$3&lt;=$O$2,$D338,$D338-($D338-$I$319)*MIN(N$3-$O$2,$Q$2)/$Q$2))</f>
        <v>2980.2385997159</v>
      </c>
      <c r="O338" s="15" t="n">
        <f aca="false">SUMPRODUCT(E338:N338,1/(1+$F$319)^$E$3:$N$3)*$E$2</f>
        <v>13068.3014338583</v>
      </c>
      <c r="P338" s="15" t="n">
        <f aca="false">N338*$E$2*(1+$I$319)/($F$319-$I$319)/(1+$F$319)^$N$3</f>
        <v>16682.3934847941</v>
      </c>
      <c r="Q338" s="15" t="n">
        <f aca="false">O338+P338</f>
        <v>29750.6949186524</v>
      </c>
      <c r="R338" s="15" t="n">
        <f aca="false">Q338-$G$2+$I$2</f>
        <v>30520.6949186524</v>
      </c>
      <c r="S338" s="42" t="n">
        <f aca="false">R338/$K$2</f>
        <v>292.25983834772</v>
      </c>
      <c r="T338" s="43" t="n">
        <f aca="false">S338-$M$2</f>
        <v>0.00665439674770596</v>
      </c>
    </row>
    <row r="339" customFormat="false" ht="15" hidden="false" customHeight="false" outlineLevel="0" collapsed="false">
      <c r="A339" s="5" t="n">
        <v>19</v>
      </c>
      <c r="B339" s="25" t="n">
        <f aca="false">IF(T338&gt;0,B338,D338)</f>
        <v>0.0042266845703125</v>
      </c>
      <c r="C339" s="25" t="n">
        <f aca="false">IF(T338&gt;0,D338,C338)</f>
        <v>0.00423240661621094</v>
      </c>
      <c r="D339" s="41" t="n">
        <f aca="false">(B339+C339)/2</f>
        <v>0.00422954559326172</v>
      </c>
      <c r="E339" s="15" t="n">
        <f aca="false">$C$2*(1+IF(E$3&lt;=$O$2,$D339,$D339-($D339-$I$319)*MIN(E$3-$O$2,$Q$2)/$Q$2))</f>
        <v>2751.58895492554</v>
      </c>
      <c r="F339" s="15" t="n">
        <f aca="false">E339*(1+IF(F$3&lt;=$O$2,$D339,$D339-($D339-$I$319)*MIN(F$3-$O$2,$Q$2)/$Q$2))</f>
        <v>2763.22692586431</v>
      </c>
      <c r="G339" s="15" t="n">
        <f aca="false">F339*(1+IF(G$3&lt;=$O$2,$D339,$D339-($D339-$I$319)*MIN(G$3-$O$2,$Q$2)/$Q$2))</f>
        <v>2774.91412013178</v>
      </c>
      <c r="H339" s="15" t="n">
        <f aca="false">G339*(1+IF(H$3&lt;=$O$2,$D339,$D339-($D339-$I$319)*MIN(H$3-$O$2,$Q$2)/$Q$2))</f>
        <v>2786.65074592027</v>
      </c>
      <c r="I339" s="15" t="n">
        <f aca="false">H339*(1+IF(I$3&lt;=$O$2,$D339,$D339-($D339-$I$319)*MIN(I$3-$O$2,$Q$2)/$Q$2))</f>
        <v>2798.43701230263</v>
      </c>
      <c r="J339" s="15" t="n">
        <f aca="false">I339*(1+IF(J$3&lt;=$O$2,$D339,$D339-($D339-$I$319)*MIN(J$3-$O$2,$Q$2)/$Q$2))</f>
        <v>2818.14818531438</v>
      </c>
      <c r="K339" s="15" t="n">
        <f aca="false">J339*(1+IF(K$3&lt;=$O$2,$D339,$D339-($D339-$I$319)*MIN(K$3-$O$2,$Q$2)/$Q$2))</f>
        <v>2845.9287217739</v>
      </c>
      <c r="L339" s="15" t="n">
        <f aca="false">K339*(1+IF(L$3&lt;=$O$2,$D339,$D339-($D339-$I$319)*MIN(L$3-$O$2,$Q$2)/$Q$2))</f>
        <v>2881.99181325254</v>
      </c>
      <c r="M339" s="15" t="n">
        <f aca="false">L339*(1+IF(M$3&lt;=$O$2,$D339,$D339-($D339-$I$319)*MIN(M$3-$O$2,$Q$2)/$Q$2))</f>
        <v>2926.62207655327</v>
      </c>
      <c r="N339" s="15" t="n">
        <f aca="false">M339*(1+IF(N$3&lt;=$O$2,$D339,$D339-($D339-$I$319)*MIN(N$3-$O$2,$Q$2)/$Q$2))</f>
        <v>2980.1792605542</v>
      </c>
      <c r="O339" s="15" t="n">
        <f aca="false">SUMPRODUCT(E339:N339,1/(1+$F$319)^$E$3:$N$3)*$E$2</f>
        <v>13068.1375086445</v>
      </c>
      <c r="P339" s="15" t="n">
        <f aca="false">N339*$E$2*(1+$I$319)/($F$319-$I$319)/(1+$F$319)^$N$3</f>
        <v>16682.0613237233</v>
      </c>
      <c r="Q339" s="15" t="n">
        <f aca="false">O339+P339</f>
        <v>29750.1988323678</v>
      </c>
      <c r="R339" s="15" t="n">
        <f aca="false">Q339-$G$2+$I$2</f>
        <v>30520.1988323678</v>
      </c>
      <c r="S339" s="42" t="n">
        <f aca="false">R339/$K$2</f>
        <v>292.255087928448</v>
      </c>
      <c r="T339" s="43" t="n">
        <f aca="false">S339-$M$2</f>
        <v>0.00190397747581983</v>
      </c>
    </row>
    <row r="340" customFormat="false" ht="15" hidden="false" customHeight="false" outlineLevel="0" collapsed="false">
      <c r="A340" s="5" t="n">
        <v>20</v>
      </c>
      <c r="B340" s="25" t="n">
        <f aca="false">IF(T339&gt;0,B339,D339)</f>
        <v>0.0042266845703125</v>
      </c>
      <c r="C340" s="25" t="n">
        <f aca="false">IF(T339&gt;0,D339,C339)</f>
        <v>0.00422954559326172</v>
      </c>
      <c r="D340" s="41" t="n">
        <f aca="false">(B340+C340)/2</f>
        <v>0.00422811508178711</v>
      </c>
      <c r="E340" s="15" t="n">
        <f aca="false">$C$2*(1+IF(E$3&lt;=$O$2,$D340,$D340-($D340-$I$319)*MIN(E$3-$O$2,$Q$2)/$Q$2))</f>
        <v>2751.5850353241</v>
      </c>
      <c r="F340" s="15" t="n">
        <f aca="false">E340*(1+IF(F$3&lt;=$O$2,$D340,$D340-($D340-$I$319)*MIN(F$3-$O$2,$Q$2)/$Q$2))</f>
        <v>2763.21905351077</v>
      </c>
      <c r="G340" s="15" t="n">
        <f aca="false">F340*(1+IF(G$3&lt;=$O$2,$D340,$D340-($D340-$I$319)*MIN(G$3-$O$2,$Q$2)/$Q$2))</f>
        <v>2774.9022616652</v>
      </c>
      <c r="H340" s="15" t="n">
        <f aca="false">G340*(1+IF(H$3&lt;=$O$2,$D340,$D340-($D340-$I$319)*MIN(H$3-$O$2,$Q$2)/$Q$2))</f>
        <v>2786.63486776823</v>
      </c>
      <c r="I340" s="15" t="n">
        <f aca="false">H340*(1+IF(I$3&lt;=$O$2,$D340,$D340-($D340-$I$319)*MIN(I$3-$O$2,$Q$2)/$Q$2))</f>
        <v>2798.41708068008</v>
      </c>
      <c r="J340" s="15" t="n">
        <f aca="false">I340*(1+IF(J$3&lt;=$O$2,$D340,$D340-($D340-$I$319)*MIN(J$3-$O$2,$Q$2)/$Q$2))</f>
        <v>2818.12491076653</v>
      </c>
      <c r="K340" s="15" t="n">
        <f aca="false">J340*(1+IF(K$3&lt;=$O$2,$D340,$D340-($D340-$I$319)*MIN(K$3-$O$2,$Q$2)/$Q$2))</f>
        <v>2845.90279897588</v>
      </c>
      <c r="L340" s="15" t="n">
        <f aca="false">K340*(1+IF(L$3&lt;=$O$2,$D340,$D340-($D340-$I$319)*MIN(L$3-$O$2,$Q$2)/$Q$2))</f>
        <v>2881.9639335269</v>
      </c>
      <c r="M340" s="15" t="n">
        <f aca="false">L340*(1+IF(M$3&lt;=$O$2,$D340,$D340-($D340-$I$319)*MIN(M$3-$O$2,$Q$2)/$Q$2))</f>
        <v>2926.59294054823</v>
      </c>
      <c r="N340" s="15" t="n">
        <f aca="false">M340*(1+IF(N$3&lt;=$O$2,$D340,$D340-($D340-$I$319)*MIN(N$3-$O$2,$Q$2)/$Q$2))</f>
        <v>2980.14959136027</v>
      </c>
      <c r="O340" s="15" t="n">
        <f aca="false">SUMPRODUCT(E340:N340,1/(1+$F$319)^$E$3:$N$3)*$E$2</f>
        <v>13068.0555468243</v>
      </c>
      <c r="P340" s="15" t="n">
        <f aca="false">N340*$E$2*(1+$I$319)/($F$319-$I$319)/(1+$F$319)^$N$3</f>
        <v>16681.8952453537</v>
      </c>
      <c r="Q340" s="15" t="n">
        <f aca="false">O340+P340</f>
        <v>29749.950792178</v>
      </c>
      <c r="R340" s="15" t="n">
        <f aca="false">Q340-$G$2+$I$2</f>
        <v>30519.950792178</v>
      </c>
      <c r="S340" s="42" t="n">
        <f aca="false">R340/$K$2</f>
        <v>292.252712747085</v>
      </c>
      <c r="T340" s="43" t="n">
        <f aca="false">S340-$M$2</f>
        <v>-0.000471203887514093</v>
      </c>
    </row>
    <row r="341" customFormat="false" ht="15" hidden="false" customHeight="false" outlineLevel="0" collapsed="false">
      <c r="A341" s="5" t="n">
        <v>21</v>
      </c>
      <c r="B341" s="25" t="n">
        <f aca="false">IF(T340&gt;0,B340,D340)</f>
        <v>0.00422811508178711</v>
      </c>
      <c r="C341" s="25" t="n">
        <f aca="false">IF(T340&gt;0,D340,C340)</f>
        <v>0.00422954559326172</v>
      </c>
      <c r="D341" s="41" t="n">
        <f aca="false">(B341+C341)/2</f>
        <v>0.00422883033752441</v>
      </c>
      <c r="E341" s="15" t="n">
        <f aca="false">$C$2*(1+IF(E$3&lt;=$O$2,$D341,$D341-($D341-$I$319)*MIN(E$3-$O$2,$Q$2)/$Q$2))</f>
        <v>2751.58699512482</v>
      </c>
      <c r="F341" s="15" t="n">
        <f aca="false">E341*(1+IF(F$3&lt;=$O$2,$D341,$D341-($D341-$I$319)*MIN(F$3-$O$2,$Q$2)/$Q$2))</f>
        <v>2763.22298968614</v>
      </c>
      <c r="G341" s="15" t="n">
        <f aca="false">F341*(1+IF(G$3&lt;=$O$2,$D341,$D341-($D341-$I$319)*MIN(G$3-$O$2,$Q$2)/$Q$2))</f>
        <v>2774.90819089427</v>
      </c>
      <c r="H341" s="15" t="n">
        <f aca="false">G341*(1+IF(H$3&lt;=$O$2,$D341,$D341-($D341-$I$319)*MIN(H$3-$O$2,$Q$2)/$Q$2))</f>
        <v>2786.64280683577</v>
      </c>
      <c r="I341" s="15" t="n">
        <f aca="false">H341*(1+IF(I$3&lt;=$O$2,$D341,$D341-($D341-$I$319)*MIN(I$3-$O$2,$Q$2)/$Q$2))</f>
        <v>2798.42704647716</v>
      </c>
      <c r="J341" s="15" t="n">
        <f aca="false">I341*(1+IF(J$3&lt;=$O$2,$D341,$D341-($D341-$I$319)*MIN(J$3-$O$2,$Q$2)/$Q$2))</f>
        <v>2818.13654802046</v>
      </c>
      <c r="K341" s="15" t="n">
        <f aca="false">J341*(1+IF(K$3&lt;=$O$2,$D341,$D341-($D341-$I$319)*MIN(K$3-$O$2,$Q$2)/$Q$2))</f>
        <v>2845.9157603497</v>
      </c>
      <c r="L341" s="15" t="n">
        <f aca="false">K341*(1+IF(L$3&lt;=$O$2,$D341,$D341-($D341-$I$319)*MIN(L$3-$O$2,$Q$2)/$Q$2))</f>
        <v>2881.9778733605</v>
      </c>
      <c r="M341" s="15" t="n">
        <f aca="false">L341*(1+IF(M$3&lt;=$O$2,$D341,$D341-($D341-$I$319)*MIN(M$3-$O$2,$Q$2)/$Q$2))</f>
        <v>2926.60750851909</v>
      </c>
      <c r="N341" s="15" t="n">
        <f aca="false">M341*(1+IF(N$3&lt;=$O$2,$D341,$D341-($D341-$I$319)*MIN(N$3-$O$2,$Q$2)/$Q$2))</f>
        <v>2980.16442592499</v>
      </c>
      <c r="O341" s="15" t="n">
        <f aca="false">SUMPRODUCT(E341:N341,1/(1+$F$319)^$E$3:$N$3)*$E$2</f>
        <v>13068.0965276689</v>
      </c>
      <c r="P341" s="15" t="n">
        <f aca="false">N341*$E$2*(1+$I$319)/($F$319-$I$319)/(1+$F$319)^$N$3</f>
        <v>16681.978284358</v>
      </c>
      <c r="Q341" s="15" t="n">
        <f aca="false">O341+P341</f>
        <v>29750.0748120269</v>
      </c>
      <c r="R341" s="15" t="n">
        <f aca="false">Q341-$G$2+$I$2</f>
        <v>30520.0748120269</v>
      </c>
      <c r="S341" s="42" t="n">
        <f aca="false">R341/$K$2</f>
        <v>292.25390033541</v>
      </c>
      <c r="T341" s="43" t="n">
        <f aca="false">S341-$M$2</f>
        <v>0.000716384438021578</v>
      </c>
    </row>
    <row r="342" customFormat="false" ht="15" hidden="false" customHeight="false" outlineLevel="0" collapsed="false">
      <c r="A342" s="5" t="n">
        <v>22</v>
      </c>
      <c r="B342" s="25" t="n">
        <f aca="false">IF(T341&gt;0,B341,D341)</f>
        <v>0.00422811508178711</v>
      </c>
      <c r="C342" s="25" t="n">
        <f aca="false">IF(T341&gt;0,D341,C341)</f>
        <v>0.00422883033752441</v>
      </c>
      <c r="D342" s="41" t="n">
        <f aca="false">(B342+C342)/2</f>
        <v>0.00422847270965576</v>
      </c>
      <c r="E342" s="15" t="n">
        <f aca="false">$C$2*(1+IF(E$3&lt;=$O$2,$D342,$D342-($D342-$I$319)*MIN(E$3-$O$2,$Q$2)/$Q$2))</f>
        <v>2751.58601522446</v>
      </c>
      <c r="F342" s="15" t="n">
        <f aca="false">E342*(1+IF(F$3&lt;=$O$2,$D342,$D342-($D342-$I$319)*MIN(F$3-$O$2,$Q$2)/$Q$2))</f>
        <v>2763.2210215981</v>
      </c>
      <c r="G342" s="15" t="n">
        <f aca="false">F342*(1+IF(G$3&lt;=$O$2,$D342,$D342-($D342-$I$319)*MIN(G$3-$O$2,$Q$2)/$Q$2))</f>
        <v>2774.90522627868</v>
      </c>
      <c r="H342" s="15" t="n">
        <f aca="false">G342*(1+IF(H$3&lt;=$O$2,$D342,$D342-($D342-$I$319)*MIN(H$3-$O$2,$Q$2)/$Q$2))</f>
        <v>2786.63883729988</v>
      </c>
      <c r="I342" s="15" t="n">
        <f aca="false">H342*(1+IF(I$3&lt;=$O$2,$D342,$D342-($D342-$I$319)*MIN(I$3-$O$2,$Q$2)/$Q$2))</f>
        <v>2798.42206357507</v>
      </c>
      <c r="J342" s="15" t="n">
        <f aca="false">I342*(1+IF(J$3&lt;=$O$2,$D342,$D342-($D342-$I$319)*MIN(J$3-$O$2,$Q$2)/$Q$2))</f>
        <v>2818.13072938849</v>
      </c>
      <c r="K342" s="15" t="n">
        <f aca="false">J342*(1+IF(K$3&lt;=$O$2,$D342,$D342-($D342-$I$319)*MIN(K$3-$O$2,$Q$2)/$Q$2))</f>
        <v>2845.90927965649</v>
      </c>
      <c r="L342" s="15" t="n">
        <f aca="false">K342*(1+IF(L$3&lt;=$O$2,$D342,$D342-($D342-$I$319)*MIN(L$3-$O$2,$Q$2)/$Q$2))</f>
        <v>2881.9709034364</v>
      </c>
      <c r="M342" s="15" t="n">
        <f aca="false">L342*(1+IF(M$3&lt;=$O$2,$D342,$D342-($D342-$I$319)*MIN(M$3-$O$2,$Q$2)/$Q$2))</f>
        <v>2926.60022452575</v>
      </c>
      <c r="N342" s="15" t="n">
        <f aca="false">M342*(1+IF(N$3&lt;=$O$2,$D342,$D342-($D342-$I$319)*MIN(N$3-$O$2,$Q$2)/$Q$2))</f>
        <v>2980.15700863457</v>
      </c>
      <c r="O342" s="15" t="n">
        <f aca="false">SUMPRODUCT(E342:N342,1/(1+$F$319)^$E$3:$N$3)*$E$2</f>
        <v>13068.0760372302</v>
      </c>
      <c r="P342" s="15" t="n">
        <f aca="false">N342*$E$2*(1+$I$319)/($F$319-$I$319)/(1+$F$319)^$N$3</f>
        <v>16681.9367648108</v>
      </c>
      <c r="Q342" s="15" t="n">
        <f aca="false">O342+P342</f>
        <v>29750.0128020409</v>
      </c>
      <c r="R342" s="15" t="n">
        <f aca="false">Q342-$G$2+$I$2</f>
        <v>30520.0128020409</v>
      </c>
      <c r="S342" s="42" t="n">
        <f aca="false">R342/$K$2</f>
        <v>292.253306540658</v>
      </c>
      <c r="T342" s="43" t="n">
        <f aca="false">S342-$M$2</f>
        <v>0.000122589686270658</v>
      </c>
    </row>
    <row r="343" customFormat="false" ht="15" hidden="false" customHeight="false" outlineLevel="0" collapsed="false">
      <c r="A343" s="5" t="n">
        <v>23</v>
      </c>
      <c r="B343" s="25" t="n">
        <f aca="false">IF(T342&gt;0,B342,D342)</f>
        <v>0.00422811508178711</v>
      </c>
      <c r="C343" s="25" t="n">
        <f aca="false">IF(T342&gt;0,D342,C342)</f>
        <v>0.00422847270965576</v>
      </c>
      <c r="D343" s="41" t="n">
        <f aca="false">(B343+C343)/2</f>
        <v>0.00422829389572144</v>
      </c>
      <c r="E343" s="15" t="n">
        <f aca="false">$C$2*(1+IF(E$3&lt;=$O$2,$D343,$D343-($D343-$I$319)*MIN(E$3-$O$2,$Q$2)/$Q$2))</f>
        <v>2751.58552527428</v>
      </c>
      <c r="F343" s="15" t="n">
        <f aca="false">E343*(1+IF(F$3&lt;=$O$2,$D343,$D343-($D343-$I$319)*MIN(F$3-$O$2,$Q$2)/$Q$2))</f>
        <v>2763.22003755435</v>
      </c>
      <c r="G343" s="15" t="n">
        <f aca="false">F343*(1+IF(G$3&lt;=$O$2,$D343,$D343-($D343-$I$319)*MIN(G$3-$O$2,$Q$2)/$Q$2))</f>
        <v>2774.90374397168</v>
      </c>
      <c r="H343" s="15" t="n">
        <f aca="false">G343*(1+IF(H$3&lt;=$O$2,$D343,$D343-($D343-$I$319)*MIN(H$3-$O$2,$Q$2)/$Q$2))</f>
        <v>2786.63685253353</v>
      </c>
      <c r="I343" s="15" t="n">
        <f aca="false">H343*(1+IF(I$3&lt;=$O$2,$D343,$D343-($D343-$I$319)*MIN(I$3-$O$2,$Q$2)/$Q$2))</f>
        <v>2798.41957212669</v>
      </c>
      <c r="J343" s="15" t="n">
        <f aca="false">I343*(1+IF(J$3&lt;=$O$2,$D343,$D343-($D343-$I$319)*MIN(J$3-$O$2,$Q$2)/$Q$2))</f>
        <v>2818.12782007626</v>
      </c>
      <c r="K343" s="15" t="n">
        <f aca="false">J343*(1+IF(K$3&lt;=$O$2,$D343,$D343-($D343-$I$319)*MIN(K$3-$O$2,$Q$2)/$Q$2))</f>
        <v>2845.90603931461</v>
      </c>
      <c r="L343" s="15" t="n">
        <f aca="false">K343*(1+IF(L$3&lt;=$O$2,$D343,$D343-($D343-$I$319)*MIN(L$3-$O$2,$Q$2)/$Q$2))</f>
        <v>2881.96741847982</v>
      </c>
      <c r="M343" s="15" t="n">
        <f aca="false">L343*(1+IF(M$3&lt;=$O$2,$D343,$D343-($D343-$I$319)*MIN(M$3-$O$2,$Q$2)/$Q$2))</f>
        <v>2926.59658253501</v>
      </c>
      <c r="N343" s="15" t="n">
        <f aca="false">M343*(1+IF(N$3&lt;=$O$2,$D343,$D343-($D343-$I$319)*MIN(N$3-$O$2,$Q$2)/$Q$2))</f>
        <v>2980.1532999954</v>
      </c>
      <c r="O343" s="15" t="n">
        <f aca="false">SUMPRODUCT(E343:N343,1/(1+$F$319)^$E$3:$N$3)*$E$2</f>
        <v>13068.0657920231</v>
      </c>
      <c r="P343" s="15" t="n">
        <f aca="false">N343*$E$2*(1+$I$319)/($F$319-$I$319)/(1+$F$319)^$N$3</f>
        <v>16681.916005071</v>
      </c>
      <c r="Q343" s="15" t="n">
        <f aca="false">O343+P343</f>
        <v>29749.9817970941</v>
      </c>
      <c r="R343" s="15" t="n">
        <f aca="false">Q343-$G$2+$I$2</f>
        <v>30519.9817970941</v>
      </c>
      <c r="S343" s="42" t="n">
        <f aca="false">R343/$K$2</f>
        <v>292.253009643724</v>
      </c>
      <c r="T343" s="43" t="n">
        <f aca="false">S343-$M$2</f>
        <v>-0.000174307247846173</v>
      </c>
    </row>
    <row r="344" customFormat="false" ht="15" hidden="false" customHeight="false" outlineLevel="0" collapsed="false">
      <c r="A344" s="5" t="n">
        <v>24</v>
      </c>
      <c r="B344" s="25" t="n">
        <f aca="false">IF(T343&gt;0,B343,D343)</f>
        <v>0.00422829389572144</v>
      </c>
      <c r="C344" s="25" t="n">
        <f aca="false">IF(T343&gt;0,D343,C343)</f>
        <v>0.00422847270965576</v>
      </c>
      <c r="D344" s="41" t="n">
        <f aca="false">(B344+C344)/2</f>
        <v>0.0042283833026886</v>
      </c>
      <c r="E344" s="15" t="n">
        <f aca="false">$C$2*(1+IF(E$3&lt;=$O$2,$D344,$D344-($D344-$I$319)*MIN(E$3-$O$2,$Q$2)/$Q$2))</f>
        <v>2751.58577024937</v>
      </c>
      <c r="F344" s="15" t="n">
        <f aca="false">E344*(1+IF(F$3&lt;=$O$2,$D344,$D344-($D344-$I$319)*MIN(F$3-$O$2,$Q$2)/$Q$2))</f>
        <v>2763.2205295762</v>
      </c>
      <c r="G344" s="15" t="n">
        <f aca="false">F344*(1+IF(G$3&lt;=$O$2,$D344,$D344-($D344-$I$319)*MIN(G$3-$O$2,$Q$2)/$Q$2))</f>
        <v>2774.90448512511</v>
      </c>
      <c r="H344" s="15" t="n">
        <f aca="false">G344*(1+IF(H$3&lt;=$O$2,$D344,$D344-($D344-$I$319)*MIN(H$3-$O$2,$Q$2)/$Q$2))</f>
        <v>2786.63784491657</v>
      </c>
      <c r="I344" s="15" t="n">
        <f aca="false">H344*(1+IF(I$3&lt;=$O$2,$D344,$D344-($D344-$I$319)*MIN(I$3-$O$2,$Q$2)/$Q$2))</f>
        <v>2798.42081785065</v>
      </c>
      <c r="J344" s="15" t="n">
        <f aca="false">I344*(1+IF(J$3&lt;=$O$2,$D344,$D344-($D344-$I$319)*MIN(J$3-$O$2,$Q$2)/$Q$2))</f>
        <v>2818.12927473206</v>
      </c>
      <c r="K344" s="15" t="n">
        <f aca="false">J344*(1+IF(K$3&lt;=$O$2,$D344,$D344-($D344-$I$319)*MIN(K$3-$O$2,$Q$2)/$Q$2))</f>
        <v>2845.90765948516</v>
      </c>
      <c r="L344" s="15" t="n">
        <f aca="false">K344*(1+IF(L$3&lt;=$O$2,$D344,$D344-($D344-$I$319)*MIN(L$3-$O$2,$Q$2)/$Q$2))</f>
        <v>2881.96916095765</v>
      </c>
      <c r="M344" s="15" t="n">
        <f aca="false">L344*(1+IF(M$3&lt;=$O$2,$D344,$D344-($D344-$I$319)*MIN(M$3-$O$2,$Q$2)/$Q$2))</f>
        <v>2926.59840352988</v>
      </c>
      <c r="N344" s="15" t="n">
        <f aca="false">M344*(1+IF(N$3&lt;=$O$2,$D344,$D344-($D344-$I$319)*MIN(N$3-$O$2,$Q$2)/$Q$2))</f>
        <v>2980.15515431448</v>
      </c>
      <c r="O344" s="15" t="n">
        <f aca="false">SUMPRODUCT(E344:N344,1/(1+$F$319)^$E$3:$N$3)*$E$2</f>
        <v>13068.0709146256</v>
      </c>
      <c r="P344" s="15" t="n">
        <f aca="false">N344*$E$2*(1+$I$319)/($F$319-$I$319)/(1+$F$319)^$N$3</f>
        <v>16681.926384938</v>
      </c>
      <c r="Q344" s="15" t="n">
        <f aca="false">O344+P344</f>
        <v>29749.9972995637</v>
      </c>
      <c r="R344" s="15" t="n">
        <f aca="false">Q344-$G$2+$I$2</f>
        <v>30519.9972995637</v>
      </c>
      <c r="S344" s="42" t="n">
        <f aca="false">R344/$K$2</f>
        <v>292.253158092154</v>
      </c>
      <c r="T344" s="43" t="n">
        <f aca="false">S344-$M$2</f>
        <v>-2.58588175938712E-005</v>
      </c>
    </row>
    <row r="346" customFormat="false" ht="15" hidden="false" customHeight="false" outlineLevel="0" collapsed="false">
      <c r="A346" s="38" t="s">
        <v>190</v>
      </c>
      <c r="E346" s="5" t="s">
        <v>11</v>
      </c>
      <c r="F346" s="12" t="n">
        <f aca="false">Sensitivity!$B$12</f>
        <v>0.0772772551778937</v>
      </c>
      <c r="G346" s="5" t="s">
        <v>12</v>
      </c>
      <c r="I346" s="12" t="n">
        <f aca="false">Sensitivity!$D$9</f>
        <v>0.0233</v>
      </c>
    </row>
    <row r="347" customFormat="false" ht="23.85" hidden="false" customHeight="false" outlineLevel="0" collapsed="false">
      <c r="A347" s="38" t="s">
        <v>159</v>
      </c>
      <c r="B347" s="28" t="s">
        <v>160</v>
      </c>
      <c r="C347" s="28" t="s">
        <v>161</v>
      </c>
      <c r="D347" s="28" t="s">
        <v>162</v>
      </c>
      <c r="E347" s="28" t="s">
        <v>163</v>
      </c>
      <c r="F347" s="28" t="s">
        <v>164</v>
      </c>
      <c r="G347" s="28" t="s">
        <v>165</v>
      </c>
      <c r="H347" s="28" t="s">
        <v>166</v>
      </c>
      <c r="I347" s="28" t="s">
        <v>167</v>
      </c>
      <c r="J347" s="28" t="s">
        <v>168</v>
      </c>
      <c r="K347" s="28" t="s">
        <v>169</v>
      </c>
      <c r="L347" s="28" t="s">
        <v>170</v>
      </c>
      <c r="M347" s="28" t="s">
        <v>171</v>
      </c>
      <c r="N347" s="28" t="s">
        <v>172</v>
      </c>
      <c r="O347" s="28" t="s">
        <v>173</v>
      </c>
      <c r="P347" s="28" t="s">
        <v>174</v>
      </c>
      <c r="Q347" s="28" t="s">
        <v>175</v>
      </c>
      <c r="R347" s="28" t="s">
        <v>176</v>
      </c>
      <c r="S347" s="28" t="s">
        <v>177</v>
      </c>
      <c r="T347" s="28" t="s">
        <v>178</v>
      </c>
    </row>
    <row r="348" customFormat="false" ht="15" hidden="false" customHeight="false" outlineLevel="0" collapsed="false">
      <c r="A348" s="5" t="n">
        <v>1</v>
      </c>
      <c r="B348" s="24" t="n">
        <v>-0.5</v>
      </c>
      <c r="C348" s="24" t="n">
        <v>1</v>
      </c>
      <c r="D348" s="41" t="n">
        <f aca="false">(B348+C348)/2</f>
        <v>0.25</v>
      </c>
      <c r="E348" s="15" t="n">
        <f aca="false">$C$2*(1+IF(E$3&lt;=$O$2,$D348,$D348-($D348-$I$346)*MIN(E$3-$O$2,$Q$2)/$Q$2))</f>
        <v>3425</v>
      </c>
      <c r="F348" s="15" t="n">
        <f aca="false">E348*(1+IF(F$3&lt;=$O$2,$D348,$D348-($D348-$I$346)*MIN(F$3-$O$2,$Q$2)/$Q$2))</f>
        <v>4281.25</v>
      </c>
      <c r="G348" s="15" t="n">
        <f aca="false">F348*(1+IF(G$3&lt;=$O$2,$D348,$D348-($D348-$I$346)*MIN(G$3-$O$2,$Q$2)/$Q$2))</f>
        <v>5351.5625</v>
      </c>
      <c r="H348" s="15" t="n">
        <f aca="false">G348*(1+IF(H$3&lt;=$O$2,$D348,$D348-($D348-$I$346)*MIN(H$3-$O$2,$Q$2)/$Q$2))</f>
        <v>6689.453125</v>
      </c>
      <c r="I348" s="15" t="n">
        <f aca="false">H348*(1+IF(I$3&lt;=$O$2,$D348,$D348-($D348-$I$346)*MIN(I$3-$O$2,$Q$2)/$Q$2))</f>
        <v>8361.81640625</v>
      </c>
      <c r="J348" s="15" t="n">
        <f aca="false">I348*(1+IF(J$3&lt;=$O$2,$D348,$D348-($D348-$I$346)*MIN(J$3-$O$2,$Q$2)/$Q$2))</f>
        <v>10073.1457519531</v>
      </c>
      <c r="K348" s="15" t="n">
        <f aca="false">J348*(1+IF(K$3&lt;=$O$2,$D348,$D348-($D348-$I$346)*MIN(K$3-$O$2,$Q$2)/$Q$2))</f>
        <v>11677.9993331543</v>
      </c>
      <c r="L348" s="15" t="n">
        <f aca="false">K348*(1+IF(L$3&lt;=$O$2,$D348,$D348-($D348-$I$346)*MIN(L$3-$O$2,$Q$2)/$Q$2))</f>
        <v>13009.0576971472</v>
      </c>
      <c r="M348" s="15" t="n">
        <f aca="false">L348*(1+IF(M$3&lt;=$O$2,$D348,$D348-($D348-$I$346)*MIN(M$3-$O$2,$Q$2)/$Q$2))</f>
        <v>13901.9994174794</v>
      </c>
      <c r="N348" s="15" t="n">
        <f aca="false">M348*(1+IF(N$3&lt;=$O$2,$D348,$D348-($D348-$I$346)*MIN(N$3-$O$2,$Q$2)/$Q$2))</f>
        <v>14225.9160039067</v>
      </c>
      <c r="O348" s="15" t="n">
        <f aca="false">SUMPRODUCT(E348:N348,1/(1+$F$346)^$E$3:$N$3)*$E$2</f>
        <v>38425.7045443082</v>
      </c>
      <c r="P348" s="15" t="n">
        <f aca="false">N348*$E$2*(1+$I$346)/($F$346-$I$346)/(1+$F$346)^$N$3</f>
        <v>87435.6526110578</v>
      </c>
      <c r="Q348" s="15" t="n">
        <f aca="false">O348+P348</f>
        <v>125861.357155366</v>
      </c>
      <c r="R348" s="15" t="n">
        <f aca="false">Q348-$G$2+$I$2</f>
        <v>126631.357155366</v>
      </c>
      <c r="S348" s="42" t="n">
        <f aca="false">R348/$K$2</f>
        <v>1212.59558704746</v>
      </c>
      <c r="T348" s="43" t="n">
        <f aca="false">S348-$M$2</f>
        <v>920.342403096486</v>
      </c>
    </row>
    <row r="349" customFormat="false" ht="15" hidden="false" customHeight="false" outlineLevel="0" collapsed="false">
      <c r="A349" s="5" t="n">
        <v>2</v>
      </c>
      <c r="B349" s="25" t="n">
        <f aca="false">IF(T348&gt;0,B348,D348)</f>
        <v>-0.5</v>
      </c>
      <c r="C349" s="25" t="n">
        <f aca="false">IF(T348&gt;0,D348,C348)</f>
        <v>0.25</v>
      </c>
      <c r="D349" s="41" t="n">
        <f aca="false">(B349+C349)/2</f>
        <v>-0.125</v>
      </c>
      <c r="E349" s="15" t="n">
        <f aca="false">$C$2*(1+IF(E$3&lt;=$O$2,$D349,$D349-($D349-$I$346)*MIN(E$3-$O$2,$Q$2)/$Q$2))</f>
        <v>2397.5</v>
      </c>
      <c r="F349" s="15" t="n">
        <f aca="false">E349*(1+IF(F$3&lt;=$O$2,$D349,$D349-($D349-$I$346)*MIN(F$3-$O$2,$Q$2)/$Q$2))</f>
        <v>2097.8125</v>
      </c>
      <c r="G349" s="15" t="n">
        <f aca="false">F349*(1+IF(G$3&lt;=$O$2,$D349,$D349-($D349-$I$346)*MIN(G$3-$O$2,$Q$2)/$Q$2))</f>
        <v>1835.5859375</v>
      </c>
      <c r="H349" s="15" t="n">
        <f aca="false">G349*(1+IF(H$3&lt;=$O$2,$D349,$D349-($D349-$I$346)*MIN(H$3-$O$2,$Q$2)/$Q$2))</f>
        <v>1606.1376953125</v>
      </c>
      <c r="I349" s="15" t="n">
        <f aca="false">H349*(1+IF(I$3&lt;=$O$2,$D349,$D349-($D349-$I$346)*MIN(I$3-$O$2,$Q$2)/$Q$2))</f>
        <v>1405.37048339844</v>
      </c>
      <c r="J349" s="15" t="n">
        <f aca="false">I349*(1+IF(J$3&lt;=$O$2,$D349,$D349-($D349-$I$346)*MIN(J$3-$O$2,$Q$2)/$Q$2))</f>
        <v>1271.38246151123</v>
      </c>
      <c r="K349" s="15" t="n">
        <f aca="false">J349*(1+IF(K$3&lt;=$O$2,$D349,$D349-($D349-$I$346)*MIN(K$3-$O$2,$Q$2)/$Q$2))</f>
        <v>1187.87806143917</v>
      </c>
      <c r="L349" s="15" t="n">
        <f aca="false">K349*(1+IF(L$3&lt;=$O$2,$D349,$D349-($D349-$I$346)*MIN(L$3-$O$2,$Q$2)/$Q$2))</f>
        <v>1145.09069366613</v>
      </c>
      <c r="M349" s="15" t="n">
        <f aca="false">L349*(1+IF(M$3&lt;=$O$2,$D349,$D349-($D349-$I$346)*MIN(M$3-$O$2,$Q$2)/$Q$2))</f>
        <v>1137.80791685442</v>
      </c>
      <c r="N349" s="15" t="n">
        <f aca="false">M349*(1+IF(N$3&lt;=$O$2,$D349,$D349-($D349-$I$346)*MIN(N$3-$O$2,$Q$2)/$Q$2))</f>
        <v>1164.31884131713</v>
      </c>
      <c r="O349" s="15" t="n">
        <f aca="false">SUMPRODUCT(E349:N349,1/(1+$F$346)^$E$3:$N$3)*$E$2</f>
        <v>7471.85094104732</v>
      </c>
      <c r="P349" s="15" t="n">
        <f aca="false">N349*$E$2*(1+$I$346)/($F$346-$I$346)/(1+$F$346)^$N$3</f>
        <v>7156.16328044934</v>
      </c>
      <c r="Q349" s="15" t="n">
        <f aca="false">O349+P349</f>
        <v>14628.0142214967</v>
      </c>
      <c r="R349" s="15" t="n">
        <f aca="false">Q349-$G$2+$I$2</f>
        <v>15398.0142214967</v>
      </c>
      <c r="S349" s="42" t="n">
        <f aca="false">R349/$K$2</f>
        <v>147.448187508347</v>
      </c>
      <c r="T349" s="43" t="n">
        <f aca="false">S349-$M$2</f>
        <v>-144.804996442625</v>
      </c>
    </row>
    <row r="350" customFormat="false" ht="15" hidden="false" customHeight="false" outlineLevel="0" collapsed="false">
      <c r="A350" s="5" t="n">
        <v>3</v>
      </c>
      <c r="B350" s="25" t="n">
        <f aca="false">IF(T349&gt;0,B349,D349)</f>
        <v>-0.125</v>
      </c>
      <c r="C350" s="25" t="n">
        <f aca="false">IF(T349&gt;0,D349,C349)</f>
        <v>0.25</v>
      </c>
      <c r="D350" s="41" t="n">
        <f aca="false">(B350+C350)/2</f>
        <v>0.0625</v>
      </c>
      <c r="E350" s="15" t="n">
        <f aca="false">$C$2*(1+IF(E$3&lt;=$O$2,$D350,$D350-($D350-$I$346)*MIN(E$3-$O$2,$Q$2)/$Q$2))</f>
        <v>2911.25</v>
      </c>
      <c r="F350" s="15" t="n">
        <f aca="false">E350*(1+IF(F$3&lt;=$O$2,$D350,$D350-($D350-$I$346)*MIN(F$3-$O$2,$Q$2)/$Q$2))</f>
        <v>3093.203125</v>
      </c>
      <c r="G350" s="15" t="n">
        <f aca="false">F350*(1+IF(G$3&lt;=$O$2,$D350,$D350-($D350-$I$346)*MIN(G$3-$O$2,$Q$2)/$Q$2))</f>
        <v>3286.5283203125</v>
      </c>
      <c r="H350" s="15" t="n">
        <f aca="false">G350*(1+IF(H$3&lt;=$O$2,$D350,$D350-($D350-$I$346)*MIN(H$3-$O$2,$Q$2)/$Q$2))</f>
        <v>3491.93634033203</v>
      </c>
      <c r="I350" s="15" t="n">
        <f aca="false">H350*(1+IF(I$3&lt;=$O$2,$D350,$D350-($D350-$I$346)*MIN(I$3-$O$2,$Q$2)/$Q$2))</f>
        <v>3710.18236160278</v>
      </c>
      <c r="J350" s="15" t="n">
        <f aca="false">I350*(1+IF(J$3&lt;=$O$2,$D350,$D350-($D350-$I$346)*MIN(J$3-$O$2,$Q$2)/$Q$2))</f>
        <v>3912.98092948799</v>
      </c>
      <c r="K350" s="15" t="n">
        <f aca="false">J350*(1+IF(K$3&lt;=$O$2,$D350,$D350-($D350-$I$346)*MIN(K$3-$O$2,$Q$2)/$Q$2))</f>
        <v>4096.18669660662</v>
      </c>
      <c r="L350" s="15" t="n">
        <f aca="false">K350*(1+IF(L$3&lt;=$O$2,$D350,$D350-($D350-$I$346)*MIN(L$3-$O$2,$Q$2)/$Q$2))</f>
        <v>4255.85605404035</v>
      </c>
      <c r="M350" s="15" t="n">
        <f aca="false">L350*(1+IF(M$3&lt;=$O$2,$D350,$D350-($D350-$I$346)*MIN(M$3-$O$2,$Q$2)/$Q$2))</f>
        <v>4388.38341156316</v>
      </c>
      <c r="N350" s="15" t="n">
        <f aca="false">M350*(1+IF(N$3&lt;=$O$2,$D350,$D350-($D350-$I$346)*MIN(N$3-$O$2,$Q$2)/$Q$2))</f>
        <v>4490.63274505258</v>
      </c>
      <c r="O350" s="15" t="n">
        <f aca="false">SUMPRODUCT(E350:N350,1/(1+$F$346)^$E$3:$N$3)*$E$2</f>
        <v>16930.8277846387</v>
      </c>
      <c r="P350" s="15" t="n">
        <f aca="false">N350*$E$2*(1+$I$346)/($F$346-$I$346)/(1+$F$346)^$N$3</f>
        <v>27600.4304111196</v>
      </c>
      <c r="Q350" s="15" t="n">
        <f aca="false">O350+P350</f>
        <v>44531.2581957583</v>
      </c>
      <c r="R350" s="15" t="n">
        <f aca="false">Q350-$G$2+$I$2</f>
        <v>45301.2581957583</v>
      </c>
      <c r="S350" s="42" t="n">
        <f aca="false">R350/$K$2</f>
        <v>433.79544379736</v>
      </c>
      <c r="T350" s="43" t="n">
        <f aca="false">S350-$M$2</f>
        <v>141.542259846388</v>
      </c>
    </row>
    <row r="351" customFormat="false" ht="15" hidden="false" customHeight="false" outlineLevel="0" collapsed="false">
      <c r="A351" s="5" t="n">
        <v>4</v>
      </c>
      <c r="B351" s="25" t="n">
        <f aca="false">IF(T350&gt;0,B350,D350)</f>
        <v>-0.125</v>
      </c>
      <c r="C351" s="25" t="n">
        <f aca="false">IF(T350&gt;0,D350,C350)</f>
        <v>0.0625</v>
      </c>
      <c r="D351" s="41" t="n">
        <f aca="false">(B351+C351)/2</f>
        <v>-0.03125</v>
      </c>
      <c r="E351" s="15" t="n">
        <f aca="false">$C$2*(1+IF(E$3&lt;=$O$2,$D351,$D351-($D351-$I$346)*MIN(E$3-$O$2,$Q$2)/$Q$2))</f>
        <v>2654.375</v>
      </c>
      <c r="F351" s="15" t="n">
        <f aca="false">E351*(1+IF(F$3&lt;=$O$2,$D351,$D351-($D351-$I$346)*MIN(F$3-$O$2,$Q$2)/$Q$2))</f>
        <v>2571.42578125</v>
      </c>
      <c r="G351" s="15" t="n">
        <f aca="false">F351*(1+IF(G$3&lt;=$O$2,$D351,$D351-($D351-$I$346)*MIN(G$3-$O$2,$Q$2)/$Q$2))</f>
        <v>2491.06872558594</v>
      </c>
      <c r="H351" s="15" t="n">
        <f aca="false">G351*(1+IF(H$3&lt;=$O$2,$D351,$D351-($D351-$I$346)*MIN(H$3-$O$2,$Q$2)/$Q$2))</f>
        <v>2413.22282791138</v>
      </c>
      <c r="I351" s="15" t="n">
        <f aca="false">H351*(1+IF(I$3&lt;=$O$2,$D351,$D351-($D351-$I$346)*MIN(I$3-$O$2,$Q$2)/$Q$2))</f>
        <v>2337.80961453915</v>
      </c>
      <c r="J351" s="15" t="n">
        <f aca="false">I351*(1+IF(J$3&lt;=$O$2,$D351,$D351-($D351-$I$346)*MIN(J$3-$O$2,$Q$2)/$Q$2))</f>
        <v>2290.25856697942</v>
      </c>
      <c r="K351" s="15" t="n">
        <f aca="false">J351*(1+IF(K$3&lt;=$O$2,$D351,$D351-($D351-$I$346)*MIN(K$3-$O$2,$Q$2)/$Q$2))</f>
        <v>2268.6614286928</v>
      </c>
      <c r="L351" s="15" t="n">
        <f aca="false">K351*(1+IF(L$3&lt;=$O$2,$D351,$D351-($D351-$I$346)*MIN(L$3-$O$2,$Q$2)/$Q$2))</f>
        <v>2272.01904760727</v>
      </c>
      <c r="M351" s="15" t="n">
        <f aca="false">L351*(1+IF(M$3&lt;=$O$2,$D351,$D351-($D351-$I$346)*MIN(M$3-$O$2,$Q$2)/$Q$2))</f>
        <v>2300.16936360712</v>
      </c>
      <c r="N351" s="15" t="n">
        <f aca="false">M351*(1+IF(N$3&lt;=$O$2,$D351,$D351-($D351-$I$346)*MIN(N$3-$O$2,$Q$2)/$Q$2))</f>
        <v>2353.76330977917</v>
      </c>
      <c r="O351" s="15" t="n">
        <f aca="false">SUMPRODUCT(E351:N351,1/(1+$F$346)^$E$3:$N$3)*$E$2</f>
        <v>11217.0502509732</v>
      </c>
      <c r="P351" s="15" t="n">
        <f aca="false">N351*$E$2*(1+$I$346)/($F$346-$I$346)/(1+$F$346)^$N$3</f>
        <v>14466.7542691795</v>
      </c>
      <c r="Q351" s="15" t="n">
        <f aca="false">O351+P351</f>
        <v>25683.8045201527</v>
      </c>
      <c r="R351" s="15" t="n">
        <f aca="false">Q351-$G$2+$I$2</f>
        <v>26453.8045201527</v>
      </c>
      <c r="S351" s="42" t="n">
        <f aca="false">R351/$K$2</f>
        <v>253.316140191063</v>
      </c>
      <c r="T351" s="43" t="n">
        <f aca="false">S351-$M$2</f>
        <v>-38.9370437599094</v>
      </c>
    </row>
    <row r="352" customFormat="false" ht="15" hidden="false" customHeight="false" outlineLevel="0" collapsed="false">
      <c r="A352" s="5" t="n">
        <v>5</v>
      </c>
      <c r="B352" s="25" t="n">
        <f aca="false">IF(T351&gt;0,B351,D351)</f>
        <v>-0.03125</v>
      </c>
      <c r="C352" s="25" t="n">
        <f aca="false">IF(T351&gt;0,D351,C351)</f>
        <v>0.0625</v>
      </c>
      <c r="D352" s="41" t="n">
        <f aca="false">(B352+C352)/2</f>
        <v>0.015625</v>
      </c>
      <c r="E352" s="15" t="n">
        <f aca="false">$C$2*(1+IF(E$3&lt;=$O$2,$D352,$D352-($D352-$I$346)*MIN(E$3-$O$2,$Q$2)/$Q$2))</f>
        <v>2782.8125</v>
      </c>
      <c r="F352" s="15" t="n">
        <f aca="false">E352*(1+IF(F$3&lt;=$O$2,$D352,$D352-($D352-$I$346)*MIN(F$3-$O$2,$Q$2)/$Q$2))</f>
        <v>2826.2939453125</v>
      </c>
      <c r="G352" s="15" t="n">
        <f aca="false">F352*(1+IF(G$3&lt;=$O$2,$D352,$D352-($D352-$I$346)*MIN(G$3-$O$2,$Q$2)/$Q$2))</f>
        <v>2870.45478820801</v>
      </c>
      <c r="H352" s="15" t="n">
        <f aca="false">G352*(1+IF(H$3&lt;=$O$2,$D352,$D352-($D352-$I$346)*MIN(H$3-$O$2,$Q$2)/$Q$2))</f>
        <v>2915.30564427376</v>
      </c>
      <c r="I352" s="15" t="n">
        <f aca="false">H352*(1+IF(I$3&lt;=$O$2,$D352,$D352-($D352-$I$346)*MIN(I$3-$O$2,$Q$2)/$Q$2))</f>
        <v>2960.85729496554</v>
      </c>
      <c r="J352" s="15" t="n">
        <f aca="false">I352*(1+IF(J$3&lt;=$O$2,$D352,$D352-($D352-$I$346)*MIN(J$3-$O$2,$Q$2)/$Q$2))</f>
        <v>3011.66560614714</v>
      </c>
      <c r="K352" s="15" t="n">
        <f aca="false">J352*(1+IF(K$3&lt;=$O$2,$D352,$D352-($D352-$I$346)*MIN(K$3-$O$2,$Q$2)/$Q$2))</f>
        <v>3067.96869465406</v>
      </c>
      <c r="L352" s="15" t="n">
        <f aca="false">K352*(1+IF(L$3&lt;=$O$2,$D352,$D352-($D352-$I$346)*MIN(L$3-$O$2,$Q$2)/$Q$2))</f>
        <v>3130.03370134692</v>
      </c>
      <c r="M352" s="15" t="n">
        <f aca="false">L352*(1+IF(M$3&lt;=$O$2,$D352,$D352-($D352-$I$346)*MIN(M$3-$O$2,$Q$2)/$Q$2))</f>
        <v>3198.15888485673</v>
      </c>
      <c r="N352" s="15" t="n">
        <f aca="false">M352*(1+IF(N$3&lt;=$O$2,$D352,$D352-($D352-$I$346)*MIN(N$3-$O$2,$Q$2)/$Q$2))</f>
        <v>3272.67598687389</v>
      </c>
      <c r="O352" s="15" t="n">
        <f aca="false">SUMPRODUCT(E352:N352,1/(1+$F$346)^$E$3:$N$3)*$E$2</f>
        <v>13776.2398197233</v>
      </c>
      <c r="P352" s="15" t="n">
        <f aca="false">N352*$E$2*(1+$I$346)/($F$346-$I$346)/(1+$F$346)^$N$3</f>
        <v>20114.5965306048</v>
      </c>
      <c r="Q352" s="15" t="n">
        <f aca="false">O352+P352</f>
        <v>33890.8363503281</v>
      </c>
      <c r="R352" s="15" t="n">
        <f aca="false">Q352-$G$2+$I$2</f>
        <v>34660.8363503281</v>
      </c>
      <c r="S352" s="42" t="n">
        <f aca="false">R352/$K$2</f>
        <v>331.904973190923</v>
      </c>
      <c r="T352" s="43" t="n">
        <f aca="false">S352-$M$2</f>
        <v>39.6517892399509</v>
      </c>
    </row>
    <row r="353" customFormat="false" ht="15" hidden="false" customHeight="false" outlineLevel="0" collapsed="false">
      <c r="A353" s="5" t="n">
        <v>6</v>
      </c>
      <c r="B353" s="25" t="n">
        <f aca="false">IF(T352&gt;0,B352,D352)</f>
        <v>-0.03125</v>
      </c>
      <c r="C353" s="25" t="n">
        <f aca="false">IF(T352&gt;0,D352,C352)</f>
        <v>0.015625</v>
      </c>
      <c r="D353" s="41" t="n">
        <f aca="false">(B353+C353)/2</f>
        <v>-0.0078125</v>
      </c>
      <c r="E353" s="15" t="n">
        <f aca="false">$C$2*(1+IF(E$3&lt;=$O$2,$D353,$D353-($D353-$I$346)*MIN(E$3-$O$2,$Q$2)/$Q$2))</f>
        <v>2718.59375</v>
      </c>
      <c r="F353" s="15" t="n">
        <f aca="false">E353*(1+IF(F$3&lt;=$O$2,$D353,$D353-($D353-$I$346)*MIN(F$3-$O$2,$Q$2)/$Q$2))</f>
        <v>2697.35473632813</v>
      </c>
      <c r="G353" s="15" t="n">
        <f aca="false">F353*(1+IF(G$3&lt;=$O$2,$D353,$D353-($D353-$I$346)*MIN(G$3-$O$2,$Q$2)/$Q$2))</f>
        <v>2676.28165245056</v>
      </c>
      <c r="H353" s="15" t="n">
        <f aca="false">G353*(1+IF(H$3&lt;=$O$2,$D353,$D353-($D353-$I$346)*MIN(H$3-$O$2,$Q$2)/$Q$2))</f>
        <v>2655.37320204079</v>
      </c>
      <c r="I353" s="15" t="n">
        <f aca="false">H353*(1+IF(I$3&lt;=$O$2,$D353,$D353-($D353-$I$346)*MIN(I$3-$O$2,$Q$2)/$Q$2))</f>
        <v>2634.62809889985</v>
      </c>
      <c r="J353" s="15" t="n">
        <f aca="false">I353*(1+IF(J$3&lt;=$O$2,$D353,$D353-($D353-$I$346)*MIN(J$3-$O$2,$Q$2)/$Q$2))</f>
        <v>2630.4390402226</v>
      </c>
      <c r="K353" s="15" t="n">
        <f aca="false">J353*(1+IF(K$3&lt;=$O$2,$D353,$D353-($D353-$I$346)*MIN(K$3-$O$2,$Q$2)/$Q$2))</f>
        <v>2642.62454907643</v>
      </c>
      <c r="L353" s="15" t="n">
        <f aca="false">K353*(1+IF(L$3&lt;=$O$2,$D353,$D353-($D353-$I$346)*MIN(L$3-$O$2,$Q$2)/$Q$2))</f>
        <v>2671.31023855665</v>
      </c>
      <c r="M353" s="15" t="n">
        <f aca="false">L353*(1+IF(M$3&lt;=$O$2,$D353,$D353-($D353-$I$346)*MIN(M$3-$O$2,$Q$2)/$Q$2))</f>
        <v>2716.92953915561</v>
      </c>
      <c r="N353" s="15" t="n">
        <f aca="false">M353*(1+IF(N$3&lt;=$O$2,$D353,$D353-($D353-$I$346)*MIN(N$3-$O$2,$Q$2)/$Q$2))</f>
        <v>2780.23399741793</v>
      </c>
      <c r="O353" s="15" t="n">
        <f aca="false">SUMPRODUCT(E353:N353,1/(1+$F$346)^$E$3:$N$3)*$E$2</f>
        <v>12429.3848297525</v>
      </c>
      <c r="P353" s="15" t="n">
        <f aca="false">N353*$E$2*(1+$I$346)/($F$346-$I$346)/(1+$F$346)^$N$3</f>
        <v>17087.9382325138</v>
      </c>
      <c r="Q353" s="15" t="n">
        <f aca="false">O353+P353</f>
        <v>29517.3230622663</v>
      </c>
      <c r="R353" s="15" t="n">
        <f aca="false">Q353-$G$2+$I$2</f>
        <v>30287.3230622663</v>
      </c>
      <c r="S353" s="42" t="n">
        <f aca="false">R353/$K$2</f>
        <v>290.025117899706</v>
      </c>
      <c r="T353" s="43" t="n">
        <f aca="false">S353-$M$2</f>
        <v>-2.22806605126573</v>
      </c>
    </row>
    <row r="354" customFormat="false" ht="15" hidden="false" customHeight="false" outlineLevel="0" collapsed="false">
      <c r="A354" s="5" t="n">
        <v>7</v>
      </c>
      <c r="B354" s="25" t="n">
        <f aca="false">IF(T353&gt;0,B353,D353)</f>
        <v>-0.0078125</v>
      </c>
      <c r="C354" s="25" t="n">
        <f aca="false">IF(T353&gt;0,D353,C353)</f>
        <v>0.015625</v>
      </c>
      <c r="D354" s="41" t="n">
        <f aca="false">(B354+C354)/2</f>
        <v>0.00390625</v>
      </c>
      <c r="E354" s="15" t="n">
        <f aca="false">$C$2*(1+IF(E$3&lt;=$O$2,$D354,$D354-($D354-$I$346)*MIN(E$3-$O$2,$Q$2)/$Q$2))</f>
        <v>2750.703125</v>
      </c>
      <c r="F354" s="15" t="n">
        <f aca="false">E354*(1+IF(F$3&lt;=$O$2,$D354,$D354-($D354-$I$346)*MIN(F$3-$O$2,$Q$2)/$Q$2))</f>
        <v>2761.44805908203</v>
      </c>
      <c r="G354" s="15" t="n">
        <f aca="false">F354*(1+IF(G$3&lt;=$O$2,$D354,$D354-($D354-$I$346)*MIN(G$3-$O$2,$Q$2)/$Q$2))</f>
        <v>2772.23496556282</v>
      </c>
      <c r="H354" s="15" t="n">
        <f aca="false">G354*(1+IF(H$3&lt;=$O$2,$D354,$D354-($D354-$I$346)*MIN(H$3-$O$2,$Q$2)/$Q$2))</f>
        <v>2783.06400839705</v>
      </c>
      <c r="I354" s="15" t="n">
        <f aca="false">H354*(1+IF(I$3&lt;=$O$2,$D354,$D354-($D354-$I$346)*MIN(I$3-$O$2,$Q$2)/$Q$2))</f>
        <v>2793.93535217985</v>
      </c>
      <c r="J354" s="15" t="n">
        <f aca="false">I354*(1+IF(J$3&lt;=$O$2,$D354,$D354-($D354-$I$346)*MIN(J$3-$O$2,$Q$2)/$Q$2))</f>
        <v>2815.68613889657</v>
      </c>
      <c r="K354" s="15" t="n">
        <f aca="false">J354*(1+IF(K$3&lt;=$O$2,$D354,$D354-($D354-$I$346)*MIN(K$3-$O$2,$Q$2)/$Q$2))</f>
        <v>2848.52759809913</v>
      </c>
      <c r="L354" s="15" t="n">
        <f aca="false">K354*(1+IF(L$3&lt;=$O$2,$D354,$D354-($D354-$I$346)*MIN(L$3-$O$2,$Q$2)/$Q$2))</f>
        <v>2892.80083829258</v>
      </c>
      <c r="M354" s="15" t="n">
        <f aca="false">L354*(1+IF(M$3&lt;=$O$2,$D354,$D354-($D354-$I$346)*MIN(M$3-$O$2,$Q$2)/$Q$2))</f>
        <v>2948.98264657327</v>
      </c>
      <c r="N354" s="15" t="n">
        <f aca="false">M354*(1+IF(N$3&lt;=$O$2,$D354,$D354-($D354-$I$346)*MIN(N$3-$O$2,$Q$2)/$Q$2))</f>
        <v>3017.69394223843</v>
      </c>
      <c r="O354" s="15" t="n">
        <f aca="false">SUMPRODUCT(E354:N354,1/(1+$F$346)^$E$3:$N$3)*$E$2</f>
        <v>13085.1497179044</v>
      </c>
      <c r="P354" s="15" t="n">
        <f aca="false">N354*$E$2*(1+$I$346)/($F$346-$I$346)/(1+$F$346)^$N$3</f>
        <v>18547.4200148232</v>
      </c>
      <c r="Q354" s="15" t="n">
        <f aca="false">O354+P354</f>
        <v>31632.5697327277</v>
      </c>
      <c r="R354" s="15" t="n">
        <f aca="false">Q354-$G$2+$I$2</f>
        <v>32402.5697327277</v>
      </c>
      <c r="S354" s="42" t="n">
        <f aca="false">R354/$K$2</f>
        <v>310.280280884111</v>
      </c>
      <c r="T354" s="43" t="n">
        <f aca="false">S354-$M$2</f>
        <v>18.0270969331388</v>
      </c>
    </row>
    <row r="355" customFormat="false" ht="15" hidden="false" customHeight="false" outlineLevel="0" collapsed="false">
      <c r="A355" s="5" t="n">
        <v>8</v>
      </c>
      <c r="B355" s="25" t="n">
        <f aca="false">IF(T354&gt;0,B354,D354)</f>
        <v>-0.0078125</v>
      </c>
      <c r="C355" s="25" t="n">
        <f aca="false">IF(T354&gt;0,D354,C354)</f>
        <v>0.00390625</v>
      </c>
      <c r="D355" s="41" t="n">
        <f aca="false">(B355+C355)/2</f>
        <v>-0.001953125</v>
      </c>
      <c r="E355" s="15" t="n">
        <f aca="false">$C$2*(1+IF(E$3&lt;=$O$2,$D355,$D355-($D355-$I$346)*MIN(E$3-$O$2,$Q$2)/$Q$2))</f>
        <v>2734.6484375</v>
      </c>
      <c r="F355" s="15" t="n">
        <f aca="false">E355*(1+IF(F$3&lt;=$O$2,$D355,$D355-($D355-$I$346)*MIN(F$3-$O$2,$Q$2)/$Q$2))</f>
        <v>2729.30732727051</v>
      </c>
      <c r="G355" s="15" t="n">
        <f aca="false">F355*(1+IF(G$3&lt;=$O$2,$D355,$D355-($D355-$I$346)*MIN(G$3-$O$2,$Q$2)/$Q$2))</f>
        <v>2723.97664889693</v>
      </c>
      <c r="H355" s="15" t="n">
        <f aca="false">G355*(1+IF(H$3&lt;=$O$2,$D355,$D355-($D355-$I$346)*MIN(H$3-$O$2,$Q$2)/$Q$2))</f>
        <v>2718.65638200456</v>
      </c>
      <c r="I355" s="15" t="n">
        <f aca="false">H355*(1+IF(I$3&lt;=$O$2,$D355,$D355-($D355-$I$346)*MIN(I$3-$O$2,$Q$2)/$Q$2))</f>
        <v>2713.34650625845</v>
      </c>
      <c r="J355" s="15" t="n">
        <f aca="false">I355*(1+IF(J$3&lt;=$O$2,$D355,$D355-($D355-$I$346)*MIN(J$3-$O$2,$Q$2)/$Q$2))</f>
        <v>2721.75109706159</v>
      </c>
      <c r="K355" s="15" t="n">
        <f aca="false">J355*(1+IF(K$3&lt;=$O$2,$D355,$D355-($D355-$I$346)*MIN(K$3-$O$2,$Q$2)/$Q$2))</f>
        <v>2743.92826521933</v>
      </c>
      <c r="L355" s="15" t="n">
        <f aca="false">K355*(1+IF(L$3&lt;=$O$2,$D355,$D355-($D355-$I$346)*MIN(L$3-$O$2,$Q$2)/$Q$2))</f>
        <v>2780.1446884099</v>
      </c>
      <c r="M355" s="15" t="n">
        <f aca="false">L355*(1+IF(M$3&lt;=$O$2,$D355,$D355-($D355-$I$346)*MIN(M$3-$O$2,$Q$2)/$Q$2))</f>
        <v>2830.88059138295</v>
      </c>
      <c r="N355" s="15" t="n">
        <f aca="false">M355*(1+IF(N$3&lt;=$O$2,$D355,$D355-($D355-$I$346)*MIN(N$3-$O$2,$Q$2)/$Q$2))</f>
        <v>2896.84010916217</v>
      </c>
      <c r="O355" s="15" t="n">
        <f aca="false">SUMPRODUCT(E355:N355,1/(1+$F$346)^$E$3:$N$3)*$E$2</f>
        <v>12752.9604507532</v>
      </c>
      <c r="P355" s="15" t="n">
        <f aca="false">N355*$E$2*(1+$I$346)/($F$346-$I$346)/(1+$F$346)^$N$3</f>
        <v>17804.6254023239</v>
      </c>
      <c r="Q355" s="15" t="n">
        <f aca="false">O355+P355</f>
        <v>30557.585853077</v>
      </c>
      <c r="R355" s="15" t="n">
        <f aca="false">Q355-$G$2+$I$2</f>
        <v>31327.585853077</v>
      </c>
      <c r="S355" s="42" t="n">
        <f aca="false">R355/$K$2</f>
        <v>299.986458422647</v>
      </c>
      <c r="T355" s="43" t="n">
        <f aca="false">S355-$M$2</f>
        <v>7.73327447167497</v>
      </c>
    </row>
    <row r="356" customFormat="false" ht="15" hidden="false" customHeight="false" outlineLevel="0" collapsed="false">
      <c r="A356" s="5" t="n">
        <v>9</v>
      </c>
      <c r="B356" s="25" t="n">
        <f aca="false">IF(T355&gt;0,B355,D355)</f>
        <v>-0.0078125</v>
      </c>
      <c r="C356" s="25" t="n">
        <f aca="false">IF(T355&gt;0,D355,C355)</f>
        <v>-0.001953125</v>
      </c>
      <c r="D356" s="41" t="n">
        <f aca="false">(B356+C356)/2</f>
        <v>-0.0048828125</v>
      </c>
      <c r="E356" s="15" t="n">
        <f aca="false">$C$2*(1+IF(E$3&lt;=$O$2,$D356,$D356-($D356-$I$346)*MIN(E$3-$O$2,$Q$2)/$Q$2))</f>
        <v>2726.62109375</v>
      </c>
      <c r="F356" s="15" t="n">
        <f aca="false">E356*(1+IF(F$3&lt;=$O$2,$D356,$D356-($D356-$I$346)*MIN(F$3-$O$2,$Q$2)/$Q$2))</f>
        <v>2713.30751419067</v>
      </c>
      <c r="G356" s="15" t="n">
        <f aca="false">F356*(1+IF(G$3&lt;=$O$2,$D356,$D356-($D356-$I$346)*MIN(G$3-$O$2,$Q$2)/$Q$2))</f>
        <v>2700.05894234404</v>
      </c>
      <c r="H356" s="15" t="n">
        <f aca="false">G356*(1+IF(H$3&lt;=$O$2,$D356,$D356-($D356-$I$346)*MIN(H$3-$O$2,$Q$2)/$Q$2))</f>
        <v>2686.87506078963</v>
      </c>
      <c r="I356" s="15" t="n">
        <f aca="false">H356*(1+IF(I$3&lt;=$O$2,$D356,$D356-($D356-$I$346)*MIN(I$3-$O$2,$Q$2)/$Q$2))</f>
        <v>2673.75555365686</v>
      </c>
      <c r="J356" s="15" t="n">
        <f aca="false">I356*(1+IF(J$3&lt;=$O$2,$D356,$D356-($D356-$I$346)*MIN(J$3-$O$2,$Q$2)/$Q$2))</f>
        <v>2675.77089690543</v>
      </c>
      <c r="K356" s="15" t="n">
        <f aca="false">J356*(1+IF(K$3&lt;=$O$2,$D356,$D356-($D356-$I$346)*MIN(K$3-$O$2,$Q$2)/$Q$2))</f>
        <v>2692.86990911506</v>
      </c>
      <c r="L356" s="15" t="n">
        <f aca="false">K356*(1+IF(L$3&lt;=$O$2,$D356,$D356-($D356-$I$346)*MIN(L$3-$O$2,$Q$2)/$Q$2))</f>
        <v>2725.25671890325</v>
      </c>
      <c r="M356" s="15" t="n">
        <f aca="false">L356*(1+IF(M$3&lt;=$O$2,$D356,$D356-($D356-$I$346)*MIN(M$3-$O$2,$Q$2)/$Q$2))</f>
        <v>2773.39412062905</v>
      </c>
      <c r="N356" s="15" t="n">
        <f aca="false">M356*(1+IF(N$3&lt;=$O$2,$D356,$D356-($D356-$I$346)*MIN(N$3-$O$2,$Q$2)/$Q$2))</f>
        <v>2838.01420363971</v>
      </c>
      <c r="O356" s="15" t="n">
        <f aca="false">SUMPRODUCT(E356:N356,1/(1+$F$346)^$E$3:$N$3)*$E$2</f>
        <v>12590.1092816193</v>
      </c>
      <c r="P356" s="15" t="n">
        <f aca="false">N356*$E$2*(1+$I$346)/($F$346-$I$346)/(1+$F$346)^$N$3</f>
        <v>17443.068266855</v>
      </c>
      <c r="Q356" s="15" t="n">
        <f aca="false">O356+P356</f>
        <v>30033.1775484744</v>
      </c>
      <c r="R356" s="15" t="n">
        <f aca="false">Q356-$G$2+$I$2</f>
        <v>30803.1775484744</v>
      </c>
      <c r="S356" s="42" t="n">
        <f aca="false">R356/$K$2</f>
        <v>294.964833366603</v>
      </c>
      <c r="T356" s="43" t="n">
        <f aca="false">S356-$M$2</f>
        <v>2.71164941563114</v>
      </c>
    </row>
    <row r="357" customFormat="false" ht="15" hidden="false" customHeight="false" outlineLevel="0" collapsed="false">
      <c r="A357" s="5" t="n">
        <v>10</v>
      </c>
      <c r="B357" s="25" t="n">
        <f aca="false">IF(T356&gt;0,B356,D356)</f>
        <v>-0.0078125</v>
      </c>
      <c r="C357" s="25" t="n">
        <f aca="false">IF(T356&gt;0,D356,C356)</f>
        <v>-0.0048828125</v>
      </c>
      <c r="D357" s="41" t="n">
        <f aca="false">(B357+C357)/2</f>
        <v>-0.00634765625</v>
      </c>
      <c r="E357" s="15" t="n">
        <f aca="false">$C$2*(1+IF(E$3&lt;=$O$2,$D357,$D357-($D357-$I$346)*MIN(E$3-$O$2,$Q$2)/$Q$2))</f>
        <v>2722.607421875</v>
      </c>
      <c r="F357" s="15" t="n">
        <f aca="false">E357*(1+IF(F$3&lt;=$O$2,$D357,$D357-($D357-$I$346)*MIN(F$3-$O$2,$Q$2)/$Q$2))</f>
        <v>2705.32524585724</v>
      </c>
      <c r="G357" s="15" t="n">
        <f aca="false">F357*(1+IF(G$3&lt;=$O$2,$D357,$D357-($D357-$I$346)*MIN(G$3-$O$2,$Q$2)/$Q$2))</f>
        <v>2688.15277115209</v>
      </c>
      <c r="H357" s="15" t="n">
        <f aca="false">G357*(1+IF(H$3&lt;=$O$2,$D357,$D357-($D357-$I$346)*MIN(H$3-$O$2,$Q$2)/$Q$2))</f>
        <v>2671.08930141333</v>
      </c>
      <c r="I357" s="15" t="n">
        <f aca="false">H357*(1+IF(I$3&lt;=$O$2,$D357,$D357-($D357-$I$346)*MIN(I$3-$O$2,$Q$2)/$Q$2))</f>
        <v>2654.13414471491</v>
      </c>
      <c r="J357" s="15" t="n">
        <f aca="false">I357*(1+IF(J$3&lt;=$O$2,$D357,$D357-($D357-$I$346)*MIN(J$3-$O$2,$Q$2)/$Q$2))</f>
        <v>2653.02438487565</v>
      </c>
      <c r="K357" s="15" t="n">
        <f aca="false">J357*(1+IF(K$3&lt;=$O$2,$D357,$D357-($D357-$I$346)*MIN(K$3-$O$2,$Q$2)/$Q$2))</f>
        <v>2667.64628005185</v>
      </c>
      <c r="L357" s="15" t="n">
        <f aca="false">K357*(1+IF(L$3&lt;=$O$2,$D357,$D357-($D357-$I$346)*MIN(L$3-$O$2,$Q$2)/$Q$2))</f>
        <v>2698.16665441403</v>
      </c>
      <c r="M357" s="15" t="n">
        <f aca="false">L357*(1+IF(M$3&lt;=$O$2,$D357,$D357-($D357-$I$346)*MIN(M$3-$O$2,$Q$2)/$Q$2))</f>
        <v>2745.03507396683</v>
      </c>
      <c r="N357" s="15" t="n">
        <f aca="false">M357*(1+IF(N$3&lt;=$O$2,$D357,$D357-($D357-$I$346)*MIN(N$3-$O$2,$Q$2)/$Q$2))</f>
        <v>2808.99439119025</v>
      </c>
      <c r="O357" s="15" t="n">
        <f aca="false">SUMPRODUCT(E357:N357,1/(1+$F$346)^$E$3:$N$3)*$E$2</f>
        <v>12509.4828686061</v>
      </c>
      <c r="P357" s="15" t="n">
        <f aca="false">N357*$E$2*(1+$I$346)/($F$346-$I$346)/(1+$F$346)^$N$3</f>
        <v>17264.7060271601</v>
      </c>
      <c r="Q357" s="15" t="n">
        <f aca="false">O357+P357</f>
        <v>29774.1888957662</v>
      </c>
      <c r="R357" s="15" t="n">
        <f aca="false">Q357-$G$2+$I$2</f>
        <v>30544.1888957662</v>
      </c>
      <c r="S357" s="42" t="n">
        <f aca="false">R357/$K$2</f>
        <v>292.484811795138</v>
      </c>
      <c r="T357" s="43" t="n">
        <f aca="false">S357-$M$2</f>
        <v>0.23162784416553</v>
      </c>
    </row>
    <row r="358" customFormat="false" ht="15" hidden="false" customHeight="false" outlineLevel="0" collapsed="false">
      <c r="A358" s="5" t="n">
        <v>11</v>
      </c>
      <c r="B358" s="25" t="n">
        <f aca="false">IF(T357&gt;0,B357,D357)</f>
        <v>-0.0078125</v>
      </c>
      <c r="C358" s="25" t="n">
        <f aca="false">IF(T357&gt;0,D357,C357)</f>
        <v>-0.00634765625</v>
      </c>
      <c r="D358" s="41" t="n">
        <f aca="false">(B358+C358)/2</f>
        <v>-0.007080078125</v>
      </c>
      <c r="E358" s="15" t="n">
        <f aca="false">$C$2*(1+IF(E$3&lt;=$O$2,$D358,$D358-($D358-$I$346)*MIN(E$3-$O$2,$Q$2)/$Q$2))</f>
        <v>2720.6005859375</v>
      </c>
      <c r="F358" s="15" t="n">
        <f aca="false">E358*(1+IF(F$3&lt;=$O$2,$D358,$D358-($D358-$I$346)*MIN(F$3-$O$2,$Q$2)/$Q$2))</f>
        <v>2701.33852124214</v>
      </c>
      <c r="G358" s="15" t="n">
        <f aca="false">F358*(1+IF(G$3&lt;=$O$2,$D358,$D358-($D358-$I$346)*MIN(G$3-$O$2,$Q$2)/$Q$2))</f>
        <v>2682.21283346968</v>
      </c>
      <c r="H358" s="15" t="n">
        <f aca="false">G358*(1+IF(H$3&lt;=$O$2,$D358,$D358-($D358-$I$346)*MIN(H$3-$O$2,$Q$2)/$Q$2))</f>
        <v>2663.22255706083</v>
      </c>
      <c r="I358" s="15" t="n">
        <f aca="false">H358*(1+IF(I$3&lt;=$O$2,$D358,$D358-($D358-$I$346)*MIN(I$3-$O$2,$Q$2)/$Q$2))</f>
        <v>2644.36673329258</v>
      </c>
      <c r="J358" s="15" t="n">
        <f aca="false">I358*(1+IF(J$3&lt;=$O$2,$D358,$D358-($D358-$I$346)*MIN(J$3-$O$2,$Q$2)/$Q$2))</f>
        <v>2641.71162381943</v>
      </c>
      <c r="K358" s="15" t="n">
        <f aca="false">J358*(1+IF(K$3&lt;=$O$2,$D358,$D358-($D358-$I$346)*MIN(K$3-$O$2,$Q$2)/$Q$2))</f>
        <v>2655.11026134521</v>
      </c>
      <c r="L358" s="15" t="n">
        <f aca="false">K358*(1+IF(L$3&lt;=$O$2,$D358,$D358-($D358-$I$346)*MIN(L$3-$O$2,$Q$2)/$Q$2))</f>
        <v>2684.70934756649</v>
      </c>
      <c r="M358" s="15" t="n">
        <f aca="false">L358*(1+IF(M$3&lt;=$O$2,$D358,$D358-($D358-$I$346)*MIN(M$3-$O$2,$Q$2)/$Q$2))</f>
        <v>2730.9507394204</v>
      </c>
      <c r="N358" s="15" t="n">
        <f aca="false">M358*(1+IF(N$3&lt;=$O$2,$D358,$D358-($D358-$I$346)*MIN(N$3-$O$2,$Q$2)/$Q$2))</f>
        <v>2794.58189164889</v>
      </c>
      <c r="O358" s="15" t="n">
        <f aca="false">SUMPRODUCT(E358:N358,1/(1+$F$346)^$E$3:$N$3)*$E$2</f>
        <v>12469.368008</v>
      </c>
      <c r="P358" s="15" t="n">
        <f aca="false">N358*$E$2*(1+$I$346)/($F$346-$I$346)/(1+$F$346)^$N$3</f>
        <v>17176.1235905135</v>
      </c>
      <c r="Q358" s="15" t="n">
        <f aca="false">O358+P358</f>
        <v>29645.4915985135</v>
      </c>
      <c r="R358" s="15" t="n">
        <f aca="false">Q358-$G$2+$I$2</f>
        <v>30415.4915985135</v>
      </c>
      <c r="S358" s="42" t="n">
        <f aca="false">R358/$K$2</f>
        <v>291.252433194614</v>
      </c>
      <c r="T358" s="43" t="n">
        <f aca="false">S358-$M$2</f>
        <v>-1.00075075635829</v>
      </c>
    </row>
    <row r="359" customFormat="false" ht="15" hidden="false" customHeight="false" outlineLevel="0" collapsed="false">
      <c r="A359" s="5" t="n">
        <v>12</v>
      </c>
      <c r="B359" s="25" t="n">
        <f aca="false">IF(T358&gt;0,B358,D358)</f>
        <v>-0.007080078125</v>
      </c>
      <c r="C359" s="25" t="n">
        <f aca="false">IF(T358&gt;0,D358,C358)</f>
        <v>-0.00634765625</v>
      </c>
      <c r="D359" s="41" t="n">
        <f aca="false">(B359+C359)/2</f>
        <v>-0.0067138671875</v>
      </c>
      <c r="E359" s="15" t="n">
        <f aca="false">$C$2*(1+IF(E$3&lt;=$O$2,$D359,$D359-($D359-$I$346)*MIN(E$3-$O$2,$Q$2)/$Q$2))</f>
        <v>2721.60400390625</v>
      </c>
      <c r="F359" s="15" t="n">
        <f aca="false">E359*(1+IF(F$3&lt;=$O$2,$D359,$D359-($D359-$I$346)*MIN(F$3-$O$2,$Q$2)/$Q$2))</f>
        <v>2703.33151608706</v>
      </c>
      <c r="G359" s="15" t="n">
        <f aca="false">F359*(1+IF(G$3&lt;=$O$2,$D359,$D359-($D359-$I$346)*MIN(G$3-$O$2,$Q$2)/$Q$2))</f>
        <v>2685.18170732426</v>
      </c>
      <c r="H359" s="15" t="n">
        <f aca="false">G359*(1+IF(H$3&lt;=$O$2,$D359,$D359-($D359-$I$346)*MIN(H$3-$O$2,$Q$2)/$Q$2))</f>
        <v>2667.15375396698</v>
      </c>
      <c r="I359" s="15" t="n">
        <f aca="false">H359*(1+IF(I$3&lt;=$O$2,$D359,$D359-($D359-$I$346)*MIN(I$3-$O$2,$Q$2)/$Q$2))</f>
        <v>2649.24683789421</v>
      </c>
      <c r="J359" s="15" t="n">
        <f aca="false">I359*(1+IF(J$3&lt;=$O$2,$D359,$D359-($D359-$I$346)*MIN(J$3-$O$2,$Q$2)/$Q$2))</f>
        <v>2647.36297502557</v>
      </c>
      <c r="K359" s="15" t="n">
        <f aca="false">J359*(1+IF(K$3&lt;=$O$2,$D359,$D359-($D359-$I$346)*MIN(K$3-$O$2,$Q$2)/$Q$2))</f>
        <v>2661.37197190596</v>
      </c>
      <c r="L359" s="15" t="n">
        <f aca="false">K359*(1+IF(L$3&lt;=$O$2,$D359,$D359-($D359-$I$346)*MIN(L$3-$O$2,$Q$2)/$Q$2))</f>
        <v>2691.43071289084</v>
      </c>
      <c r="M359" s="15" t="n">
        <f aca="false">L359*(1+IF(M$3&lt;=$O$2,$D359,$D359-($D359-$I$346)*MIN(M$3-$O$2,$Q$2)/$Q$2))</f>
        <v>2737.98499970898</v>
      </c>
      <c r="N359" s="15" t="n">
        <f aca="false">M359*(1+IF(N$3&lt;=$O$2,$D359,$D359-($D359-$I$346)*MIN(N$3-$O$2,$Q$2)/$Q$2))</f>
        <v>2801.7800502022</v>
      </c>
      <c r="O359" s="15" t="n">
        <f aca="false">SUMPRODUCT(E359:N359,1/(1+$F$346)^$E$3:$N$3)*$E$2</f>
        <v>12489.4089523531</v>
      </c>
      <c r="P359" s="15" t="n">
        <f aca="false">N359*$E$2*(1+$I$346)/($F$346-$I$346)/(1+$F$346)^$N$3</f>
        <v>17220.3650784102</v>
      </c>
      <c r="Q359" s="15" t="n">
        <f aca="false">O359+P359</f>
        <v>29709.7740307633</v>
      </c>
      <c r="R359" s="15" t="n">
        <f aca="false">Q359-$G$2+$I$2</f>
        <v>30479.7740307633</v>
      </c>
      <c r="S359" s="42" t="n">
        <f aca="false">R359/$K$2</f>
        <v>291.867988420601</v>
      </c>
      <c r="T359" s="43" t="n">
        <f aca="false">S359-$M$2</f>
        <v>-0.385195530371334</v>
      </c>
    </row>
    <row r="360" customFormat="false" ht="15" hidden="false" customHeight="false" outlineLevel="0" collapsed="false">
      <c r="A360" s="5" t="n">
        <v>13</v>
      </c>
      <c r="B360" s="25" t="n">
        <f aca="false">IF(T359&gt;0,B359,D359)</f>
        <v>-0.0067138671875</v>
      </c>
      <c r="C360" s="25" t="n">
        <f aca="false">IF(T359&gt;0,D359,C359)</f>
        <v>-0.00634765625</v>
      </c>
      <c r="D360" s="41" t="n">
        <f aca="false">(B360+C360)/2</f>
        <v>-0.00653076171875</v>
      </c>
      <c r="E360" s="15" t="n">
        <f aca="false">$C$2*(1+IF(E$3&lt;=$O$2,$D360,$D360-($D360-$I$346)*MIN(E$3-$O$2,$Q$2)/$Q$2))</f>
        <v>2722.10571289063</v>
      </c>
      <c r="F360" s="15" t="n">
        <f aca="false">E360*(1+IF(F$3&lt;=$O$2,$D360,$D360-($D360-$I$346)*MIN(F$3-$O$2,$Q$2)/$Q$2))</f>
        <v>2704.32828910649</v>
      </c>
      <c r="G360" s="15" t="n">
        <f aca="false">F360*(1+IF(G$3&lt;=$O$2,$D360,$D360-($D360-$I$346)*MIN(G$3-$O$2,$Q$2)/$Q$2))</f>
        <v>2686.66696544106</v>
      </c>
      <c r="H360" s="15" t="n">
        <f aca="false">G360*(1+IF(H$3&lt;=$O$2,$D360,$D360-($D360-$I$346)*MIN(H$3-$O$2,$Q$2)/$Q$2))</f>
        <v>2669.12098367213</v>
      </c>
      <c r="I360" s="15" t="n">
        <f aca="false">H360*(1+IF(I$3&lt;=$O$2,$D360,$D360-($D360-$I$346)*MIN(I$3-$O$2,$Q$2)/$Q$2))</f>
        <v>2651.68959052925</v>
      </c>
      <c r="J360" s="15" t="n">
        <f aca="false">I360*(1+IF(J$3&lt;=$O$2,$D360,$D360-($D360-$I$346)*MIN(J$3-$O$2,$Q$2)/$Q$2))</f>
        <v>2650.19242172685</v>
      </c>
      <c r="K360" s="15" t="n">
        <f aca="false">J360*(1+IF(K$3&lt;=$O$2,$D360,$D360-($D360-$I$346)*MIN(K$3-$O$2,$Q$2)/$Q$2))</f>
        <v>2664.50754996826</v>
      </c>
      <c r="L360" s="15" t="n">
        <f aca="false">K360*(1+IF(L$3&lt;=$O$2,$D360,$D360-($D360-$I$346)*MIN(L$3-$O$2,$Q$2)/$Q$2))</f>
        <v>2694.79685995415</v>
      </c>
      <c r="M360" s="15" t="n">
        <f aca="false">L360*(1+IF(M$3&lt;=$O$2,$D360,$D360-($D360-$I$346)*MIN(M$3-$O$2,$Q$2)/$Q$2))</f>
        <v>2741.50805818914</v>
      </c>
      <c r="N360" s="15" t="n">
        <f aca="false">M360*(1+IF(N$3&lt;=$O$2,$D360,$D360-($D360-$I$346)*MIN(N$3-$O$2,$Q$2)/$Q$2))</f>
        <v>2805.38519594495</v>
      </c>
      <c r="O360" s="15" t="n">
        <f aca="false">SUMPRODUCT(E360:N360,1/(1+$F$346)^$E$3:$N$3)*$E$2</f>
        <v>12499.4417857814</v>
      </c>
      <c r="P360" s="15" t="n">
        <f aca="false">N360*$E$2*(1+$I$346)/($F$346-$I$346)/(1+$F$346)^$N$3</f>
        <v>17242.5231082122</v>
      </c>
      <c r="Q360" s="15" t="n">
        <f aca="false">O360+P360</f>
        <v>29741.9648939936</v>
      </c>
      <c r="R360" s="15" t="n">
        <f aca="false">Q360-$G$2+$I$2</f>
        <v>30511.9648939936</v>
      </c>
      <c r="S360" s="42" t="n">
        <f aca="false">R360/$K$2</f>
        <v>292.176241443968</v>
      </c>
      <c r="T360" s="43" t="n">
        <f aca="false">S360-$M$2</f>
        <v>-0.0769425070037073</v>
      </c>
    </row>
    <row r="361" customFormat="false" ht="15" hidden="false" customHeight="false" outlineLevel="0" collapsed="false">
      <c r="A361" s="5" t="n">
        <v>14</v>
      </c>
      <c r="B361" s="25" t="n">
        <f aca="false">IF(T360&gt;0,B360,D360)</f>
        <v>-0.00653076171875</v>
      </c>
      <c r="C361" s="25" t="n">
        <f aca="false">IF(T360&gt;0,D360,C360)</f>
        <v>-0.00634765625</v>
      </c>
      <c r="D361" s="41" t="n">
        <f aca="false">(B361+C361)/2</f>
        <v>-0.006439208984375</v>
      </c>
      <c r="E361" s="15" t="n">
        <f aca="false">$C$2*(1+IF(E$3&lt;=$O$2,$D361,$D361-($D361-$I$346)*MIN(E$3-$O$2,$Q$2)/$Q$2))</f>
        <v>2722.35656738281</v>
      </c>
      <c r="F361" s="15" t="n">
        <f aca="false">E361*(1+IF(F$3&lt;=$O$2,$D361,$D361-($D361-$I$346)*MIN(F$3-$O$2,$Q$2)/$Q$2))</f>
        <v>2704.82674451545</v>
      </c>
      <c r="G361" s="15" t="n">
        <f aca="false">F361*(1+IF(G$3&lt;=$O$2,$D361,$D361-($D361-$I$346)*MIN(G$3-$O$2,$Q$2)/$Q$2))</f>
        <v>2687.40979984099</v>
      </c>
      <c r="H361" s="15" t="n">
        <f aca="false">G361*(1+IF(H$3&lt;=$O$2,$D361,$D361-($D361-$I$346)*MIN(H$3-$O$2,$Q$2)/$Q$2))</f>
        <v>2670.10500651315</v>
      </c>
      <c r="I361" s="15" t="n">
        <f aca="false">H361*(1+IF(I$3&lt;=$O$2,$D361,$D361-($D361-$I$346)*MIN(I$3-$O$2,$Q$2)/$Q$2))</f>
        <v>2652.91164236599</v>
      </c>
      <c r="J361" s="15" t="n">
        <f aca="false">I361*(1+IF(J$3&lt;=$O$2,$D361,$D361-($D361-$I$346)*MIN(J$3-$O$2,$Q$2)/$Q$2))</f>
        <v>2651.60808863359</v>
      </c>
      <c r="K361" s="15" t="n">
        <f aca="false">J361*(1+IF(K$3&lt;=$O$2,$D361,$D361-($D361-$I$346)*MIN(K$3-$O$2,$Q$2)/$Q$2))</f>
        <v>2666.07652084324</v>
      </c>
      <c r="L361" s="15" t="n">
        <f aca="false">K361*(1+IF(L$3&lt;=$O$2,$D361,$D361-($D361-$I$346)*MIN(L$3-$O$2,$Q$2)/$Q$2))</f>
        <v>2696.48130105021</v>
      </c>
      <c r="M361" s="15" t="n">
        <f aca="false">L361*(1+IF(M$3&lt;=$O$2,$D361,$D361-($D361-$I$346)*MIN(M$3-$O$2,$Q$2)/$Q$2))</f>
        <v>2743.2710711778</v>
      </c>
      <c r="N361" s="15" t="n">
        <f aca="false">M361*(1+IF(N$3&lt;=$O$2,$D361,$D361-($D361-$I$346)*MIN(N$3-$O$2,$Q$2)/$Q$2))</f>
        <v>2807.18928713624</v>
      </c>
      <c r="O361" s="15" t="n">
        <f aca="false">SUMPRODUCT(E361:N361,1/(1+$F$346)^$E$3:$N$3)*$E$2</f>
        <v>12504.4612956176</v>
      </c>
      <c r="P361" s="15" t="n">
        <f aca="false">N361*$E$2*(1+$I$346)/($F$346-$I$346)/(1+$F$346)^$N$3</f>
        <v>17253.6114550461</v>
      </c>
      <c r="Q361" s="15" t="n">
        <f aca="false">O361+P361</f>
        <v>29758.0727506637</v>
      </c>
      <c r="R361" s="15" t="n">
        <f aca="false">Q361-$G$2+$I$2</f>
        <v>30528.0727506637</v>
      </c>
      <c r="S361" s="42" t="n">
        <f aca="false">R361/$K$2</f>
        <v>292.330486935399</v>
      </c>
      <c r="T361" s="43" t="n">
        <f aca="false">S361-$M$2</f>
        <v>0.0773029844269217</v>
      </c>
    </row>
    <row r="362" customFormat="false" ht="15" hidden="false" customHeight="false" outlineLevel="0" collapsed="false">
      <c r="A362" s="5" t="n">
        <v>15</v>
      </c>
      <c r="B362" s="25" t="n">
        <f aca="false">IF(T361&gt;0,B361,D361)</f>
        <v>-0.00653076171875</v>
      </c>
      <c r="C362" s="25" t="n">
        <f aca="false">IF(T361&gt;0,D361,C361)</f>
        <v>-0.006439208984375</v>
      </c>
      <c r="D362" s="41" t="n">
        <f aca="false">(B362+C362)/2</f>
        <v>-0.0064849853515625</v>
      </c>
      <c r="E362" s="15" t="n">
        <f aca="false">$C$2*(1+IF(E$3&lt;=$O$2,$D362,$D362-($D362-$I$346)*MIN(E$3-$O$2,$Q$2)/$Q$2))</f>
        <v>2722.23114013672</v>
      </c>
      <c r="F362" s="15" t="n">
        <f aca="false">E362*(1+IF(F$3&lt;=$O$2,$D362,$D362-($D362-$I$346)*MIN(F$3-$O$2,$Q$2)/$Q$2))</f>
        <v>2704.57751106937</v>
      </c>
      <c r="G362" s="15" t="n">
        <f aca="false">F362*(1+IF(G$3&lt;=$O$2,$D362,$D362-($D362-$I$346)*MIN(G$3-$O$2,$Q$2)/$Q$2))</f>
        <v>2687.03836552791</v>
      </c>
      <c r="H362" s="15" t="n">
        <f aca="false">G362*(1+IF(H$3&lt;=$O$2,$D362,$D362-($D362-$I$346)*MIN(H$3-$O$2,$Q$2)/$Q$2))</f>
        <v>2669.61296108838</v>
      </c>
      <c r="I362" s="15" t="n">
        <f aca="false">H362*(1+IF(I$3&lt;=$O$2,$D362,$D362-($D362-$I$346)*MIN(I$3-$O$2,$Q$2)/$Q$2))</f>
        <v>2652.30056014138</v>
      </c>
      <c r="J362" s="15" t="n">
        <f aca="false">I362*(1+IF(J$3&lt;=$O$2,$D362,$D362-($D362-$I$346)*MIN(J$3-$O$2,$Q$2)/$Q$2))</f>
        <v>2650.90017652727</v>
      </c>
      <c r="K362" s="15" t="n">
        <f aca="false">J362*(1+IF(K$3&lt;=$O$2,$D362,$D362-($D362-$I$346)*MIN(K$3-$O$2,$Q$2)/$Q$2))</f>
        <v>2665.29193688457</v>
      </c>
      <c r="L362" s="15" t="n">
        <f aca="false">K362*(1+IF(L$3&lt;=$O$2,$D362,$D362-($D362-$I$346)*MIN(L$3-$O$2,$Q$2)/$Q$2))</f>
        <v>2695.63896649488</v>
      </c>
      <c r="M362" s="15" t="n">
        <f aca="false">L362*(1+IF(M$3&lt;=$O$2,$D362,$D362-($D362-$I$346)*MIN(M$3-$O$2,$Q$2)/$Q$2))</f>
        <v>2742.38944098818</v>
      </c>
      <c r="N362" s="15" t="n">
        <f aca="false">M362*(1+IF(N$3&lt;=$O$2,$D362,$D362-($D362-$I$346)*MIN(N$3-$O$2,$Q$2)/$Q$2))</f>
        <v>2806.28711496321</v>
      </c>
      <c r="O362" s="15" t="n">
        <f aca="false">SUMPRODUCT(E362:N362,1/(1+$F$346)^$E$3:$N$3)*$E$2</f>
        <v>12501.9512828557</v>
      </c>
      <c r="P362" s="15" t="n">
        <f aca="false">N362*$E$2*(1+$I$346)/($F$346-$I$346)/(1+$F$346)^$N$3</f>
        <v>17248.0665036563</v>
      </c>
      <c r="Q362" s="15" t="n">
        <f aca="false">O362+P362</f>
        <v>29750.017786512</v>
      </c>
      <c r="R362" s="15" t="n">
        <f aca="false">Q362-$G$2+$I$2</f>
        <v>30520.017786512</v>
      </c>
      <c r="S362" s="42" t="n">
        <f aca="false">R362/$K$2</f>
        <v>292.253354270918</v>
      </c>
      <c r="T362" s="43" t="n">
        <f aca="false">S362-$M$2</f>
        <v>0.000170319946107611</v>
      </c>
    </row>
    <row r="363" customFormat="false" ht="15" hidden="false" customHeight="false" outlineLevel="0" collapsed="false">
      <c r="A363" s="5" t="n">
        <v>16</v>
      </c>
      <c r="B363" s="25" t="n">
        <f aca="false">IF(T362&gt;0,B362,D362)</f>
        <v>-0.00653076171875</v>
      </c>
      <c r="C363" s="25" t="n">
        <f aca="false">IF(T362&gt;0,D362,C362)</f>
        <v>-0.0064849853515625</v>
      </c>
      <c r="D363" s="41" t="n">
        <f aca="false">(B363+C363)/2</f>
        <v>-0.00650787353515625</v>
      </c>
      <c r="E363" s="15" t="n">
        <f aca="false">$C$2*(1+IF(E$3&lt;=$O$2,$D363,$D363-($D363-$I$346)*MIN(E$3-$O$2,$Q$2)/$Q$2))</f>
        <v>2722.16842651367</v>
      </c>
      <c r="F363" s="15" t="n">
        <f aca="false">E363*(1+IF(F$3&lt;=$O$2,$D363,$D363-($D363-$I$346)*MIN(F$3-$O$2,$Q$2)/$Q$2))</f>
        <v>2704.45289865253</v>
      </c>
      <c r="G363" s="15" t="n">
        <f aca="false">F363*(1+IF(G$3&lt;=$O$2,$D363,$D363-($D363-$I$346)*MIN(G$3-$O$2,$Q$2)/$Q$2))</f>
        <v>2686.85266120631</v>
      </c>
      <c r="H363" s="15" t="n">
        <f aca="false">G363*(1+IF(H$3&lt;=$O$2,$D363,$D363-($D363-$I$346)*MIN(H$3-$O$2,$Q$2)/$Q$2))</f>
        <v>2669.36696387958</v>
      </c>
      <c r="I363" s="15" t="n">
        <f aca="false">H363*(1+IF(I$3&lt;=$O$2,$D363,$D363-($D363-$I$346)*MIN(I$3-$O$2,$Q$2)/$Q$2))</f>
        <v>2651.99506125973</v>
      </c>
      <c r="J363" s="15" t="n">
        <f aca="false">I363*(1+IF(J$3&lt;=$O$2,$D363,$D363-($D363-$I$346)*MIN(J$3-$O$2,$Q$2)/$Q$2))</f>
        <v>2650.54627946557</v>
      </c>
      <c r="K363" s="15" t="n">
        <f aca="false">J363*(1+IF(K$3&lt;=$O$2,$D363,$D363-($D363-$I$346)*MIN(K$3-$O$2,$Q$2)/$Q$2))</f>
        <v>2664.89971879868</v>
      </c>
      <c r="L363" s="15" t="n">
        <f aca="false">K363*(1+IF(L$3&lt;=$O$2,$D363,$D363-($D363-$I$346)*MIN(L$3-$O$2,$Q$2)/$Q$2))</f>
        <v>2695.21788472596</v>
      </c>
      <c r="M363" s="15" t="n">
        <f aca="false">L363*(1+IF(M$3&lt;=$O$2,$D363,$D363-($D363-$I$346)*MIN(M$3-$O$2,$Q$2)/$Q$2))</f>
        <v>2741.94871866856</v>
      </c>
      <c r="N363" s="15" t="n">
        <f aca="false">M363*(1+IF(N$3&lt;=$O$2,$D363,$D363-($D363-$I$346)*MIN(N$3-$O$2,$Q$2)/$Q$2))</f>
        <v>2805.83612381353</v>
      </c>
      <c r="O363" s="15" t="n">
        <f aca="false">SUMPRODUCT(E363:N363,1/(1+$F$346)^$E$3:$N$3)*$E$2</f>
        <v>12500.6964698639</v>
      </c>
      <c r="P363" s="15" t="n">
        <f aca="false">N363*$E$2*(1+$I$346)/($F$346-$I$346)/(1+$F$346)^$N$3</f>
        <v>17245.2946114644</v>
      </c>
      <c r="Q363" s="15" t="n">
        <f aca="false">O363+P363</f>
        <v>29745.9910813283</v>
      </c>
      <c r="R363" s="15" t="n">
        <f aca="false">Q363-$G$2+$I$2</f>
        <v>30515.9910813283</v>
      </c>
      <c r="S363" s="42" t="n">
        <f aca="false">R363/$K$2</f>
        <v>292.214795378036</v>
      </c>
      <c r="T363" s="43" t="n">
        <f aca="false">S363-$M$2</f>
        <v>-0.038388572936185</v>
      </c>
    </row>
    <row r="364" customFormat="false" ht="15" hidden="false" customHeight="false" outlineLevel="0" collapsed="false">
      <c r="A364" s="5" t="n">
        <v>17</v>
      </c>
      <c r="B364" s="25" t="n">
        <f aca="false">IF(T363&gt;0,B363,D363)</f>
        <v>-0.00650787353515625</v>
      </c>
      <c r="C364" s="25" t="n">
        <f aca="false">IF(T363&gt;0,D363,C363)</f>
        <v>-0.0064849853515625</v>
      </c>
      <c r="D364" s="41" t="n">
        <f aca="false">(B364+C364)/2</f>
        <v>-0.00649642944335938</v>
      </c>
      <c r="E364" s="15" t="n">
        <f aca="false">$C$2*(1+IF(E$3&lt;=$O$2,$D364,$D364-($D364-$I$346)*MIN(E$3-$O$2,$Q$2)/$Q$2))</f>
        <v>2722.1997833252</v>
      </c>
      <c r="F364" s="15" t="n">
        <f aca="false">E364*(1+IF(F$3&lt;=$O$2,$D364,$D364-($D364-$I$346)*MIN(F$3-$O$2,$Q$2)/$Q$2))</f>
        <v>2704.5152045021</v>
      </c>
      <c r="G364" s="15" t="n">
        <f aca="false">F364*(1+IF(G$3&lt;=$O$2,$D364,$D364-($D364-$I$346)*MIN(G$3-$O$2,$Q$2)/$Q$2))</f>
        <v>2686.94551229755</v>
      </c>
      <c r="H364" s="15" t="n">
        <f aca="false">G364*(1+IF(H$3&lt;=$O$2,$D364,$D364-($D364-$I$346)*MIN(H$3-$O$2,$Q$2)/$Q$2))</f>
        <v>2669.48996035876</v>
      </c>
      <c r="I364" s="15" t="n">
        <f aca="false">H364*(1+IF(I$3&lt;=$O$2,$D364,$D364-($D364-$I$346)*MIN(I$3-$O$2,$Q$2)/$Q$2))</f>
        <v>2652.14780718154</v>
      </c>
      <c r="J364" s="15" t="n">
        <f aca="false">I364*(1+IF(J$3&lt;=$O$2,$D364,$D364-($D364-$I$346)*MIN(J$3-$O$2,$Q$2)/$Q$2))</f>
        <v>2650.72322308083</v>
      </c>
      <c r="K364" s="15" t="n">
        <f aca="false">J364*(1+IF(K$3&lt;=$O$2,$D364,$D364-($D364-$I$346)*MIN(K$3-$O$2,$Q$2)/$Q$2))</f>
        <v>2665.09582168437</v>
      </c>
      <c r="L364" s="15" t="n">
        <f aca="false">K364*(1+IF(L$3&lt;=$O$2,$D364,$D364-($D364-$I$346)*MIN(L$3-$O$2,$Q$2)/$Q$2))</f>
        <v>2695.42841848537</v>
      </c>
      <c r="M364" s="15" t="n">
        <f aca="false">L364*(1+IF(M$3&lt;=$O$2,$D364,$D364-($D364-$I$346)*MIN(M$3-$O$2,$Q$2)/$Q$2))</f>
        <v>2742.16907209788</v>
      </c>
      <c r="N364" s="15" t="n">
        <f aca="false">M364*(1+IF(N$3&lt;=$O$2,$D364,$D364-($D364-$I$346)*MIN(N$3-$O$2,$Q$2)/$Q$2))</f>
        <v>2806.06161147776</v>
      </c>
      <c r="O364" s="15" t="n">
        <f aca="false">SUMPRODUCT(E364:N364,1/(1+$F$346)^$E$3:$N$3)*$E$2</f>
        <v>12501.3238602453</v>
      </c>
      <c r="P364" s="15" t="n">
        <f aca="false">N364*$E$2*(1+$I$346)/($F$346-$I$346)/(1+$F$346)^$N$3</f>
        <v>17246.68050894</v>
      </c>
      <c r="Q364" s="15" t="n">
        <f aca="false">O364+P364</f>
        <v>29748.0043691853</v>
      </c>
      <c r="R364" s="15" t="n">
        <f aca="false">Q364-$G$2+$I$2</f>
        <v>30518.0043691853</v>
      </c>
      <c r="S364" s="42" t="n">
        <f aca="false">R364/$K$2</f>
        <v>292.23407420459</v>
      </c>
      <c r="T364" s="43" t="n">
        <f aca="false">S364-$M$2</f>
        <v>-0.0191097463824121</v>
      </c>
    </row>
    <row r="365" customFormat="false" ht="15" hidden="false" customHeight="false" outlineLevel="0" collapsed="false">
      <c r="A365" s="5" t="n">
        <v>18</v>
      </c>
      <c r="B365" s="25" t="n">
        <f aca="false">IF(T364&gt;0,B364,D364)</f>
        <v>-0.00649642944335938</v>
      </c>
      <c r="C365" s="25" t="n">
        <f aca="false">IF(T364&gt;0,D364,C364)</f>
        <v>-0.0064849853515625</v>
      </c>
      <c r="D365" s="41" t="n">
        <f aca="false">(B365+C365)/2</f>
        <v>-0.00649070739746094</v>
      </c>
      <c r="E365" s="15" t="n">
        <f aca="false">$C$2*(1+IF(E$3&lt;=$O$2,$D365,$D365-($D365-$I$346)*MIN(E$3-$O$2,$Q$2)/$Q$2))</f>
        <v>2722.21546173096</v>
      </c>
      <c r="F365" s="15" t="n">
        <f aca="false">E365*(1+IF(F$3&lt;=$O$2,$D365,$D365-($D365-$I$346)*MIN(F$3-$O$2,$Q$2)/$Q$2))</f>
        <v>2704.54635769602</v>
      </c>
      <c r="G365" s="15" t="n">
        <f aca="false">F365*(1+IF(G$3&lt;=$O$2,$D365,$D365-($D365-$I$346)*MIN(G$3-$O$2,$Q$2)/$Q$2))</f>
        <v>2686.99193864534</v>
      </c>
      <c r="H365" s="15" t="n">
        <f aca="false">G365*(1+IF(H$3&lt;=$O$2,$D365,$D365-($D365-$I$346)*MIN(H$3-$O$2,$Q$2)/$Q$2))</f>
        <v>2669.55146019226</v>
      </c>
      <c r="I365" s="15" t="n">
        <f aca="false">H365*(1+IF(I$3&lt;=$O$2,$D365,$D365-($D365-$I$346)*MIN(I$3-$O$2,$Q$2)/$Q$2))</f>
        <v>2652.22418278169</v>
      </c>
      <c r="J365" s="15" t="n">
        <f aca="false">I365*(1+IF(J$3&lt;=$O$2,$D365,$D365-($D365-$I$346)*MIN(J$3-$O$2,$Q$2)/$Q$2))</f>
        <v>2650.81169857513</v>
      </c>
      <c r="K365" s="15" t="n">
        <f aca="false">J365*(1+IF(K$3&lt;=$O$2,$D365,$D365-($D365-$I$346)*MIN(K$3-$O$2,$Q$2)/$Q$2))</f>
        <v>2665.19387774512</v>
      </c>
      <c r="L365" s="15" t="n">
        <f aca="false">K365*(1+IF(L$3&lt;=$O$2,$D365,$D365-($D365-$I$346)*MIN(L$3-$O$2,$Q$2)/$Q$2))</f>
        <v>2695.53369070881</v>
      </c>
      <c r="M365" s="15" t="n">
        <f aca="false">L365*(1+IF(M$3&lt;=$O$2,$D365,$D365-($D365-$I$346)*MIN(M$3-$O$2,$Q$2)/$Q$2))</f>
        <v>2742.27925461035</v>
      </c>
      <c r="N365" s="15" t="n">
        <f aca="false">M365*(1+IF(N$3&lt;=$O$2,$D365,$D365-($D365-$I$346)*MIN(N$3-$O$2,$Q$2)/$Q$2))</f>
        <v>2806.17436124277</v>
      </c>
      <c r="O365" s="15" t="n">
        <f aca="false">SUMPRODUCT(E365:N365,1/(1+$F$346)^$E$3:$N$3)*$E$2</f>
        <v>12501.6375675218</v>
      </c>
      <c r="P365" s="15" t="n">
        <f aca="false">N365*$E$2*(1+$I$346)/($F$346-$I$346)/(1+$F$346)^$N$3</f>
        <v>17247.3734941427</v>
      </c>
      <c r="Q365" s="15" t="n">
        <f aca="false">O365+P365</f>
        <v>29749.0110616645</v>
      </c>
      <c r="R365" s="15" t="n">
        <f aca="false">Q365-$G$2+$I$2</f>
        <v>30519.0110616645</v>
      </c>
      <c r="S365" s="42" t="n">
        <f aca="false">R365/$K$2</f>
        <v>292.243714082778</v>
      </c>
      <c r="T365" s="43" t="n">
        <f aca="false">S365-$M$2</f>
        <v>-0.00946986819445783</v>
      </c>
    </row>
    <row r="366" customFormat="false" ht="15" hidden="false" customHeight="false" outlineLevel="0" collapsed="false">
      <c r="A366" s="5" t="n">
        <v>19</v>
      </c>
      <c r="B366" s="25" t="n">
        <f aca="false">IF(T365&gt;0,B365,D365)</f>
        <v>-0.00649070739746094</v>
      </c>
      <c r="C366" s="25" t="n">
        <f aca="false">IF(T365&gt;0,D365,C365)</f>
        <v>-0.0064849853515625</v>
      </c>
      <c r="D366" s="41" t="n">
        <f aca="false">(B366+C366)/2</f>
        <v>-0.00648784637451172</v>
      </c>
      <c r="E366" s="15" t="n">
        <f aca="false">$C$2*(1+IF(E$3&lt;=$O$2,$D366,$D366-($D366-$I$346)*MIN(E$3-$O$2,$Q$2)/$Q$2))</f>
        <v>2722.22330093384</v>
      </c>
      <c r="F366" s="15" t="n">
        <f aca="false">E366*(1+IF(F$3&lt;=$O$2,$D366,$D366-($D366-$I$346)*MIN(F$3-$O$2,$Q$2)/$Q$2))</f>
        <v>2704.56193436026</v>
      </c>
      <c r="G366" s="15" t="n">
        <f aca="false">F366*(1+IF(G$3&lt;=$O$2,$D366,$D366-($D366-$I$346)*MIN(G$3-$O$2,$Q$2)/$Q$2))</f>
        <v>2687.01515201978</v>
      </c>
      <c r="H366" s="15" t="n">
        <f aca="false">G366*(1+IF(H$3&lt;=$O$2,$D366,$D366-($D366-$I$346)*MIN(H$3-$O$2,$Q$2)/$Q$2))</f>
        <v>2669.58221050749</v>
      </c>
      <c r="I366" s="15" t="n">
        <f aca="false">H366*(1+IF(I$3&lt;=$O$2,$D366,$D366-($D366-$I$346)*MIN(I$3-$O$2,$Q$2)/$Q$2))</f>
        <v>2652.26237124159</v>
      </c>
      <c r="J366" s="15" t="n">
        <f aca="false">I366*(1+IF(J$3&lt;=$O$2,$D366,$D366-($D366-$I$346)*MIN(J$3-$O$2,$Q$2)/$Q$2))</f>
        <v>2650.85593724396</v>
      </c>
      <c r="K366" s="15" t="n">
        <f aca="false">J366*(1+IF(K$3&lt;=$O$2,$D366,$D366-($D366-$I$346)*MIN(K$3-$O$2,$Q$2)/$Q$2))</f>
        <v>2665.24290693</v>
      </c>
      <c r="L366" s="15" t="n">
        <f aca="false">K366*(1+IF(L$3&lt;=$O$2,$D366,$D366-($D366-$I$346)*MIN(L$3-$O$2,$Q$2)/$Q$2))</f>
        <v>2695.58632815651</v>
      </c>
      <c r="M366" s="15" t="n">
        <f aca="false">L366*(1+IF(M$3&lt;=$O$2,$D366,$D366-($D366-$I$346)*MIN(M$3-$O$2,$Q$2)/$Q$2))</f>
        <v>2742.33434731609</v>
      </c>
      <c r="N366" s="15" t="n">
        <f aca="false">M366*(1+IF(N$3&lt;=$O$2,$D366,$D366-($D366-$I$346)*MIN(N$3-$O$2,$Q$2)/$Q$2))</f>
        <v>2806.23073760855</v>
      </c>
      <c r="O366" s="15" t="n">
        <f aca="false">SUMPRODUCT(E366:N366,1/(1+$F$346)^$E$3:$N$3)*$E$2</f>
        <v>12501.7944241816</v>
      </c>
      <c r="P366" s="15" t="n">
        <f aca="false">N366*$E$2*(1+$I$346)/($F$346-$I$346)/(1+$F$346)^$N$3</f>
        <v>17247.7199958606</v>
      </c>
      <c r="Q366" s="15" t="n">
        <f aca="false">O366+P366</f>
        <v>29749.5144200421</v>
      </c>
      <c r="R366" s="15" t="n">
        <f aca="false">Q366-$G$2+$I$2</f>
        <v>30519.5144200421</v>
      </c>
      <c r="S366" s="42" t="n">
        <f aca="false">R366/$K$2</f>
        <v>292.248534138103</v>
      </c>
      <c r="T366" s="43" t="n">
        <f aca="false">S366-$M$2</f>
        <v>-0.00464981286887678</v>
      </c>
    </row>
    <row r="367" customFormat="false" ht="15" hidden="false" customHeight="false" outlineLevel="0" collapsed="false">
      <c r="A367" s="5" t="n">
        <v>20</v>
      </c>
      <c r="B367" s="25" t="n">
        <f aca="false">IF(T366&gt;0,B366,D366)</f>
        <v>-0.00648784637451172</v>
      </c>
      <c r="C367" s="25" t="n">
        <f aca="false">IF(T366&gt;0,D366,C366)</f>
        <v>-0.0064849853515625</v>
      </c>
      <c r="D367" s="41" t="n">
        <f aca="false">(B367+C367)/2</f>
        <v>-0.00648641586303711</v>
      </c>
      <c r="E367" s="15" t="n">
        <f aca="false">$C$2*(1+IF(E$3&lt;=$O$2,$D367,$D367-($D367-$I$346)*MIN(E$3-$O$2,$Q$2)/$Q$2))</f>
        <v>2722.22722053528</v>
      </c>
      <c r="F367" s="15" t="n">
        <f aca="false">E367*(1+IF(F$3&lt;=$O$2,$D367,$D367-($D367-$I$346)*MIN(F$3-$O$2,$Q$2)/$Q$2))</f>
        <v>2704.56972270921</v>
      </c>
      <c r="G367" s="15" t="n">
        <f aca="false">F367*(1+IF(G$3&lt;=$O$2,$D367,$D367-($D367-$I$346)*MIN(G$3-$O$2,$Q$2)/$Q$2))</f>
        <v>2687.02675875714</v>
      </c>
      <c r="H367" s="15" t="n">
        <f aca="false">G367*(1+IF(H$3&lt;=$O$2,$D367,$D367-($D367-$I$346)*MIN(H$3-$O$2,$Q$2)/$Q$2))</f>
        <v>2669.59758576473</v>
      </c>
      <c r="I367" s="15" t="n">
        <f aca="false">H367*(1+IF(I$3&lt;=$O$2,$D367,$D367-($D367-$I$346)*MIN(I$3-$O$2,$Q$2)/$Q$2))</f>
        <v>2652.2814656365</v>
      </c>
      <c r="J367" s="15" t="n">
        <f aca="false">I367*(1+IF(J$3&lt;=$O$2,$D367,$D367-($D367-$I$346)*MIN(J$3-$O$2,$Q$2)/$Q$2))</f>
        <v>2650.87805680881</v>
      </c>
      <c r="K367" s="15" t="n">
        <f aca="false">J367*(1+IF(K$3&lt;=$O$2,$D367,$D367-($D367-$I$346)*MIN(K$3-$O$2,$Q$2)/$Q$2))</f>
        <v>2665.26742181107</v>
      </c>
      <c r="L367" s="15" t="n">
        <f aca="false">K367*(1+IF(L$3&lt;=$O$2,$D367,$D367-($D367-$I$346)*MIN(L$3-$O$2,$Q$2)/$Q$2))</f>
        <v>2695.61264721436</v>
      </c>
      <c r="M367" s="15" t="n">
        <f aca="false">L367*(1+IF(M$3&lt;=$O$2,$D367,$D367-($D367-$I$346)*MIN(M$3-$O$2,$Q$2)/$Q$2))</f>
        <v>2742.36189403134</v>
      </c>
      <c r="N367" s="15" t="n">
        <f aca="false">M367*(1+IF(N$3&lt;=$O$2,$D367,$D367-($D367-$I$346)*MIN(N$3-$O$2,$Q$2)/$Q$2))</f>
        <v>2806.25892616227</v>
      </c>
      <c r="O367" s="15" t="n">
        <f aca="false">SUMPRODUCT(E367:N367,1/(1+$F$346)^$E$3:$N$3)*$E$2</f>
        <v>12501.8728532668</v>
      </c>
      <c r="P367" s="15" t="n">
        <f aca="false">N367*$E$2*(1+$I$346)/($F$346-$I$346)/(1+$F$346)^$N$3</f>
        <v>17247.8932489987</v>
      </c>
      <c r="Q367" s="15" t="n">
        <f aca="false">O367+P367</f>
        <v>29749.7661022655</v>
      </c>
      <c r="R367" s="15" t="n">
        <f aca="false">Q367-$G$2+$I$2</f>
        <v>30519.7661022655</v>
      </c>
      <c r="S367" s="42" t="n">
        <f aca="false">R367/$K$2</f>
        <v>292.250944194824</v>
      </c>
      <c r="T367" s="43" t="n">
        <f aca="false">S367-$M$2</f>
        <v>-0.00223975614767369</v>
      </c>
    </row>
    <row r="368" customFormat="false" ht="15" hidden="false" customHeight="false" outlineLevel="0" collapsed="false">
      <c r="A368" s="5" t="n">
        <v>21</v>
      </c>
      <c r="B368" s="25" t="n">
        <f aca="false">IF(T367&gt;0,B367,D367)</f>
        <v>-0.00648641586303711</v>
      </c>
      <c r="C368" s="25" t="n">
        <f aca="false">IF(T367&gt;0,D367,C367)</f>
        <v>-0.0064849853515625</v>
      </c>
      <c r="D368" s="41" t="n">
        <f aca="false">(B368+C368)/2</f>
        <v>-0.00648570060729981</v>
      </c>
      <c r="E368" s="15" t="n">
        <f aca="false">$C$2*(1+IF(E$3&lt;=$O$2,$D368,$D368-($D368-$I$346)*MIN(E$3-$O$2,$Q$2)/$Q$2))</f>
        <v>2722.229180336</v>
      </c>
      <c r="F368" s="15" t="n">
        <f aca="false">E368*(1+IF(F$3&lt;=$O$2,$D368,$D368-($D368-$I$346)*MIN(F$3-$O$2,$Q$2)/$Q$2))</f>
        <v>2704.57361688788</v>
      </c>
      <c r="G368" s="15" t="n">
        <f aca="false">F368*(1+IF(G$3&lt;=$O$2,$D368,$D368-($D368-$I$346)*MIN(G$3-$O$2,$Q$2)/$Q$2))</f>
        <v>2687.03256213835</v>
      </c>
      <c r="H368" s="15" t="n">
        <f aca="false">G368*(1+IF(H$3&lt;=$O$2,$D368,$D368-($D368-$I$346)*MIN(H$3-$O$2,$Q$2)/$Q$2))</f>
        <v>2669.60527341825</v>
      </c>
      <c r="I368" s="15" t="n">
        <f aca="false">H368*(1+IF(I$3&lt;=$O$2,$D368,$D368-($D368-$I$346)*MIN(I$3-$O$2,$Q$2)/$Q$2))</f>
        <v>2652.29101287519</v>
      </c>
      <c r="J368" s="15" t="n">
        <f aca="false">I368*(1+IF(J$3&lt;=$O$2,$D368,$D368-($D368-$I$346)*MIN(J$3-$O$2,$Q$2)/$Q$2))</f>
        <v>2650.88911664884</v>
      </c>
      <c r="K368" s="15" t="n">
        <f aca="false">J368*(1+IF(K$3&lt;=$O$2,$D368,$D368-($D368-$I$346)*MIN(K$3-$O$2,$Q$2)/$Q$2))</f>
        <v>2665.27967932377</v>
      </c>
      <c r="L368" s="15" t="n">
        <f aca="false">K368*(1+IF(L$3&lt;=$O$2,$D368,$D368-($D368-$I$346)*MIN(L$3-$O$2,$Q$2)/$Q$2))</f>
        <v>2695.62580682679</v>
      </c>
      <c r="M368" s="15" t="n">
        <f aca="false">L368*(1+IF(M$3&lt;=$O$2,$D368,$D368-($D368-$I$346)*MIN(M$3-$O$2,$Q$2)/$Q$2))</f>
        <v>2742.37566747956</v>
      </c>
      <c r="N368" s="15" t="n">
        <f aca="false">M368*(1+IF(N$3&lt;=$O$2,$D368,$D368-($D368-$I$346)*MIN(N$3-$O$2,$Q$2)/$Q$2))</f>
        <v>2806.27302053183</v>
      </c>
      <c r="O368" s="15" t="n">
        <f aca="false">SUMPRODUCT(E368:N368,1/(1+$F$346)^$E$3:$N$3)*$E$2</f>
        <v>12501.9120679983</v>
      </c>
      <c r="P368" s="15" t="n">
        <f aca="false">N368*$E$2*(1+$I$346)/($F$346-$I$346)/(1+$F$346)^$N$3</f>
        <v>17247.9798761376</v>
      </c>
      <c r="Q368" s="15" t="n">
        <f aca="false">O368+P368</f>
        <v>29749.8919441359</v>
      </c>
      <c r="R368" s="15" t="n">
        <f aca="false">Q368-$G$2+$I$2</f>
        <v>30519.8919441359</v>
      </c>
      <c r="S368" s="42" t="n">
        <f aca="false">R368/$K$2</f>
        <v>292.25214923045</v>
      </c>
      <c r="T368" s="43" t="n">
        <f aca="false">S368-$M$2</f>
        <v>-0.0010347205223411</v>
      </c>
    </row>
    <row r="369" customFormat="false" ht="15" hidden="false" customHeight="false" outlineLevel="0" collapsed="false">
      <c r="A369" s="5" t="n">
        <v>22</v>
      </c>
      <c r="B369" s="25" t="n">
        <f aca="false">IF(T368&gt;0,B368,D368)</f>
        <v>-0.00648570060729981</v>
      </c>
      <c r="C369" s="25" t="n">
        <f aca="false">IF(T368&gt;0,D368,C368)</f>
        <v>-0.0064849853515625</v>
      </c>
      <c r="D369" s="41" t="n">
        <f aca="false">(B369+C369)/2</f>
        <v>-0.00648534297943115</v>
      </c>
      <c r="E369" s="15" t="n">
        <f aca="false">$C$2*(1+IF(E$3&lt;=$O$2,$D369,$D369-($D369-$I$346)*MIN(E$3-$O$2,$Q$2)/$Q$2))</f>
        <v>2722.23016023636</v>
      </c>
      <c r="F369" s="15" t="n">
        <f aca="false">E369*(1+IF(F$3&lt;=$O$2,$D369,$D369-($D369-$I$346)*MIN(F$3-$O$2,$Q$2)/$Q$2))</f>
        <v>2704.57556397827</v>
      </c>
      <c r="G369" s="15" t="n">
        <f aca="false">F369*(1+IF(G$3&lt;=$O$2,$D369,$D369-($D369-$I$346)*MIN(G$3-$O$2,$Q$2)/$Q$2))</f>
        <v>2687.03546383209</v>
      </c>
      <c r="H369" s="15" t="n">
        <f aca="false">G369*(1+IF(H$3&lt;=$O$2,$D369,$D369-($D369-$I$346)*MIN(H$3-$O$2,$Q$2)/$Q$2))</f>
        <v>2669.60911725124</v>
      </c>
      <c r="I369" s="15" t="n">
        <f aca="false">H369*(1+IF(I$3&lt;=$O$2,$D369,$D369-($D369-$I$346)*MIN(I$3-$O$2,$Q$2)/$Q$2))</f>
        <v>2652.29578650485</v>
      </c>
      <c r="J369" s="15" t="n">
        <f aca="false">I369*(1+IF(J$3&lt;=$O$2,$D369,$D369-($D369-$I$346)*MIN(J$3-$O$2,$Q$2)/$Q$2))</f>
        <v>2650.89464658326</v>
      </c>
      <c r="K369" s="15" t="n">
        <f aca="false">J369*(1+IF(K$3&lt;=$O$2,$D369,$D369-($D369-$I$346)*MIN(K$3-$O$2,$Q$2)/$Q$2))</f>
        <v>2665.28580809815</v>
      </c>
      <c r="L369" s="15" t="n">
        <f aca="false">K369*(1+IF(L$3&lt;=$O$2,$D369,$D369-($D369-$I$346)*MIN(L$3-$O$2,$Q$2)/$Q$2))</f>
        <v>2695.63238665387</v>
      </c>
      <c r="M369" s="15" t="n">
        <f aca="false">L369*(1+IF(M$3&lt;=$O$2,$D369,$D369-($D369-$I$346)*MIN(M$3-$O$2,$Q$2)/$Q$2))</f>
        <v>2742.38255422632</v>
      </c>
      <c r="N369" s="15" t="n">
        <f aca="false">M369*(1+IF(N$3&lt;=$O$2,$D369,$D369-($D369-$I$346)*MIN(N$3-$O$2,$Q$2)/$Q$2))</f>
        <v>2806.28006773979</v>
      </c>
      <c r="O369" s="15" t="n">
        <f aca="false">SUMPRODUCT(E369:N369,1/(1+$F$346)^$E$3:$N$3)*$E$2</f>
        <v>12501.9316754113</v>
      </c>
      <c r="P369" s="15" t="n">
        <f aca="false">N369*$E$2*(1+$I$346)/($F$346-$I$346)/(1+$F$346)^$N$3</f>
        <v>17248.0231898494</v>
      </c>
      <c r="Q369" s="15" t="n">
        <f aca="false">O369+P369</f>
        <v>29749.9548652607</v>
      </c>
      <c r="R369" s="15" t="n">
        <f aca="false">Q369-$G$2+$I$2</f>
        <v>30519.9548652607</v>
      </c>
      <c r="S369" s="42" t="n">
        <f aca="false">R369/$K$2</f>
        <v>292.252751750078</v>
      </c>
      <c r="T369" s="43" t="n">
        <f aca="false">S369-$M$2</f>
        <v>-0.000432200893556001</v>
      </c>
    </row>
    <row r="370" customFormat="false" ht="15" hidden="false" customHeight="false" outlineLevel="0" collapsed="false">
      <c r="A370" s="5" t="n">
        <v>23</v>
      </c>
      <c r="B370" s="25" t="n">
        <f aca="false">IF(T369&gt;0,B369,D369)</f>
        <v>-0.00648534297943115</v>
      </c>
      <c r="C370" s="25" t="n">
        <f aca="false">IF(T369&gt;0,D369,C369)</f>
        <v>-0.0064849853515625</v>
      </c>
      <c r="D370" s="41" t="n">
        <f aca="false">(B370+C370)/2</f>
        <v>-0.00648516416549683</v>
      </c>
      <c r="E370" s="15" t="n">
        <f aca="false">$C$2*(1+IF(E$3&lt;=$O$2,$D370,$D370-($D370-$I$346)*MIN(E$3-$O$2,$Q$2)/$Q$2))</f>
        <v>2722.23065018654</v>
      </c>
      <c r="F370" s="15" t="n">
        <f aca="false">E370*(1+IF(F$3&lt;=$O$2,$D370,$D370-($D370-$I$346)*MIN(F$3-$O$2,$Q$2)/$Q$2))</f>
        <v>2704.57653752373</v>
      </c>
      <c r="G370" s="15" t="n">
        <f aca="false">F370*(1+IF(G$3&lt;=$O$2,$D370,$D370-($D370-$I$346)*MIN(G$3-$O$2,$Q$2)/$Q$2))</f>
        <v>2687.03691467974</v>
      </c>
      <c r="H370" s="15" t="n">
        <f aca="false">G370*(1+IF(H$3&lt;=$O$2,$D370,$D370-($D370-$I$346)*MIN(H$3-$O$2,$Q$2)/$Q$2))</f>
        <v>2669.61103916929</v>
      </c>
      <c r="I370" s="15" t="n">
        <f aca="false">H370*(1+IF(I$3&lt;=$O$2,$D370,$D370-($D370-$I$346)*MIN(I$3-$O$2,$Q$2)/$Q$2))</f>
        <v>2652.29817332226</v>
      </c>
      <c r="J370" s="15" t="n">
        <f aca="false">I370*(1+IF(J$3&lt;=$O$2,$D370,$D370-($D370-$I$346)*MIN(J$3-$O$2,$Q$2)/$Q$2))</f>
        <v>2650.89741155406</v>
      </c>
      <c r="K370" s="15" t="n">
        <f aca="false">J370*(1+IF(K$3&lt;=$O$2,$D370,$D370-($D370-$I$346)*MIN(K$3-$O$2,$Q$2)/$Q$2))</f>
        <v>2665.28887248986</v>
      </c>
      <c r="L370" s="15" t="n">
        <f aca="false">K370*(1+IF(L$3&lt;=$O$2,$D370,$D370-($D370-$I$346)*MIN(L$3-$O$2,$Q$2)/$Q$2))</f>
        <v>2695.63567657264</v>
      </c>
      <c r="M370" s="15" t="n">
        <f aca="false">L370*(1+IF(M$3&lt;=$O$2,$D370,$D370-($D370-$I$346)*MIN(M$3-$O$2,$Q$2)/$Q$2))</f>
        <v>2742.38599760536</v>
      </c>
      <c r="N370" s="15" t="n">
        <f aca="false">M370*(1+IF(N$3&lt;=$O$2,$D370,$D370-($D370-$I$346)*MIN(N$3-$O$2,$Q$2)/$Q$2))</f>
        <v>2806.28359134957</v>
      </c>
      <c r="O370" s="15" t="n">
        <f aca="false">SUMPRODUCT(E370:N370,1/(1+$F$346)^$E$3:$N$3)*$E$2</f>
        <v>12501.9414791295</v>
      </c>
      <c r="P370" s="15" t="n">
        <f aca="false">N370*$E$2*(1+$I$346)/($F$346-$I$346)/(1+$F$346)^$N$3</f>
        <v>17248.044846741</v>
      </c>
      <c r="Q370" s="15" t="n">
        <f aca="false">O370+P370</f>
        <v>29749.9863258705</v>
      </c>
      <c r="R370" s="15" t="n">
        <f aca="false">Q370-$G$2+$I$2</f>
        <v>30519.9863258705</v>
      </c>
      <c r="S370" s="42" t="n">
        <f aca="false">R370/$K$2</f>
        <v>292.253053010347</v>
      </c>
      <c r="T370" s="43" t="n">
        <f aca="false">S370-$M$2</f>
        <v>-0.000130940625183484</v>
      </c>
    </row>
    <row r="371" customFormat="false" ht="15" hidden="false" customHeight="false" outlineLevel="0" collapsed="false">
      <c r="A371" s="5" t="n">
        <v>24</v>
      </c>
      <c r="B371" s="25" t="n">
        <f aca="false">IF(T370&gt;0,B370,D370)</f>
        <v>-0.00648516416549683</v>
      </c>
      <c r="C371" s="25" t="n">
        <f aca="false">IF(T370&gt;0,D370,C370)</f>
        <v>-0.0064849853515625</v>
      </c>
      <c r="D371" s="41" t="n">
        <f aca="false">(B371+C371)/2</f>
        <v>-0.00648507475852966</v>
      </c>
      <c r="E371" s="15" t="n">
        <f aca="false">$C$2*(1+IF(E$3&lt;=$O$2,$D371,$D371-($D371-$I$346)*MIN(E$3-$O$2,$Q$2)/$Q$2))</f>
        <v>2722.23089516163</v>
      </c>
      <c r="F371" s="15" t="n">
        <f aca="false">E371*(1+IF(F$3&lt;=$O$2,$D371,$D371-($D371-$I$346)*MIN(F$3-$O$2,$Q$2)/$Q$2))</f>
        <v>2704.57702429653</v>
      </c>
      <c r="G371" s="15" t="n">
        <f aca="false">F371*(1+IF(G$3&lt;=$O$2,$D371,$D371-($D371-$I$346)*MIN(G$3-$O$2,$Q$2)/$Q$2))</f>
        <v>2687.03764010376</v>
      </c>
      <c r="H371" s="15" t="n">
        <f aca="false">G371*(1+IF(H$3&lt;=$O$2,$D371,$D371-($D371-$I$346)*MIN(H$3-$O$2,$Q$2)/$Q$2))</f>
        <v>2669.61200012871</v>
      </c>
      <c r="I371" s="15" t="n">
        <f aca="false">H371*(1+IF(I$3&lt;=$O$2,$D371,$D371-($D371-$I$346)*MIN(I$3-$O$2,$Q$2)/$Q$2))</f>
        <v>2652.2993667316</v>
      </c>
      <c r="J371" s="15" t="n">
        <f aca="false">I371*(1+IF(J$3&lt;=$O$2,$D371,$D371-($D371-$I$346)*MIN(J$3-$O$2,$Q$2)/$Q$2))</f>
        <v>2650.89879404037</v>
      </c>
      <c r="K371" s="15" t="n">
        <f aca="false">J371*(1+IF(K$3&lt;=$O$2,$D371,$D371-($D371-$I$346)*MIN(K$3-$O$2,$Q$2)/$Q$2))</f>
        <v>2665.29040468684</v>
      </c>
      <c r="L371" s="15" t="n">
        <f aca="false">K371*(1+IF(L$3&lt;=$O$2,$D371,$D371-($D371-$I$346)*MIN(L$3-$O$2,$Q$2)/$Q$2))</f>
        <v>2695.63732153332</v>
      </c>
      <c r="M371" s="15" t="n">
        <f aca="false">L371*(1+IF(M$3&lt;=$O$2,$D371,$D371-($D371-$I$346)*MIN(M$3-$O$2,$Q$2)/$Q$2))</f>
        <v>2742.3877192963</v>
      </c>
      <c r="N371" s="15" t="n">
        <f aca="false">M371*(1+IF(N$3&lt;=$O$2,$D371,$D371-($D371-$I$346)*MIN(N$3-$O$2,$Q$2)/$Q$2))</f>
        <v>2806.2853531559</v>
      </c>
      <c r="O371" s="15" t="n">
        <f aca="false">SUMPRODUCT(E371:N371,1/(1+$F$346)^$E$3:$N$3)*$E$2</f>
        <v>12501.9463809916</v>
      </c>
      <c r="P371" s="15" t="n">
        <f aca="false">N371*$E$2*(1+$I$346)/($F$346-$I$346)/(1+$F$346)^$N$3</f>
        <v>17248.0556751957</v>
      </c>
      <c r="Q371" s="15" t="n">
        <f aca="false">O371+P371</f>
        <v>29750.0020561873</v>
      </c>
      <c r="R371" s="15" t="n">
        <f aca="false">Q371-$G$2+$I$2</f>
        <v>30520.0020561873</v>
      </c>
      <c r="S371" s="42" t="n">
        <f aca="false">R371/$K$2</f>
        <v>292.253203640595</v>
      </c>
      <c r="T371" s="43" t="n">
        <f aca="false">S371-$M$2</f>
        <v>1.9689622547503E-005</v>
      </c>
    </row>
    <row r="373" customFormat="false" ht="15" hidden="false" customHeight="false" outlineLevel="0" collapsed="false">
      <c r="A373" s="38" t="s">
        <v>191</v>
      </c>
      <c r="E373" s="5" t="s">
        <v>11</v>
      </c>
      <c r="F373" s="12" t="n">
        <f aca="false">Sensitivity!$B$12</f>
        <v>0.0772772551778937</v>
      </c>
      <c r="G373" s="5" t="s">
        <v>12</v>
      </c>
      <c r="I373" s="12" t="n">
        <f aca="false">Sensitivity!$E$9</f>
        <v>0.0283</v>
      </c>
    </row>
    <row r="374" customFormat="false" ht="23.85" hidden="false" customHeight="false" outlineLevel="0" collapsed="false">
      <c r="A374" s="38" t="s">
        <v>159</v>
      </c>
      <c r="B374" s="28" t="s">
        <v>160</v>
      </c>
      <c r="C374" s="28" t="s">
        <v>161</v>
      </c>
      <c r="D374" s="28" t="s">
        <v>162</v>
      </c>
      <c r="E374" s="28" t="s">
        <v>163</v>
      </c>
      <c r="F374" s="28" t="s">
        <v>164</v>
      </c>
      <c r="G374" s="28" t="s">
        <v>165</v>
      </c>
      <c r="H374" s="28" t="s">
        <v>166</v>
      </c>
      <c r="I374" s="28" t="s">
        <v>167</v>
      </c>
      <c r="J374" s="28" t="s">
        <v>168</v>
      </c>
      <c r="K374" s="28" t="s">
        <v>169</v>
      </c>
      <c r="L374" s="28" t="s">
        <v>170</v>
      </c>
      <c r="M374" s="28" t="s">
        <v>171</v>
      </c>
      <c r="N374" s="28" t="s">
        <v>172</v>
      </c>
      <c r="O374" s="28" t="s">
        <v>173</v>
      </c>
      <c r="P374" s="28" t="s">
        <v>174</v>
      </c>
      <c r="Q374" s="28" t="s">
        <v>175</v>
      </c>
      <c r="R374" s="28" t="s">
        <v>176</v>
      </c>
      <c r="S374" s="28" t="s">
        <v>177</v>
      </c>
      <c r="T374" s="28" t="s">
        <v>178</v>
      </c>
    </row>
    <row r="375" customFormat="false" ht="15" hidden="false" customHeight="false" outlineLevel="0" collapsed="false">
      <c r="A375" s="5" t="n">
        <v>1</v>
      </c>
      <c r="B375" s="24" t="n">
        <v>-0.5</v>
      </c>
      <c r="C375" s="24" t="n">
        <v>1</v>
      </c>
      <c r="D375" s="41" t="n">
        <f aca="false">(B375+C375)/2</f>
        <v>0.25</v>
      </c>
      <c r="E375" s="15" t="n">
        <f aca="false">$C$2*(1+IF(E$3&lt;=$O$2,$D375,$D375-($D375-$I$373)*MIN(E$3-$O$2,$Q$2)/$Q$2))</f>
        <v>3425</v>
      </c>
      <c r="F375" s="15" t="n">
        <f aca="false">E375*(1+IF(F$3&lt;=$O$2,$D375,$D375-($D375-$I$373)*MIN(F$3-$O$2,$Q$2)/$Q$2))</f>
        <v>4281.25</v>
      </c>
      <c r="G375" s="15" t="n">
        <f aca="false">F375*(1+IF(G$3&lt;=$O$2,$D375,$D375-($D375-$I$373)*MIN(G$3-$O$2,$Q$2)/$Q$2))</f>
        <v>5351.5625</v>
      </c>
      <c r="H375" s="15" t="n">
        <f aca="false">G375*(1+IF(H$3&lt;=$O$2,$D375,$D375-($D375-$I$373)*MIN(H$3-$O$2,$Q$2)/$Q$2))</f>
        <v>6689.453125</v>
      </c>
      <c r="I375" s="15" t="n">
        <f aca="false">H375*(1+IF(I$3&lt;=$O$2,$D375,$D375-($D375-$I$373)*MIN(I$3-$O$2,$Q$2)/$Q$2))</f>
        <v>8361.81640625</v>
      </c>
      <c r="J375" s="15" t="n">
        <f aca="false">I375*(1+IF(J$3&lt;=$O$2,$D375,$D375-($D375-$I$373)*MIN(J$3-$O$2,$Q$2)/$Q$2))</f>
        <v>10081.5075683594</v>
      </c>
      <c r="K375" s="15" t="n">
        <f aca="false">J375*(1+IF(K$3&lt;=$O$2,$D375,$D375-($D375-$I$373)*MIN(K$3-$O$2,$Q$2)/$Q$2))</f>
        <v>11707.8563692871</v>
      </c>
      <c r="L375" s="15" t="n">
        <f aca="false">K375*(1+IF(L$3&lt;=$O$2,$D375,$D375-($D375-$I$373)*MIN(L$3-$O$2,$Q$2)/$Q$2))</f>
        <v>13077.4414073663</v>
      </c>
      <c r="M375" s="15" t="n">
        <f aca="false">L375*(1+IF(M$3&lt;=$O$2,$D375,$D375-($D375-$I$373)*MIN(M$3-$O$2,$Q$2)/$Q$2))</f>
        <v>14027.3867511974</v>
      </c>
      <c r="N375" s="15" t="n">
        <f aca="false">M375*(1+IF(N$3&lt;=$O$2,$D375,$D375-($D375-$I$373)*MIN(N$3-$O$2,$Q$2)/$Q$2))</f>
        <v>14424.3617962563</v>
      </c>
      <c r="O375" s="15" t="n">
        <f aca="false">SUMPRODUCT(E375:N375,1/(1+$F$373)^$E$3:$N$3)*$E$2</f>
        <v>38575.3152340109</v>
      </c>
      <c r="P375" s="15" t="n">
        <f aca="false">N375*$E$2*(1+$I$373)/($F$373-$I$373)/(1+$F$373)^$N$3</f>
        <v>98183.4160719083</v>
      </c>
      <c r="Q375" s="15" t="n">
        <f aca="false">O375+P375</f>
        <v>136758.731305919</v>
      </c>
      <c r="R375" s="15" t="n">
        <f aca="false">Q375-$G$2+$I$2</f>
        <v>137528.731305919</v>
      </c>
      <c r="S375" s="42" t="n">
        <f aca="false">R375/$K$2</f>
        <v>1316.94657958364</v>
      </c>
      <c r="T375" s="43" t="n">
        <f aca="false">S375-$M$2</f>
        <v>1024.69339563267</v>
      </c>
    </row>
    <row r="376" customFormat="false" ht="15" hidden="false" customHeight="false" outlineLevel="0" collapsed="false">
      <c r="A376" s="5" t="n">
        <v>2</v>
      </c>
      <c r="B376" s="25" t="n">
        <f aca="false">IF(T375&gt;0,B375,D375)</f>
        <v>-0.5</v>
      </c>
      <c r="C376" s="25" t="n">
        <f aca="false">IF(T375&gt;0,D375,C375)</f>
        <v>0.25</v>
      </c>
      <c r="D376" s="41" t="n">
        <f aca="false">(B376+C376)/2</f>
        <v>-0.125</v>
      </c>
      <c r="E376" s="15" t="n">
        <f aca="false">$C$2*(1+IF(E$3&lt;=$O$2,$D376,$D376-($D376-$I$373)*MIN(E$3-$O$2,$Q$2)/$Q$2))</f>
        <v>2397.5</v>
      </c>
      <c r="F376" s="15" t="n">
        <f aca="false">E376*(1+IF(F$3&lt;=$O$2,$D376,$D376-($D376-$I$373)*MIN(F$3-$O$2,$Q$2)/$Q$2))</f>
        <v>2097.8125</v>
      </c>
      <c r="G376" s="15" t="n">
        <f aca="false">F376*(1+IF(G$3&lt;=$O$2,$D376,$D376-($D376-$I$373)*MIN(G$3-$O$2,$Q$2)/$Q$2))</f>
        <v>1835.5859375</v>
      </c>
      <c r="H376" s="15" t="n">
        <f aca="false">G376*(1+IF(H$3&lt;=$O$2,$D376,$D376-($D376-$I$373)*MIN(H$3-$O$2,$Q$2)/$Q$2))</f>
        <v>1606.1376953125</v>
      </c>
      <c r="I376" s="15" t="n">
        <f aca="false">H376*(1+IF(I$3&lt;=$O$2,$D376,$D376-($D376-$I$373)*MIN(I$3-$O$2,$Q$2)/$Q$2))</f>
        <v>1405.37048339844</v>
      </c>
      <c r="J376" s="15" t="n">
        <f aca="false">I376*(1+IF(J$3&lt;=$O$2,$D376,$D376-($D376-$I$373)*MIN(J$3-$O$2,$Q$2)/$Q$2))</f>
        <v>1272.78783199463</v>
      </c>
      <c r="K376" s="15" t="n">
        <f aca="false">J376*(1+IF(K$3&lt;=$O$2,$D376,$D376-($D376-$I$373)*MIN(K$3-$O$2,$Q$2)/$Q$2))</f>
        <v>1191.73670285321</v>
      </c>
      <c r="L376" s="15" t="n">
        <f aca="false">K376*(1+IF(L$3&lt;=$O$2,$D376,$D376-($D376-$I$373)*MIN(L$3-$O$2,$Q$2)/$Q$2))</f>
        <v>1152.385556925</v>
      </c>
      <c r="M376" s="15" t="n">
        <f aca="false">L376*(1+IF(M$3&lt;=$O$2,$D376,$D376-($D376-$I$373)*MIN(M$3-$O$2,$Q$2)/$Q$2))</f>
        <v>1149.66592701066</v>
      </c>
      <c r="N376" s="15" t="n">
        <f aca="false">M376*(1+IF(N$3&lt;=$O$2,$D376,$D376-($D376-$I$373)*MIN(N$3-$O$2,$Q$2)/$Q$2))</f>
        <v>1182.20147274506</v>
      </c>
      <c r="O376" s="15" t="n">
        <f aca="false">SUMPRODUCT(E376:N376,1/(1+$F$373)^$E$3:$N$3)*$E$2</f>
        <v>7486.71230021109</v>
      </c>
      <c r="P376" s="15" t="n">
        <f aca="false">N376*$E$2*(1+$I$373)/($F$373-$I$373)/(1+$F$373)^$N$3</f>
        <v>8046.981954479</v>
      </c>
      <c r="Q376" s="15" t="n">
        <f aca="false">O376+P376</f>
        <v>15533.6942546901</v>
      </c>
      <c r="R376" s="15" t="n">
        <f aca="false">Q376-$G$2+$I$2</f>
        <v>16303.6942546901</v>
      </c>
      <c r="S376" s="42" t="n">
        <f aca="false">R376/$K$2</f>
        <v>156.120791484153</v>
      </c>
      <c r="T376" s="43" t="n">
        <f aca="false">S376-$M$2</f>
        <v>-136.132392466819</v>
      </c>
    </row>
    <row r="377" customFormat="false" ht="15" hidden="false" customHeight="false" outlineLevel="0" collapsed="false">
      <c r="A377" s="5" t="n">
        <v>3</v>
      </c>
      <c r="B377" s="25" t="n">
        <f aca="false">IF(T376&gt;0,B376,D376)</f>
        <v>-0.125</v>
      </c>
      <c r="C377" s="25" t="n">
        <f aca="false">IF(T376&gt;0,D376,C376)</f>
        <v>0.25</v>
      </c>
      <c r="D377" s="41" t="n">
        <f aca="false">(B377+C377)/2</f>
        <v>0.0625</v>
      </c>
      <c r="E377" s="15" t="n">
        <f aca="false">$C$2*(1+IF(E$3&lt;=$O$2,$D377,$D377-($D377-$I$373)*MIN(E$3-$O$2,$Q$2)/$Q$2))</f>
        <v>2911.25</v>
      </c>
      <c r="F377" s="15" t="n">
        <f aca="false">E377*(1+IF(F$3&lt;=$O$2,$D377,$D377-($D377-$I$373)*MIN(F$3-$O$2,$Q$2)/$Q$2))</f>
        <v>3093.203125</v>
      </c>
      <c r="G377" s="15" t="n">
        <f aca="false">F377*(1+IF(G$3&lt;=$O$2,$D377,$D377-($D377-$I$373)*MIN(G$3-$O$2,$Q$2)/$Q$2))</f>
        <v>3286.5283203125</v>
      </c>
      <c r="H377" s="15" t="n">
        <f aca="false">G377*(1+IF(H$3&lt;=$O$2,$D377,$D377-($D377-$I$373)*MIN(H$3-$O$2,$Q$2)/$Q$2))</f>
        <v>3491.93634033203</v>
      </c>
      <c r="I377" s="15" t="n">
        <f aca="false">H377*(1+IF(I$3&lt;=$O$2,$D377,$D377-($D377-$I$373)*MIN(I$3-$O$2,$Q$2)/$Q$2))</f>
        <v>3710.18236160278</v>
      </c>
      <c r="J377" s="15" t="n">
        <f aca="false">I377*(1+IF(J$3&lt;=$O$2,$D377,$D377-($D377-$I$373)*MIN(J$3-$O$2,$Q$2)/$Q$2))</f>
        <v>3916.69111184959</v>
      </c>
      <c r="K377" s="15" t="n">
        <f aca="false">J377*(1+IF(K$3&lt;=$O$2,$D377,$D377-($D377-$I$373)*MIN(K$3-$O$2,$Q$2)/$Q$2))</f>
        <v>4107.90397193009</v>
      </c>
      <c r="L377" s="15" t="n">
        <f aca="false">K377*(1+IF(L$3&lt;=$O$2,$D377,$D377-($D377-$I$373)*MIN(L$3-$O$2,$Q$2)/$Q$2))</f>
        <v>4280.35378067172</v>
      </c>
      <c r="M377" s="15" t="n">
        <f aca="false">L377*(1+IF(M$3&lt;=$O$2,$D377,$D377-($D377-$I$373)*MIN(M$3-$O$2,$Q$2)/$Q$2))</f>
        <v>4430.76541252452</v>
      </c>
      <c r="N377" s="15" t="n">
        <f aca="false">M377*(1+IF(N$3&lt;=$O$2,$D377,$D377-($D377-$I$373)*MIN(N$3-$O$2,$Q$2)/$Q$2))</f>
        <v>4556.15607369897</v>
      </c>
      <c r="O377" s="15" t="n">
        <f aca="false">SUMPRODUCT(E377:N377,1/(1+$F$373)^$E$3:$N$3)*$E$2</f>
        <v>16982.4591917103</v>
      </c>
      <c r="P377" s="15" t="n">
        <f aca="false">N377*$E$2*(1+$I$373)/($F$373-$I$373)/(1+$F$373)^$N$3</f>
        <v>31012.7389891621</v>
      </c>
      <c r="Q377" s="15" t="n">
        <f aca="false">O377+P377</f>
        <v>47995.1981808724</v>
      </c>
      <c r="R377" s="15" t="n">
        <f aca="false">Q377-$G$2+$I$2</f>
        <v>48765.1981808724</v>
      </c>
      <c r="S377" s="42" t="n">
        <f aca="false">R377/$K$2</f>
        <v>466.965413969859</v>
      </c>
      <c r="T377" s="43" t="n">
        <f aca="false">S377-$M$2</f>
        <v>174.712230018887</v>
      </c>
    </row>
    <row r="378" customFormat="false" ht="15" hidden="false" customHeight="false" outlineLevel="0" collapsed="false">
      <c r="A378" s="5" t="n">
        <v>4</v>
      </c>
      <c r="B378" s="25" t="n">
        <f aca="false">IF(T377&gt;0,B377,D377)</f>
        <v>-0.125</v>
      </c>
      <c r="C378" s="25" t="n">
        <f aca="false">IF(T377&gt;0,D377,C377)</f>
        <v>0.0625</v>
      </c>
      <c r="D378" s="41" t="n">
        <f aca="false">(B378+C378)/2</f>
        <v>-0.03125</v>
      </c>
      <c r="E378" s="15" t="n">
        <f aca="false">$C$2*(1+IF(E$3&lt;=$O$2,$D378,$D378-($D378-$I$373)*MIN(E$3-$O$2,$Q$2)/$Q$2))</f>
        <v>2654.375</v>
      </c>
      <c r="F378" s="15" t="n">
        <f aca="false">E378*(1+IF(F$3&lt;=$O$2,$D378,$D378-($D378-$I$373)*MIN(F$3-$O$2,$Q$2)/$Q$2))</f>
        <v>2571.42578125</v>
      </c>
      <c r="G378" s="15" t="n">
        <f aca="false">F378*(1+IF(G$3&lt;=$O$2,$D378,$D378-($D378-$I$373)*MIN(G$3-$O$2,$Q$2)/$Q$2))</f>
        <v>2491.06872558594</v>
      </c>
      <c r="H378" s="15" t="n">
        <f aca="false">G378*(1+IF(H$3&lt;=$O$2,$D378,$D378-($D378-$I$373)*MIN(H$3-$O$2,$Q$2)/$Q$2))</f>
        <v>2413.22282791138</v>
      </c>
      <c r="I378" s="15" t="n">
        <f aca="false">H378*(1+IF(I$3&lt;=$O$2,$D378,$D378-($D378-$I$373)*MIN(I$3-$O$2,$Q$2)/$Q$2))</f>
        <v>2337.80961453915</v>
      </c>
      <c r="J378" s="15" t="n">
        <f aca="false">I378*(1+IF(J$3&lt;=$O$2,$D378,$D378-($D378-$I$373)*MIN(J$3-$O$2,$Q$2)/$Q$2))</f>
        <v>2292.59637659396</v>
      </c>
      <c r="K378" s="15" t="n">
        <f aca="false">J378*(1+IF(K$3&lt;=$O$2,$D378,$D378-($D378-$I$373)*MIN(K$3-$O$2,$Q$2)/$Q$2))</f>
        <v>2275.56238551587</v>
      </c>
      <c r="L378" s="15" t="n">
        <f aca="false">K378*(1+IF(L$3&lt;=$O$2,$D378,$D378-($D378-$I$373)*MIN(L$3-$O$2,$Q$2)/$Q$2))</f>
        <v>2285.75690500298</v>
      </c>
      <c r="M378" s="15" t="n">
        <f aca="false">L378*(1+IF(M$3&lt;=$O$2,$D378,$D378-($D378-$I$373)*MIN(M$3-$O$2,$Q$2)/$Q$2))</f>
        <v>2323.22046067598</v>
      </c>
      <c r="N378" s="15" t="n">
        <f aca="false">M378*(1+IF(N$3&lt;=$O$2,$D378,$D378-($D378-$I$373)*MIN(N$3-$O$2,$Q$2)/$Q$2))</f>
        <v>2388.96759971311</v>
      </c>
      <c r="O378" s="15" t="n">
        <f aca="false">SUMPRODUCT(E378:N378,1/(1+$F$373)^$E$3:$N$3)*$E$2</f>
        <v>11245.5009848217</v>
      </c>
      <c r="P378" s="15" t="n">
        <f aca="false">N378*$E$2*(1+$I$373)/($F$373-$I$373)/(1+$F$373)^$N$3</f>
        <v>16261.1700356696</v>
      </c>
      <c r="Q378" s="15" t="n">
        <f aca="false">O378+P378</f>
        <v>27506.6710204913</v>
      </c>
      <c r="R378" s="15" t="n">
        <f aca="false">Q378-$G$2+$I$2</f>
        <v>28276.6710204913</v>
      </c>
      <c r="S378" s="42" t="n">
        <f aca="false">R378/$K$2</f>
        <v>270.771531365424</v>
      </c>
      <c r="T378" s="43" t="n">
        <f aca="false">S378-$M$2</f>
        <v>-21.4816525855478</v>
      </c>
    </row>
    <row r="379" customFormat="false" ht="15" hidden="false" customHeight="false" outlineLevel="0" collapsed="false">
      <c r="A379" s="5" t="n">
        <v>5</v>
      </c>
      <c r="B379" s="25" t="n">
        <f aca="false">IF(T378&gt;0,B378,D378)</f>
        <v>-0.03125</v>
      </c>
      <c r="C379" s="25" t="n">
        <f aca="false">IF(T378&gt;0,D378,C378)</f>
        <v>0.0625</v>
      </c>
      <c r="D379" s="41" t="n">
        <f aca="false">(B379+C379)/2</f>
        <v>0.015625</v>
      </c>
      <c r="E379" s="15" t="n">
        <f aca="false">$C$2*(1+IF(E$3&lt;=$O$2,$D379,$D379-($D379-$I$373)*MIN(E$3-$O$2,$Q$2)/$Q$2))</f>
        <v>2782.8125</v>
      </c>
      <c r="F379" s="15" t="n">
        <f aca="false">E379*(1+IF(F$3&lt;=$O$2,$D379,$D379-($D379-$I$373)*MIN(F$3-$O$2,$Q$2)/$Q$2))</f>
        <v>2826.2939453125</v>
      </c>
      <c r="G379" s="15" t="n">
        <f aca="false">F379*(1+IF(G$3&lt;=$O$2,$D379,$D379-($D379-$I$373)*MIN(G$3-$O$2,$Q$2)/$Q$2))</f>
        <v>2870.45478820801</v>
      </c>
      <c r="H379" s="15" t="n">
        <f aca="false">G379*(1+IF(H$3&lt;=$O$2,$D379,$D379-($D379-$I$373)*MIN(H$3-$O$2,$Q$2)/$Q$2))</f>
        <v>2915.30564427376</v>
      </c>
      <c r="I379" s="15" t="n">
        <f aca="false">H379*(1+IF(I$3&lt;=$O$2,$D379,$D379-($D379-$I$373)*MIN(I$3-$O$2,$Q$2)/$Q$2))</f>
        <v>2960.85729496554</v>
      </c>
      <c r="J379" s="15" t="n">
        <f aca="false">I379*(1+IF(J$3&lt;=$O$2,$D379,$D379-($D379-$I$373)*MIN(J$3-$O$2,$Q$2)/$Q$2))</f>
        <v>3014.62646344211</v>
      </c>
      <c r="K379" s="15" t="n">
        <f aca="false">J379*(1+IF(K$3&lt;=$O$2,$D379,$D379-($D379-$I$373)*MIN(K$3-$O$2,$Q$2)/$Q$2))</f>
        <v>3077.01415810304</v>
      </c>
      <c r="L379" s="15" t="n">
        <f aca="false">K379*(1+IF(L$3&lt;=$O$2,$D379,$D379-($D379-$I$373)*MIN(L$3-$O$2,$Q$2)/$Q$2))</f>
        <v>3148.49319699578</v>
      </c>
      <c r="M379" s="15" t="n">
        <f aca="false">L379*(1+IF(M$3&lt;=$O$2,$D379,$D379-($D379-$I$373)*MIN(M$3-$O$2,$Q$2)/$Q$2))</f>
        <v>3229.61412421637</v>
      </c>
      <c r="N379" s="15" t="n">
        <f aca="false">M379*(1+IF(N$3&lt;=$O$2,$D379,$D379-($D379-$I$373)*MIN(N$3-$O$2,$Q$2)/$Q$2))</f>
        <v>3321.0122039317</v>
      </c>
      <c r="O379" s="15" t="n">
        <f aca="false">SUMPRODUCT(E379:N379,1/(1+$F$373)^$E$3:$N$3)*$E$2</f>
        <v>13814.8009065339</v>
      </c>
      <c r="P379" s="15" t="n">
        <f aca="false">N379*$E$2*(1+$I$373)/($F$373-$I$373)/(1+$F$373)^$N$3</f>
        <v>22605.3899371228</v>
      </c>
      <c r="Q379" s="15" t="n">
        <f aca="false">O379+P379</f>
        <v>36420.1908436567</v>
      </c>
      <c r="R379" s="15" t="n">
        <f aca="false">Q379-$G$2+$I$2</f>
        <v>37190.1908436567</v>
      </c>
      <c r="S379" s="42" t="n">
        <f aca="false">R379/$K$2</f>
        <v>356.125546717004</v>
      </c>
      <c r="T379" s="43" t="n">
        <f aca="false">S379-$M$2</f>
        <v>63.8723627660318</v>
      </c>
    </row>
    <row r="380" customFormat="false" ht="15" hidden="false" customHeight="false" outlineLevel="0" collapsed="false">
      <c r="A380" s="5" t="n">
        <v>6</v>
      </c>
      <c r="B380" s="25" t="n">
        <f aca="false">IF(T379&gt;0,B379,D379)</f>
        <v>-0.03125</v>
      </c>
      <c r="C380" s="25" t="n">
        <f aca="false">IF(T379&gt;0,D379,C379)</f>
        <v>0.015625</v>
      </c>
      <c r="D380" s="41" t="n">
        <f aca="false">(B380+C380)/2</f>
        <v>-0.0078125</v>
      </c>
      <c r="E380" s="15" t="n">
        <f aca="false">$C$2*(1+IF(E$3&lt;=$O$2,$D380,$D380-($D380-$I$373)*MIN(E$3-$O$2,$Q$2)/$Q$2))</f>
        <v>2718.59375</v>
      </c>
      <c r="F380" s="15" t="n">
        <f aca="false">E380*(1+IF(F$3&lt;=$O$2,$D380,$D380-($D380-$I$373)*MIN(F$3-$O$2,$Q$2)/$Q$2))</f>
        <v>2697.35473632813</v>
      </c>
      <c r="G380" s="15" t="n">
        <f aca="false">F380*(1+IF(G$3&lt;=$O$2,$D380,$D380-($D380-$I$373)*MIN(G$3-$O$2,$Q$2)/$Q$2))</f>
        <v>2676.28165245056</v>
      </c>
      <c r="H380" s="15" t="n">
        <f aca="false">G380*(1+IF(H$3&lt;=$O$2,$D380,$D380-($D380-$I$373)*MIN(H$3-$O$2,$Q$2)/$Q$2))</f>
        <v>2655.37320204079</v>
      </c>
      <c r="I380" s="15" t="n">
        <f aca="false">H380*(1+IF(I$3&lt;=$O$2,$D380,$D380-($D380-$I$373)*MIN(I$3-$O$2,$Q$2)/$Q$2))</f>
        <v>2634.62809889985</v>
      </c>
      <c r="J380" s="15" t="n">
        <f aca="false">I380*(1+IF(J$3&lt;=$O$2,$D380,$D380-($D380-$I$373)*MIN(J$3-$O$2,$Q$2)/$Q$2))</f>
        <v>2633.0736683215</v>
      </c>
      <c r="K380" s="15" t="n">
        <f aca="false">J380*(1+IF(K$3&lt;=$O$2,$D380,$D380-($D380-$I$373)*MIN(K$3-$O$2,$Q$2)/$Q$2))</f>
        <v>2650.53752942664</v>
      </c>
      <c r="L380" s="15" t="n">
        <f aca="false">K380*(1+IF(L$3&lt;=$O$2,$D380,$D380-($D380-$I$373)*MIN(L$3-$O$2,$Q$2)/$Q$2))</f>
        <v>2687.26072689685</v>
      </c>
      <c r="M380" s="15" t="n">
        <f aca="false">L380*(1+IF(M$3&lt;=$O$2,$D380,$D380-($D380-$I$373)*MIN(M$3-$O$2,$Q$2)/$Q$2))</f>
        <v>2743.90146486801</v>
      </c>
      <c r="N380" s="15" t="n">
        <f aca="false">M380*(1+IF(N$3&lt;=$O$2,$D380,$D380-($D380-$I$373)*MIN(N$3-$O$2,$Q$2)/$Q$2))</f>
        <v>2821.55387632378</v>
      </c>
      <c r="O380" s="15" t="n">
        <f aca="false">SUMPRODUCT(E380:N380,1/(1+$F$373)^$E$3:$N$3)*$E$2</f>
        <v>12462.5599135477</v>
      </c>
      <c r="P380" s="15" t="n">
        <f aca="false">N380*$E$2*(1+$I$373)/($F$373-$I$373)/(1+$F$373)^$N$3</f>
        <v>19205.6884125233</v>
      </c>
      <c r="Q380" s="15" t="n">
        <f aca="false">O380+P380</f>
        <v>31668.248326071</v>
      </c>
      <c r="R380" s="15" t="n">
        <f aca="false">Q380-$G$2+$I$2</f>
        <v>32438.248326071</v>
      </c>
      <c r="S380" s="42" t="n">
        <f aca="false">R380/$K$2</f>
        <v>310.621931686977</v>
      </c>
      <c r="T380" s="43" t="n">
        <f aca="false">S380-$M$2</f>
        <v>18.3687477360048</v>
      </c>
    </row>
    <row r="381" customFormat="false" ht="15" hidden="false" customHeight="false" outlineLevel="0" collapsed="false">
      <c r="A381" s="5" t="n">
        <v>7</v>
      </c>
      <c r="B381" s="25" t="n">
        <f aca="false">IF(T380&gt;0,B380,D380)</f>
        <v>-0.03125</v>
      </c>
      <c r="C381" s="25" t="n">
        <f aca="false">IF(T380&gt;0,D380,C380)</f>
        <v>-0.0078125</v>
      </c>
      <c r="D381" s="41" t="n">
        <f aca="false">(B381+C381)/2</f>
        <v>-0.01953125</v>
      </c>
      <c r="E381" s="15" t="n">
        <f aca="false">$C$2*(1+IF(E$3&lt;=$O$2,$D381,$D381-($D381-$I$373)*MIN(E$3-$O$2,$Q$2)/$Q$2))</f>
        <v>2686.484375</v>
      </c>
      <c r="F381" s="15" t="n">
        <f aca="false">E381*(1+IF(F$3&lt;=$O$2,$D381,$D381-($D381-$I$373)*MIN(F$3-$O$2,$Q$2)/$Q$2))</f>
        <v>2634.01397705078</v>
      </c>
      <c r="G381" s="15" t="n">
        <f aca="false">F381*(1+IF(G$3&lt;=$O$2,$D381,$D381-($D381-$I$373)*MIN(G$3-$O$2,$Q$2)/$Q$2))</f>
        <v>2582.56839156151</v>
      </c>
      <c r="H381" s="15" t="n">
        <f aca="false">G381*(1+IF(H$3&lt;=$O$2,$D381,$D381-($D381-$I$373)*MIN(H$3-$O$2,$Q$2)/$Q$2))</f>
        <v>2532.12760266382</v>
      </c>
      <c r="I381" s="15" t="n">
        <f aca="false">H381*(1+IF(I$3&lt;=$O$2,$D381,$D381-($D381-$I$373)*MIN(I$3-$O$2,$Q$2)/$Q$2))</f>
        <v>2482.67198542429</v>
      </c>
      <c r="J381" s="15" t="n">
        <f aca="false">I381*(1+IF(J$3&lt;=$O$2,$D381,$D381-($D381-$I$373)*MIN(J$3-$O$2,$Q$2)/$Q$2))</f>
        <v>2457.93215908954</v>
      </c>
      <c r="K381" s="15" t="n">
        <f aca="false">J381*(1+IF(K$3&lt;=$O$2,$D381,$D381-($D381-$I$373)*MIN(K$3-$O$2,$Q$2)/$Q$2))</f>
        <v>2456.9520586411</v>
      </c>
      <c r="L381" s="15" t="n">
        <f aca="false">K381*(1+IF(L$3&lt;=$O$2,$D381,$D381-($D381-$I$373)*MIN(L$3-$O$2,$Q$2)/$Q$2))</f>
        <v>2479.4761666387</v>
      </c>
      <c r="M381" s="15" t="n">
        <f aca="false">L381*(1+IF(M$3&lt;=$O$2,$D381,$D381-($D381-$I$373)*MIN(M$3-$O$2,$Q$2)/$Q$2))</f>
        <v>2525.92605327546</v>
      </c>
      <c r="N381" s="15" t="n">
        <f aca="false">M381*(1+IF(N$3&lt;=$O$2,$D381,$D381-($D381-$I$373)*MIN(N$3-$O$2,$Q$2)/$Q$2))</f>
        <v>2597.40976058316</v>
      </c>
      <c r="O381" s="15" t="n">
        <f aca="false">SUMPRODUCT(E381:N381,1/(1+$F$373)^$E$3:$N$3)*$E$2</f>
        <v>11837.9665055458</v>
      </c>
      <c r="P381" s="15" t="n">
        <f aca="false">N381*$E$2*(1+$I$373)/($F$373-$I$373)/(1+$F$373)^$N$3</f>
        <v>17679.989370397</v>
      </c>
      <c r="Q381" s="15" t="n">
        <f aca="false">O381+P381</f>
        <v>29517.9558759428</v>
      </c>
      <c r="R381" s="15" t="n">
        <f aca="false">Q381-$G$2+$I$2</f>
        <v>30287.9558759428</v>
      </c>
      <c r="S381" s="42" t="n">
        <f aca="false">R381/$K$2</f>
        <v>290.031177592098</v>
      </c>
      <c r="T381" s="43" t="n">
        <f aca="false">S381-$M$2</f>
        <v>-2.22200635887367</v>
      </c>
    </row>
    <row r="382" customFormat="false" ht="15" hidden="false" customHeight="false" outlineLevel="0" collapsed="false">
      <c r="A382" s="5" t="n">
        <v>8</v>
      </c>
      <c r="B382" s="25" t="n">
        <f aca="false">IF(T381&gt;0,B381,D381)</f>
        <v>-0.01953125</v>
      </c>
      <c r="C382" s="25" t="n">
        <f aca="false">IF(T381&gt;0,D381,C381)</f>
        <v>-0.0078125</v>
      </c>
      <c r="D382" s="41" t="n">
        <f aca="false">(B382+C382)/2</f>
        <v>-0.013671875</v>
      </c>
      <c r="E382" s="15" t="n">
        <f aca="false">$C$2*(1+IF(E$3&lt;=$O$2,$D382,$D382-($D382-$I$373)*MIN(E$3-$O$2,$Q$2)/$Q$2))</f>
        <v>2702.5390625</v>
      </c>
      <c r="F382" s="15" t="n">
        <f aca="false">E382*(1+IF(F$3&lt;=$O$2,$D382,$D382-($D382-$I$373)*MIN(F$3-$O$2,$Q$2)/$Q$2))</f>
        <v>2665.59028625488</v>
      </c>
      <c r="G382" s="15" t="n">
        <f aca="false">F382*(1+IF(G$3&lt;=$O$2,$D382,$D382-($D382-$I$373)*MIN(G$3-$O$2,$Q$2)/$Q$2))</f>
        <v>2629.14666905999</v>
      </c>
      <c r="H382" s="15" t="n">
        <f aca="false">G382*(1+IF(H$3&lt;=$O$2,$D382,$D382-($D382-$I$373)*MIN(H$3-$O$2,$Q$2)/$Q$2))</f>
        <v>2593.20130444394</v>
      </c>
      <c r="I382" s="15" t="n">
        <f aca="false">H382*(1+IF(I$3&lt;=$O$2,$D382,$D382-($D382-$I$373)*MIN(I$3-$O$2,$Q$2)/$Q$2))</f>
        <v>2557.74738035974</v>
      </c>
      <c r="J382" s="15" t="n">
        <f aca="false">I382*(1+IF(J$3&lt;=$O$2,$D382,$D382-($D382-$I$373)*MIN(J$3-$O$2,$Q$2)/$Q$2))</f>
        <v>2544.24886855989</v>
      </c>
      <c r="K382" s="15" t="n">
        <f aca="false">J382*(1+IF(K$3&lt;=$O$2,$D382,$D382-($D382-$I$373)*MIN(K$3-$O$2,$Q$2)/$Q$2))</f>
        <v>2552.17897425209</v>
      </c>
      <c r="L382" s="15" t="n">
        <f aca="false">K382*(1+IF(L$3&lt;=$O$2,$D382,$D382-($D382-$I$373)*MIN(L$3-$O$2,$Q$2)/$Q$2))</f>
        <v>2581.55774446945</v>
      </c>
      <c r="M382" s="15" t="n">
        <f aca="false">L382*(1+IF(M$3&lt;=$O$2,$D382,$D382-($D382-$I$373)*MIN(M$3-$O$2,$Q$2)/$Q$2))</f>
        <v>2632.9452648467</v>
      </c>
      <c r="N382" s="15" t="n">
        <f aca="false">M382*(1+IF(N$3&lt;=$O$2,$D382,$D382-($D382-$I$373)*MIN(N$3-$O$2,$Q$2)/$Q$2))</f>
        <v>2707.45761584186</v>
      </c>
      <c r="O382" s="15" t="n">
        <f aca="false">SUMPRODUCT(E382:N382,1/(1+$F$373)^$E$3:$N$3)*$E$2</f>
        <v>12146.145835451</v>
      </c>
      <c r="P382" s="15" t="n">
        <f aca="false">N382*$E$2*(1+$I$373)/($F$373-$I$373)/(1+$F$373)^$N$3</f>
        <v>18429.0605954054</v>
      </c>
      <c r="Q382" s="15" t="n">
        <f aca="false">O382+P382</f>
        <v>30575.2064308564</v>
      </c>
      <c r="R382" s="15" t="n">
        <f aca="false">Q382-$G$2+$I$2</f>
        <v>31345.2064308564</v>
      </c>
      <c r="S382" s="42" t="n">
        <f aca="false">R382/$K$2</f>
        <v>300.155189417375</v>
      </c>
      <c r="T382" s="43" t="n">
        <f aca="false">S382-$M$2</f>
        <v>7.9020054664025</v>
      </c>
    </row>
    <row r="383" customFormat="false" ht="15" hidden="false" customHeight="false" outlineLevel="0" collapsed="false">
      <c r="A383" s="5" t="n">
        <v>9</v>
      </c>
      <c r="B383" s="25" t="n">
        <f aca="false">IF(T382&gt;0,B382,D382)</f>
        <v>-0.01953125</v>
      </c>
      <c r="C383" s="25" t="n">
        <f aca="false">IF(T382&gt;0,D382,C382)</f>
        <v>-0.013671875</v>
      </c>
      <c r="D383" s="41" t="n">
        <f aca="false">(B383+C383)/2</f>
        <v>-0.0166015625</v>
      </c>
      <c r="E383" s="15" t="n">
        <f aca="false">$C$2*(1+IF(E$3&lt;=$O$2,$D383,$D383-($D383-$I$373)*MIN(E$3-$O$2,$Q$2)/$Q$2))</f>
        <v>2694.51171875</v>
      </c>
      <c r="F383" s="15" t="n">
        <f aca="false">E383*(1+IF(F$3&lt;=$O$2,$D383,$D383-($D383-$I$373)*MIN(F$3-$O$2,$Q$2)/$Q$2))</f>
        <v>2649.77861404419</v>
      </c>
      <c r="G383" s="15" t="n">
        <f aca="false">F383*(1+IF(G$3&lt;=$O$2,$D383,$D383-($D383-$I$373)*MIN(G$3-$O$2,$Q$2)/$Q$2))</f>
        <v>2605.78814877197</v>
      </c>
      <c r="H383" s="15" t="n">
        <f aca="false">G383*(1+IF(H$3&lt;=$O$2,$D383,$D383-($D383-$I$373)*MIN(H$3-$O$2,$Q$2)/$Q$2))</f>
        <v>2562.52799395837</v>
      </c>
      <c r="I383" s="15" t="n">
        <f aca="false">H383*(1+IF(I$3&lt;=$O$2,$D383,$D383-($D383-$I$373)*MIN(I$3-$O$2,$Q$2)/$Q$2))</f>
        <v>2519.98602530868</v>
      </c>
      <c r="J383" s="15" t="n">
        <f aca="false">I383*(1+IF(J$3&lt;=$O$2,$D383,$D383-($D383-$I$373)*MIN(J$3-$O$2,$Q$2)/$Q$2))</f>
        <v>2500.78058181329</v>
      </c>
      <c r="K383" s="15" t="n">
        <f aca="false">J383*(1+IF(K$3&lt;=$O$2,$D383,$D383-($D383-$I$373)*MIN(K$3-$O$2,$Q$2)/$Q$2))</f>
        <v>2504.17929892276</v>
      </c>
      <c r="L383" s="15" t="n">
        <f aca="false">K383*(1+IF(L$3&lt;=$O$2,$D383,$D383-($D383-$I$373)*MIN(L$3-$O$2,$Q$2)/$Q$2))</f>
        <v>2530.07094776156</v>
      </c>
      <c r="M383" s="15" t="n">
        <f aca="false">L383*(1+IF(M$3&lt;=$O$2,$D383,$D383-($D383-$I$373)*MIN(M$3-$O$2,$Q$2)/$Q$2))</f>
        <v>2578.95112782514</v>
      </c>
      <c r="N383" s="15" t="n">
        <f aca="false">M383*(1+IF(N$3&lt;=$O$2,$D383,$D383-($D383-$I$373)*MIN(N$3-$O$2,$Q$2)/$Q$2))</f>
        <v>2651.93544474259</v>
      </c>
      <c r="O383" s="15" t="n">
        <f aca="false">SUMPRODUCT(E383:N383,1/(1+$F$373)^$E$3:$N$3)*$E$2</f>
        <v>11991.0396743989</v>
      </c>
      <c r="P383" s="15" t="n">
        <f aca="false">N383*$E$2*(1+$I$373)/($F$373-$I$373)/(1+$F$373)^$N$3</f>
        <v>18051.1335506422</v>
      </c>
      <c r="Q383" s="15" t="n">
        <f aca="false">O383+P383</f>
        <v>30042.1732250411</v>
      </c>
      <c r="R383" s="15" t="n">
        <f aca="false">Q383-$G$2+$I$2</f>
        <v>30812.1732250411</v>
      </c>
      <c r="S383" s="42" t="n">
        <f aca="false">R383/$K$2</f>
        <v>295.050974097875</v>
      </c>
      <c r="T383" s="43" t="n">
        <f aca="false">S383-$M$2</f>
        <v>2.79779014690268</v>
      </c>
    </row>
    <row r="384" customFormat="false" ht="15" hidden="false" customHeight="false" outlineLevel="0" collapsed="false">
      <c r="A384" s="5" t="n">
        <v>10</v>
      </c>
      <c r="B384" s="25" t="n">
        <f aca="false">IF(T383&gt;0,B383,D383)</f>
        <v>-0.01953125</v>
      </c>
      <c r="C384" s="25" t="n">
        <f aca="false">IF(T383&gt;0,D383,C383)</f>
        <v>-0.0166015625</v>
      </c>
      <c r="D384" s="41" t="n">
        <f aca="false">(B384+C384)/2</f>
        <v>-0.01806640625</v>
      </c>
      <c r="E384" s="15" t="n">
        <f aca="false">$C$2*(1+IF(E$3&lt;=$O$2,$D384,$D384-($D384-$I$373)*MIN(E$3-$O$2,$Q$2)/$Q$2))</f>
        <v>2690.498046875</v>
      </c>
      <c r="F384" s="15" t="n">
        <f aca="false">E384*(1+IF(F$3&lt;=$O$2,$D384,$D384-($D384-$I$373)*MIN(F$3-$O$2,$Q$2)/$Q$2))</f>
        <v>2641.89041614532</v>
      </c>
      <c r="G384" s="15" t="n">
        <f aca="false">F384*(1+IF(G$3&lt;=$O$2,$D384,$D384-($D384-$I$373)*MIN(G$3-$O$2,$Q$2)/$Q$2))</f>
        <v>2594.16095061926</v>
      </c>
      <c r="H384" s="15" t="n">
        <f aca="false">G384*(1+IF(H$3&lt;=$O$2,$D384,$D384-($D384-$I$373)*MIN(H$3-$O$2,$Q$2)/$Q$2))</f>
        <v>2547.29378500749</v>
      </c>
      <c r="I384" s="15" t="n">
        <f aca="false">H384*(1+IF(I$3&lt;=$O$2,$D384,$D384-($D384-$I$373)*MIN(I$3-$O$2,$Q$2)/$Q$2))</f>
        <v>2501.27334064944</v>
      </c>
      <c r="J384" s="15" t="n">
        <f aca="false">I384*(1+IF(J$3&lt;=$O$2,$D384,$D384-($D384-$I$373)*MIN(J$3-$O$2,$Q$2)/$Q$2))</f>
        <v>2479.27933150594</v>
      </c>
      <c r="K384" s="15" t="n">
        <f aca="false">J384*(1+IF(K$3&lt;=$O$2,$D384,$D384-($D384-$I$373)*MIN(K$3-$O$2,$Q$2)/$Q$2))</f>
        <v>2480.46977297246</v>
      </c>
      <c r="L384" s="15" t="n">
        <f aca="false">K384*(1+IF(L$3&lt;=$O$2,$D384,$D384-($D384-$I$373)*MIN(L$3-$O$2,$Q$2)/$Q$2))</f>
        <v>2504.66287987379</v>
      </c>
      <c r="M384" s="15" t="n">
        <f aca="false">L384*(1+IF(M$3&lt;=$O$2,$D384,$D384-($D384-$I$373)*MIN(M$3-$O$2,$Q$2)/$Q$2))</f>
        <v>2552.31839605271</v>
      </c>
      <c r="N384" s="15" t="n">
        <f aca="false">M384*(1+IF(N$3&lt;=$O$2,$D384,$D384-($D384-$I$373)*MIN(N$3-$O$2,$Q$2)/$Q$2))</f>
        <v>2624.549006661</v>
      </c>
      <c r="O384" s="15" t="n">
        <f aca="false">SUMPRODUCT(E384:N384,1/(1+$F$373)^$E$3:$N$3)*$E$2</f>
        <v>11914.2505565351</v>
      </c>
      <c r="P384" s="15" t="n">
        <f aca="false">N384*$E$2*(1+$I$373)/($F$373-$I$373)/(1+$F$373)^$N$3</f>
        <v>17864.72017008</v>
      </c>
      <c r="Q384" s="15" t="n">
        <f aca="false">O384+P384</f>
        <v>29778.9707266151</v>
      </c>
      <c r="R384" s="15" t="n">
        <f aca="false">Q384-$G$2+$I$2</f>
        <v>30548.9707266151</v>
      </c>
      <c r="S384" s="42" t="n">
        <f aca="false">R384/$K$2</f>
        <v>292.530601614623</v>
      </c>
      <c r="T384" s="43" t="n">
        <f aca="false">S384-$M$2</f>
        <v>0.277417663651363</v>
      </c>
    </row>
    <row r="385" customFormat="false" ht="15" hidden="false" customHeight="false" outlineLevel="0" collapsed="false">
      <c r="A385" s="5" t="n">
        <v>11</v>
      </c>
      <c r="B385" s="25" t="n">
        <f aca="false">IF(T384&gt;0,B384,D384)</f>
        <v>-0.01953125</v>
      </c>
      <c r="C385" s="25" t="n">
        <f aca="false">IF(T384&gt;0,D384,C384)</f>
        <v>-0.01806640625</v>
      </c>
      <c r="D385" s="41" t="n">
        <f aca="false">(B385+C385)/2</f>
        <v>-0.018798828125</v>
      </c>
      <c r="E385" s="15" t="n">
        <f aca="false">$C$2*(1+IF(E$3&lt;=$O$2,$D385,$D385-($D385-$I$373)*MIN(E$3-$O$2,$Q$2)/$Q$2))</f>
        <v>2688.4912109375</v>
      </c>
      <c r="F385" s="15" t="n">
        <f aca="false">E385*(1+IF(F$3&lt;=$O$2,$D385,$D385-($D385-$I$373)*MIN(F$3-$O$2,$Q$2)/$Q$2))</f>
        <v>2637.95072674751</v>
      </c>
      <c r="G385" s="15" t="n">
        <f aca="false">F385*(1+IF(G$3&lt;=$O$2,$D385,$D385-($D385-$I$373)*MIN(G$3-$O$2,$Q$2)/$Q$2))</f>
        <v>2588.36034443317</v>
      </c>
      <c r="H385" s="15" t="n">
        <f aca="false">G385*(1+IF(H$3&lt;=$O$2,$D385,$D385-($D385-$I$373)*MIN(H$3-$O$2,$Q$2)/$Q$2))</f>
        <v>2539.7022031926</v>
      </c>
      <c r="I385" s="15" t="n">
        <f aca="false">H385*(1+IF(I$3&lt;=$O$2,$D385,$D385-($D385-$I$373)*MIN(I$3-$O$2,$Q$2)/$Q$2))</f>
        <v>2491.9587779861</v>
      </c>
      <c r="J385" s="15" t="n">
        <f aca="false">I385*(1+IF(J$3&lt;=$O$2,$D385,$D385-($D385-$I$373)*MIN(J$3-$O$2,$Q$2)/$Q$2))</f>
        <v>2468.58654085995</v>
      </c>
      <c r="K385" s="15" t="n">
        <f aca="false">J385*(1+IF(K$3&lt;=$O$2,$D385,$D385-($D385-$I$373)*MIN(K$3-$O$2,$Q$2)/$Q$2))</f>
        <v>2468.68702004649</v>
      </c>
      <c r="L385" s="15" t="n">
        <f aca="false">K385*(1+IF(L$3&lt;=$O$2,$D385,$D385-($D385-$I$373)*MIN(L$3-$O$2,$Q$2)/$Q$2))</f>
        <v>2492.04195645317</v>
      </c>
      <c r="M385" s="15" t="n">
        <f aca="false">L385*(1+IF(M$3&lt;=$O$2,$D385,$D385-($D385-$I$373)*MIN(M$3-$O$2,$Q$2)/$Q$2))</f>
        <v>2539.09229266334</v>
      </c>
      <c r="N385" s="15" t="n">
        <f aca="false">M385*(1+IF(N$3&lt;=$O$2,$D385,$D385-($D385-$I$373)*MIN(N$3-$O$2,$Q$2)/$Q$2))</f>
        <v>2610.94860454571</v>
      </c>
      <c r="O385" s="15" t="n">
        <f aca="false">SUMPRODUCT(E385:N385,1/(1+$F$373)^$E$3:$N$3)*$E$2</f>
        <v>11876.0455955523</v>
      </c>
      <c r="P385" s="15" t="n">
        <f aca="false">N385*$E$2*(1+$I$373)/($F$373-$I$373)/(1+$F$373)^$N$3</f>
        <v>17772.1452639252</v>
      </c>
      <c r="Q385" s="15" t="n">
        <f aca="false">O385+P385</f>
        <v>29648.1908594776</v>
      </c>
      <c r="R385" s="15" t="n">
        <f aca="false">Q385-$G$2+$I$2</f>
        <v>30418.1908594776</v>
      </c>
      <c r="S385" s="42" t="n">
        <f aca="false">R385/$K$2</f>
        <v>291.27828075723</v>
      </c>
      <c r="T385" s="43" t="n">
        <f aca="false">S385-$M$2</f>
        <v>-0.974903193741625</v>
      </c>
    </row>
    <row r="386" customFormat="false" ht="15" hidden="false" customHeight="false" outlineLevel="0" collapsed="false">
      <c r="A386" s="5" t="n">
        <v>12</v>
      </c>
      <c r="B386" s="25" t="n">
        <f aca="false">IF(T385&gt;0,B385,D385)</f>
        <v>-0.018798828125</v>
      </c>
      <c r="C386" s="25" t="n">
        <f aca="false">IF(T385&gt;0,D385,C385)</f>
        <v>-0.01806640625</v>
      </c>
      <c r="D386" s="41" t="n">
        <f aca="false">(B386+C386)/2</f>
        <v>-0.0184326171875</v>
      </c>
      <c r="E386" s="15" t="n">
        <f aca="false">$C$2*(1+IF(E$3&lt;=$O$2,$D386,$D386-($D386-$I$373)*MIN(E$3-$O$2,$Q$2)/$Q$2))</f>
        <v>2689.49462890625</v>
      </c>
      <c r="F386" s="15" t="n">
        <f aca="false">E386*(1+IF(F$3&lt;=$O$2,$D386,$D386-($D386-$I$373)*MIN(F$3-$O$2,$Q$2)/$Q$2))</f>
        <v>2639.92020398378</v>
      </c>
      <c r="G386" s="15" t="n">
        <f aca="false">F386*(1+IF(G$3&lt;=$O$2,$D386,$D386-($D386-$I$373)*MIN(G$3-$O$2,$Q$2)/$Q$2))</f>
        <v>2591.2595654582</v>
      </c>
      <c r="H386" s="15" t="n">
        <f aca="false">G386*(1+IF(H$3&lt;=$O$2,$D386,$D386-($D386-$I$373)*MIN(H$3-$O$2,$Q$2)/$Q$2))</f>
        <v>2543.49586985467</v>
      </c>
      <c r="I386" s="15" t="n">
        <f aca="false">H386*(1+IF(I$3&lt;=$O$2,$D386,$D386-($D386-$I$373)*MIN(I$3-$O$2,$Q$2)/$Q$2))</f>
        <v>2496.61258416765</v>
      </c>
      <c r="J386" s="15" t="n">
        <f aca="false">I386*(1+IF(J$3&lt;=$O$2,$D386,$D386-($D386-$I$373)*MIN(J$3-$O$2,$Q$2)/$Q$2))</f>
        <v>2473.92812817047</v>
      </c>
      <c r="K386" s="15" t="n">
        <f aca="false">J386*(1+IF(K$3&lt;=$O$2,$D386,$D386-($D386-$I$373)*MIN(K$3-$O$2,$Q$2)/$Q$2))</f>
        <v>2474.57241249979</v>
      </c>
      <c r="L386" s="15" t="n">
        <f aca="false">K386*(1+IF(L$3&lt;=$O$2,$D386,$D386-($D386-$I$373)*MIN(L$3-$O$2,$Q$2)/$Q$2))</f>
        <v>2498.34551367109</v>
      </c>
      <c r="M386" s="15" t="n">
        <f aca="false">L386*(1+IF(M$3&lt;=$O$2,$D386,$D386-($D386-$I$373)*MIN(M$3-$O$2,$Q$2)/$Q$2))</f>
        <v>2545.69784680948</v>
      </c>
      <c r="N386" s="15" t="n">
        <f aca="false">M386*(1+IF(N$3&lt;=$O$2,$D386,$D386-($D386-$I$373)*MIN(N$3-$O$2,$Q$2)/$Q$2))</f>
        <v>2617.74109587419</v>
      </c>
      <c r="O386" s="15" t="n">
        <f aca="false">SUMPRODUCT(E386:N386,1/(1+$F$373)^$E$3:$N$3)*$E$2</f>
        <v>11895.1323174802</v>
      </c>
      <c r="P386" s="15" t="n">
        <f aca="false">N386*$E$2*(1+$I$373)/($F$373-$I$373)/(1+$F$373)^$N$3</f>
        <v>17818.3802385944</v>
      </c>
      <c r="Q386" s="15" t="n">
        <f aca="false">O386+P386</f>
        <v>29713.5125560746</v>
      </c>
      <c r="R386" s="15" t="n">
        <f aca="false">Q386-$G$2+$I$2</f>
        <v>30483.5125560746</v>
      </c>
      <c r="S386" s="42" t="n">
        <f aca="false">R386/$K$2</f>
        <v>291.903787762851</v>
      </c>
      <c r="T386" s="43" t="n">
        <f aca="false">S386-$M$2</f>
        <v>-0.349396188120636</v>
      </c>
    </row>
    <row r="387" customFormat="false" ht="15" hidden="false" customHeight="false" outlineLevel="0" collapsed="false">
      <c r="A387" s="5" t="n">
        <v>13</v>
      </c>
      <c r="B387" s="25" t="n">
        <f aca="false">IF(T386&gt;0,B386,D386)</f>
        <v>-0.0184326171875</v>
      </c>
      <c r="C387" s="25" t="n">
        <f aca="false">IF(T386&gt;0,D386,C386)</f>
        <v>-0.01806640625</v>
      </c>
      <c r="D387" s="41" t="n">
        <f aca="false">(B387+C387)/2</f>
        <v>-0.01824951171875</v>
      </c>
      <c r="E387" s="15" t="n">
        <f aca="false">$C$2*(1+IF(E$3&lt;=$O$2,$D387,$D387-($D387-$I$373)*MIN(E$3-$O$2,$Q$2)/$Q$2))</f>
        <v>2689.99633789063</v>
      </c>
      <c r="F387" s="15" t="n">
        <f aca="false">E387*(1+IF(F$3&lt;=$O$2,$D387,$D387-($D387-$I$373)*MIN(F$3-$O$2,$Q$2)/$Q$2))</f>
        <v>2640.9052181989</v>
      </c>
      <c r="G387" s="15" t="n">
        <f aca="false">F387*(1+IF(G$3&lt;=$O$2,$D387,$D387-($D387-$I$373)*MIN(G$3-$O$2,$Q$2)/$Q$2))</f>
        <v>2592.70998747127</v>
      </c>
      <c r="H387" s="15" t="n">
        <f aca="false">G387*(1+IF(H$3&lt;=$O$2,$D387,$D387-($D387-$I$373)*MIN(H$3-$O$2,$Q$2)/$Q$2))</f>
        <v>2545.39429617159</v>
      </c>
      <c r="I387" s="15" t="n">
        <f aca="false">H387*(1+IF(I$3&lt;=$O$2,$D387,$D387-($D387-$I$373)*MIN(I$3-$O$2,$Q$2)/$Q$2))</f>
        <v>2498.94209313477</v>
      </c>
      <c r="J387" s="15" t="n">
        <f aca="false">I387*(1+IF(J$3&lt;=$O$2,$D387,$D387-($D387-$I$373)*MIN(J$3-$O$2,$Q$2)/$Q$2))</f>
        <v>2476.6025269714</v>
      </c>
      <c r="K387" s="15" t="n">
        <f aca="false">J387*(1+IF(K$3&lt;=$O$2,$D387,$D387-($D387-$I$373)*MIN(K$3-$O$2,$Q$2)/$Q$2))</f>
        <v>2477.51959547352</v>
      </c>
      <c r="L387" s="15" t="n">
        <f aca="false">K387*(1+IF(L$3&lt;=$O$2,$D387,$D387-($D387-$I$373)*MIN(L$3-$O$2,$Q$2)/$Q$2))</f>
        <v>2501.50246904825</v>
      </c>
      <c r="M387" s="15" t="n">
        <f aca="false">L387*(1+IF(M$3&lt;=$O$2,$D387,$D387-($D387-$I$373)*MIN(M$3-$O$2,$Q$2)/$Q$2))</f>
        <v>2549.00624522283</v>
      </c>
      <c r="N387" s="15" t="n">
        <f aca="false">M387*(1+IF(N$3&lt;=$O$2,$D387,$D387-($D387-$I$373)*MIN(N$3-$O$2,$Q$2)/$Q$2))</f>
        <v>2621.14312196264</v>
      </c>
      <c r="O387" s="15" t="n">
        <f aca="false">SUMPRODUCT(E387:N387,1/(1+$F$373)^$E$3:$N$3)*$E$2</f>
        <v>11904.6874942766</v>
      </c>
      <c r="P387" s="15" t="n">
        <f aca="false">N387*$E$2*(1+$I$373)/($F$373-$I$373)/(1+$F$373)^$N$3</f>
        <v>17841.5370719883</v>
      </c>
      <c r="Q387" s="15" t="n">
        <f aca="false">O387+P387</f>
        <v>29746.2245662649</v>
      </c>
      <c r="R387" s="15" t="n">
        <f aca="false">Q387-$G$2+$I$2</f>
        <v>30516.2245662649</v>
      </c>
      <c r="S387" s="42" t="n">
        <f aca="false">R387/$K$2</f>
        <v>292.217031181317</v>
      </c>
      <c r="T387" s="43" t="n">
        <f aca="false">S387-$M$2</f>
        <v>-0.036152769655132</v>
      </c>
    </row>
    <row r="388" customFormat="false" ht="15" hidden="false" customHeight="false" outlineLevel="0" collapsed="false">
      <c r="A388" s="5" t="n">
        <v>14</v>
      </c>
      <c r="B388" s="25" t="n">
        <f aca="false">IF(T387&gt;0,B387,D387)</f>
        <v>-0.01824951171875</v>
      </c>
      <c r="C388" s="25" t="n">
        <f aca="false">IF(T387&gt;0,D387,C387)</f>
        <v>-0.01806640625</v>
      </c>
      <c r="D388" s="41" t="n">
        <f aca="false">(B388+C388)/2</f>
        <v>-0.018157958984375</v>
      </c>
      <c r="E388" s="15" t="n">
        <f aca="false">$C$2*(1+IF(E$3&lt;=$O$2,$D388,$D388-($D388-$I$373)*MIN(E$3-$O$2,$Q$2)/$Q$2))</f>
        <v>2690.24719238281</v>
      </c>
      <c r="F388" s="15" t="n">
        <f aca="false">E388*(1+IF(F$3&lt;=$O$2,$D388,$D388-($D388-$I$373)*MIN(F$3-$O$2,$Q$2)/$Q$2))</f>
        <v>2641.3977942057</v>
      </c>
      <c r="G388" s="15" t="n">
        <f aca="false">F388*(1+IF(G$3&lt;=$O$2,$D388,$D388-($D388-$I$373)*MIN(G$3-$O$2,$Q$2)/$Q$2))</f>
        <v>2593.43540139709</v>
      </c>
      <c r="H388" s="15" t="n">
        <f aca="false">G388*(1+IF(H$3&lt;=$O$2,$D388,$D388-($D388-$I$373)*MIN(H$3-$O$2,$Q$2)/$Q$2))</f>
        <v>2546.3439077499</v>
      </c>
      <c r="I388" s="15" t="n">
        <f aca="false">H388*(1+IF(I$3&lt;=$O$2,$D388,$D388-($D388-$I$373)*MIN(I$3-$O$2,$Q$2)/$Q$2))</f>
        <v>2500.10749951286</v>
      </c>
      <c r="J388" s="15" t="n">
        <f aca="false">I388*(1+IF(J$3&lt;=$O$2,$D388,$D388-($D388-$I$373)*MIN(J$3-$O$2,$Q$2)/$Q$2))</f>
        <v>2477.94062841396</v>
      </c>
      <c r="K388" s="15" t="n">
        <f aca="false">J388*(1+IF(K$3&lt;=$O$2,$D388,$D388-($D388-$I$373)*MIN(K$3-$O$2,$Q$2)/$Q$2))</f>
        <v>2478.99430974973</v>
      </c>
      <c r="L388" s="15" t="n">
        <f aca="false">K388*(1+IF(L$3&lt;=$O$2,$D388,$D388-($D388-$I$373)*MIN(L$3-$O$2,$Q$2)/$Q$2))</f>
        <v>2503.0822423297</v>
      </c>
      <c r="M388" s="15" t="n">
        <f aca="false">L388*(1+IF(M$3&lt;=$O$2,$D388,$D388-($D388-$I$373)*MIN(M$3-$O$2,$Q$2)/$Q$2))</f>
        <v>2550.6618513579</v>
      </c>
      <c r="N388" s="15" t="n">
        <f aca="false">M388*(1+IF(N$3&lt;=$O$2,$D388,$D388-($D388-$I$373)*MIN(N$3-$O$2,$Q$2)/$Q$2))</f>
        <v>2622.84558175133</v>
      </c>
      <c r="O388" s="15" t="n">
        <f aca="false">SUMPRODUCT(E388:N388,1/(1+$F$373)^$E$3:$N$3)*$E$2</f>
        <v>11909.4680393366</v>
      </c>
      <c r="P388" s="15" t="n">
        <f aca="false">N388*$E$2*(1+$I$373)/($F$373-$I$373)/(1+$F$373)^$N$3</f>
        <v>17853.1253363524</v>
      </c>
      <c r="Q388" s="15" t="n">
        <f aca="false">O388+P388</f>
        <v>29762.593375689</v>
      </c>
      <c r="R388" s="15" t="n">
        <f aca="false">Q388-$G$2+$I$2</f>
        <v>30532.593375689</v>
      </c>
      <c r="S388" s="42" t="n">
        <f aca="false">R388/$K$2</f>
        <v>292.373775502145</v>
      </c>
      <c r="T388" s="43" t="n">
        <f aca="false">S388-$M$2</f>
        <v>0.120591551173391</v>
      </c>
    </row>
    <row r="389" customFormat="false" ht="15" hidden="false" customHeight="false" outlineLevel="0" collapsed="false">
      <c r="A389" s="5" t="n">
        <v>15</v>
      </c>
      <c r="B389" s="25" t="n">
        <f aca="false">IF(T388&gt;0,B388,D388)</f>
        <v>-0.01824951171875</v>
      </c>
      <c r="C389" s="25" t="n">
        <f aca="false">IF(T388&gt;0,D388,C388)</f>
        <v>-0.018157958984375</v>
      </c>
      <c r="D389" s="41" t="n">
        <f aca="false">(B389+C389)/2</f>
        <v>-0.0182037353515625</v>
      </c>
      <c r="E389" s="15" t="n">
        <f aca="false">$C$2*(1+IF(E$3&lt;=$O$2,$D389,$D389-($D389-$I$373)*MIN(E$3-$O$2,$Q$2)/$Q$2))</f>
        <v>2690.12176513672</v>
      </c>
      <c r="F389" s="15" t="n">
        <f aca="false">E389*(1+IF(F$3&lt;=$O$2,$D389,$D389-($D389-$I$373)*MIN(F$3-$O$2,$Q$2)/$Q$2))</f>
        <v>2641.15150046069</v>
      </c>
      <c r="G389" s="15" t="n">
        <f aca="false">F389*(1+IF(G$3&lt;=$O$2,$D389,$D389-($D389-$I$373)*MIN(G$3-$O$2,$Q$2)/$Q$2))</f>
        <v>2593.07267752292</v>
      </c>
      <c r="H389" s="15" t="n">
        <f aca="false">G389*(1+IF(H$3&lt;=$O$2,$D389,$D389-($D389-$I$373)*MIN(H$3-$O$2,$Q$2)/$Q$2))</f>
        <v>2545.86906875393</v>
      </c>
      <c r="I389" s="15" t="n">
        <f aca="false">H389*(1+IF(I$3&lt;=$O$2,$D389,$D389-($D389-$I$373)*MIN(I$3-$O$2,$Q$2)/$Q$2))</f>
        <v>2499.5247419866</v>
      </c>
      <c r="J389" s="15" t="n">
        <f aca="false">I389*(1+IF(J$3&lt;=$O$2,$D389,$D389-($D389-$I$373)*MIN(J$3-$O$2,$Q$2)/$Q$2))</f>
        <v>2477.2715025</v>
      </c>
      <c r="K389" s="15" t="n">
        <f aca="false">J389*(1+IF(K$3&lt;=$O$2,$D389,$D389-($D389-$I$373)*MIN(K$3-$O$2,$Q$2)/$Q$2))</f>
        <v>2478.25685901302</v>
      </c>
      <c r="L389" s="15" t="n">
        <f aca="false">K389*(1+IF(L$3&lt;=$O$2,$D389,$D389-($D389-$I$373)*MIN(L$3-$O$2,$Q$2)/$Q$2))</f>
        <v>2502.29224768119</v>
      </c>
      <c r="M389" s="15" t="n">
        <f aca="false">L389*(1+IF(M$3&lt;=$O$2,$D389,$D389-($D389-$I$373)*MIN(M$3-$O$2,$Q$2)/$Q$2))</f>
        <v>2549.83393099888</v>
      </c>
      <c r="N389" s="15" t="n">
        <f aca="false">M389*(1+IF(N$3&lt;=$O$2,$D389,$D389-($D389-$I$373)*MIN(N$3-$O$2,$Q$2)/$Q$2))</f>
        <v>2621.99423124615</v>
      </c>
      <c r="O389" s="15" t="n">
        <f aca="false">SUMPRODUCT(E389:N389,1/(1+$F$373)^$E$3:$N$3)*$E$2</f>
        <v>11907.0775203376</v>
      </c>
      <c r="P389" s="15" t="n">
        <f aca="false">N389*$E$2*(1+$I$373)/($F$373-$I$373)/(1+$F$373)^$N$3</f>
        <v>17847.3303831993</v>
      </c>
      <c r="Q389" s="15" t="n">
        <f aca="false">O389+P389</f>
        <v>29754.4079035369</v>
      </c>
      <c r="R389" s="15" t="n">
        <f aca="false">Q389-$G$2+$I$2</f>
        <v>30524.4079035369</v>
      </c>
      <c r="S389" s="42" t="n">
        <f aca="false">R389/$K$2</f>
        <v>292.295393120147</v>
      </c>
      <c r="T389" s="43" t="n">
        <f aca="false">S389-$M$2</f>
        <v>0.0422091691747255</v>
      </c>
    </row>
    <row r="390" customFormat="false" ht="15" hidden="false" customHeight="false" outlineLevel="0" collapsed="false">
      <c r="A390" s="5" t="n">
        <v>16</v>
      </c>
      <c r="B390" s="25" t="n">
        <f aca="false">IF(T389&gt;0,B389,D389)</f>
        <v>-0.01824951171875</v>
      </c>
      <c r="C390" s="25" t="n">
        <f aca="false">IF(T389&gt;0,D389,C389)</f>
        <v>-0.0182037353515625</v>
      </c>
      <c r="D390" s="41" t="n">
        <f aca="false">(B390+C390)/2</f>
        <v>-0.0182266235351563</v>
      </c>
      <c r="E390" s="15" t="n">
        <f aca="false">$C$2*(1+IF(E$3&lt;=$O$2,$D390,$D390-($D390-$I$373)*MIN(E$3-$O$2,$Q$2)/$Q$2))</f>
        <v>2690.05905151367</v>
      </c>
      <c r="F390" s="15" t="n">
        <f aca="false">E390*(1+IF(F$3&lt;=$O$2,$D390,$D390-($D390-$I$373)*MIN(F$3-$O$2,$Q$2)/$Q$2))</f>
        <v>2641.02835789439</v>
      </c>
      <c r="G390" s="15" t="n">
        <f aca="false">F390*(1+IF(G$3&lt;=$O$2,$D390,$D390-($D390-$I$373)*MIN(G$3-$O$2,$Q$2)/$Q$2))</f>
        <v>2592.89132826938</v>
      </c>
      <c r="H390" s="15" t="n">
        <f aca="false">G390*(1+IF(H$3&lt;=$O$2,$D390,$D390-($D390-$I$373)*MIN(H$3-$O$2,$Q$2)/$Q$2))</f>
        <v>2545.63167416144</v>
      </c>
      <c r="I390" s="15" t="n">
        <f aca="false">H390*(1+IF(I$3&lt;=$O$2,$D390,$D390-($D390-$I$373)*MIN(I$3-$O$2,$Q$2)/$Q$2))</f>
        <v>2499.23340397733</v>
      </c>
      <c r="J390" s="15" t="n">
        <f aca="false">I390*(1+IF(J$3&lt;=$O$2,$D390,$D390-($D390-$I$373)*MIN(J$3-$O$2,$Q$2)/$Q$2))</f>
        <v>2476.93699593922</v>
      </c>
      <c r="K390" s="15" t="n">
        <f aca="false">J390*(1+IF(K$3&lt;=$O$2,$D390,$D390-($D390-$I$373)*MIN(K$3-$O$2,$Q$2)/$Q$2))</f>
        <v>2477.88820384608</v>
      </c>
      <c r="L390" s="15" t="n">
        <f aca="false">K390*(1+IF(L$3&lt;=$O$2,$D390,$D390-($D390-$I$373)*MIN(L$3-$O$2,$Q$2)/$Q$2))</f>
        <v>2501.8973313659</v>
      </c>
      <c r="M390" s="15" t="n">
        <f aca="false">L390*(1+IF(M$3&lt;=$O$2,$D390,$D390-($D390-$I$373)*MIN(M$3-$O$2,$Q$2)/$Q$2))</f>
        <v>2549.42005879154</v>
      </c>
      <c r="N390" s="15" t="n">
        <f aca="false">M390*(1+IF(N$3&lt;=$O$2,$D390,$D390-($D390-$I$373)*MIN(N$3-$O$2,$Q$2)/$Q$2))</f>
        <v>2621.56864645534</v>
      </c>
      <c r="O390" s="15" t="n">
        <f aca="false">SUMPRODUCT(E390:N390,1/(1+$F$373)^$E$3:$N$3)*$E$2</f>
        <v>11905.8824456959</v>
      </c>
      <c r="P390" s="15" t="n">
        <f aca="false">N390*$E$2*(1+$I$373)/($F$373-$I$373)/(1+$F$373)^$N$3</f>
        <v>17844.4335223759</v>
      </c>
      <c r="Q390" s="15" t="n">
        <f aca="false">O390+P390</f>
        <v>29750.3159680719</v>
      </c>
      <c r="R390" s="15" t="n">
        <f aca="false">Q390-$G$2+$I$2</f>
        <v>30520.3159680719</v>
      </c>
      <c r="S390" s="42" t="n">
        <f aca="false">R390/$K$2</f>
        <v>292.256209595632</v>
      </c>
      <c r="T390" s="43" t="n">
        <f aca="false">S390-$M$2</f>
        <v>0.00302564466005606</v>
      </c>
    </row>
    <row r="391" customFormat="false" ht="15" hidden="false" customHeight="false" outlineLevel="0" collapsed="false">
      <c r="A391" s="5" t="n">
        <v>17</v>
      </c>
      <c r="B391" s="25" t="n">
        <f aca="false">IF(T390&gt;0,B390,D390)</f>
        <v>-0.01824951171875</v>
      </c>
      <c r="C391" s="25" t="n">
        <f aca="false">IF(T390&gt;0,D390,C390)</f>
        <v>-0.0182266235351563</v>
      </c>
      <c r="D391" s="41" t="n">
        <f aca="false">(B391+C391)/2</f>
        <v>-0.0182380676269531</v>
      </c>
      <c r="E391" s="15" t="n">
        <f aca="false">$C$2*(1+IF(E$3&lt;=$O$2,$D391,$D391-($D391-$I$373)*MIN(E$3-$O$2,$Q$2)/$Q$2))</f>
        <v>2690.02769470215</v>
      </c>
      <c r="F391" s="15" t="n">
        <f aca="false">E391*(1+IF(F$3&lt;=$O$2,$D391,$D391-($D391-$I$373)*MIN(F$3-$O$2,$Q$2)/$Q$2))</f>
        <v>2640.96678768779</v>
      </c>
      <c r="G391" s="15" t="n">
        <f aca="false">F391*(1+IF(G$3&lt;=$O$2,$D391,$D391-($D391-$I$373)*MIN(G$3-$O$2,$Q$2)/$Q$2))</f>
        <v>2592.80065681341</v>
      </c>
      <c r="H391" s="15" t="n">
        <f aca="false">G391*(1+IF(H$3&lt;=$O$2,$D391,$D391-($D391-$I$373)*MIN(H$3-$O$2,$Q$2)/$Q$2))</f>
        <v>2545.51298309124</v>
      </c>
      <c r="I391" s="15" t="n">
        <f aca="false">H391*(1+IF(I$3&lt;=$O$2,$D391,$D391-($D391-$I$373)*MIN(I$3-$O$2,$Q$2)/$Q$2))</f>
        <v>2499.08774516033</v>
      </c>
      <c r="J391" s="15" t="n">
        <f aca="false">I391*(1+IF(J$3&lt;=$O$2,$D391,$D391-($D391-$I$373)*MIN(J$3-$O$2,$Q$2)/$Q$2))</f>
        <v>2476.7697567564</v>
      </c>
      <c r="K391" s="15" t="n">
        <f aca="false">J391*(1+IF(K$3&lt;=$O$2,$D391,$D391-($D391-$I$373)*MIN(K$3-$O$2,$Q$2)/$Q$2))</f>
        <v>2477.70389381081</v>
      </c>
      <c r="L391" s="15" t="n">
        <f aca="false">K391*(1+IF(L$3&lt;=$O$2,$D391,$D391-($D391-$I$373)*MIN(L$3-$O$2,$Q$2)/$Q$2))</f>
        <v>2501.69989345777</v>
      </c>
      <c r="M391" s="15" t="n">
        <f aca="false">L391*(1+IF(M$3&lt;=$O$2,$D391,$D391-($D391-$I$373)*MIN(M$3-$O$2,$Q$2)/$Q$2))</f>
        <v>2549.2131446778</v>
      </c>
      <c r="N391" s="15" t="n">
        <f aca="false">M391*(1+IF(N$3&lt;=$O$2,$D391,$D391-($D391-$I$373)*MIN(N$3-$O$2,$Q$2)/$Q$2))</f>
        <v>2621.35587667219</v>
      </c>
      <c r="O391" s="15" t="n">
        <f aca="false">SUMPRODUCT(E391:N391,1/(1+$F$373)^$E$3:$N$3)*$E$2</f>
        <v>11905.2849545842</v>
      </c>
      <c r="P391" s="15" t="n">
        <f aca="false">N391*$E$2*(1+$I$373)/($F$373-$I$373)/(1+$F$373)^$N$3</f>
        <v>17842.9852458808</v>
      </c>
      <c r="Q391" s="15" t="n">
        <f aca="false">O391+P391</f>
        <v>29748.270200465</v>
      </c>
      <c r="R391" s="15" t="n">
        <f aca="false">Q391-$G$2+$I$2</f>
        <v>30518.270200465</v>
      </c>
      <c r="S391" s="42" t="n">
        <f aca="false">R391/$K$2</f>
        <v>292.236619749737</v>
      </c>
      <c r="T391" s="43" t="n">
        <f aca="false">S391-$M$2</f>
        <v>-0.0165642012353828</v>
      </c>
    </row>
    <row r="392" customFormat="false" ht="15" hidden="false" customHeight="false" outlineLevel="0" collapsed="false">
      <c r="A392" s="5" t="n">
        <v>18</v>
      </c>
      <c r="B392" s="25" t="n">
        <f aca="false">IF(T391&gt;0,B391,D391)</f>
        <v>-0.0182380676269531</v>
      </c>
      <c r="C392" s="25" t="n">
        <f aca="false">IF(T391&gt;0,D391,C391)</f>
        <v>-0.0182266235351563</v>
      </c>
      <c r="D392" s="41" t="n">
        <f aca="false">(B392+C392)/2</f>
        <v>-0.0182323455810547</v>
      </c>
      <c r="E392" s="15" t="n">
        <f aca="false">$C$2*(1+IF(E$3&lt;=$O$2,$D392,$D392-($D392-$I$373)*MIN(E$3-$O$2,$Q$2)/$Q$2))</f>
        <v>2690.04337310791</v>
      </c>
      <c r="F392" s="15" t="n">
        <f aca="false">E392*(1+IF(F$3&lt;=$O$2,$D392,$D392-($D392-$I$373)*MIN(F$3-$O$2,$Q$2)/$Q$2))</f>
        <v>2640.99757270138</v>
      </c>
      <c r="G392" s="15" t="n">
        <f aca="false">F392*(1+IF(G$3&lt;=$O$2,$D392,$D392-($D392-$I$373)*MIN(G$3-$O$2,$Q$2)/$Q$2))</f>
        <v>2592.84599227716</v>
      </c>
      <c r="H392" s="15" t="n">
        <f aca="false">G392*(1+IF(H$3&lt;=$O$2,$D392,$D392-($D392-$I$373)*MIN(H$3-$O$2,$Q$2)/$Q$2))</f>
        <v>2545.57232810751</v>
      </c>
      <c r="I392" s="15" t="n">
        <f aca="false">H392*(1+IF(I$3&lt;=$O$2,$D392,$D392-($D392-$I$373)*MIN(I$3-$O$2,$Q$2)/$Q$2))</f>
        <v>2499.16057371989</v>
      </c>
      <c r="J392" s="15" t="n">
        <f aca="false">I392*(1+IF(J$3&lt;=$O$2,$D392,$D392-($D392-$I$373)*MIN(J$3-$O$2,$Q$2)/$Q$2))</f>
        <v>2476.85337517306</v>
      </c>
      <c r="K392" s="15" t="n">
        <f aca="false">J392*(1+IF(K$3&lt;=$O$2,$D392,$D392-($D392-$I$373)*MIN(K$3-$O$2,$Q$2)/$Q$2))</f>
        <v>2477.79604736616</v>
      </c>
      <c r="L392" s="15" t="n">
        <f aca="false">K392*(1+IF(L$3&lt;=$O$2,$D392,$D392-($D392-$I$373)*MIN(L$3-$O$2,$Q$2)/$Q$2))</f>
        <v>2501.79861072446</v>
      </c>
      <c r="M392" s="15" t="n">
        <f aca="false">L392*(1+IF(M$3&lt;=$O$2,$D392,$D392-($D392-$I$373)*MIN(M$3-$O$2,$Q$2)/$Q$2))</f>
        <v>2549.31659990227</v>
      </c>
      <c r="N392" s="15" t="n">
        <f aca="false">M392*(1+IF(N$3&lt;=$O$2,$D392,$D392-($D392-$I$373)*MIN(N$3-$O$2,$Q$2)/$Q$2))</f>
        <v>2621.46225967951</v>
      </c>
      <c r="O392" s="15" t="n">
        <f aca="false">SUMPRODUCT(E392:N392,1/(1+$F$373)^$E$3:$N$3)*$E$2</f>
        <v>11905.5836962895</v>
      </c>
      <c r="P392" s="15" t="n">
        <f aca="false">N392*$E$2*(1+$I$373)/($F$373-$I$373)/(1+$F$373)^$N$3</f>
        <v>17843.7093713026</v>
      </c>
      <c r="Q392" s="15" t="n">
        <f aca="false">O392+P392</f>
        <v>29749.2930675921</v>
      </c>
      <c r="R392" s="15" t="n">
        <f aca="false">Q392-$G$2+$I$2</f>
        <v>30519.2930675921</v>
      </c>
      <c r="S392" s="42" t="n">
        <f aca="false">R392/$K$2</f>
        <v>292.246414512995</v>
      </c>
      <c r="T392" s="43" t="n">
        <f aca="false">S392-$M$2</f>
        <v>-0.00676943797668628</v>
      </c>
    </row>
    <row r="393" customFormat="false" ht="15" hidden="false" customHeight="false" outlineLevel="0" collapsed="false">
      <c r="A393" s="5" t="n">
        <v>19</v>
      </c>
      <c r="B393" s="25" t="n">
        <f aca="false">IF(T392&gt;0,B392,D392)</f>
        <v>-0.0182323455810547</v>
      </c>
      <c r="C393" s="25" t="n">
        <f aca="false">IF(T392&gt;0,D392,C392)</f>
        <v>-0.0182266235351563</v>
      </c>
      <c r="D393" s="41" t="n">
        <f aca="false">(B393+C393)/2</f>
        <v>-0.0182294845581055</v>
      </c>
      <c r="E393" s="15" t="n">
        <f aca="false">$C$2*(1+IF(E$3&lt;=$O$2,$D393,$D393-($D393-$I$373)*MIN(E$3-$O$2,$Q$2)/$Q$2))</f>
        <v>2690.05121231079</v>
      </c>
      <c r="F393" s="15" t="n">
        <f aca="false">E393*(1+IF(F$3&lt;=$O$2,$D393,$D393-($D393-$I$373)*MIN(F$3-$O$2,$Q$2)/$Q$2))</f>
        <v>2641.01296527546</v>
      </c>
      <c r="G393" s="15" t="n">
        <f aca="false">F393*(1+IF(G$3&lt;=$O$2,$D393,$D393-($D393-$I$373)*MIN(G$3-$O$2,$Q$2)/$Q$2))</f>
        <v>2592.86866020721</v>
      </c>
      <c r="H393" s="15" t="n">
        <f aca="false">G393*(1+IF(H$3&lt;=$O$2,$D393,$D393-($D393-$I$373)*MIN(H$3-$O$2,$Q$2)/$Q$2))</f>
        <v>2545.60200100477</v>
      </c>
      <c r="I393" s="15" t="n">
        <f aca="false">H393*(1+IF(I$3&lt;=$O$2,$D393,$D393-($D393-$I$373)*MIN(I$3-$O$2,$Q$2)/$Q$2))</f>
        <v>2499.19698863637</v>
      </c>
      <c r="J393" s="15" t="n">
        <f aca="false">I393*(1+IF(J$3&lt;=$O$2,$D393,$D393-($D393-$I$373)*MIN(J$3-$O$2,$Q$2)/$Q$2))</f>
        <v>2476.89518526245</v>
      </c>
      <c r="K393" s="15" t="n">
        <f aca="false">J393*(1+IF(K$3&lt;=$O$2,$D393,$D393-($D393-$I$373)*MIN(K$3-$O$2,$Q$2)/$Q$2))</f>
        <v>2477.84212524054</v>
      </c>
      <c r="L393" s="15" t="n">
        <f aca="false">K393*(1+IF(L$3&lt;=$O$2,$D393,$D393-($D393-$I$373)*MIN(L$3-$O$2,$Q$2)/$Q$2))</f>
        <v>2501.84797062333</v>
      </c>
      <c r="M393" s="15" t="n">
        <f aca="false">L393*(1+IF(M$3&lt;=$O$2,$D393,$D393-($D393-$I$373)*MIN(M$3-$O$2,$Q$2)/$Q$2))</f>
        <v>2549.3683288888</v>
      </c>
      <c r="N393" s="15" t="n">
        <f aca="false">M393*(1+IF(N$3&lt;=$O$2,$D393,$D393-($D393-$I$373)*MIN(N$3-$O$2,$Q$2)/$Q$2))</f>
        <v>2621.51545259635</v>
      </c>
      <c r="O393" s="15" t="n">
        <f aca="false">SUMPRODUCT(E393:N393,1/(1+$F$373)^$E$3:$N$3)*$E$2</f>
        <v>11905.73307003</v>
      </c>
      <c r="P393" s="15" t="n">
        <f aca="false">N393*$E$2*(1+$I$373)/($F$373-$I$373)/(1+$F$373)^$N$3</f>
        <v>17844.0714436328</v>
      </c>
      <c r="Q393" s="15" t="n">
        <f aca="false">O393+P393</f>
        <v>29749.8045136628</v>
      </c>
      <c r="R393" s="15" t="n">
        <f aca="false">Q393-$G$2+$I$2</f>
        <v>30519.8045136628</v>
      </c>
      <c r="S393" s="42" t="n">
        <f aca="false">R393/$K$2</f>
        <v>292.251312014391</v>
      </c>
      <c r="T393" s="43" t="n">
        <f aca="false">S393-$M$2</f>
        <v>-0.00187193658115348</v>
      </c>
    </row>
    <row r="394" customFormat="false" ht="15" hidden="false" customHeight="false" outlineLevel="0" collapsed="false">
      <c r="A394" s="5" t="n">
        <v>20</v>
      </c>
      <c r="B394" s="25" t="n">
        <f aca="false">IF(T393&gt;0,B393,D393)</f>
        <v>-0.0182294845581055</v>
      </c>
      <c r="C394" s="25" t="n">
        <f aca="false">IF(T393&gt;0,D393,C393)</f>
        <v>-0.0182266235351563</v>
      </c>
      <c r="D394" s="41" t="n">
        <f aca="false">(B394+C394)/2</f>
        <v>-0.0182280540466309</v>
      </c>
      <c r="E394" s="15" t="n">
        <f aca="false">$C$2*(1+IF(E$3&lt;=$O$2,$D394,$D394-($D394-$I$373)*MIN(E$3-$O$2,$Q$2)/$Q$2))</f>
        <v>2690.05513191223</v>
      </c>
      <c r="F394" s="15" t="n">
        <f aca="false">E394*(1+IF(F$3&lt;=$O$2,$D394,$D394-($D394-$I$373)*MIN(F$3-$O$2,$Q$2)/$Q$2))</f>
        <v>2641.02066157932</v>
      </c>
      <c r="G394" s="15" t="n">
        <f aca="false">F394*(1+IF(G$3&lt;=$O$2,$D394,$D394-($D394-$I$373)*MIN(G$3-$O$2,$Q$2)/$Q$2))</f>
        <v>2592.87999422178</v>
      </c>
      <c r="H394" s="15" t="n">
        <f aca="false">G394*(1+IF(H$3&lt;=$O$2,$D394,$D394-($D394-$I$373)*MIN(H$3-$O$2,$Q$2)/$Q$2))</f>
        <v>2545.61683755068</v>
      </c>
      <c r="I394" s="15" t="n">
        <f aca="false">H394*(1+IF(I$3&lt;=$O$2,$D394,$D394-($D394-$I$373)*MIN(I$3-$O$2,$Q$2)/$Q$2))</f>
        <v>2499.21519625379</v>
      </c>
      <c r="J394" s="15" t="n">
        <f aca="false">I394*(1+IF(J$3&lt;=$O$2,$D394,$D394-($D394-$I$373)*MIN(J$3-$O$2,$Q$2)/$Q$2))</f>
        <v>2476.91609052741</v>
      </c>
      <c r="K394" s="15" t="n">
        <f aca="false">J394*(1+IF(K$3&lt;=$O$2,$D394,$D394-($D394-$I$373)*MIN(K$3-$O$2,$Q$2)/$Q$2))</f>
        <v>2477.86516445192</v>
      </c>
      <c r="L394" s="15" t="n">
        <f aca="false">K394*(1+IF(L$3&lt;=$O$2,$D394,$D394-($D394-$I$373)*MIN(L$3-$O$2,$Q$2)/$Q$2))</f>
        <v>2501.87265088915</v>
      </c>
      <c r="M394" s="15" t="n">
        <f aca="false">L394*(1+IF(M$3&lt;=$O$2,$D394,$D394-($D394-$I$373)*MIN(M$3-$O$2,$Q$2)/$Q$2))</f>
        <v>2549.39419372564</v>
      </c>
      <c r="N394" s="15" t="n">
        <f aca="false">M394*(1+IF(N$3&lt;=$O$2,$D394,$D394-($D394-$I$373)*MIN(N$3-$O$2,$Q$2)/$Q$2))</f>
        <v>2621.54204940808</v>
      </c>
      <c r="O394" s="15" t="n">
        <f aca="false">SUMPRODUCT(E394:N394,1/(1+$F$373)^$E$3:$N$3)*$E$2</f>
        <v>11905.8077576223</v>
      </c>
      <c r="P394" s="15" t="n">
        <f aca="false">N394*$E$2*(1+$I$373)/($F$373-$I$373)/(1+$F$373)^$N$3</f>
        <v>17844.2524822027</v>
      </c>
      <c r="Q394" s="15" t="n">
        <f aca="false">O394+P394</f>
        <v>29750.0602398251</v>
      </c>
      <c r="R394" s="15" t="n">
        <f aca="false">Q394-$G$2+$I$2</f>
        <v>30520.0602398251</v>
      </c>
      <c r="S394" s="42" t="n">
        <f aca="false">R394/$K$2</f>
        <v>292.253760795031</v>
      </c>
      <c r="T394" s="43" t="n">
        <f aca="false">S394-$M$2</f>
        <v>0.000576844058684856</v>
      </c>
    </row>
    <row r="395" customFormat="false" ht="15" hidden="false" customHeight="false" outlineLevel="0" collapsed="false">
      <c r="A395" s="5" t="n">
        <v>21</v>
      </c>
      <c r="B395" s="25" t="n">
        <f aca="false">IF(T394&gt;0,B394,D394)</f>
        <v>-0.0182294845581055</v>
      </c>
      <c r="C395" s="25" t="n">
        <f aca="false">IF(T394&gt;0,D394,C394)</f>
        <v>-0.0182280540466309</v>
      </c>
      <c r="D395" s="41" t="n">
        <f aca="false">(B395+C395)/2</f>
        <v>-0.0182287693023682</v>
      </c>
      <c r="E395" s="15" t="n">
        <f aca="false">$C$2*(1+IF(E$3&lt;=$O$2,$D395,$D395-($D395-$I$373)*MIN(E$3-$O$2,$Q$2)/$Q$2))</f>
        <v>2690.05317211151</v>
      </c>
      <c r="F395" s="15" t="n">
        <f aca="false">E395*(1+IF(F$3&lt;=$O$2,$D395,$D395-($D395-$I$373)*MIN(F$3-$O$2,$Q$2)/$Q$2))</f>
        <v>2641.01681342599</v>
      </c>
      <c r="G395" s="15" t="n">
        <f aca="false">F395*(1+IF(G$3&lt;=$O$2,$D395,$D395-($D395-$I$373)*MIN(G$3-$O$2,$Q$2)/$Q$2))</f>
        <v>2592.87432721037</v>
      </c>
      <c r="H395" s="15" t="n">
        <f aca="false">G395*(1+IF(H$3&lt;=$O$2,$D395,$D395-($D395-$I$373)*MIN(H$3-$O$2,$Q$2)/$Q$2))</f>
        <v>2545.60941926962</v>
      </c>
      <c r="I395" s="15" t="n">
        <f aca="false">H395*(1+IF(I$3&lt;=$O$2,$D395,$D395-($D395-$I$373)*MIN(I$3-$O$2,$Q$2)/$Q$2))</f>
        <v>2499.20609243182</v>
      </c>
      <c r="J395" s="15" t="n">
        <f aca="false">I395*(1+IF(J$3&lt;=$O$2,$D395,$D395-($D395-$I$373)*MIN(J$3-$O$2,$Q$2)/$Q$2))</f>
        <v>2476.90563787657</v>
      </c>
      <c r="K395" s="15" t="n">
        <f aca="false">J395*(1+IF(K$3&lt;=$O$2,$D395,$D395-($D395-$I$373)*MIN(K$3-$O$2,$Q$2)/$Q$2))</f>
        <v>2477.85364482338</v>
      </c>
      <c r="L395" s="15" t="n">
        <f aca="false">K395*(1+IF(L$3&lt;=$O$2,$D395,$D395-($D395-$I$373)*MIN(L$3-$O$2,$Q$2)/$Q$2))</f>
        <v>2501.86031072988</v>
      </c>
      <c r="M395" s="15" t="n">
        <f aca="false">L395*(1+IF(M$3&lt;=$O$2,$D395,$D395-($D395-$I$373)*MIN(M$3-$O$2,$Q$2)/$Q$2))</f>
        <v>2549.38126127859</v>
      </c>
      <c r="N395" s="15" t="n">
        <f aca="false">M395*(1+IF(N$3&lt;=$O$2,$D395,$D395-($D395-$I$373)*MIN(N$3-$O$2,$Q$2)/$Q$2))</f>
        <v>2621.52875097277</v>
      </c>
      <c r="O395" s="15" t="n">
        <f aca="false">SUMPRODUCT(E395:N395,1/(1+$F$373)^$E$3:$N$3)*$E$2</f>
        <v>11905.770413766</v>
      </c>
      <c r="P395" s="15" t="n">
        <f aca="false">N395*$E$2*(1+$I$373)/($F$373-$I$373)/(1+$F$373)^$N$3</f>
        <v>17844.1619627174</v>
      </c>
      <c r="Q395" s="15" t="n">
        <f aca="false">O395+P395</f>
        <v>29749.9323764834</v>
      </c>
      <c r="R395" s="15" t="n">
        <f aca="false">Q395-$G$2+$I$2</f>
        <v>30519.9323764834</v>
      </c>
      <c r="S395" s="42" t="n">
        <f aca="false">R395/$K$2</f>
        <v>292.252536402216</v>
      </c>
      <c r="T395" s="43" t="n">
        <f aca="false">S395-$M$2</f>
        <v>-0.000647548756489869</v>
      </c>
    </row>
    <row r="396" customFormat="false" ht="15" hidden="false" customHeight="false" outlineLevel="0" collapsed="false">
      <c r="A396" s="5" t="n">
        <v>22</v>
      </c>
      <c r="B396" s="25" t="n">
        <f aca="false">IF(T395&gt;0,B395,D395)</f>
        <v>-0.0182287693023682</v>
      </c>
      <c r="C396" s="25" t="n">
        <f aca="false">IF(T395&gt;0,D395,C395)</f>
        <v>-0.0182280540466309</v>
      </c>
      <c r="D396" s="41" t="n">
        <f aca="false">(B396+C396)/2</f>
        <v>-0.0182284116744995</v>
      </c>
      <c r="E396" s="15" t="n">
        <f aca="false">$C$2*(1+IF(E$3&lt;=$O$2,$D396,$D396-($D396-$I$373)*MIN(E$3-$O$2,$Q$2)/$Q$2))</f>
        <v>2690.05415201187</v>
      </c>
      <c r="F396" s="15" t="n">
        <f aca="false">E396*(1+IF(F$3&lt;=$O$2,$D396,$D396-($D396-$I$373)*MIN(F$3-$O$2,$Q$2)/$Q$2))</f>
        <v>2641.0187375023</v>
      </c>
      <c r="G396" s="15" t="n">
        <f aca="false">F396*(1+IF(G$3&lt;=$O$2,$D396,$D396-($D396-$I$373)*MIN(G$3-$O$2,$Q$2)/$Q$2))</f>
        <v>2592.87716071504</v>
      </c>
      <c r="H396" s="15" t="n">
        <f aca="false">G396*(1+IF(H$3&lt;=$O$2,$D396,$D396-($D396-$I$373)*MIN(H$3-$O$2,$Q$2)/$Q$2))</f>
        <v>2545.61312840812</v>
      </c>
      <c r="I396" s="15" t="n">
        <f aca="false">H396*(1+IF(I$3&lt;=$O$2,$D396,$D396-($D396-$I$373)*MIN(I$3-$O$2,$Q$2)/$Q$2))</f>
        <v>2499.21064433949</v>
      </c>
      <c r="J396" s="15" t="n">
        <f aca="false">I396*(1+IF(J$3&lt;=$O$2,$D396,$D396-($D396-$I$373)*MIN(J$3-$O$2,$Q$2)/$Q$2))</f>
        <v>2476.9108641974</v>
      </c>
      <c r="K396" s="15" t="n">
        <f aca="false">J396*(1+IF(K$3&lt;=$O$2,$D396,$D396-($D396-$I$373)*MIN(K$3-$O$2,$Q$2)/$Q$2))</f>
        <v>2477.85940463194</v>
      </c>
      <c r="L396" s="15" t="n">
        <f aca="false">K396*(1+IF(L$3&lt;=$O$2,$D396,$D396-($D396-$I$373)*MIN(L$3-$O$2,$Q$2)/$Q$2))</f>
        <v>2501.86648080292</v>
      </c>
      <c r="M396" s="15" t="n">
        <f aca="false">L396*(1+IF(M$3&lt;=$O$2,$D396,$D396-($D396-$I$373)*MIN(M$3-$O$2,$Q$2)/$Q$2))</f>
        <v>2549.38772749496</v>
      </c>
      <c r="N396" s="15" t="n">
        <f aca="false">M396*(1+IF(N$3&lt;=$O$2,$D396,$D396-($D396-$I$373)*MIN(N$3-$O$2,$Q$2)/$Q$2))</f>
        <v>2621.53540018307</v>
      </c>
      <c r="O396" s="15" t="n">
        <f aca="false">SUMPRODUCT(E396:N396,1/(1+$F$373)^$E$3:$N$3)*$E$2</f>
        <v>11905.7890856791</v>
      </c>
      <c r="P396" s="15" t="n">
        <f aca="false">N396*$E$2*(1+$I$373)/($F$373-$I$373)/(1+$F$373)^$N$3</f>
        <v>17844.20722241</v>
      </c>
      <c r="Q396" s="15" t="n">
        <f aca="false">O396+P396</f>
        <v>29749.9963080891</v>
      </c>
      <c r="R396" s="15" t="n">
        <f aca="false">Q396-$G$2+$I$2</f>
        <v>30519.9963080891</v>
      </c>
      <c r="S396" s="42" t="n">
        <f aca="false">R396/$K$2</f>
        <v>292.253148597999</v>
      </c>
      <c r="T396" s="43" t="n">
        <f aca="false">S396-$M$2</f>
        <v>-3.53529725884982E-005</v>
      </c>
    </row>
    <row r="397" customFormat="false" ht="15" hidden="false" customHeight="false" outlineLevel="0" collapsed="false">
      <c r="A397" s="5" t="n">
        <v>23</v>
      </c>
      <c r="B397" s="25" t="n">
        <f aca="false">IF(T396&gt;0,B396,D396)</f>
        <v>-0.0182284116744995</v>
      </c>
      <c r="C397" s="25" t="n">
        <f aca="false">IF(T396&gt;0,D396,C396)</f>
        <v>-0.0182280540466309</v>
      </c>
      <c r="D397" s="41" t="n">
        <f aca="false">(B397+C397)/2</f>
        <v>-0.0182282328605652</v>
      </c>
      <c r="E397" s="15" t="n">
        <f aca="false">$C$2*(1+IF(E$3&lt;=$O$2,$D397,$D397-($D397-$I$373)*MIN(E$3-$O$2,$Q$2)/$Q$2))</f>
        <v>2690.05464196205</v>
      </c>
      <c r="F397" s="15" t="n">
        <f aca="false">E397*(1+IF(F$3&lt;=$O$2,$D397,$D397-($D397-$I$373)*MIN(F$3-$O$2,$Q$2)/$Q$2))</f>
        <v>2641.01969954072</v>
      </c>
      <c r="G397" s="15" t="n">
        <f aca="false">F397*(1+IF(G$3&lt;=$O$2,$D397,$D397-($D397-$I$373)*MIN(G$3-$O$2,$Q$2)/$Q$2))</f>
        <v>2592.87857746815</v>
      </c>
      <c r="H397" s="15" t="n">
        <f aca="false">G397*(1+IF(H$3&lt;=$O$2,$D397,$D397-($D397-$I$373)*MIN(H$3-$O$2,$Q$2)/$Q$2))</f>
        <v>2545.61498297889</v>
      </c>
      <c r="I397" s="15" t="n">
        <f aca="false">H397*(1+IF(I$3&lt;=$O$2,$D397,$D397-($D397-$I$373)*MIN(I$3-$O$2,$Q$2)/$Q$2))</f>
        <v>2499.21292029581</v>
      </c>
      <c r="J397" s="15" t="n">
        <f aca="false">I397*(1+IF(J$3&lt;=$O$2,$D397,$D397-($D397-$I$373)*MIN(J$3-$O$2,$Q$2)/$Q$2))</f>
        <v>2476.91347736126</v>
      </c>
      <c r="K397" s="15" t="n">
        <f aca="false">J397*(1+IF(K$3&lt;=$O$2,$D397,$D397-($D397-$I$373)*MIN(K$3-$O$2,$Q$2)/$Q$2))</f>
        <v>2477.8622845405</v>
      </c>
      <c r="L397" s="15" t="n">
        <f aca="false">K397*(1+IF(L$3&lt;=$O$2,$D397,$D397-($D397-$I$373)*MIN(L$3-$O$2,$Q$2)/$Q$2))</f>
        <v>2501.86956584439</v>
      </c>
      <c r="M397" s="15" t="n">
        <f aca="false">L397*(1+IF(M$3&lt;=$O$2,$D397,$D397-($D397-$I$373)*MIN(M$3-$O$2,$Q$2)/$Q$2))</f>
        <v>2549.39096060851</v>
      </c>
      <c r="N397" s="15" t="n">
        <f aca="false">M397*(1+IF(N$3&lt;=$O$2,$D397,$D397-($D397-$I$373)*MIN(N$3-$O$2,$Q$2)/$Q$2))</f>
        <v>2621.53872479373</v>
      </c>
      <c r="O397" s="15" t="n">
        <f aca="false">SUMPRODUCT(E397:N397,1/(1+$F$373)^$E$3:$N$3)*$E$2</f>
        <v>11905.798421647</v>
      </c>
      <c r="P397" s="15" t="n">
        <f aca="false">N397*$E$2*(1+$I$373)/($F$373-$I$373)/(1+$F$373)^$N$3</f>
        <v>17844.2298522938</v>
      </c>
      <c r="Q397" s="15" t="n">
        <f aca="false">O397+P397</f>
        <v>29750.0282739408</v>
      </c>
      <c r="R397" s="15" t="n">
        <f aca="false">Q397-$G$2+$I$2</f>
        <v>30520.0282739408</v>
      </c>
      <c r="S397" s="42" t="n">
        <f aca="false">R397/$K$2</f>
        <v>292.253454696359</v>
      </c>
      <c r="T397" s="43" t="n">
        <f aca="false">S397-$M$2</f>
        <v>0.000270745387012994</v>
      </c>
    </row>
    <row r="398" customFormat="false" ht="15" hidden="false" customHeight="false" outlineLevel="0" collapsed="false">
      <c r="A398" s="5" t="n">
        <v>24</v>
      </c>
      <c r="B398" s="25" t="n">
        <f aca="false">IF(T397&gt;0,B397,D397)</f>
        <v>-0.0182284116744995</v>
      </c>
      <c r="C398" s="25" t="n">
        <f aca="false">IF(T397&gt;0,D397,C397)</f>
        <v>-0.0182282328605652</v>
      </c>
      <c r="D398" s="41" t="n">
        <f aca="false">(B398+C398)/2</f>
        <v>-0.0182283222675324</v>
      </c>
      <c r="E398" s="15" t="n">
        <f aca="false">$C$2*(1+IF(E$3&lt;=$O$2,$D398,$D398-($D398-$I$373)*MIN(E$3-$O$2,$Q$2)/$Q$2))</f>
        <v>2690.05439698696</v>
      </c>
      <c r="F398" s="15" t="n">
        <f aca="false">E398*(1+IF(F$3&lt;=$O$2,$D398,$D398-($D398-$I$373)*MIN(F$3-$O$2,$Q$2)/$Q$2))</f>
        <v>2641.01921852149</v>
      </c>
      <c r="G398" s="15" t="n">
        <f aca="false">F398*(1+IF(G$3&lt;=$O$2,$D398,$D398-($D398-$I$373)*MIN(G$3-$O$2,$Q$2)/$Q$2))</f>
        <v>2592.87786909153</v>
      </c>
      <c r="H398" s="15" t="n">
        <f aca="false">G398*(1+IF(H$3&lt;=$O$2,$D398,$D398-($D398-$I$373)*MIN(H$3-$O$2,$Q$2)/$Q$2))</f>
        <v>2545.61405569338</v>
      </c>
      <c r="I398" s="15" t="n">
        <f aca="false">H398*(1+IF(I$3&lt;=$O$2,$D398,$D398-($D398-$I$373)*MIN(I$3-$O$2,$Q$2)/$Q$2))</f>
        <v>2499.21178231744</v>
      </c>
      <c r="J398" s="15" t="n">
        <f aca="false">I398*(1+IF(J$3&lt;=$O$2,$D398,$D398-($D398-$I$373)*MIN(J$3-$O$2,$Q$2)/$Q$2))</f>
        <v>2476.91217077904</v>
      </c>
      <c r="K398" s="15" t="n">
        <f aca="false">J398*(1+IF(K$3&lt;=$O$2,$D398,$D398-($D398-$I$373)*MIN(K$3-$O$2,$Q$2)/$Q$2))</f>
        <v>2477.86084458586</v>
      </c>
      <c r="L398" s="15" t="n">
        <f aca="false">K398*(1+IF(L$3&lt;=$O$2,$D398,$D398-($D398-$I$373)*MIN(L$3-$O$2,$Q$2)/$Q$2))</f>
        <v>2501.86802332324</v>
      </c>
      <c r="M398" s="15" t="n">
        <f aca="false">L398*(1+IF(M$3&lt;=$O$2,$D398,$D398-($D398-$I$373)*MIN(M$3-$O$2,$Q$2)/$Q$2))</f>
        <v>2549.38934405129</v>
      </c>
      <c r="N398" s="15" t="n">
        <f aca="false">M398*(1+IF(N$3&lt;=$O$2,$D398,$D398-($D398-$I$373)*MIN(N$3-$O$2,$Q$2)/$Q$2))</f>
        <v>2621.53706248794</v>
      </c>
      <c r="O398" s="15" t="n">
        <f aca="false">SUMPRODUCT(E398:N398,1/(1+$F$373)^$E$3:$N$3)*$E$2</f>
        <v>11905.7937536621</v>
      </c>
      <c r="P398" s="15" t="n">
        <f aca="false">N398*$E$2*(1+$I$373)/($F$373-$I$373)/(1+$F$373)^$N$3</f>
        <v>17844.2185373488</v>
      </c>
      <c r="Q398" s="15" t="n">
        <f aca="false">O398+P398</f>
        <v>29750.0122910108</v>
      </c>
      <c r="R398" s="15" t="n">
        <f aca="false">Q398-$G$2+$I$2</f>
        <v>30520.0122910108</v>
      </c>
      <c r="S398" s="42" t="n">
        <f aca="false">R398/$K$2</f>
        <v>292.25330164714</v>
      </c>
      <c r="T398" s="43" t="n">
        <f aca="false">S398-$M$2</f>
        <v>0.000117696168103976</v>
      </c>
    </row>
    <row r="400" customFormat="false" ht="15" hidden="false" customHeight="false" outlineLevel="0" collapsed="false">
      <c r="A400" s="38" t="s">
        <v>192</v>
      </c>
      <c r="E400" s="5" t="s">
        <v>11</v>
      </c>
      <c r="F400" s="12" t="n">
        <f aca="false">Sensitivity!$B$12</f>
        <v>0.0772772551778937</v>
      </c>
      <c r="G400" s="5" t="s">
        <v>12</v>
      </c>
      <c r="I400" s="12" t="n">
        <f aca="false">Sensitivity!$F$9</f>
        <v>0.0333</v>
      </c>
    </row>
    <row r="401" customFormat="false" ht="23.85" hidden="false" customHeight="false" outlineLevel="0" collapsed="false">
      <c r="A401" s="38" t="s">
        <v>159</v>
      </c>
      <c r="B401" s="28" t="s">
        <v>160</v>
      </c>
      <c r="C401" s="28" t="s">
        <v>161</v>
      </c>
      <c r="D401" s="28" t="s">
        <v>162</v>
      </c>
      <c r="E401" s="28" t="s">
        <v>163</v>
      </c>
      <c r="F401" s="28" t="s">
        <v>164</v>
      </c>
      <c r="G401" s="28" t="s">
        <v>165</v>
      </c>
      <c r="H401" s="28" t="s">
        <v>166</v>
      </c>
      <c r="I401" s="28" t="s">
        <v>167</v>
      </c>
      <c r="J401" s="28" t="s">
        <v>168</v>
      </c>
      <c r="K401" s="28" t="s">
        <v>169</v>
      </c>
      <c r="L401" s="28" t="s">
        <v>170</v>
      </c>
      <c r="M401" s="28" t="s">
        <v>171</v>
      </c>
      <c r="N401" s="28" t="s">
        <v>172</v>
      </c>
      <c r="O401" s="28" t="s">
        <v>173</v>
      </c>
      <c r="P401" s="28" t="s">
        <v>174</v>
      </c>
      <c r="Q401" s="28" t="s">
        <v>175</v>
      </c>
      <c r="R401" s="28" t="s">
        <v>176</v>
      </c>
      <c r="S401" s="28" t="s">
        <v>177</v>
      </c>
      <c r="T401" s="28" t="s">
        <v>178</v>
      </c>
    </row>
    <row r="402" customFormat="false" ht="15" hidden="false" customHeight="false" outlineLevel="0" collapsed="false">
      <c r="A402" s="5" t="n">
        <v>1</v>
      </c>
      <c r="B402" s="24" t="n">
        <v>-0.5</v>
      </c>
      <c r="C402" s="24" t="n">
        <v>1</v>
      </c>
      <c r="D402" s="41" t="n">
        <f aca="false">(B402+C402)/2</f>
        <v>0.25</v>
      </c>
      <c r="E402" s="15" t="n">
        <f aca="false">$C$2*(1+IF(E$3&lt;=$O$2,$D402,$D402-($D402-$I$400)*MIN(E$3-$O$2,$Q$2)/$Q$2))</f>
        <v>3425</v>
      </c>
      <c r="F402" s="15" t="n">
        <f aca="false">E402*(1+IF(F$3&lt;=$O$2,$D402,$D402-($D402-$I$400)*MIN(F$3-$O$2,$Q$2)/$Q$2))</f>
        <v>4281.25</v>
      </c>
      <c r="G402" s="15" t="n">
        <f aca="false">F402*(1+IF(G$3&lt;=$O$2,$D402,$D402-($D402-$I$400)*MIN(G$3-$O$2,$Q$2)/$Q$2))</f>
        <v>5351.5625</v>
      </c>
      <c r="H402" s="15" t="n">
        <f aca="false">G402*(1+IF(H$3&lt;=$O$2,$D402,$D402-($D402-$I$400)*MIN(H$3-$O$2,$Q$2)/$Q$2))</f>
        <v>6689.453125</v>
      </c>
      <c r="I402" s="15" t="n">
        <f aca="false">H402*(1+IF(I$3&lt;=$O$2,$D402,$D402-($D402-$I$400)*MIN(I$3-$O$2,$Q$2)/$Q$2))</f>
        <v>8361.81640625</v>
      </c>
      <c r="J402" s="15" t="n">
        <f aca="false">I402*(1+IF(J$3&lt;=$O$2,$D402,$D402-($D402-$I$400)*MIN(J$3-$O$2,$Q$2)/$Q$2))</f>
        <v>10089.8693847656</v>
      </c>
      <c r="K402" s="15" t="n">
        <f aca="false">J402*(1+IF(K$3&lt;=$O$2,$D402,$D402-($D402-$I$400)*MIN(K$3-$O$2,$Q$2)/$Q$2))</f>
        <v>11737.7468526855</v>
      </c>
      <c r="L402" s="15" t="n">
        <f aca="false">K402*(1+IF(L$3&lt;=$O$2,$D402,$D402-($D402-$I$400)*MIN(L$3-$O$2,$Q$2)/$Q$2))</f>
        <v>13146.0417200708</v>
      </c>
      <c r="M402" s="15" t="n">
        <f aca="false">L402*(1+IF(M$3&lt;=$O$2,$D402,$D402-($D402-$I$400)*MIN(M$3-$O$2,$Q$2)/$Q$2))</f>
        <v>14153.554357497</v>
      </c>
      <c r="N402" s="15" t="n">
        <f aca="false">M402*(1+IF(N$3&lt;=$O$2,$D402,$D402-($D402-$I$400)*MIN(N$3-$O$2,$Q$2)/$Q$2))</f>
        <v>14624.8677176016</v>
      </c>
      <c r="O402" s="15" t="n">
        <f aca="false">SUMPRODUCT(E402:N402,1/(1+$F$400)^$E$3:$N$3)*$E$2</f>
        <v>38725.9613896068</v>
      </c>
      <c r="P402" s="15" t="n">
        <f aca="false">N402*$E$2*(1+$I$400)/($F$400-$I$400)/(1+$F$400)^$N$3</f>
        <v>111405.439004265</v>
      </c>
      <c r="Q402" s="15" t="n">
        <f aca="false">O402+P402</f>
        <v>150131.400393872</v>
      </c>
      <c r="R402" s="15" t="n">
        <f aca="false">Q402-$G$2+$I$2</f>
        <v>150901.400393872</v>
      </c>
      <c r="S402" s="42" t="n">
        <f aca="false">R402/$K$2</f>
        <v>1445.00048256126</v>
      </c>
      <c r="T402" s="43" t="n">
        <f aca="false">S402-$M$2</f>
        <v>1152.74729861029</v>
      </c>
    </row>
    <row r="403" customFormat="false" ht="15" hidden="false" customHeight="false" outlineLevel="0" collapsed="false">
      <c r="A403" s="5" t="n">
        <v>2</v>
      </c>
      <c r="B403" s="25" t="n">
        <f aca="false">IF(T402&gt;0,B402,D402)</f>
        <v>-0.5</v>
      </c>
      <c r="C403" s="25" t="n">
        <f aca="false">IF(T402&gt;0,D402,C402)</f>
        <v>0.25</v>
      </c>
      <c r="D403" s="41" t="n">
        <f aca="false">(B403+C403)/2</f>
        <v>-0.125</v>
      </c>
      <c r="E403" s="15" t="n">
        <f aca="false">$C$2*(1+IF(E$3&lt;=$O$2,$D403,$D403-($D403-$I$400)*MIN(E$3-$O$2,$Q$2)/$Q$2))</f>
        <v>2397.5</v>
      </c>
      <c r="F403" s="15" t="n">
        <f aca="false">E403*(1+IF(F$3&lt;=$O$2,$D403,$D403-($D403-$I$400)*MIN(F$3-$O$2,$Q$2)/$Q$2))</f>
        <v>2097.8125</v>
      </c>
      <c r="G403" s="15" t="n">
        <f aca="false">F403*(1+IF(G$3&lt;=$O$2,$D403,$D403-($D403-$I$400)*MIN(G$3-$O$2,$Q$2)/$Q$2))</f>
        <v>1835.5859375</v>
      </c>
      <c r="H403" s="15" t="n">
        <f aca="false">G403*(1+IF(H$3&lt;=$O$2,$D403,$D403-($D403-$I$400)*MIN(H$3-$O$2,$Q$2)/$Q$2))</f>
        <v>1606.1376953125</v>
      </c>
      <c r="I403" s="15" t="n">
        <f aca="false">H403*(1+IF(I$3&lt;=$O$2,$D403,$D403-($D403-$I$400)*MIN(I$3-$O$2,$Q$2)/$Q$2))</f>
        <v>1405.37048339844</v>
      </c>
      <c r="J403" s="15" t="n">
        <f aca="false">I403*(1+IF(J$3&lt;=$O$2,$D403,$D403-($D403-$I$400)*MIN(J$3-$O$2,$Q$2)/$Q$2))</f>
        <v>1274.19320247803</v>
      </c>
      <c r="K403" s="15" t="n">
        <f aca="false">J403*(1+IF(K$3&lt;=$O$2,$D403,$D403-($D403-$I$400)*MIN(K$3-$O$2,$Q$2)/$Q$2))</f>
        <v>1195.60096574918</v>
      </c>
      <c r="L403" s="15" t="n">
        <f aca="false">K403*(1+IF(L$3&lt;=$O$2,$D403,$D403-($D403-$I$400)*MIN(L$3-$O$2,$Q$2)/$Q$2))</f>
        <v>1159.70902475739</v>
      </c>
      <c r="M403" s="15" t="n">
        <f aca="false">L403*(1+IF(M$3&lt;=$O$2,$D403,$D403-($D403-$I$400)*MIN(M$3-$O$2,$Q$2)/$Q$2))</f>
        <v>1161.61094755799</v>
      </c>
      <c r="N403" s="15" t="n">
        <f aca="false">M403*(1+IF(N$3&lt;=$O$2,$D403,$D403-($D403-$I$400)*MIN(N$3-$O$2,$Q$2)/$Q$2))</f>
        <v>1200.29259211168</v>
      </c>
      <c r="O403" s="15" t="n">
        <f aca="false">SUMPRODUCT(E403:N403,1/(1+$F$400)^$E$3:$N$3)*$E$2</f>
        <v>7501.68468137449</v>
      </c>
      <c r="P403" s="15" t="n">
        <f aca="false">N403*$E$2*(1+$I$400)/($F$400-$I$400)/(1+$F$400)^$N$3</f>
        <v>9143.27060865189</v>
      </c>
      <c r="Q403" s="15" t="n">
        <f aca="false">O403+P403</f>
        <v>16644.9552900264</v>
      </c>
      <c r="R403" s="15" t="n">
        <f aca="false">Q403-$G$2+$I$2</f>
        <v>17414.9552900264</v>
      </c>
      <c r="S403" s="42" t="n">
        <f aca="false">R403/$K$2</f>
        <v>166.761996457209</v>
      </c>
      <c r="T403" s="43" t="n">
        <f aca="false">S403-$M$2</f>
        <v>-125.491187493763</v>
      </c>
    </row>
    <row r="404" customFormat="false" ht="15" hidden="false" customHeight="false" outlineLevel="0" collapsed="false">
      <c r="A404" s="5" t="n">
        <v>3</v>
      </c>
      <c r="B404" s="25" t="n">
        <f aca="false">IF(T403&gt;0,B403,D403)</f>
        <v>-0.125</v>
      </c>
      <c r="C404" s="25" t="n">
        <f aca="false">IF(T403&gt;0,D403,C403)</f>
        <v>0.25</v>
      </c>
      <c r="D404" s="41" t="n">
        <f aca="false">(B404+C404)/2</f>
        <v>0.0625</v>
      </c>
      <c r="E404" s="15" t="n">
        <f aca="false">$C$2*(1+IF(E$3&lt;=$O$2,$D404,$D404-($D404-$I$400)*MIN(E$3-$O$2,$Q$2)/$Q$2))</f>
        <v>2911.25</v>
      </c>
      <c r="F404" s="15" t="n">
        <f aca="false">E404*(1+IF(F$3&lt;=$O$2,$D404,$D404-($D404-$I$400)*MIN(F$3-$O$2,$Q$2)/$Q$2))</f>
        <v>3093.203125</v>
      </c>
      <c r="G404" s="15" t="n">
        <f aca="false">F404*(1+IF(G$3&lt;=$O$2,$D404,$D404-($D404-$I$400)*MIN(G$3-$O$2,$Q$2)/$Q$2))</f>
        <v>3286.5283203125</v>
      </c>
      <c r="H404" s="15" t="n">
        <f aca="false">G404*(1+IF(H$3&lt;=$O$2,$D404,$D404-($D404-$I$400)*MIN(H$3-$O$2,$Q$2)/$Q$2))</f>
        <v>3491.93634033203</v>
      </c>
      <c r="I404" s="15" t="n">
        <f aca="false">H404*(1+IF(I$3&lt;=$O$2,$D404,$D404-($D404-$I$400)*MIN(I$3-$O$2,$Q$2)/$Q$2))</f>
        <v>3710.18236160278</v>
      </c>
      <c r="J404" s="15" t="n">
        <f aca="false">I404*(1+IF(J$3&lt;=$O$2,$D404,$D404-($D404-$I$400)*MIN(J$3-$O$2,$Q$2)/$Q$2))</f>
        <v>3920.4012942112</v>
      </c>
      <c r="K404" s="15" t="n">
        <f aca="false">J404*(1+IF(K$3&lt;=$O$2,$D404,$D404-($D404-$I$400)*MIN(K$3-$O$2,$Q$2)/$Q$2))</f>
        <v>4119.63608798301</v>
      </c>
      <c r="L404" s="15" t="n">
        <f aca="false">K404*(1+IF(L$3&lt;=$O$2,$D404,$D404-($D404-$I$400)*MIN(L$3-$O$2,$Q$2)/$Q$2))</f>
        <v>4304.93731922049</v>
      </c>
      <c r="M404" s="15" t="n">
        <f aca="false">L404*(1+IF(M$3&lt;=$O$2,$D404,$D404-($D404-$I$400)*MIN(M$3-$O$2,$Q$2)/$Q$2))</f>
        <v>4473.43256589478</v>
      </c>
      <c r="N404" s="15" t="n">
        <f aca="false">M404*(1+IF(N$3&lt;=$O$2,$D404,$D404-($D404-$I$400)*MIN(N$3-$O$2,$Q$2)/$Q$2))</f>
        <v>4622.39787033907</v>
      </c>
      <c r="O404" s="15" t="n">
        <f aca="false">SUMPRODUCT(E404:N404,1/(1+$F$400)^$E$3:$N$3)*$E$2</f>
        <v>17034.4614205016</v>
      </c>
      <c r="P404" s="15" t="n">
        <f aca="false">N404*$E$2*(1+$I$400)/($F$400-$I$400)/(1+$F$400)^$N$3</f>
        <v>35211.2767063</v>
      </c>
      <c r="Q404" s="15" t="n">
        <f aca="false">O404+P404</f>
        <v>52245.7381268016</v>
      </c>
      <c r="R404" s="15" t="n">
        <f aca="false">Q404-$G$2+$I$2</f>
        <v>53015.7381268016</v>
      </c>
      <c r="S404" s="42" t="n">
        <f aca="false">R404/$K$2</f>
        <v>507.667702066472</v>
      </c>
      <c r="T404" s="43" t="n">
        <f aca="false">S404-$M$2</f>
        <v>215.4145181155</v>
      </c>
    </row>
    <row r="405" customFormat="false" ht="15" hidden="false" customHeight="false" outlineLevel="0" collapsed="false">
      <c r="A405" s="5" t="n">
        <v>4</v>
      </c>
      <c r="B405" s="25" t="n">
        <f aca="false">IF(T404&gt;0,B404,D404)</f>
        <v>-0.125</v>
      </c>
      <c r="C405" s="25" t="n">
        <f aca="false">IF(T404&gt;0,D404,C404)</f>
        <v>0.0625</v>
      </c>
      <c r="D405" s="41" t="n">
        <f aca="false">(B405+C405)/2</f>
        <v>-0.03125</v>
      </c>
      <c r="E405" s="15" t="n">
        <f aca="false">$C$2*(1+IF(E$3&lt;=$O$2,$D405,$D405-($D405-$I$400)*MIN(E$3-$O$2,$Q$2)/$Q$2))</f>
        <v>2654.375</v>
      </c>
      <c r="F405" s="15" t="n">
        <f aca="false">E405*(1+IF(F$3&lt;=$O$2,$D405,$D405-($D405-$I$400)*MIN(F$3-$O$2,$Q$2)/$Q$2))</f>
        <v>2571.42578125</v>
      </c>
      <c r="G405" s="15" t="n">
        <f aca="false">F405*(1+IF(G$3&lt;=$O$2,$D405,$D405-($D405-$I$400)*MIN(G$3-$O$2,$Q$2)/$Q$2))</f>
        <v>2491.06872558594</v>
      </c>
      <c r="H405" s="15" t="n">
        <f aca="false">G405*(1+IF(H$3&lt;=$O$2,$D405,$D405-($D405-$I$400)*MIN(H$3-$O$2,$Q$2)/$Q$2))</f>
        <v>2413.22282791138</v>
      </c>
      <c r="I405" s="15" t="n">
        <f aca="false">H405*(1+IF(I$3&lt;=$O$2,$D405,$D405-($D405-$I$400)*MIN(I$3-$O$2,$Q$2)/$Q$2))</f>
        <v>2337.80961453915</v>
      </c>
      <c r="J405" s="15" t="n">
        <f aca="false">I405*(1+IF(J$3&lt;=$O$2,$D405,$D405-($D405-$I$400)*MIN(J$3-$O$2,$Q$2)/$Q$2))</f>
        <v>2294.9341862085</v>
      </c>
      <c r="K405" s="15" t="n">
        <f aca="false">J405*(1+IF(K$3&lt;=$O$2,$D405,$D405-($D405-$I$400)*MIN(K$3-$O$2,$Q$2)/$Q$2))</f>
        <v>2282.47269357739</v>
      </c>
      <c r="L405" s="15" t="n">
        <f aca="false">K405*(1+IF(L$3&lt;=$O$2,$D405,$D405-($D405-$I$400)*MIN(L$3-$O$2,$Q$2)/$Q$2))</f>
        <v>2299.54558932534</v>
      </c>
      <c r="M405" s="15" t="n">
        <f aca="false">L405*(1+IF(M$3&lt;=$O$2,$D405,$D405-($D405-$I$400)*MIN(M$3-$O$2,$Q$2)/$Q$2))</f>
        <v>2346.43332389169</v>
      </c>
      <c r="N405" s="15" t="n">
        <f aca="false">M405*(1+IF(N$3&lt;=$O$2,$D405,$D405-($D405-$I$400)*MIN(N$3-$O$2,$Q$2)/$Q$2))</f>
        <v>2424.56955357728</v>
      </c>
      <c r="O405" s="15" t="n">
        <f aca="false">SUMPRODUCT(E405:N405,1/(1+$F$400)^$E$3:$N$3)*$E$2</f>
        <v>11274.1600536528</v>
      </c>
      <c r="P405" s="15" t="n">
        <f aca="false">N405*$E$2*(1+$I$400)/($F$400-$I$400)/(1+$F$400)^$N$3</f>
        <v>18469.2429858743</v>
      </c>
      <c r="Q405" s="15" t="n">
        <f aca="false">O405+P405</f>
        <v>29743.403039527</v>
      </c>
      <c r="R405" s="15" t="n">
        <f aca="false">Q405-$G$2+$I$2</f>
        <v>30513.403039527</v>
      </c>
      <c r="S405" s="42" t="n">
        <f aca="false">R405/$K$2</f>
        <v>292.190012827033</v>
      </c>
      <c r="T405" s="43" t="n">
        <f aca="false">S405-$M$2</f>
        <v>-0.0631711239392985</v>
      </c>
    </row>
    <row r="406" customFormat="false" ht="15" hidden="false" customHeight="false" outlineLevel="0" collapsed="false">
      <c r="A406" s="5" t="n">
        <v>5</v>
      </c>
      <c r="B406" s="25" t="n">
        <f aca="false">IF(T405&gt;0,B405,D405)</f>
        <v>-0.03125</v>
      </c>
      <c r="C406" s="25" t="n">
        <f aca="false">IF(T405&gt;0,D405,C405)</f>
        <v>0.0625</v>
      </c>
      <c r="D406" s="41" t="n">
        <f aca="false">(B406+C406)/2</f>
        <v>0.015625</v>
      </c>
      <c r="E406" s="15" t="n">
        <f aca="false">$C$2*(1+IF(E$3&lt;=$O$2,$D406,$D406-($D406-$I$400)*MIN(E$3-$O$2,$Q$2)/$Q$2))</f>
        <v>2782.8125</v>
      </c>
      <c r="F406" s="15" t="n">
        <f aca="false">E406*(1+IF(F$3&lt;=$O$2,$D406,$D406-($D406-$I$400)*MIN(F$3-$O$2,$Q$2)/$Q$2))</f>
        <v>2826.2939453125</v>
      </c>
      <c r="G406" s="15" t="n">
        <f aca="false">F406*(1+IF(G$3&lt;=$O$2,$D406,$D406-($D406-$I$400)*MIN(G$3-$O$2,$Q$2)/$Q$2))</f>
        <v>2870.45478820801</v>
      </c>
      <c r="H406" s="15" t="n">
        <f aca="false">G406*(1+IF(H$3&lt;=$O$2,$D406,$D406-($D406-$I$400)*MIN(H$3-$O$2,$Q$2)/$Q$2))</f>
        <v>2915.30564427376</v>
      </c>
      <c r="I406" s="15" t="n">
        <f aca="false">H406*(1+IF(I$3&lt;=$O$2,$D406,$D406-($D406-$I$400)*MIN(I$3-$O$2,$Q$2)/$Q$2))</f>
        <v>2960.85729496554</v>
      </c>
      <c r="J406" s="15" t="n">
        <f aca="false">I406*(1+IF(J$3&lt;=$O$2,$D406,$D406-($D406-$I$400)*MIN(J$3-$O$2,$Q$2)/$Q$2))</f>
        <v>3017.58732073708</v>
      </c>
      <c r="K406" s="15" t="n">
        <f aca="false">J406*(1+IF(K$3&lt;=$O$2,$D406,$D406-($D406-$I$400)*MIN(K$3-$O$2,$Q$2)/$Q$2))</f>
        <v>3086.0714649812</v>
      </c>
      <c r="L406" s="15" t="n">
        <f aca="false">K406*(1+IF(L$3&lt;=$O$2,$D406,$D406-($D406-$I$400)*MIN(L$3-$O$2,$Q$2)/$Q$2))</f>
        <v>3167.01911950766</v>
      </c>
      <c r="M406" s="15" t="n">
        <f aca="false">L406*(1+IF(M$3&lt;=$O$2,$D406,$D406-($D406-$I$400)*MIN(M$3-$O$2,$Q$2)/$Q$2))</f>
        <v>3261.28544359981</v>
      </c>
      <c r="N406" s="15" t="n">
        <f aca="false">M406*(1+IF(N$3&lt;=$O$2,$D406,$D406-($D406-$I$400)*MIN(N$3-$O$2,$Q$2)/$Q$2))</f>
        <v>3369.88624887168</v>
      </c>
      <c r="O406" s="15" t="n">
        <f aca="false">SUMPRODUCT(E406:N406,1/(1+$F$400)^$E$3:$N$3)*$E$2</f>
        <v>13853.6416187835</v>
      </c>
      <c r="P406" s="15" t="n">
        <f aca="false">N406*$E$2*(1+$I$400)/($F$400-$I$400)/(1+$F$400)^$N$3</f>
        <v>25670.2258235231</v>
      </c>
      <c r="Q406" s="15" t="n">
        <f aca="false">O406+P406</f>
        <v>39523.8674423066</v>
      </c>
      <c r="R406" s="15" t="n">
        <f aca="false">Q406-$G$2+$I$2</f>
        <v>40293.8674423066</v>
      </c>
      <c r="S406" s="42" t="n">
        <f aca="false">R406/$K$2</f>
        <v>385.845709492546</v>
      </c>
      <c r="T406" s="43" t="n">
        <f aca="false">S406-$M$2</f>
        <v>93.5925255415738</v>
      </c>
    </row>
    <row r="407" customFormat="false" ht="15" hidden="false" customHeight="false" outlineLevel="0" collapsed="false">
      <c r="A407" s="5" t="n">
        <v>6</v>
      </c>
      <c r="B407" s="25" t="n">
        <f aca="false">IF(T406&gt;0,B406,D406)</f>
        <v>-0.03125</v>
      </c>
      <c r="C407" s="25" t="n">
        <f aca="false">IF(T406&gt;0,D406,C406)</f>
        <v>0.015625</v>
      </c>
      <c r="D407" s="41" t="n">
        <f aca="false">(B407+C407)/2</f>
        <v>-0.0078125</v>
      </c>
      <c r="E407" s="15" t="n">
        <f aca="false">$C$2*(1+IF(E$3&lt;=$O$2,$D407,$D407-($D407-$I$400)*MIN(E$3-$O$2,$Q$2)/$Q$2))</f>
        <v>2718.59375</v>
      </c>
      <c r="F407" s="15" t="n">
        <f aca="false">E407*(1+IF(F$3&lt;=$O$2,$D407,$D407-($D407-$I$400)*MIN(F$3-$O$2,$Q$2)/$Q$2))</f>
        <v>2697.35473632813</v>
      </c>
      <c r="G407" s="15" t="n">
        <f aca="false">F407*(1+IF(G$3&lt;=$O$2,$D407,$D407-($D407-$I$400)*MIN(G$3-$O$2,$Q$2)/$Q$2))</f>
        <v>2676.28165245056</v>
      </c>
      <c r="H407" s="15" t="n">
        <f aca="false">G407*(1+IF(H$3&lt;=$O$2,$D407,$D407-($D407-$I$400)*MIN(H$3-$O$2,$Q$2)/$Q$2))</f>
        <v>2655.37320204079</v>
      </c>
      <c r="I407" s="15" t="n">
        <f aca="false">H407*(1+IF(I$3&lt;=$O$2,$D407,$D407-($D407-$I$400)*MIN(I$3-$O$2,$Q$2)/$Q$2))</f>
        <v>2634.62809889985</v>
      </c>
      <c r="J407" s="15" t="n">
        <f aca="false">I407*(1+IF(J$3&lt;=$O$2,$D407,$D407-($D407-$I$400)*MIN(J$3-$O$2,$Q$2)/$Q$2))</f>
        <v>2635.7082964204</v>
      </c>
      <c r="K407" s="15" t="n">
        <f aca="false">J407*(1+IF(K$3&lt;=$O$2,$D407,$D407-($D407-$I$400)*MIN(K$3-$O$2,$Q$2)/$Q$2))</f>
        <v>2658.46104828925</v>
      </c>
      <c r="L407" s="15" t="n">
        <f aca="false">K407*(1+IF(L$3&lt;=$O$2,$D407,$D407-($D407-$I$400)*MIN(L$3-$O$2,$Q$2)/$Q$2))</f>
        <v>2703.26940925816</v>
      </c>
      <c r="M407" s="15" t="n">
        <f aca="false">L407*(1+IF(M$3&lt;=$O$2,$D407,$D407-($D407-$I$400)*MIN(M$3-$O$2,$Q$2)/$Q$2))</f>
        <v>2771.06064786883</v>
      </c>
      <c r="N407" s="15" t="n">
        <f aca="false">M407*(1+IF(N$3&lt;=$O$2,$D407,$D407-($D407-$I$400)*MIN(N$3-$O$2,$Q$2)/$Q$2))</f>
        <v>2863.33696744287</v>
      </c>
      <c r="O407" s="15" t="n">
        <f aca="false">SUMPRODUCT(E407:N407,1/(1+$F$400)^$E$3:$N$3)*$E$2</f>
        <v>12495.9767392224</v>
      </c>
      <c r="P407" s="15" t="n">
        <f aca="false">N407*$E$2*(1+$I$400)/($F$400-$I$400)/(1+$F$400)^$N$3</f>
        <v>21811.5690367028</v>
      </c>
      <c r="Q407" s="15" t="n">
        <f aca="false">O407+P407</f>
        <v>34307.5457759252</v>
      </c>
      <c r="R407" s="15" t="n">
        <f aca="false">Q407-$G$2+$I$2</f>
        <v>35077.5457759252</v>
      </c>
      <c r="S407" s="42" t="n">
        <f aca="false">R407/$K$2</f>
        <v>335.895296140239</v>
      </c>
      <c r="T407" s="43" t="n">
        <f aca="false">S407-$M$2</f>
        <v>43.6421121892673</v>
      </c>
    </row>
    <row r="408" customFormat="false" ht="15" hidden="false" customHeight="false" outlineLevel="0" collapsed="false">
      <c r="A408" s="5" t="n">
        <v>7</v>
      </c>
      <c r="B408" s="25" t="n">
        <f aca="false">IF(T407&gt;0,B407,D407)</f>
        <v>-0.03125</v>
      </c>
      <c r="C408" s="25" t="n">
        <f aca="false">IF(T407&gt;0,D407,C407)</f>
        <v>-0.0078125</v>
      </c>
      <c r="D408" s="41" t="n">
        <f aca="false">(B408+C408)/2</f>
        <v>-0.01953125</v>
      </c>
      <c r="E408" s="15" t="n">
        <f aca="false">$C$2*(1+IF(E$3&lt;=$O$2,$D408,$D408-($D408-$I$400)*MIN(E$3-$O$2,$Q$2)/$Q$2))</f>
        <v>2686.484375</v>
      </c>
      <c r="F408" s="15" t="n">
        <f aca="false">E408*(1+IF(F$3&lt;=$O$2,$D408,$D408-($D408-$I$400)*MIN(F$3-$O$2,$Q$2)/$Q$2))</f>
        <v>2634.01397705078</v>
      </c>
      <c r="G408" s="15" t="n">
        <f aca="false">F408*(1+IF(G$3&lt;=$O$2,$D408,$D408-($D408-$I$400)*MIN(G$3-$O$2,$Q$2)/$Q$2))</f>
        <v>2582.56839156151</v>
      </c>
      <c r="H408" s="15" t="n">
        <f aca="false">G408*(1+IF(H$3&lt;=$O$2,$D408,$D408-($D408-$I$400)*MIN(H$3-$O$2,$Q$2)/$Q$2))</f>
        <v>2532.12760266382</v>
      </c>
      <c r="I408" s="15" t="n">
        <f aca="false">H408*(1+IF(I$3&lt;=$O$2,$D408,$D408-($D408-$I$400)*MIN(I$3-$O$2,$Q$2)/$Q$2))</f>
        <v>2482.67198542429</v>
      </c>
      <c r="J408" s="15" t="n">
        <f aca="false">I408*(1+IF(J$3&lt;=$O$2,$D408,$D408-($D408-$I$400)*MIN(J$3-$O$2,$Q$2)/$Q$2))</f>
        <v>2460.41483107497</v>
      </c>
      <c r="K408" s="15" t="n">
        <f aca="false">J408*(1+IF(K$3&lt;=$O$2,$D408,$D408-($D408-$I$400)*MIN(K$3-$O$2,$Q$2)/$Q$2))</f>
        <v>2464.35457032323</v>
      </c>
      <c r="L408" s="15" t="n">
        <f aca="false">K408*(1+IF(L$3&lt;=$O$2,$D408,$D408-($D408-$I$400)*MIN(L$3-$O$2,$Q$2)/$Q$2))</f>
        <v>2494.33960455763</v>
      </c>
      <c r="M408" s="15" t="n">
        <f aca="false">L408*(1+IF(M$3&lt;=$O$2,$D408,$D408-($D408-$I$400)*MIN(M$3-$O$2,$Q$2)/$Q$2))</f>
        <v>2551.04529754274</v>
      </c>
      <c r="N408" s="15" t="n">
        <f aca="false">M408*(1+IF(N$3&lt;=$O$2,$D408,$D408-($D408-$I$400)*MIN(N$3-$O$2,$Q$2)/$Q$2))</f>
        <v>2635.99510595092</v>
      </c>
      <c r="O408" s="15" t="n">
        <f aca="false">SUMPRODUCT(E408:N408,1/(1+$F$400)^$E$3:$N$3)*$E$2</f>
        <v>11868.9257358492</v>
      </c>
      <c r="P408" s="15" t="n">
        <f aca="false">N408*$E$2*(1+$I$400)/($F$400-$I$400)/(1+$F$400)^$N$3</f>
        <v>20079.7844918707</v>
      </c>
      <c r="Q408" s="15" t="n">
        <f aca="false">O408+P408</f>
        <v>31948.7102277199</v>
      </c>
      <c r="R408" s="15" t="n">
        <f aca="false">Q408-$G$2+$I$2</f>
        <v>32718.7102277199</v>
      </c>
      <c r="S408" s="42" t="n">
        <f aca="false">R408/$K$2</f>
        <v>313.307576632384</v>
      </c>
      <c r="T408" s="43" t="n">
        <f aca="false">S408-$M$2</f>
        <v>21.0543926814123</v>
      </c>
    </row>
    <row r="409" customFormat="false" ht="15" hidden="false" customHeight="false" outlineLevel="0" collapsed="false">
      <c r="A409" s="5" t="n">
        <v>8</v>
      </c>
      <c r="B409" s="25" t="n">
        <f aca="false">IF(T408&gt;0,B408,D408)</f>
        <v>-0.03125</v>
      </c>
      <c r="C409" s="25" t="n">
        <f aca="false">IF(T408&gt;0,D408,C408)</f>
        <v>-0.01953125</v>
      </c>
      <c r="D409" s="41" t="n">
        <f aca="false">(B409+C409)/2</f>
        <v>-0.025390625</v>
      </c>
      <c r="E409" s="15" t="n">
        <f aca="false">$C$2*(1+IF(E$3&lt;=$O$2,$D409,$D409-($D409-$I$400)*MIN(E$3-$O$2,$Q$2)/$Q$2))</f>
        <v>2670.4296875</v>
      </c>
      <c r="F409" s="15" t="n">
        <f aca="false">E409*(1+IF(F$3&lt;=$O$2,$D409,$D409-($D409-$I$400)*MIN(F$3-$O$2,$Q$2)/$Q$2))</f>
        <v>2602.62580871582</v>
      </c>
      <c r="G409" s="15" t="n">
        <f aca="false">F409*(1+IF(G$3&lt;=$O$2,$D409,$D409-($D409-$I$400)*MIN(G$3-$O$2,$Q$2)/$Q$2))</f>
        <v>2536.5435127914</v>
      </c>
      <c r="H409" s="15" t="n">
        <f aca="false">G409*(1+IF(H$3&lt;=$O$2,$D409,$D409-($D409-$I$400)*MIN(H$3-$O$2,$Q$2)/$Q$2))</f>
        <v>2472.13908766193</v>
      </c>
      <c r="I409" s="15" t="n">
        <f aca="false">H409*(1+IF(I$3&lt;=$O$2,$D409,$D409-($D409-$I$400)*MIN(I$3-$O$2,$Q$2)/$Q$2))</f>
        <v>2409.36993113926</v>
      </c>
      <c r="J409" s="15" t="n">
        <f aca="false">I409*(1+IF(J$3&lt;=$O$2,$D409,$D409-($D409-$I$400)*MIN(J$3-$O$2,$Q$2)/$Q$2))</f>
        <v>2376.47600815438</v>
      </c>
      <c r="K409" s="15" t="n">
        <f aca="false">J409*(1+IF(K$3&lt;=$O$2,$D409,$D409-($D409-$I$400)*MIN(K$3-$O$2,$Q$2)/$Q$2))</f>
        <v>2371.92654189627</v>
      </c>
      <c r="L409" s="15" t="n">
        <f aca="false">K409*(1+IF(L$3&lt;=$O$2,$D409,$D409-($D409-$I$400)*MIN(L$3-$O$2,$Q$2)/$Q$2))</f>
        <v>2395.22775526222</v>
      </c>
      <c r="M409" s="15" t="n">
        <f aca="false">L409*(1+IF(M$3&lt;=$O$2,$D409,$D409-($D409-$I$400)*MIN(M$3-$O$2,$Q$2)/$Q$2))</f>
        <v>2446.87335671772</v>
      </c>
      <c r="N409" s="15" t="n">
        <f aca="false">M409*(1+IF(N$3&lt;=$O$2,$D409,$D409-($D409-$I$400)*MIN(N$3-$O$2,$Q$2)/$Q$2))</f>
        <v>2528.35423949642</v>
      </c>
      <c r="O409" s="15" t="n">
        <f aca="false">SUMPRODUCT(E409:N409,1/(1+$F$400)^$E$3:$N$3)*$E$2</f>
        <v>11567.6080571164</v>
      </c>
      <c r="P409" s="15" t="n">
        <f aca="false">N409*$E$2*(1+$I$400)/($F$400-$I$400)/(1+$F$400)^$N$3</f>
        <v>19259.8264441319</v>
      </c>
      <c r="Q409" s="15" t="n">
        <f aca="false">O409+P409</f>
        <v>30827.4345012482</v>
      </c>
      <c r="R409" s="15" t="n">
        <f aca="false">Q409-$G$2+$I$2</f>
        <v>31597.4345012482</v>
      </c>
      <c r="S409" s="42" t="n">
        <f aca="false">R409/$K$2</f>
        <v>302.570473056097</v>
      </c>
      <c r="T409" s="43" t="n">
        <f aca="false">S409-$M$2</f>
        <v>10.3172891051253</v>
      </c>
    </row>
    <row r="410" customFormat="false" ht="15" hidden="false" customHeight="false" outlineLevel="0" collapsed="false">
      <c r="A410" s="5" t="n">
        <v>9</v>
      </c>
      <c r="B410" s="25" t="n">
        <f aca="false">IF(T409&gt;0,B409,D409)</f>
        <v>-0.03125</v>
      </c>
      <c r="C410" s="25" t="n">
        <f aca="false">IF(T409&gt;0,D409,C409)</f>
        <v>-0.025390625</v>
      </c>
      <c r="D410" s="41" t="n">
        <f aca="false">(B410+C410)/2</f>
        <v>-0.0283203125</v>
      </c>
      <c r="E410" s="15" t="n">
        <f aca="false">$C$2*(1+IF(E$3&lt;=$O$2,$D410,$D410-($D410-$I$400)*MIN(E$3-$O$2,$Q$2)/$Q$2))</f>
        <v>2662.40234375</v>
      </c>
      <c r="F410" s="15" t="n">
        <f aca="false">E410*(1+IF(F$3&lt;=$O$2,$D410,$D410-($D410-$I$400)*MIN(F$3-$O$2,$Q$2)/$Q$2))</f>
        <v>2587.00227737427</v>
      </c>
      <c r="G410" s="15" t="n">
        <f aca="false">F410*(1+IF(G$3&lt;=$O$2,$D410,$D410-($D410-$I$400)*MIN(G$3-$O$2,$Q$2)/$Q$2))</f>
        <v>2513.73756444082</v>
      </c>
      <c r="H410" s="15" t="n">
        <f aca="false">G410*(1+IF(H$3&lt;=$O$2,$D410,$D410-($D410-$I$400)*MIN(H$3-$O$2,$Q$2)/$Q$2))</f>
        <v>2442.54773107286</v>
      </c>
      <c r="I410" s="15" t="n">
        <f aca="false">H410*(1+IF(I$3&lt;=$O$2,$D410,$D410-($D410-$I$400)*MIN(I$3-$O$2,$Q$2)/$Q$2))</f>
        <v>2373.37401603271</v>
      </c>
      <c r="J410" s="15" t="n">
        <f aca="false">I410*(1+IF(J$3&lt;=$O$2,$D410,$D410-($D410-$I$400)*MIN(J$3-$O$2,$Q$2)/$Q$2))</f>
        <v>2335.40893192875</v>
      </c>
      <c r="K410" s="15" t="n">
        <f aca="false">J410*(1+IF(K$3&lt;=$O$2,$D410,$D410-($D410-$I$400)*MIN(K$3-$O$2,$Q$2)/$Q$2))</f>
        <v>2326.83287244153</v>
      </c>
      <c r="L410" s="15" t="n">
        <f aca="false">K410*(1+IF(L$3&lt;=$O$2,$D410,$D410-($D410-$I$400)*MIN(L$3-$O$2,$Q$2)/$Q$2))</f>
        <v>2346.96433959979</v>
      </c>
      <c r="M410" s="15" t="n">
        <f aca="false">L410*(1+IF(M$3&lt;=$O$2,$D410,$D410-($D410-$I$400)*MIN(M$3-$O$2,$Q$2)/$Q$2))</f>
        <v>2396.19411690196</v>
      </c>
      <c r="N410" s="15" t="n">
        <f aca="false">M410*(1+IF(N$3&lt;=$O$2,$D410,$D410-($D410-$I$400)*MIN(N$3-$O$2,$Q$2)/$Q$2))</f>
        <v>2475.9873809948</v>
      </c>
      <c r="O410" s="15" t="n">
        <f aca="false">SUMPRODUCT(E410:N410,1/(1+$F$400)^$E$3:$N$3)*$E$2</f>
        <v>11419.9127080984</v>
      </c>
      <c r="P410" s="15" t="n">
        <f aca="false">N410*$E$2*(1+$I$400)/($F$400-$I$400)/(1+$F$400)^$N$3</f>
        <v>18860.9200763412</v>
      </c>
      <c r="Q410" s="15" t="n">
        <f aca="false">O410+P410</f>
        <v>30280.8327844396</v>
      </c>
      <c r="R410" s="15" t="n">
        <f aca="false">Q410-$G$2+$I$2</f>
        <v>31050.8327844396</v>
      </c>
      <c r="S410" s="42" t="n">
        <f aca="false">R410/$K$2</f>
        <v>297.336328492192</v>
      </c>
      <c r="T410" s="43" t="n">
        <f aca="false">S410-$M$2</f>
        <v>5.0831445412195</v>
      </c>
    </row>
    <row r="411" customFormat="false" ht="15" hidden="false" customHeight="false" outlineLevel="0" collapsed="false">
      <c r="A411" s="5" t="n">
        <v>10</v>
      </c>
      <c r="B411" s="25" t="n">
        <f aca="false">IF(T410&gt;0,B410,D410)</f>
        <v>-0.03125</v>
      </c>
      <c r="C411" s="25" t="n">
        <f aca="false">IF(T410&gt;0,D410,C410)</f>
        <v>-0.0283203125</v>
      </c>
      <c r="D411" s="41" t="n">
        <f aca="false">(B411+C411)/2</f>
        <v>-0.02978515625</v>
      </c>
      <c r="E411" s="15" t="n">
        <f aca="false">$C$2*(1+IF(E$3&lt;=$O$2,$D411,$D411-($D411-$I$400)*MIN(E$3-$O$2,$Q$2)/$Q$2))</f>
        <v>2658.388671875</v>
      </c>
      <c r="F411" s="15" t="n">
        <f aca="false">E411*(1+IF(F$3&lt;=$O$2,$D411,$D411-($D411-$I$400)*MIN(F$3-$O$2,$Q$2)/$Q$2))</f>
        <v>2579.20814990997</v>
      </c>
      <c r="G411" s="15" t="n">
        <f aca="false">F411*(1+IF(G$3&lt;=$O$2,$D411,$D411-($D411-$I$400)*MIN(G$3-$O$2,$Q$2)/$Q$2))</f>
        <v>2502.38603216363</v>
      </c>
      <c r="H411" s="15" t="n">
        <f aca="false">G411*(1+IF(H$3&lt;=$O$2,$D411,$D411-($D411-$I$400)*MIN(H$3-$O$2,$Q$2)/$Q$2))</f>
        <v>2427.85207319782</v>
      </c>
      <c r="I411" s="15" t="n">
        <f aca="false">H411*(1+IF(I$3&lt;=$O$2,$D411,$D411-($D411-$I$400)*MIN(I$3-$O$2,$Q$2)/$Q$2))</f>
        <v>2355.53811984574</v>
      </c>
      <c r="J411" s="15" t="n">
        <f aca="false">I411*(1+IF(J$3&lt;=$O$2,$D411,$D411-($D411-$I$400)*MIN(J$3-$O$2,$Q$2)/$Q$2))</f>
        <v>2315.09794696196</v>
      </c>
      <c r="K411" s="15" t="n">
        <f aca="false">J411*(1+IF(K$3&lt;=$O$2,$D411,$D411-($D411-$I$400)*MIN(K$3-$O$2,$Q$2)/$Q$2))</f>
        <v>2304.5617191649</v>
      </c>
      <c r="L411" s="15" t="n">
        <f aca="false">K411*(1+IF(L$3&lt;=$O$2,$D411,$D411-($D411-$I$400)*MIN(L$3-$O$2,$Q$2)/$Q$2))</f>
        <v>2323.15016995658</v>
      </c>
      <c r="M411" s="15" t="n">
        <f aca="false">L411*(1+IF(M$3&lt;=$O$2,$D411,$D411-($D411-$I$400)*MIN(M$3-$O$2,$Q$2)/$Q$2))</f>
        <v>2371.19981232335</v>
      </c>
      <c r="N411" s="15" t="n">
        <f aca="false">M411*(1+IF(N$3&lt;=$O$2,$D411,$D411-($D411-$I$400)*MIN(N$3-$O$2,$Q$2)/$Q$2))</f>
        <v>2450.16076607372</v>
      </c>
      <c r="O411" s="15" t="n">
        <f aca="false">SUMPRODUCT(E411:N411,1/(1+$F$400)^$E$3:$N$3)*$E$2</f>
        <v>11346.795074442</v>
      </c>
      <c r="P411" s="15" t="n">
        <f aca="false">N411*$E$2*(1+$I$400)/($F$400-$I$400)/(1+$F$400)^$N$3</f>
        <v>18664.1849380251</v>
      </c>
      <c r="Q411" s="15" t="n">
        <f aca="false">O411+P411</f>
        <v>30010.9800124671</v>
      </c>
      <c r="R411" s="15" t="n">
        <f aca="false">Q411-$G$2+$I$2</f>
        <v>30780.9800124671</v>
      </c>
      <c r="S411" s="42" t="n">
        <f aca="false">R411/$K$2</f>
        <v>294.752274370076</v>
      </c>
      <c r="T411" s="43" t="n">
        <f aca="false">S411-$M$2</f>
        <v>2.49909041910439</v>
      </c>
    </row>
    <row r="412" customFormat="false" ht="15" hidden="false" customHeight="false" outlineLevel="0" collapsed="false">
      <c r="A412" s="5" t="n">
        <v>11</v>
      </c>
      <c r="B412" s="25" t="n">
        <f aca="false">IF(T411&gt;0,B411,D411)</f>
        <v>-0.03125</v>
      </c>
      <c r="C412" s="25" t="n">
        <f aca="false">IF(T411&gt;0,D411,C411)</f>
        <v>-0.02978515625</v>
      </c>
      <c r="D412" s="41" t="n">
        <f aca="false">(B412+C412)/2</f>
        <v>-0.030517578125</v>
      </c>
      <c r="E412" s="15" t="n">
        <f aca="false">$C$2*(1+IF(E$3&lt;=$O$2,$D412,$D412-($D412-$I$400)*MIN(E$3-$O$2,$Q$2)/$Q$2))</f>
        <v>2656.3818359375</v>
      </c>
      <c r="F412" s="15" t="n">
        <f aca="false">E412*(1+IF(F$3&lt;=$O$2,$D412,$D412-($D412-$I$400)*MIN(F$3-$O$2,$Q$2)/$Q$2))</f>
        <v>2575.31549572945</v>
      </c>
      <c r="G412" s="15" t="n">
        <f aca="false">F412*(1+IF(G$3&lt;=$O$2,$D412,$D412-($D412-$I$400)*MIN(G$3-$O$2,$Q$2)/$Q$2))</f>
        <v>2496.723103892</v>
      </c>
      <c r="H412" s="15" t="n">
        <f aca="false">G412*(1+IF(H$3&lt;=$O$2,$D412,$D412-($D412-$I$400)*MIN(H$3-$O$2,$Q$2)/$Q$2))</f>
        <v>2420.52916151248</v>
      </c>
      <c r="I412" s="15" t="n">
        <f aca="false">H412*(1+IF(I$3&lt;=$O$2,$D412,$D412-($D412-$I$400)*MIN(I$3-$O$2,$Q$2)/$Q$2))</f>
        <v>2346.66047372219</v>
      </c>
      <c r="J412" s="15" t="n">
        <f aca="false">I412*(1+IF(J$3&lt;=$O$2,$D412,$D412-($D412-$I$400)*MIN(J$3-$O$2,$Q$2)/$Q$2))</f>
        <v>2304.99771700544</v>
      </c>
      <c r="K412" s="15" t="n">
        <f aca="false">J412*(1+IF(K$3&lt;=$O$2,$D412,$D412-($D412-$I$400)*MIN(K$3-$O$2,$Q$2)/$Q$2))</f>
        <v>2293.49451785196</v>
      </c>
      <c r="L412" s="15" t="n">
        <f aca="false">K412*(1+IF(L$3&lt;=$O$2,$D412,$D412-($D412-$I$400)*MIN(L$3-$O$2,$Q$2)/$Q$2))</f>
        <v>2311.32177906752</v>
      </c>
      <c r="M412" s="15" t="n">
        <f aca="false">L412*(1+IF(M$3&lt;=$O$2,$D412,$D412-($D412-$I$400)*MIN(M$3-$O$2,$Q$2)/$Q$2))</f>
        <v>2358.78820266894</v>
      </c>
      <c r="N412" s="15" t="n">
        <f aca="false">M412*(1+IF(N$3&lt;=$O$2,$D412,$D412-($D412-$I$400)*MIN(N$3-$O$2,$Q$2)/$Q$2))</f>
        <v>2437.33584981781</v>
      </c>
      <c r="O412" s="15" t="n">
        <f aca="false">SUMPRODUCT(E412:N412,1/(1+$F$400)^$E$3:$N$3)*$E$2</f>
        <v>11310.417427814</v>
      </c>
      <c r="P412" s="15" t="n">
        <f aca="false">N412*$E$2*(1+$I$400)/($F$400-$I$400)/(1+$F$400)^$N$3</f>
        <v>18566.4906919457</v>
      </c>
      <c r="Q412" s="15" t="n">
        <f aca="false">O412+P412</f>
        <v>29876.9081197597</v>
      </c>
      <c r="R412" s="15" t="n">
        <f aca="false">Q412-$G$2+$I$2</f>
        <v>30646.9081197597</v>
      </c>
      <c r="S412" s="42" t="n">
        <f aca="false">R412/$K$2</f>
        <v>293.468429759261</v>
      </c>
      <c r="T412" s="43" t="n">
        <f aca="false">S412-$M$2</f>
        <v>1.21524580828941</v>
      </c>
    </row>
    <row r="413" customFormat="false" ht="15" hidden="false" customHeight="false" outlineLevel="0" collapsed="false">
      <c r="A413" s="5" t="n">
        <v>12</v>
      </c>
      <c r="B413" s="25" t="n">
        <f aca="false">IF(T412&gt;0,B412,D412)</f>
        <v>-0.03125</v>
      </c>
      <c r="C413" s="25" t="n">
        <f aca="false">IF(T412&gt;0,D412,C412)</f>
        <v>-0.030517578125</v>
      </c>
      <c r="D413" s="41" t="n">
        <f aca="false">(B413+C413)/2</f>
        <v>-0.0308837890625</v>
      </c>
      <c r="E413" s="15" t="n">
        <f aca="false">$C$2*(1+IF(E$3&lt;=$O$2,$D413,$D413-($D413-$I$400)*MIN(E$3-$O$2,$Q$2)/$Q$2))</f>
        <v>2655.37841796875</v>
      </c>
      <c r="F413" s="15" t="n">
        <f aca="false">E413*(1+IF(F$3&lt;=$O$2,$D413,$D413-($D413-$I$400)*MIN(F$3-$O$2,$Q$2)/$Q$2))</f>
        <v>2573.37027102709</v>
      </c>
      <c r="G413" s="15" t="n">
        <f aca="false">F413*(1+IF(G$3&lt;=$O$2,$D413,$D413-($D413-$I$400)*MIN(G$3-$O$2,$Q$2)/$Q$2))</f>
        <v>2493.89484639698</v>
      </c>
      <c r="H413" s="15" t="n">
        <f aca="false">G413*(1+IF(H$3&lt;=$O$2,$D413,$D413-($D413-$I$400)*MIN(H$3-$O$2,$Q$2)/$Q$2))</f>
        <v>2416.8739240168</v>
      </c>
      <c r="I413" s="15" t="n">
        <f aca="false">H413*(1+IF(I$3&lt;=$O$2,$D413,$D413-($D413-$I$400)*MIN(I$3-$O$2,$Q$2)/$Q$2))</f>
        <v>2342.23169955681</v>
      </c>
      <c r="J413" s="15" t="n">
        <f aca="false">I413*(1+IF(J$3&lt;=$O$2,$D413,$D413-($D413-$I$400)*MIN(J$3-$O$2,$Q$2)/$Q$2))</f>
        <v>2299.96137088017</v>
      </c>
      <c r="K413" s="15" t="n">
        <f aca="false">J413*(1+IF(K$3&lt;=$O$2,$D413,$D413-($D413-$I$400)*MIN(K$3-$O$2,$Q$2)/$Q$2))</f>
        <v>2287.97794324219</v>
      </c>
      <c r="L413" s="15" t="n">
        <f aca="false">K413*(1+IF(L$3&lt;=$O$2,$D413,$D413-($D413-$I$400)*MIN(L$3-$O$2,$Q$2)/$Q$2))</f>
        <v>2305.42717127667</v>
      </c>
      <c r="M413" s="15" t="n">
        <f aca="false">L413*(1+IF(M$3&lt;=$O$2,$D413,$D413-($D413-$I$400)*MIN(M$3-$O$2,$Q$2)/$Q$2))</f>
        <v>2352.60368582815</v>
      </c>
      <c r="N413" s="15" t="n">
        <f aca="false">M413*(1+IF(N$3&lt;=$O$2,$D413,$D413-($D413-$I$400)*MIN(N$3-$O$2,$Q$2)/$Q$2))</f>
        <v>2430.94538856623</v>
      </c>
      <c r="O413" s="15" t="n">
        <f aca="false">SUMPRODUCT(E413:N413,1/(1+$F$400)^$E$3:$N$3)*$E$2</f>
        <v>11292.2737304144</v>
      </c>
      <c r="P413" s="15" t="n">
        <f aca="false">N413*$E$2*(1+$I$400)/($F$400-$I$400)/(1+$F$400)^$N$3</f>
        <v>18517.8111308776</v>
      </c>
      <c r="Q413" s="15" t="n">
        <f aca="false">O413+P413</f>
        <v>29810.0848612919</v>
      </c>
      <c r="R413" s="15" t="n">
        <f aca="false">Q413-$G$2+$I$2</f>
        <v>30580.0848612919</v>
      </c>
      <c r="S413" s="42" t="n">
        <f aca="false">R413/$K$2</f>
        <v>292.828544108895</v>
      </c>
      <c r="T413" s="43" t="n">
        <f aca="false">S413-$M$2</f>
        <v>0.575360157923285</v>
      </c>
    </row>
    <row r="414" customFormat="false" ht="15" hidden="false" customHeight="false" outlineLevel="0" collapsed="false">
      <c r="A414" s="5" t="n">
        <v>13</v>
      </c>
      <c r="B414" s="25" t="n">
        <f aca="false">IF(T413&gt;0,B413,D413)</f>
        <v>-0.03125</v>
      </c>
      <c r="C414" s="25" t="n">
        <f aca="false">IF(T413&gt;0,D413,C413)</f>
        <v>-0.0308837890625</v>
      </c>
      <c r="D414" s="41" t="n">
        <f aca="false">(B414+C414)/2</f>
        <v>-0.03106689453125</v>
      </c>
      <c r="E414" s="15" t="n">
        <f aca="false">$C$2*(1+IF(E$3&lt;=$O$2,$D414,$D414-($D414-$I$400)*MIN(E$3-$O$2,$Q$2)/$Q$2))</f>
        <v>2654.87670898438</v>
      </c>
      <c r="F414" s="15" t="n">
        <f aca="false">E414*(1+IF(F$3&lt;=$O$2,$D414,$D414-($D414-$I$400)*MIN(F$3-$O$2,$Q$2)/$Q$2))</f>
        <v>2572.39793427289</v>
      </c>
      <c r="G414" s="15" t="n">
        <f aca="false">F414*(1+IF(G$3&lt;=$O$2,$D414,$D414-($D414-$I$400)*MIN(G$3-$O$2,$Q$2)/$Q$2))</f>
        <v>2492.48151895642</v>
      </c>
      <c r="H414" s="15" t="n">
        <f aca="false">G414*(1+IF(H$3&lt;=$O$2,$D414,$D414-($D414-$I$400)*MIN(H$3-$O$2,$Q$2)/$Q$2))</f>
        <v>2415.04785848592</v>
      </c>
      <c r="I414" s="15" t="n">
        <f aca="false">H414*(1+IF(I$3&lt;=$O$2,$D414,$D414-($D414-$I$400)*MIN(I$3-$O$2,$Q$2)/$Q$2))</f>
        <v>2340.01982137841</v>
      </c>
      <c r="J414" s="15" t="n">
        <f aca="false">I414*(1+IF(J$3&lt;=$O$2,$D414,$D414-($D414-$I$400)*MIN(J$3-$O$2,$Q$2)/$Q$2))</f>
        <v>2297.44663419535</v>
      </c>
      <c r="K414" s="15" t="n">
        <f aca="false">J414*(1+IF(K$3&lt;=$O$2,$D414,$D414-($D414-$I$400)*MIN(K$3-$O$2,$Q$2)/$Q$2))</f>
        <v>2285.2239039974</v>
      </c>
      <c r="L414" s="15" t="n">
        <f aca="false">K414*(1+IF(L$3&lt;=$O$2,$D414,$D414-($D414-$I$400)*MIN(L$3-$O$2,$Q$2)/$Q$2))</f>
        <v>2302.48475359696</v>
      </c>
      <c r="M414" s="15" t="n">
        <f aca="false">L414*(1+IF(M$3&lt;=$O$2,$D414,$D414-($D414-$I$400)*MIN(M$3-$O$2,$Q$2)/$Q$2))</f>
        <v>2349.51673723282</v>
      </c>
      <c r="N414" s="15" t="n">
        <f aca="false">M414*(1+IF(N$3&lt;=$O$2,$D414,$D414-($D414-$I$400)*MIN(N$3-$O$2,$Q$2)/$Q$2))</f>
        <v>2427.75564458267</v>
      </c>
      <c r="O414" s="15" t="n">
        <f aca="false">SUMPRODUCT(E414:N414,1/(1+$F$400)^$E$3:$N$3)*$E$2</f>
        <v>11283.2131424177</v>
      </c>
      <c r="P414" s="15" t="n">
        <f aca="false">N414*$E$2*(1+$I$400)/($F$400-$I$400)/(1+$F$400)^$N$3</f>
        <v>18493.5131450317</v>
      </c>
      <c r="Q414" s="15" t="n">
        <f aca="false">O414+P414</f>
        <v>29776.7262874494</v>
      </c>
      <c r="R414" s="15" t="n">
        <f aca="false">Q414-$G$2+$I$2</f>
        <v>30546.7262874494</v>
      </c>
      <c r="S414" s="42" t="n">
        <f aca="false">R414/$K$2</f>
        <v>292.509109331125</v>
      </c>
      <c r="T414" s="43" t="n">
        <f aca="false">S414-$M$2</f>
        <v>0.255925380153087</v>
      </c>
    </row>
    <row r="415" customFormat="false" ht="15" hidden="false" customHeight="false" outlineLevel="0" collapsed="false">
      <c r="A415" s="5" t="n">
        <v>14</v>
      </c>
      <c r="B415" s="25" t="n">
        <f aca="false">IF(T414&gt;0,B414,D414)</f>
        <v>-0.03125</v>
      </c>
      <c r="C415" s="25" t="n">
        <f aca="false">IF(T414&gt;0,D414,C414)</f>
        <v>-0.03106689453125</v>
      </c>
      <c r="D415" s="41" t="n">
        <f aca="false">(B415+C415)/2</f>
        <v>-0.031158447265625</v>
      </c>
      <c r="E415" s="15" t="n">
        <f aca="false">$C$2*(1+IF(E$3&lt;=$O$2,$D415,$D415-($D415-$I$400)*MIN(E$3-$O$2,$Q$2)/$Q$2))</f>
        <v>2654.62585449219</v>
      </c>
      <c r="F415" s="15" t="n">
        <f aca="false">E415*(1+IF(F$3&lt;=$O$2,$D415,$D415-($D415-$I$400)*MIN(F$3-$O$2,$Q$2)/$Q$2))</f>
        <v>2571.91183479503</v>
      </c>
      <c r="G415" s="15" t="n">
        <f aca="false">F415*(1+IF(G$3&lt;=$O$2,$D415,$D415-($D415-$I$400)*MIN(G$3-$O$2,$Q$2)/$Q$2))</f>
        <v>2491.77505551873</v>
      </c>
      <c r="H415" s="15" t="n">
        <f aca="false">G415*(1+IF(H$3&lt;=$O$2,$D415,$D415-($D415-$I$400)*MIN(H$3-$O$2,$Q$2)/$Q$2))</f>
        <v>2414.13521385355</v>
      </c>
      <c r="I415" s="15" t="n">
        <f aca="false">H415*(1+IF(I$3&lt;=$O$2,$D415,$D415-($D415-$I$400)*MIN(I$3-$O$2,$Q$2)/$Q$2))</f>
        <v>2338.91450910061</v>
      </c>
      <c r="J415" s="15" t="n">
        <f aca="false">I415*(1+IF(J$3&lt;=$O$2,$D415,$D415-($D415-$I$400)*MIN(J$3-$O$2,$Q$2)/$Q$2))</f>
        <v>2296.19012421872</v>
      </c>
      <c r="K415" s="15" t="n">
        <f aca="false">J415*(1+IF(K$3&lt;=$O$2,$D415,$D415-($D415-$I$400)*MIN(K$3-$O$2,$Q$2)/$Q$2))</f>
        <v>2283.84794533493</v>
      </c>
      <c r="L415" s="15" t="n">
        <f aca="false">K415*(1+IF(L$3&lt;=$O$2,$D415,$D415-($D415-$I$400)*MIN(L$3-$O$2,$Q$2)/$Q$2))</f>
        <v>2301.01476497575</v>
      </c>
      <c r="M415" s="15" t="n">
        <f aca="false">L415*(1+IF(M$3&lt;=$O$2,$D415,$D415-($D415-$I$400)*MIN(M$3-$O$2,$Q$2)/$Q$2))</f>
        <v>2347.97458887232</v>
      </c>
      <c r="N415" s="15" t="n">
        <f aca="false">M415*(1+IF(N$3&lt;=$O$2,$D415,$D415-($D415-$I$400)*MIN(N$3-$O$2,$Q$2)/$Q$2))</f>
        <v>2426.16214268177</v>
      </c>
      <c r="O415" s="15" t="n">
        <f aca="false">SUMPRODUCT(E415:N415,1/(1+$F$400)^$E$3:$N$3)*$E$2</f>
        <v>11278.6856610015</v>
      </c>
      <c r="P415" s="15" t="n">
        <f aca="false">N415*$E$2*(1+$I$400)/($F$400-$I$400)/(1+$F$400)^$N$3</f>
        <v>18481.3745888237</v>
      </c>
      <c r="Q415" s="15" t="n">
        <f aca="false">O415+P415</f>
        <v>29760.0602498252</v>
      </c>
      <c r="R415" s="15" t="n">
        <f aca="false">Q415-$G$2+$I$2</f>
        <v>30530.0602498252</v>
      </c>
      <c r="S415" s="42" t="n">
        <f aca="false">R415/$K$2</f>
        <v>292.349518814758</v>
      </c>
      <c r="T415" s="43" t="n">
        <f aca="false">S415-$M$2</f>
        <v>0.0963348637864101</v>
      </c>
    </row>
    <row r="416" customFormat="false" ht="15" hidden="false" customHeight="false" outlineLevel="0" collapsed="false">
      <c r="A416" s="5" t="n">
        <v>15</v>
      </c>
      <c r="B416" s="25" t="n">
        <f aca="false">IF(T415&gt;0,B415,D415)</f>
        <v>-0.03125</v>
      </c>
      <c r="C416" s="25" t="n">
        <f aca="false">IF(T415&gt;0,D415,C415)</f>
        <v>-0.031158447265625</v>
      </c>
      <c r="D416" s="41" t="n">
        <f aca="false">(B416+C416)/2</f>
        <v>-0.0312042236328125</v>
      </c>
      <c r="E416" s="15" t="n">
        <f aca="false">$C$2*(1+IF(E$3&lt;=$O$2,$D416,$D416-($D416-$I$400)*MIN(E$3-$O$2,$Q$2)/$Q$2))</f>
        <v>2654.50042724609</v>
      </c>
      <c r="F416" s="15" t="n">
        <f aca="false">E416*(1+IF(F$3&lt;=$O$2,$D416,$D416-($D416-$I$400)*MIN(F$3-$O$2,$Q$2)/$Q$2))</f>
        <v>2571.66880228091</v>
      </c>
      <c r="G416" s="15" t="n">
        <f aca="false">F416*(1+IF(G$3&lt;=$O$2,$D416,$D416-($D416-$I$400)*MIN(G$3-$O$2,$Q$2)/$Q$2))</f>
        <v>2491.42187386501</v>
      </c>
      <c r="H416" s="15" t="n">
        <f aca="false">G416*(1+IF(H$3&lt;=$O$2,$D416,$D416-($D416-$I$400)*MIN(H$3-$O$2,$Q$2)/$Q$2))</f>
        <v>2413.67898854925</v>
      </c>
      <c r="I416" s="15" t="n">
        <f aca="false">H416*(1+IF(I$3&lt;=$O$2,$D416,$D416-($D416-$I$400)*MIN(I$3-$O$2,$Q$2)/$Q$2))</f>
        <v>2338.36200961273</v>
      </c>
      <c r="J416" s="15" t="n">
        <f aca="false">I416*(1+IF(J$3&lt;=$O$2,$D416,$D416-($D416-$I$400)*MIN(J$3-$O$2,$Q$2)/$Q$2))</f>
        <v>2295.56208373081</v>
      </c>
      <c r="K416" s="15" t="n">
        <f aca="false">J416*(1+IF(K$3&lt;=$O$2,$D416,$D416-($D416-$I$400)*MIN(K$3-$O$2,$Q$2)/$Q$2))</f>
        <v>2283.16023111186</v>
      </c>
      <c r="L416" s="15" t="n">
        <f aca="false">K416*(1+IF(L$3&lt;=$O$2,$D416,$D416-($D416-$I$400)*MIN(L$3-$O$2,$Q$2)/$Q$2))</f>
        <v>2300.28007555301</v>
      </c>
      <c r="M416" s="15" t="n">
        <f aca="false">L416*(1+IF(M$3&lt;=$O$2,$D416,$D416-($D416-$I$400)*MIN(M$3-$O$2,$Q$2)/$Q$2))</f>
        <v>2347.20384598661</v>
      </c>
      <c r="N416" s="15" t="n">
        <f aca="false">M416*(1+IF(N$3&lt;=$O$2,$D416,$D416-($D416-$I$400)*MIN(N$3-$O$2,$Q$2)/$Q$2))</f>
        <v>2425.36573405797</v>
      </c>
      <c r="O416" s="15" t="n">
        <f aca="false">SUMPRODUCT(E416:N416,1/(1+$F$400)^$E$3:$N$3)*$E$2</f>
        <v>11276.422623115</v>
      </c>
      <c r="P416" s="15" t="n">
        <f aca="false">N416*$E$2*(1+$I$400)/($F$400-$I$400)/(1+$F$400)^$N$3</f>
        <v>18475.307918405</v>
      </c>
      <c r="Q416" s="15" t="n">
        <f aca="false">O416+P416</f>
        <v>29751.7305415199</v>
      </c>
      <c r="R416" s="15" t="n">
        <f aca="false">Q416-$G$2+$I$2</f>
        <v>30521.7305415199</v>
      </c>
      <c r="S416" s="42" t="n">
        <f aca="false">R416/$K$2</f>
        <v>292.269755257301</v>
      </c>
      <c r="T416" s="43" t="n">
        <f aca="false">S416-$M$2</f>
        <v>0.0165713063286148</v>
      </c>
    </row>
    <row r="417" customFormat="false" ht="15" hidden="false" customHeight="false" outlineLevel="0" collapsed="false">
      <c r="A417" s="5" t="n">
        <v>16</v>
      </c>
      <c r="B417" s="25" t="n">
        <f aca="false">IF(T416&gt;0,B416,D416)</f>
        <v>-0.03125</v>
      </c>
      <c r="C417" s="25" t="n">
        <f aca="false">IF(T416&gt;0,D416,C416)</f>
        <v>-0.0312042236328125</v>
      </c>
      <c r="D417" s="41" t="n">
        <f aca="false">(B417+C417)/2</f>
        <v>-0.0312271118164063</v>
      </c>
      <c r="E417" s="15" t="n">
        <f aca="false">$C$2*(1+IF(E$3&lt;=$O$2,$D417,$D417-($D417-$I$400)*MIN(E$3-$O$2,$Q$2)/$Q$2))</f>
        <v>2654.43771362305</v>
      </c>
      <c r="F417" s="15" t="n">
        <f aca="false">E417*(1+IF(F$3&lt;=$O$2,$D417,$D417-($D417-$I$400)*MIN(F$3-$O$2,$Q$2)/$Q$2))</f>
        <v>2571.54729033005</v>
      </c>
      <c r="G417" s="15" t="n">
        <f aca="false">F417*(1+IF(G$3&lt;=$O$2,$D417,$D417-($D417-$I$400)*MIN(G$3-$O$2,$Q$2)/$Q$2))</f>
        <v>2491.24529555374</v>
      </c>
      <c r="H417" s="15" t="n">
        <f aca="false">G417*(1+IF(H$3&lt;=$O$2,$D417,$D417-($D417-$I$400)*MIN(H$3-$O$2,$Q$2)/$Q$2))</f>
        <v>2413.45090014739</v>
      </c>
      <c r="I417" s="15" t="n">
        <f aca="false">H417*(1+IF(I$3&lt;=$O$2,$D417,$D417-($D417-$I$400)*MIN(I$3-$O$2,$Q$2)/$Q$2))</f>
        <v>2338.08579902508</v>
      </c>
      <c r="J417" s="15" t="n">
        <f aca="false">I417*(1+IF(J$3&lt;=$O$2,$D417,$D417-($D417-$I$400)*MIN(J$3-$O$2,$Q$2)/$Q$2))</f>
        <v>2295.24811710058</v>
      </c>
      <c r="K417" s="15" t="n">
        <f aca="false">J417*(1+IF(K$3&lt;=$O$2,$D417,$D417-($D417-$I$400)*MIN(K$3-$O$2,$Q$2)/$Q$2))</f>
        <v>2282.8164402609</v>
      </c>
      <c r="L417" s="15" t="n">
        <f aca="false">K417*(1+IF(L$3&lt;=$O$2,$D417,$D417-($D417-$I$400)*MIN(L$3-$O$2,$Q$2)/$Q$2))</f>
        <v>2299.91280704277</v>
      </c>
      <c r="M417" s="15" t="n">
        <f aca="false">L417*(1+IF(M$3&lt;=$O$2,$D417,$D417-($D417-$I$400)*MIN(M$3-$O$2,$Q$2)/$Q$2))</f>
        <v>2346.81855734369</v>
      </c>
      <c r="N417" s="15" t="n">
        <f aca="false">M417*(1+IF(N$3&lt;=$O$2,$D417,$D417-($D417-$I$400)*MIN(N$3-$O$2,$Q$2)/$Q$2))</f>
        <v>2424.96761530324</v>
      </c>
      <c r="O417" s="15" t="n">
        <f aca="false">SUMPRODUCT(E417:N417,1/(1+$F$400)^$E$3:$N$3)*$E$2</f>
        <v>11275.2912798366</v>
      </c>
      <c r="P417" s="15" t="n">
        <f aca="false">N417*$E$2*(1+$I$400)/($F$400-$I$400)/(1+$F$400)^$N$3</f>
        <v>18472.2752349303</v>
      </c>
      <c r="Q417" s="15" t="n">
        <f aca="false">O417+P417</f>
        <v>29747.5665147669</v>
      </c>
      <c r="R417" s="15" t="n">
        <f aca="false">Q417-$G$2+$I$2</f>
        <v>30517.5665147669</v>
      </c>
      <c r="S417" s="42" t="n">
        <f aca="false">R417/$K$2</f>
        <v>292.229881401579</v>
      </c>
      <c r="T417" s="43" t="n">
        <f aca="false">S417-$M$2</f>
        <v>-0.0233025493934065</v>
      </c>
    </row>
    <row r="418" customFormat="false" ht="15" hidden="false" customHeight="false" outlineLevel="0" collapsed="false">
      <c r="A418" s="5" t="n">
        <v>17</v>
      </c>
      <c r="B418" s="25" t="n">
        <f aca="false">IF(T417&gt;0,B417,D417)</f>
        <v>-0.0312271118164063</v>
      </c>
      <c r="C418" s="25" t="n">
        <f aca="false">IF(T417&gt;0,D417,C417)</f>
        <v>-0.0312042236328125</v>
      </c>
      <c r="D418" s="41" t="n">
        <f aca="false">(B418+C418)/2</f>
        <v>-0.0312156677246094</v>
      </c>
      <c r="E418" s="15" t="n">
        <f aca="false">$C$2*(1+IF(E$3&lt;=$O$2,$D418,$D418-($D418-$I$400)*MIN(E$3-$O$2,$Q$2)/$Q$2))</f>
        <v>2654.46907043457</v>
      </c>
      <c r="F418" s="15" t="n">
        <f aca="false">E418*(1+IF(F$3&lt;=$O$2,$D418,$D418-($D418-$I$400)*MIN(F$3-$O$2,$Q$2)/$Q$2))</f>
        <v>2571.60804594663</v>
      </c>
      <c r="G418" s="15" t="n">
        <f aca="false">F418*(1+IF(G$3&lt;=$O$2,$D418,$D418-($D418-$I$400)*MIN(G$3-$O$2,$Q$2)/$Q$2))</f>
        <v>2491.33358366643</v>
      </c>
      <c r="H418" s="15" t="n">
        <f aca="false">G418*(1+IF(H$3&lt;=$O$2,$D418,$D418-($D418-$I$400)*MIN(H$3-$O$2,$Q$2)/$Q$2))</f>
        <v>2413.56494232754</v>
      </c>
      <c r="I418" s="15" t="n">
        <f aca="false">H418*(1+IF(I$3&lt;=$O$2,$D418,$D418-($D418-$I$400)*MIN(I$3-$O$2,$Q$2)/$Q$2))</f>
        <v>2338.22390105608</v>
      </c>
      <c r="J418" s="15" t="n">
        <f aca="false">I418*(1+IF(J$3&lt;=$O$2,$D418,$D418-($D418-$I$400)*MIN(J$3-$O$2,$Q$2)/$Q$2))</f>
        <v>2295.40509594822</v>
      </c>
      <c r="K418" s="15" t="n">
        <f aca="false">J418*(1+IF(K$3&lt;=$O$2,$D418,$D418-($D418-$I$400)*MIN(K$3-$O$2,$Q$2)/$Q$2))</f>
        <v>2282.98833016516</v>
      </c>
      <c r="L418" s="15" t="n">
        <f aca="false">K418*(1+IF(L$3&lt;=$O$2,$D418,$D418-($D418-$I$400)*MIN(L$3-$O$2,$Q$2)/$Q$2))</f>
        <v>2300.09643494842</v>
      </c>
      <c r="M418" s="15" t="n">
        <f aca="false">L418*(1+IF(M$3&lt;=$O$2,$D418,$D418-($D418-$I$400)*MIN(M$3-$O$2,$Q$2)/$Q$2))</f>
        <v>2347.01119476586</v>
      </c>
      <c r="N418" s="15" t="n">
        <f aca="false">M418*(1+IF(N$3&lt;=$O$2,$D418,$D418-($D418-$I$400)*MIN(N$3-$O$2,$Q$2)/$Q$2))</f>
        <v>2425.16666755157</v>
      </c>
      <c r="O418" s="15" t="n">
        <f aca="false">SUMPRODUCT(E418:N418,1/(1+$F$400)^$E$3:$N$3)*$E$2</f>
        <v>11275.8569368382</v>
      </c>
      <c r="P418" s="15" t="n">
        <f aca="false">N418*$E$2*(1+$I$400)/($F$400-$I$400)/(1+$F$400)^$N$3</f>
        <v>18473.7915223619</v>
      </c>
      <c r="Q418" s="15" t="n">
        <f aca="false">O418+P418</f>
        <v>29749.6484592002</v>
      </c>
      <c r="R418" s="15" t="n">
        <f aca="false">Q418-$G$2+$I$2</f>
        <v>30519.6484592002</v>
      </c>
      <c r="S418" s="42" t="n">
        <f aca="false">R418/$K$2</f>
        <v>292.249817669254</v>
      </c>
      <c r="T418" s="43" t="n">
        <f aca="false">S418-$M$2</f>
        <v>-0.00336628171822895</v>
      </c>
    </row>
    <row r="419" customFormat="false" ht="15" hidden="false" customHeight="false" outlineLevel="0" collapsed="false">
      <c r="A419" s="5" t="n">
        <v>18</v>
      </c>
      <c r="B419" s="25" t="n">
        <f aca="false">IF(T418&gt;0,B418,D418)</f>
        <v>-0.0312156677246094</v>
      </c>
      <c r="C419" s="25" t="n">
        <f aca="false">IF(T418&gt;0,D418,C418)</f>
        <v>-0.0312042236328125</v>
      </c>
      <c r="D419" s="41" t="n">
        <f aca="false">(B419+C419)/2</f>
        <v>-0.0312099456787109</v>
      </c>
      <c r="E419" s="15" t="n">
        <f aca="false">$C$2*(1+IF(E$3&lt;=$O$2,$D419,$D419-($D419-$I$400)*MIN(E$3-$O$2,$Q$2)/$Q$2))</f>
        <v>2654.48474884033</v>
      </c>
      <c r="F419" s="15" t="n">
        <f aca="false">E419*(1+IF(F$3&lt;=$O$2,$D419,$D419-($D419-$I$400)*MIN(F$3-$O$2,$Q$2)/$Q$2))</f>
        <v>2571.63842402406</v>
      </c>
      <c r="G419" s="15" t="n">
        <f aca="false">F419*(1+IF(G$3&lt;=$O$2,$D419,$D419-($D419-$I$400)*MIN(G$3-$O$2,$Q$2)/$Q$2))</f>
        <v>2491.37772850498</v>
      </c>
      <c r="H419" s="15" t="n">
        <f aca="false">G419*(1+IF(H$3&lt;=$O$2,$D419,$D419-($D419-$I$400)*MIN(H$3-$O$2,$Q$2)/$Q$2))</f>
        <v>2413.62196493319</v>
      </c>
      <c r="I419" s="15" t="n">
        <f aca="false">H419*(1+IF(I$3&lt;=$O$2,$D419,$D419-($D419-$I$400)*MIN(I$3-$O$2,$Q$2)/$Q$2))</f>
        <v>2338.29295451868</v>
      </c>
      <c r="J419" s="15" t="n">
        <f aca="false">I419*(1+IF(J$3&lt;=$O$2,$D419,$D419-($D419-$I$400)*MIN(J$3-$O$2,$Q$2)/$Q$2))</f>
        <v>2295.48358872262</v>
      </c>
      <c r="K419" s="15" t="n">
        <f aca="false">J419*(1+IF(K$3&lt;=$O$2,$D419,$D419-($D419-$I$400)*MIN(K$3-$O$2,$Q$2)/$Q$2))</f>
        <v>2283.07427925817</v>
      </c>
      <c r="L419" s="15" t="n">
        <f aca="false">K419*(1+IF(L$3&lt;=$O$2,$D419,$D419-($D419-$I$400)*MIN(L$3-$O$2,$Q$2)/$Q$2))</f>
        <v>2300.1882536633</v>
      </c>
      <c r="M419" s="15" t="n">
        <f aca="false">L419*(1+IF(M$3&lt;=$O$2,$D419,$D419-($D419-$I$400)*MIN(M$3-$O$2,$Q$2)/$Q$2))</f>
        <v>2347.10751865136</v>
      </c>
      <c r="N419" s="15" t="n">
        <f aca="false">M419*(1+IF(N$3&lt;=$O$2,$D419,$D419-($D419-$I$400)*MIN(N$3-$O$2,$Q$2)/$Q$2))</f>
        <v>2425.26619902245</v>
      </c>
      <c r="O419" s="15" t="n">
        <f aca="false">SUMPRODUCT(E419:N419,1/(1+$F$400)^$E$3:$N$3)*$E$2</f>
        <v>11276.1397763171</v>
      </c>
      <c r="P419" s="15" t="n">
        <f aca="false">N419*$E$2*(1+$I$400)/($F$400-$I$400)/(1+$F$400)^$N$3</f>
        <v>18474.5497068066</v>
      </c>
      <c r="Q419" s="15" t="n">
        <f aca="false">O419+P419</f>
        <v>29750.6894831237</v>
      </c>
      <c r="R419" s="15" t="n">
        <f aca="false">Q419-$G$2+$I$2</f>
        <v>30520.6894831237</v>
      </c>
      <c r="S419" s="42" t="n">
        <f aca="false">R419/$K$2</f>
        <v>292.259786298226</v>
      </c>
      <c r="T419" s="43" t="n">
        <f aca="false">S419-$M$2</f>
        <v>0.00660234725387454</v>
      </c>
    </row>
    <row r="420" customFormat="false" ht="15" hidden="false" customHeight="false" outlineLevel="0" collapsed="false">
      <c r="A420" s="5" t="n">
        <v>19</v>
      </c>
      <c r="B420" s="25" t="n">
        <f aca="false">IF(T419&gt;0,B419,D419)</f>
        <v>-0.0312156677246094</v>
      </c>
      <c r="C420" s="25" t="n">
        <f aca="false">IF(T419&gt;0,D419,C419)</f>
        <v>-0.0312099456787109</v>
      </c>
      <c r="D420" s="41" t="n">
        <f aca="false">(B420+C420)/2</f>
        <v>-0.0312128067016602</v>
      </c>
      <c r="E420" s="15" t="n">
        <f aca="false">$C$2*(1+IF(E$3&lt;=$O$2,$D420,$D420-($D420-$I$400)*MIN(E$3-$O$2,$Q$2)/$Q$2))</f>
        <v>2654.47690963745</v>
      </c>
      <c r="F420" s="15" t="n">
        <f aca="false">E420*(1+IF(F$3&lt;=$O$2,$D420,$D420-($D420-$I$400)*MIN(F$3-$O$2,$Q$2)/$Q$2))</f>
        <v>2571.62323496292</v>
      </c>
      <c r="G420" s="15" t="n">
        <f aca="false">F420*(1+IF(G$3&lt;=$O$2,$D420,$D420-($D420-$I$400)*MIN(G$3-$O$2,$Q$2)/$Q$2))</f>
        <v>2491.35565602052</v>
      </c>
      <c r="H420" s="15" t="n">
        <f aca="false">G420*(1+IF(H$3&lt;=$O$2,$D420,$D420-($D420-$I$400)*MIN(H$3-$O$2,$Q$2)/$Q$2))</f>
        <v>2413.59345350407</v>
      </c>
      <c r="I420" s="15" t="n">
        <f aca="false">H420*(1+IF(I$3&lt;=$O$2,$D420,$D420-($D420-$I$400)*MIN(I$3-$O$2,$Q$2)/$Q$2))</f>
        <v>2338.25842758345</v>
      </c>
      <c r="J420" s="15" t="n">
        <f aca="false">I420*(1+IF(J$3&lt;=$O$2,$D420,$D420-($D420-$I$400)*MIN(J$3-$O$2,$Q$2)/$Q$2))</f>
        <v>2295.4443420562</v>
      </c>
      <c r="K420" s="15" t="n">
        <f aca="false">J420*(1+IF(K$3&lt;=$O$2,$D420,$D420-($D420-$I$400)*MIN(K$3-$O$2,$Q$2)/$Q$2))</f>
        <v>2283.03130436658</v>
      </c>
      <c r="L420" s="15" t="n">
        <f aca="false">K420*(1+IF(L$3&lt;=$O$2,$D420,$D420-($D420-$I$400)*MIN(L$3-$O$2,$Q$2)/$Q$2))</f>
        <v>2300.14234390901</v>
      </c>
      <c r="M420" s="15" t="n">
        <f aca="false">L420*(1+IF(M$3&lt;=$O$2,$D420,$D420-($D420-$I$400)*MIN(M$3-$O$2,$Q$2)/$Q$2))</f>
        <v>2347.0593562774</v>
      </c>
      <c r="N420" s="15" t="n">
        <f aca="false">M420*(1+IF(N$3&lt;=$O$2,$D420,$D420-($D420-$I$400)*MIN(N$3-$O$2,$Q$2)/$Q$2))</f>
        <v>2425.21643284144</v>
      </c>
      <c r="O420" s="15" t="n">
        <f aca="false">SUMPRODUCT(E420:N420,1/(1+$F$400)^$E$3:$N$3)*$E$2</f>
        <v>11275.9983556628</v>
      </c>
      <c r="P420" s="15" t="n">
        <f aca="false">N420*$E$2*(1+$I$400)/($F$400-$I$400)/(1+$F$400)^$N$3</f>
        <v>18474.1706111901</v>
      </c>
      <c r="Q420" s="15" t="n">
        <f aca="false">O420+P420</f>
        <v>29750.1689668529</v>
      </c>
      <c r="R420" s="15" t="n">
        <f aca="false">Q420-$G$2+$I$2</f>
        <v>30520.1689668529</v>
      </c>
      <c r="S420" s="42" t="n">
        <f aca="false">R420/$K$2</f>
        <v>292.254801942478</v>
      </c>
      <c r="T420" s="43" t="n">
        <f aca="false">S420-$M$2</f>
        <v>0.00161799150549768</v>
      </c>
    </row>
    <row r="421" customFormat="false" ht="15" hidden="false" customHeight="false" outlineLevel="0" collapsed="false">
      <c r="A421" s="5" t="n">
        <v>20</v>
      </c>
      <c r="B421" s="25" t="n">
        <f aca="false">IF(T420&gt;0,B420,D420)</f>
        <v>-0.0312156677246094</v>
      </c>
      <c r="C421" s="25" t="n">
        <f aca="false">IF(T420&gt;0,D420,C420)</f>
        <v>-0.0312128067016602</v>
      </c>
      <c r="D421" s="41" t="n">
        <f aca="false">(B421+C421)/2</f>
        <v>-0.0312142372131348</v>
      </c>
      <c r="E421" s="15" t="n">
        <f aca="false">$C$2*(1+IF(E$3&lt;=$O$2,$D421,$D421-($D421-$I$400)*MIN(E$3-$O$2,$Q$2)/$Q$2))</f>
        <v>2654.47299003601</v>
      </c>
      <c r="F421" s="15" t="n">
        <f aca="false">E421*(1+IF(F$3&lt;=$O$2,$D421,$D421-($D421-$I$400)*MIN(F$3-$O$2,$Q$2)/$Q$2))</f>
        <v>2571.61564044917</v>
      </c>
      <c r="G421" s="15" t="n">
        <f aca="false">F421*(1+IF(G$3&lt;=$O$2,$D421,$D421-($D421-$I$400)*MIN(G$3-$O$2,$Q$2)/$Q$2))</f>
        <v>2491.34461982718</v>
      </c>
      <c r="H421" s="15" t="n">
        <f aca="false">G421*(1+IF(H$3&lt;=$O$2,$D421,$D421-($D421-$I$400)*MIN(H$3-$O$2,$Q$2)/$Q$2))</f>
        <v>2413.57919788423</v>
      </c>
      <c r="I421" s="15" t="n">
        <f aca="false">H421*(1+IF(I$3&lt;=$O$2,$D421,$D421-($D421-$I$400)*MIN(I$3-$O$2,$Q$2)/$Q$2))</f>
        <v>2338.24116426878</v>
      </c>
      <c r="J421" s="15" t="n">
        <f aca="false">I421*(1+IF(J$3&lt;=$O$2,$D421,$D421-($D421-$I$400)*MIN(J$3-$O$2,$Q$2)/$Q$2))</f>
        <v>2295.42471893241</v>
      </c>
      <c r="K421" s="15" t="n">
        <f aca="false">J421*(1+IF(K$3&lt;=$O$2,$D421,$D421-($D421-$I$400)*MIN(K$3-$O$2,$Q$2)/$Q$2))</f>
        <v>2283.0098171796</v>
      </c>
      <c r="L421" s="15" t="n">
        <f aca="false">K421*(1+IF(L$3&lt;=$O$2,$D421,$D421-($D421-$I$400)*MIN(L$3-$O$2,$Q$2)/$Q$2))</f>
        <v>2300.1193893295</v>
      </c>
      <c r="M421" s="15" t="n">
        <f aca="false">L421*(1+IF(M$3&lt;=$O$2,$D421,$D421-($D421-$I$400)*MIN(M$3-$O$2,$Q$2)/$Q$2))</f>
        <v>2347.03527541383</v>
      </c>
      <c r="N421" s="15" t="n">
        <f aca="false">M421*(1+IF(N$3&lt;=$O$2,$D421,$D421-($D421-$I$400)*MIN(N$3-$O$2,$Q$2)/$Q$2))</f>
        <v>2425.19155008511</v>
      </c>
      <c r="O421" s="15" t="n">
        <f aca="false">SUMPRODUCT(E421:N421,1/(1+$F$400)^$E$3:$N$3)*$E$2</f>
        <v>11275.9276460218</v>
      </c>
      <c r="P421" s="15" t="n">
        <f aca="false">N421*$E$2*(1+$I$400)/($F$400-$I$400)/(1+$F$400)^$N$3</f>
        <v>18473.9810659275</v>
      </c>
      <c r="Q421" s="15" t="n">
        <f aca="false">O421+P421</f>
        <v>29749.9087119493</v>
      </c>
      <c r="R421" s="15" t="n">
        <f aca="false">Q421-$G$2+$I$2</f>
        <v>30519.9087119493</v>
      </c>
      <c r="S421" s="42" t="n">
        <f aca="false">R421/$K$2</f>
        <v>292.25230979555</v>
      </c>
      <c r="T421" s="43" t="n">
        <f aca="false">S421-$M$2</f>
        <v>-0.000874155421911382</v>
      </c>
    </row>
    <row r="422" customFormat="false" ht="15" hidden="false" customHeight="false" outlineLevel="0" collapsed="false">
      <c r="A422" s="5" t="n">
        <v>21</v>
      </c>
      <c r="B422" s="25" t="n">
        <f aca="false">IF(T421&gt;0,B421,D421)</f>
        <v>-0.0312142372131348</v>
      </c>
      <c r="C422" s="25" t="n">
        <f aca="false">IF(T421&gt;0,D421,C421)</f>
        <v>-0.0312128067016602</v>
      </c>
      <c r="D422" s="41" t="n">
        <f aca="false">(B422+C422)/2</f>
        <v>-0.0312135219573975</v>
      </c>
      <c r="E422" s="15" t="n">
        <f aca="false">$C$2*(1+IF(E$3&lt;=$O$2,$D422,$D422-($D422-$I$400)*MIN(E$3-$O$2,$Q$2)/$Q$2))</f>
        <v>2654.47494983673</v>
      </c>
      <c r="F422" s="15" t="n">
        <f aca="false">E422*(1+IF(F$3&lt;=$O$2,$D422,$D422-($D422-$I$400)*MIN(F$3-$O$2,$Q$2)/$Q$2))</f>
        <v>2571.61943770464</v>
      </c>
      <c r="G422" s="15" t="n">
        <f aca="false">F422*(1+IF(G$3&lt;=$O$2,$D422,$D422-($D422-$I$400)*MIN(G$3-$O$2,$Q$2)/$Q$2))</f>
        <v>2491.35013791978</v>
      </c>
      <c r="H422" s="15" t="n">
        <f aca="false">G422*(1+IF(H$3&lt;=$O$2,$D422,$D422-($D422-$I$400)*MIN(H$3-$O$2,$Q$2)/$Q$2))</f>
        <v>2413.58632568625</v>
      </c>
      <c r="I422" s="15" t="n">
        <f aca="false">H422*(1+IF(I$3&lt;=$O$2,$D422,$D422-($D422-$I$400)*MIN(I$3-$O$2,$Q$2)/$Q$2))</f>
        <v>2338.24979591337</v>
      </c>
      <c r="J422" s="15" t="n">
        <f aca="false">I422*(1+IF(J$3&lt;=$O$2,$D422,$D422-($D422-$I$400)*MIN(J$3-$O$2,$Q$2)/$Q$2))</f>
        <v>2295.43453047686</v>
      </c>
      <c r="K422" s="15" t="n">
        <f aca="false">J422*(1+IF(K$3&lt;=$O$2,$D422,$D422-($D422-$I$400)*MIN(K$3-$O$2,$Q$2)/$Q$2))</f>
        <v>2283.02056075152</v>
      </c>
      <c r="L422" s="15" t="n">
        <f aca="false">K422*(1+IF(L$3&lt;=$O$2,$D422,$D422-($D422-$I$400)*MIN(L$3-$O$2,$Q$2)/$Q$2))</f>
        <v>2300.13086659446</v>
      </c>
      <c r="M422" s="15" t="n">
        <f aca="false">L422*(1+IF(M$3&lt;=$O$2,$D422,$D422-($D422-$I$400)*MIN(M$3-$O$2,$Q$2)/$Q$2))</f>
        <v>2347.04731581867</v>
      </c>
      <c r="N422" s="15" t="n">
        <f aca="false">M422*(1+IF(N$3&lt;=$O$2,$D422,$D422-($D422-$I$400)*MIN(N$3-$O$2,$Q$2)/$Q$2))</f>
        <v>2425.20399143543</v>
      </c>
      <c r="O422" s="15" t="n">
        <f aca="false">SUMPRODUCT(E422:N422,1/(1+$F$400)^$E$3:$N$3)*$E$2</f>
        <v>11275.9630007851</v>
      </c>
      <c r="P422" s="15" t="n">
        <f aca="false">N422*$E$2*(1+$I$400)/($F$400-$I$400)/(1+$F$400)^$N$3</f>
        <v>18474.0758383467</v>
      </c>
      <c r="Q422" s="15" t="n">
        <f aca="false">O422+P422</f>
        <v>29750.0388391318</v>
      </c>
      <c r="R422" s="15" t="n">
        <f aca="false">Q422-$G$2+$I$2</f>
        <v>30520.0388391318</v>
      </c>
      <c r="S422" s="42" t="n">
        <f aca="false">R422/$K$2</f>
        <v>292.253555866435</v>
      </c>
      <c r="T422" s="43" t="n">
        <f aca="false">S422-$M$2</f>
        <v>0.000371915462949346</v>
      </c>
    </row>
    <row r="423" customFormat="false" ht="15" hidden="false" customHeight="false" outlineLevel="0" collapsed="false">
      <c r="A423" s="5" t="n">
        <v>22</v>
      </c>
      <c r="B423" s="25" t="n">
        <f aca="false">IF(T422&gt;0,B422,D422)</f>
        <v>-0.0312142372131348</v>
      </c>
      <c r="C423" s="25" t="n">
        <f aca="false">IF(T422&gt;0,D422,C422)</f>
        <v>-0.0312135219573975</v>
      </c>
      <c r="D423" s="41" t="n">
        <f aca="false">(B423+C423)/2</f>
        <v>-0.0312138795852661</v>
      </c>
      <c r="E423" s="15" t="n">
        <f aca="false">$C$2*(1+IF(E$3&lt;=$O$2,$D423,$D423-($D423-$I$400)*MIN(E$3-$O$2,$Q$2)/$Q$2))</f>
        <v>2654.47396993637</v>
      </c>
      <c r="F423" s="15" t="n">
        <f aca="false">E423*(1+IF(F$3&lt;=$O$2,$D423,$D423-($D423-$I$400)*MIN(F$3-$O$2,$Q$2)/$Q$2))</f>
        <v>2571.61753907655</v>
      </c>
      <c r="G423" s="15" t="n">
        <f aca="false">F423*(1+IF(G$3&lt;=$O$2,$D423,$D423-($D423-$I$400)*MIN(G$3-$O$2,$Q$2)/$Q$2))</f>
        <v>2491.34737887246</v>
      </c>
      <c r="H423" s="15" t="n">
        <f aca="false">G423*(1+IF(H$3&lt;=$O$2,$D423,$D423-($D423-$I$400)*MIN(H$3-$O$2,$Q$2)/$Q$2))</f>
        <v>2413.58276178327</v>
      </c>
      <c r="I423" s="15" t="n">
        <f aca="false">H423*(1+IF(I$3&lt;=$O$2,$D423,$D423-($D423-$I$400)*MIN(I$3-$O$2,$Q$2)/$Q$2))</f>
        <v>2338.24548008789</v>
      </c>
      <c r="J423" s="15" t="n">
        <f aca="false">I423*(1+IF(J$3&lt;=$O$2,$D423,$D423-($D423-$I$400)*MIN(J$3-$O$2,$Q$2)/$Q$2))</f>
        <v>2295.42962470027</v>
      </c>
      <c r="K423" s="15" t="n">
        <f aca="false">J423*(1+IF(K$3&lt;=$O$2,$D423,$D423-($D423-$I$400)*MIN(K$3-$O$2,$Q$2)/$Q$2))</f>
        <v>2283.01518896017</v>
      </c>
      <c r="L423" s="15" t="n">
        <f aca="false">K423*(1+IF(L$3&lt;=$O$2,$D423,$D423-($D423-$I$400)*MIN(L$3-$O$2,$Q$2)/$Q$2))</f>
        <v>2300.12512795578</v>
      </c>
      <c r="M423" s="15" t="n">
        <f aca="false">L423*(1+IF(M$3&lt;=$O$2,$D423,$D423-($D423-$I$400)*MIN(M$3-$O$2,$Q$2)/$Q$2))</f>
        <v>2347.04129560951</v>
      </c>
      <c r="N423" s="15" t="n">
        <f aca="false">M423*(1+IF(N$3&lt;=$O$2,$D423,$D423-($D423-$I$400)*MIN(N$3-$O$2,$Q$2)/$Q$2))</f>
        <v>2425.19777075331</v>
      </c>
      <c r="O423" s="15" t="n">
        <f aca="false">SUMPRODUCT(E423:N423,1/(1+$F$400)^$E$3:$N$3)*$E$2</f>
        <v>11275.9453233892</v>
      </c>
      <c r="P423" s="15" t="n">
        <f aca="false">N423*$E$2*(1+$I$400)/($F$400-$I$400)/(1+$F$400)^$N$3</f>
        <v>18474.028452084</v>
      </c>
      <c r="Q423" s="15" t="n">
        <f aca="false">O423+P423</f>
        <v>29749.9737754732</v>
      </c>
      <c r="R423" s="15" t="n">
        <f aca="false">Q423-$G$2+$I$2</f>
        <v>30519.9737754732</v>
      </c>
      <c r="S423" s="42" t="n">
        <f aca="false">R423/$K$2</f>
        <v>292.252932830348</v>
      </c>
      <c r="T423" s="43" t="n">
        <f aca="false">S423-$M$2</f>
        <v>-0.00025112062411381</v>
      </c>
    </row>
    <row r="424" customFormat="false" ht="15" hidden="false" customHeight="false" outlineLevel="0" collapsed="false">
      <c r="A424" s="5" t="n">
        <v>23</v>
      </c>
      <c r="B424" s="25" t="n">
        <f aca="false">IF(T423&gt;0,B423,D423)</f>
        <v>-0.0312138795852661</v>
      </c>
      <c r="C424" s="25" t="n">
        <f aca="false">IF(T423&gt;0,D423,C423)</f>
        <v>-0.0312135219573975</v>
      </c>
      <c r="D424" s="41" t="n">
        <f aca="false">(B424+C424)/2</f>
        <v>-0.0312137007713318</v>
      </c>
      <c r="E424" s="15" t="n">
        <f aca="false">$C$2*(1+IF(E$3&lt;=$O$2,$D424,$D424-($D424-$I$400)*MIN(E$3-$O$2,$Q$2)/$Q$2))</f>
        <v>2654.47445988655</v>
      </c>
      <c r="F424" s="15" t="n">
        <f aca="false">E424*(1+IF(F$3&lt;=$O$2,$D424,$D424-($D424-$I$400)*MIN(F$3-$O$2,$Q$2)/$Q$2))</f>
        <v>2571.61848839051</v>
      </c>
      <c r="G424" s="15" t="n">
        <f aca="false">F424*(1+IF(G$3&lt;=$O$2,$D424,$D424-($D424-$I$400)*MIN(G$3-$O$2,$Q$2)/$Q$2))</f>
        <v>2491.34875839586</v>
      </c>
      <c r="H424" s="15" t="n">
        <f aca="false">G424*(1+IF(H$3&lt;=$O$2,$D424,$D424-($D424-$I$400)*MIN(H$3-$O$2,$Q$2)/$Q$2))</f>
        <v>2413.58454373427</v>
      </c>
      <c r="I424" s="15" t="n">
        <f aca="false">H424*(1+IF(I$3&lt;=$O$2,$D424,$D424-($D424-$I$400)*MIN(I$3-$O$2,$Q$2)/$Q$2))</f>
        <v>2338.24763799983</v>
      </c>
      <c r="J424" s="15" t="n">
        <f aca="false">I424*(1+IF(J$3&lt;=$O$2,$D424,$D424-($D424-$I$400)*MIN(J$3-$O$2,$Q$2)/$Q$2))</f>
        <v>2295.43207758747</v>
      </c>
      <c r="K424" s="15" t="n">
        <f aca="false">J424*(1+IF(K$3&lt;=$O$2,$D424,$D424-($D424-$I$400)*MIN(K$3-$O$2,$Q$2)/$Q$2))</f>
        <v>2283.0178748545</v>
      </c>
      <c r="L424" s="15" t="n">
        <f aca="false">K424*(1+IF(L$3&lt;=$O$2,$D424,$D424-($D424-$I$400)*MIN(L$3-$O$2,$Q$2)/$Q$2))</f>
        <v>2300.12799727357</v>
      </c>
      <c r="M424" s="15" t="n">
        <f aca="false">L424*(1+IF(M$3&lt;=$O$2,$D424,$D424-($D424-$I$400)*MIN(M$3-$O$2,$Q$2)/$Q$2))</f>
        <v>2347.0443057124</v>
      </c>
      <c r="N424" s="15" t="n">
        <f aca="false">M424*(1+IF(N$3&lt;=$O$2,$D424,$D424-($D424-$I$400)*MIN(N$3-$O$2,$Q$2)/$Q$2))</f>
        <v>2425.20088109263</v>
      </c>
      <c r="O424" s="15" t="n">
        <f aca="false">SUMPRODUCT(E424:N424,1/(1+$F$400)^$E$3:$N$3)*$E$2</f>
        <v>11275.9541620836</v>
      </c>
      <c r="P424" s="15" t="n">
        <f aca="false">N424*$E$2*(1+$I$400)/($F$400-$I$400)/(1+$F$400)^$N$3</f>
        <v>18474.0521452021</v>
      </c>
      <c r="Q424" s="15" t="n">
        <f aca="false">O424+P424</f>
        <v>29750.0063072857</v>
      </c>
      <c r="R424" s="15" t="n">
        <f aca="false">Q424-$G$2+$I$2</f>
        <v>30520.0063072857</v>
      </c>
      <c r="S424" s="42" t="n">
        <f aca="false">R424/$K$2</f>
        <v>292.25324434823</v>
      </c>
      <c r="T424" s="43" t="n">
        <f aca="false">S424-$M$2</f>
        <v>6.03972582098322E-005</v>
      </c>
    </row>
    <row r="425" customFormat="false" ht="15" hidden="false" customHeight="false" outlineLevel="0" collapsed="false">
      <c r="A425" s="5" t="n">
        <v>24</v>
      </c>
      <c r="B425" s="25" t="n">
        <f aca="false">IF(T424&gt;0,B424,D424)</f>
        <v>-0.0312138795852661</v>
      </c>
      <c r="C425" s="25" t="n">
        <f aca="false">IF(T424&gt;0,D424,C424)</f>
        <v>-0.0312137007713318</v>
      </c>
      <c r="D425" s="41" t="n">
        <f aca="false">(B425+C425)/2</f>
        <v>-0.031213790178299</v>
      </c>
      <c r="E425" s="15" t="n">
        <f aca="false">$C$2*(1+IF(E$3&lt;=$O$2,$D425,$D425-($D425-$I$400)*MIN(E$3-$O$2,$Q$2)/$Q$2))</f>
        <v>2654.47421491146</v>
      </c>
      <c r="F425" s="15" t="n">
        <f aca="false">E425*(1+IF(F$3&lt;=$O$2,$D425,$D425-($D425-$I$400)*MIN(F$3-$O$2,$Q$2)/$Q$2))</f>
        <v>2571.61801373351</v>
      </c>
      <c r="G425" s="15" t="n">
        <f aca="false">F425*(1+IF(G$3&lt;=$O$2,$D425,$D425-($D425-$I$400)*MIN(G$3-$O$2,$Q$2)/$Q$2))</f>
        <v>2491.3480686341</v>
      </c>
      <c r="H425" s="15" t="n">
        <f aca="false">G425*(1+IF(H$3&lt;=$O$2,$D425,$D425-($D425-$I$400)*MIN(H$3-$O$2,$Q$2)/$Q$2))</f>
        <v>2413.58365275864</v>
      </c>
      <c r="I425" s="15" t="n">
        <f aca="false">H425*(1+IF(I$3&lt;=$O$2,$D425,$D425-($D425-$I$400)*MIN(I$3-$O$2,$Q$2)/$Q$2))</f>
        <v>2338.24655904366</v>
      </c>
      <c r="J425" s="15" t="n">
        <f aca="false">I425*(1+IF(J$3&lt;=$O$2,$D425,$D425-($D425-$I$400)*MIN(J$3-$O$2,$Q$2)/$Q$2))</f>
        <v>2295.4308511436</v>
      </c>
      <c r="K425" s="15" t="n">
        <f aca="false">J425*(1+IF(K$3&lt;=$O$2,$D425,$D425-($D425-$I$400)*MIN(K$3-$O$2,$Q$2)/$Q$2))</f>
        <v>2283.016531907</v>
      </c>
      <c r="L425" s="15" t="n">
        <f aca="false">K425*(1+IF(L$3&lt;=$O$2,$D425,$D425-($D425-$I$400)*MIN(L$3-$O$2,$Q$2)/$Q$2))</f>
        <v>2300.12656261428</v>
      </c>
      <c r="M425" s="15" t="n">
        <f aca="false">L425*(1+IF(M$3&lt;=$O$2,$D425,$D425-($D425-$I$400)*MIN(M$3-$O$2,$Q$2)/$Q$2))</f>
        <v>2347.04280066053</v>
      </c>
      <c r="N425" s="15" t="n">
        <f aca="false">M425*(1+IF(N$3&lt;=$O$2,$D425,$D425-($D425-$I$400)*MIN(N$3-$O$2,$Q$2)/$Q$2))</f>
        <v>2425.19932592253</v>
      </c>
      <c r="O425" s="15" t="n">
        <f aca="false">SUMPRODUCT(E425:N425,1/(1+$F$400)^$E$3:$N$3)*$E$2</f>
        <v>11275.9497427355</v>
      </c>
      <c r="P425" s="15" t="n">
        <f aca="false">N425*$E$2*(1+$I$400)/($F$400-$I$400)/(1+$F$400)^$N$3</f>
        <v>18474.0402986397</v>
      </c>
      <c r="Q425" s="15" t="n">
        <f aca="false">O425+P425</f>
        <v>29749.9900413752</v>
      </c>
      <c r="R425" s="15" t="n">
        <f aca="false">Q425-$G$2+$I$2</f>
        <v>30519.9900413752</v>
      </c>
      <c r="S425" s="42" t="n">
        <f aca="false">R425/$K$2</f>
        <v>292.253088589249</v>
      </c>
      <c r="T425" s="43" t="n">
        <f aca="false">S425-$M$2</f>
        <v>-9.53617233676596E-005</v>
      </c>
    </row>
    <row r="427" customFormat="false" ht="15" hidden="false" customHeight="false" outlineLevel="0" collapsed="false">
      <c r="A427" s="38" t="s">
        <v>193</v>
      </c>
      <c r="E427" s="5" t="s">
        <v>11</v>
      </c>
      <c r="F427" s="12" t="n">
        <f aca="false">Sensitivity!$B$12</f>
        <v>0.0772772551778937</v>
      </c>
      <c r="G427" s="5" t="s">
        <v>12</v>
      </c>
      <c r="I427" s="12" t="n">
        <f aca="false">Sensitivity!$G$9</f>
        <v>0.0383</v>
      </c>
    </row>
    <row r="428" customFormat="false" ht="23.85" hidden="false" customHeight="false" outlineLevel="0" collapsed="false">
      <c r="A428" s="38" t="s">
        <v>159</v>
      </c>
      <c r="B428" s="28" t="s">
        <v>160</v>
      </c>
      <c r="C428" s="28" t="s">
        <v>161</v>
      </c>
      <c r="D428" s="28" t="s">
        <v>162</v>
      </c>
      <c r="E428" s="28" t="s">
        <v>163</v>
      </c>
      <c r="F428" s="28" t="s">
        <v>164</v>
      </c>
      <c r="G428" s="28" t="s">
        <v>165</v>
      </c>
      <c r="H428" s="28" t="s">
        <v>166</v>
      </c>
      <c r="I428" s="28" t="s">
        <v>167</v>
      </c>
      <c r="J428" s="28" t="s">
        <v>168</v>
      </c>
      <c r="K428" s="28" t="s">
        <v>169</v>
      </c>
      <c r="L428" s="28" t="s">
        <v>170</v>
      </c>
      <c r="M428" s="28" t="s">
        <v>171</v>
      </c>
      <c r="N428" s="28" t="s">
        <v>172</v>
      </c>
      <c r="O428" s="28" t="s">
        <v>173</v>
      </c>
      <c r="P428" s="28" t="s">
        <v>174</v>
      </c>
      <c r="Q428" s="28" t="s">
        <v>175</v>
      </c>
      <c r="R428" s="28" t="s">
        <v>176</v>
      </c>
      <c r="S428" s="28" t="s">
        <v>177</v>
      </c>
      <c r="T428" s="28" t="s">
        <v>178</v>
      </c>
    </row>
    <row r="429" customFormat="false" ht="15" hidden="false" customHeight="false" outlineLevel="0" collapsed="false">
      <c r="A429" s="5" t="n">
        <v>1</v>
      </c>
      <c r="B429" s="24" t="n">
        <v>-0.5</v>
      </c>
      <c r="C429" s="24" t="n">
        <v>1</v>
      </c>
      <c r="D429" s="41" t="n">
        <f aca="false">(B429+C429)/2</f>
        <v>0.25</v>
      </c>
      <c r="E429" s="15" t="n">
        <f aca="false">$C$2*(1+IF(E$3&lt;=$O$2,$D429,$D429-($D429-$I$427)*MIN(E$3-$O$2,$Q$2)/$Q$2))</f>
        <v>3425</v>
      </c>
      <c r="F429" s="15" t="n">
        <f aca="false">E429*(1+IF(F$3&lt;=$O$2,$D429,$D429-($D429-$I$427)*MIN(F$3-$O$2,$Q$2)/$Q$2))</f>
        <v>4281.25</v>
      </c>
      <c r="G429" s="15" t="n">
        <f aca="false">F429*(1+IF(G$3&lt;=$O$2,$D429,$D429-($D429-$I$427)*MIN(G$3-$O$2,$Q$2)/$Q$2))</f>
        <v>5351.5625</v>
      </c>
      <c r="H429" s="15" t="n">
        <f aca="false">G429*(1+IF(H$3&lt;=$O$2,$D429,$D429-($D429-$I$427)*MIN(H$3-$O$2,$Q$2)/$Q$2))</f>
        <v>6689.453125</v>
      </c>
      <c r="I429" s="15" t="n">
        <f aca="false">H429*(1+IF(I$3&lt;=$O$2,$D429,$D429-($D429-$I$427)*MIN(I$3-$O$2,$Q$2)/$Q$2))</f>
        <v>8361.81640625</v>
      </c>
      <c r="J429" s="15" t="n">
        <f aca="false">I429*(1+IF(J$3&lt;=$O$2,$D429,$D429-($D429-$I$427)*MIN(J$3-$O$2,$Q$2)/$Q$2))</f>
        <v>10098.2312011719</v>
      </c>
      <c r="K429" s="15" t="n">
        <f aca="false">J429*(1+IF(K$3&lt;=$O$2,$D429,$D429-($D429-$I$427)*MIN(K$3-$O$2,$Q$2)/$Q$2))</f>
        <v>11767.6707833496</v>
      </c>
      <c r="L429" s="15" t="n">
        <f aca="false">K429*(1+IF(L$3&lt;=$O$2,$D429,$D429-($D429-$I$427)*MIN(L$3-$O$2,$Q$2)/$Q$2))</f>
        <v>13214.8589362859</v>
      </c>
      <c r="M429" s="15" t="n">
        <f aca="false">L429*(1+IF(M$3&lt;=$O$2,$D429,$D429-($D429-$I$427)*MIN(M$3-$O$2,$Q$2)/$Q$2))</f>
        <v>14280.505160908</v>
      </c>
      <c r="N429" s="15" t="n">
        <f aca="false">M429*(1+IF(N$3&lt;=$O$2,$D429,$D429-($D429-$I$427)*MIN(N$3-$O$2,$Q$2)/$Q$2))</f>
        <v>14827.4485085708</v>
      </c>
      <c r="O429" s="15" t="n">
        <f aca="false">SUMPRODUCT(E429:N429,1/(1+$F$427)^$E$3:$N$3)*$E$2</f>
        <v>38877.6489247104</v>
      </c>
      <c r="P429" s="15" t="n">
        <f aca="false">N429*$E$2*(1+$I$427)/($F$427-$I$427)/(1+$F$427)^$N$3</f>
        <v>128054.299324719</v>
      </c>
      <c r="Q429" s="15" t="n">
        <f aca="false">O429+P429</f>
        <v>166931.948249429</v>
      </c>
      <c r="R429" s="15" t="n">
        <f aca="false">Q429-$G$2+$I$2</f>
        <v>167701.948249429</v>
      </c>
      <c r="S429" s="42" t="n">
        <f aca="false">R429/$K$2</f>
        <v>1605.87904097892</v>
      </c>
      <c r="T429" s="43" t="n">
        <f aca="false">S429-$M$2</f>
        <v>1313.62585702795</v>
      </c>
    </row>
    <row r="430" customFormat="false" ht="15" hidden="false" customHeight="false" outlineLevel="0" collapsed="false">
      <c r="A430" s="5" t="n">
        <v>2</v>
      </c>
      <c r="B430" s="25" t="n">
        <f aca="false">IF(T429&gt;0,B429,D429)</f>
        <v>-0.5</v>
      </c>
      <c r="C430" s="25" t="n">
        <f aca="false">IF(T429&gt;0,D429,C429)</f>
        <v>0.25</v>
      </c>
      <c r="D430" s="41" t="n">
        <f aca="false">(B430+C430)/2</f>
        <v>-0.125</v>
      </c>
      <c r="E430" s="15" t="n">
        <f aca="false">$C$2*(1+IF(E$3&lt;=$O$2,$D430,$D430-($D430-$I$427)*MIN(E$3-$O$2,$Q$2)/$Q$2))</f>
        <v>2397.5</v>
      </c>
      <c r="F430" s="15" t="n">
        <f aca="false">E430*(1+IF(F$3&lt;=$O$2,$D430,$D430-($D430-$I$427)*MIN(F$3-$O$2,$Q$2)/$Q$2))</f>
        <v>2097.8125</v>
      </c>
      <c r="G430" s="15" t="n">
        <f aca="false">F430*(1+IF(G$3&lt;=$O$2,$D430,$D430-($D430-$I$427)*MIN(G$3-$O$2,$Q$2)/$Q$2))</f>
        <v>1835.5859375</v>
      </c>
      <c r="H430" s="15" t="n">
        <f aca="false">G430*(1+IF(H$3&lt;=$O$2,$D430,$D430-($D430-$I$427)*MIN(H$3-$O$2,$Q$2)/$Q$2))</f>
        <v>1606.1376953125</v>
      </c>
      <c r="I430" s="15" t="n">
        <f aca="false">H430*(1+IF(I$3&lt;=$O$2,$D430,$D430-($D430-$I$427)*MIN(I$3-$O$2,$Q$2)/$Q$2))</f>
        <v>1405.37048339844</v>
      </c>
      <c r="J430" s="15" t="n">
        <f aca="false">I430*(1+IF(J$3&lt;=$O$2,$D430,$D430-($D430-$I$427)*MIN(J$3-$O$2,$Q$2)/$Q$2))</f>
        <v>1275.59857296143</v>
      </c>
      <c r="K430" s="15" t="n">
        <f aca="false">J430*(1+IF(K$3&lt;=$O$2,$D430,$D430-($D430-$I$427)*MIN(K$3-$O$2,$Q$2)/$Q$2))</f>
        <v>1199.47085012709</v>
      </c>
      <c r="L430" s="15" t="n">
        <f aca="false">K430*(1+IF(L$3&lt;=$O$2,$D430,$D430-($D430-$I$427)*MIN(L$3-$O$2,$Q$2)/$Q$2))</f>
        <v>1167.06114775665</v>
      </c>
      <c r="M430" s="15" t="n">
        <f aca="false">L430*(1+IF(M$3&lt;=$O$2,$D430,$D430-($D430-$I$427)*MIN(M$3-$O$2,$Q$2)/$Q$2))</f>
        <v>1173.64337263</v>
      </c>
      <c r="N430" s="15" t="n">
        <f aca="false">M430*(1+IF(N$3&lt;=$O$2,$D430,$D430-($D430-$I$427)*MIN(N$3-$O$2,$Q$2)/$Q$2))</f>
        <v>1218.59391380173</v>
      </c>
      <c r="O430" s="15" t="n">
        <f aca="false">SUMPRODUCT(E430:N430,1/(1+$F$427)^$E$3:$N$3)*$E$2</f>
        <v>7516.768797034</v>
      </c>
      <c r="P430" s="15" t="n">
        <f aca="false">N430*$E$2*(1+$I$427)/($F$427-$I$427)/(1+$F$427)^$N$3</f>
        <v>10524.1430919856</v>
      </c>
      <c r="Q430" s="15" t="n">
        <f aca="false">O430+P430</f>
        <v>18040.9118890196</v>
      </c>
      <c r="R430" s="15" t="n">
        <f aca="false">Q430-$G$2+$I$2</f>
        <v>18810.9118890196</v>
      </c>
      <c r="S430" s="42" t="n">
        <f aca="false">R430/$K$2</f>
        <v>180.12938704414</v>
      </c>
      <c r="T430" s="43" t="n">
        <f aca="false">S430-$M$2</f>
        <v>-112.123796906832</v>
      </c>
    </row>
    <row r="431" customFormat="false" ht="15" hidden="false" customHeight="false" outlineLevel="0" collapsed="false">
      <c r="A431" s="5" t="n">
        <v>3</v>
      </c>
      <c r="B431" s="25" t="n">
        <f aca="false">IF(T430&gt;0,B430,D430)</f>
        <v>-0.125</v>
      </c>
      <c r="C431" s="25" t="n">
        <f aca="false">IF(T430&gt;0,D430,C430)</f>
        <v>0.25</v>
      </c>
      <c r="D431" s="41" t="n">
        <f aca="false">(B431+C431)/2</f>
        <v>0.0625</v>
      </c>
      <c r="E431" s="15" t="n">
        <f aca="false">$C$2*(1+IF(E$3&lt;=$O$2,$D431,$D431-($D431-$I$427)*MIN(E$3-$O$2,$Q$2)/$Q$2))</f>
        <v>2911.25</v>
      </c>
      <c r="F431" s="15" t="n">
        <f aca="false">E431*(1+IF(F$3&lt;=$O$2,$D431,$D431-($D431-$I$427)*MIN(F$3-$O$2,$Q$2)/$Q$2))</f>
        <v>3093.203125</v>
      </c>
      <c r="G431" s="15" t="n">
        <f aca="false">F431*(1+IF(G$3&lt;=$O$2,$D431,$D431-($D431-$I$427)*MIN(G$3-$O$2,$Q$2)/$Q$2))</f>
        <v>3286.5283203125</v>
      </c>
      <c r="H431" s="15" t="n">
        <f aca="false">G431*(1+IF(H$3&lt;=$O$2,$D431,$D431-($D431-$I$427)*MIN(H$3-$O$2,$Q$2)/$Q$2))</f>
        <v>3491.93634033203</v>
      </c>
      <c r="I431" s="15" t="n">
        <f aca="false">H431*(1+IF(I$3&lt;=$O$2,$D431,$D431-($D431-$I$427)*MIN(I$3-$O$2,$Q$2)/$Q$2))</f>
        <v>3710.18236160278</v>
      </c>
      <c r="J431" s="15" t="n">
        <f aca="false">I431*(1+IF(J$3&lt;=$O$2,$D431,$D431-($D431-$I$427)*MIN(J$3-$O$2,$Q$2)/$Q$2))</f>
        <v>3924.1114765728</v>
      </c>
      <c r="K431" s="15" t="n">
        <f aca="false">J431*(1+IF(K$3&lt;=$O$2,$D431,$D431-($D431-$I$427)*MIN(K$3-$O$2,$Q$2)/$Q$2))</f>
        <v>4131.38304476538</v>
      </c>
      <c r="L431" s="15" t="n">
        <f aca="false">K431*(1+IF(L$3&lt;=$O$2,$D431,$D431-($D431-$I$427)*MIN(L$3-$O$2,$Q$2)/$Q$2))</f>
        <v>4329.60680325322</v>
      </c>
      <c r="M431" s="15" t="n">
        <f aca="false">L431*(1+IF(M$3&lt;=$O$2,$D431,$D431-($D431-$I$427)*MIN(M$3-$O$2,$Q$2)/$Q$2))</f>
        <v>4516.38604074556</v>
      </c>
      <c r="N431" s="15" t="n">
        <f aca="false">M431*(1+IF(N$3&lt;=$O$2,$D431,$D431-($D431-$I$427)*MIN(N$3-$O$2,$Q$2)/$Q$2))</f>
        <v>4689.36362610612</v>
      </c>
      <c r="O431" s="15" t="n">
        <f aca="false">SUMPRODUCT(E431:N431,1/(1+$F$427)^$E$3:$N$3)*$E$2</f>
        <v>17086.8367098095</v>
      </c>
      <c r="P431" s="15" t="n">
        <f aca="false">N431*$E$2*(1+$I$427)/($F$427-$I$427)/(1+$F$427)^$N$3</f>
        <v>40498.752909021</v>
      </c>
      <c r="Q431" s="15" t="n">
        <f aca="false">O431+P431</f>
        <v>57585.5896188305</v>
      </c>
      <c r="R431" s="15" t="n">
        <f aca="false">Q431-$G$2+$I$2</f>
        <v>58355.5896188305</v>
      </c>
      <c r="S431" s="42" t="n">
        <f aca="false">R431/$K$2</f>
        <v>558.801011383994</v>
      </c>
      <c r="T431" s="43" t="n">
        <f aca="false">S431-$M$2</f>
        <v>266.547827433022</v>
      </c>
    </row>
    <row r="432" customFormat="false" ht="15" hidden="false" customHeight="false" outlineLevel="0" collapsed="false">
      <c r="A432" s="5" t="n">
        <v>4</v>
      </c>
      <c r="B432" s="25" t="n">
        <f aca="false">IF(T431&gt;0,B431,D431)</f>
        <v>-0.125</v>
      </c>
      <c r="C432" s="25" t="n">
        <f aca="false">IF(T431&gt;0,D431,C431)</f>
        <v>0.0625</v>
      </c>
      <c r="D432" s="41" t="n">
        <f aca="false">(B432+C432)/2</f>
        <v>-0.03125</v>
      </c>
      <c r="E432" s="15" t="n">
        <f aca="false">$C$2*(1+IF(E$3&lt;=$O$2,$D432,$D432-($D432-$I$427)*MIN(E$3-$O$2,$Q$2)/$Q$2))</f>
        <v>2654.375</v>
      </c>
      <c r="F432" s="15" t="n">
        <f aca="false">E432*(1+IF(F$3&lt;=$O$2,$D432,$D432-($D432-$I$427)*MIN(F$3-$O$2,$Q$2)/$Q$2))</f>
        <v>2571.42578125</v>
      </c>
      <c r="G432" s="15" t="n">
        <f aca="false">F432*(1+IF(G$3&lt;=$O$2,$D432,$D432-($D432-$I$427)*MIN(G$3-$O$2,$Q$2)/$Q$2))</f>
        <v>2491.06872558594</v>
      </c>
      <c r="H432" s="15" t="n">
        <f aca="false">G432*(1+IF(H$3&lt;=$O$2,$D432,$D432-($D432-$I$427)*MIN(H$3-$O$2,$Q$2)/$Q$2))</f>
        <v>2413.22282791138</v>
      </c>
      <c r="I432" s="15" t="n">
        <f aca="false">H432*(1+IF(I$3&lt;=$O$2,$D432,$D432-($D432-$I$427)*MIN(I$3-$O$2,$Q$2)/$Q$2))</f>
        <v>2337.80961453915</v>
      </c>
      <c r="J432" s="15" t="n">
        <f aca="false">I432*(1+IF(J$3&lt;=$O$2,$D432,$D432-($D432-$I$427)*MIN(J$3-$O$2,$Q$2)/$Q$2))</f>
        <v>2297.27199582304</v>
      </c>
      <c r="K432" s="15" t="n">
        <f aca="false">J432*(1+IF(K$3&lt;=$O$2,$D432,$D432-($D432-$I$427)*MIN(K$3-$O$2,$Q$2)/$Q$2))</f>
        <v>2289.39235287737</v>
      </c>
      <c r="L432" s="15" t="n">
        <f aca="false">K432*(1+IF(L$3&lt;=$O$2,$D432,$D432-($D432-$I$427)*MIN(L$3-$O$2,$Q$2)/$Q$2))</f>
        <v>2313.38518473552</v>
      </c>
      <c r="M432" s="15" t="n">
        <f aca="false">L432*(1+IF(M$3&lt;=$O$2,$D432,$D432-($D432-$I$427)*MIN(M$3-$O$2,$Q$2)/$Q$2))</f>
        <v>2369.80864939122</v>
      </c>
      <c r="N432" s="15" t="n">
        <f aca="false">M432*(1+IF(N$3&lt;=$O$2,$D432,$D432-($D432-$I$427)*MIN(N$3-$O$2,$Q$2)/$Q$2))</f>
        <v>2460.5723206629</v>
      </c>
      <c r="O432" s="15" t="n">
        <f aca="false">SUMPRODUCT(E432:N432,1/(1+$F$427)^$E$3:$N$3)*$E$2</f>
        <v>11303.0287532692</v>
      </c>
      <c r="P432" s="15" t="n">
        <f aca="false">N432*$E$2*(1+$I$427)/($F$427-$I$427)/(1+$F$427)^$N$3</f>
        <v>21250.2416904805</v>
      </c>
      <c r="Q432" s="15" t="n">
        <f aca="false">O432+P432</f>
        <v>32553.2704437497</v>
      </c>
      <c r="R432" s="15" t="n">
        <f aca="false">Q432-$G$2+$I$2</f>
        <v>33323.2704437497</v>
      </c>
      <c r="S432" s="42" t="n">
        <f aca="false">R432/$K$2</f>
        <v>319.096719752463</v>
      </c>
      <c r="T432" s="43" t="n">
        <f aca="false">S432-$M$2</f>
        <v>26.8435358014908</v>
      </c>
    </row>
    <row r="433" customFormat="false" ht="15" hidden="false" customHeight="false" outlineLevel="0" collapsed="false">
      <c r="A433" s="5" t="n">
        <v>5</v>
      </c>
      <c r="B433" s="25" t="n">
        <f aca="false">IF(T432&gt;0,B432,D432)</f>
        <v>-0.125</v>
      </c>
      <c r="C433" s="25" t="n">
        <f aca="false">IF(T432&gt;0,D432,C432)</f>
        <v>-0.03125</v>
      </c>
      <c r="D433" s="41" t="n">
        <f aca="false">(B433+C433)/2</f>
        <v>-0.078125</v>
      </c>
      <c r="E433" s="15" t="n">
        <f aca="false">$C$2*(1+IF(E$3&lt;=$O$2,$D433,$D433-($D433-$I$427)*MIN(E$3-$O$2,$Q$2)/$Q$2))</f>
        <v>2525.9375</v>
      </c>
      <c r="F433" s="15" t="n">
        <f aca="false">E433*(1+IF(F$3&lt;=$O$2,$D433,$D433-($D433-$I$427)*MIN(F$3-$O$2,$Q$2)/$Q$2))</f>
        <v>2328.5986328125</v>
      </c>
      <c r="G433" s="15" t="n">
        <f aca="false">F433*(1+IF(G$3&lt;=$O$2,$D433,$D433-($D433-$I$427)*MIN(G$3-$O$2,$Q$2)/$Q$2))</f>
        <v>2146.67686462402</v>
      </c>
      <c r="H433" s="15" t="n">
        <f aca="false">G433*(1+IF(H$3&lt;=$O$2,$D433,$D433-($D433-$I$427)*MIN(H$3-$O$2,$Q$2)/$Q$2))</f>
        <v>1978.96773457527</v>
      </c>
      <c r="I433" s="15" t="n">
        <f aca="false">H433*(1+IF(I$3&lt;=$O$2,$D433,$D433-($D433-$I$427)*MIN(I$3-$O$2,$Q$2)/$Q$2))</f>
        <v>1824.36088031158</v>
      </c>
      <c r="J433" s="15" t="n">
        <f aca="false">I433*(1+IF(J$3&lt;=$O$2,$D433,$D433-($D433-$I$427)*MIN(J$3-$O$2,$Q$2)/$Q$2))</f>
        <v>1724.31292963529</v>
      </c>
      <c r="K433" s="15" t="n">
        <f aca="false">J433*(1+IF(K$3&lt;=$O$2,$D433,$D433-($D433-$I$427)*MIN(K$3-$O$2,$Q$2)/$Q$2))</f>
        <v>1669.90223514065</v>
      </c>
      <c r="L433" s="15" t="n">
        <f aca="false">K433*(1+IF(L$3&lt;=$O$2,$D433,$D433-($D433-$I$427)*MIN(L$3-$O$2,$Q$2)/$Q$2))</f>
        <v>1656.09214365604</v>
      </c>
      <c r="M433" s="15" t="n">
        <f aca="false">L433*(1+IF(M$3&lt;=$O$2,$D433,$D433-($D433-$I$427)*MIN(M$3-$O$2,$Q$2)/$Q$2))</f>
        <v>1680.95836719303</v>
      </c>
      <c r="N433" s="15" t="n">
        <f aca="false">M433*(1+IF(N$3&lt;=$O$2,$D433,$D433-($D433-$I$427)*MIN(N$3-$O$2,$Q$2)/$Q$2))</f>
        <v>1745.33907265653</v>
      </c>
      <c r="O433" s="15" t="n">
        <f aca="false">SUMPRODUCT(E433:N433,1/(1+$F$427)^$E$3:$N$3)*$E$2</f>
        <v>9208.2471057719</v>
      </c>
      <c r="P433" s="15" t="n">
        <f aca="false">N433*$E$2*(1+$I$427)/($F$427-$I$427)/(1+$F$427)^$N$3</f>
        <v>15073.2725123878</v>
      </c>
      <c r="Q433" s="15" t="n">
        <f aca="false">O433+P433</f>
        <v>24281.5196181597</v>
      </c>
      <c r="R433" s="15" t="n">
        <f aca="false">Q433-$G$2+$I$2</f>
        <v>25051.5196181597</v>
      </c>
      <c r="S433" s="42" t="n">
        <f aca="false">R433/$K$2</f>
        <v>239.888151088381</v>
      </c>
      <c r="T433" s="43" t="n">
        <f aca="false">S433-$M$2</f>
        <v>-52.3650328625905</v>
      </c>
    </row>
    <row r="434" customFormat="false" ht="15" hidden="false" customHeight="false" outlineLevel="0" collapsed="false">
      <c r="A434" s="5" t="n">
        <v>6</v>
      </c>
      <c r="B434" s="25" t="n">
        <f aca="false">IF(T433&gt;0,B433,D433)</f>
        <v>-0.078125</v>
      </c>
      <c r="C434" s="25" t="n">
        <f aca="false">IF(T433&gt;0,D433,C433)</f>
        <v>-0.03125</v>
      </c>
      <c r="D434" s="41" t="n">
        <f aca="false">(B434+C434)/2</f>
        <v>-0.0546875</v>
      </c>
      <c r="E434" s="15" t="n">
        <f aca="false">$C$2*(1+IF(E$3&lt;=$O$2,$D434,$D434-($D434-$I$427)*MIN(E$3-$O$2,$Q$2)/$Q$2))</f>
        <v>2590.15625</v>
      </c>
      <c r="F434" s="15" t="n">
        <f aca="false">E434*(1+IF(F$3&lt;=$O$2,$D434,$D434-($D434-$I$427)*MIN(F$3-$O$2,$Q$2)/$Q$2))</f>
        <v>2448.50708007813</v>
      </c>
      <c r="G434" s="15" t="n">
        <f aca="false">F434*(1+IF(G$3&lt;=$O$2,$D434,$D434-($D434-$I$427)*MIN(G$3-$O$2,$Q$2)/$Q$2))</f>
        <v>2314.60434913635</v>
      </c>
      <c r="H434" s="15" t="n">
        <f aca="false">G434*(1+IF(H$3&lt;=$O$2,$D434,$D434-($D434-$I$427)*MIN(H$3-$O$2,$Q$2)/$Q$2))</f>
        <v>2188.02442379296</v>
      </c>
      <c r="I434" s="15" t="n">
        <f aca="false">H434*(1+IF(I$3&lt;=$O$2,$D434,$D434-($D434-$I$427)*MIN(I$3-$O$2,$Q$2)/$Q$2))</f>
        <v>2068.36683811678</v>
      </c>
      <c r="J434" s="15" t="n">
        <f aca="false">I434*(1+IF(J$3&lt;=$O$2,$D434,$D434-($D434-$I$427)*MIN(J$3-$O$2,$Q$2)/$Q$2))</f>
        <v>1993.71947892915</v>
      </c>
      <c r="K434" s="15" t="n">
        <f aca="false">J434*(1+IF(K$3&lt;=$O$2,$D434,$D434-($D434-$I$427)*MIN(K$3-$O$2,$Q$2)/$Q$2))</f>
        <v>1958.84434094398</v>
      </c>
      <c r="L434" s="15" t="n">
        <f aca="false">K434*(1+IF(L$3&lt;=$O$2,$D434,$D434-($D434-$I$427)*MIN(L$3-$O$2,$Q$2)/$Q$2))</f>
        <v>1961.00886394072</v>
      </c>
      <c r="M434" s="15" t="n">
        <f aca="false">L434*(1+IF(M$3&lt;=$O$2,$D434,$D434-($D434-$I$427)*MIN(M$3-$O$2,$Q$2)/$Q$2))</f>
        <v>1999.64564108251</v>
      </c>
      <c r="N434" s="15" t="n">
        <f aca="false">M434*(1+IF(N$3&lt;=$O$2,$D434,$D434-($D434-$I$427)*MIN(N$3-$O$2,$Q$2)/$Q$2))</f>
        <v>2076.23206913597</v>
      </c>
      <c r="O434" s="15" t="n">
        <f aca="false">SUMPRODUCT(E434:N434,1/(1+$F$427)^$E$3:$N$3)*$E$2</f>
        <v>10199.8824919362</v>
      </c>
      <c r="P434" s="15" t="n">
        <f aca="false">N434*$E$2*(1+$I$427)/($F$427-$I$427)/(1+$F$427)^$N$3</f>
        <v>17930.9638266513</v>
      </c>
      <c r="Q434" s="15" t="n">
        <f aca="false">O434+P434</f>
        <v>28130.8463185875</v>
      </c>
      <c r="R434" s="15" t="n">
        <f aca="false">Q434-$G$2+$I$2</f>
        <v>28900.8463185875</v>
      </c>
      <c r="S434" s="42" t="n">
        <f aca="false">R434/$K$2</f>
        <v>276.748504439218</v>
      </c>
      <c r="T434" s="43" t="n">
        <f aca="false">S434-$M$2</f>
        <v>-15.5046795117541</v>
      </c>
    </row>
    <row r="435" customFormat="false" ht="15" hidden="false" customHeight="false" outlineLevel="0" collapsed="false">
      <c r="A435" s="5" t="n">
        <v>7</v>
      </c>
      <c r="B435" s="25" t="n">
        <f aca="false">IF(T434&gt;0,B434,D434)</f>
        <v>-0.0546875</v>
      </c>
      <c r="C435" s="25" t="n">
        <f aca="false">IF(T434&gt;0,D434,C434)</f>
        <v>-0.03125</v>
      </c>
      <c r="D435" s="41" t="n">
        <f aca="false">(B435+C435)/2</f>
        <v>-0.04296875</v>
      </c>
      <c r="E435" s="15" t="n">
        <f aca="false">$C$2*(1+IF(E$3&lt;=$O$2,$D435,$D435-($D435-$I$427)*MIN(E$3-$O$2,$Q$2)/$Q$2))</f>
        <v>2622.265625</v>
      </c>
      <c r="F435" s="15" t="n">
        <f aca="false">E435*(1+IF(F$3&lt;=$O$2,$D435,$D435-($D435-$I$427)*MIN(F$3-$O$2,$Q$2)/$Q$2))</f>
        <v>2509.59014892578</v>
      </c>
      <c r="G435" s="15" t="n">
        <f aca="false">F435*(1+IF(G$3&lt;=$O$2,$D435,$D435-($D435-$I$427)*MIN(G$3-$O$2,$Q$2)/$Q$2))</f>
        <v>2401.75619721413</v>
      </c>
      <c r="H435" s="15" t="n">
        <f aca="false">G435*(1+IF(H$3&lt;=$O$2,$D435,$D435-($D435-$I$427)*MIN(H$3-$O$2,$Q$2)/$Q$2))</f>
        <v>2298.55573561508</v>
      </c>
      <c r="I435" s="15" t="n">
        <f aca="false">H435*(1+IF(I$3&lt;=$O$2,$D435,$D435-($D435-$I$427)*MIN(I$3-$O$2,$Q$2)/$Q$2))</f>
        <v>2199.78966885037</v>
      </c>
      <c r="J435" s="15" t="n">
        <f aca="false">I435*(1+IF(J$3&lt;=$O$2,$D435,$D435-($D435-$I$427)*MIN(J$3-$O$2,$Q$2)/$Q$2))</f>
        <v>2141.02228784703</v>
      </c>
      <c r="K435" s="15" t="n">
        <f aca="false">J435*(1+IF(K$3&lt;=$O$2,$D435,$D435-($D435-$I$427)*MIN(K$3-$O$2,$Q$2)/$Q$2))</f>
        <v>2118.62451843829</v>
      </c>
      <c r="L435" s="15" t="n">
        <f aca="false">K435*(1+IF(L$3&lt;=$O$2,$D435,$D435-($D435-$I$427)*MIN(L$3-$O$2,$Q$2)/$Q$2))</f>
        <v>2130.89665096135</v>
      </c>
      <c r="M435" s="15" t="n">
        <f aca="false">L435*(1+IF(M$3&lt;=$O$2,$D435,$D435-($D435-$I$427)*MIN(M$3-$O$2,$Q$2)/$Q$2))</f>
        <v>2177.8749312526</v>
      </c>
      <c r="N435" s="15" t="n">
        <f aca="false">M435*(1+IF(N$3&lt;=$O$2,$D435,$D435-($D435-$I$427)*MIN(N$3-$O$2,$Q$2)/$Q$2))</f>
        <v>2261.28754111958</v>
      </c>
      <c r="O435" s="15" t="n">
        <f aca="false">SUMPRODUCT(E435:N435,1/(1+$F$427)^$E$3:$N$3)*$E$2</f>
        <v>10736.7948132262</v>
      </c>
      <c r="P435" s="15" t="n">
        <f aca="false">N435*$E$2*(1+$I$427)/($F$427-$I$427)/(1+$F$427)^$N$3</f>
        <v>19529.1584713582</v>
      </c>
      <c r="Q435" s="15" t="n">
        <f aca="false">O435+P435</f>
        <v>30265.9532845845</v>
      </c>
      <c r="R435" s="15" t="n">
        <f aca="false">Q435-$G$2+$I$2</f>
        <v>31035.9532845845</v>
      </c>
      <c r="S435" s="42" t="n">
        <f aca="false">R435/$K$2</f>
        <v>297.193845490611</v>
      </c>
      <c r="T435" s="43" t="n">
        <f aca="false">S435-$M$2</f>
        <v>4.94066153963848</v>
      </c>
    </row>
    <row r="436" customFormat="false" ht="15" hidden="false" customHeight="false" outlineLevel="0" collapsed="false">
      <c r="A436" s="5" t="n">
        <v>8</v>
      </c>
      <c r="B436" s="25" t="n">
        <f aca="false">IF(T435&gt;0,B435,D435)</f>
        <v>-0.0546875</v>
      </c>
      <c r="C436" s="25" t="n">
        <f aca="false">IF(T435&gt;0,D435,C435)</f>
        <v>-0.04296875</v>
      </c>
      <c r="D436" s="41" t="n">
        <f aca="false">(B436+C436)/2</f>
        <v>-0.048828125</v>
      </c>
      <c r="E436" s="15" t="n">
        <f aca="false">$C$2*(1+IF(E$3&lt;=$O$2,$D436,$D436-($D436-$I$427)*MIN(E$3-$O$2,$Q$2)/$Q$2))</f>
        <v>2606.2109375</v>
      </c>
      <c r="F436" s="15" t="n">
        <f aca="false">E436*(1+IF(F$3&lt;=$O$2,$D436,$D436-($D436-$I$427)*MIN(F$3-$O$2,$Q$2)/$Q$2))</f>
        <v>2478.95454406738</v>
      </c>
      <c r="G436" s="15" t="n">
        <f aca="false">F436*(1+IF(G$3&lt;=$O$2,$D436,$D436-($D436-$I$427)*MIN(G$3-$O$2,$Q$2)/$Q$2))</f>
        <v>2357.91184172034</v>
      </c>
      <c r="H436" s="15" t="n">
        <f aca="false">G436*(1+IF(H$3&lt;=$O$2,$D436,$D436-($D436-$I$427)*MIN(H$3-$O$2,$Q$2)/$Q$2))</f>
        <v>2242.77942757384</v>
      </c>
      <c r="I436" s="15" t="n">
        <f aca="false">H436*(1+IF(I$3&lt;=$O$2,$D436,$D436-($D436-$I$427)*MIN(I$3-$O$2,$Q$2)/$Q$2))</f>
        <v>2133.26871333684</v>
      </c>
      <c r="J436" s="15" t="n">
        <f aca="false">I436*(1+IF(J$3&lt;=$O$2,$D436,$D436-($D436-$I$427)*MIN(J$3-$O$2,$Q$2)/$Q$2))</f>
        <v>2066.27874256628</v>
      </c>
      <c r="K436" s="15" t="n">
        <f aca="false">J436*(1+IF(K$3&lt;=$O$2,$D436,$D436-($D436-$I$427)*MIN(K$3-$O$2,$Q$2)/$Q$2))</f>
        <v>2037.39862286627</v>
      </c>
      <c r="L436" s="15" t="n">
        <f aca="false">K436*(1+IF(L$3&lt;=$O$2,$D436,$D436-($D436-$I$427)*MIN(L$3-$O$2,$Q$2)/$Q$2))</f>
        <v>2044.42510136688</v>
      </c>
      <c r="M436" s="15" t="n">
        <f aca="false">L436*(1+IF(M$3&lt;=$O$2,$D436,$D436-($D436-$I$427)*MIN(M$3-$O$2,$Q$2)/$Q$2))</f>
        <v>2087.10119759223</v>
      </c>
      <c r="N436" s="15" t="n">
        <f aca="false">M436*(1+IF(N$3&lt;=$O$2,$D436,$D436-($D436-$I$427)*MIN(N$3-$O$2,$Q$2)/$Q$2))</f>
        <v>2167.03717346001</v>
      </c>
      <c r="O436" s="15" t="n">
        <f aca="false">SUMPRODUCT(E436:N436,1/(1+$F$427)^$E$3:$N$3)*$E$2</f>
        <v>10464.7662292814</v>
      </c>
      <c r="P436" s="15" t="n">
        <f aca="false">N436*$E$2*(1+$I$427)/($F$427-$I$427)/(1+$F$427)^$N$3</f>
        <v>18715.1839844621</v>
      </c>
      <c r="Q436" s="15" t="n">
        <f aca="false">O436+P436</f>
        <v>29179.9502137435</v>
      </c>
      <c r="R436" s="15" t="n">
        <f aca="false">Q436-$G$2+$I$2</f>
        <v>29949.9502137435</v>
      </c>
      <c r="S436" s="42" t="n">
        <f aca="false">R436/$K$2</f>
        <v>286.794505541928</v>
      </c>
      <c r="T436" s="43" t="n">
        <f aca="false">S436-$M$2</f>
        <v>-5.45867840904447</v>
      </c>
    </row>
    <row r="437" customFormat="false" ht="15" hidden="false" customHeight="false" outlineLevel="0" collapsed="false">
      <c r="A437" s="5" t="n">
        <v>9</v>
      </c>
      <c r="B437" s="25" t="n">
        <f aca="false">IF(T436&gt;0,B436,D436)</f>
        <v>-0.048828125</v>
      </c>
      <c r="C437" s="25" t="n">
        <f aca="false">IF(T436&gt;0,D436,C436)</f>
        <v>-0.04296875</v>
      </c>
      <c r="D437" s="41" t="n">
        <f aca="false">(B437+C437)/2</f>
        <v>-0.0458984375</v>
      </c>
      <c r="E437" s="15" t="n">
        <f aca="false">$C$2*(1+IF(E$3&lt;=$O$2,$D437,$D437-($D437-$I$427)*MIN(E$3-$O$2,$Q$2)/$Q$2))</f>
        <v>2614.23828125</v>
      </c>
      <c r="F437" s="15" t="n">
        <f aca="false">E437*(1+IF(F$3&lt;=$O$2,$D437,$D437-($D437-$I$427)*MIN(F$3-$O$2,$Q$2)/$Q$2))</f>
        <v>2494.24882888794</v>
      </c>
      <c r="G437" s="15" t="n">
        <f aca="false">F437*(1+IF(G$3&lt;=$O$2,$D437,$D437-($D437-$I$427)*MIN(G$3-$O$2,$Q$2)/$Q$2))</f>
        <v>2379.76670490578</v>
      </c>
      <c r="H437" s="15" t="n">
        <f aca="false">G437*(1+IF(H$3&lt;=$O$2,$D437,$D437-($D437-$I$427)*MIN(H$3-$O$2,$Q$2)/$Q$2))</f>
        <v>2270.53913153608</v>
      </c>
      <c r="I437" s="15" t="n">
        <f aca="false">H437*(1+IF(I$3&lt;=$O$2,$D437,$D437-($D437-$I$427)*MIN(I$3-$O$2,$Q$2)/$Q$2))</f>
        <v>2166.32493311597</v>
      </c>
      <c r="J437" s="15" t="n">
        <f aca="false">I437*(1+IF(J$3&lt;=$O$2,$D437,$D437-($D437-$I$427)*MIN(J$3-$O$2,$Q$2)/$Q$2))</f>
        <v>2103.37423846578</v>
      </c>
      <c r="K437" s="15" t="n">
        <f aca="false">J437*(1+IF(K$3&lt;=$O$2,$D437,$D437-($D437-$I$427)*MIN(K$3-$O$2,$Q$2)/$Q$2))</f>
        <v>2077.67297718508</v>
      </c>
      <c r="L437" s="15" t="n">
        <f aca="false">K437*(1+IF(L$3&lt;=$O$2,$D437,$D437-($D437-$I$427)*MIN(L$3-$O$2,$Q$2)/$Q$2))</f>
        <v>2087.27312488529</v>
      </c>
      <c r="M437" s="15" t="n">
        <f aca="false">L437*(1+IF(M$3&lt;=$O$2,$D437,$D437-($D437-$I$427)*MIN(M$3-$O$2,$Q$2)/$Q$2))</f>
        <v>2132.06665841817</v>
      </c>
      <c r="N437" s="15" t="n">
        <f aca="false">M437*(1+IF(N$3&lt;=$O$2,$D437,$D437-($D437-$I$427)*MIN(N$3-$O$2,$Q$2)/$Q$2))</f>
        <v>2213.72481143559</v>
      </c>
      <c r="O437" s="15" t="n">
        <f aca="false">SUMPRODUCT(E437:N437,1/(1+$F$427)^$E$3:$N$3)*$E$2</f>
        <v>10599.8759797424</v>
      </c>
      <c r="P437" s="15" t="n">
        <f aca="false">N437*$E$2*(1+$I$427)/($F$427-$I$427)/(1+$F$427)^$N$3</f>
        <v>19118.3924504792</v>
      </c>
      <c r="Q437" s="15" t="n">
        <f aca="false">O437+P437</f>
        <v>29718.2684302216</v>
      </c>
      <c r="R437" s="15" t="n">
        <f aca="false">Q437-$G$2+$I$2</f>
        <v>30488.2684302216</v>
      </c>
      <c r="S437" s="42" t="n">
        <f aca="false">R437/$K$2</f>
        <v>291.949329026349</v>
      </c>
      <c r="T437" s="43" t="n">
        <f aca="false">S437-$M$2</f>
        <v>-0.30385492462301</v>
      </c>
    </row>
    <row r="438" customFormat="false" ht="15" hidden="false" customHeight="false" outlineLevel="0" collapsed="false">
      <c r="A438" s="5" t="n">
        <v>10</v>
      </c>
      <c r="B438" s="25" t="n">
        <f aca="false">IF(T437&gt;0,B437,D437)</f>
        <v>-0.0458984375</v>
      </c>
      <c r="C438" s="25" t="n">
        <f aca="false">IF(T437&gt;0,D437,C437)</f>
        <v>-0.04296875</v>
      </c>
      <c r="D438" s="41" t="n">
        <f aca="false">(B438+C438)/2</f>
        <v>-0.04443359375</v>
      </c>
      <c r="E438" s="15" t="n">
        <f aca="false">$C$2*(1+IF(E$3&lt;=$O$2,$D438,$D438-($D438-$I$427)*MIN(E$3-$O$2,$Q$2)/$Q$2))</f>
        <v>2618.251953125</v>
      </c>
      <c r="F438" s="15" t="n">
        <f aca="false">E438*(1+IF(F$3&lt;=$O$2,$D438,$D438-($D438-$I$427)*MIN(F$3-$O$2,$Q$2)/$Q$2))</f>
        <v>2501.9136095047</v>
      </c>
      <c r="G438" s="15" t="n">
        <f aca="false">F438*(1+IF(G$3&lt;=$O$2,$D438,$D438-($D438-$I$427)*MIN(G$3-$O$2,$Q$2)/$Q$2))</f>
        <v>2390.74459658237</v>
      </c>
      <c r="H438" s="15" t="n">
        <f aca="false">G438*(1+IF(H$3&lt;=$O$2,$D438,$D438-($D438-$I$427)*MIN(H$3-$O$2,$Q$2)/$Q$2))</f>
        <v>2284.51522241782</v>
      </c>
      <c r="I438" s="15" t="n">
        <f aca="false">H438*(1+IF(I$3&lt;=$O$2,$D438,$D438-($D438-$I$427)*MIN(I$3-$O$2,$Q$2)/$Q$2))</f>
        <v>2183.00600110922</v>
      </c>
      <c r="J438" s="15" t="n">
        <f aca="false">I438*(1+IF(J$3&lt;=$O$2,$D438,$D438-($D438-$I$427)*MIN(J$3-$O$2,$Q$2)/$Q$2))</f>
        <v>2122.12878563204</v>
      </c>
      <c r="K438" s="15" t="n">
        <f aca="false">J438*(1+IF(K$3&lt;=$O$2,$D438,$D438-($D438-$I$427)*MIN(K$3-$O$2,$Q$2)/$Q$2))</f>
        <v>2098.06351362035</v>
      </c>
      <c r="L438" s="15" t="n">
        <f aca="false">K438*(1+IF(L$3&lt;=$O$2,$D438,$D438-($D438-$I$427)*MIN(L$3-$O$2,$Q$2)/$Q$2))</f>
        <v>2108.98721243298</v>
      </c>
      <c r="M438" s="15" t="n">
        <f aca="false">L438*(1+IF(M$3&lt;=$O$2,$D438,$D438-($D438-$I$427)*MIN(M$3-$O$2,$Q$2)/$Q$2))</f>
        <v>2154.86460441769</v>
      </c>
      <c r="N438" s="15" t="n">
        <f aca="false">M438*(1+IF(N$3&lt;=$O$2,$D438,$D438-($D438-$I$427)*MIN(N$3-$O$2,$Q$2)/$Q$2))</f>
        <v>2237.39591876689</v>
      </c>
      <c r="O438" s="15" t="n">
        <f aca="false">SUMPRODUCT(E438:N438,1/(1+$F$427)^$E$3:$N$3)*$E$2</f>
        <v>10668.1078176149</v>
      </c>
      <c r="P438" s="15" t="n">
        <f aca="false">N438*$E$2*(1+$I$427)/($F$427-$I$427)/(1+$F$427)^$N$3</f>
        <v>19322.8232439362</v>
      </c>
      <c r="Q438" s="15" t="n">
        <f aca="false">O438+P438</f>
        <v>29990.9310615511</v>
      </c>
      <c r="R438" s="15" t="n">
        <f aca="false">Q438-$G$2+$I$2</f>
        <v>30760.9310615511</v>
      </c>
      <c r="S438" s="42" t="n">
        <f aca="false">R438/$K$2</f>
        <v>294.560289778331</v>
      </c>
      <c r="T438" s="43" t="n">
        <f aca="false">S438-$M$2</f>
        <v>2.30710582735884</v>
      </c>
    </row>
    <row r="439" customFormat="false" ht="15" hidden="false" customHeight="false" outlineLevel="0" collapsed="false">
      <c r="A439" s="5" t="n">
        <v>11</v>
      </c>
      <c r="B439" s="25" t="n">
        <f aca="false">IF(T438&gt;0,B438,D438)</f>
        <v>-0.0458984375</v>
      </c>
      <c r="C439" s="25" t="n">
        <f aca="false">IF(T438&gt;0,D438,C438)</f>
        <v>-0.04443359375</v>
      </c>
      <c r="D439" s="41" t="n">
        <f aca="false">(B439+C439)/2</f>
        <v>-0.045166015625</v>
      </c>
      <c r="E439" s="15" t="n">
        <f aca="false">$C$2*(1+IF(E$3&lt;=$O$2,$D439,$D439-($D439-$I$427)*MIN(E$3-$O$2,$Q$2)/$Q$2))</f>
        <v>2616.2451171875</v>
      </c>
      <c r="F439" s="15" t="n">
        <f aca="false">E439*(1+IF(F$3&lt;=$O$2,$D439,$D439-($D439-$I$427)*MIN(F$3-$O$2,$Q$2)/$Q$2))</f>
        <v>2498.07974934578</v>
      </c>
      <c r="G439" s="15" t="n">
        <f aca="false">F439*(1+IF(G$3&lt;=$O$2,$D439,$D439-($D439-$I$427)*MIN(G$3-$O$2,$Q$2)/$Q$2))</f>
        <v>2385.25144035433</v>
      </c>
      <c r="H439" s="15" t="n">
        <f aca="false">G439*(1+IF(H$3&lt;=$O$2,$D439,$D439-($D439-$I$427)*MIN(H$3-$O$2,$Q$2)/$Q$2))</f>
        <v>2277.51913652973</v>
      </c>
      <c r="I439" s="15" t="n">
        <f aca="false">H439*(1+IF(I$3&lt;=$O$2,$D439,$D439-($D439-$I$427)*MIN(I$3-$O$2,$Q$2)/$Q$2))</f>
        <v>2174.652671623</v>
      </c>
      <c r="J439" s="15" t="n">
        <f aca="false">I439*(1+IF(J$3&lt;=$O$2,$D439,$D439-($D439-$I$427)*MIN(J$3-$O$2,$Q$2)/$Q$2))</f>
        <v>2112.73419385125</v>
      </c>
      <c r="K439" s="15" t="n">
        <f aca="false">J439*(1+IF(K$3&lt;=$O$2,$D439,$D439-($D439-$I$427)*MIN(K$3-$O$2,$Q$2)/$Q$2))</f>
        <v>2087.84701033448</v>
      </c>
      <c r="L439" s="15" t="n">
        <f aca="false">K439*(1+IF(L$3&lt;=$O$2,$D439,$D439-($D439-$I$427)*MIN(L$3-$O$2,$Q$2)/$Q$2))</f>
        <v>2098.10584235541</v>
      </c>
      <c r="M439" s="15" t="n">
        <f aca="false">L439*(1+IF(M$3&lt;=$O$2,$D439,$D439-($D439-$I$427)*MIN(M$3-$O$2,$Q$2)/$Q$2))</f>
        <v>2143.43918911344</v>
      </c>
      <c r="N439" s="15" t="n">
        <f aca="false">M439*(1+IF(N$3&lt;=$O$2,$D439,$D439-($D439-$I$427)*MIN(N$3-$O$2,$Q$2)/$Q$2))</f>
        <v>2225.53291005648</v>
      </c>
      <c r="O439" s="15" t="n">
        <f aca="false">SUMPRODUCT(E439:N439,1/(1+$F$427)^$E$3:$N$3)*$E$2</f>
        <v>10633.9351850279</v>
      </c>
      <c r="P439" s="15" t="n">
        <f aca="false">N439*$E$2*(1+$I$427)/($F$427-$I$427)/(1+$F$427)^$N$3</f>
        <v>19220.370737194</v>
      </c>
      <c r="Q439" s="15" t="n">
        <f aca="false">O439+P439</f>
        <v>29854.3059222219</v>
      </c>
      <c r="R439" s="15" t="n">
        <f aca="false">Q439-$G$2+$I$2</f>
        <v>30624.3059222219</v>
      </c>
      <c r="S439" s="42" t="n">
        <f aca="false">R439/$K$2</f>
        <v>293.251995807928</v>
      </c>
      <c r="T439" s="43" t="n">
        <f aca="false">S439-$M$2</f>
        <v>0.998811856955513</v>
      </c>
    </row>
    <row r="440" customFormat="false" ht="15" hidden="false" customHeight="false" outlineLevel="0" collapsed="false">
      <c r="A440" s="5" t="n">
        <v>12</v>
      </c>
      <c r="B440" s="25" t="n">
        <f aca="false">IF(T439&gt;0,B439,D439)</f>
        <v>-0.0458984375</v>
      </c>
      <c r="C440" s="25" t="n">
        <f aca="false">IF(T439&gt;0,D439,C439)</f>
        <v>-0.045166015625</v>
      </c>
      <c r="D440" s="41" t="n">
        <f aca="false">(B440+C440)/2</f>
        <v>-0.0455322265625</v>
      </c>
      <c r="E440" s="15" t="n">
        <f aca="false">$C$2*(1+IF(E$3&lt;=$O$2,$D440,$D440-($D440-$I$427)*MIN(E$3-$O$2,$Q$2)/$Q$2))</f>
        <v>2615.24169921875</v>
      </c>
      <c r="F440" s="15" t="n">
        <f aca="false">E440*(1+IF(F$3&lt;=$O$2,$D440,$D440-($D440-$I$427)*MIN(F$3-$O$2,$Q$2)/$Q$2))</f>
        <v>2496.16392165422</v>
      </c>
      <c r="G440" s="15" t="n">
        <f aca="false">F440*(1+IF(G$3&lt;=$O$2,$D440,$D440-($D440-$I$427)*MIN(G$3-$O$2,$Q$2)/$Q$2))</f>
        <v>2382.50802043633</v>
      </c>
      <c r="H440" s="15" t="n">
        <f aca="false">G440*(1+IF(H$3&lt;=$O$2,$D440,$D440-($D440-$I$427)*MIN(H$3-$O$2,$Q$2)/$Q$2))</f>
        <v>2274.02712546285</v>
      </c>
      <c r="I440" s="15" t="n">
        <f aca="false">H440*(1+IF(I$3&lt;=$O$2,$D440,$D440-($D440-$I$427)*MIN(I$3-$O$2,$Q$2)/$Q$2))</f>
        <v>2170.485607177</v>
      </c>
      <c r="J440" s="15" t="n">
        <f aca="false">I440*(1+IF(J$3&lt;=$O$2,$D440,$D440-($D440-$I$427)*MIN(J$3-$O$2,$Q$2)/$Q$2))</f>
        <v>2108.04989299467</v>
      </c>
      <c r="K440" s="15" t="n">
        <f aca="false">J440*(1+IF(K$3&lt;=$O$2,$D440,$D440-($D440-$I$427)*MIN(K$3-$O$2,$Q$2)/$Q$2))</f>
        <v>2082.75469415562</v>
      </c>
      <c r="L440" s="15" t="n">
        <f aca="false">K440*(1+IF(L$3&lt;=$O$2,$D440,$D440-($D440-$I$427)*MIN(L$3-$O$2,$Q$2)/$Q$2))</f>
        <v>2092.68341358395</v>
      </c>
      <c r="M440" s="15" t="n">
        <f aca="false">L440*(1+IF(M$3&lt;=$O$2,$D440,$D440-($D440-$I$427)*MIN(M$3-$O$2,$Q$2)/$Q$2))</f>
        <v>2137.74632631399</v>
      </c>
      <c r="N440" s="15" t="n">
        <f aca="false">M440*(1+IF(N$3&lt;=$O$2,$D440,$D440-($D440-$I$427)*MIN(N$3-$O$2,$Q$2)/$Q$2))</f>
        <v>2219.62201061181</v>
      </c>
      <c r="O440" s="15" t="n">
        <f aca="false">SUMPRODUCT(E440:N440,1/(1+$F$427)^$E$3:$N$3)*$E$2</f>
        <v>10616.8914265505</v>
      </c>
      <c r="P440" s="15" t="n">
        <f aca="false">N440*$E$2*(1+$I$427)/($F$427-$I$427)/(1+$F$427)^$N$3</f>
        <v>19169.3224340197</v>
      </c>
      <c r="Q440" s="15" t="n">
        <f aca="false">O440+P440</f>
        <v>29786.2138605703</v>
      </c>
      <c r="R440" s="15" t="n">
        <f aca="false">Q440-$G$2+$I$2</f>
        <v>30556.2138605703</v>
      </c>
      <c r="S440" s="42" t="n">
        <f aca="false">R440/$K$2</f>
        <v>292.59996036168</v>
      </c>
      <c r="T440" s="43" t="n">
        <f aca="false">S440-$M$2</f>
        <v>0.346776410708287</v>
      </c>
    </row>
    <row r="441" customFormat="false" ht="15" hidden="false" customHeight="false" outlineLevel="0" collapsed="false">
      <c r="A441" s="5" t="n">
        <v>13</v>
      </c>
      <c r="B441" s="25" t="n">
        <f aca="false">IF(T440&gt;0,B440,D440)</f>
        <v>-0.0458984375</v>
      </c>
      <c r="C441" s="25" t="n">
        <f aca="false">IF(T440&gt;0,D440,C440)</f>
        <v>-0.0455322265625</v>
      </c>
      <c r="D441" s="41" t="n">
        <f aca="false">(B441+C441)/2</f>
        <v>-0.04571533203125</v>
      </c>
      <c r="E441" s="15" t="n">
        <f aca="false">$C$2*(1+IF(E$3&lt;=$O$2,$D441,$D441-($D441-$I$427)*MIN(E$3-$O$2,$Q$2)/$Q$2))</f>
        <v>2614.73999023438</v>
      </c>
      <c r="F441" s="15" t="n">
        <f aca="false">E441*(1+IF(F$3&lt;=$O$2,$D441,$D441-($D441-$I$427)*MIN(F$3-$O$2,$Q$2)/$Q$2))</f>
        <v>2495.20628340542</v>
      </c>
      <c r="G441" s="15" t="n">
        <f aca="false">F441*(1+IF(G$3&lt;=$O$2,$D441,$D441-($D441-$I$427)*MIN(G$3-$O$2,$Q$2)/$Q$2))</f>
        <v>2381.13709967308</v>
      </c>
      <c r="H441" s="15" t="n">
        <f aca="false">G441*(1+IF(H$3&lt;=$O$2,$D441,$D441-($D441-$I$427)*MIN(H$3-$O$2,$Q$2)/$Q$2))</f>
        <v>2272.2826265496</v>
      </c>
      <c r="I441" s="15" t="n">
        <f aca="false">H441*(1+IF(I$3&lt;=$O$2,$D441,$D441-($D441-$I$427)*MIN(I$3-$O$2,$Q$2)/$Q$2))</f>
        <v>2168.40447180804</v>
      </c>
      <c r="J441" s="15" t="n">
        <f aca="false">I441*(1+IF(J$3&lt;=$O$2,$D441,$D441-($D441-$I$427)*MIN(J$3-$O$2,$Q$2)/$Q$2))</f>
        <v>2105.71098573669</v>
      </c>
      <c r="K441" s="15" t="n">
        <f aca="false">J441*(1+IF(K$3&lt;=$O$2,$D441,$D441-($D441-$I$427)*MIN(K$3-$O$2,$Q$2)/$Q$2))</f>
        <v>2080.2125119133</v>
      </c>
      <c r="L441" s="15" t="n">
        <f aca="false">K441*(1+IF(L$3&lt;=$O$2,$D441,$D441-($D441-$I$427)*MIN(L$3-$O$2,$Q$2)/$Q$2))</f>
        <v>2089.97675316599</v>
      </c>
      <c r="M441" s="15" t="n">
        <f aca="false">L441*(1+IF(M$3&lt;=$O$2,$D441,$D441-($D441-$I$427)*MIN(M$3-$O$2,$Q$2)/$Q$2))</f>
        <v>2134.90484464128</v>
      </c>
      <c r="N441" s="15" t="n">
        <f aca="false">M441*(1+IF(N$3&lt;=$O$2,$D441,$D441-($D441-$I$427)*MIN(N$3-$O$2,$Q$2)/$Q$2))</f>
        <v>2216.67170019105</v>
      </c>
      <c r="O441" s="15" t="n">
        <f aca="false">SUMPRODUCT(E441:N441,1/(1+$F$427)^$E$3:$N$3)*$E$2</f>
        <v>10608.3801670066</v>
      </c>
      <c r="P441" s="15" t="n">
        <f aca="false">N441*$E$2*(1+$I$427)/($F$427-$I$427)/(1+$F$427)^$N$3</f>
        <v>19143.8426669847</v>
      </c>
      <c r="Q441" s="15" t="n">
        <f aca="false">O441+P441</f>
        <v>29752.2228339914</v>
      </c>
      <c r="R441" s="15" t="n">
        <f aca="false">Q441-$G$2+$I$2</f>
        <v>30522.2228339914</v>
      </c>
      <c r="S441" s="42" t="n">
        <f aca="false">R441/$K$2</f>
        <v>292.274469347806</v>
      </c>
      <c r="T441" s="43" t="n">
        <f aca="false">S441-$M$2</f>
        <v>0.0212853968338891</v>
      </c>
    </row>
    <row r="442" customFormat="false" ht="15" hidden="false" customHeight="false" outlineLevel="0" collapsed="false">
      <c r="A442" s="5" t="n">
        <v>14</v>
      </c>
      <c r="B442" s="25" t="n">
        <f aca="false">IF(T441&gt;0,B441,D441)</f>
        <v>-0.0458984375</v>
      </c>
      <c r="C442" s="25" t="n">
        <f aca="false">IF(T441&gt;0,D441,C441)</f>
        <v>-0.04571533203125</v>
      </c>
      <c r="D442" s="41" t="n">
        <f aca="false">(B442+C442)/2</f>
        <v>-0.045806884765625</v>
      </c>
      <c r="E442" s="15" t="n">
        <f aca="false">$C$2*(1+IF(E$3&lt;=$O$2,$D442,$D442-($D442-$I$427)*MIN(E$3-$O$2,$Q$2)/$Q$2))</f>
        <v>2614.48913574219</v>
      </c>
      <c r="F442" s="15" t="n">
        <f aca="false">E442*(1+IF(F$3&lt;=$O$2,$D442,$D442-($D442-$I$427)*MIN(F$3-$O$2,$Q$2)/$Q$2))</f>
        <v>2494.72753318027</v>
      </c>
      <c r="G442" s="15" t="n">
        <f aca="false">F442*(1+IF(G$3&lt;=$O$2,$D442,$D442-($D442-$I$427)*MIN(G$3-$O$2,$Q$2)/$Q$2))</f>
        <v>2380.45183654625</v>
      </c>
      <c r="H442" s="15" t="n">
        <f aca="false">G442*(1+IF(H$3&lt;=$O$2,$D442,$D442-($D442-$I$427)*MIN(H$3-$O$2,$Q$2)/$Q$2))</f>
        <v>2271.41075357945</v>
      </c>
      <c r="I442" s="15" t="n">
        <f aca="false">H442*(1+IF(I$3&lt;=$O$2,$D442,$D442-($D442-$I$427)*MIN(I$3-$O$2,$Q$2)/$Q$2))</f>
        <v>2167.36450293484</v>
      </c>
      <c r="J442" s="15" t="n">
        <f aca="false">I442*(1+IF(J$3&lt;=$O$2,$D442,$D442-($D442-$I$427)*MIN(J$3-$O$2,$Q$2)/$Q$2))</f>
        <v>2104.54234220248</v>
      </c>
      <c r="K442" s="15" t="n">
        <f aca="false">J442*(1+IF(K$3&lt;=$O$2,$D442,$D442-($D442-$I$427)*MIN(K$3-$O$2,$Q$2)/$Q$2))</f>
        <v>2078.94241375284</v>
      </c>
      <c r="L442" s="15" t="n">
        <f aca="false">K442*(1+IF(L$3&lt;=$O$2,$D442,$D442-($D442-$I$427)*MIN(L$3-$O$2,$Q$2)/$Q$2))</f>
        <v>2088.62456018842</v>
      </c>
      <c r="M442" s="15" t="n">
        <f aca="false">L442*(1+IF(M$3&lt;=$O$2,$D442,$D442-($D442-$I$427)*MIN(M$3-$O$2,$Q$2)/$Q$2))</f>
        <v>2133.48533980315</v>
      </c>
      <c r="N442" s="15" t="n">
        <f aca="false">M442*(1+IF(N$3&lt;=$O$2,$D442,$D442-($D442-$I$427)*MIN(N$3-$O$2,$Q$2)/$Q$2))</f>
        <v>2215.19782831761</v>
      </c>
      <c r="O442" s="15" t="n">
        <f aca="false">SUMPRODUCT(E442:N442,1/(1+$F$427)^$E$3:$N$3)*$E$2</f>
        <v>10604.1271896917</v>
      </c>
      <c r="P442" s="15" t="n">
        <f aca="false">N442*$E$2*(1+$I$427)/($F$427-$I$427)/(1+$F$427)^$N$3</f>
        <v>19131.1138667506</v>
      </c>
      <c r="Q442" s="15" t="n">
        <f aca="false">O442+P442</f>
        <v>29735.2410564423</v>
      </c>
      <c r="R442" s="15" t="n">
        <f aca="false">Q442-$G$2+$I$2</f>
        <v>30505.2410564423</v>
      </c>
      <c r="S442" s="42" t="n">
        <f aca="false">R442/$K$2</f>
        <v>292.111855371467</v>
      </c>
      <c r="T442" s="43" t="n">
        <f aca="false">S442-$M$2</f>
        <v>-0.141328579504659</v>
      </c>
    </row>
    <row r="443" customFormat="false" ht="15" hidden="false" customHeight="false" outlineLevel="0" collapsed="false">
      <c r="A443" s="5" t="n">
        <v>15</v>
      </c>
      <c r="B443" s="25" t="n">
        <f aca="false">IF(T442&gt;0,B442,D442)</f>
        <v>-0.045806884765625</v>
      </c>
      <c r="C443" s="25" t="n">
        <f aca="false">IF(T442&gt;0,D442,C442)</f>
        <v>-0.04571533203125</v>
      </c>
      <c r="D443" s="41" t="n">
        <f aca="false">(B443+C443)/2</f>
        <v>-0.0457611083984375</v>
      </c>
      <c r="E443" s="15" t="n">
        <f aca="false">$C$2*(1+IF(E$3&lt;=$O$2,$D443,$D443-($D443-$I$427)*MIN(E$3-$O$2,$Q$2)/$Q$2))</f>
        <v>2614.61456298828</v>
      </c>
      <c r="F443" s="15" t="n">
        <f aca="false">E443*(1+IF(F$3&lt;=$O$2,$D443,$D443-($D443-$I$427)*MIN(F$3-$O$2,$Q$2)/$Q$2))</f>
        <v>2494.96690255124</v>
      </c>
      <c r="G443" s="15" t="n">
        <f aca="false">F443*(1+IF(G$3&lt;=$O$2,$D443,$D443-($D443-$I$427)*MIN(G$3-$O$2,$Q$2)/$Q$2))</f>
        <v>2380.79445167308</v>
      </c>
      <c r="H443" s="15" t="n">
        <f aca="false">G443*(1+IF(H$3&lt;=$O$2,$D443,$D443-($D443-$I$427)*MIN(H$3-$O$2,$Q$2)/$Q$2))</f>
        <v>2271.84665869567</v>
      </c>
      <c r="I443" s="15" t="n">
        <f aca="false">H443*(1+IF(I$3&lt;=$O$2,$D443,$D443-($D443-$I$427)*MIN(I$3-$O$2,$Q$2)/$Q$2))</f>
        <v>2167.88443748247</v>
      </c>
      <c r="J443" s="15" t="n">
        <f aca="false">I443*(1+IF(J$3&lt;=$O$2,$D443,$D443-($D443-$I$427)*MIN(J$3-$O$2,$Q$2)/$Q$2))</f>
        <v>2105.12659648245</v>
      </c>
      <c r="K443" s="15" t="n">
        <f aca="false">J443*(1+IF(K$3&lt;=$O$2,$D443,$D443-($D443-$I$427)*MIN(K$3-$O$2,$Q$2)/$Q$2))</f>
        <v>2079.57738011612</v>
      </c>
      <c r="L443" s="15" t="n">
        <f aca="false">K443*(1+IF(L$3&lt;=$O$2,$D443,$D443-($D443-$I$427)*MIN(L$3-$O$2,$Q$2)/$Q$2))</f>
        <v>2089.30056194541</v>
      </c>
      <c r="M443" s="15" t="n">
        <f aca="false">L443*(1+IF(M$3&lt;=$O$2,$D443,$D443-($D443-$I$427)*MIN(M$3-$O$2,$Q$2)/$Q$2))</f>
        <v>2134.194989265</v>
      </c>
      <c r="N443" s="15" t="n">
        <f aca="false">M443*(1+IF(N$3&lt;=$O$2,$D443,$D443-($D443-$I$427)*MIN(N$3-$O$2,$Q$2)/$Q$2))</f>
        <v>2215.93465735385</v>
      </c>
      <c r="O443" s="15" t="n">
        <f aca="false">SUMPRODUCT(E443:N443,1/(1+$F$427)^$E$3:$N$3)*$E$2</f>
        <v>10606.2534573845</v>
      </c>
      <c r="P443" s="15" t="n">
        <f aca="false">N443*$E$2*(1+$I$427)/($F$427-$I$427)/(1+$F$427)^$N$3</f>
        <v>19137.477343643</v>
      </c>
      <c r="Q443" s="15" t="n">
        <f aca="false">O443+P443</f>
        <v>29743.7308010275</v>
      </c>
      <c r="R443" s="15" t="n">
        <f aca="false">Q443-$G$2+$I$2</f>
        <v>30513.7308010275</v>
      </c>
      <c r="S443" s="42" t="n">
        <f aca="false">R443/$K$2</f>
        <v>292.193151403117</v>
      </c>
      <c r="T443" s="43" t="n">
        <f aca="false">S443-$M$2</f>
        <v>-0.0600325478550303</v>
      </c>
    </row>
    <row r="444" customFormat="false" ht="15" hidden="false" customHeight="false" outlineLevel="0" collapsed="false">
      <c r="A444" s="5" t="n">
        <v>16</v>
      </c>
      <c r="B444" s="25" t="n">
        <f aca="false">IF(T443&gt;0,B443,D443)</f>
        <v>-0.0457611083984375</v>
      </c>
      <c r="C444" s="25" t="n">
        <f aca="false">IF(T443&gt;0,D443,C443)</f>
        <v>-0.04571533203125</v>
      </c>
      <c r="D444" s="41" t="n">
        <f aca="false">(B444+C444)/2</f>
        <v>-0.0457382202148438</v>
      </c>
      <c r="E444" s="15" t="n">
        <f aca="false">$C$2*(1+IF(E$3&lt;=$O$2,$D444,$D444-($D444-$I$427)*MIN(E$3-$O$2,$Q$2)/$Q$2))</f>
        <v>2614.67727661133</v>
      </c>
      <c r="F444" s="15" t="n">
        <f aca="false">E444*(1+IF(F$3&lt;=$O$2,$D444,$D444-($D444-$I$427)*MIN(F$3-$O$2,$Q$2)/$Q$2))</f>
        <v>2495.08659154293</v>
      </c>
      <c r="G444" s="15" t="n">
        <f aca="false">F444*(1+IF(G$3&lt;=$O$2,$D444,$D444-($D444-$I$427)*MIN(G$3-$O$2,$Q$2)/$Q$2))</f>
        <v>2380.96577156384</v>
      </c>
      <c r="H444" s="15" t="n">
        <f aca="false">G444*(1+IF(H$3&lt;=$O$2,$D444,$D444-($D444-$I$427)*MIN(H$3-$O$2,$Q$2)/$Q$2))</f>
        <v>2272.06463478005</v>
      </c>
      <c r="I444" s="15" t="n">
        <f aca="false">H444*(1+IF(I$3&lt;=$O$2,$D444,$D444-($D444-$I$427)*MIN(I$3-$O$2,$Q$2)/$Q$2))</f>
        <v>2168.14444217212</v>
      </c>
      <c r="J444" s="15" t="n">
        <f aca="false">I444*(1+IF(J$3&lt;=$O$2,$D444,$D444-($D444-$I$427)*MIN(J$3-$O$2,$Q$2)/$Q$2))</f>
        <v>2105.41877423623</v>
      </c>
      <c r="K444" s="15" t="n">
        <f aca="false">J444*(1+IF(K$3&lt;=$O$2,$D444,$D444-($D444-$I$427)*MIN(K$3-$O$2,$Q$2)/$Q$2))</f>
        <v>2079.89492533324</v>
      </c>
      <c r="L444" s="15" t="n">
        <f aca="false">K444*(1+IF(L$3&lt;=$O$2,$D444,$D444-($D444-$I$427)*MIN(L$3-$O$2,$Q$2)/$Q$2))</f>
        <v>2089.63863386995</v>
      </c>
      <c r="M444" s="15" t="n">
        <f aca="false">L444*(1+IF(M$3&lt;=$O$2,$D444,$D444-($D444-$I$427)*MIN(M$3-$O$2,$Q$2)/$Q$2))</f>
        <v>2134.54989121064</v>
      </c>
      <c r="N444" s="15" t="n">
        <f aca="false">M444*(1+IF(N$3&lt;=$O$2,$D444,$D444-($D444-$I$427)*MIN(N$3-$O$2,$Q$2)/$Q$2))</f>
        <v>2216.30315204401</v>
      </c>
      <c r="O444" s="15" t="n">
        <f aca="false">SUMPRODUCT(E444:N444,1/(1+$F$427)^$E$3:$N$3)*$E$2</f>
        <v>10607.3167569489</v>
      </c>
      <c r="P444" s="15" t="n">
        <f aca="false">N444*$E$2*(1+$I$427)/($F$427-$I$427)/(1+$F$427)^$N$3</f>
        <v>19140.6597744791</v>
      </c>
      <c r="Q444" s="15" t="n">
        <f aca="false">O444+P444</f>
        <v>29747.9765314279</v>
      </c>
      <c r="R444" s="15" t="n">
        <f aca="false">Q444-$G$2+$I$2</f>
        <v>30517.9765314279</v>
      </c>
      <c r="S444" s="42" t="n">
        <f aca="false">R444/$K$2</f>
        <v>292.233807636004</v>
      </c>
      <c r="T444" s="43" t="n">
        <f aca="false">S444-$M$2</f>
        <v>-0.0193763149676442</v>
      </c>
    </row>
    <row r="445" customFormat="false" ht="15" hidden="false" customHeight="false" outlineLevel="0" collapsed="false">
      <c r="A445" s="5" t="n">
        <v>17</v>
      </c>
      <c r="B445" s="25" t="n">
        <f aca="false">IF(T444&gt;0,B444,D444)</f>
        <v>-0.0457382202148438</v>
      </c>
      <c r="C445" s="25" t="n">
        <f aca="false">IF(T444&gt;0,D444,C444)</f>
        <v>-0.04571533203125</v>
      </c>
      <c r="D445" s="41" t="n">
        <f aca="false">(B445+C445)/2</f>
        <v>-0.0457267761230469</v>
      </c>
      <c r="E445" s="15" t="n">
        <f aca="false">$C$2*(1+IF(E$3&lt;=$O$2,$D445,$D445-($D445-$I$427)*MIN(E$3-$O$2,$Q$2)/$Q$2))</f>
        <v>2614.70863342285</v>
      </c>
      <c r="F445" s="15" t="n">
        <f aca="false">E445*(1+IF(F$3&lt;=$O$2,$D445,$D445-($D445-$I$427)*MIN(F$3-$O$2,$Q$2)/$Q$2))</f>
        <v>2495.14643711533</v>
      </c>
      <c r="G445" s="15" t="n">
        <f aca="false">F445*(1+IF(G$3&lt;=$O$2,$D445,$D445-($D445-$I$427)*MIN(G$3-$O$2,$Q$2)/$Q$2))</f>
        <v>2381.05143459114</v>
      </c>
      <c r="H445" s="15" t="n">
        <f aca="false">G445*(1+IF(H$3&lt;=$O$2,$D445,$D445-($D445-$I$427)*MIN(H$3-$O$2,$Q$2)/$Q$2))</f>
        <v>2272.17362870413</v>
      </c>
      <c r="I445" s="15" t="n">
        <f aca="false">H445*(1+IF(I$3&lt;=$O$2,$D445,$D445-($D445-$I$427)*MIN(I$3-$O$2,$Q$2)/$Q$2))</f>
        <v>2168.27445387168</v>
      </c>
      <c r="J445" s="15" t="n">
        <f aca="false">I445*(1+IF(J$3&lt;=$O$2,$D445,$D445-($D445-$I$427)*MIN(J$3-$O$2,$Q$2)/$Q$2))</f>
        <v>2105.56487576793</v>
      </c>
      <c r="K445" s="15" t="n">
        <f aca="false">J445*(1+IF(K$3&lt;=$O$2,$D445,$D445-($D445-$I$427)*MIN(K$3-$O$2,$Q$2)/$Q$2))</f>
        <v>2080.05371345262</v>
      </c>
      <c r="L445" s="15" t="n">
        <f aca="false">K445*(1+IF(L$3&lt;=$O$2,$D445,$D445-($D445-$I$427)*MIN(L$3-$O$2,$Q$2)/$Q$2))</f>
        <v>2089.80768759618</v>
      </c>
      <c r="M445" s="15" t="n">
        <f aca="false">L445*(1+IF(M$3&lt;=$O$2,$D445,$D445-($D445-$I$427)*MIN(M$3-$O$2,$Q$2)/$Q$2))</f>
        <v>2134.72736148994</v>
      </c>
      <c r="N445" s="15" t="n">
        <f aca="false">M445*(1+IF(N$3&lt;=$O$2,$D445,$D445-($D445-$I$427)*MIN(N$3-$O$2,$Q$2)/$Q$2))</f>
        <v>2216.487419435</v>
      </c>
      <c r="O445" s="15" t="n">
        <f aca="false">SUMPRODUCT(E445:N445,1/(1+$F$427)^$E$3:$N$3)*$E$2</f>
        <v>10607.8484481654</v>
      </c>
      <c r="P445" s="15" t="n">
        <f aca="false">N445*$E$2*(1+$I$427)/($F$427-$I$427)/(1+$F$427)^$N$3</f>
        <v>19142.2511630196</v>
      </c>
      <c r="Q445" s="15" t="n">
        <f aca="false">O445+P445</f>
        <v>29750.099611185</v>
      </c>
      <c r="R445" s="15" t="n">
        <f aca="false">Q445-$G$2+$I$2</f>
        <v>30520.099611185</v>
      </c>
      <c r="S445" s="42" t="n">
        <f aca="false">R445/$K$2</f>
        <v>292.254137807</v>
      </c>
      <c r="T445" s="43" t="n">
        <f aca="false">S445-$M$2</f>
        <v>0.000953856027877009</v>
      </c>
    </row>
    <row r="446" customFormat="false" ht="15" hidden="false" customHeight="false" outlineLevel="0" collapsed="false">
      <c r="A446" s="5" t="n">
        <v>18</v>
      </c>
      <c r="B446" s="25" t="n">
        <f aca="false">IF(T445&gt;0,B445,D445)</f>
        <v>-0.0457382202148438</v>
      </c>
      <c r="C446" s="25" t="n">
        <f aca="false">IF(T445&gt;0,D445,C445)</f>
        <v>-0.0457267761230469</v>
      </c>
      <c r="D446" s="41" t="n">
        <f aca="false">(B446+C446)/2</f>
        <v>-0.0457324981689453</v>
      </c>
      <c r="E446" s="15" t="n">
        <f aca="false">$C$2*(1+IF(E$3&lt;=$O$2,$D446,$D446-($D446-$I$427)*MIN(E$3-$O$2,$Q$2)/$Q$2))</f>
        <v>2614.69295501709</v>
      </c>
      <c r="F446" s="15" t="n">
        <f aca="false">E446*(1+IF(F$3&lt;=$O$2,$D446,$D446-($D446-$I$427)*MIN(F$3-$O$2,$Q$2)/$Q$2))</f>
        <v>2495.11651423942</v>
      </c>
      <c r="G446" s="15" t="n">
        <f aca="false">F446*(1+IF(G$3&lt;=$O$2,$D446,$D446-($D446-$I$427)*MIN(G$3-$O$2,$Q$2)/$Q$2))</f>
        <v>2381.00860282066</v>
      </c>
      <c r="H446" s="15" t="n">
        <f aca="false">G446*(1+IF(H$3&lt;=$O$2,$D446,$D446-($D446-$I$427)*MIN(H$3-$O$2,$Q$2)/$Q$2))</f>
        <v>2272.11913125192</v>
      </c>
      <c r="I446" s="15" t="n">
        <f aca="false">H446*(1+IF(I$3&lt;=$O$2,$D446,$D446-($D446-$I$427)*MIN(I$3-$O$2,$Q$2)/$Q$2))</f>
        <v>2168.20944724231</v>
      </c>
      <c r="J446" s="15" t="n">
        <f aca="false">I446*(1+IF(J$3&lt;=$O$2,$D446,$D446-($D446-$I$427)*MIN(J$3-$O$2,$Q$2)/$Q$2))</f>
        <v>2105.49182394747</v>
      </c>
      <c r="K446" s="15" t="n">
        <f aca="false">J446*(1+IF(K$3&lt;=$O$2,$D446,$D446-($D446-$I$427)*MIN(K$3-$O$2,$Q$2)/$Q$2))</f>
        <v>2079.9743181003</v>
      </c>
      <c r="L446" s="15" t="n">
        <f aca="false">K446*(1+IF(L$3&lt;=$O$2,$D446,$D446-($D446-$I$427)*MIN(L$3-$O$2,$Q$2)/$Q$2))</f>
        <v>2089.72315925266</v>
      </c>
      <c r="M446" s="15" t="n">
        <f aca="false">L446*(1+IF(M$3&lt;=$O$2,$D446,$D446-($D446-$I$427)*MIN(M$3-$O$2,$Q$2)/$Q$2))</f>
        <v>2134.63862474133</v>
      </c>
      <c r="N446" s="15" t="n">
        <f aca="false">M446*(1+IF(N$3&lt;=$O$2,$D446,$D446-($D446-$I$427)*MIN(N$3-$O$2,$Q$2)/$Q$2))</f>
        <v>2216.39528406893</v>
      </c>
      <c r="O446" s="15" t="n">
        <f aca="false">SUMPRODUCT(E446:N446,1/(1+$F$427)^$E$3:$N$3)*$E$2</f>
        <v>10607.5825991041</v>
      </c>
      <c r="P446" s="15" t="n">
        <f aca="false">N446*$E$2*(1+$I$427)/($F$427-$I$427)/(1+$F$427)^$N$3</f>
        <v>19141.4554543217</v>
      </c>
      <c r="Q446" s="15" t="n">
        <f aca="false">O446+P446</f>
        <v>29749.0380534258</v>
      </c>
      <c r="R446" s="15" t="n">
        <f aca="false">Q446-$G$2+$I$2</f>
        <v>30519.0380534258</v>
      </c>
      <c r="S446" s="42" t="n">
        <f aca="false">R446/$K$2</f>
        <v>292.243972550281</v>
      </c>
      <c r="T446" s="43" t="n">
        <f aca="false">S446-$M$2</f>
        <v>-0.0092114006911288</v>
      </c>
    </row>
    <row r="447" customFormat="false" ht="15" hidden="false" customHeight="false" outlineLevel="0" collapsed="false">
      <c r="A447" s="5" t="n">
        <v>19</v>
      </c>
      <c r="B447" s="25" t="n">
        <f aca="false">IF(T446&gt;0,B446,D446)</f>
        <v>-0.0457324981689453</v>
      </c>
      <c r="C447" s="25" t="n">
        <f aca="false">IF(T446&gt;0,D446,C446)</f>
        <v>-0.0457267761230469</v>
      </c>
      <c r="D447" s="41" t="n">
        <f aca="false">(B447+C447)/2</f>
        <v>-0.0457296371459961</v>
      </c>
      <c r="E447" s="15" t="n">
        <f aca="false">$C$2*(1+IF(E$3&lt;=$O$2,$D447,$D447-($D447-$I$427)*MIN(E$3-$O$2,$Q$2)/$Q$2))</f>
        <v>2614.70079421997</v>
      </c>
      <c r="F447" s="15" t="n">
        <f aca="false">E447*(1+IF(F$3&lt;=$O$2,$D447,$D447-($D447-$I$427)*MIN(F$3-$O$2,$Q$2)/$Q$2))</f>
        <v>2495.13147565494</v>
      </c>
      <c r="G447" s="15" t="n">
        <f aca="false">F447*(1+IF(G$3&lt;=$O$2,$D447,$D447-($D447-$I$427)*MIN(G$3-$O$2,$Q$2)/$Q$2))</f>
        <v>2381.03001864169</v>
      </c>
      <c r="H447" s="15" t="n">
        <f aca="false">G447*(1+IF(H$3&lt;=$O$2,$D447,$D447-($D447-$I$427)*MIN(H$3-$O$2,$Q$2)/$Q$2))</f>
        <v>2272.14637985548</v>
      </c>
      <c r="I447" s="15" t="n">
        <f aca="false">H447*(1+IF(I$3&lt;=$O$2,$D447,$D447-($D447-$I$427)*MIN(I$3-$O$2,$Q$2)/$Q$2))</f>
        <v>2168.2419503621</v>
      </c>
      <c r="J447" s="15" t="n">
        <f aca="false">I447*(1+IF(J$3&lt;=$O$2,$D447,$D447-($D447-$I$427)*MIN(J$3-$O$2,$Q$2)/$Q$2))</f>
        <v>2105.52834959405</v>
      </c>
      <c r="K447" s="15" t="n">
        <f aca="false">J447*(1+IF(K$3&lt;=$O$2,$D447,$D447-($D447-$I$427)*MIN(K$3-$O$2,$Q$2)/$Q$2))</f>
        <v>2080.0140154533</v>
      </c>
      <c r="L447" s="15" t="n">
        <f aca="false">K447*(1+IF(L$3&lt;=$O$2,$D447,$D447-($D447-$I$427)*MIN(L$3-$O$2,$Q$2)/$Q$2))</f>
        <v>2089.76542305431</v>
      </c>
      <c r="M447" s="15" t="n">
        <f aca="false">L447*(1+IF(M$3&lt;=$O$2,$D447,$D447-($D447-$I$427)*MIN(M$3-$O$2,$Q$2)/$Q$2))</f>
        <v>2134.68299271339</v>
      </c>
      <c r="N447" s="15" t="n">
        <f aca="false">M447*(1+IF(N$3&lt;=$O$2,$D447,$D447-($D447-$I$427)*MIN(N$3-$O$2,$Q$2)/$Q$2))</f>
        <v>2216.44135133431</v>
      </c>
      <c r="O447" s="15" t="n">
        <f aca="false">SUMPRODUCT(E447:N447,1/(1+$F$427)^$E$3:$N$3)*$E$2</f>
        <v>10607.7155227715</v>
      </c>
      <c r="P447" s="15" t="n">
        <f aca="false">N447*$E$2*(1+$I$427)/($F$427-$I$427)/(1+$F$427)^$N$3</f>
        <v>19141.8533050637</v>
      </c>
      <c r="Q447" s="15" t="n">
        <f aca="false">O447+P447</f>
        <v>29749.5688278352</v>
      </c>
      <c r="R447" s="15" t="n">
        <f aca="false">Q447-$G$2+$I$2</f>
        <v>30519.5688278352</v>
      </c>
      <c r="S447" s="42" t="n">
        <f aca="false">R447/$K$2</f>
        <v>292.249055135835</v>
      </c>
      <c r="T447" s="43" t="n">
        <f aca="false">S447-$M$2</f>
        <v>-0.00412881513750563</v>
      </c>
    </row>
    <row r="448" customFormat="false" ht="15" hidden="false" customHeight="false" outlineLevel="0" collapsed="false">
      <c r="A448" s="5" t="n">
        <v>20</v>
      </c>
      <c r="B448" s="25" t="n">
        <f aca="false">IF(T447&gt;0,B447,D447)</f>
        <v>-0.0457296371459961</v>
      </c>
      <c r="C448" s="25" t="n">
        <f aca="false">IF(T447&gt;0,D447,C447)</f>
        <v>-0.0457267761230469</v>
      </c>
      <c r="D448" s="41" t="n">
        <f aca="false">(B448+C448)/2</f>
        <v>-0.0457282066345215</v>
      </c>
      <c r="E448" s="15" t="n">
        <f aca="false">$C$2*(1+IF(E$3&lt;=$O$2,$D448,$D448-($D448-$I$427)*MIN(E$3-$O$2,$Q$2)/$Q$2))</f>
        <v>2614.70471382141</v>
      </c>
      <c r="F448" s="15" t="n">
        <f aca="false">E448*(1+IF(F$3&lt;=$O$2,$D448,$D448-($D448-$I$427)*MIN(F$3-$O$2,$Q$2)/$Q$2))</f>
        <v>2495.13895637953</v>
      </c>
      <c r="G448" s="15" t="n">
        <f aca="false">F448*(1+IF(G$3&lt;=$O$2,$D448,$D448-($D448-$I$427)*MIN(G$3-$O$2,$Q$2)/$Q$2))</f>
        <v>2381.04072660036</v>
      </c>
      <c r="H448" s="15" t="n">
        <f aca="false">G448*(1+IF(H$3&lt;=$O$2,$D448,$D448-($D448-$I$427)*MIN(H$3-$O$2,$Q$2)/$Q$2))</f>
        <v>2272.16000424917</v>
      </c>
      <c r="I448" s="15" t="n">
        <f aca="false">H448*(1+IF(I$3&lt;=$O$2,$D448,$D448-($D448-$I$427)*MIN(I$3-$O$2,$Q$2)/$Q$2))</f>
        <v>2168.25820206817</v>
      </c>
      <c r="J448" s="15" t="n">
        <f aca="false">I448*(1+IF(J$3&lt;=$O$2,$D448,$D448-($D448-$I$427)*MIN(J$3-$O$2,$Q$2)/$Q$2))</f>
        <v>2105.54661261507</v>
      </c>
      <c r="K448" s="15" t="n">
        <f aca="false">J448*(1+IF(K$3&lt;=$O$2,$D448,$D448-($D448-$I$427)*MIN(K$3-$O$2,$Q$2)/$Q$2))</f>
        <v>2080.03386437217</v>
      </c>
      <c r="L448" s="15" t="n">
        <f aca="false">K448*(1+IF(L$3&lt;=$O$2,$D448,$D448-($D448-$I$427)*MIN(L$3-$O$2,$Q$2)/$Q$2))</f>
        <v>2089.78655523272</v>
      </c>
      <c r="M448" s="15" t="n">
        <f aca="false">L448*(1+IF(M$3&lt;=$O$2,$D448,$D448-($D448-$I$427)*MIN(M$3-$O$2,$Q$2)/$Q$2))</f>
        <v>2134.7051770011</v>
      </c>
      <c r="N448" s="15" t="n">
        <f aca="false">M448*(1+IF(N$3&lt;=$O$2,$D448,$D448-($D448-$I$427)*MIN(N$3-$O$2,$Q$2)/$Q$2))</f>
        <v>2216.46438528024</v>
      </c>
      <c r="O448" s="15" t="n">
        <f aca="false">SUMPRODUCT(E448:N448,1/(1+$F$427)^$E$3:$N$3)*$E$2</f>
        <v>10607.7819852526</v>
      </c>
      <c r="P448" s="15" t="n">
        <f aca="false">N448*$E$2*(1+$I$427)/($F$427-$I$427)/(1+$F$427)^$N$3</f>
        <v>19142.0522331399</v>
      </c>
      <c r="Q448" s="15" t="n">
        <f aca="false">O448+P448</f>
        <v>29749.8342183925</v>
      </c>
      <c r="R448" s="15" t="n">
        <f aca="false">Q448-$G$2+$I$2</f>
        <v>30519.8342183925</v>
      </c>
      <c r="S448" s="42" t="n">
        <f aca="false">R448/$K$2</f>
        <v>292.251596460716</v>
      </c>
      <c r="T448" s="43" t="n">
        <f aca="false">S448-$M$2</f>
        <v>-0.00158749025632687</v>
      </c>
    </row>
    <row r="449" customFormat="false" ht="15" hidden="false" customHeight="false" outlineLevel="0" collapsed="false">
      <c r="A449" s="5" t="n">
        <v>21</v>
      </c>
      <c r="B449" s="25" t="n">
        <f aca="false">IF(T448&gt;0,B448,D448)</f>
        <v>-0.0457282066345215</v>
      </c>
      <c r="C449" s="25" t="n">
        <f aca="false">IF(T448&gt;0,D448,C448)</f>
        <v>-0.0457267761230469</v>
      </c>
      <c r="D449" s="41" t="n">
        <f aca="false">(B449+C449)/2</f>
        <v>-0.0457274913787842</v>
      </c>
      <c r="E449" s="15" t="n">
        <f aca="false">$C$2*(1+IF(E$3&lt;=$O$2,$D449,$D449-($D449-$I$427)*MIN(E$3-$O$2,$Q$2)/$Q$2))</f>
        <v>2614.70667362213</v>
      </c>
      <c r="F449" s="15" t="n">
        <f aca="false">E449*(1+IF(F$3&lt;=$O$2,$D449,$D449-($D449-$I$427)*MIN(F$3-$O$2,$Q$2)/$Q$2))</f>
        <v>2495.14269674603</v>
      </c>
      <c r="G449" s="15" t="n">
        <f aca="false">F449*(1+IF(G$3&lt;=$O$2,$D449,$D449-($D449-$I$427)*MIN(G$3-$O$2,$Q$2)/$Q$2))</f>
        <v>2381.04608059174</v>
      </c>
      <c r="H449" s="15" t="n">
        <f aca="false">G449*(1+IF(H$3&lt;=$O$2,$D449,$D449-($D449-$I$427)*MIN(H$3-$O$2,$Q$2)/$Q$2))</f>
        <v>2272.16681646899</v>
      </c>
      <c r="I449" s="15" t="n">
        <f aca="false">H449*(1+IF(I$3&lt;=$O$2,$D449,$D449-($D449-$I$427)*MIN(I$3-$O$2,$Q$2)/$Q$2))</f>
        <v>2168.26632795774</v>
      </c>
      <c r="J449" s="15" t="n">
        <f aca="false">I449*(1+IF(J$3&lt;=$O$2,$D449,$D449-($D449-$I$427)*MIN(J$3-$O$2,$Q$2)/$Q$2))</f>
        <v>2105.55574417502</v>
      </c>
      <c r="K449" s="15" t="n">
        <f aca="false">J449*(1+IF(K$3&lt;=$O$2,$D449,$D449-($D449-$I$427)*MIN(K$3-$O$2,$Q$2)/$Q$2))</f>
        <v>2080.0437888922</v>
      </c>
      <c r="L449" s="15" t="n">
        <f aca="false">K449*(1+IF(L$3&lt;=$O$2,$D449,$D449-($D449-$I$427)*MIN(L$3-$O$2,$Q$2)/$Q$2))</f>
        <v>2089.79712139132</v>
      </c>
      <c r="M449" s="15" t="n">
        <f aca="false">L449*(1+IF(M$3&lt;=$O$2,$D449,$D449-($D449-$I$427)*MIN(M$3-$O$2,$Q$2)/$Q$2))</f>
        <v>2134.71626922038</v>
      </c>
      <c r="N449" s="15" t="n">
        <f aca="false">M449*(1+IF(N$3&lt;=$O$2,$D449,$D449-($D449-$I$427)*MIN(N$3-$O$2,$Q$2)/$Q$2))</f>
        <v>2216.47590233152</v>
      </c>
      <c r="O449" s="15" t="n">
        <f aca="false">SUMPRODUCT(E449:N449,1/(1+$F$427)^$E$3:$N$3)*$E$2</f>
        <v>10607.8152166551</v>
      </c>
      <c r="P449" s="15" t="n">
        <f aca="false">N449*$E$2*(1+$I$427)/($F$427-$I$427)/(1+$F$427)^$N$3</f>
        <v>19142.1516978543</v>
      </c>
      <c r="Q449" s="15" t="n">
        <f aca="false">O449+P449</f>
        <v>29749.9669145094</v>
      </c>
      <c r="R449" s="15" t="n">
        <f aca="false">Q449-$G$2+$I$2</f>
        <v>30519.9669145094</v>
      </c>
      <c r="S449" s="42" t="n">
        <f aca="false">R449/$K$2</f>
        <v>292.252867131182</v>
      </c>
      <c r="T449" s="43" t="n">
        <f aca="false">S449-$M$2</f>
        <v>-0.000316819789702549</v>
      </c>
    </row>
    <row r="450" customFormat="false" ht="15" hidden="false" customHeight="false" outlineLevel="0" collapsed="false">
      <c r="A450" s="5" t="n">
        <v>22</v>
      </c>
      <c r="B450" s="25" t="n">
        <f aca="false">IF(T449&gt;0,B449,D449)</f>
        <v>-0.0457274913787842</v>
      </c>
      <c r="C450" s="25" t="n">
        <f aca="false">IF(T449&gt;0,D449,C449)</f>
        <v>-0.0457267761230469</v>
      </c>
      <c r="D450" s="41" t="n">
        <f aca="false">(B450+C450)/2</f>
        <v>-0.0457271337509155</v>
      </c>
      <c r="E450" s="15" t="n">
        <f aca="false">$C$2*(1+IF(E$3&lt;=$O$2,$D450,$D450-($D450-$I$427)*MIN(E$3-$O$2,$Q$2)/$Q$2))</f>
        <v>2614.70765352249</v>
      </c>
      <c r="F450" s="15" t="n">
        <f aca="false">E450*(1+IF(F$3&lt;=$O$2,$D450,$D450-($D450-$I$427)*MIN(F$3-$O$2,$Q$2)/$Q$2))</f>
        <v>2495.14456693033</v>
      </c>
      <c r="G450" s="15" t="n">
        <f aca="false">F450*(1+IF(G$3&lt;=$O$2,$D450,$D450-($D450-$I$427)*MIN(G$3-$O$2,$Q$2)/$Q$2))</f>
        <v>2381.04875759043</v>
      </c>
      <c r="H450" s="15" t="n">
        <f aca="false">G450*(1+IF(H$3&lt;=$O$2,$D450,$D450-($D450-$I$427)*MIN(H$3-$O$2,$Q$2)/$Q$2))</f>
        <v>2272.17022258464</v>
      </c>
      <c r="I450" s="15" t="n">
        <f aca="false">H450*(1+IF(I$3&lt;=$O$2,$D450,$D450-($D450-$I$427)*MIN(I$3-$O$2,$Q$2)/$Q$2))</f>
        <v>2168.27039091167</v>
      </c>
      <c r="J450" s="15" t="n">
        <f aca="false">I450*(1+IF(J$3&lt;=$O$2,$D450,$D450-($D450-$I$427)*MIN(J$3-$O$2,$Q$2)/$Q$2))</f>
        <v>2105.56030996736</v>
      </c>
      <c r="K450" s="15" t="n">
        <f aca="false">J450*(1+IF(K$3&lt;=$O$2,$D450,$D450-($D450-$I$427)*MIN(K$3-$O$2,$Q$2)/$Q$2))</f>
        <v>2080.04875116736</v>
      </c>
      <c r="L450" s="15" t="n">
        <f aca="false">K450*(1+IF(L$3&lt;=$O$2,$D450,$D450-($D450-$I$427)*MIN(L$3-$O$2,$Q$2)/$Q$2))</f>
        <v>2089.80240448796</v>
      </c>
      <c r="M450" s="15" t="n">
        <f aca="false">L450*(1+IF(M$3&lt;=$O$2,$D450,$D450-($D450-$I$427)*MIN(M$3-$O$2,$Q$2)/$Q$2))</f>
        <v>2134.72181534887</v>
      </c>
      <c r="N450" s="15" t="n">
        <f aca="false">M450*(1+IF(N$3&lt;=$O$2,$D450,$D450-($D450-$I$427)*MIN(N$3-$O$2,$Q$2)/$Q$2))</f>
        <v>2216.48166087674</v>
      </c>
      <c r="O450" s="15" t="n">
        <f aca="false">SUMPRODUCT(E450:N450,1/(1+$F$427)^$E$3:$N$3)*$E$2</f>
        <v>10607.8318323967</v>
      </c>
      <c r="P450" s="15" t="n">
        <f aca="false">N450*$E$2*(1+$I$427)/($F$427-$I$427)/(1+$F$427)^$N$3</f>
        <v>19142.2014303806</v>
      </c>
      <c r="Q450" s="15" t="n">
        <f aca="false">O450+P450</f>
        <v>29750.0332627773</v>
      </c>
      <c r="R450" s="15" t="n">
        <f aca="false">Q450-$G$2+$I$2</f>
        <v>30520.0332627773</v>
      </c>
      <c r="S450" s="42" t="n">
        <f aca="false">R450/$K$2</f>
        <v>292.253502468422</v>
      </c>
      <c r="T450" s="43" t="n">
        <f aca="false">S450-$M$2</f>
        <v>0.000318517450295985</v>
      </c>
    </row>
    <row r="451" customFormat="false" ht="15" hidden="false" customHeight="false" outlineLevel="0" collapsed="false">
      <c r="A451" s="5" t="n">
        <v>23</v>
      </c>
      <c r="B451" s="25" t="n">
        <f aca="false">IF(T450&gt;0,B450,D450)</f>
        <v>-0.0457274913787842</v>
      </c>
      <c r="C451" s="25" t="n">
        <f aca="false">IF(T450&gt;0,D450,C450)</f>
        <v>-0.0457271337509155</v>
      </c>
      <c r="D451" s="41" t="n">
        <f aca="false">(B451+C451)/2</f>
        <v>-0.0457273125648499</v>
      </c>
      <c r="E451" s="15" t="n">
        <f aca="false">$C$2*(1+IF(E$3&lt;=$O$2,$D451,$D451-($D451-$I$427)*MIN(E$3-$O$2,$Q$2)/$Q$2))</f>
        <v>2614.70716357231</v>
      </c>
      <c r="F451" s="15" t="n">
        <f aca="false">E451*(1+IF(F$3&lt;=$O$2,$D451,$D451-($D451-$I$427)*MIN(F$3-$O$2,$Q$2)/$Q$2))</f>
        <v>2495.14363183809</v>
      </c>
      <c r="G451" s="15" t="n">
        <f aca="false">F451*(1+IF(G$3&lt;=$O$2,$D451,$D451-($D451-$I$427)*MIN(G$3-$O$2,$Q$2)/$Q$2))</f>
        <v>2381.04741909083</v>
      </c>
      <c r="H451" s="15" t="n">
        <f aca="false">G451*(1+IF(H$3&lt;=$O$2,$D451,$D451-($D451-$I$427)*MIN(H$3-$O$2,$Q$2)/$Q$2))</f>
        <v>2272.16851952634</v>
      </c>
      <c r="I451" s="15" t="n">
        <f aca="false">H451*(1+IF(I$3&lt;=$O$2,$D451,$D451-($D451-$I$427)*MIN(I$3-$O$2,$Q$2)/$Q$2))</f>
        <v>2168.26835943395</v>
      </c>
      <c r="J451" s="15" t="n">
        <f aca="false">I451*(1+IF(J$3&lt;=$O$2,$D451,$D451-($D451-$I$427)*MIN(J$3-$O$2,$Q$2)/$Q$2))</f>
        <v>2105.55802707016</v>
      </c>
      <c r="K451" s="15" t="n">
        <f aca="false">J451*(1+IF(K$3&lt;=$O$2,$D451,$D451-($D451-$I$427)*MIN(K$3-$O$2,$Q$2)/$Q$2))</f>
        <v>2080.04627002852</v>
      </c>
      <c r="L451" s="15" t="n">
        <f aca="false">K451*(1+IF(L$3&lt;=$O$2,$D451,$D451-($D451-$I$427)*MIN(L$3-$O$2,$Q$2)/$Q$2))</f>
        <v>2089.79976293819</v>
      </c>
      <c r="M451" s="15" t="n">
        <f aca="false">L451*(1+IF(M$3&lt;=$O$2,$D451,$D451-($D451-$I$427)*MIN(M$3-$O$2,$Q$2)/$Q$2))</f>
        <v>2134.71904228306</v>
      </c>
      <c r="N451" s="15" t="n">
        <f aca="false">M451*(1+IF(N$3&lt;=$O$2,$D451,$D451-($D451-$I$427)*MIN(N$3-$O$2,$Q$2)/$Q$2))</f>
        <v>2216.4787816025</v>
      </c>
      <c r="O451" s="15" t="n">
        <f aca="false">SUMPRODUCT(E451:N451,1/(1+$F$427)^$E$3:$N$3)*$E$2</f>
        <v>10607.8235245225</v>
      </c>
      <c r="P451" s="15" t="n">
        <f aca="false">N451*$E$2*(1+$I$427)/($F$427-$I$427)/(1+$F$427)^$N$3</f>
        <v>19142.1765641034</v>
      </c>
      <c r="Q451" s="15" t="n">
        <f aca="false">O451+P451</f>
        <v>29750.0000886259</v>
      </c>
      <c r="R451" s="15" t="n">
        <f aca="false">Q451-$G$2+$I$2</f>
        <v>30520.0000886259</v>
      </c>
      <c r="S451" s="42" t="n">
        <f aca="false">R451/$K$2</f>
        <v>292.253184799635</v>
      </c>
      <c r="T451" s="43" t="n">
        <f aca="false">S451-$M$2</f>
        <v>8.48663205488265E-007</v>
      </c>
    </row>
    <row r="452" customFormat="false" ht="15" hidden="false" customHeight="false" outlineLevel="0" collapsed="false">
      <c r="A452" s="5" t="n">
        <v>24</v>
      </c>
      <c r="B452" s="25" t="n">
        <f aca="false">IF(T451&gt;0,B451,D451)</f>
        <v>-0.0457274913787842</v>
      </c>
      <c r="C452" s="25" t="n">
        <f aca="false">IF(T451&gt;0,D451,C451)</f>
        <v>-0.0457273125648499</v>
      </c>
      <c r="D452" s="41" t="n">
        <f aca="false">(B452+C452)/2</f>
        <v>-0.045727401971817</v>
      </c>
      <c r="E452" s="15" t="n">
        <f aca="false">$C$2*(1+IF(E$3&lt;=$O$2,$D452,$D452-($D452-$I$427)*MIN(E$3-$O$2,$Q$2)/$Q$2))</f>
        <v>2614.70691859722</v>
      </c>
      <c r="F452" s="15" t="n">
        <f aca="false">E452*(1+IF(F$3&lt;=$O$2,$D452,$D452-($D452-$I$427)*MIN(F$3-$O$2,$Q$2)/$Q$2))</f>
        <v>2495.14316429204</v>
      </c>
      <c r="G452" s="15" t="n">
        <f aca="false">F452*(1+IF(G$3&lt;=$O$2,$D452,$D452-($D452-$I$427)*MIN(G$3-$O$2,$Q$2)/$Q$2))</f>
        <v>2381.04674984122</v>
      </c>
      <c r="H452" s="15" t="n">
        <f aca="false">G452*(1+IF(H$3&lt;=$O$2,$D452,$D452-($D452-$I$427)*MIN(H$3-$O$2,$Q$2)/$Q$2))</f>
        <v>2272.16766799754</v>
      </c>
      <c r="I452" s="15" t="n">
        <f aca="false">H452*(1+IF(I$3&lt;=$O$2,$D452,$D452-($D452-$I$427)*MIN(I$3-$O$2,$Q$2)/$Q$2))</f>
        <v>2168.26734369565</v>
      </c>
      <c r="J452" s="15" t="n">
        <f aca="false">I452*(1+IF(J$3&lt;=$O$2,$D452,$D452-($D452-$I$427)*MIN(J$3-$O$2,$Q$2)/$Q$2))</f>
        <v>2105.55688562234</v>
      </c>
      <c r="K452" s="15" t="n">
        <f aca="false">J452*(1+IF(K$3&lt;=$O$2,$D452,$D452-($D452-$I$427)*MIN(K$3-$O$2,$Q$2)/$Q$2))</f>
        <v>2080.04502946004</v>
      </c>
      <c r="L452" s="15" t="n">
        <f aca="false">K452*(1+IF(L$3&lt;=$O$2,$D452,$D452-($D452-$I$427)*MIN(L$3-$O$2,$Q$2)/$Q$2))</f>
        <v>2089.79844216439</v>
      </c>
      <c r="M452" s="15" t="n">
        <f aca="false">L452*(1+IF(M$3&lt;=$O$2,$D452,$D452-($D452-$I$427)*MIN(M$3-$O$2,$Q$2)/$Q$2))</f>
        <v>2134.71765575133</v>
      </c>
      <c r="N452" s="15" t="n">
        <f aca="false">M452*(1+IF(N$3&lt;=$O$2,$D452,$D452-($D452-$I$427)*MIN(N$3-$O$2,$Q$2)/$Q$2))</f>
        <v>2216.4773419666</v>
      </c>
      <c r="O452" s="15" t="n">
        <f aca="false">SUMPRODUCT(E452:N452,1/(1+$F$427)^$E$3:$N$3)*$E$2</f>
        <v>10607.819370588</v>
      </c>
      <c r="P452" s="15" t="n">
        <f aca="false">N452*$E$2*(1+$I$427)/($F$427-$I$427)/(1+$F$427)^$N$3</f>
        <v>19142.1641309753</v>
      </c>
      <c r="Q452" s="15" t="n">
        <f aca="false">O452+P452</f>
        <v>29749.9835015633</v>
      </c>
      <c r="R452" s="15" t="n">
        <f aca="false">Q452-$G$2+$I$2</f>
        <v>30519.9835015633</v>
      </c>
      <c r="S452" s="42" t="n">
        <f aca="false">R452/$K$2</f>
        <v>292.253025965367</v>
      </c>
      <c r="T452" s="43" t="n">
        <f aca="false">S452-$M$2</f>
        <v>-0.0001579856049716</v>
      </c>
    </row>
    <row r="454" customFormat="false" ht="15" hidden="false" customHeight="false" outlineLevel="0" collapsed="false">
      <c r="A454" s="38" t="s">
        <v>194</v>
      </c>
      <c r="E454" s="5" t="s">
        <v>11</v>
      </c>
      <c r="F454" s="12" t="n">
        <f aca="false">Sensitivity!$B$13</f>
        <v>0.0822772551778937</v>
      </c>
      <c r="G454" s="5" t="s">
        <v>12</v>
      </c>
      <c r="I454" s="12" t="n">
        <f aca="false">Sensitivity!$C$9</f>
        <v>0.0183</v>
      </c>
    </row>
    <row r="455" customFormat="false" ht="23.85" hidden="false" customHeight="false" outlineLevel="0" collapsed="false">
      <c r="A455" s="38" t="s">
        <v>159</v>
      </c>
      <c r="B455" s="28" t="s">
        <v>160</v>
      </c>
      <c r="C455" s="28" t="s">
        <v>161</v>
      </c>
      <c r="D455" s="28" t="s">
        <v>162</v>
      </c>
      <c r="E455" s="28" t="s">
        <v>163</v>
      </c>
      <c r="F455" s="28" t="s">
        <v>164</v>
      </c>
      <c r="G455" s="28" t="s">
        <v>165</v>
      </c>
      <c r="H455" s="28" t="s">
        <v>166</v>
      </c>
      <c r="I455" s="28" t="s">
        <v>167</v>
      </c>
      <c r="J455" s="28" t="s">
        <v>168</v>
      </c>
      <c r="K455" s="28" t="s">
        <v>169</v>
      </c>
      <c r="L455" s="28" t="s">
        <v>170</v>
      </c>
      <c r="M455" s="28" t="s">
        <v>171</v>
      </c>
      <c r="N455" s="28" t="s">
        <v>172</v>
      </c>
      <c r="O455" s="28" t="s">
        <v>173</v>
      </c>
      <c r="P455" s="28" t="s">
        <v>174</v>
      </c>
      <c r="Q455" s="28" t="s">
        <v>175</v>
      </c>
      <c r="R455" s="28" t="s">
        <v>176</v>
      </c>
      <c r="S455" s="28" t="s">
        <v>177</v>
      </c>
      <c r="T455" s="28" t="s">
        <v>178</v>
      </c>
    </row>
    <row r="456" customFormat="false" ht="15" hidden="false" customHeight="false" outlineLevel="0" collapsed="false">
      <c r="A456" s="5" t="n">
        <v>1</v>
      </c>
      <c r="B456" s="24" t="n">
        <v>-0.5</v>
      </c>
      <c r="C456" s="24" t="n">
        <v>1</v>
      </c>
      <c r="D456" s="41" t="n">
        <f aca="false">(B456+C456)/2</f>
        <v>0.25</v>
      </c>
      <c r="E456" s="15" t="n">
        <f aca="false">$C$2*(1+IF(E$3&lt;=$O$2,$D456,$D456-($D456-$I$454)*MIN(E$3-$O$2,$Q$2)/$Q$2))</f>
        <v>3425</v>
      </c>
      <c r="F456" s="15" t="n">
        <f aca="false">E456*(1+IF(F$3&lt;=$O$2,$D456,$D456-($D456-$I$454)*MIN(F$3-$O$2,$Q$2)/$Q$2))</f>
        <v>4281.25</v>
      </c>
      <c r="G456" s="15" t="n">
        <f aca="false">F456*(1+IF(G$3&lt;=$O$2,$D456,$D456-($D456-$I$454)*MIN(G$3-$O$2,$Q$2)/$Q$2))</f>
        <v>5351.5625</v>
      </c>
      <c r="H456" s="15" t="n">
        <f aca="false">G456*(1+IF(H$3&lt;=$O$2,$D456,$D456-($D456-$I$454)*MIN(H$3-$O$2,$Q$2)/$Q$2))</f>
        <v>6689.453125</v>
      </c>
      <c r="I456" s="15" t="n">
        <f aca="false">H456*(1+IF(I$3&lt;=$O$2,$D456,$D456-($D456-$I$454)*MIN(I$3-$O$2,$Q$2)/$Q$2))</f>
        <v>8361.81640625</v>
      </c>
      <c r="J456" s="15" t="n">
        <f aca="false">I456*(1+IF(J$3&lt;=$O$2,$D456,$D456-($D456-$I$454)*MIN(J$3-$O$2,$Q$2)/$Q$2))</f>
        <v>10064.7839355469</v>
      </c>
      <c r="K456" s="15" t="n">
        <f aca="false">J456*(1+IF(K$3&lt;=$O$2,$D456,$D456-($D456-$I$454)*MIN(K$3-$O$2,$Q$2)/$Q$2))</f>
        <v>11648.1757442871</v>
      </c>
      <c r="L456" s="15" t="n">
        <f aca="false">K456*(1+IF(L$3&lt;=$O$2,$D456,$D456-($D456-$I$454)*MIN(L$3-$O$2,$Q$2)/$Q$2))</f>
        <v>12940.8902883881</v>
      </c>
      <c r="M456" s="15" t="n">
        <f aca="false">L456*(1+IF(M$3&lt;=$O$2,$D456,$D456-($D456-$I$454)*MIN(M$3-$O$2,$Q$2)/$Q$2))</f>
        <v>13777.3894366295</v>
      </c>
      <c r="N456" s="15" t="n">
        <f aca="false">M456*(1+IF(N$3&lt;=$O$2,$D456,$D456-($D456-$I$454)*MIN(N$3-$O$2,$Q$2)/$Q$2))</f>
        <v>14029.5156633198</v>
      </c>
      <c r="O456" s="15" t="n">
        <f aca="false">SUMPRODUCT(E456:N456,1/(1+$F$454)^$E$3:$N$3)*$E$2</f>
        <v>37201.0571877315</v>
      </c>
      <c r="P456" s="15" t="n">
        <f aca="false">N456*$E$2*(1+$I$454)/($F$454-$I$454)/(1+$F$454)^$N$3</f>
        <v>69119.1751607966</v>
      </c>
      <c r="Q456" s="15" t="n">
        <f aca="false">O456+P456</f>
        <v>106320.232348528</v>
      </c>
      <c r="R456" s="15" t="n">
        <f aca="false">Q456-$G$2+$I$2</f>
        <v>107090.232348528</v>
      </c>
      <c r="S456" s="42" t="n">
        <f aca="false">R456/$K$2</f>
        <v>1025.47383269681</v>
      </c>
      <c r="T456" s="43" t="n">
        <f aca="false">S456-$M$2</f>
        <v>733.22064874584</v>
      </c>
    </row>
    <row r="457" customFormat="false" ht="15" hidden="false" customHeight="false" outlineLevel="0" collapsed="false">
      <c r="A457" s="5" t="n">
        <v>2</v>
      </c>
      <c r="B457" s="25" t="n">
        <f aca="false">IF(T456&gt;0,B456,D456)</f>
        <v>-0.5</v>
      </c>
      <c r="C457" s="25" t="n">
        <f aca="false">IF(T456&gt;0,D456,C456)</f>
        <v>0.25</v>
      </c>
      <c r="D457" s="41" t="n">
        <f aca="false">(B457+C457)/2</f>
        <v>-0.125</v>
      </c>
      <c r="E457" s="15" t="n">
        <f aca="false">$C$2*(1+IF(E$3&lt;=$O$2,$D457,$D457-($D457-$I$454)*MIN(E$3-$O$2,$Q$2)/$Q$2))</f>
        <v>2397.5</v>
      </c>
      <c r="F457" s="15" t="n">
        <f aca="false">E457*(1+IF(F$3&lt;=$O$2,$D457,$D457-($D457-$I$454)*MIN(F$3-$O$2,$Q$2)/$Q$2))</f>
        <v>2097.8125</v>
      </c>
      <c r="G457" s="15" t="n">
        <f aca="false">F457*(1+IF(G$3&lt;=$O$2,$D457,$D457-($D457-$I$454)*MIN(G$3-$O$2,$Q$2)/$Q$2))</f>
        <v>1835.5859375</v>
      </c>
      <c r="H457" s="15" t="n">
        <f aca="false">G457*(1+IF(H$3&lt;=$O$2,$D457,$D457-($D457-$I$454)*MIN(H$3-$O$2,$Q$2)/$Q$2))</f>
        <v>1606.1376953125</v>
      </c>
      <c r="I457" s="15" t="n">
        <f aca="false">H457*(1+IF(I$3&lt;=$O$2,$D457,$D457-($D457-$I$454)*MIN(I$3-$O$2,$Q$2)/$Q$2))</f>
        <v>1405.37048339844</v>
      </c>
      <c r="J457" s="15" t="n">
        <f aca="false">I457*(1+IF(J$3&lt;=$O$2,$D457,$D457-($D457-$I$454)*MIN(J$3-$O$2,$Q$2)/$Q$2))</f>
        <v>1269.97709102783</v>
      </c>
      <c r="K457" s="15" t="n">
        <f aca="false">J457*(1+IF(K$3&lt;=$O$2,$D457,$D457-($D457-$I$454)*MIN(K$3-$O$2,$Q$2)/$Q$2))</f>
        <v>1184.02504150707</v>
      </c>
      <c r="L457" s="15" t="n">
        <f aca="false">K457*(1+IF(L$3&lt;=$O$2,$D457,$D457-($D457-$I$454)*MIN(L$3-$O$2,$Q$2)/$Q$2))</f>
        <v>1137.82438438746</v>
      </c>
      <c r="M457" s="15" t="n">
        <f aca="false">L457*(1+IF(M$3&lt;=$O$2,$D457,$D457-($D457-$I$454)*MIN(M$3-$O$2,$Q$2)/$Q$2))</f>
        <v>1126.03652376521</v>
      </c>
      <c r="N457" s="15" t="n">
        <f aca="false">M457*(1+IF(N$3&lt;=$O$2,$D457,$D457-($D457-$I$454)*MIN(N$3-$O$2,$Q$2)/$Q$2))</f>
        <v>1146.64299215011</v>
      </c>
      <c r="O457" s="15" t="n">
        <f aca="false">SUMPRODUCT(E457:N457,1/(1+$F$454)^$E$3:$N$3)*$E$2</f>
        <v>7315.87591768901</v>
      </c>
      <c r="P457" s="15" t="n">
        <f aca="false">N457*$E$2*(1+$I$454)/($F$454-$I$454)/(1+$F$454)^$N$3</f>
        <v>5649.1627881735</v>
      </c>
      <c r="Q457" s="15" t="n">
        <f aca="false">O457+P457</f>
        <v>12965.0387058625</v>
      </c>
      <c r="R457" s="15" t="n">
        <f aca="false">Q457-$G$2+$I$2</f>
        <v>13735.0387058625</v>
      </c>
      <c r="S457" s="42" t="n">
        <f aca="false">R457/$K$2</f>
        <v>131.523879209638</v>
      </c>
      <c r="T457" s="43" t="n">
        <f aca="false">S457-$M$2</f>
        <v>-160.729304741334</v>
      </c>
    </row>
    <row r="458" customFormat="false" ht="15" hidden="false" customHeight="false" outlineLevel="0" collapsed="false">
      <c r="A458" s="5" t="n">
        <v>3</v>
      </c>
      <c r="B458" s="25" t="n">
        <f aca="false">IF(T457&gt;0,B457,D457)</f>
        <v>-0.125</v>
      </c>
      <c r="C458" s="25" t="n">
        <f aca="false">IF(T457&gt;0,D457,C457)</f>
        <v>0.25</v>
      </c>
      <c r="D458" s="41" t="n">
        <f aca="false">(B458+C458)/2</f>
        <v>0.0625</v>
      </c>
      <c r="E458" s="15" t="n">
        <f aca="false">$C$2*(1+IF(E$3&lt;=$O$2,$D458,$D458-($D458-$I$454)*MIN(E$3-$O$2,$Q$2)/$Q$2))</f>
        <v>2911.25</v>
      </c>
      <c r="F458" s="15" t="n">
        <f aca="false">E458*(1+IF(F$3&lt;=$O$2,$D458,$D458-($D458-$I$454)*MIN(F$3-$O$2,$Q$2)/$Q$2))</f>
        <v>3093.203125</v>
      </c>
      <c r="G458" s="15" t="n">
        <f aca="false">F458*(1+IF(G$3&lt;=$O$2,$D458,$D458-($D458-$I$454)*MIN(G$3-$O$2,$Q$2)/$Q$2))</f>
        <v>3286.5283203125</v>
      </c>
      <c r="H458" s="15" t="n">
        <f aca="false">G458*(1+IF(H$3&lt;=$O$2,$D458,$D458-($D458-$I$454)*MIN(H$3-$O$2,$Q$2)/$Q$2))</f>
        <v>3491.93634033203</v>
      </c>
      <c r="I458" s="15" t="n">
        <f aca="false">H458*(1+IF(I$3&lt;=$O$2,$D458,$D458-($D458-$I$454)*MIN(I$3-$O$2,$Q$2)/$Q$2))</f>
        <v>3710.18236160278</v>
      </c>
      <c r="J458" s="15" t="n">
        <f aca="false">I458*(1+IF(J$3&lt;=$O$2,$D458,$D458-($D458-$I$454)*MIN(J$3-$O$2,$Q$2)/$Q$2))</f>
        <v>3909.27074712639</v>
      </c>
      <c r="K458" s="15" t="n">
        <f aca="false">J458*(1+IF(K$3&lt;=$O$2,$D458,$D458-($D458-$I$454)*MIN(K$3-$O$2,$Q$2)/$Q$2))</f>
        <v>4084.48426201259</v>
      </c>
      <c r="L458" s="15" t="n">
        <f aca="false">K458*(1+IF(L$3&lt;=$O$2,$D458,$D458-($D458-$I$454)*MIN(L$3-$O$2,$Q$2)/$Q$2))</f>
        <v>4231.44400575981</v>
      </c>
      <c r="M458" s="15" t="n">
        <f aca="false">L458*(1+IF(M$3&lt;=$O$2,$D458,$D458-($D458-$I$454)*MIN(M$3-$O$2,$Q$2)/$Q$2))</f>
        <v>4346.28539607613</v>
      </c>
      <c r="N458" s="15" t="n">
        <f aca="false">M458*(1+IF(N$3&lt;=$O$2,$D458,$D458-($D458-$I$454)*MIN(N$3-$O$2,$Q$2)/$Q$2))</f>
        <v>4425.82241882432</v>
      </c>
      <c r="O458" s="15" t="n">
        <f aca="false">SUMPRODUCT(E458:N458,1/(1+$F$454)^$E$3:$N$3)*$E$2</f>
        <v>16472.7461029486</v>
      </c>
      <c r="P458" s="15" t="n">
        <f aca="false">N458*$E$2*(1+$I$454)/($F$454-$I$454)/(1+$F$454)^$N$3</f>
        <v>21804.6868002078</v>
      </c>
      <c r="Q458" s="15" t="n">
        <f aca="false">O458+P458</f>
        <v>38277.4329031565</v>
      </c>
      <c r="R458" s="15" t="n">
        <f aca="false">Q458-$G$2+$I$2</f>
        <v>39047.4329031565</v>
      </c>
      <c r="S458" s="42" t="n">
        <f aca="false">R458/$K$2</f>
        <v>373.910111109417</v>
      </c>
      <c r="T458" s="43" t="n">
        <f aca="false">S458-$M$2</f>
        <v>81.6569271584455</v>
      </c>
    </row>
    <row r="459" customFormat="false" ht="15" hidden="false" customHeight="false" outlineLevel="0" collapsed="false">
      <c r="A459" s="5" t="n">
        <v>4</v>
      </c>
      <c r="B459" s="25" t="n">
        <f aca="false">IF(T458&gt;0,B458,D458)</f>
        <v>-0.125</v>
      </c>
      <c r="C459" s="25" t="n">
        <f aca="false">IF(T458&gt;0,D458,C458)</f>
        <v>0.0625</v>
      </c>
      <c r="D459" s="41" t="n">
        <f aca="false">(B459+C459)/2</f>
        <v>-0.03125</v>
      </c>
      <c r="E459" s="15" t="n">
        <f aca="false">$C$2*(1+IF(E$3&lt;=$O$2,$D459,$D459-($D459-$I$454)*MIN(E$3-$O$2,$Q$2)/$Q$2))</f>
        <v>2654.375</v>
      </c>
      <c r="F459" s="15" t="n">
        <f aca="false">E459*(1+IF(F$3&lt;=$O$2,$D459,$D459-($D459-$I$454)*MIN(F$3-$O$2,$Q$2)/$Q$2))</f>
        <v>2571.42578125</v>
      </c>
      <c r="G459" s="15" t="n">
        <f aca="false">F459*(1+IF(G$3&lt;=$O$2,$D459,$D459-($D459-$I$454)*MIN(G$3-$O$2,$Q$2)/$Q$2))</f>
        <v>2491.06872558594</v>
      </c>
      <c r="H459" s="15" t="n">
        <f aca="false">G459*(1+IF(H$3&lt;=$O$2,$D459,$D459-($D459-$I$454)*MIN(H$3-$O$2,$Q$2)/$Q$2))</f>
        <v>2413.22282791138</v>
      </c>
      <c r="I459" s="15" t="n">
        <f aca="false">H459*(1+IF(I$3&lt;=$O$2,$D459,$D459-($D459-$I$454)*MIN(I$3-$O$2,$Q$2)/$Q$2))</f>
        <v>2337.80961453915</v>
      </c>
      <c r="J459" s="15" t="n">
        <f aca="false">I459*(1+IF(J$3&lt;=$O$2,$D459,$D459-($D459-$I$454)*MIN(J$3-$O$2,$Q$2)/$Q$2))</f>
        <v>2287.92075736488</v>
      </c>
      <c r="K459" s="15" t="n">
        <f aca="false">J459*(1+IF(K$3&lt;=$O$2,$D459,$D459-($D459-$I$454)*MIN(K$3-$O$2,$Q$2)/$Q$2))</f>
        <v>2261.7698231082</v>
      </c>
      <c r="L459" s="15" t="n">
        <f aca="false">K459*(1+IF(L$3&lt;=$O$2,$D459,$D459-($D459-$I$454)*MIN(L$3-$O$2,$Q$2)/$Q$2))</f>
        <v>2258.33193297708</v>
      </c>
      <c r="M459" s="15" t="n">
        <f aca="false">L459*(1+IF(M$3&lt;=$O$2,$D459,$D459-($D459-$I$454)*MIN(M$3-$O$2,$Q$2)/$Q$2))</f>
        <v>2277.27933789475</v>
      </c>
      <c r="N459" s="15" t="n">
        <f aca="false">M459*(1+IF(N$3&lt;=$O$2,$D459,$D459-($D459-$I$454)*MIN(N$3-$O$2,$Q$2)/$Q$2))</f>
        <v>2318.95354977823</v>
      </c>
      <c r="O459" s="15" t="n">
        <f aca="false">SUMPRODUCT(E459:N459,1/(1+$F$454)^$E$3:$N$3)*$E$2</f>
        <v>10946.7289572037</v>
      </c>
      <c r="P459" s="15" t="n">
        <f aca="false">N459*$E$2*(1+$I$454)/($F$454-$I$454)/(1+$F$454)^$N$3</f>
        <v>11424.7818986321</v>
      </c>
      <c r="Q459" s="15" t="n">
        <f aca="false">O459+P459</f>
        <v>22371.5108558358</v>
      </c>
      <c r="R459" s="15" t="n">
        <f aca="false">Q459-$G$2+$I$2</f>
        <v>23141.5108558358</v>
      </c>
      <c r="S459" s="42" t="n">
        <f aca="false">R459/$K$2</f>
        <v>221.59830370426</v>
      </c>
      <c r="T459" s="43" t="n">
        <f aca="false">S459-$M$2</f>
        <v>-70.6548802467125</v>
      </c>
    </row>
    <row r="460" customFormat="false" ht="15" hidden="false" customHeight="false" outlineLevel="0" collapsed="false">
      <c r="A460" s="5" t="n">
        <v>5</v>
      </c>
      <c r="B460" s="25" t="n">
        <f aca="false">IF(T459&gt;0,B459,D459)</f>
        <v>-0.03125</v>
      </c>
      <c r="C460" s="25" t="n">
        <f aca="false">IF(T459&gt;0,D459,C459)</f>
        <v>0.0625</v>
      </c>
      <c r="D460" s="41" t="n">
        <f aca="false">(B460+C460)/2</f>
        <v>0.015625</v>
      </c>
      <c r="E460" s="15" t="n">
        <f aca="false">$C$2*(1+IF(E$3&lt;=$O$2,$D460,$D460-($D460-$I$454)*MIN(E$3-$O$2,$Q$2)/$Q$2))</f>
        <v>2782.8125</v>
      </c>
      <c r="F460" s="15" t="n">
        <f aca="false">E460*(1+IF(F$3&lt;=$O$2,$D460,$D460-($D460-$I$454)*MIN(F$3-$O$2,$Q$2)/$Q$2))</f>
        <v>2826.2939453125</v>
      </c>
      <c r="G460" s="15" t="n">
        <f aca="false">F460*(1+IF(G$3&lt;=$O$2,$D460,$D460-($D460-$I$454)*MIN(G$3-$O$2,$Q$2)/$Q$2))</f>
        <v>2870.45478820801</v>
      </c>
      <c r="H460" s="15" t="n">
        <f aca="false">G460*(1+IF(H$3&lt;=$O$2,$D460,$D460-($D460-$I$454)*MIN(H$3-$O$2,$Q$2)/$Q$2))</f>
        <v>2915.30564427376</v>
      </c>
      <c r="I460" s="15" t="n">
        <f aca="false">H460*(1+IF(I$3&lt;=$O$2,$D460,$D460-($D460-$I$454)*MIN(I$3-$O$2,$Q$2)/$Q$2))</f>
        <v>2960.85729496554</v>
      </c>
      <c r="J460" s="15" t="n">
        <f aca="false">I460*(1+IF(J$3&lt;=$O$2,$D460,$D460-($D460-$I$454)*MIN(J$3-$O$2,$Q$2)/$Q$2))</f>
        <v>3008.70474885218</v>
      </c>
      <c r="K460" s="15" t="n">
        <f aca="false">J460*(1+IF(K$3&lt;=$O$2,$D460,$D460-($D460-$I$454)*MIN(K$3-$O$2,$Q$2)/$Q$2))</f>
        <v>3058.93507463427</v>
      </c>
      <c r="L460" s="15" t="n">
        <f aca="false">K460*(1+IF(L$3&lt;=$O$2,$D460,$D460-($D460-$I$454)*MIN(L$3-$O$2,$Q$2)/$Q$2))</f>
        <v>3111.64052597021</v>
      </c>
      <c r="M460" s="15" t="n">
        <f aca="false">L460*(1+IF(M$3&lt;=$O$2,$D460,$D460-($D460-$I$454)*MIN(M$3-$O$2,$Q$2)/$Q$2))</f>
        <v>3166.91881991407</v>
      </c>
      <c r="N460" s="15" t="n">
        <f aca="false">M460*(1+IF(N$3&lt;=$O$2,$D460,$D460-($D460-$I$454)*MIN(N$3-$O$2,$Q$2)/$Q$2))</f>
        <v>3224.8734343185</v>
      </c>
      <c r="O460" s="15" t="n">
        <f aca="false">SUMPRODUCT(E460:N460,1/(1+$F$454)^$E$3:$N$3)*$E$2</f>
        <v>13423.3097687466</v>
      </c>
      <c r="P460" s="15" t="n">
        <f aca="false">N460*$E$2*(1+$I$454)/($F$454-$I$454)/(1+$F$454)^$N$3</f>
        <v>15887.974833004</v>
      </c>
      <c r="Q460" s="15" t="n">
        <f aca="false">O460+P460</f>
        <v>29311.2846017506</v>
      </c>
      <c r="R460" s="15" t="n">
        <f aca="false">Q460-$G$2+$I$2</f>
        <v>30081.2846017506</v>
      </c>
      <c r="S460" s="42" t="n">
        <f aca="false">R460/$K$2</f>
        <v>288.052136376047</v>
      </c>
      <c r="T460" s="43" t="n">
        <f aca="false">S460-$M$2</f>
        <v>-4.20104757492516</v>
      </c>
    </row>
    <row r="461" customFormat="false" ht="15" hidden="false" customHeight="false" outlineLevel="0" collapsed="false">
      <c r="A461" s="5" t="n">
        <v>6</v>
      </c>
      <c r="B461" s="25" t="n">
        <f aca="false">IF(T460&gt;0,B460,D460)</f>
        <v>0.015625</v>
      </c>
      <c r="C461" s="25" t="n">
        <f aca="false">IF(T460&gt;0,D460,C460)</f>
        <v>0.0625</v>
      </c>
      <c r="D461" s="41" t="n">
        <f aca="false">(B461+C461)/2</f>
        <v>0.0390625</v>
      </c>
      <c r="E461" s="15" t="n">
        <f aca="false">$C$2*(1+IF(E$3&lt;=$O$2,$D461,$D461-($D461-$I$454)*MIN(E$3-$O$2,$Q$2)/$Q$2))</f>
        <v>2847.03125</v>
      </c>
      <c r="F461" s="15" t="n">
        <f aca="false">E461*(1+IF(F$3&lt;=$O$2,$D461,$D461-($D461-$I$454)*MIN(F$3-$O$2,$Q$2)/$Q$2))</f>
        <v>2958.24340820313</v>
      </c>
      <c r="G461" s="15" t="n">
        <f aca="false">F461*(1+IF(G$3&lt;=$O$2,$D461,$D461-($D461-$I$454)*MIN(G$3-$O$2,$Q$2)/$Q$2))</f>
        <v>3073.79979133606</v>
      </c>
      <c r="H461" s="15" t="n">
        <f aca="false">G461*(1+IF(H$3&lt;=$O$2,$D461,$D461-($D461-$I$454)*MIN(H$3-$O$2,$Q$2)/$Q$2))</f>
        <v>3193.87009568512</v>
      </c>
      <c r="I461" s="15" t="n">
        <f aca="false">H461*(1+IF(I$3&lt;=$O$2,$D461,$D461-($D461-$I$454)*MIN(I$3-$O$2,$Q$2)/$Q$2))</f>
        <v>3318.63064629782</v>
      </c>
      <c r="J461" s="15" t="n">
        <f aca="false">I461*(1+IF(J$3&lt;=$O$2,$D461,$D461-($D461-$I$454)*MIN(J$3-$O$2,$Q$2)/$Q$2))</f>
        <v>3434.48404216008</v>
      </c>
      <c r="K461" s="15" t="n">
        <f aca="false">J461*(1+IF(K$3&lt;=$O$2,$D461,$D461-($D461-$I$454)*MIN(K$3-$O$2,$Q$2)/$Q$2))</f>
        <v>3540.12018508682</v>
      </c>
      <c r="L461" s="15" t="n">
        <f aca="false">K461*(1+IF(L$3&lt;=$O$2,$D461,$D461-($D461-$I$454)*MIN(L$3-$O$2,$Q$2)/$Q$2))</f>
        <v>3634.30508261106</v>
      </c>
      <c r="M461" s="15" t="n">
        <f aca="false">L461*(1+IF(M$3&lt;=$O$2,$D461,$D461-($D461-$I$454)*MIN(M$3-$O$2,$Q$2)/$Q$2))</f>
        <v>3715.90431747838</v>
      </c>
      <c r="N461" s="15" t="n">
        <f aca="false">M461*(1+IF(N$3&lt;=$O$2,$D461,$D461-($D461-$I$454)*MIN(N$3-$O$2,$Q$2)/$Q$2))</f>
        <v>3783.90536648823</v>
      </c>
      <c r="O461" s="15" t="n">
        <f aca="false">SUMPRODUCT(E461:N461,1/(1+$F$454)^$E$3:$N$3)*$E$2</f>
        <v>14869.2480172091</v>
      </c>
      <c r="P461" s="15" t="n">
        <f aca="false">N461*$E$2*(1+$I$454)/($F$454-$I$454)/(1+$F$454)^$N$3</f>
        <v>18642.1558729911</v>
      </c>
      <c r="Q461" s="15" t="n">
        <f aca="false">O461+P461</f>
        <v>33511.4038902002</v>
      </c>
      <c r="R461" s="15" t="n">
        <f aca="false">Q461-$G$2+$I$2</f>
        <v>34281.4038902002</v>
      </c>
      <c r="S461" s="42" t="n">
        <f aca="false">R461/$K$2</f>
        <v>328.271606724123</v>
      </c>
      <c r="T461" s="43" t="n">
        <f aca="false">S461-$M$2</f>
        <v>36.0184227731512</v>
      </c>
    </row>
    <row r="462" customFormat="false" ht="15" hidden="false" customHeight="false" outlineLevel="0" collapsed="false">
      <c r="A462" s="5" t="n">
        <v>7</v>
      </c>
      <c r="B462" s="25" t="n">
        <f aca="false">IF(T461&gt;0,B461,D461)</f>
        <v>0.015625</v>
      </c>
      <c r="C462" s="25" t="n">
        <f aca="false">IF(T461&gt;0,D461,C461)</f>
        <v>0.0390625</v>
      </c>
      <c r="D462" s="41" t="n">
        <f aca="false">(B462+C462)/2</f>
        <v>0.02734375</v>
      </c>
      <c r="E462" s="15" t="n">
        <f aca="false">$C$2*(1+IF(E$3&lt;=$O$2,$D462,$D462-($D462-$I$454)*MIN(E$3-$O$2,$Q$2)/$Q$2))</f>
        <v>2814.921875</v>
      </c>
      <c r="F462" s="15" t="n">
        <f aca="false">E462*(1+IF(F$3&lt;=$O$2,$D462,$D462-($D462-$I$454)*MIN(F$3-$O$2,$Q$2)/$Q$2))</f>
        <v>2891.89239501953</v>
      </c>
      <c r="G462" s="15" t="n">
        <f aca="false">F462*(1+IF(G$3&lt;=$O$2,$D462,$D462-($D462-$I$454)*MIN(G$3-$O$2,$Q$2)/$Q$2))</f>
        <v>2970.96757769585</v>
      </c>
      <c r="H462" s="15" t="n">
        <f aca="false">G462*(1+IF(H$3&lt;=$O$2,$D462,$D462-($D462-$I$454)*MIN(H$3-$O$2,$Q$2)/$Q$2))</f>
        <v>3052.20497239847</v>
      </c>
      <c r="I462" s="15" t="n">
        <f aca="false">H462*(1+IF(I$3&lt;=$O$2,$D462,$D462-($D462-$I$454)*MIN(I$3-$O$2,$Q$2)/$Q$2))</f>
        <v>3135.66370211249</v>
      </c>
      <c r="J462" s="15" t="n">
        <f aca="false">I462*(1+IF(J$3&lt;=$O$2,$D462,$D462-($D462-$I$454)*MIN(J$3-$O$2,$Q$2)/$Q$2))</f>
        <v>3215.73287474593</v>
      </c>
      <c r="K462" s="15" t="n">
        <f aca="false">J462*(1+IF(K$3&lt;=$O$2,$D462,$D462-($D462-$I$454)*MIN(K$3-$O$2,$Q$2)/$Q$2))</f>
        <v>3292.03015686537</v>
      </c>
      <c r="L462" s="15" t="n">
        <f aca="false">K462*(1+IF(L$3&lt;=$O$2,$D462,$D462-($D462-$I$454)*MIN(L$3-$O$2,$Q$2)/$Q$2))</f>
        <v>3364.18322782847</v>
      </c>
      <c r="M462" s="15" t="n">
        <f aca="false">L462*(1+IF(M$3&lt;=$O$2,$D462,$D462-($D462-$I$454)*MIN(M$3-$O$2,$Q$2)/$Q$2))</f>
        <v>3431.83274731106</v>
      </c>
      <c r="N462" s="15" t="n">
        <f aca="false">M462*(1+IF(N$3&lt;=$O$2,$D462,$D462-($D462-$I$454)*MIN(N$3-$O$2,$Q$2)/$Q$2))</f>
        <v>3494.63528658686</v>
      </c>
      <c r="O462" s="15" t="n">
        <f aca="false">SUMPRODUCT(E462:N462,1/(1+$F$454)^$E$3:$N$3)*$E$2</f>
        <v>14127.5284952203</v>
      </c>
      <c r="P462" s="15" t="n">
        <f aca="false">N462*$E$2*(1+$I$454)/($F$454-$I$454)/(1+$F$454)^$N$3</f>
        <v>17217.00978803</v>
      </c>
      <c r="Q462" s="15" t="n">
        <f aca="false">O462+P462</f>
        <v>31344.5382832503</v>
      </c>
      <c r="R462" s="15" t="n">
        <f aca="false">Q462-$G$2+$I$2</f>
        <v>32114.5382832503</v>
      </c>
      <c r="S462" s="42" t="n">
        <f aca="false">R462/$K$2</f>
        <v>307.522151520159</v>
      </c>
      <c r="T462" s="43" t="n">
        <f aca="false">S462-$M$2</f>
        <v>15.2689675691874</v>
      </c>
    </row>
    <row r="463" customFormat="false" ht="15" hidden="false" customHeight="false" outlineLevel="0" collapsed="false">
      <c r="A463" s="5" t="n">
        <v>8</v>
      </c>
      <c r="B463" s="25" t="n">
        <f aca="false">IF(T462&gt;0,B462,D462)</f>
        <v>0.015625</v>
      </c>
      <c r="C463" s="25" t="n">
        <f aca="false">IF(T462&gt;0,D462,C462)</f>
        <v>0.02734375</v>
      </c>
      <c r="D463" s="41" t="n">
        <f aca="false">(B463+C463)/2</f>
        <v>0.021484375</v>
      </c>
      <c r="E463" s="15" t="n">
        <f aca="false">$C$2*(1+IF(E$3&lt;=$O$2,$D463,$D463-($D463-$I$454)*MIN(E$3-$O$2,$Q$2)/$Q$2))</f>
        <v>2798.8671875</v>
      </c>
      <c r="F463" s="15" t="n">
        <f aca="false">E463*(1+IF(F$3&lt;=$O$2,$D463,$D463-($D463-$I$454)*MIN(F$3-$O$2,$Q$2)/$Q$2))</f>
        <v>2858.99909973145</v>
      </c>
      <c r="G463" s="15" t="n">
        <f aca="false">F463*(1+IF(G$3&lt;=$O$2,$D463,$D463-($D463-$I$454)*MIN(G$3-$O$2,$Q$2)/$Q$2))</f>
        <v>2920.42290851474</v>
      </c>
      <c r="H463" s="15" t="n">
        <f aca="false">G463*(1+IF(H$3&lt;=$O$2,$D463,$D463-($D463-$I$454)*MIN(H$3-$O$2,$Q$2)/$Q$2))</f>
        <v>2983.16636943986</v>
      </c>
      <c r="I463" s="15" t="n">
        <f aca="false">H463*(1+IF(I$3&lt;=$O$2,$D463,$D463-($D463-$I$454)*MIN(I$3-$O$2,$Q$2)/$Q$2))</f>
        <v>3047.25783440829</v>
      </c>
      <c r="J463" s="15" t="n">
        <f aca="false">I463*(1+IF(J$3&lt;=$O$2,$D463,$D463-($D463-$I$454)*MIN(J$3-$O$2,$Q$2)/$Q$2))</f>
        <v>3110.78554211112</v>
      </c>
      <c r="K463" s="15" t="n">
        <f aca="false">J463*(1+IF(K$3&lt;=$O$2,$D463,$D463-($D463-$I$454)*MIN(K$3-$O$2,$Q$2)/$Q$2))</f>
        <v>3173.65646215815</v>
      </c>
      <c r="L463" s="15" t="n">
        <f aca="false">K463*(1+IF(L$3&lt;=$O$2,$D463,$D463-($D463-$I$454)*MIN(L$3-$O$2,$Q$2)/$Q$2))</f>
        <v>3235.77682033432</v>
      </c>
      <c r="M463" s="15" t="n">
        <f aca="false">L463*(1+IF(M$3&lt;=$O$2,$D463,$D463-($D463-$I$454)*MIN(M$3-$O$2,$Q$2)/$Q$2))</f>
        <v>3297.05232150889</v>
      </c>
      <c r="N463" s="15" t="n">
        <f aca="false">M463*(1+IF(N$3&lt;=$O$2,$D463,$D463-($D463-$I$454)*MIN(N$3-$O$2,$Q$2)/$Q$2))</f>
        <v>3357.3883789925</v>
      </c>
      <c r="O463" s="15" t="n">
        <f aca="false">SUMPRODUCT(E463:N463,1/(1+$F$454)^$E$3:$N$3)*$E$2</f>
        <v>13770.8452759362</v>
      </c>
      <c r="P463" s="15" t="n">
        <f aca="false">N463*$E$2*(1+$I$454)/($F$454-$I$454)/(1+$F$454)^$N$3</f>
        <v>16540.8358363451</v>
      </c>
      <c r="Q463" s="15" t="n">
        <f aca="false">O463+P463</f>
        <v>30311.6811122813</v>
      </c>
      <c r="R463" s="15" t="n">
        <f aca="false">Q463-$G$2+$I$2</f>
        <v>31081.6811122813</v>
      </c>
      <c r="S463" s="42" t="n">
        <f aca="false">R463/$K$2</f>
        <v>297.631725675393</v>
      </c>
      <c r="T463" s="43" t="n">
        <f aca="false">S463-$M$2</f>
        <v>5.37854172442081</v>
      </c>
    </row>
    <row r="464" customFormat="false" ht="15" hidden="false" customHeight="false" outlineLevel="0" collapsed="false">
      <c r="A464" s="5" t="n">
        <v>9</v>
      </c>
      <c r="B464" s="25" t="n">
        <f aca="false">IF(T463&gt;0,B463,D463)</f>
        <v>0.015625</v>
      </c>
      <c r="C464" s="25" t="n">
        <f aca="false">IF(T463&gt;0,D463,C463)</f>
        <v>0.021484375</v>
      </c>
      <c r="D464" s="41" t="n">
        <f aca="false">(B464+C464)/2</f>
        <v>0.0185546875</v>
      </c>
      <c r="E464" s="15" t="n">
        <f aca="false">$C$2*(1+IF(E$3&lt;=$O$2,$D464,$D464-($D464-$I$454)*MIN(E$3-$O$2,$Q$2)/$Q$2))</f>
        <v>2790.83984375</v>
      </c>
      <c r="F464" s="15" t="n">
        <f aca="false">E464*(1+IF(F$3&lt;=$O$2,$D464,$D464-($D464-$I$454)*MIN(F$3-$O$2,$Q$2)/$Q$2))</f>
        <v>2842.62300491333</v>
      </c>
      <c r="G464" s="15" t="n">
        <f aca="false">F464*(1+IF(G$3&lt;=$O$2,$D464,$D464-($D464-$I$454)*MIN(G$3-$O$2,$Q$2)/$Q$2))</f>
        <v>2895.36698644981</v>
      </c>
      <c r="H464" s="15" t="n">
        <f aca="false">G464*(1+IF(H$3&lt;=$O$2,$D464,$D464-($D464-$I$454)*MIN(H$3-$O$2,$Q$2)/$Q$2))</f>
        <v>2949.0896160812</v>
      </c>
      <c r="I464" s="15" t="n">
        <f aca="false">H464*(1+IF(I$3&lt;=$O$2,$D464,$D464-($D464-$I$454)*MIN(I$3-$O$2,$Q$2)/$Q$2))</f>
        <v>3003.80905231708</v>
      </c>
      <c r="J464" s="15" t="n">
        <f aca="false">I464*(1+IF(J$3&lt;=$O$2,$D464,$D464-($D464-$I$454)*MIN(J$3-$O$2,$Q$2)/$Q$2))</f>
        <v>3059.3907840689</v>
      </c>
      <c r="K464" s="15" t="n">
        <f aca="false">J464*(1+IF(K$3&lt;=$O$2,$D464,$D464-($D464-$I$454)*MIN(K$3-$O$2,$Q$2)/$Q$2))</f>
        <v>3115.84514857155</v>
      </c>
      <c r="L464" s="15" t="n">
        <f aca="false">K464*(1+IF(L$3&lt;=$O$2,$D464,$D464-($D464-$I$454)*MIN(L$3-$O$2,$Q$2)/$Q$2))</f>
        <v>3173.18254151492</v>
      </c>
      <c r="M464" s="15" t="n">
        <f aca="false">L464*(1+IF(M$3&lt;=$O$2,$D464,$D464-($D464-$I$454)*MIN(M$3-$O$2,$Q$2)/$Q$2))</f>
        <v>3231.41341601035</v>
      </c>
      <c r="N464" s="15" t="n">
        <f aca="false">M464*(1+IF(N$3&lt;=$O$2,$D464,$D464-($D464-$I$454)*MIN(N$3-$O$2,$Q$2)/$Q$2))</f>
        <v>3290.54828152334</v>
      </c>
      <c r="O464" s="15" t="n">
        <f aca="false">SUMPRODUCT(E464:N464,1/(1+$F$454)^$E$3:$N$3)*$E$2</f>
        <v>13595.9480127247</v>
      </c>
      <c r="P464" s="15" t="n">
        <f aca="false">N464*$E$2*(1+$I$454)/($F$454-$I$454)/(1+$F$454)^$N$3</f>
        <v>16211.5349170828</v>
      </c>
      <c r="Q464" s="15" t="n">
        <f aca="false">O464+P464</f>
        <v>29807.4829298075</v>
      </c>
      <c r="R464" s="15" t="n">
        <f aca="false">Q464-$G$2+$I$2</f>
        <v>30577.4829298075</v>
      </c>
      <c r="S464" s="42" t="n">
        <f aca="false">R464/$K$2</f>
        <v>292.80362855317</v>
      </c>
      <c r="T464" s="43" t="n">
        <f aca="false">S464-$M$2</f>
        <v>0.550444602197956</v>
      </c>
    </row>
    <row r="465" customFormat="false" ht="15" hidden="false" customHeight="false" outlineLevel="0" collapsed="false">
      <c r="A465" s="5" t="n">
        <v>10</v>
      </c>
      <c r="B465" s="25" t="n">
        <f aca="false">IF(T464&gt;0,B464,D464)</f>
        <v>0.015625</v>
      </c>
      <c r="C465" s="25" t="n">
        <f aca="false">IF(T464&gt;0,D464,C464)</f>
        <v>0.0185546875</v>
      </c>
      <c r="D465" s="41" t="n">
        <f aca="false">(B465+C465)/2</f>
        <v>0.01708984375</v>
      </c>
      <c r="E465" s="15" t="n">
        <f aca="false">$C$2*(1+IF(E$3&lt;=$O$2,$D465,$D465-($D465-$I$454)*MIN(E$3-$O$2,$Q$2)/$Q$2))</f>
        <v>2786.826171875</v>
      </c>
      <c r="F465" s="15" t="n">
        <f aca="false">E465*(1+IF(F$3&lt;=$O$2,$D465,$D465-($D465-$I$454)*MIN(F$3-$O$2,$Q$2)/$Q$2))</f>
        <v>2834.45259571075</v>
      </c>
      <c r="G465" s="15" t="n">
        <f aca="false">F465*(1+IF(G$3&lt;=$O$2,$D465,$D465-($D465-$I$454)*MIN(G$3-$O$2,$Q$2)/$Q$2))</f>
        <v>2882.89294768823</v>
      </c>
      <c r="H465" s="15" t="n">
        <f aca="false">G465*(1+IF(H$3&lt;=$O$2,$D465,$D465-($D465-$I$454)*MIN(H$3-$O$2,$Q$2)/$Q$2))</f>
        <v>2932.1611377122</v>
      </c>
      <c r="I465" s="15" t="n">
        <f aca="false">H465*(1+IF(I$3&lt;=$O$2,$D465,$D465-($D465-$I$454)*MIN(I$3-$O$2,$Q$2)/$Q$2))</f>
        <v>2982.27131340553</v>
      </c>
      <c r="J465" s="15" t="n">
        <f aca="false">I465*(1+IF(J$3&lt;=$O$2,$D465,$D465-($D465-$I$454)*MIN(J$3-$O$2,$Q$2)/$Q$2))</f>
        <v>3033.95966702556</v>
      </c>
      <c r="K465" s="15" t="n">
        <f aca="false">J465*(1+IF(K$3&lt;=$O$2,$D465,$D465-($D465-$I$454)*MIN(K$3-$O$2,$Q$2)/$Q$2))</f>
        <v>3087.27818978014</v>
      </c>
      <c r="L465" s="15" t="n">
        <f aca="false">K465*(1+IF(L$3&lt;=$O$2,$D465,$D465-($D465-$I$454)*MIN(L$3-$O$2,$Q$2)/$Q$2))</f>
        <v>3142.28094505438</v>
      </c>
      <c r="M465" s="15" t="n">
        <f aca="false">L465*(1+IF(M$3&lt;=$O$2,$D465,$D465-($D465-$I$454)*MIN(M$3-$O$2,$Q$2)/$Q$2))</f>
        <v>3199.02415616389</v>
      </c>
      <c r="N465" s="15" t="n">
        <f aca="false">M465*(1+IF(N$3&lt;=$O$2,$D465,$D465-($D465-$I$454)*MIN(N$3-$O$2,$Q$2)/$Q$2))</f>
        <v>3257.56629822169</v>
      </c>
      <c r="O465" s="15" t="n">
        <f aca="false">SUMPRODUCT(E465:N465,1/(1+$F$454)^$E$3:$N$3)*$E$2</f>
        <v>13509.3482413769</v>
      </c>
      <c r="P465" s="15" t="n">
        <f aca="false">N465*$E$2*(1+$I$454)/($F$454-$I$454)/(1+$F$454)^$N$3</f>
        <v>16049.0426731819</v>
      </c>
      <c r="Q465" s="15" t="n">
        <f aca="false">O465+P465</f>
        <v>29558.3909145588</v>
      </c>
      <c r="R465" s="15" t="n">
        <f aca="false">Q465-$G$2+$I$2</f>
        <v>30328.3909145588</v>
      </c>
      <c r="S465" s="42" t="n">
        <f aca="false">R465/$K$2</f>
        <v>290.418375127442</v>
      </c>
      <c r="T465" s="43" t="n">
        <f aca="false">S465-$M$2</f>
        <v>-1.8348088235299</v>
      </c>
    </row>
    <row r="466" customFormat="false" ht="15" hidden="false" customHeight="false" outlineLevel="0" collapsed="false">
      <c r="A466" s="5" t="n">
        <v>11</v>
      </c>
      <c r="B466" s="25" t="n">
        <f aca="false">IF(T465&gt;0,B465,D465)</f>
        <v>0.01708984375</v>
      </c>
      <c r="C466" s="25" t="n">
        <f aca="false">IF(T465&gt;0,D465,C465)</f>
        <v>0.0185546875</v>
      </c>
      <c r="D466" s="41" t="n">
        <f aca="false">(B466+C466)/2</f>
        <v>0.017822265625</v>
      </c>
      <c r="E466" s="15" t="n">
        <f aca="false">$C$2*(1+IF(E$3&lt;=$O$2,$D466,$D466-($D466-$I$454)*MIN(E$3-$O$2,$Q$2)/$Q$2))</f>
        <v>2788.8330078125</v>
      </c>
      <c r="F466" s="15" t="n">
        <f aca="false">E466*(1+IF(F$3&lt;=$O$2,$D466,$D466-($D466-$I$454)*MIN(F$3-$O$2,$Q$2)/$Q$2))</f>
        <v>2838.5363304615</v>
      </c>
      <c r="G466" s="15" t="n">
        <f aca="false">F466*(1+IF(G$3&lt;=$O$2,$D466,$D466-($D466-$I$454)*MIN(G$3-$O$2,$Q$2)/$Q$2))</f>
        <v>2889.1254789292</v>
      </c>
      <c r="H466" s="15" t="n">
        <f aca="false">G466*(1+IF(H$3&lt;=$O$2,$D466,$D466-($D466-$I$454)*MIN(H$3-$O$2,$Q$2)/$Q$2))</f>
        <v>2940.61624063863</v>
      </c>
      <c r="I466" s="15" t="n">
        <f aca="false">H466*(1+IF(I$3&lt;=$O$2,$D466,$D466-($D466-$I$454)*MIN(I$3-$O$2,$Q$2)/$Q$2))</f>
        <v>2993.02468438048</v>
      </c>
      <c r="J466" s="15" t="n">
        <f aca="false">I466*(1+IF(J$3&lt;=$O$2,$D466,$D466-($D466-$I$454)*MIN(J$3-$O$2,$Q$2)/$Q$2))</f>
        <v>3046.65313948308</v>
      </c>
      <c r="K466" s="15" t="n">
        <f aca="false">J466*(1+IF(K$3&lt;=$O$2,$D466,$D466-($D466-$I$454)*MIN(K$3-$O$2,$Q$2)/$Q$2))</f>
        <v>3101.53359737556</v>
      </c>
      <c r="L466" s="15" t="n">
        <f aca="false">K466*(1+IF(L$3&lt;=$O$2,$D466,$D466-($D466-$I$454)*MIN(L$3-$O$2,$Q$2)/$Q$2))</f>
        <v>3157.69897852166</v>
      </c>
      <c r="M466" s="15" t="n">
        <f aca="false">L466*(1+IF(M$3&lt;=$O$2,$D466,$D466-($D466-$I$454)*MIN(M$3-$O$2,$Q$2)/$Q$2))</f>
        <v>3215.18316155902</v>
      </c>
      <c r="N466" s="15" t="n">
        <f aca="false">M466*(1+IF(N$3&lt;=$O$2,$D466,$D466-($D466-$I$454)*MIN(N$3-$O$2,$Q$2)/$Q$2))</f>
        <v>3274.02101341555</v>
      </c>
      <c r="O466" s="15" t="n">
        <f aca="false">SUMPRODUCT(E466:N466,1/(1+$F$454)^$E$3:$N$3)*$E$2</f>
        <v>13552.5777494269</v>
      </c>
      <c r="P466" s="15" t="n">
        <f aca="false">N466*$E$2*(1+$I$454)/($F$454-$I$454)/(1+$F$454)^$N$3</f>
        <v>16130.1100720144</v>
      </c>
      <c r="Q466" s="15" t="n">
        <f aca="false">O466+P466</f>
        <v>29682.6878214413</v>
      </c>
      <c r="R466" s="15" t="n">
        <f aca="false">Q466-$G$2+$I$2</f>
        <v>30452.6878214413</v>
      </c>
      <c r="S466" s="42" t="n">
        <f aca="false">R466/$K$2</f>
        <v>291.608616503316</v>
      </c>
      <c r="T466" s="43" t="n">
        <f aca="false">S466-$M$2</f>
        <v>-0.644567447656016</v>
      </c>
    </row>
    <row r="467" customFormat="false" ht="15" hidden="false" customHeight="false" outlineLevel="0" collapsed="false">
      <c r="A467" s="5" t="n">
        <v>12</v>
      </c>
      <c r="B467" s="25" t="n">
        <f aca="false">IF(T466&gt;0,B466,D466)</f>
        <v>0.017822265625</v>
      </c>
      <c r="C467" s="25" t="n">
        <f aca="false">IF(T466&gt;0,D466,C466)</f>
        <v>0.0185546875</v>
      </c>
      <c r="D467" s="41" t="n">
        <f aca="false">(B467+C467)/2</f>
        <v>0.0181884765625</v>
      </c>
      <c r="E467" s="15" t="n">
        <f aca="false">$C$2*(1+IF(E$3&lt;=$O$2,$D467,$D467-($D467-$I$454)*MIN(E$3-$O$2,$Q$2)/$Q$2))</f>
        <v>2789.83642578125</v>
      </c>
      <c r="F467" s="15" t="n">
        <f aca="false">E467*(1+IF(F$3&lt;=$O$2,$D467,$D467-($D467-$I$454)*MIN(F$3-$O$2,$Q$2)/$Q$2))</f>
        <v>2840.57930022478</v>
      </c>
      <c r="G467" s="15" t="n">
        <f aca="false">F467*(1+IF(G$3&lt;=$O$2,$D467,$D467-($D467-$I$454)*MIN(G$3-$O$2,$Q$2)/$Q$2))</f>
        <v>2892.24511025084</v>
      </c>
      <c r="H467" s="15" t="n">
        <f aca="false">G467*(1+IF(H$3&lt;=$O$2,$D467,$D467-($D467-$I$454)*MIN(H$3-$O$2,$Q$2)/$Q$2))</f>
        <v>2944.85064265164</v>
      </c>
      <c r="I467" s="15" t="n">
        <f aca="false">H467*(1+IF(I$3&lt;=$O$2,$D467,$D467-($D467-$I$454)*MIN(I$3-$O$2,$Q$2)/$Q$2))</f>
        <v>2998.41298954558</v>
      </c>
      <c r="J467" s="15" t="n">
        <f aca="false">I467*(1+IF(J$3&lt;=$O$2,$D467,$D467-($D467-$I$454)*MIN(J$3-$O$2,$Q$2)/$Q$2))</f>
        <v>3053.01643259535</v>
      </c>
      <c r="K467" s="15" t="n">
        <f aca="false">J467*(1+IF(K$3&lt;=$O$2,$D467,$D467-($D467-$I$454)*MIN(K$3-$O$2,$Q$2)/$Q$2))</f>
        <v>3108.68234357946</v>
      </c>
      <c r="L467" s="15" t="n">
        <f aca="false">K467*(1+IF(L$3&lt;=$O$2,$D467,$D467-($D467-$I$454)*MIN(L$3-$O$2,$Q$2)/$Q$2))</f>
        <v>3165.43255409054</v>
      </c>
      <c r="M467" s="15" t="n">
        <f aca="false">L467*(1+IF(M$3&lt;=$O$2,$D467,$D467-($D467-$I$454)*MIN(M$3-$O$2,$Q$2)/$Q$2))</f>
        <v>3223.28936584648</v>
      </c>
      <c r="N467" s="15" t="n">
        <f aca="false">M467*(1+IF(N$3&lt;=$O$2,$D467,$D467-($D467-$I$454)*MIN(N$3-$O$2,$Q$2)/$Q$2))</f>
        <v>3282.27556124147</v>
      </c>
      <c r="O467" s="15" t="n">
        <f aca="false">SUMPRODUCT(E467:N467,1/(1+$F$454)^$E$3:$N$3)*$E$2</f>
        <v>13574.2452596963</v>
      </c>
      <c r="P467" s="15" t="n">
        <f aca="false">N467*$E$2*(1+$I$454)/($F$454-$I$454)/(1+$F$454)^$N$3</f>
        <v>16170.7777294549</v>
      </c>
      <c r="Q467" s="15" t="n">
        <f aca="false">O467+P467</f>
        <v>29745.0229891512</v>
      </c>
      <c r="R467" s="15" t="n">
        <f aca="false">Q467-$G$2+$I$2</f>
        <v>30515.0229891512</v>
      </c>
      <c r="S467" s="42" t="n">
        <f aca="false">R467/$K$2</f>
        <v>292.205525128328</v>
      </c>
      <c r="T467" s="43" t="n">
        <f aca="false">S467-$M$2</f>
        <v>-0.0476588226445074</v>
      </c>
    </row>
    <row r="468" customFormat="false" ht="15" hidden="false" customHeight="false" outlineLevel="0" collapsed="false">
      <c r="A468" s="5" t="n">
        <v>13</v>
      </c>
      <c r="B468" s="25" t="n">
        <f aca="false">IF(T467&gt;0,B467,D467)</f>
        <v>0.0181884765625</v>
      </c>
      <c r="C468" s="25" t="n">
        <f aca="false">IF(T467&gt;0,D467,C467)</f>
        <v>0.0185546875</v>
      </c>
      <c r="D468" s="41" t="n">
        <f aca="false">(B468+C468)/2</f>
        <v>0.01837158203125</v>
      </c>
      <c r="E468" s="15" t="n">
        <f aca="false">$C$2*(1+IF(E$3&lt;=$O$2,$D468,$D468-($D468-$I$454)*MIN(E$3-$O$2,$Q$2)/$Q$2))</f>
        <v>2790.33813476563</v>
      </c>
      <c r="F468" s="15" t="n">
        <f aca="false">E468*(1+IF(F$3&lt;=$O$2,$D468,$D468-($D468-$I$454)*MIN(F$3-$O$2,$Q$2)/$Q$2))</f>
        <v>2841.6010607034</v>
      </c>
      <c r="G468" s="15" t="n">
        <f aca="false">F468*(1+IF(G$3&lt;=$O$2,$D468,$D468-($D468-$I$454)*MIN(G$3-$O$2,$Q$2)/$Q$2))</f>
        <v>2893.8057676902</v>
      </c>
      <c r="H468" s="15" t="n">
        <f aca="false">G468*(1+IF(H$3&lt;=$O$2,$D468,$D468-($D468-$I$454)*MIN(H$3-$O$2,$Q$2)/$Q$2))</f>
        <v>2946.96955773382</v>
      </c>
      <c r="I468" s="15" t="n">
        <f aca="false">H468*(1+IF(I$3&lt;=$O$2,$D468,$D468-($D468-$I$454)*MIN(I$3-$O$2,$Q$2)/$Q$2))</f>
        <v>3001.11005070732</v>
      </c>
      <c r="J468" s="15" t="n">
        <f aca="false">I468*(1+IF(J$3&lt;=$O$2,$D468,$D468-($D468-$I$454)*MIN(J$3-$O$2,$Q$2)/$Q$2))</f>
        <v>3056.20222507802</v>
      </c>
      <c r="K468" s="15" t="n">
        <f aca="false">J468*(1+IF(K$3&lt;=$O$2,$D468,$D468-($D468-$I$454)*MIN(K$3-$O$2,$Q$2)/$Q$2))</f>
        <v>3112.26198729485</v>
      </c>
      <c r="L468" s="15" t="n">
        <f aca="false">K468*(1+IF(L$3&lt;=$O$2,$D468,$D468-($D468-$I$454)*MIN(L$3-$O$2,$Q$2)/$Q$2))</f>
        <v>3169.30549447628</v>
      </c>
      <c r="M468" s="15" t="n">
        <f aca="false">L468*(1+IF(M$3&lt;=$O$2,$D468,$D468-($D468-$I$454)*MIN(M$3-$O$2,$Q$2)/$Q$2))</f>
        <v>3227.34915809019</v>
      </c>
      <c r="N468" s="15" t="n">
        <f aca="false">M468*(1+IF(N$3&lt;=$O$2,$D468,$D468-($D468-$I$454)*MIN(N$3-$O$2,$Q$2)/$Q$2))</f>
        <v>3286.40964768324</v>
      </c>
      <c r="O468" s="15" t="n">
        <f aca="false">SUMPRODUCT(E468:N468,1/(1+$F$454)^$E$3:$N$3)*$E$2</f>
        <v>13585.09222749</v>
      </c>
      <c r="P468" s="15" t="n">
        <f aca="false">N468*$E$2*(1+$I$454)/($F$454-$I$454)/(1+$F$454)^$N$3</f>
        <v>16191.1451214416</v>
      </c>
      <c r="Q468" s="15" t="n">
        <f aca="false">O468+P468</f>
        <v>29776.2373489316</v>
      </c>
      <c r="R468" s="15" t="n">
        <f aca="false">Q468-$G$2+$I$2</f>
        <v>30546.2373489316</v>
      </c>
      <c r="S468" s="42" t="n">
        <f aca="false">R468/$K$2</f>
        <v>292.504427357384</v>
      </c>
      <c r="T468" s="43" t="n">
        <f aca="false">S468-$M$2</f>
        <v>0.251243406412073</v>
      </c>
    </row>
    <row r="469" customFormat="false" ht="15" hidden="false" customHeight="false" outlineLevel="0" collapsed="false">
      <c r="A469" s="5" t="n">
        <v>14</v>
      </c>
      <c r="B469" s="25" t="n">
        <f aca="false">IF(T468&gt;0,B468,D468)</f>
        <v>0.0181884765625</v>
      </c>
      <c r="C469" s="25" t="n">
        <f aca="false">IF(T468&gt;0,D468,C468)</f>
        <v>0.01837158203125</v>
      </c>
      <c r="D469" s="41" t="n">
        <f aca="false">(B469+C469)/2</f>
        <v>0.018280029296875</v>
      </c>
      <c r="E469" s="15" t="n">
        <f aca="false">$C$2*(1+IF(E$3&lt;=$O$2,$D469,$D469-($D469-$I$454)*MIN(E$3-$O$2,$Q$2)/$Q$2))</f>
        <v>2790.08728027344</v>
      </c>
      <c r="F469" s="15" t="n">
        <f aca="false">E469*(1+IF(F$3&lt;=$O$2,$D469,$D469-($D469-$I$454)*MIN(F$3-$O$2,$Q$2)/$Q$2))</f>
        <v>2841.09015749767</v>
      </c>
      <c r="G469" s="15" t="n">
        <f aca="false">F469*(1+IF(G$3&lt;=$O$2,$D469,$D469-($D469-$I$454)*MIN(G$3-$O$2,$Q$2)/$Q$2))</f>
        <v>2893.0253688118</v>
      </c>
      <c r="H469" s="15" t="n">
        <f aca="false">G469*(1+IF(H$3&lt;=$O$2,$D469,$D469-($D469-$I$454)*MIN(H$3-$O$2,$Q$2)/$Q$2))</f>
        <v>2945.90995731028</v>
      </c>
      <c r="I469" s="15" t="n">
        <f aca="false">H469*(1+IF(I$3&lt;=$O$2,$D469,$D469-($D469-$I$454)*MIN(I$3-$O$2,$Q$2)/$Q$2))</f>
        <v>2999.76127763586</v>
      </c>
      <c r="J469" s="15" t="n">
        <f aca="false">I469*(1+IF(J$3&lt;=$O$2,$D469,$D469-($D469-$I$454)*MIN(J$3-$O$2,$Q$2)/$Q$2))</f>
        <v>3054.60898314306</v>
      </c>
      <c r="K469" s="15" t="n">
        <f aca="false">J469*(1+IF(K$3&lt;=$O$2,$D469,$D469-($D469-$I$454)*MIN(K$3-$O$2,$Q$2)/$Q$2))</f>
        <v>3110.47172592108</v>
      </c>
      <c r="L469" s="15" t="n">
        <f aca="false">K469*(1+IF(L$3&lt;=$O$2,$D469,$D469-($D469-$I$454)*MIN(L$3-$O$2,$Q$2)/$Q$2))</f>
        <v>3167.36851118247</v>
      </c>
      <c r="M469" s="15" t="n">
        <f aca="false">L469*(1+IF(M$3&lt;=$O$2,$D469,$D469-($D469-$I$454)*MIN(M$3-$O$2,$Q$2)/$Q$2))</f>
        <v>3225.31870402187</v>
      </c>
      <c r="N469" s="15" t="n">
        <f aca="false">M469*(1+IF(N$3&lt;=$O$2,$D469,$D469-($D469-$I$454)*MIN(N$3-$O$2,$Q$2)/$Q$2))</f>
        <v>3284.34203630547</v>
      </c>
      <c r="O469" s="15" t="n">
        <f aca="false">SUMPRODUCT(E469:N469,1/(1+$F$454)^$E$3:$N$3)*$E$2</f>
        <v>13579.6676418352</v>
      </c>
      <c r="P469" s="15" t="n">
        <f aca="false">N469*$E$2*(1+$I$454)/($F$454-$I$454)/(1+$F$454)^$N$3</f>
        <v>16180.9586263113</v>
      </c>
      <c r="Q469" s="15" t="n">
        <f aca="false">O469+P469</f>
        <v>29760.6262681465</v>
      </c>
      <c r="R469" s="15" t="n">
        <f aca="false">Q469-$G$2+$I$2</f>
        <v>30530.6262681465</v>
      </c>
      <c r="S469" s="42" t="n">
        <f aca="false">R469/$K$2</f>
        <v>292.354938888696</v>
      </c>
      <c r="T469" s="43" t="n">
        <f aca="false">S469-$M$2</f>
        <v>0.101754937723797</v>
      </c>
    </row>
    <row r="470" customFormat="false" ht="15" hidden="false" customHeight="false" outlineLevel="0" collapsed="false">
      <c r="A470" s="5" t="n">
        <v>15</v>
      </c>
      <c r="B470" s="25" t="n">
        <f aca="false">IF(T469&gt;0,B469,D469)</f>
        <v>0.0181884765625</v>
      </c>
      <c r="C470" s="25" t="n">
        <f aca="false">IF(T469&gt;0,D469,C469)</f>
        <v>0.018280029296875</v>
      </c>
      <c r="D470" s="41" t="n">
        <f aca="false">(B470+C470)/2</f>
        <v>0.0182342529296875</v>
      </c>
      <c r="E470" s="15" t="n">
        <f aca="false">$C$2*(1+IF(E$3&lt;=$O$2,$D470,$D470-($D470-$I$454)*MIN(E$3-$O$2,$Q$2)/$Q$2))</f>
        <v>2789.96185302734</v>
      </c>
      <c r="F470" s="15" t="n">
        <f aca="false">E470*(1+IF(F$3&lt;=$O$2,$D470,$D470-($D470-$I$454)*MIN(F$3-$O$2,$Q$2)/$Q$2))</f>
        <v>2840.83472311962</v>
      </c>
      <c r="G470" s="15" t="n">
        <f aca="false">F470*(1+IF(G$3&lt;=$O$2,$D470,$D470-($D470-$I$454)*MIN(G$3-$O$2,$Q$2)/$Q$2))</f>
        <v>2892.63522199243</v>
      </c>
      <c r="H470" s="15" t="n">
        <f aca="false">G470*(1+IF(H$3&lt;=$O$2,$D470,$D470-($D470-$I$454)*MIN(H$3-$O$2,$Q$2)/$Q$2))</f>
        <v>2945.38026426356</v>
      </c>
      <c r="I470" s="15" t="n">
        <f aca="false">H470*(1+IF(I$3&lt;=$O$2,$D470,$D470-($D470-$I$454)*MIN(I$3-$O$2,$Q$2)/$Q$2))</f>
        <v>2999.08707297625</v>
      </c>
      <c r="J470" s="15" t="n">
        <f aca="false">I470*(1+IF(J$3&lt;=$O$2,$D470,$D470-($D470-$I$454)*MIN(J$3-$O$2,$Q$2)/$Q$2))</f>
        <v>3053.81262146079</v>
      </c>
      <c r="K470" s="15" t="n">
        <f aca="false">J470*(1+IF(K$3&lt;=$O$2,$D470,$D470-($D470-$I$454)*MIN(K$3-$O$2,$Q$2)/$Q$2))</f>
        <v>3109.57692489363</v>
      </c>
      <c r="L470" s="15" t="n">
        <f aca="false">K470*(1+IF(L$3&lt;=$O$2,$D470,$D470-($D470-$I$454)*MIN(L$3-$O$2,$Q$2)/$Q$2))</f>
        <v>3166.4004043901</v>
      </c>
      <c r="M470" s="15" t="n">
        <f aca="false">L470*(1+IF(M$3&lt;=$O$2,$D470,$D470-($D470-$I$454)*MIN(M$3-$O$2,$Q$2)/$Q$2))</f>
        <v>3224.30389548043</v>
      </c>
      <c r="N470" s="15" t="n">
        <f aca="false">M470*(1+IF(N$3&lt;=$O$2,$D470,$D470-($D470-$I$454)*MIN(N$3-$O$2,$Q$2)/$Q$2))</f>
        <v>3283.30865676772</v>
      </c>
      <c r="O470" s="15" t="n">
        <f aca="false">SUMPRODUCT(E470:N470,1/(1+$F$454)^$E$3:$N$3)*$E$2</f>
        <v>13576.956175379</v>
      </c>
      <c r="P470" s="15" t="n">
        <f aca="false">N470*$E$2*(1+$I$454)/($F$454-$I$454)/(1+$F$454)^$N$3</f>
        <v>16175.8674782638</v>
      </c>
      <c r="Q470" s="15" t="n">
        <f aca="false">O470+P470</f>
        <v>29752.8236536428</v>
      </c>
      <c r="R470" s="15" t="n">
        <f aca="false">Q470-$G$2+$I$2</f>
        <v>30522.8236536428</v>
      </c>
      <c r="S470" s="42" t="n">
        <f aca="false">R470/$K$2</f>
        <v>292.280222672056</v>
      </c>
      <c r="T470" s="43" t="n">
        <f aca="false">S470-$M$2</f>
        <v>0.027038721084125</v>
      </c>
    </row>
    <row r="471" customFormat="false" ht="15" hidden="false" customHeight="false" outlineLevel="0" collapsed="false">
      <c r="A471" s="5" t="n">
        <v>16</v>
      </c>
      <c r="B471" s="25" t="n">
        <f aca="false">IF(T470&gt;0,B470,D470)</f>
        <v>0.0181884765625</v>
      </c>
      <c r="C471" s="25" t="n">
        <f aca="false">IF(T470&gt;0,D470,C470)</f>
        <v>0.0182342529296875</v>
      </c>
      <c r="D471" s="41" t="n">
        <f aca="false">(B471+C471)/2</f>
        <v>0.0182113647460938</v>
      </c>
      <c r="E471" s="15" t="n">
        <f aca="false">$C$2*(1+IF(E$3&lt;=$O$2,$D471,$D471-($D471-$I$454)*MIN(E$3-$O$2,$Q$2)/$Q$2))</f>
        <v>2789.8991394043</v>
      </c>
      <c r="F471" s="15" t="n">
        <f aca="false">E471*(1+IF(F$3&lt;=$O$2,$D471,$D471-($D471-$I$454)*MIN(F$3-$O$2,$Q$2)/$Q$2))</f>
        <v>2840.7070102368</v>
      </c>
      <c r="G471" s="15" t="n">
        <f aca="false">F471*(1+IF(G$3&lt;=$O$2,$D471,$D471-($D471-$I$454)*MIN(G$3-$O$2,$Q$2)/$Q$2))</f>
        <v>2892.44016173701</v>
      </c>
      <c r="H471" s="15" t="n">
        <f aca="false">G471*(1+IF(H$3&lt;=$O$2,$D471,$D471-($D471-$I$454)*MIN(H$3-$O$2,$Q$2)/$Q$2))</f>
        <v>2945.11544452865</v>
      </c>
      <c r="I471" s="15" t="n">
        <f aca="false">H471*(1+IF(I$3&lt;=$O$2,$D471,$D471-($D471-$I$454)*MIN(I$3-$O$2,$Q$2)/$Q$2))</f>
        <v>2998.75001610832</v>
      </c>
      <c r="J471" s="15" t="n">
        <f aca="false">I471*(1+IF(J$3&lt;=$O$2,$D471,$D471-($D471-$I$454)*MIN(J$3-$O$2,$Q$2)/$Q$2))</f>
        <v>3053.41450542784</v>
      </c>
      <c r="K471" s="15" t="n">
        <f aca="false">J471*(1+IF(K$3&lt;=$O$2,$D471,$D471-($D471-$I$454)*MIN(K$3-$O$2,$Q$2)/$Q$2))</f>
        <v>3109.12960677518</v>
      </c>
      <c r="L471" s="15" t="n">
        <f aca="false">K471*(1+IF(L$3&lt;=$O$2,$D471,$D471-($D471-$I$454)*MIN(L$3-$O$2,$Q$2)/$Q$2))</f>
        <v>3165.91644718232</v>
      </c>
      <c r="M471" s="15" t="n">
        <f aca="false">L471*(1+IF(M$3&lt;=$O$2,$D471,$D471-($D471-$I$454)*MIN(M$3-$O$2,$Q$2)/$Q$2))</f>
        <v>3223.79659580413</v>
      </c>
      <c r="N471" s="15" t="n">
        <f aca="false">M471*(1+IF(N$3&lt;=$O$2,$D471,$D471-($D471-$I$454)*MIN(N$3-$O$2,$Q$2)/$Q$2))</f>
        <v>3282.79207350734</v>
      </c>
      <c r="O471" s="15" t="n">
        <f aca="false">SUMPRODUCT(E471:N471,1/(1+$F$454)^$E$3:$N$3)*$E$2</f>
        <v>13575.6006486976</v>
      </c>
      <c r="P471" s="15" t="n">
        <f aca="false">N471*$E$2*(1+$I$454)/($F$454-$I$454)/(1+$F$454)^$N$3</f>
        <v>16173.3224289752</v>
      </c>
      <c r="Q471" s="15" t="n">
        <f aca="false">O471+P471</f>
        <v>29748.9230776727</v>
      </c>
      <c r="R471" s="15" t="n">
        <f aca="false">Q471-$G$2+$I$2</f>
        <v>30518.9230776727</v>
      </c>
      <c r="S471" s="42" t="n">
        <f aca="false">R471/$K$2</f>
        <v>292.242871566338</v>
      </c>
      <c r="T471" s="43" t="n">
        <f aca="false">S471-$M$2</f>
        <v>-0.0103123846336075</v>
      </c>
    </row>
    <row r="472" customFormat="false" ht="15" hidden="false" customHeight="false" outlineLevel="0" collapsed="false">
      <c r="A472" s="5" t="n">
        <v>17</v>
      </c>
      <c r="B472" s="25" t="n">
        <f aca="false">IF(T471&gt;0,B471,D471)</f>
        <v>0.0182113647460938</v>
      </c>
      <c r="C472" s="25" t="n">
        <f aca="false">IF(T471&gt;0,D471,C471)</f>
        <v>0.0182342529296875</v>
      </c>
      <c r="D472" s="41" t="n">
        <f aca="false">(B472+C472)/2</f>
        <v>0.0182228088378906</v>
      </c>
      <c r="E472" s="15" t="n">
        <f aca="false">$C$2*(1+IF(E$3&lt;=$O$2,$D472,$D472-($D472-$I$454)*MIN(E$3-$O$2,$Q$2)/$Q$2))</f>
        <v>2789.93049621582</v>
      </c>
      <c r="F472" s="15" t="n">
        <f aca="false">E472*(1+IF(F$3&lt;=$O$2,$D472,$D472-($D472-$I$454)*MIN(F$3-$O$2,$Q$2)/$Q$2))</f>
        <v>2840.77086631936</v>
      </c>
      <c r="G472" s="15" t="n">
        <f aca="false">F472*(1+IF(G$3&lt;=$O$2,$D472,$D472-($D472-$I$454)*MIN(G$3-$O$2,$Q$2)/$Q$2))</f>
        <v>2892.53769076855</v>
      </c>
      <c r="H472" s="15" t="n">
        <f aca="false">G472*(1+IF(H$3&lt;=$O$2,$D472,$D472-($D472-$I$454)*MIN(H$3-$O$2,$Q$2)/$Q$2))</f>
        <v>2945.24785216382</v>
      </c>
      <c r="I472" s="15" t="n">
        <f aca="false">H472*(1+IF(I$3&lt;=$O$2,$D472,$D472-($D472-$I$454)*MIN(I$3-$O$2,$Q$2)/$Q$2))</f>
        <v>2998.91854075401</v>
      </c>
      <c r="J472" s="15" t="n">
        <f aca="false">I472*(1+IF(J$3&lt;=$O$2,$D472,$D472-($D472-$I$454)*MIN(J$3-$O$2,$Q$2)/$Q$2))</f>
        <v>3053.61355804402</v>
      </c>
      <c r="K472" s="15" t="n">
        <f aca="false">J472*(1+IF(K$3&lt;=$O$2,$D472,$D472-($D472-$I$454)*MIN(K$3-$O$2,$Q$2)/$Q$2))</f>
        <v>3109.35325896872</v>
      </c>
      <c r="L472" s="15" t="n">
        <f aca="false">K472*(1+IF(L$3&lt;=$O$2,$D472,$D472-($D472-$I$454)*MIN(L$3-$O$2,$Q$2)/$Q$2))</f>
        <v>3166.15841777126</v>
      </c>
      <c r="M472" s="15" t="n">
        <f aca="false">L472*(1+IF(M$3&lt;=$O$2,$D472,$D472-($D472-$I$454)*MIN(M$3-$O$2,$Q$2)/$Q$2))</f>
        <v>3224.05023692693</v>
      </c>
      <c r="N472" s="15" t="n">
        <f aca="false">M472*(1+IF(N$3&lt;=$O$2,$D472,$D472-($D472-$I$454)*MIN(N$3-$O$2,$Q$2)/$Q$2))</f>
        <v>3283.0503562627</v>
      </c>
      <c r="O472" s="15" t="n">
        <f aca="false">SUMPRODUCT(E472:N472,1/(1+$F$454)^$E$3:$N$3)*$E$2</f>
        <v>13576.2783948274</v>
      </c>
      <c r="P472" s="15" t="n">
        <f aca="false">N472*$E$2*(1+$I$454)/($F$454-$I$454)/(1+$F$454)^$N$3</f>
        <v>16174.5949098959</v>
      </c>
      <c r="Q472" s="15" t="n">
        <f aca="false">O472+P472</f>
        <v>29750.8733047233</v>
      </c>
      <c r="R472" s="15" t="n">
        <f aca="false">Q472-$G$2+$I$2</f>
        <v>30520.8733047233</v>
      </c>
      <c r="S472" s="42" t="n">
        <f aca="false">R472/$K$2</f>
        <v>292.261546535701</v>
      </c>
      <c r="T472" s="43" t="n">
        <f aca="false">S472-$M$2</f>
        <v>0.00836258472929785</v>
      </c>
    </row>
    <row r="473" customFormat="false" ht="15" hidden="false" customHeight="false" outlineLevel="0" collapsed="false">
      <c r="A473" s="5" t="n">
        <v>18</v>
      </c>
      <c r="B473" s="25" t="n">
        <f aca="false">IF(T472&gt;0,B472,D472)</f>
        <v>0.0182113647460938</v>
      </c>
      <c r="C473" s="25" t="n">
        <f aca="false">IF(T472&gt;0,D472,C472)</f>
        <v>0.0182228088378906</v>
      </c>
      <c r="D473" s="41" t="n">
        <f aca="false">(B473+C473)/2</f>
        <v>0.0182170867919922</v>
      </c>
      <c r="E473" s="15" t="n">
        <f aca="false">$C$2*(1+IF(E$3&lt;=$O$2,$D473,$D473-($D473-$I$454)*MIN(E$3-$O$2,$Q$2)/$Q$2))</f>
        <v>2789.91481781006</v>
      </c>
      <c r="F473" s="15" t="n">
        <f aca="false">E473*(1+IF(F$3&lt;=$O$2,$D473,$D473-($D473-$I$454)*MIN(F$3-$O$2,$Q$2)/$Q$2))</f>
        <v>2840.73893818837</v>
      </c>
      <c r="G473" s="15" t="n">
        <f aca="false">F473*(1+IF(G$3&lt;=$O$2,$D473,$D473-($D473-$I$454)*MIN(G$3-$O$2,$Q$2)/$Q$2))</f>
        <v>2892.48892597874</v>
      </c>
      <c r="H473" s="15" t="n">
        <f aca="false">G473*(1+IF(H$3&lt;=$O$2,$D473,$D473-($D473-$I$454)*MIN(H$3-$O$2,$Q$2)/$Q$2))</f>
        <v>2945.18164778817</v>
      </c>
      <c r="I473" s="15" t="n">
        <f aca="false">H473*(1+IF(I$3&lt;=$O$2,$D473,$D473-($D473-$I$454)*MIN(I$3-$O$2,$Q$2)/$Q$2))</f>
        <v>2998.83427748411</v>
      </c>
      <c r="J473" s="15" t="n">
        <f aca="false">I473*(1+IF(J$3&lt;=$O$2,$D473,$D473-($D473-$I$454)*MIN(J$3-$O$2,$Q$2)/$Q$2))</f>
        <v>3053.51403038589</v>
      </c>
      <c r="K473" s="15" t="n">
        <f aca="false">J473*(1+IF(K$3&lt;=$O$2,$D473,$D473-($D473-$I$454)*MIN(K$3-$O$2,$Q$2)/$Q$2))</f>
        <v>3109.24143115557</v>
      </c>
      <c r="L473" s="15" t="n">
        <f aca="false">K473*(1+IF(L$3&lt;=$O$2,$D473,$D473-($D473-$I$454)*MIN(L$3-$O$2,$Q$2)/$Q$2))</f>
        <v>3166.03743047311</v>
      </c>
      <c r="M473" s="15" t="n">
        <f aca="false">L473*(1+IF(M$3&lt;=$O$2,$D473,$D473-($D473-$I$454)*MIN(M$3-$O$2,$Q$2)/$Q$2))</f>
        <v>3223.92341418676</v>
      </c>
      <c r="N473" s="15" t="n">
        <f aca="false">M473*(1+IF(N$3&lt;=$O$2,$D473,$D473-($D473-$I$454)*MIN(N$3-$O$2,$Q$2)/$Q$2))</f>
        <v>3282.92121266638</v>
      </c>
      <c r="O473" s="15" t="n">
        <f aca="false">SUMPRODUCT(E473:N473,1/(1+$F$454)^$E$3:$N$3)*$E$2</f>
        <v>13575.9395174599</v>
      </c>
      <c r="P473" s="15" t="n">
        <f aca="false">N473*$E$2*(1+$I$454)/($F$454-$I$454)/(1+$F$454)^$N$3</f>
        <v>16173.9586585049</v>
      </c>
      <c r="Q473" s="15" t="n">
        <f aca="false">O473+P473</f>
        <v>29749.8981759648</v>
      </c>
      <c r="R473" s="15" t="n">
        <f aca="false">Q473-$G$2+$I$2</f>
        <v>30519.8981759648</v>
      </c>
      <c r="S473" s="42" t="n">
        <f aca="false">R473/$K$2</f>
        <v>292.25220890515</v>
      </c>
      <c r="T473" s="43" t="n">
        <f aca="false">S473-$M$2</f>
        <v>-0.000975045821974163</v>
      </c>
    </row>
    <row r="474" customFormat="false" ht="15" hidden="false" customHeight="false" outlineLevel="0" collapsed="false">
      <c r="A474" s="5" t="n">
        <v>19</v>
      </c>
      <c r="B474" s="25" t="n">
        <f aca="false">IF(T473&gt;0,B473,D473)</f>
        <v>0.0182170867919922</v>
      </c>
      <c r="C474" s="25" t="n">
        <f aca="false">IF(T473&gt;0,D473,C473)</f>
        <v>0.0182228088378906</v>
      </c>
      <c r="D474" s="41" t="n">
        <f aca="false">(B474+C474)/2</f>
        <v>0.0182199478149414</v>
      </c>
      <c r="E474" s="15" t="n">
        <f aca="false">$C$2*(1+IF(E$3&lt;=$O$2,$D474,$D474-($D474-$I$454)*MIN(E$3-$O$2,$Q$2)/$Q$2))</f>
        <v>2789.92265701294</v>
      </c>
      <c r="F474" s="15" t="n">
        <f aca="false">E474*(1+IF(F$3&lt;=$O$2,$D474,$D474-($D474-$I$454)*MIN(F$3-$O$2,$Q$2)/$Q$2))</f>
        <v>2840.75490223144</v>
      </c>
      <c r="G474" s="15" t="n">
        <f aca="false">F474*(1+IF(G$3&lt;=$O$2,$D474,$D474-($D474-$I$454)*MIN(G$3-$O$2,$Q$2)/$Q$2))</f>
        <v>2892.51330830513</v>
      </c>
      <c r="H474" s="15" t="n">
        <f aca="false">G474*(1+IF(H$3&lt;=$O$2,$D474,$D474-($D474-$I$454)*MIN(H$3-$O$2,$Q$2)/$Q$2))</f>
        <v>2945.21474983648</v>
      </c>
      <c r="I474" s="15" t="n">
        <f aca="false">H474*(1+IF(I$3&lt;=$O$2,$D474,$D474-($D474-$I$454)*MIN(I$3-$O$2,$Q$2)/$Q$2))</f>
        <v>2998.87640888229</v>
      </c>
      <c r="J474" s="15" t="n">
        <f aca="false">I474*(1+IF(J$3&lt;=$O$2,$D474,$D474-($D474-$I$454)*MIN(J$3-$O$2,$Q$2)/$Q$2))</f>
        <v>3053.56379387744</v>
      </c>
      <c r="K474" s="15" t="n">
        <f aca="false">J474*(1+IF(K$3&lt;=$O$2,$D474,$D474-($D474-$I$454)*MIN(K$3-$O$2,$Q$2)/$Q$2))</f>
        <v>3109.29734463304</v>
      </c>
      <c r="L474" s="15" t="n">
        <f aca="false">K474*(1+IF(L$3&lt;=$O$2,$D474,$D474-($D474-$I$454)*MIN(L$3-$O$2,$Q$2)/$Q$2))</f>
        <v>3166.09792362126</v>
      </c>
      <c r="M474" s="15" t="n">
        <f aca="false">L474*(1+IF(M$3&lt;=$O$2,$D474,$D474-($D474-$I$454)*MIN(M$3-$O$2,$Q$2)/$Q$2))</f>
        <v>3223.98682501215</v>
      </c>
      <c r="N474" s="15" t="n">
        <f aca="false">M474*(1+IF(N$3&lt;=$O$2,$D474,$D474-($D474-$I$454)*MIN(N$3-$O$2,$Q$2)/$Q$2))</f>
        <v>3282.98578390987</v>
      </c>
      <c r="O474" s="15" t="n">
        <f aca="false">SUMPRODUCT(E474:N474,1/(1+$F$454)^$E$3:$N$3)*$E$2</f>
        <v>13576.108955068</v>
      </c>
      <c r="P474" s="15" t="n">
        <f aca="false">N474*$E$2*(1+$I$454)/($F$454-$I$454)/(1+$F$454)^$N$3</f>
        <v>16174.2767814677</v>
      </c>
      <c r="Q474" s="15" t="n">
        <f aca="false">O474+P474</f>
        <v>29750.3857365357</v>
      </c>
      <c r="R474" s="15" t="n">
        <f aca="false">Q474-$G$2+$I$2</f>
        <v>30520.3857365357</v>
      </c>
      <c r="S474" s="42" t="n">
        <f aca="false">R474/$K$2</f>
        <v>292.256877683958</v>
      </c>
      <c r="T474" s="43" t="n">
        <f aca="false">S474-$M$2</f>
        <v>0.00369373298565279</v>
      </c>
    </row>
    <row r="475" customFormat="false" ht="15" hidden="false" customHeight="false" outlineLevel="0" collapsed="false">
      <c r="A475" s="5" t="n">
        <v>20</v>
      </c>
      <c r="B475" s="25" t="n">
        <f aca="false">IF(T474&gt;0,B474,D474)</f>
        <v>0.0182170867919922</v>
      </c>
      <c r="C475" s="25" t="n">
        <f aca="false">IF(T474&gt;0,D474,C474)</f>
        <v>0.0182199478149414</v>
      </c>
      <c r="D475" s="41" t="n">
        <f aca="false">(B475+C475)/2</f>
        <v>0.0182185173034668</v>
      </c>
      <c r="E475" s="15" t="n">
        <f aca="false">$C$2*(1+IF(E$3&lt;=$O$2,$D475,$D475-($D475-$I$454)*MIN(E$3-$O$2,$Q$2)/$Q$2))</f>
        <v>2789.9187374115</v>
      </c>
      <c r="F475" s="15" t="n">
        <f aca="false">E475*(1+IF(F$3&lt;=$O$2,$D475,$D475-($D475-$I$454)*MIN(F$3-$O$2,$Q$2)/$Q$2))</f>
        <v>2840.7469202043</v>
      </c>
      <c r="G475" s="15" t="n">
        <f aca="false">F475*(1+IF(G$3&lt;=$O$2,$D475,$D475-($D475-$I$454)*MIN(G$3-$O$2,$Q$2)/$Q$2))</f>
        <v>2892.50111712481</v>
      </c>
      <c r="H475" s="15" t="n">
        <f aca="false">G475*(1+IF(H$3&lt;=$O$2,$D475,$D475-($D475-$I$454)*MIN(H$3-$O$2,$Q$2)/$Q$2))</f>
        <v>2945.19819877744</v>
      </c>
      <c r="I475" s="15" t="n">
        <f aca="false">H475*(1+IF(I$3&lt;=$O$2,$D475,$D475-($D475-$I$454)*MIN(I$3-$O$2,$Q$2)/$Q$2))</f>
        <v>2998.85534312401</v>
      </c>
      <c r="J475" s="15" t="n">
        <f aca="false">I475*(1+IF(J$3&lt;=$O$2,$D475,$D475-($D475-$I$454)*MIN(J$3-$O$2,$Q$2)/$Q$2))</f>
        <v>3053.53891204728</v>
      </c>
      <c r="K475" s="15" t="n">
        <f aca="false">J475*(1+IF(K$3&lt;=$O$2,$D475,$D475-($D475-$I$454)*MIN(K$3-$O$2,$Q$2)/$Q$2))</f>
        <v>3109.26938778704</v>
      </c>
      <c r="L475" s="15" t="n">
        <f aca="false">K475*(1+IF(L$3&lt;=$O$2,$D475,$D475-($D475-$I$454)*MIN(L$3-$O$2,$Q$2)/$Q$2))</f>
        <v>3166.06767692195</v>
      </c>
      <c r="M475" s="15" t="n">
        <f aca="false">L475*(1+IF(M$3&lt;=$O$2,$D475,$D475-($D475-$I$454)*MIN(M$3-$O$2,$Q$2)/$Q$2))</f>
        <v>3223.95511946328</v>
      </c>
      <c r="N475" s="15" t="n">
        <f aca="false">M475*(1+IF(N$3&lt;=$O$2,$D475,$D475-($D475-$I$454)*MIN(N$3-$O$2,$Q$2)/$Q$2))</f>
        <v>3282.95349814946</v>
      </c>
      <c r="O475" s="15" t="n">
        <f aca="false">SUMPRODUCT(E475:N475,1/(1+$F$454)^$E$3:$N$3)*$E$2</f>
        <v>13576.024235995</v>
      </c>
      <c r="P475" s="15" t="n">
        <f aca="false">N475*$E$2*(1+$I$454)/($F$454-$I$454)/(1+$F$454)^$N$3</f>
        <v>16174.1177193032</v>
      </c>
      <c r="Q475" s="15" t="n">
        <f aca="false">O475+P475</f>
        <v>29750.1419552982</v>
      </c>
      <c r="R475" s="15" t="n">
        <f aca="false">Q475-$G$2+$I$2</f>
        <v>30520.1419552982</v>
      </c>
      <c r="S475" s="42" t="n">
        <f aca="false">R475/$K$2</f>
        <v>292.254543285437</v>
      </c>
      <c r="T475" s="43" t="n">
        <f aca="false">S475-$M$2</f>
        <v>0.00135933446483705</v>
      </c>
    </row>
    <row r="476" customFormat="false" ht="15" hidden="false" customHeight="false" outlineLevel="0" collapsed="false">
      <c r="A476" s="5" t="n">
        <v>21</v>
      </c>
      <c r="B476" s="25" t="n">
        <f aca="false">IF(T475&gt;0,B475,D475)</f>
        <v>0.0182170867919922</v>
      </c>
      <c r="C476" s="25" t="n">
        <f aca="false">IF(T475&gt;0,D475,C475)</f>
        <v>0.0182185173034668</v>
      </c>
      <c r="D476" s="41" t="n">
        <f aca="false">(B476+C476)/2</f>
        <v>0.0182178020477295</v>
      </c>
      <c r="E476" s="15" t="n">
        <f aca="false">$C$2*(1+IF(E$3&lt;=$O$2,$D476,$D476-($D476-$I$454)*MIN(E$3-$O$2,$Q$2)/$Q$2))</f>
        <v>2789.91677761078</v>
      </c>
      <c r="F476" s="15" t="n">
        <f aca="false">E476*(1+IF(F$3&lt;=$O$2,$D476,$D476-($D476-$I$454)*MIN(F$3-$O$2,$Q$2)/$Q$2))</f>
        <v>2840.74292919493</v>
      </c>
      <c r="G476" s="15" t="n">
        <f aca="false">F476*(1+IF(G$3&lt;=$O$2,$D476,$D476-($D476-$I$454)*MIN(G$3-$O$2,$Q$2)/$Q$2))</f>
        <v>2892.49502154749</v>
      </c>
      <c r="H476" s="15" t="n">
        <f aca="false">G476*(1+IF(H$3&lt;=$O$2,$D476,$D476-($D476-$I$454)*MIN(H$3-$O$2,$Q$2)/$Q$2))</f>
        <v>2945.18992327409</v>
      </c>
      <c r="I476" s="15" t="n">
        <f aca="false">H476*(1+IF(I$3&lt;=$O$2,$D476,$D476-($D476-$I$454)*MIN(I$3-$O$2,$Q$2)/$Q$2))</f>
        <v>2998.84481028926</v>
      </c>
      <c r="J476" s="15" t="n">
        <f aca="false">I476*(1+IF(J$3&lt;=$O$2,$D476,$D476-($D476-$I$454)*MIN(J$3-$O$2,$Q$2)/$Q$2))</f>
        <v>3053.52647119549</v>
      </c>
      <c r="K476" s="15" t="n">
        <f aca="false">J476*(1+IF(K$3&lt;=$O$2,$D476,$D476-($D476-$I$454)*MIN(K$3-$O$2,$Q$2)/$Q$2))</f>
        <v>3109.25540944448</v>
      </c>
      <c r="L476" s="15" t="n">
        <f aca="false">K476*(1+IF(L$3&lt;=$O$2,$D476,$D476-($D476-$I$454)*MIN(L$3-$O$2,$Q$2)/$Q$2))</f>
        <v>3166.05255366622</v>
      </c>
      <c r="M476" s="15" t="n">
        <f aca="false">L476*(1+IF(M$3&lt;=$O$2,$D476,$D476-($D476-$I$454)*MIN(M$3-$O$2,$Q$2)/$Q$2))</f>
        <v>3223.93926679097</v>
      </c>
      <c r="N476" s="15" t="n">
        <f aca="false">M476*(1+IF(N$3&lt;=$O$2,$D476,$D476-($D476-$I$454)*MIN(N$3-$O$2,$Q$2)/$Q$2))</f>
        <v>3282.93735537325</v>
      </c>
      <c r="O476" s="15" t="n">
        <f aca="false">SUMPRODUCT(E476:N476,1/(1+$F$454)^$E$3:$N$3)*$E$2</f>
        <v>13575.9818766602</v>
      </c>
      <c r="P476" s="15" t="n">
        <f aca="false">N476*$E$2*(1+$I$454)/($F$454-$I$454)/(1+$F$454)^$N$3</f>
        <v>16174.0381887333</v>
      </c>
      <c r="Q476" s="15" t="n">
        <f aca="false">O476+P476</f>
        <v>29750.0200653935</v>
      </c>
      <c r="R476" s="15" t="n">
        <f aca="false">Q476-$G$2+$I$2</f>
        <v>30520.0200653935</v>
      </c>
      <c r="S476" s="42" t="n">
        <f aca="false">R476/$K$2</f>
        <v>292.253376093014</v>
      </c>
      <c r="T476" s="43" t="n">
        <f aca="false">S476-$M$2</f>
        <v>0.000192142042124033</v>
      </c>
    </row>
    <row r="477" customFormat="false" ht="15" hidden="false" customHeight="false" outlineLevel="0" collapsed="false">
      <c r="A477" s="5" t="n">
        <v>22</v>
      </c>
      <c r="B477" s="25" t="n">
        <f aca="false">IF(T476&gt;0,B476,D476)</f>
        <v>0.0182170867919922</v>
      </c>
      <c r="C477" s="25" t="n">
        <f aca="false">IF(T476&gt;0,D476,C476)</f>
        <v>0.0182178020477295</v>
      </c>
      <c r="D477" s="41" t="n">
        <f aca="false">(B477+C477)/2</f>
        <v>0.0182174444198608</v>
      </c>
      <c r="E477" s="15" t="n">
        <f aca="false">$C$2*(1+IF(E$3&lt;=$O$2,$D477,$D477-($D477-$I$454)*MIN(E$3-$O$2,$Q$2)/$Q$2))</f>
        <v>2789.91579771042</v>
      </c>
      <c r="F477" s="15" t="n">
        <f aca="false">E477*(1+IF(F$3&lt;=$O$2,$D477,$D477-($D477-$I$454)*MIN(F$3-$O$2,$Q$2)/$Q$2))</f>
        <v>2840.7409336913</v>
      </c>
      <c r="G477" s="15" t="n">
        <f aca="false">F477*(1+IF(G$3&lt;=$O$2,$D477,$D477-($D477-$I$454)*MIN(G$3-$O$2,$Q$2)/$Q$2))</f>
        <v>2892.49197376205</v>
      </c>
      <c r="H477" s="15" t="n">
        <f aca="false">G477*(1+IF(H$3&lt;=$O$2,$D477,$D477-($D477-$I$454)*MIN(H$3-$O$2,$Q$2)/$Q$2))</f>
        <v>2945.18578552895</v>
      </c>
      <c r="I477" s="15" t="n">
        <f aca="false">H477*(1+IF(I$3&lt;=$O$2,$D477,$D477-($D477-$I$454)*MIN(I$3-$O$2,$Q$2)/$Q$2))</f>
        <v>2998.83954388299</v>
      </c>
      <c r="J477" s="15" t="n">
        <f aca="false">I477*(1+IF(J$3&lt;=$O$2,$D477,$D477-($D477-$I$454)*MIN(J$3-$O$2,$Q$2)/$Q$2))</f>
        <v>3053.52025078541</v>
      </c>
      <c r="K477" s="15" t="n">
        <f aca="false">J477*(1+IF(K$3&lt;=$O$2,$D477,$D477-($D477-$I$454)*MIN(K$3-$O$2,$Q$2)/$Q$2))</f>
        <v>3109.24842029332</v>
      </c>
      <c r="L477" s="15" t="n">
        <f aca="false">K477*(1+IF(L$3&lt;=$O$2,$D477,$D477-($D477-$I$454)*MIN(L$3-$O$2,$Q$2)/$Q$2))</f>
        <v>3166.04499206184</v>
      </c>
      <c r="M477" s="15" t="n">
        <f aca="false">L477*(1+IF(M$3&lt;=$O$2,$D477,$D477-($D477-$I$454)*MIN(M$3-$O$2,$Q$2)/$Q$2))</f>
        <v>3223.93134048036</v>
      </c>
      <c r="N477" s="15" t="n">
        <f aca="false">M477*(1+IF(N$3&lt;=$O$2,$D477,$D477-($D477-$I$454)*MIN(N$3-$O$2,$Q$2)/$Q$2))</f>
        <v>3282.92928401115</v>
      </c>
      <c r="O477" s="15" t="n">
        <f aca="false">SUMPRODUCT(E477:N477,1/(1+$F$454)^$E$3:$N$3)*$E$2</f>
        <v>13575.9606970432</v>
      </c>
      <c r="P477" s="15" t="n">
        <f aca="false">N477*$E$2*(1+$I$454)/($F$454-$I$454)/(1+$F$454)^$N$3</f>
        <v>16173.9984235764</v>
      </c>
      <c r="Q477" s="15" t="n">
        <f aca="false">O477+P477</f>
        <v>29749.9591206196</v>
      </c>
      <c r="R477" s="15" t="n">
        <f aca="false">Q477-$G$2+$I$2</f>
        <v>30519.9591206196</v>
      </c>
      <c r="S477" s="42" t="n">
        <f aca="false">R477/$K$2</f>
        <v>292.252792498512</v>
      </c>
      <c r="T477" s="43" t="n">
        <f aca="false">S477-$M$2</f>
        <v>-0.000391452459666652</v>
      </c>
    </row>
    <row r="478" customFormat="false" ht="15" hidden="false" customHeight="false" outlineLevel="0" collapsed="false">
      <c r="A478" s="5" t="n">
        <v>23</v>
      </c>
      <c r="B478" s="25" t="n">
        <f aca="false">IF(T477&gt;0,B477,D477)</f>
        <v>0.0182174444198608</v>
      </c>
      <c r="C478" s="25" t="n">
        <f aca="false">IF(T477&gt;0,D477,C477)</f>
        <v>0.0182178020477295</v>
      </c>
      <c r="D478" s="41" t="n">
        <f aca="false">(B478+C478)/2</f>
        <v>0.0182176232337952</v>
      </c>
      <c r="E478" s="15" t="n">
        <f aca="false">$C$2*(1+IF(E$3&lt;=$O$2,$D478,$D478-($D478-$I$454)*MIN(E$3-$O$2,$Q$2)/$Q$2))</f>
        <v>2789.9162876606</v>
      </c>
      <c r="F478" s="15" t="n">
        <f aca="false">E478*(1+IF(F$3&lt;=$O$2,$D478,$D478-($D478-$I$454)*MIN(F$3-$O$2,$Q$2)/$Q$2))</f>
        <v>2840.74193144303</v>
      </c>
      <c r="G478" s="15" t="n">
        <f aca="false">F478*(1+IF(G$3&lt;=$O$2,$D478,$D478-($D478-$I$454)*MIN(G$3-$O$2,$Q$2)/$Q$2))</f>
        <v>2892.4934976545</v>
      </c>
      <c r="H478" s="15" t="n">
        <f aca="false">G478*(1+IF(H$3&lt;=$O$2,$D478,$D478-($D478-$I$454)*MIN(H$3-$O$2,$Q$2)/$Q$2))</f>
        <v>2945.18785440097</v>
      </c>
      <c r="I478" s="15" t="n">
        <f aca="false">H478*(1+IF(I$3&lt;=$O$2,$D478,$D478-($D478-$I$454)*MIN(I$3-$O$2,$Q$2)/$Q$2))</f>
        <v>2998.8421770852</v>
      </c>
      <c r="J478" s="15" t="n">
        <f aca="false">I478*(1+IF(J$3&lt;=$O$2,$D478,$D478-($D478-$I$454)*MIN(J$3-$O$2,$Q$2)/$Q$2))</f>
        <v>3053.52336098913</v>
      </c>
      <c r="K478" s="15" t="n">
        <f aca="false">J478*(1+IF(K$3&lt;=$O$2,$D478,$D478-($D478-$I$454)*MIN(K$3-$O$2,$Q$2)/$Q$2))</f>
        <v>3109.25191486723</v>
      </c>
      <c r="L478" s="15" t="n">
        <f aca="false">K478*(1+IF(L$3&lt;=$O$2,$D478,$D478-($D478-$I$454)*MIN(L$3-$O$2,$Q$2)/$Q$2))</f>
        <v>3166.04877286207</v>
      </c>
      <c r="M478" s="15" t="n">
        <f aca="false">L478*(1+IF(M$3&lt;=$O$2,$D478,$D478-($D478-$I$454)*MIN(M$3-$O$2,$Q$2)/$Q$2))</f>
        <v>3223.93530363354</v>
      </c>
      <c r="N478" s="15" t="n">
        <f aca="false">M478*(1+IF(N$3&lt;=$O$2,$D478,$D478-($D478-$I$454)*MIN(N$3-$O$2,$Q$2)/$Q$2))</f>
        <v>3282.93331969003</v>
      </c>
      <c r="O478" s="15" t="n">
        <f aca="false">SUMPRODUCT(E478:N478,1/(1+$F$454)^$E$3:$N$3)*$E$2</f>
        <v>13575.9712868475</v>
      </c>
      <c r="P478" s="15" t="n">
        <f aca="false">N478*$E$2*(1+$I$454)/($F$454-$I$454)/(1+$F$454)^$N$3</f>
        <v>16174.0183061441</v>
      </c>
      <c r="Q478" s="15" t="n">
        <f aca="false">O478+P478</f>
        <v>29749.9895929917</v>
      </c>
      <c r="R478" s="15" t="n">
        <f aca="false">Q478-$G$2+$I$2</f>
        <v>30519.9895929917</v>
      </c>
      <c r="S478" s="42" t="n">
        <f aca="false">R478/$K$2</f>
        <v>292.253084295621</v>
      </c>
      <c r="T478" s="43" t="n">
        <f aca="false">S478-$M$2</f>
        <v>-9.96553512777609E-005</v>
      </c>
    </row>
    <row r="479" customFormat="false" ht="15" hidden="false" customHeight="false" outlineLevel="0" collapsed="false">
      <c r="A479" s="5" t="n">
        <v>24</v>
      </c>
      <c r="B479" s="25" t="n">
        <f aca="false">IF(T478&gt;0,B478,D478)</f>
        <v>0.0182176232337952</v>
      </c>
      <c r="C479" s="25" t="n">
        <f aca="false">IF(T478&gt;0,D478,C478)</f>
        <v>0.0182178020477295</v>
      </c>
      <c r="D479" s="41" t="n">
        <f aca="false">(B479+C479)/2</f>
        <v>0.0182177126407623</v>
      </c>
      <c r="E479" s="15" t="n">
        <f aca="false">$C$2*(1+IF(E$3&lt;=$O$2,$D479,$D479-($D479-$I$454)*MIN(E$3-$O$2,$Q$2)/$Q$2))</f>
        <v>2789.91653263569</v>
      </c>
      <c r="F479" s="15" t="n">
        <f aca="false">E479*(1+IF(F$3&lt;=$O$2,$D479,$D479-($D479-$I$454)*MIN(F$3-$O$2,$Q$2)/$Q$2))</f>
        <v>2840.74243031896</v>
      </c>
      <c r="G479" s="15" t="n">
        <f aca="false">F479*(1+IF(G$3&lt;=$O$2,$D479,$D479-($D479-$I$454)*MIN(G$3-$O$2,$Q$2)/$Q$2))</f>
        <v>2892.49425960093</v>
      </c>
      <c r="H479" s="15" t="n">
        <f aca="false">G479*(1+IF(H$3&lt;=$O$2,$D479,$D479-($D479-$I$454)*MIN(H$3-$O$2,$Q$2)/$Q$2))</f>
        <v>2945.18888883739</v>
      </c>
      <c r="I479" s="15" t="n">
        <f aca="false">H479*(1+IF(I$3&lt;=$O$2,$D479,$D479-($D479-$I$454)*MIN(I$3-$O$2,$Q$2)/$Q$2))</f>
        <v>2998.843493687</v>
      </c>
      <c r="J479" s="15" t="n">
        <f aca="false">I479*(1+IF(J$3&lt;=$O$2,$D479,$D479-($D479-$I$454)*MIN(J$3-$O$2,$Q$2)/$Q$2))</f>
        <v>3053.52491609198</v>
      </c>
      <c r="K479" s="15" t="n">
        <f aca="false">J479*(1+IF(K$3&lt;=$O$2,$D479,$D479-($D479-$I$454)*MIN(K$3-$O$2,$Q$2)/$Q$2))</f>
        <v>3109.25366215544</v>
      </c>
      <c r="L479" s="15" t="n">
        <f aca="false">K479*(1+IF(L$3&lt;=$O$2,$D479,$D479-($D479-$I$454)*MIN(L$3-$O$2,$Q$2)/$Q$2))</f>
        <v>3166.05066326366</v>
      </c>
      <c r="M479" s="15" t="n">
        <f aca="false">L479*(1+IF(M$3&lt;=$O$2,$D479,$D479-($D479-$I$454)*MIN(M$3-$O$2,$Q$2)/$Q$2))</f>
        <v>3223.93728521173</v>
      </c>
      <c r="N479" s="15" t="n">
        <f aca="false">M479*(1+IF(N$3&lt;=$O$2,$D479,$D479-($D479-$I$454)*MIN(N$3-$O$2,$Q$2)/$Q$2))</f>
        <v>3282.9353375311</v>
      </c>
      <c r="O479" s="15" t="n">
        <f aca="false">SUMPRODUCT(E479:N479,1/(1+$F$454)^$E$3:$N$3)*$E$2</f>
        <v>13575.9765817528</v>
      </c>
      <c r="P479" s="15" t="n">
        <f aca="false">N479*$E$2*(1+$I$454)/($F$454-$I$454)/(1+$F$454)^$N$3</f>
        <v>16174.028247436</v>
      </c>
      <c r="Q479" s="15" t="n">
        <f aca="false">O479+P479</f>
        <v>29750.0048291889</v>
      </c>
      <c r="R479" s="15" t="n">
        <f aca="false">Q479-$G$2+$I$2</f>
        <v>30520.0048291889</v>
      </c>
      <c r="S479" s="42" t="n">
        <f aca="false">R479/$K$2</f>
        <v>292.253230194282</v>
      </c>
      <c r="T479" s="43" t="n">
        <f aca="false">S479-$M$2</f>
        <v>4.62433098959991E-005</v>
      </c>
    </row>
    <row r="481" customFormat="false" ht="15" hidden="false" customHeight="false" outlineLevel="0" collapsed="false">
      <c r="A481" s="38" t="s">
        <v>195</v>
      </c>
      <c r="E481" s="5" t="s">
        <v>11</v>
      </c>
      <c r="F481" s="12" t="n">
        <f aca="false">Sensitivity!$B$13</f>
        <v>0.0822772551778937</v>
      </c>
      <c r="G481" s="5" t="s">
        <v>12</v>
      </c>
      <c r="I481" s="12" t="n">
        <f aca="false">Sensitivity!$D$9</f>
        <v>0.0233</v>
      </c>
    </row>
    <row r="482" customFormat="false" ht="23.85" hidden="false" customHeight="false" outlineLevel="0" collapsed="false">
      <c r="A482" s="38" t="s">
        <v>159</v>
      </c>
      <c r="B482" s="28" t="s">
        <v>160</v>
      </c>
      <c r="C482" s="28" t="s">
        <v>161</v>
      </c>
      <c r="D482" s="28" t="s">
        <v>162</v>
      </c>
      <c r="E482" s="28" t="s">
        <v>163</v>
      </c>
      <c r="F482" s="28" t="s">
        <v>164</v>
      </c>
      <c r="G482" s="28" t="s">
        <v>165</v>
      </c>
      <c r="H482" s="28" t="s">
        <v>166</v>
      </c>
      <c r="I482" s="28" t="s">
        <v>167</v>
      </c>
      <c r="J482" s="28" t="s">
        <v>168</v>
      </c>
      <c r="K482" s="28" t="s">
        <v>169</v>
      </c>
      <c r="L482" s="28" t="s">
        <v>170</v>
      </c>
      <c r="M482" s="28" t="s">
        <v>171</v>
      </c>
      <c r="N482" s="28" t="s">
        <v>172</v>
      </c>
      <c r="O482" s="28" t="s">
        <v>173</v>
      </c>
      <c r="P482" s="28" t="s">
        <v>174</v>
      </c>
      <c r="Q482" s="28" t="s">
        <v>175</v>
      </c>
      <c r="R482" s="28" t="s">
        <v>176</v>
      </c>
      <c r="S482" s="28" t="s">
        <v>177</v>
      </c>
      <c r="T482" s="28" t="s">
        <v>178</v>
      </c>
    </row>
    <row r="483" customFormat="false" ht="15" hidden="false" customHeight="false" outlineLevel="0" collapsed="false">
      <c r="A483" s="5" t="n">
        <v>1</v>
      </c>
      <c r="B483" s="24" t="n">
        <v>-0.5</v>
      </c>
      <c r="C483" s="24" t="n">
        <v>1</v>
      </c>
      <c r="D483" s="41" t="n">
        <f aca="false">(B483+C483)/2</f>
        <v>0.25</v>
      </c>
      <c r="E483" s="15" t="n">
        <f aca="false">$C$2*(1+IF(E$3&lt;=$O$2,$D483,$D483-($D483-$I$481)*MIN(E$3-$O$2,$Q$2)/$Q$2))</f>
        <v>3425</v>
      </c>
      <c r="F483" s="15" t="n">
        <f aca="false">E483*(1+IF(F$3&lt;=$O$2,$D483,$D483-($D483-$I$481)*MIN(F$3-$O$2,$Q$2)/$Q$2))</f>
        <v>4281.25</v>
      </c>
      <c r="G483" s="15" t="n">
        <f aca="false">F483*(1+IF(G$3&lt;=$O$2,$D483,$D483-($D483-$I$481)*MIN(G$3-$O$2,$Q$2)/$Q$2))</f>
        <v>5351.5625</v>
      </c>
      <c r="H483" s="15" t="n">
        <f aca="false">G483*(1+IF(H$3&lt;=$O$2,$D483,$D483-($D483-$I$481)*MIN(H$3-$O$2,$Q$2)/$Q$2))</f>
        <v>6689.453125</v>
      </c>
      <c r="I483" s="15" t="n">
        <f aca="false">H483*(1+IF(I$3&lt;=$O$2,$D483,$D483-($D483-$I$481)*MIN(I$3-$O$2,$Q$2)/$Q$2))</f>
        <v>8361.81640625</v>
      </c>
      <c r="J483" s="15" t="n">
        <f aca="false">I483*(1+IF(J$3&lt;=$O$2,$D483,$D483-($D483-$I$481)*MIN(J$3-$O$2,$Q$2)/$Q$2))</f>
        <v>10073.1457519531</v>
      </c>
      <c r="K483" s="15" t="n">
        <f aca="false">J483*(1+IF(K$3&lt;=$O$2,$D483,$D483-($D483-$I$481)*MIN(K$3-$O$2,$Q$2)/$Q$2))</f>
        <v>11677.9993331543</v>
      </c>
      <c r="L483" s="15" t="n">
        <f aca="false">K483*(1+IF(L$3&lt;=$O$2,$D483,$D483-($D483-$I$481)*MIN(L$3-$O$2,$Q$2)/$Q$2))</f>
        <v>13009.0576971472</v>
      </c>
      <c r="M483" s="15" t="n">
        <f aca="false">L483*(1+IF(M$3&lt;=$O$2,$D483,$D483-($D483-$I$481)*MIN(M$3-$O$2,$Q$2)/$Q$2))</f>
        <v>13901.9994174794</v>
      </c>
      <c r="N483" s="15" t="n">
        <f aca="false">M483*(1+IF(N$3&lt;=$O$2,$D483,$D483-($D483-$I$481)*MIN(N$3-$O$2,$Q$2)/$Q$2))</f>
        <v>14225.9160039067</v>
      </c>
      <c r="O483" s="15" t="n">
        <f aca="false">SUMPRODUCT(E483:N483,1/(1+$F$481)^$E$3:$N$3)*$E$2</f>
        <v>37343.5622839588</v>
      </c>
      <c r="P483" s="15" t="n">
        <f aca="false">N483*$E$2*(1+$I$481)/($F$481-$I$481)/(1+$F$481)^$N$3</f>
        <v>76401.9399604183</v>
      </c>
      <c r="Q483" s="15" t="n">
        <f aca="false">O483+P483</f>
        <v>113745.502244377</v>
      </c>
      <c r="R483" s="15" t="n">
        <f aca="false">Q483-$G$2+$I$2</f>
        <v>114515.502244377</v>
      </c>
      <c r="S483" s="42" t="n">
        <f aca="false">R483/$K$2</f>
        <v>1096.57667570983</v>
      </c>
      <c r="T483" s="43" t="n">
        <f aca="false">S483-$M$2</f>
        <v>804.323491758853</v>
      </c>
    </row>
    <row r="484" customFormat="false" ht="15" hidden="false" customHeight="false" outlineLevel="0" collapsed="false">
      <c r="A484" s="5" t="n">
        <v>2</v>
      </c>
      <c r="B484" s="25" t="n">
        <f aca="false">IF(T483&gt;0,B483,D483)</f>
        <v>-0.5</v>
      </c>
      <c r="C484" s="25" t="n">
        <f aca="false">IF(T483&gt;0,D483,C483)</f>
        <v>0.25</v>
      </c>
      <c r="D484" s="41" t="n">
        <f aca="false">(B484+C484)/2</f>
        <v>-0.125</v>
      </c>
      <c r="E484" s="15" t="n">
        <f aca="false">$C$2*(1+IF(E$3&lt;=$O$2,$D484,$D484-($D484-$I$481)*MIN(E$3-$O$2,$Q$2)/$Q$2))</f>
        <v>2397.5</v>
      </c>
      <c r="F484" s="15" t="n">
        <f aca="false">E484*(1+IF(F$3&lt;=$O$2,$D484,$D484-($D484-$I$481)*MIN(F$3-$O$2,$Q$2)/$Q$2))</f>
        <v>2097.8125</v>
      </c>
      <c r="G484" s="15" t="n">
        <f aca="false">F484*(1+IF(G$3&lt;=$O$2,$D484,$D484-($D484-$I$481)*MIN(G$3-$O$2,$Q$2)/$Q$2))</f>
        <v>1835.5859375</v>
      </c>
      <c r="H484" s="15" t="n">
        <f aca="false">G484*(1+IF(H$3&lt;=$O$2,$D484,$D484-($D484-$I$481)*MIN(H$3-$O$2,$Q$2)/$Q$2))</f>
        <v>1606.1376953125</v>
      </c>
      <c r="I484" s="15" t="n">
        <f aca="false">H484*(1+IF(I$3&lt;=$O$2,$D484,$D484-($D484-$I$481)*MIN(I$3-$O$2,$Q$2)/$Q$2))</f>
        <v>1405.37048339844</v>
      </c>
      <c r="J484" s="15" t="n">
        <f aca="false">I484*(1+IF(J$3&lt;=$O$2,$D484,$D484-($D484-$I$481)*MIN(J$3-$O$2,$Q$2)/$Q$2))</f>
        <v>1271.38246151123</v>
      </c>
      <c r="K484" s="15" t="n">
        <f aca="false">J484*(1+IF(K$3&lt;=$O$2,$D484,$D484-($D484-$I$481)*MIN(K$3-$O$2,$Q$2)/$Q$2))</f>
        <v>1187.87806143917</v>
      </c>
      <c r="L484" s="15" t="n">
        <f aca="false">K484*(1+IF(L$3&lt;=$O$2,$D484,$D484-($D484-$I$481)*MIN(L$3-$O$2,$Q$2)/$Q$2))</f>
        <v>1145.09069366613</v>
      </c>
      <c r="M484" s="15" t="n">
        <f aca="false">L484*(1+IF(M$3&lt;=$O$2,$D484,$D484-($D484-$I$481)*MIN(M$3-$O$2,$Q$2)/$Q$2))</f>
        <v>1137.80791685442</v>
      </c>
      <c r="N484" s="15" t="n">
        <f aca="false">M484*(1+IF(N$3&lt;=$O$2,$D484,$D484-($D484-$I$481)*MIN(N$3-$O$2,$Q$2)/$Q$2))</f>
        <v>1164.31884131713</v>
      </c>
      <c r="O484" s="15" t="n">
        <f aca="false">SUMPRODUCT(E484:N484,1/(1+$F$481)^$E$3:$N$3)*$E$2</f>
        <v>7330.0337916028</v>
      </c>
      <c r="P484" s="15" t="n">
        <f aca="false">N484*$E$2*(1+$I$481)/($F$481-$I$481)/(1+$F$481)^$N$3</f>
        <v>6253.11004118581</v>
      </c>
      <c r="Q484" s="15" t="n">
        <f aca="false">O484+P484</f>
        <v>13583.1438327886</v>
      </c>
      <c r="R484" s="15" t="n">
        <f aca="false">Q484-$G$2+$I$2</f>
        <v>14353.1438327886</v>
      </c>
      <c r="S484" s="42" t="n">
        <f aca="false">R484/$K$2</f>
        <v>137.442725584493</v>
      </c>
      <c r="T484" s="43" t="n">
        <f aca="false">S484-$M$2</f>
        <v>-154.810458366479</v>
      </c>
    </row>
    <row r="485" customFormat="false" ht="15" hidden="false" customHeight="false" outlineLevel="0" collapsed="false">
      <c r="A485" s="5" t="n">
        <v>3</v>
      </c>
      <c r="B485" s="25" t="n">
        <f aca="false">IF(T484&gt;0,B484,D484)</f>
        <v>-0.125</v>
      </c>
      <c r="C485" s="25" t="n">
        <f aca="false">IF(T484&gt;0,D484,C484)</f>
        <v>0.25</v>
      </c>
      <c r="D485" s="41" t="n">
        <f aca="false">(B485+C485)/2</f>
        <v>0.0625</v>
      </c>
      <c r="E485" s="15" t="n">
        <f aca="false">$C$2*(1+IF(E$3&lt;=$O$2,$D485,$D485-($D485-$I$481)*MIN(E$3-$O$2,$Q$2)/$Q$2))</f>
        <v>2911.25</v>
      </c>
      <c r="F485" s="15" t="n">
        <f aca="false">E485*(1+IF(F$3&lt;=$O$2,$D485,$D485-($D485-$I$481)*MIN(F$3-$O$2,$Q$2)/$Q$2))</f>
        <v>3093.203125</v>
      </c>
      <c r="G485" s="15" t="n">
        <f aca="false">F485*(1+IF(G$3&lt;=$O$2,$D485,$D485-($D485-$I$481)*MIN(G$3-$O$2,$Q$2)/$Q$2))</f>
        <v>3286.5283203125</v>
      </c>
      <c r="H485" s="15" t="n">
        <f aca="false">G485*(1+IF(H$3&lt;=$O$2,$D485,$D485-($D485-$I$481)*MIN(H$3-$O$2,$Q$2)/$Q$2))</f>
        <v>3491.93634033203</v>
      </c>
      <c r="I485" s="15" t="n">
        <f aca="false">H485*(1+IF(I$3&lt;=$O$2,$D485,$D485-($D485-$I$481)*MIN(I$3-$O$2,$Q$2)/$Q$2))</f>
        <v>3710.18236160278</v>
      </c>
      <c r="J485" s="15" t="n">
        <f aca="false">I485*(1+IF(J$3&lt;=$O$2,$D485,$D485-($D485-$I$481)*MIN(J$3-$O$2,$Q$2)/$Q$2))</f>
        <v>3912.98092948799</v>
      </c>
      <c r="K485" s="15" t="n">
        <f aca="false">J485*(1+IF(K$3&lt;=$O$2,$D485,$D485-($D485-$I$481)*MIN(K$3-$O$2,$Q$2)/$Q$2))</f>
        <v>4096.18669660662</v>
      </c>
      <c r="L485" s="15" t="n">
        <f aca="false">K485*(1+IF(L$3&lt;=$O$2,$D485,$D485-($D485-$I$481)*MIN(L$3-$O$2,$Q$2)/$Q$2))</f>
        <v>4255.85605404035</v>
      </c>
      <c r="M485" s="15" t="n">
        <f aca="false">L485*(1+IF(M$3&lt;=$O$2,$D485,$D485-($D485-$I$481)*MIN(M$3-$O$2,$Q$2)/$Q$2))</f>
        <v>4388.38341156316</v>
      </c>
      <c r="N485" s="15" t="n">
        <f aca="false">M485*(1+IF(N$3&lt;=$O$2,$D485,$D485-($D485-$I$481)*MIN(N$3-$O$2,$Q$2)/$Q$2))</f>
        <v>4490.63274505258</v>
      </c>
      <c r="O485" s="15" t="n">
        <f aca="false">SUMPRODUCT(E485:N485,1/(1+$F$481)^$E$3:$N$3)*$E$2</f>
        <v>16521.9282770502</v>
      </c>
      <c r="P485" s="15" t="n">
        <f aca="false">N485*$E$2*(1+$I$481)/($F$481-$I$481)/(1+$F$481)^$N$3</f>
        <v>24117.466550314</v>
      </c>
      <c r="Q485" s="15" t="n">
        <f aca="false">O485+P485</f>
        <v>40639.3948273642</v>
      </c>
      <c r="R485" s="15" t="n">
        <f aca="false">Q485-$G$2+$I$2</f>
        <v>41409.3948273642</v>
      </c>
      <c r="S485" s="42" t="n">
        <f aca="false">R485/$K$2</f>
        <v>396.527768144826</v>
      </c>
      <c r="T485" s="43" t="n">
        <f aca="false">S485-$M$2</f>
        <v>104.274584193854</v>
      </c>
    </row>
    <row r="486" customFormat="false" ht="15" hidden="false" customHeight="false" outlineLevel="0" collapsed="false">
      <c r="A486" s="5" t="n">
        <v>4</v>
      </c>
      <c r="B486" s="25" t="n">
        <f aca="false">IF(T485&gt;0,B485,D485)</f>
        <v>-0.125</v>
      </c>
      <c r="C486" s="25" t="n">
        <f aca="false">IF(T485&gt;0,D485,C485)</f>
        <v>0.0625</v>
      </c>
      <c r="D486" s="41" t="n">
        <f aca="false">(B486+C486)/2</f>
        <v>-0.03125</v>
      </c>
      <c r="E486" s="15" t="n">
        <f aca="false">$C$2*(1+IF(E$3&lt;=$O$2,$D486,$D486-($D486-$I$481)*MIN(E$3-$O$2,$Q$2)/$Q$2))</f>
        <v>2654.375</v>
      </c>
      <c r="F486" s="15" t="n">
        <f aca="false">E486*(1+IF(F$3&lt;=$O$2,$D486,$D486-($D486-$I$481)*MIN(F$3-$O$2,$Q$2)/$Q$2))</f>
        <v>2571.42578125</v>
      </c>
      <c r="G486" s="15" t="n">
        <f aca="false">F486*(1+IF(G$3&lt;=$O$2,$D486,$D486-($D486-$I$481)*MIN(G$3-$O$2,$Q$2)/$Q$2))</f>
        <v>2491.06872558594</v>
      </c>
      <c r="H486" s="15" t="n">
        <f aca="false">G486*(1+IF(H$3&lt;=$O$2,$D486,$D486-($D486-$I$481)*MIN(H$3-$O$2,$Q$2)/$Q$2))</f>
        <v>2413.22282791138</v>
      </c>
      <c r="I486" s="15" t="n">
        <f aca="false">H486*(1+IF(I$3&lt;=$O$2,$D486,$D486-($D486-$I$481)*MIN(I$3-$O$2,$Q$2)/$Q$2))</f>
        <v>2337.80961453915</v>
      </c>
      <c r="J486" s="15" t="n">
        <f aca="false">I486*(1+IF(J$3&lt;=$O$2,$D486,$D486-($D486-$I$481)*MIN(J$3-$O$2,$Q$2)/$Q$2))</f>
        <v>2290.25856697942</v>
      </c>
      <c r="K486" s="15" t="n">
        <f aca="false">J486*(1+IF(K$3&lt;=$O$2,$D486,$D486-($D486-$I$481)*MIN(K$3-$O$2,$Q$2)/$Q$2))</f>
        <v>2268.6614286928</v>
      </c>
      <c r="L486" s="15" t="n">
        <f aca="false">K486*(1+IF(L$3&lt;=$O$2,$D486,$D486-($D486-$I$481)*MIN(L$3-$O$2,$Q$2)/$Q$2))</f>
        <v>2272.01904760727</v>
      </c>
      <c r="M486" s="15" t="n">
        <f aca="false">L486*(1+IF(M$3&lt;=$O$2,$D486,$D486-($D486-$I$481)*MIN(M$3-$O$2,$Q$2)/$Q$2))</f>
        <v>2300.16936360712</v>
      </c>
      <c r="N486" s="15" t="n">
        <f aca="false">M486*(1+IF(N$3&lt;=$O$2,$D486,$D486-($D486-$I$481)*MIN(N$3-$O$2,$Q$2)/$Q$2))</f>
        <v>2353.76330977917</v>
      </c>
      <c r="O486" s="15" t="n">
        <f aca="false">SUMPRODUCT(E486:N486,1/(1+$F$481)^$E$3:$N$3)*$E$2</f>
        <v>10973.8313133281</v>
      </c>
      <c r="P486" s="15" t="n">
        <f aca="false">N486*$E$2*(1+$I$481)/($F$481-$I$481)/(1+$F$481)^$N$3</f>
        <v>12641.1601913999</v>
      </c>
      <c r="Q486" s="15" t="n">
        <f aca="false">O486+P486</f>
        <v>23614.991504728</v>
      </c>
      <c r="R486" s="15" t="n">
        <f aca="false">Q486-$G$2+$I$2</f>
        <v>24384.991504728</v>
      </c>
      <c r="S486" s="42" t="n">
        <f aca="false">R486/$K$2</f>
        <v>233.505616247515</v>
      </c>
      <c r="T486" s="43" t="n">
        <f aca="false">S486-$M$2</f>
        <v>-58.7475677034572</v>
      </c>
    </row>
    <row r="487" customFormat="false" ht="15" hidden="false" customHeight="false" outlineLevel="0" collapsed="false">
      <c r="A487" s="5" t="n">
        <v>5</v>
      </c>
      <c r="B487" s="25" t="n">
        <f aca="false">IF(T486&gt;0,B486,D486)</f>
        <v>-0.03125</v>
      </c>
      <c r="C487" s="25" t="n">
        <f aca="false">IF(T486&gt;0,D486,C486)</f>
        <v>0.0625</v>
      </c>
      <c r="D487" s="41" t="n">
        <f aca="false">(B487+C487)/2</f>
        <v>0.015625</v>
      </c>
      <c r="E487" s="15" t="n">
        <f aca="false">$C$2*(1+IF(E$3&lt;=$O$2,$D487,$D487-($D487-$I$481)*MIN(E$3-$O$2,$Q$2)/$Q$2))</f>
        <v>2782.8125</v>
      </c>
      <c r="F487" s="15" t="n">
        <f aca="false">E487*(1+IF(F$3&lt;=$O$2,$D487,$D487-($D487-$I$481)*MIN(F$3-$O$2,$Q$2)/$Q$2))</f>
        <v>2826.2939453125</v>
      </c>
      <c r="G487" s="15" t="n">
        <f aca="false">F487*(1+IF(G$3&lt;=$O$2,$D487,$D487-($D487-$I$481)*MIN(G$3-$O$2,$Q$2)/$Q$2))</f>
        <v>2870.45478820801</v>
      </c>
      <c r="H487" s="15" t="n">
        <f aca="false">G487*(1+IF(H$3&lt;=$O$2,$D487,$D487-($D487-$I$481)*MIN(H$3-$O$2,$Q$2)/$Q$2))</f>
        <v>2915.30564427376</v>
      </c>
      <c r="I487" s="15" t="n">
        <f aca="false">H487*(1+IF(I$3&lt;=$O$2,$D487,$D487-($D487-$I$481)*MIN(I$3-$O$2,$Q$2)/$Q$2))</f>
        <v>2960.85729496554</v>
      </c>
      <c r="J487" s="15" t="n">
        <f aca="false">I487*(1+IF(J$3&lt;=$O$2,$D487,$D487-($D487-$I$481)*MIN(J$3-$O$2,$Q$2)/$Q$2))</f>
        <v>3011.66560614714</v>
      </c>
      <c r="K487" s="15" t="n">
        <f aca="false">J487*(1+IF(K$3&lt;=$O$2,$D487,$D487-($D487-$I$481)*MIN(K$3-$O$2,$Q$2)/$Q$2))</f>
        <v>3067.96869465406</v>
      </c>
      <c r="L487" s="15" t="n">
        <f aca="false">K487*(1+IF(L$3&lt;=$O$2,$D487,$D487-($D487-$I$481)*MIN(L$3-$O$2,$Q$2)/$Q$2))</f>
        <v>3130.03370134692</v>
      </c>
      <c r="M487" s="15" t="n">
        <f aca="false">L487*(1+IF(M$3&lt;=$O$2,$D487,$D487-($D487-$I$481)*MIN(M$3-$O$2,$Q$2)/$Q$2))</f>
        <v>3198.15888485673</v>
      </c>
      <c r="N487" s="15" t="n">
        <f aca="false">M487*(1+IF(N$3&lt;=$O$2,$D487,$D487-($D487-$I$481)*MIN(N$3-$O$2,$Q$2)/$Q$2))</f>
        <v>3272.67598687389</v>
      </c>
      <c r="O487" s="15" t="n">
        <f aca="false">SUMPRODUCT(E487:N487,1/(1+$F$481)^$E$3:$N$3)*$E$2</f>
        <v>13460.0424182674</v>
      </c>
      <c r="P487" s="15" t="n">
        <f aca="false">N487*$E$2*(1+$I$481)/($F$481-$I$481)/(1+$F$481)^$N$3</f>
        <v>17576.2878250073</v>
      </c>
      <c r="Q487" s="15" t="n">
        <f aca="false">O487+P487</f>
        <v>31036.3302432748</v>
      </c>
      <c r="R487" s="15" t="n">
        <f aca="false">Q487-$G$2+$I$2</f>
        <v>31806.3302432748</v>
      </c>
      <c r="S487" s="42" t="n">
        <f aca="false">R487/$K$2</f>
        <v>304.570815314323</v>
      </c>
      <c r="T487" s="43" t="n">
        <f aca="false">S487-$M$2</f>
        <v>12.317631363351</v>
      </c>
    </row>
    <row r="488" customFormat="false" ht="15" hidden="false" customHeight="false" outlineLevel="0" collapsed="false">
      <c r="A488" s="5" t="n">
        <v>6</v>
      </c>
      <c r="B488" s="25" t="n">
        <f aca="false">IF(T487&gt;0,B487,D487)</f>
        <v>-0.03125</v>
      </c>
      <c r="C488" s="25" t="n">
        <f aca="false">IF(T487&gt;0,D487,C487)</f>
        <v>0.015625</v>
      </c>
      <c r="D488" s="41" t="n">
        <f aca="false">(B488+C488)/2</f>
        <v>-0.0078125</v>
      </c>
      <c r="E488" s="15" t="n">
        <f aca="false">$C$2*(1+IF(E$3&lt;=$O$2,$D488,$D488-($D488-$I$481)*MIN(E$3-$O$2,$Q$2)/$Q$2))</f>
        <v>2718.59375</v>
      </c>
      <c r="F488" s="15" t="n">
        <f aca="false">E488*(1+IF(F$3&lt;=$O$2,$D488,$D488-($D488-$I$481)*MIN(F$3-$O$2,$Q$2)/$Q$2))</f>
        <v>2697.35473632813</v>
      </c>
      <c r="G488" s="15" t="n">
        <f aca="false">F488*(1+IF(G$3&lt;=$O$2,$D488,$D488-($D488-$I$481)*MIN(G$3-$O$2,$Q$2)/$Q$2))</f>
        <v>2676.28165245056</v>
      </c>
      <c r="H488" s="15" t="n">
        <f aca="false">G488*(1+IF(H$3&lt;=$O$2,$D488,$D488-($D488-$I$481)*MIN(H$3-$O$2,$Q$2)/$Q$2))</f>
        <v>2655.37320204079</v>
      </c>
      <c r="I488" s="15" t="n">
        <f aca="false">H488*(1+IF(I$3&lt;=$O$2,$D488,$D488-($D488-$I$481)*MIN(I$3-$O$2,$Q$2)/$Q$2))</f>
        <v>2634.62809889985</v>
      </c>
      <c r="J488" s="15" t="n">
        <f aca="false">I488*(1+IF(J$3&lt;=$O$2,$D488,$D488-($D488-$I$481)*MIN(J$3-$O$2,$Q$2)/$Q$2))</f>
        <v>2630.4390402226</v>
      </c>
      <c r="K488" s="15" t="n">
        <f aca="false">J488*(1+IF(K$3&lt;=$O$2,$D488,$D488-($D488-$I$481)*MIN(K$3-$O$2,$Q$2)/$Q$2))</f>
        <v>2642.62454907643</v>
      </c>
      <c r="L488" s="15" t="n">
        <f aca="false">K488*(1+IF(L$3&lt;=$O$2,$D488,$D488-($D488-$I$481)*MIN(L$3-$O$2,$Q$2)/$Q$2))</f>
        <v>2671.31023855665</v>
      </c>
      <c r="M488" s="15" t="n">
        <f aca="false">L488*(1+IF(M$3&lt;=$O$2,$D488,$D488-($D488-$I$481)*MIN(M$3-$O$2,$Q$2)/$Q$2))</f>
        <v>2716.92953915561</v>
      </c>
      <c r="N488" s="15" t="n">
        <f aca="false">M488*(1+IF(N$3&lt;=$O$2,$D488,$D488-($D488-$I$481)*MIN(N$3-$O$2,$Q$2)/$Q$2))</f>
        <v>2780.23399741793</v>
      </c>
      <c r="O488" s="15" t="n">
        <f aca="false">SUMPRODUCT(E488:N488,1/(1+$F$481)^$E$3:$N$3)*$E$2</f>
        <v>12151.8872700546</v>
      </c>
      <c r="P488" s="15" t="n">
        <f aca="false">N488*$E$2*(1+$I$481)/($F$481-$I$481)/(1+$F$481)^$N$3</f>
        <v>14931.5707254496</v>
      </c>
      <c r="Q488" s="15" t="n">
        <f aca="false">O488+P488</f>
        <v>27083.4579955043</v>
      </c>
      <c r="R488" s="15" t="n">
        <f aca="false">Q488-$G$2+$I$2</f>
        <v>27853.4579955043</v>
      </c>
      <c r="S488" s="42" t="n">
        <f aca="false">R488/$K$2</f>
        <v>266.718931298518</v>
      </c>
      <c r="T488" s="43" t="n">
        <f aca="false">S488-$M$2</f>
        <v>-25.5342526524539</v>
      </c>
    </row>
    <row r="489" customFormat="false" ht="15" hidden="false" customHeight="false" outlineLevel="0" collapsed="false">
      <c r="A489" s="5" t="n">
        <v>7</v>
      </c>
      <c r="B489" s="25" t="n">
        <f aca="false">IF(T488&gt;0,B488,D488)</f>
        <v>-0.0078125</v>
      </c>
      <c r="C489" s="25" t="n">
        <f aca="false">IF(T488&gt;0,D488,C488)</f>
        <v>0.015625</v>
      </c>
      <c r="D489" s="41" t="n">
        <f aca="false">(B489+C489)/2</f>
        <v>0.00390625</v>
      </c>
      <c r="E489" s="15" t="n">
        <f aca="false">$C$2*(1+IF(E$3&lt;=$O$2,$D489,$D489-($D489-$I$481)*MIN(E$3-$O$2,$Q$2)/$Q$2))</f>
        <v>2750.703125</v>
      </c>
      <c r="F489" s="15" t="n">
        <f aca="false">E489*(1+IF(F$3&lt;=$O$2,$D489,$D489-($D489-$I$481)*MIN(F$3-$O$2,$Q$2)/$Q$2))</f>
        <v>2761.44805908203</v>
      </c>
      <c r="G489" s="15" t="n">
        <f aca="false">F489*(1+IF(G$3&lt;=$O$2,$D489,$D489-($D489-$I$481)*MIN(G$3-$O$2,$Q$2)/$Q$2))</f>
        <v>2772.23496556282</v>
      </c>
      <c r="H489" s="15" t="n">
        <f aca="false">G489*(1+IF(H$3&lt;=$O$2,$D489,$D489-($D489-$I$481)*MIN(H$3-$O$2,$Q$2)/$Q$2))</f>
        <v>2783.06400839705</v>
      </c>
      <c r="I489" s="15" t="n">
        <f aca="false">H489*(1+IF(I$3&lt;=$O$2,$D489,$D489-($D489-$I$481)*MIN(I$3-$O$2,$Q$2)/$Q$2))</f>
        <v>2793.93535217985</v>
      </c>
      <c r="J489" s="15" t="n">
        <f aca="false">I489*(1+IF(J$3&lt;=$O$2,$D489,$D489-($D489-$I$481)*MIN(J$3-$O$2,$Q$2)/$Q$2))</f>
        <v>2815.68613889657</v>
      </c>
      <c r="K489" s="15" t="n">
        <f aca="false">J489*(1+IF(K$3&lt;=$O$2,$D489,$D489-($D489-$I$481)*MIN(K$3-$O$2,$Q$2)/$Q$2))</f>
        <v>2848.52759809913</v>
      </c>
      <c r="L489" s="15" t="n">
        <f aca="false">K489*(1+IF(L$3&lt;=$O$2,$D489,$D489-($D489-$I$481)*MIN(L$3-$O$2,$Q$2)/$Q$2))</f>
        <v>2892.80083829258</v>
      </c>
      <c r="M489" s="15" t="n">
        <f aca="false">L489*(1+IF(M$3&lt;=$O$2,$D489,$D489-($D489-$I$481)*MIN(M$3-$O$2,$Q$2)/$Q$2))</f>
        <v>2948.98264657327</v>
      </c>
      <c r="N489" s="15" t="n">
        <f aca="false">M489*(1+IF(N$3&lt;=$O$2,$D489,$D489-($D489-$I$481)*MIN(N$3-$O$2,$Q$2)/$Q$2))</f>
        <v>3017.69394223843</v>
      </c>
      <c r="O489" s="15" t="n">
        <f aca="false">SUMPRODUCT(E489:N489,1/(1+$F$481)^$E$3:$N$3)*$E$2</f>
        <v>12788.8849529456</v>
      </c>
      <c r="P489" s="15" t="n">
        <f aca="false">N489*$E$2*(1+$I$481)/($F$481-$I$481)/(1+$F$481)^$N$3</f>
        <v>16206.8770355809</v>
      </c>
      <c r="Q489" s="15" t="n">
        <f aca="false">O489+P489</f>
        <v>28995.7619885266</v>
      </c>
      <c r="R489" s="15" t="n">
        <f aca="false">Q489-$G$2+$I$2</f>
        <v>29765.7619885266</v>
      </c>
      <c r="S489" s="42" t="n">
        <f aca="false">R489/$K$2</f>
        <v>285.030757335311</v>
      </c>
      <c r="T489" s="43" t="n">
        <f aca="false">S489-$M$2</f>
        <v>-7.22242661566071</v>
      </c>
    </row>
    <row r="490" customFormat="false" ht="15" hidden="false" customHeight="false" outlineLevel="0" collapsed="false">
      <c r="A490" s="5" t="n">
        <v>8</v>
      </c>
      <c r="B490" s="25" t="n">
        <f aca="false">IF(T489&gt;0,B489,D489)</f>
        <v>0.00390625</v>
      </c>
      <c r="C490" s="25" t="n">
        <f aca="false">IF(T489&gt;0,D489,C489)</f>
        <v>0.015625</v>
      </c>
      <c r="D490" s="41" t="n">
        <f aca="false">(B490+C490)/2</f>
        <v>0.009765625</v>
      </c>
      <c r="E490" s="15" t="n">
        <f aca="false">$C$2*(1+IF(E$3&lt;=$O$2,$D490,$D490-($D490-$I$481)*MIN(E$3-$O$2,$Q$2)/$Q$2))</f>
        <v>2766.7578125</v>
      </c>
      <c r="F490" s="15" t="n">
        <f aca="false">E490*(1+IF(F$3&lt;=$O$2,$D490,$D490-($D490-$I$481)*MIN(F$3-$O$2,$Q$2)/$Q$2))</f>
        <v>2793.7769317627</v>
      </c>
      <c r="G490" s="15" t="n">
        <f aca="false">F490*(1+IF(G$3&lt;=$O$2,$D490,$D490-($D490-$I$481)*MIN(G$3-$O$2,$Q$2)/$Q$2))</f>
        <v>2821.05990961194</v>
      </c>
      <c r="H490" s="15" t="n">
        <f aca="false">G490*(1+IF(H$3&lt;=$O$2,$D490,$D490-($D490-$I$481)*MIN(H$3-$O$2,$Q$2)/$Q$2))</f>
        <v>2848.60932279174</v>
      </c>
      <c r="I490" s="15" t="n">
        <f aca="false">H490*(1+IF(I$3&lt;=$O$2,$D490,$D490-($D490-$I$481)*MIN(I$3-$O$2,$Q$2)/$Q$2))</f>
        <v>2876.42777320963</v>
      </c>
      <c r="J490" s="15" t="n">
        <f aca="false">I490*(1+IF(J$3&lt;=$O$2,$D490,$D490-($D490-$I$481)*MIN(J$3-$O$2,$Q$2)/$Q$2))</f>
        <v>2912.30401861099</v>
      </c>
      <c r="K490" s="15" t="n">
        <f aca="false">J490*(1+IF(K$3&lt;=$O$2,$D490,$D490-($D490-$I$481)*MIN(K$3-$O$2,$Q$2)/$Q$2))</f>
        <v>2956.51097342349</v>
      </c>
      <c r="L490" s="15" t="n">
        <f aca="false">K490*(1+IF(L$3&lt;=$O$2,$D490,$D490-($D490-$I$481)*MIN(L$3-$O$2,$Q$2)/$Q$2))</f>
        <v>3009.39186782189</v>
      </c>
      <c r="M490" s="15" t="n">
        <f aca="false">L490*(1+IF(M$3&lt;=$O$2,$D490,$D490-($D490-$I$481)*MIN(M$3-$O$2,$Q$2)/$Q$2))</f>
        <v>3071.36465072993</v>
      </c>
      <c r="N490" s="15" t="n">
        <f aca="false">M490*(1+IF(N$3&lt;=$O$2,$D490,$D490-($D490-$I$481)*MIN(N$3-$O$2,$Q$2)/$Q$2))</f>
        <v>3142.92744709194</v>
      </c>
      <c r="O490" s="15" t="n">
        <f aca="false">SUMPRODUCT(E490:N490,1/(1+$F$481)^$E$3:$N$3)*$E$2</f>
        <v>13120.0876108613</v>
      </c>
      <c r="P490" s="15" t="n">
        <f aca="false">N490*$E$2*(1+$I$481)/($F$481-$I$481)/(1+$F$481)^$N$3</f>
        <v>16879.458169634</v>
      </c>
      <c r="Q490" s="15" t="n">
        <f aca="false">O490+P490</f>
        <v>29999.5457804952</v>
      </c>
      <c r="R490" s="15" t="n">
        <f aca="false">Q490-$G$2+$I$2</f>
        <v>30769.5457804952</v>
      </c>
      <c r="S490" s="42" t="n">
        <f aca="false">R490/$K$2</f>
        <v>294.642782538497</v>
      </c>
      <c r="T490" s="43" t="n">
        <f aca="false">S490-$M$2</f>
        <v>2.38959858752474</v>
      </c>
    </row>
    <row r="491" customFormat="false" ht="15" hidden="false" customHeight="false" outlineLevel="0" collapsed="false">
      <c r="A491" s="5" t="n">
        <v>9</v>
      </c>
      <c r="B491" s="25" t="n">
        <f aca="false">IF(T490&gt;0,B490,D490)</f>
        <v>0.00390625</v>
      </c>
      <c r="C491" s="25" t="n">
        <f aca="false">IF(T490&gt;0,D490,C490)</f>
        <v>0.009765625</v>
      </c>
      <c r="D491" s="41" t="n">
        <f aca="false">(B491+C491)/2</f>
        <v>0.0068359375</v>
      </c>
      <c r="E491" s="15" t="n">
        <f aca="false">$C$2*(1+IF(E$3&lt;=$O$2,$D491,$D491-($D491-$I$481)*MIN(E$3-$O$2,$Q$2)/$Q$2))</f>
        <v>2758.73046875</v>
      </c>
      <c r="F491" s="15" t="n">
        <f aca="false">E491*(1+IF(F$3&lt;=$O$2,$D491,$D491-($D491-$I$481)*MIN(F$3-$O$2,$Q$2)/$Q$2))</f>
        <v>2777.58897781372</v>
      </c>
      <c r="G491" s="15" t="n">
        <f aca="false">F491*(1+IF(G$3&lt;=$O$2,$D491,$D491-($D491-$I$481)*MIN(G$3-$O$2,$Q$2)/$Q$2))</f>
        <v>2796.57640246674</v>
      </c>
      <c r="H491" s="15" t="n">
        <f aca="false">G491*(1+IF(H$3&lt;=$O$2,$D491,$D491-($D491-$I$481)*MIN(H$3-$O$2,$Q$2)/$Q$2))</f>
        <v>2815.69362396798</v>
      </c>
      <c r="I491" s="15" t="n">
        <f aca="false">H491*(1+IF(I$3&lt;=$O$2,$D491,$D491-($D491-$I$481)*MIN(I$3-$O$2,$Q$2)/$Q$2))</f>
        <v>2834.94152960058</v>
      </c>
      <c r="J491" s="15" t="n">
        <f aca="false">I491*(1+IF(J$3&lt;=$O$2,$D491,$D491-($D491-$I$481)*MIN(J$3-$O$2,$Q$2)/$Q$2))</f>
        <v>2863.65594361852</v>
      </c>
      <c r="K491" s="15" t="n">
        <f aca="false">J491*(1+IF(K$3&lt;=$O$2,$D491,$D491-($D491-$I$481)*MIN(K$3-$O$2,$Q$2)/$Q$2))</f>
        <v>2902.09068084429</v>
      </c>
      <c r="L491" s="15" t="n">
        <f aca="false">K491*(1+IF(L$3&lt;=$O$2,$D491,$D491-($D491-$I$481)*MIN(L$3-$O$2,$Q$2)/$Q$2))</f>
        <v>2950.59731276793</v>
      </c>
      <c r="M491" s="15" t="n">
        <f aca="false">L491*(1+IF(M$3&lt;=$O$2,$D491,$D491-($D491-$I$481)*MIN(M$3-$O$2,$Q$2)/$Q$2))</f>
        <v>3009.63046644147</v>
      </c>
      <c r="N491" s="15" t="n">
        <f aca="false">M491*(1+IF(N$3&lt;=$O$2,$D491,$D491-($D491-$I$481)*MIN(N$3-$O$2,$Q$2)/$Q$2))</f>
        <v>3079.75485630956</v>
      </c>
      <c r="O491" s="15" t="n">
        <f aca="false">SUMPRODUCT(E491:N491,1/(1+$F$481)^$E$3:$N$3)*$E$2</f>
        <v>12953.4057048352</v>
      </c>
      <c r="P491" s="15" t="n">
        <f aca="false">N491*$E$2*(1+$I$481)/($F$481-$I$481)/(1+$F$481)^$N$3</f>
        <v>16540.1824079344</v>
      </c>
      <c r="Q491" s="15" t="n">
        <f aca="false">O491+P491</f>
        <v>29493.5881127696</v>
      </c>
      <c r="R491" s="15" t="n">
        <f aca="false">Q491-$G$2+$I$2</f>
        <v>30263.5881127696</v>
      </c>
      <c r="S491" s="42" t="n">
        <f aca="false">R491/$K$2</f>
        <v>289.797836950777</v>
      </c>
      <c r="T491" s="43" t="n">
        <f aca="false">S491-$M$2</f>
        <v>-2.45534700019516</v>
      </c>
    </row>
    <row r="492" customFormat="false" ht="15" hidden="false" customHeight="false" outlineLevel="0" collapsed="false">
      <c r="A492" s="5" t="n">
        <v>10</v>
      </c>
      <c r="B492" s="25" t="n">
        <f aca="false">IF(T491&gt;0,B491,D491)</f>
        <v>0.0068359375</v>
      </c>
      <c r="C492" s="25" t="n">
        <f aca="false">IF(T491&gt;0,D491,C491)</f>
        <v>0.009765625</v>
      </c>
      <c r="D492" s="41" t="n">
        <f aca="false">(B492+C492)/2</f>
        <v>0.00830078125</v>
      </c>
      <c r="E492" s="15" t="n">
        <f aca="false">$C$2*(1+IF(E$3&lt;=$O$2,$D492,$D492-($D492-$I$481)*MIN(E$3-$O$2,$Q$2)/$Q$2))</f>
        <v>2762.744140625</v>
      </c>
      <c r="F492" s="15" t="n">
        <f aca="false">E492*(1+IF(F$3&lt;=$O$2,$D492,$D492-($D492-$I$481)*MIN(F$3-$O$2,$Q$2)/$Q$2))</f>
        <v>2785.67707538605</v>
      </c>
      <c r="G492" s="15" t="n">
        <f aca="false">F492*(1+IF(G$3&lt;=$O$2,$D492,$D492-($D492-$I$481)*MIN(G$3-$O$2,$Q$2)/$Q$2))</f>
        <v>2808.80037142197</v>
      </c>
      <c r="H492" s="15" t="n">
        <f aca="false">G492*(1+IF(H$3&lt;=$O$2,$D492,$D492-($D492-$I$481)*MIN(H$3-$O$2,$Q$2)/$Q$2))</f>
        <v>2832.11560888006</v>
      </c>
      <c r="I492" s="15" t="n">
        <f aca="false">H492*(1+IF(I$3&lt;=$O$2,$D492,$D492-($D492-$I$481)*MIN(I$3-$O$2,$Q$2)/$Q$2))</f>
        <v>2855.62438102408</v>
      </c>
      <c r="J492" s="15" t="n">
        <f aca="false">I492*(1+IF(J$3&lt;=$O$2,$D492,$D492-($D492-$I$481)*MIN(J$3-$O$2,$Q$2)/$Q$2))</f>
        <v>2887.89472129489</v>
      </c>
      <c r="K492" s="15" t="n">
        <f aca="false">J492*(1+IF(K$3&lt;=$O$2,$D492,$D492-($D492-$I$481)*MIN(K$3-$O$2,$Q$2)/$Q$2))</f>
        <v>2929.19296951006</v>
      </c>
      <c r="L492" s="15" t="n">
        <f aca="false">K492*(1+IF(L$3&lt;=$O$2,$D492,$D492-($D492-$I$481)*MIN(L$3-$O$2,$Q$2)/$Q$2))</f>
        <v>2979.86892325539</v>
      </c>
      <c r="M492" s="15" t="n">
        <f aca="false">L492*(1+IF(M$3&lt;=$O$2,$D492,$D492-($D492-$I$481)*MIN(M$3-$O$2,$Q$2)/$Q$2))</f>
        <v>3040.36072800199</v>
      </c>
      <c r="N492" s="15" t="n">
        <f aca="false">M492*(1+IF(N$3&lt;=$O$2,$D492,$D492-($D492-$I$481)*MIN(N$3-$O$2,$Q$2)/$Q$2))</f>
        <v>3111.20113296444</v>
      </c>
      <c r="O492" s="15" t="n">
        <f aca="false">SUMPRODUCT(E492:N492,1/(1+$F$481)^$E$3:$N$3)*$E$2</f>
        <v>13036.4748446682</v>
      </c>
      <c r="P492" s="15" t="n">
        <f aca="false">N492*$E$2*(1+$I$481)/($F$481-$I$481)/(1+$F$481)^$N$3</f>
        <v>16709.0683018413</v>
      </c>
      <c r="Q492" s="15" t="n">
        <f aca="false">O492+P492</f>
        <v>29745.5431465096</v>
      </c>
      <c r="R492" s="15" t="n">
        <f aca="false">Q492-$G$2+$I$2</f>
        <v>30515.5431465096</v>
      </c>
      <c r="S492" s="42" t="n">
        <f aca="false">R492/$K$2</f>
        <v>292.210506047205</v>
      </c>
      <c r="T492" s="43" t="n">
        <f aca="false">S492-$M$2</f>
        <v>-0.0426779037674692</v>
      </c>
    </row>
    <row r="493" customFormat="false" ht="15" hidden="false" customHeight="false" outlineLevel="0" collapsed="false">
      <c r="A493" s="5" t="n">
        <v>11</v>
      </c>
      <c r="B493" s="25" t="n">
        <f aca="false">IF(T492&gt;0,B492,D492)</f>
        <v>0.00830078125</v>
      </c>
      <c r="C493" s="25" t="n">
        <f aca="false">IF(T492&gt;0,D492,C492)</f>
        <v>0.009765625</v>
      </c>
      <c r="D493" s="41" t="n">
        <f aca="false">(B493+C493)/2</f>
        <v>0.009033203125</v>
      </c>
      <c r="E493" s="15" t="n">
        <f aca="false">$C$2*(1+IF(E$3&lt;=$O$2,$D493,$D493-($D493-$I$481)*MIN(E$3-$O$2,$Q$2)/$Q$2))</f>
        <v>2764.7509765625</v>
      </c>
      <c r="F493" s="15" t="n">
        <f aca="false">E493*(1+IF(F$3&lt;=$O$2,$D493,$D493-($D493-$I$481)*MIN(F$3-$O$2,$Q$2)/$Q$2))</f>
        <v>2789.72553372383</v>
      </c>
      <c r="G493" s="15" t="n">
        <f aca="false">F493*(1+IF(G$3&lt;=$O$2,$D493,$D493-($D493-$I$481)*MIN(G$3-$O$2,$Q$2)/$Q$2))</f>
        <v>2814.92569113296</v>
      </c>
      <c r="H493" s="15" t="n">
        <f aca="false">G493*(1+IF(H$3&lt;=$O$2,$D493,$D493-($D493-$I$481)*MIN(H$3-$O$2,$Q$2)/$Q$2))</f>
        <v>2840.35348668274</v>
      </c>
      <c r="I493" s="15" t="n">
        <f aca="false">H493*(1+IF(I$3&lt;=$O$2,$D493,$D493-($D493-$I$481)*MIN(I$3-$O$2,$Q$2)/$Q$2))</f>
        <v>2866.01097667475</v>
      </c>
      <c r="J493" s="15" t="n">
        <f aca="false">I493*(1+IF(J$3&lt;=$O$2,$D493,$D493-($D493-$I$481)*MIN(J$3-$O$2,$Q$2)/$Q$2))</f>
        <v>2900.07799527468</v>
      </c>
      <c r="K493" s="15" t="n">
        <f aca="false">J493*(1+IF(K$3&lt;=$O$2,$D493,$D493-($D493-$I$481)*MIN(K$3-$O$2,$Q$2)/$Q$2))</f>
        <v>2942.82491835644</v>
      </c>
      <c r="L493" s="15" t="n">
        <f aca="false">K493*(1+IF(L$3&lt;=$O$2,$D493,$D493-($D493-$I$481)*MIN(L$3-$O$2,$Q$2)/$Q$2))</f>
        <v>2994.59886481459</v>
      </c>
      <c r="M493" s="15" t="n">
        <f aca="false">L493*(1+IF(M$3&lt;=$O$2,$D493,$D493-($D493-$I$481)*MIN(M$3-$O$2,$Q$2)/$Q$2))</f>
        <v>3055.82835161948</v>
      </c>
      <c r="N493" s="15" t="n">
        <f aca="false">M493*(1+IF(N$3&lt;=$O$2,$D493,$D493-($D493-$I$481)*MIN(N$3-$O$2,$Q$2)/$Q$2))</f>
        <v>3127.02915221222</v>
      </c>
      <c r="O493" s="15" t="n">
        <f aca="false">SUMPRODUCT(E493:N493,1/(1+$F$481)^$E$3:$N$3)*$E$2</f>
        <v>13078.2130648718</v>
      </c>
      <c r="P493" s="15" t="n">
        <f aca="false">N493*$E$2*(1+$I$481)/($F$481-$I$481)/(1+$F$481)^$N$3</f>
        <v>16794.0745240016</v>
      </c>
      <c r="Q493" s="15" t="n">
        <f aca="false">O493+P493</f>
        <v>29872.2875888734</v>
      </c>
      <c r="R493" s="15" t="n">
        <f aca="false">Q493-$G$2+$I$2</f>
        <v>30642.2875888734</v>
      </c>
      <c r="S493" s="42" t="n">
        <f aca="false">R493/$K$2</f>
        <v>293.424184514731</v>
      </c>
      <c r="T493" s="43" t="n">
        <f aca="false">S493-$M$2</f>
        <v>1.17100056375898</v>
      </c>
    </row>
    <row r="494" customFormat="false" ht="15" hidden="false" customHeight="false" outlineLevel="0" collapsed="false">
      <c r="A494" s="5" t="n">
        <v>12</v>
      </c>
      <c r="B494" s="25" t="n">
        <f aca="false">IF(T493&gt;0,B493,D493)</f>
        <v>0.00830078125</v>
      </c>
      <c r="C494" s="25" t="n">
        <f aca="false">IF(T493&gt;0,D493,C493)</f>
        <v>0.009033203125</v>
      </c>
      <c r="D494" s="41" t="n">
        <f aca="false">(B494+C494)/2</f>
        <v>0.0086669921875</v>
      </c>
      <c r="E494" s="15" t="n">
        <f aca="false">$C$2*(1+IF(E$3&lt;=$O$2,$D494,$D494-($D494-$I$481)*MIN(E$3-$O$2,$Q$2)/$Q$2))</f>
        <v>2763.74755859375</v>
      </c>
      <c r="F494" s="15" t="n">
        <f aca="false">E494*(1+IF(F$3&lt;=$O$2,$D494,$D494-($D494-$I$481)*MIN(F$3-$O$2,$Q$2)/$Q$2))</f>
        <v>2787.7009370923</v>
      </c>
      <c r="G494" s="15" t="n">
        <f aca="false">F494*(1+IF(G$3&lt;=$O$2,$D494,$D494-($D494-$I$481)*MIN(G$3-$O$2,$Q$2)/$Q$2))</f>
        <v>2811.86191933517</v>
      </c>
      <c r="H494" s="15" t="n">
        <f aca="false">G494*(1+IF(H$3&lt;=$O$2,$D494,$D494-($D494-$I$481)*MIN(H$3-$O$2,$Q$2)/$Q$2))</f>
        <v>2836.23230462238</v>
      </c>
      <c r="I494" s="15" t="n">
        <f aca="false">H494*(1+IF(I$3&lt;=$O$2,$D494,$D494-($D494-$I$481)*MIN(I$3-$O$2,$Q$2)/$Q$2))</f>
        <v>2860.81390784847</v>
      </c>
      <c r="J494" s="15" t="n">
        <f aca="false">I494*(1+IF(J$3&lt;=$O$2,$D494,$D494-($D494-$I$481)*MIN(J$3-$O$2,$Q$2)/$Q$2))</f>
        <v>2893.98102209042</v>
      </c>
      <c r="K494" s="15" t="n">
        <f aca="false">J494*(1+IF(K$3&lt;=$O$2,$D494,$D494-($D494-$I$481)*MIN(K$3-$O$2,$Q$2)/$Q$2))</f>
        <v>2936.00219176184</v>
      </c>
      <c r="L494" s="15" t="n">
        <f aca="false">K494*(1+IF(L$3&lt;=$O$2,$D494,$D494-($D494-$I$481)*MIN(L$3-$O$2,$Q$2)/$Q$2))</f>
        <v>2987.22602562606</v>
      </c>
      <c r="M494" s="15" t="n">
        <f aca="false">L494*(1+IF(M$3&lt;=$O$2,$D494,$D494-($D494-$I$481)*MIN(M$3-$O$2,$Q$2)/$Q$2))</f>
        <v>3048.08597166901</v>
      </c>
      <c r="N494" s="15" t="n">
        <f aca="false">M494*(1+IF(N$3&lt;=$O$2,$D494,$D494-($D494-$I$481)*MIN(N$3-$O$2,$Q$2)/$Q$2))</f>
        <v>3119.1063748089</v>
      </c>
      <c r="O494" s="15" t="n">
        <f aca="false">SUMPRODUCT(E494:N494,1/(1+$F$481)^$E$3:$N$3)*$E$2</f>
        <v>13057.3269402906</v>
      </c>
      <c r="P494" s="15" t="n">
        <f aca="false">N494*$E$2*(1+$I$481)/($F$481-$I$481)/(1+$F$481)^$N$3</f>
        <v>16751.5243245401</v>
      </c>
      <c r="Q494" s="15" t="n">
        <f aca="false">O494+P494</f>
        <v>29808.8512648307</v>
      </c>
      <c r="R494" s="15" t="n">
        <f aca="false">Q494-$G$2+$I$2</f>
        <v>30578.8512648307</v>
      </c>
      <c r="S494" s="42" t="n">
        <f aca="false">R494/$K$2</f>
        <v>292.816731445281</v>
      </c>
      <c r="T494" s="43" t="n">
        <f aca="false">S494-$M$2</f>
        <v>0.563547494309034</v>
      </c>
    </row>
    <row r="495" customFormat="false" ht="15" hidden="false" customHeight="false" outlineLevel="0" collapsed="false">
      <c r="A495" s="5" t="n">
        <v>13</v>
      </c>
      <c r="B495" s="25" t="n">
        <f aca="false">IF(T494&gt;0,B494,D494)</f>
        <v>0.00830078125</v>
      </c>
      <c r="C495" s="25" t="n">
        <f aca="false">IF(T494&gt;0,D494,C494)</f>
        <v>0.0086669921875</v>
      </c>
      <c r="D495" s="41" t="n">
        <f aca="false">(B495+C495)/2</f>
        <v>0.00848388671875</v>
      </c>
      <c r="E495" s="15" t="n">
        <f aca="false">$C$2*(1+IF(E$3&lt;=$O$2,$D495,$D495-($D495-$I$481)*MIN(E$3-$O$2,$Q$2)/$Q$2))</f>
        <v>2763.24584960938</v>
      </c>
      <c r="F495" s="15" t="n">
        <f aca="false">E495*(1+IF(F$3&lt;=$O$2,$D495,$D495-($D495-$I$481)*MIN(F$3-$O$2,$Q$2)/$Q$2))</f>
        <v>2786.68891437352</v>
      </c>
      <c r="G495" s="15" t="n">
        <f aca="false">F495*(1+IF(G$3&lt;=$O$2,$D495,$D495-($D495-$I$481)*MIN(G$3-$O$2,$Q$2)/$Q$2))</f>
        <v>2810.33086744346</v>
      </c>
      <c r="H495" s="15" t="n">
        <f aca="false">G495*(1+IF(H$3&lt;=$O$2,$D495,$D495-($D495-$I$481)*MIN(H$3-$O$2,$Q$2)/$Q$2))</f>
        <v>2834.17339616506</v>
      </c>
      <c r="I495" s="15" t="n">
        <f aca="false">H495*(1+IF(I$3&lt;=$O$2,$D495,$D495-($D495-$I$481)*MIN(I$3-$O$2,$Q$2)/$Q$2))</f>
        <v>2858.21820219941</v>
      </c>
      <c r="J495" s="15" t="n">
        <f aca="false">I495*(1+IF(J$3&lt;=$O$2,$D495,$D495-($D495-$I$481)*MIN(J$3-$O$2,$Q$2)/$Q$2))</f>
        <v>2890.93653857761</v>
      </c>
      <c r="K495" s="15" t="n">
        <f aca="false">J495*(1+IF(K$3&lt;=$O$2,$D495,$D495-($D495-$I$481)*MIN(K$3-$O$2,$Q$2)/$Q$2))</f>
        <v>2932.59589397978</v>
      </c>
      <c r="L495" s="15" t="n">
        <f aca="false">K495*(1+IF(L$3&lt;=$O$2,$D495,$D495-($D495-$I$481)*MIN(L$3-$O$2,$Q$2)/$Q$2))</f>
        <v>2983.54550912018</v>
      </c>
      <c r="M495" s="15" t="n">
        <f aca="false">L495*(1+IF(M$3&lt;=$O$2,$D495,$D495-($D495-$I$481)*MIN(M$3-$O$2,$Q$2)/$Q$2))</f>
        <v>3044.2212098341</v>
      </c>
      <c r="N495" s="15" t="n">
        <f aca="false">M495*(1+IF(N$3&lt;=$O$2,$D495,$D495-($D495-$I$481)*MIN(N$3-$O$2,$Q$2)/$Q$2))</f>
        <v>3115.15156402324</v>
      </c>
      <c r="O495" s="15" t="n">
        <f aca="false">SUMPRODUCT(E495:N495,1/(1+$F$481)^$E$3:$N$3)*$E$2</f>
        <v>13046.8966421362</v>
      </c>
      <c r="P495" s="15" t="n">
        <f aca="false">N495*$E$2*(1+$I$481)/($F$481-$I$481)/(1+$F$481)^$N$3</f>
        <v>16730.2845522739</v>
      </c>
      <c r="Q495" s="15" t="n">
        <f aca="false">O495+P495</f>
        <v>29777.1811944101</v>
      </c>
      <c r="R495" s="15" t="n">
        <f aca="false">Q495-$G$2+$I$2</f>
        <v>30547.1811944101</v>
      </c>
      <c r="S495" s="42" t="n">
        <f aca="false">R495/$K$2</f>
        <v>292.513465425741</v>
      </c>
      <c r="T495" s="43" t="n">
        <f aca="false">S495-$M$2</f>
        <v>0.260281474768476</v>
      </c>
    </row>
    <row r="496" customFormat="false" ht="15" hidden="false" customHeight="false" outlineLevel="0" collapsed="false">
      <c r="A496" s="5" t="n">
        <v>14</v>
      </c>
      <c r="B496" s="25" t="n">
        <f aca="false">IF(T495&gt;0,B495,D495)</f>
        <v>0.00830078125</v>
      </c>
      <c r="C496" s="25" t="n">
        <f aca="false">IF(T495&gt;0,D495,C495)</f>
        <v>0.00848388671875</v>
      </c>
      <c r="D496" s="41" t="n">
        <f aca="false">(B496+C496)/2</f>
        <v>0.008392333984375</v>
      </c>
      <c r="E496" s="15" t="n">
        <f aca="false">$C$2*(1+IF(E$3&lt;=$O$2,$D496,$D496-($D496-$I$481)*MIN(E$3-$O$2,$Q$2)/$Q$2))</f>
        <v>2762.99499511719</v>
      </c>
      <c r="F496" s="15" t="n">
        <f aca="false">E496*(1+IF(F$3&lt;=$O$2,$D496,$D496-($D496-$I$481)*MIN(F$3-$O$2,$Q$2)/$Q$2))</f>
        <v>2786.18297191337</v>
      </c>
      <c r="G496" s="15" t="n">
        <f aca="false">F496*(1+IF(G$3&lt;=$O$2,$D496,$D496-($D496-$I$481)*MIN(G$3-$O$2,$Q$2)/$Q$2))</f>
        <v>2809.56554995524</v>
      </c>
      <c r="H496" s="15" t="n">
        <f aca="false">G496*(1+IF(H$3&lt;=$O$2,$D496,$D496-($D496-$I$481)*MIN(H$3-$O$2,$Q$2)/$Q$2))</f>
        <v>2833.14436240146</v>
      </c>
      <c r="I496" s="15" t="n">
        <f aca="false">H496*(1+IF(I$3&lt;=$O$2,$D496,$D496-($D496-$I$481)*MIN(I$3-$O$2,$Q$2)/$Q$2))</f>
        <v>2856.92105611668</v>
      </c>
      <c r="J496" s="15" t="n">
        <f aca="false">I496*(1+IF(J$3&lt;=$O$2,$D496,$D496-($D496-$I$481)*MIN(J$3-$O$2,$Q$2)/$Q$2))</f>
        <v>2889.41529677413</v>
      </c>
      <c r="K496" s="15" t="n">
        <f aca="false">J496*(1+IF(K$3&lt;=$O$2,$D496,$D496-($D496-$I$481)*MIN(K$3-$O$2,$Q$2)/$Q$2))</f>
        <v>2930.89401025412</v>
      </c>
      <c r="L496" s="15" t="n">
        <f aca="false">K496*(1+IF(L$3&lt;=$O$2,$D496,$D496-($D496-$I$481)*MIN(L$3-$O$2,$Q$2)/$Q$2))</f>
        <v>2981.70672508021</v>
      </c>
      <c r="M496" s="15" t="n">
        <f aca="false">L496*(1+IF(M$3&lt;=$O$2,$D496,$D496-($D496-$I$481)*MIN(M$3-$O$2,$Q$2)/$Q$2))</f>
        <v>3042.29043417177</v>
      </c>
      <c r="N496" s="15" t="n">
        <f aca="false">M496*(1+IF(N$3&lt;=$O$2,$D496,$D496-($D496-$I$481)*MIN(N$3-$O$2,$Q$2)/$Q$2))</f>
        <v>3113.17580128798</v>
      </c>
      <c r="O496" s="15" t="n">
        <f aca="false">SUMPRODUCT(E496:N496,1/(1+$F$481)^$E$3:$N$3)*$E$2</f>
        <v>13041.6846812257</v>
      </c>
      <c r="P496" s="15" t="n">
        <f aca="false">N496*$E$2*(1+$I$481)/($F$481-$I$481)/(1+$F$481)^$N$3</f>
        <v>16719.6734882248</v>
      </c>
      <c r="Q496" s="15" t="n">
        <f aca="false">O496+P496</f>
        <v>29761.3581694505</v>
      </c>
      <c r="R496" s="15" t="n">
        <f aca="false">Q496-$G$2+$I$2</f>
        <v>30531.3581694505</v>
      </c>
      <c r="S496" s="42" t="n">
        <f aca="false">R496/$K$2</f>
        <v>292.361947423638</v>
      </c>
      <c r="T496" s="43" t="n">
        <f aca="false">S496-$M$2</f>
        <v>0.108763472665828</v>
      </c>
    </row>
    <row r="497" customFormat="false" ht="15" hidden="false" customHeight="false" outlineLevel="0" collapsed="false">
      <c r="A497" s="5" t="n">
        <v>15</v>
      </c>
      <c r="B497" s="25" t="n">
        <f aca="false">IF(T496&gt;0,B496,D496)</f>
        <v>0.00830078125</v>
      </c>
      <c r="C497" s="25" t="n">
        <f aca="false">IF(T496&gt;0,D496,C496)</f>
        <v>0.008392333984375</v>
      </c>
      <c r="D497" s="41" t="n">
        <f aca="false">(B497+C497)/2</f>
        <v>0.0083465576171875</v>
      </c>
      <c r="E497" s="15" t="n">
        <f aca="false">$C$2*(1+IF(E$3&lt;=$O$2,$D497,$D497-($D497-$I$481)*MIN(E$3-$O$2,$Q$2)/$Q$2))</f>
        <v>2762.86956787109</v>
      </c>
      <c r="F497" s="15" t="n">
        <f aca="false">E497*(1+IF(F$3&lt;=$O$2,$D497,$D497-($D497-$I$481)*MIN(F$3-$O$2,$Q$2)/$Q$2))</f>
        <v>2785.9300179081</v>
      </c>
      <c r="G497" s="15" t="n">
        <f aca="false">F497*(1+IF(G$3&lt;=$O$2,$D497,$D497-($D497-$I$481)*MIN(G$3-$O$2,$Q$2)/$Q$2))</f>
        <v>2809.18294332003</v>
      </c>
      <c r="H497" s="15" t="n">
        <f aca="false">G497*(1+IF(H$3&lt;=$O$2,$D497,$D497-($D497-$I$481)*MIN(H$3-$O$2,$Q$2)/$Q$2))</f>
        <v>2832.62995061367</v>
      </c>
      <c r="I497" s="15" t="n">
        <f aca="false">H497*(1+IF(I$3&lt;=$O$2,$D497,$D497-($D497-$I$481)*MIN(I$3-$O$2,$Q$2)/$Q$2))</f>
        <v>2856.27265970464</v>
      </c>
      <c r="J497" s="15" t="n">
        <f aca="false">I497*(1+IF(J$3&lt;=$O$2,$D497,$D497-($D497-$I$481)*MIN(J$3-$O$2,$Q$2)/$Q$2))</f>
        <v>2888.65492575856</v>
      </c>
      <c r="K497" s="15" t="n">
        <f aca="false">J497*(1+IF(K$3&lt;=$O$2,$D497,$D497-($D497-$I$481)*MIN(K$3-$O$2,$Q$2)/$Q$2))</f>
        <v>2930.04338453104</v>
      </c>
      <c r="L497" s="15" t="n">
        <f aca="false">K497*(1+IF(L$3&lt;=$O$2,$D497,$D497-($D497-$I$481)*MIN(L$3-$O$2,$Q$2)/$Q$2))</f>
        <v>2980.78770141872</v>
      </c>
      <c r="M497" s="15" t="n">
        <f aca="false">L497*(1+IF(M$3&lt;=$O$2,$D497,$D497-($D497-$I$481)*MIN(M$3-$O$2,$Q$2)/$Q$2))</f>
        <v>3041.32544743206</v>
      </c>
      <c r="N497" s="15" t="n">
        <f aca="false">M497*(1+IF(N$3&lt;=$O$2,$D497,$D497-($D497-$I$481)*MIN(N$3-$O$2,$Q$2)/$Q$2))</f>
        <v>3112.18833035723</v>
      </c>
      <c r="O497" s="15" t="n">
        <f aca="false">SUMPRODUCT(E497:N497,1/(1+$F$481)^$E$3:$N$3)*$E$2</f>
        <v>13039.079497454</v>
      </c>
      <c r="P497" s="15" t="n">
        <f aca="false">N497*$E$2*(1+$I$481)/($F$481-$I$481)/(1+$F$481)^$N$3</f>
        <v>16714.3701604993</v>
      </c>
      <c r="Q497" s="15" t="n">
        <f aca="false">O497+P497</f>
        <v>29753.4496579533</v>
      </c>
      <c r="R497" s="15" t="n">
        <f aca="false">Q497-$G$2+$I$2</f>
        <v>30523.4496579533</v>
      </c>
      <c r="S497" s="42" t="n">
        <f aca="false">R497/$K$2</f>
        <v>292.286217159373</v>
      </c>
      <c r="T497" s="43" t="n">
        <f aca="false">S497-$M$2</f>
        <v>0.0330332084010934</v>
      </c>
    </row>
    <row r="498" customFormat="false" ht="15" hidden="false" customHeight="false" outlineLevel="0" collapsed="false">
      <c r="A498" s="5" t="n">
        <v>16</v>
      </c>
      <c r="B498" s="25" t="n">
        <f aca="false">IF(T497&gt;0,B497,D497)</f>
        <v>0.00830078125</v>
      </c>
      <c r="C498" s="25" t="n">
        <f aca="false">IF(T497&gt;0,D497,C497)</f>
        <v>0.0083465576171875</v>
      </c>
      <c r="D498" s="41" t="n">
        <f aca="false">(B498+C498)/2</f>
        <v>0.00832366943359375</v>
      </c>
      <c r="E498" s="15" t="n">
        <f aca="false">$C$2*(1+IF(E$3&lt;=$O$2,$D498,$D498-($D498-$I$481)*MIN(E$3-$O$2,$Q$2)/$Q$2))</f>
        <v>2762.80685424805</v>
      </c>
      <c r="F498" s="15" t="n">
        <f aca="false">E498*(1+IF(F$3&lt;=$O$2,$D498,$D498-($D498-$I$481)*MIN(F$3-$O$2,$Q$2)/$Q$2))</f>
        <v>2785.80354521167</v>
      </c>
      <c r="G498" s="15" t="n">
        <f aca="false">F498*(1+IF(G$3&lt;=$O$2,$D498,$D498-($D498-$I$481)*MIN(G$3-$O$2,$Q$2)/$Q$2))</f>
        <v>2808.99165302895</v>
      </c>
      <c r="H498" s="15" t="n">
        <f aca="false">G498*(1+IF(H$3&lt;=$O$2,$D498,$D498-($D498-$I$481)*MIN(H$3-$O$2,$Q$2)/$Q$2))</f>
        <v>2832.37277099049</v>
      </c>
      <c r="I498" s="15" t="n">
        <f aca="false">H498*(1+IF(I$3&lt;=$O$2,$D498,$D498-($D498-$I$481)*MIN(I$3-$O$2,$Q$2)/$Q$2))</f>
        <v>2855.94850564892</v>
      </c>
      <c r="J498" s="15" t="n">
        <f aca="false">I498*(1+IF(J$3&lt;=$O$2,$D498,$D498-($D498-$I$481)*MIN(J$3-$O$2,$Q$2)/$Q$2))</f>
        <v>2888.27480270956</v>
      </c>
      <c r="K498" s="15" t="n">
        <f aca="false">J498*(1+IF(K$3&lt;=$O$2,$D498,$D498-($D498-$I$481)*MIN(K$3-$O$2,$Q$2)/$Q$2))</f>
        <v>2929.61815068549</v>
      </c>
      <c r="L498" s="15" t="n">
        <f aca="false">K498*(1+IF(L$3&lt;=$O$2,$D498,$D498-($D498-$I$481)*MIN(L$3-$O$2,$Q$2)/$Q$2))</f>
        <v>2980.32828165326</v>
      </c>
      <c r="M498" s="15" t="n">
        <f aca="false">L498*(1+IF(M$3&lt;=$O$2,$D498,$D498-($D498-$I$481)*MIN(M$3-$O$2,$Q$2)/$Q$2))</f>
        <v>3040.84305430729</v>
      </c>
      <c r="N498" s="15" t="n">
        <f aca="false">M498*(1+IF(N$3&lt;=$O$2,$D498,$D498-($D498-$I$481)*MIN(N$3-$O$2,$Q$2)/$Q$2))</f>
        <v>3111.69469747265</v>
      </c>
      <c r="O498" s="15" t="n">
        <f aca="false">SUMPRODUCT(E498:N498,1/(1+$F$481)^$E$3:$N$3)*$E$2</f>
        <v>13037.7771046943</v>
      </c>
      <c r="P498" s="15" t="n">
        <f aca="false">N498*$E$2*(1+$I$481)/($F$481-$I$481)/(1+$F$481)^$N$3</f>
        <v>16711.7190475587</v>
      </c>
      <c r="Q498" s="15" t="n">
        <f aca="false">O498+P498</f>
        <v>29749.496152253</v>
      </c>
      <c r="R498" s="15" t="n">
        <f aca="false">Q498-$G$2+$I$2</f>
        <v>30519.496152253</v>
      </c>
      <c r="S498" s="42" t="n">
        <f aca="false">R498/$K$2</f>
        <v>292.248359209547</v>
      </c>
      <c r="T498" s="43" t="n">
        <f aca="false">S498-$M$2</f>
        <v>-0.00482474142512501</v>
      </c>
    </row>
    <row r="499" customFormat="false" ht="15" hidden="false" customHeight="false" outlineLevel="0" collapsed="false">
      <c r="A499" s="5" t="n">
        <v>17</v>
      </c>
      <c r="B499" s="25" t="n">
        <f aca="false">IF(T498&gt;0,B498,D498)</f>
        <v>0.00832366943359375</v>
      </c>
      <c r="C499" s="25" t="n">
        <f aca="false">IF(T498&gt;0,D498,C498)</f>
        <v>0.0083465576171875</v>
      </c>
      <c r="D499" s="41" t="n">
        <f aca="false">(B499+C499)/2</f>
        <v>0.00833511352539063</v>
      </c>
      <c r="E499" s="15" t="n">
        <f aca="false">$C$2*(1+IF(E$3&lt;=$O$2,$D499,$D499-($D499-$I$481)*MIN(E$3-$O$2,$Q$2)/$Q$2))</f>
        <v>2762.83821105957</v>
      </c>
      <c r="F499" s="15" t="n">
        <f aca="false">E499*(1+IF(F$3&lt;=$O$2,$D499,$D499-($D499-$I$481)*MIN(F$3-$O$2,$Q$2)/$Q$2))</f>
        <v>2785.86678120104</v>
      </c>
      <c r="G499" s="15" t="n">
        <f aca="false">F499*(1+IF(G$3&lt;=$O$2,$D499,$D499-($D499-$I$481)*MIN(G$3-$O$2,$Q$2)/$Q$2))</f>
        <v>2809.08729708896</v>
      </c>
      <c r="H499" s="15" t="n">
        <f aca="false">G499*(1+IF(H$3&lt;=$O$2,$D499,$D499-($D499-$I$481)*MIN(H$3-$O$2,$Q$2)/$Q$2))</f>
        <v>2832.50135861293</v>
      </c>
      <c r="I499" s="15" t="n">
        <f aca="false">H499*(1+IF(I$3&lt;=$O$2,$D499,$D499-($D499-$I$481)*MIN(I$3-$O$2,$Q$2)/$Q$2))</f>
        <v>2856.1105789978</v>
      </c>
      <c r="J499" s="15" t="n">
        <f aca="false">I499*(1+IF(J$3&lt;=$O$2,$D499,$D499-($D499-$I$481)*MIN(J$3-$O$2,$Q$2)/$Q$2))</f>
        <v>2888.46485902954</v>
      </c>
      <c r="K499" s="15" t="n">
        <f aca="false">J499*(1+IF(K$3&lt;=$O$2,$D499,$D499-($D499-$I$481)*MIN(K$3-$O$2,$Q$2)/$Q$2))</f>
        <v>2929.83076102416</v>
      </c>
      <c r="L499" s="15" t="n">
        <f aca="false">K499*(1+IF(L$3&lt;=$O$2,$D499,$D499-($D499-$I$481)*MIN(L$3-$O$2,$Q$2)/$Q$2))</f>
        <v>2980.55798386461</v>
      </c>
      <c r="M499" s="15" t="n">
        <f aca="false">L499*(1+IF(M$3&lt;=$O$2,$D499,$D499-($D499-$I$481)*MIN(M$3-$O$2,$Q$2)/$Q$2))</f>
        <v>3041.08424251675</v>
      </c>
      <c r="N499" s="15" t="n">
        <f aca="false">M499*(1+IF(N$3&lt;=$O$2,$D499,$D499-($D499-$I$481)*MIN(N$3-$O$2,$Q$2)/$Q$2))</f>
        <v>3111.94150536739</v>
      </c>
      <c r="O499" s="15" t="n">
        <f aca="false">SUMPRODUCT(E499:N499,1/(1+$F$481)^$E$3:$N$3)*$E$2</f>
        <v>13038.4282844816</v>
      </c>
      <c r="P499" s="15" t="n">
        <f aca="false">N499*$E$2*(1+$I$481)/($F$481-$I$481)/(1+$F$481)^$N$3</f>
        <v>16713.0445581234</v>
      </c>
      <c r="Q499" s="15" t="n">
        <f aca="false">O499+P499</f>
        <v>29751.472842605</v>
      </c>
      <c r="R499" s="15" t="n">
        <f aca="false">Q499-$G$2+$I$2</f>
        <v>30521.472842605</v>
      </c>
      <c r="S499" s="42" t="n">
        <f aca="false">R499/$K$2</f>
        <v>292.267287585991</v>
      </c>
      <c r="T499" s="43" t="n">
        <f aca="false">S499-$M$2</f>
        <v>0.0141036350187846</v>
      </c>
    </row>
    <row r="500" customFormat="false" ht="15" hidden="false" customHeight="false" outlineLevel="0" collapsed="false">
      <c r="A500" s="5" t="n">
        <v>18</v>
      </c>
      <c r="B500" s="25" t="n">
        <f aca="false">IF(T499&gt;0,B499,D499)</f>
        <v>0.00832366943359375</v>
      </c>
      <c r="C500" s="25" t="n">
        <f aca="false">IF(T499&gt;0,D499,C499)</f>
        <v>0.00833511352539063</v>
      </c>
      <c r="D500" s="41" t="n">
        <f aca="false">(B500+C500)/2</f>
        <v>0.00832939147949219</v>
      </c>
      <c r="E500" s="15" t="n">
        <f aca="false">$C$2*(1+IF(E$3&lt;=$O$2,$D500,$D500-($D500-$I$481)*MIN(E$3-$O$2,$Q$2)/$Q$2))</f>
        <v>2762.82253265381</v>
      </c>
      <c r="F500" s="15" t="n">
        <f aca="false">E500*(1+IF(F$3&lt;=$O$2,$D500,$D500-($D500-$I$481)*MIN(F$3-$O$2,$Q$2)/$Q$2))</f>
        <v>2785.83516311664</v>
      </c>
      <c r="G500" s="15" t="n">
        <f aca="false">F500*(1+IF(G$3&lt;=$O$2,$D500,$D500-($D500-$I$481)*MIN(G$3-$O$2,$Q$2)/$Q$2))</f>
        <v>2809.03947478758</v>
      </c>
      <c r="H500" s="15" t="n">
        <f aca="false">G500*(1+IF(H$3&lt;=$O$2,$D500,$D500-($D500-$I$481)*MIN(H$3-$O$2,$Q$2)/$Q$2))</f>
        <v>2832.43706425443</v>
      </c>
      <c r="I500" s="15" t="n">
        <f aca="false">H500*(1+IF(I$3&lt;=$O$2,$D500,$D500-($D500-$I$481)*MIN(I$3-$O$2,$Q$2)/$Q$2))</f>
        <v>2856.02954140363</v>
      </c>
      <c r="J500" s="15" t="n">
        <f aca="false">I500*(1+IF(J$3&lt;=$O$2,$D500,$D500-($D500-$I$481)*MIN(J$3-$O$2,$Q$2)/$Q$2))</f>
        <v>2888.36982956845</v>
      </c>
      <c r="K500" s="15" t="n">
        <f aca="false">J500*(1+IF(K$3&lt;=$O$2,$D500,$D500-($D500-$I$481)*MIN(K$3-$O$2,$Q$2)/$Q$2))</f>
        <v>2929.72445420884</v>
      </c>
      <c r="L500" s="15" t="n">
        <f aca="false">K500*(1+IF(L$3&lt;=$O$2,$D500,$D500-($D500-$I$481)*MIN(L$3-$O$2,$Q$2)/$Q$2))</f>
        <v>2980.44313084114</v>
      </c>
      <c r="M500" s="15" t="n">
        <f aca="false">L500*(1+IF(M$3&lt;=$O$2,$D500,$D500-($D500-$I$481)*MIN(M$3-$O$2,$Q$2)/$Q$2))</f>
        <v>3040.96364632385</v>
      </c>
      <c r="N500" s="15" t="n">
        <f aca="false">M500*(1+IF(N$3&lt;=$O$2,$D500,$D500-($D500-$I$481)*MIN(N$3-$O$2,$Q$2)/$Q$2))</f>
        <v>3111.81809928319</v>
      </c>
      <c r="O500" s="15" t="n">
        <f aca="false">SUMPRODUCT(E500:N500,1/(1+$F$481)^$E$3:$N$3)*$E$2</f>
        <v>13038.1026904399</v>
      </c>
      <c r="P500" s="15" t="n">
        <f aca="false">N500*$E$2*(1+$I$481)/($F$481-$I$481)/(1+$F$481)^$N$3</f>
        <v>16712.381791365</v>
      </c>
      <c r="Q500" s="15" t="n">
        <f aca="false">O500+P500</f>
        <v>29750.4844818049</v>
      </c>
      <c r="R500" s="15" t="n">
        <f aca="false">Q500-$G$2+$I$2</f>
        <v>30520.4844818049</v>
      </c>
      <c r="S500" s="42" t="n">
        <f aca="false">R500/$K$2</f>
        <v>292.257823248156</v>
      </c>
      <c r="T500" s="43" t="n">
        <f aca="false">S500-$M$2</f>
        <v>0.00463929718364398</v>
      </c>
    </row>
    <row r="501" customFormat="false" ht="15" hidden="false" customHeight="false" outlineLevel="0" collapsed="false">
      <c r="A501" s="5" t="n">
        <v>19</v>
      </c>
      <c r="B501" s="25" t="n">
        <f aca="false">IF(T500&gt;0,B500,D500)</f>
        <v>0.00832366943359375</v>
      </c>
      <c r="C501" s="25" t="n">
        <f aca="false">IF(T500&gt;0,D500,C500)</f>
        <v>0.00832939147949219</v>
      </c>
      <c r="D501" s="41" t="n">
        <f aca="false">(B501+C501)/2</f>
        <v>0.00832653045654297</v>
      </c>
      <c r="E501" s="15" t="n">
        <f aca="false">$C$2*(1+IF(E$3&lt;=$O$2,$D501,$D501-($D501-$I$481)*MIN(E$3-$O$2,$Q$2)/$Q$2))</f>
        <v>2762.81469345093</v>
      </c>
      <c r="F501" s="15" t="n">
        <f aca="false">E501*(1+IF(F$3&lt;=$O$2,$D501,$D501-($D501-$I$481)*MIN(F$3-$O$2,$Q$2)/$Q$2))</f>
        <v>2785.81935414173</v>
      </c>
      <c r="G501" s="15" t="n">
        <f aca="false">F501*(1+IF(G$3&lt;=$O$2,$D501,$D501-($D501-$I$481)*MIN(G$3-$O$2,$Q$2)/$Q$2))</f>
        <v>2809.01556384042</v>
      </c>
      <c r="H501" s="15" t="n">
        <f aca="false">G501*(1+IF(H$3&lt;=$O$2,$D501,$D501-($D501-$I$481)*MIN(H$3-$O$2,$Q$2)/$Q$2))</f>
        <v>2832.40491748564</v>
      </c>
      <c r="I501" s="15" t="n">
        <f aca="false">H501*(1+IF(I$3&lt;=$O$2,$D501,$D501-($D501-$I$481)*MIN(I$3-$O$2,$Q$2)/$Q$2))</f>
        <v>2855.98902329635</v>
      </c>
      <c r="J501" s="15" t="n">
        <f aca="false">I501*(1+IF(J$3&lt;=$O$2,$D501,$D501-($D501-$I$481)*MIN(J$3-$O$2,$Q$2)/$Q$2))</f>
        <v>2888.32231581373</v>
      </c>
      <c r="K501" s="15" t="n">
        <f aca="false">J501*(1+IF(K$3&lt;=$O$2,$D501,$D501-($D501-$I$481)*MIN(K$3-$O$2,$Q$2)/$Q$2))</f>
        <v>2929.67130203568</v>
      </c>
      <c r="L501" s="15" t="n">
        <f aca="false">K501*(1+IF(L$3&lt;=$O$2,$D501,$D501-($D501-$I$481)*MIN(L$3-$O$2,$Q$2)/$Q$2))</f>
        <v>2980.38570576776</v>
      </c>
      <c r="M501" s="15" t="n">
        <f aca="false">L501*(1+IF(M$3&lt;=$O$2,$D501,$D501-($D501-$I$481)*MIN(M$3-$O$2,$Q$2)/$Q$2))</f>
        <v>3040.90334979353</v>
      </c>
      <c r="N501" s="15" t="n">
        <f aca="false">M501*(1+IF(N$3&lt;=$O$2,$D501,$D501-($D501-$I$481)*MIN(N$3-$O$2,$Q$2)/$Q$2))</f>
        <v>3111.75639784372</v>
      </c>
      <c r="O501" s="15" t="n">
        <f aca="false">SUMPRODUCT(E501:N501,1/(1+$F$481)^$E$3:$N$3)*$E$2</f>
        <v>13037.9398965301</v>
      </c>
      <c r="P501" s="15" t="n">
        <f aca="false">N501*$E$2*(1+$I$481)/($F$481-$I$481)/(1+$F$481)^$N$3</f>
        <v>16712.0504165929</v>
      </c>
      <c r="Q501" s="15" t="n">
        <f aca="false">O501+P501</f>
        <v>29749.990313123</v>
      </c>
      <c r="R501" s="15" t="n">
        <f aca="false">Q501-$G$2+$I$2</f>
        <v>30519.990313123</v>
      </c>
      <c r="S501" s="42" t="n">
        <f aca="false">R501/$K$2</f>
        <v>292.253091191449</v>
      </c>
      <c r="T501" s="43" t="n">
        <f aca="false">S501-$M$2</f>
        <v>-9.27595234543333E-005</v>
      </c>
    </row>
    <row r="502" customFormat="false" ht="15" hidden="false" customHeight="false" outlineLevel="0" collapsed="false">
      <c r="A502" s="5" t="n">
        <v>20</v>
      </c>
      <c r="B502" s="25" t="n">
        <f aca="false">IF(T501&gt;0,B501,D501)</f>
        <v>0.00832653045654297</v>
      </c>
      <c r="C502" s="25" t="n">
        <f aca="false">IF(T501&gt;0,D501,C501)</f>
        <v>0.00832939147949219</v>
      </c>
      <c r="D502" s="41" t="n">
        <f aca="false">(B502+C502)/2</f>
        <v>0.00832796096801758</v>
      </c>
      <c r="E502" s="15" t="n">
        <f aca="false">$C$2*(1+IF(E$3&lt;=$O$2,$D502,$D502-($D502-$I$481)*MIN(E$3-$O$2,$Q$2)/$Q$2))</f>
        <v>2762.81861305237</v>
      </c>
      <c r="F502" s="15" t="n">
        <f aca="false">E502*(1+IF(F$3&lt;=$O$2,$D502,$D502-($D502-$I$481)*MIN(F$3-$O$2,$Q$2)/$Q$2))</f>
        <v>2785.82725862358</v>
      </c>
      <c r="G502" s="15" t="n">
        <f aca="false">F502*(1+IF(G$3&lt;=$O$2,$D502,$D502-($D502-$I$481)*MIN(G$3-$O$2,$Q$2)/$Q$2))</f>
        <v>2809.02751929704</v>
      </c>
      <c r="H502" s="15" t="n">
        <f aca="false">G502*(1+IF(H$3&lt;=$O$2,$D502,$D502-($D502-$I$481)*MIN(H$3-$O$2,$Q$2)/$Q$2))</f>
        <v>2832.42099083583</v>
      </c>
      <c r="I502" s="15" t="n">
        <f aca="false">H502*(1+IF(I$3&lt;=$O$2,$D502,$D502-($D502-$I$481)*MIN(I$3-$O$2,$Q$2)/$Q$2))</f>
        <v>2856.00928229251</v>
      </c>
      <c r="J502" s="15" t="n">
        <f aca="false">I502*(1+IF(J$3&lt;=$O$2,$D502,$D502-($D502-$I$481)*MIN(J$3-$O$2,$Q$2)/$Q$2))</f>
        <v>2888.34607260977</v>
      </c>
      <c r="K502" s="15" t="n">
        <f aca="false">J502*(1+IF(K$3&lt;=$O$2,$D502,$D502-($D502-$I$481)*MIN(K$3-$O$2,$Q$2)/$Q$2))</f>
        <v>2929.69787801939</v>
      </c>
      <c r="L502" s="15" t="n">
        <f aca="false">K502*(1+IF(L$3&lt;=$O$2,$D502,$D502-($D502-$I$481)*MIN(L$3-$O$2,$Q$2)/$Q$2))</f>
        <v>2980.41441818459</v>
      </c>
      <c r="M502" s="15" t="n">
        <f aca="false">L502*(1+IF(M$3&lt;=$O$2,$D502,$D502-($D502-$I$481)*MIN(M$3-$O$2,$Q$2)/$Q$2))</f>
        <v>3040.93349792818</v>
      </c>
      <c r="N502" s="15" t="n">
        <f aca="false">M502*(1+IF(N$3&lt;=$O$2,$D502,$D502-($D502-$I$481)*MIN(N$3-$O$2,$Q$2)/$Q$2))</f>
        <v>3111.78724842991</v>
      </c>
      <c r="O502" s="15" t="n">
        <f aca="false">SUMPRODUCT(E502:N502,1/(1+$F$481)^$E$3:$N$3)*$E$2</f>
        <v>13038.0212932258</v>
      </c>
      <c r="P502" s="15" t="n">
        <f aca="false">N502*$E$2*(1+$I$481)/($F$481-$I$481)/(1+$F$481)^$N$3</f>
        <v>16712.2161032617</v>
      </c>
      <c r="Q502" s="15" t="n">
        <f aca="false">O502+P502</f>
        <v>29750.2373964875</v>
      </c>
      <c r="R502" s="15" t="n">
        <f aca="false">Q502-$G$2+$I$2</f>
        <v>30520.2373964875</v>
      </c>
      <c r="S502" s="42" t="n">
        <f aca="false">R502/$K$2</f>
        <v>292.255457210452</v>
      </c>
      <c r="T502" s="43" t="n">
        <f aca="false">S502-$M$2</f>
        <v>0.00227325947946611</v>
      </c>
    </row>
    <row r="503" customFormat="false" ht="15" hidden="false" customHeight="false" outlineLevel="0" collapsed="false">
      <c r="A503" s="5" t="n">
        <v>21</v>
      </c>
      <c r="B503" s="25" t="n">
        <f aca="false">IF(T502&gt;0,B502,D502)</f>
        <v>0.00832653045654297</v>
      </c>
      <c r="C503" s="25" t="n">
        <f aca="false">IF(T502&gt;0,D502,C502)</f>
        <v>0.00832796096801758</v>
      </c>
      <c r="D503" s="41" t="n">
        <f aca="false">(B503+C503)/2</f>
        <v>0.00832724571228027</v>
      </c>
      <c r="E503" s="15" t="n">
        <f aca="false">$C$2*(1+IF(E$3&lt;=$O$2,$D503,$D503-($D503-$I$481)*MIN(E$3-$O$2,$Q$2)/$Q$2))</f>
        <v>2762.81665325165</v>
      </c>
      <c r="F503" s="15" t="n">
        <f aca="false">E503*(1+IF(F$3&lt;=$O$2,$D503,$D503-($D503-$I$481)*MIN(F$3-$O$2,$Q$2)/$Q$2))</f>
        <v>2785.82330638125</v>
      </c>
      <c r="G503" s="15" t="n">
        <f aca="false">F503*(1+IF(G$3&lt;=$O$2,$D503,$D503-($D503-$I$481)*MIN(G$3-$O$2,$Q$2)/$Q$2))</f>
        <v>2809.02154156449</v>
      </c>
      <c r="H503" s="15" t="n">
        <f aca="false">G503*(1+IF(H$3&lt;=$O$2,$D503,$D503-($D503-$I$481)*MIN(H$3-$O$2,$Q$2)/$Q$2))</f>
        <v>2832.41295415218</v>
      </c>
      <c r="I503" s="15" t="n">
        <f aca="false">H503*(1+IF(I$3&lt;=$O$2,$D503,$D503-($D503-$I$481)*MIN(I$3-$O$2,$Q$2)/$Q$2))</f>
        <v>2855.99915278006</v>
      </c>
      <c r="J503" s="15" t="n">
        <f aca="false">I503*(1+IF(J$3&lt;=$O$2,$D503,$D503-($D503-$I$481)*MIN(J$3-$O$2,$Q$2)/$Q$2))</f>
        <v>2888.33419419142</v>
      </c>
      <c r="K503" s="15" t="n">
        <f aca="false">J503*(1+IF(K$3&lt;=$O$2,$D503,$D503-($D503-$I$481)*MIN(K$3-$O$2,$Q$2)/$Q$2))</f>
        <v>2929.68459000181</v>
      </c>
      <c r="L503" s="15" t="n">
        <f aca="false">K503*(1+IF(L$3&lt;=$O$2,$D503,$D503-($D503-$I$481)*MIN(L$3-$O$2,$Q$2)/$Q$2))</f>
        <v>2980.40006194621</v>
      </c>
      <c r="M503" s="15" t="n">
        <f aca="false">L503*(1+IF(M$3&lt;=$O$2,$D503,$D503-($D503-$I$481)*MIN(M$3-$O$2,$Q$2)/$Q$2))</f>
        <v>3040.91842382823</v>
      </c>
      <c r="N503" s="15" t="n">
        <f aca="false">M503*(1+IF(N$3&lt;=$O$2,$D503,$D503-($D503-$I$481)*MIN(N$3-$O$2,$Q$2)/$Q$2))</f>
        <v>3111.77182310343</v>
      </c>
      <c r="O503" s="15" t="n">
        <f aca="false">SUMPRODUCT(E503:N503,1/(1+$F$481)^$E$3:$N$3)*$E$2</f>
        <v>13037.9805948131</v>
      </c>
      <c r="P503" s="15" t="n">
        <f aca="false">N503*$E$2*(1+$I$481)/($F$481-$I$481)/(1+$F$481)^$N$3</f>
        <v>16712.133259748</v>
      </c>
      <c r="Q503" s="15" t="n">
        <f aca="false">O503+P503</f>
        <v>29750.1138545611</v>
      </c>
      <c r="R503" s="15" t="n">
        <f aca="false">Q503-$G$2+$I$2</f>
        <v>30520.1138545611</v>
      </c>
      <c r="S503" s="42" t="n">
        <f aca="false">R503/$K$2</f>
        <v>292.254274198612</v>
      </c>
      <c r="T503" s="43" t="n">
        <f aca="false">S503-$M$2</f>
        <v>0.00109024764032029</v>
      </c>
    </row>
    <row r="504" customFormat="false" ht="15" hidden="false" customHeight="false" outlineLevel="0" collapsed="false">
      <c r="A504" s="5" t="n">
        <v>22</v>
      </c>
      <c r="B504" s="25" t="n">
        <f aca="false">IF(T503&gt;0,B503,D503)</f>
        <v>0.00832653045654297</v>
      </c>
      <c r="C504" s="25" t="n">
        <f aca="false">IF(T503&gt;0,D503,C503)</f>
        <v>0.00832724571228027</v>
      </c>
      <c r="D504" s="41" t="n">
        <f aca="false">(B504+C504)/2</f>
        <v>0.00832688808441162</v>
      </c>
      <c r="E504" s="15" t="n">
        <f aca="false">$C$2*(1+IF(E$3&lt;=$O$2,$D504,$D504-($D504-$I$481)*MIN(E$3-$O$2,$Q$2)/$Q$2))</f>
        <v>2762.81567335129</v>
      </c>
      <c r="F504" s="15" t="n">
        <f aca="false">E504*(1+IF(F$3&lt;=$O$2,$D504,$D504-($D504-$I$481)*MIN(F$3-$O$2,$Q$2)/$Q$2))</f>
        <v>2785.82133026114</v>
      </c>
      <c r="G504" s="15" t="n">
        <f aca="false">F504*(1+IF(G$3&lt;=$O$2,$D504,$D504-($D504-$I$481)*MIN(G$3-$O$2,$Q$2)/$Q$2))</f>
        <v>2809.01855270139</v>
      </c>
      <c r="H504" s="15" t="n">
        <f aca="false">G504*(1+IF(H$3&lt;=$O$2,$D504,$D504-($D504-$I$481)*MIN(H$3-$O$2,$Q$2)/$Q$2))</f>
        <v>2832.40893581677</v>
      </c>
      <c r="I504" s="15" t="n">
        <f aca="false">H504*(1+IF(I$3&lt;=$O$2,$D504,$D504-($D504-$I$481)*MIN(I$3-$O$2,$Q$2)/$Q$2))</f>
        <v>2855.99408803461</v>
      </c>
      <c r="J504" s="15" t="n">
        <f aca="false">I504*(1+IF(J$3&lt;=$O$2,$D504,$D504-($D504-$I$481)*MIN(J$3-$O$2,$Q$2)/$Q$2))</f>
        <v>2888.32825499749</v>
      </c>
      <c r="K504" s="15" t="n">
        <f aca="false">J504*(1+IF(K$3&lt;=$O$2,$D504,$D504-($D504-$I$481)*MIN(K$3-$O$2,$Q$2)/$Q$2))</f>
        <v>2929.67794601231</v>
      </c>
      <c r="L504" s="15" t="n">
        <f aca="false">K504*(1+IF(L$3&lt;=$O$2,$D504,$D504-($D504-$I$481)*MIN(L$3-$O$2,$Q$2)/$Q$2))</f>
        <v>2980.39288384949</v>
      </c>
      <c r="M504" s="15" t="n">
        <f aca="false">L504*(1+IF(M$3&lt;=$O$2,$D504,$D504-($D504-$I$481)*MIN(M$3-$O$2,$Q$2)/$Q$2))</f>
        <v>3040.91088680272</v>
      </c>
      <c r="N504" s="15" t="n">
        <f aca="false">M504*(1+IF(N$3&lt;=$O$2,$D504,$D504-($D504-$I$481)*MIN(N$3-$O$2,$Q$2)/$Q$2))</f>
        <v>3111.76411046523</v>
      </c>
      <c r="O504" s="15" t="n">
        <f aca="false">SUMPRODUCT(E504:N504,1/(1+$F$481)^$E$3:$N$3)*$E$2</f>
        <v>13037.9602456554</v>
      </c>
      <c r="P504" s="15" t="n">
        <f aca="false">N504*$E$2*(1+$I$481)/($F$481-$I$481)/(1+$F$481)^$N$3</f>
        <v>16712.0918381256</v>
      </c>
      <c r="Q504" s="15" t="n">
        <f aca="false">O504+P504</f>
        <v>29750.052083781</v>
      </c>
      <c r="R504" s="15" t="n">
        <f aca="false">Q504-$G$2+$I$2</f>
        <v>30520.052083781</v>
      </c>
      <c r="S504" s="42" t="n">
        <f aca="false">R504/$K$2</f>
        <v>292.253682694446</v>
      </c>
      <c r="T504" s="43" t="n">
        <f aca="false">S504-$M$2</f>
        <v>0.000498743473883678</v>
      </c>
    </row>
    <row r="505" customFormat="false" ht="15" hidden="false" customHeight="false" outlineLevel="0" collapsed="false">
      <c r="A505" s="5" t="n">
        <v>23</v>
      </c>
      <c r="B505" s="25" t="n">
        <f aca="false">IF(T504&gt;0,B504,D504)</f>
        <v>0.00832653045654297</v>
      </c>
      <c r="C505" s="25" t="n">
        <f aca="false">IF(T504&gt;0,D504,C504)</f>
        <v>0.00832688808441162</v>
      </c>
      <c r="D505" s="41" t="n">
        <f aca="false">(B505+C505)/2</f>
        <v>0.0083267092704773</v>
      </c>
      <c r="E505" s="15" t="n">
        <f aca="false">$C$2*(1+IF(E$3&lt;=$O$2,$D505,$D505-($D505-$I$481)*MIN(E$3-$O$2,$Q$2)/$Q$2))</f>
        <v>2762.81518340111</v>
      </c>
      <c r="F505" s="15" t="n">
        <f aca="false">E505*(1+IF(F$3&lt;=$O$2,$D505,$D505-($D505-$I$481)*MIN(F$3-$O$2,$Q$2)/$Q$2))</f>
        <v>2785.82034220135</v>
      </c>
      <c r="G505" s="15" t="n">
        <f aca="false">F505*(1+IF(G$3&lt;=$O$2,$D505,$D505-($D505-$I$481)*MIN(G$3-$O$2,$Q$2)/$Q$2))</f>
        <v>2809.01705827064</v>
      </c>
      <c r="H505" s="15" t="n">
        <f aca="false">G505*(1+IF(H$3&lt;=$O$2,$D505,$D505-($D505-$I$481)*MIN(H$3-$O$2,$Q$2)/$Q$2))</f>
        <v>2832.40692665067</v>
      </c>
      <c r="I505" s="15" t="n">
        <f aca="false">H505*(1+IF(I$3&lt;=$O$2,$D505,$D505-($D505-$I$481)*MIN(I$3-$O$2,$Q$2)/$Q$2))</f>
        <v>2855.99155566458</v>
      </c>
      <c r="J505" s="15" t="n">
        <f aca="false">I505*(1+IF(J$3&lt;=$O$2,$D505,$D505-($D505-$I$481)*MIN(J$3-$O$2,$Q$2)/$Q$2))</f>
        <v>2888.32528540434</v>
      </c>
      <c r="K505" s="15" t="n">
        <f aca="false">J505*(1+IF(K$3&lt;=$O$2,$D505,$D505-($D505-$I$481)*MIN(K$3-$O$2,$Q$2)/$Q$2))</f>
        <v>2929.67462402239</v>
      </c>
      <c r="L505" s="15" t="n">
        <f aca="false">K505*(1+IF(L$3&lt;=$O$2,$D505,$D505-($D505-$I$481)*MIN(L$3-$O$2,$Q$2)/$Q$2))</f>
        <v>2980.38929480675</v>
      </c>
      <c r="M505" s="15" t="n">
        <f aca="false">L505*(1+IF(M$3&lt;=$O$2,$D505,$D505-($D505-$I$481)*MIN(M$3-$O$2,$Q$2)/$Q$2))</f>
        <v>3040.90711829609</v>
      </c>
      <c r="N505" s="15" t="n">
        <f aca="false">M505*(1+IF(N$3&lt;=$O$2,$D505,$D505-($D505-$I$481)*MIN(N$3-$O$2,$Q$2)/$Q$2))</f>
        <v>3111.76025415239</v>
      </c>
      <c r="O505" s="15" t="n">
        <f aca="false">SUMPRODUCT(E505:N505,1/(1+$F$481)^$E$3:$N$3)*$E$2</f>
        <v>13037.9500710887</v>
      </c>
      <c r="P505" s="15" t="n">
        <f aca="false">N505*$E$2*(1+$I$481)/($F$481-$I$481)/(1+$F$481)^$N$3</f>
        <v>16712.071127348</v>
      </c>
      <c r="Q505" s="15" t="n">
        <f aca="false">O505+P505</f>
        <v>29750.0211984367</v>
      </c>
      <c r="R505" s="15" t="n">
        <f aca="false">Q505-$G$2+$I$2</f>
        <v>30520.0211984367</v>
      </c>
      <c r="S505" s="42" t="n">
        <f aca="false">R505/$K$2</f>
        <v>292.253386942801</v>
      </c>
      <c r="T505" s="43" t="n">
        <f aca="false">S505-$M$2</f>
        <v>0.000202991829098664</v>
      </c>
    </row>
    <row r="506" customFormat="false" ht="15" hidden="false" customHeight="false" outlineLevel="0" collapsed="false">
      <c r="A506" s="5" t="n">
        <v>24</v>
      </c>
      <c r="B506" s="25" t="n">
        <f aca="false">IF(T505&gt;0,B505,D505)</f>
        <v>0.00832653045654297</v>
      </c>
      <c r="C506" s="25" t="n">
        <f aca="false">IF(T505&gt;0,D505,C505)</f>
        <v>0.0083267092704773</v>
      </c>
      <c r="D506" s="41" t="n">
        <f aca="false">(B506+C506)/2</f>
        <v>0.00832661986351013</v>
      </c>
      <c r="E506" s="15" t="n">
        <f aca="false">$C$2*(1+IF(E$3&lt;=$O$2,$D506,$D506-($D506-$I$481)*MIN(E$3-$O$2,$Q$2)/$Q$2))</f>
        <v>2762.81493842602</v>
      </c>
      <c r="F506" s="15" t="n">
        <f aca="false">E506*(1+IF(F$3&lt;=$O$2,$D506,$D506-($D506-$I$481)*MIN(F$3-$O$2,$Q$2)/$Q$2))</f>
        <v>2785.81984817152</v>
      </c>
      <c r="G506" s="15" t="n">
        <f aca="false">F506*(1+IF(G$3&lt;=$O$2,$D506,$D506-($D506-$I$481)*MIN(G$3-$O$2,$Q$2)/$Q$2))</f>
        <v>2809.01631105546</v>
      </c>
      <c r="H506" s="15" t="n">
        <f aca="false">G506*(1+IF(H$3&lt;=$O$2,$D506,$D506-($D506-$I$481)*MIN(H$3-$O$2,$Q$2)/$Q$2))</f>
        <v>2832.40592206802</v>
      </c>
      <c r="I506" s="15" t="n">
        <f aca="false">H506*(1+IF(I$3&lt;=$O$2,$D506,$D506-($D506-$I$481)*MIN(I$3-$O$2,$Q$2)/$Q$2))</f>
        <v>2855.99028948024</v>
      </c>
      <c r="J506" s="15" t="n">
        <f aca="false">I506*(1+IF(J$3&lt;=$O$2,$D506,$D506-($D506-$I$481)*MIN(J$3-$O$2,$Q$2)/$Q$2))</f>
        <v>2888.32380060872</v>
      </c>
      <c r="K506" s="15" t="n">
        <f aca="false">J506*(1+IF(K$3&lt;=$O$2,$D506,$D506-($D506-$I$481)*MIN(K$3-$O$2,$Q$2)/$Q$2))</f>
        <v>2929.67296302863</v>
      </c>
      <c r="L506" s="15" t="n">
        <f aca="false">K506*(1+IF(L$3&lt;=$O$2,$D506,$D506-($D506-$I$481)*MIN(L$3-$O$2,$Q$2)/$Q$2))</f>
        <v>2980.38750028679</v>
      </c>
      <c r="M506" s="15" t="n">
        <f aca="false">L506*(1+IF(M$3&lt;=$O$2,$D506,$D506-($D506-$I$481)*MIN(M$3-$O$2,$Q$2)/$Q$2))</f>
        <v>3040.9052340443</v>
      </c>
      <c r="N506" s="15" t="n">
        <f aca="false">M506*(1+IF(N$3&lt;=$O$2,$D506,$D506-($D506-$I$481)*MIN(N$3-$O$2,$Q$2)/$Q$2))</f>
        <v>3111.75832599754</v>
      </c>
      <c r="O506" s="15" t="n">
        <f aca="false">SUMPRODUCT(E506:N506,1/(1+$F$481)^$E$3:$N$3)*$E$2</f>
        <v>13037.9449838084</v>
      </c>
      <c r="P506" s="15" t="n">
        <f aca="false">N506*$E$2*(1+$I$481)/($F$481-$I$481)/(1+$F$481)^$N$3</f>
        <v>16712.0607719676</v>
      </c>
      <c r="Q506" s="15" t="n">
        <f aca="false">O506+P506</f>
        <v>29750.005755776</v>
      </c>
      <c r="R506" s="15" t="n">
        <f aca="false">Q506-$G$2+$I$2</f>
        <v>30520.005755776</v>
      </c>
      <c r="S506" s="42" t="n">
        <f aca="false">R506/$K$2</f>
        <v>292.253239067088</v>
      </c>
      <c r="T506" s="43" t="n">
        <f aca="false">S506-$M$2</f>
        <v>5.51161163571123E-005</v>
      </c>
    </row>
    <row r="508" customFormat="false" ht="15" hidden="false" customHeight="false" outlineLevel="0" collapsed="false">
      <c r="A508" s="38" t="s">
        <v>196</v>
      </c>
      <c r="E508" s="5" t="s">
        <v>11</v>
      </c>
      <c r="F508" s="12" t="n">
        <f aca="false">Sensitivity!$B$13</f>
        <v>0.0822772551778937</v>
      </c>
      <c r="G508" s="5" t="s">
        <v>12</v>
      </c>
      <c r="I508" s="12" t="n">
        <f aca="false">Sensitivity!$E$9</f>
        <v>0.0283</v>
      </c>
    </row>
    <row r="509" customFormat="false" ht="23.85" hidden="false" customHeight="false" outlineLevel="0" collapsed="false">
      <c r="A509" s="38" t="s">
        <v>159</v>
      </c>
      <c r="B509" s="28" t="s">
        <v>160</v>
      </c>
      <c r="C509" s="28" t="s">
        <v>161</v>
      </c>
      <c r="D509" s="28" t="s">
        <v>162</v>
      </c>
      <c r="E509" s="28" t="s">
        <v>163</v>
      </c>
      <c r="F509" s="28" t="s">
        <v>164</v>
      </c>
      <c r="G509" s="28" t="s">
        <v>165</v>
      </c>
      <c r="H509" s="28" t="s">
        <v>166</v>
      </c>
      <c r="I509" s="28" t="s">
        <v>167</v>
      </c>
      <c r="J509" s="28" t="s">
        <v>168</v>
      </c>
      <c r="K509" s="28" t="s">
        <v>169</v>
      </c>
      <c r="L509" s="28" t="s">
        <v>170</v>
      </c>
      <c r="M509" s="28" t="s">
        <v>171</v>
      </c>
      <c r="N509" s="28" t="s">
        <v>172</v>
      </c>
      <c r="O509" s="28" t="s">
        <v>173</v>
      </c>
      <c r="P509" s="28" t="s">
        <v>174</v>
      </c>
      <c r="Q509" s="28" t="s">
        <v>175</v>
      </c>
      <c r="R509" s="28" t="s">
        <v>176</v>
      </c>
      <c r="S509" s="28" t="s">
        <v>177</v>
      </c>
      <c r="T509" s="28" t="s">
        <v>178</v>
      </c>
    </row>
    <row r="510" customFormat="false" ht="15" hidden="false" customHeight="false" outlineLevel="0" collapsed="false">
      <c r="A510" s="5" t="n">
        <v>1</v>
      </c>
      <c r="B510" s="24" t="n">
        <v>-0.5</v>
      </c>
      <c r="C510" s="24" t="n">
        <v>1</v>
      </c>
      <c r="D510" s="41" t="n">
        <f aca="false">(B510+C510)/2</f>
        <v>0.25</v>
      </c>
      <c r="E510" s="15" t="n">
        <f aca="false">$C$2*(1+IF(E$3&lt;=$O$2,$D510,$D510-($D510-$I$508)*MIN(E$3-$O$2,$Q$2)/$Q$2))</f>
        <v>3425</v>
      </c>
      <c r="F510" s="15" t="n">
        <f aca="false">E510*(1+IF(F$3&lt;=$O$2,$D510,$D510-($D510-$I$508)*MIN(F$3-$O$2,$Q$2)/$Q$2))</f>
        <v>4281.25</v>
      </c>
      <c r="G510" s="15" t="n">
        <f aca="false">F510*(1+IF(G$3&lt;=$O$2,$D510,$D510-($D510-$I$508)*MIN(G$3-$O$2,$Q$2)/$Q$2))</f>
        <v>5351.5625</v>
      </c>
      <c r="H510" s="15" t="n">
        <f aca="false">G510*(1+IF(H$3&lt;=$O$2,$D510,$D510-($D510-$I$508)*MIN(H$3-$O$2,$Q$2)/$Q$2))</f>
        <v>6689.453125</v>
      </c>
      <c r="I510" s="15" t="n">
        <f aca="false">H510*(1+IF(I$3&lt;=$O$2,$D510,$D510-($D510-$I$508)*MIN(I$3-$O$2,$Q$2)/$Q$2))</f>
        <v>8361.81640625</v>
      </c>
      <c r="J510" s="15" t="n">
        <f aca="false">I510*(1+IF(J$3&lt;=$O$2,$D510,$D510-($D510-$I$508)*MIN(J$3-$O$2,$Q$2)/$Q$2))</f>
        <v>10081.5075683594</v>
      </c>
      <c r="K510" s="15" t="n">
        <f aca="false">J510*(1+IF(K$3&lt;=$O$2,$D510,$D510-($D510-$I$508)*MIN(K$3-$O$2,$Q$2)/$Q$2))</f>
        <v>11707.8563692871</v>
      </c>
      <c r="L510" s="15" t="n">
        <f aca="false">K510*(1+IF(L$3&lt;=$O$2,$D510,$D510-($D510-$I$508)*MIN(L$3-$O$2,$Q$2)/$Q$2))</f>
        <v>13077.4414073663</v>
      </c>
      <c r="M510" s="15" t="n">
        <f aca="false">L510*(1+IF(M$3&lt;=$O$2,$D510,$D510-($D510-$I$508)*MIN(M$3-$O$2,$Q$2)/$Q$2))</f>
        <v>14027.3867511974</v>
      </c>
      <c r="N510" s="15" t="n">
        <f aca="false">M510*(1+IF(N$3&lt;=$O$2,$D510,$D510-($D510-$I$508)*MIN(N$3-$O$2,$Q$2)/$Q$2))</f>
        <v>14424.3617962563</v>
      </c>
      <c r="O510" s="15" t="n">
        <f aca="false">SUMPRODUCT(E510:N510,1/(1+$F$508)^$E$3:$N$3)*$E$2</f>
        <v>37487.0524733549</v>
      </c>
      <c r="P510" s="15" t="n">
        <f aca="false">N510*$E$2*(1+$I$508)/($F$508-$I$508)/(1+$F$508)^$N$3</f>
        <v>85057.2573396897</v>
      </c>
      <c r="Q510" s="15" t="n">
        <f aca="false">O510+P510</f>
        <v>122544.309813045</v>
      </c>
      <c r="R510" s="15" t="n">
        <f aca="false">Q510-$G$2+$I$2</f>
        <v>123314.309813045</v>
      </c>
      <c r="S510" s="42" t="n">
        <f aca="false">R510/$K$2</f>
        <v>1180.83223032696</v>
      </c>
      <c r="T510" s="43" t="n">
        <f aca="false">S510-$M$2</f>
        <v>888.579046375989</v>
      </c>
    </row>
    <row r="511" customFormat="false" ht="15" hidden="false" customHeight="false" outlineLevel="0" collapsed="false">
      <c r="A511" s="5" t="n">
        <v>2</v>
      </c>
      <c r="B511" s="25" t="n">
        <f aca="false">IF(T510&gt;0,B510,D510)</f>
        <v>-0.5</v>
      </c>
      <c r="C511" s="25" t="n">
        <f aca="false">IF(T510&gt;0,D510,C510)</f>
        <v>0.25</v>
      </c>
      <c r="D511" s="41" t="n">
        <f aca="false">(B511+C511)/2</f>
        <v>-0.125</v>
      </c>
      <c r="E511" s="15" t="n">
        <f aca="false">$C$2*(1+IF(E$3&lt;=$O$2,$D511,$D511-($D511-$I$508)*MIN(E$3-$O$2,$Q$2)/$Q$2))</f>
        <v>2397.5</v>
      </c>
      <c r="F511" s="15" t="n">
        <f aca="false">E511*(1+IF(F$3&lt;=$O$2,$D511,$D511-($D511-$I$508)*MIN(F$3-$O$2,$Q$2)/$Q$2))</f>
        <v>2097.8125</v>
      </c>
      <c r="G511" s="15" t="n">
        <f aca="false">F511*(1+IF(G$3&lt;=$O$2,$D511,$D511-($D511-$I$508)*MIN(G$3-$O$2,$Q$2)/$Q$2))</f>
        <v>1835.5859375</v>
      </c>
      <c r="H511" s="15" t="n">
        <f aca="false">G511*(1+IF(H$3&lt;=$O$2,$D511,$D511-($D511-$I$508)*MIN(H$3-$O$2,$Q$2)/$Q$2))</f>
        <v>1606.1376953125</v>
      </c>
      <c r="I511" s="15" t="n">
        <f aca="false">H511*(1+IF(I$3&lt;=$O$2,$D511,$D511-($D511-$I$508)*MIN(I$3-$O$2,$Q$2)/$Q$2))</f>
        <v>1405.37048339844</v>
      </c>
      <c r="J511" s="15" t="n">
        <f aca="false">I511*(1+IF(J$3&lt;=$O$2,$D511,$D511-($D511-$I$508)*MIN(J$3-$O$2,$Q$2)/$Q$2))</f>
        <v>1272.78783199463</v>
      </c>
      <c r="K511" s="15" t="n">
        <f aca="false">J511*(1+IF(K$3&lt;=$O$2,$D511,$D511-($D511-$I$508)*MIN(K$3-$O$2,$Q$2)/$Q$2))</f>
        <v>1191.73670285321</v>
      </c>
      <c r="L511" s="15" t="n">
        <f aca="false">K511*(1+IF(L$3&lt;=$O$2,$D511,$D511-($D511-$I$508)*MIN(L$3-$O$2,$Q$2)/$Q$2))</f>
        <v>1152.385556925</v>
      </c>
      <c r="M511" s="15" t="n">
        <f aca="false">L511*(1+IF(M$3&lt;=$O$2,$D511,$D511-($D511-$I$508)*MIN(M$3-$O$2,$Q$2)/$Q$2))</f>
        <v>1149.66592701066</v>
      </c>
      <c r="N511" s="15" t="n">
        <f aca="false">M511*(1+IF(N$3&lt;=$O$2,$D511,$D511-($D511-$I$508)*MIN(N$3-$O$2,$Q$2)/$Q$2))</f>
        <v>1182.20147274506</v>
      </c>
      <c r="O511" s="15" t="n">
        <f aca="false">SUMPRODUCT(E511:N511,1/(1+$F$508)^$E$3:$N$3)*$E$2</f>
        <v>7344.29724638078</v>
      </c>
      <c r="P511" s="15" t="n">
        <f aca="false">N511*$E$2*(1+$I$508)/($F$508-$I$508)/(1+$F$508)^$N$3</f>
        <v>6971.17947504162</v>
      </c>
      <c r="Q511" s="15" t="n">
        <f aca="false">O511+P511</f>
        <v>14315.4767214224</v>
      </c>
      <c r="R511" s="15" t="n">
        <f aca="false">Q511-$G$2+$I$2</f>
        <v>15085.4767214224</v>
      </c>
      <c r="S511" s="42" t="n">
        <f aca="false">R511/$K$2</f>
        <v>144.455393291414</v>
      </c>
      <c r="T511" s="43" t="n">
        <f aca="false">S511-$M$2</f>
        <v>-147.797790659558</v>
      </c>
    </row>
    <row r="512" customFormat="false" ht="15" hidden="false" customHeight="false" outlineLevel="0" collapsed="false">
      <c r="A512" s="5" t="n">
        <v>3</v>
      </c>
      <c r="B512" s="25" t="n">
        <f aca="false">IF(T511&gt;0,B511,D511)</f>
        <v>-0.125</v>
      </c>
      <c r="C512" s="25" t="n">
        <f aca="false">IF(T511&gt;0,D511,C511)</f>
        <v>0.25</v>
      </c>
      <c r="D512" s="41" t="n">
        <f aca="false">(B512+C512)/2</f>
        <v>0.0625</v>
      </c>
      <c r="E512" s="15" t="n">
        <f aca="false">$C$2*(1+IF(E$3&lt;=$O$2,$D512,$D512-($D512-$I$508)*MIN(E$3-$O$2,$Q$2)/$Q$2))</f>
        <v>2911.25</v>
      </c>
      <c r="F512" s="15" t="n">
        <f aca="false">E512*(1+IF(F$3&lt;=$O$2,$D512,$D512-($D512-$I$508)*MIN(F$3-$O$2,$Q$2)/$Q$2))</f>
        <v>3093.203125</v>
      </c>
      <c r="G512" s="15" t="n">
        <f aca="false">F512*(1+IF(G$3&lt;=$O$2,$D512,$D512-($D512-$I$508)*MIN(G$3-$O$2,$Q$2)/$Q$2))</f>
        <v>3286.5283203125</v>
      </c>
      <c r="H512" s="15" t="n">
        <f aca="false">G512*(1+IF(H$3&lt;=$O$2,$D512,$D512-($D512-$I$508)*MIN(H$3-$O$2,$Q$2)/$Q$2))</f>
        <v>3491.93634033203</v>
      </c>
      <c r="I512" s="15" t="n">
        <f aca="false">H512*(1+IF(I$3&lt;=$O$2,$D512,$D512-($D512-$I$508)*MIN(I$3-$O$2,$Q$2)/$Q$2))</f>
        <v>3710.18236160278</v>
      </c>
      <c r="J512" s="15" t="n">
        <f aca="false">I512*(1+IF(J$3&lt;=$O$2,$D512,$D512-($D512-$I$508)*MIN(J$3-$O$2,$Q$2)/$Q$2))</f>
        <v>3916.69111184959</v>
      </c>
      <c r="K512" s="15" t="n">
        <f aca="false">J512*(1+IF(K$3&lt;=$O$2,$D512,$D512-($D512-$I$508)*MIN(K$3-$O$2,$Q$2)/$Q$2))</f>
        <v>4107.90397193009</v>
      </c>
      <c r="L512" s="15" t="n">
        <f aca="false">K512*(1+IF(L$3&lt;=$O$2,$D512,$D512-($D512-$I$508)*MIN(L$3-$O$2,$Q$2)/$Q$2))</f>
        <v>4280.35378067172</v>
      </c>
      <c r="M512" s="15" t="n">
        <f aca="false">L512*(1+IF(M$3&lt;=$O$2,$D512,$D512-($D512-$I$508)*MIN(M$3-$O$2,$Q$2)/$Q$2))</f>
        <v>4430.76541252452</v>
      </c>
      <c r="N512" s="15" t="n">
        <f aca="false">M512*(1+IF(N$3&lt;=$O$2,$D512,$D512-($D512-$I$508)*MIN(N$3-$O$2,$Q$2)/$Q$2))</f>
        <v>4556.15607369897</v>
      </c>
      <c r="O512" s="15" t="n">
        <f aca="false">SUMPRODUCT(E512:N512,1/(1+$F$508)^$E$3:$N$3)*$E$2</f>
        <v>16571.4631704689</v>
      </c>
      <c r="P512" s="15" t="n">
        <f aca="false">N512*$E$2*(1+$I$508)/($F$508-$I$508)/(1+$F$508)^$N$3</f>
        <v>26866.6402794322</v>
      </c>
      <c r="Q512" s="15" t="n">
        <f aca="false">O512+P512</f>
        <v>43438.1034499011</v>
      </c>
      <c r="R512" s="15" t="n">
        <f aca="false">Q512-$G$2+$I$2</f>
        <v>44208.1034499011</v>
      </c>
      <c r="S512" s="42" t="n">
        <f aca="false">R512/$K$2</f>
        <v>423.327620893432</v>
      </c>
      <c r="T512" s="43" t="n">
        <f aca="false">S512-$M$2</f>
        <v>131.07443694246</v>
      </c>
    </row>
    <row r="513" customFormat="false" ht="15" hidden="false" customHeight="false" outlineLevel="0" collapsed="false">
      <c r="A513" s="5" t="n">
        <v>4</v>
      </c>
      <c r="B513" s="25" t="n">
        <f aca="false">IF(T512&gt;0,B512,D512)</f>
        <v>-0.125</v>
      </c>
      <c r="C513" s="25" t="n">
        <f aca="false">IF(T512&gt;0,D512,C512)</f>
        <v>0.0625</v>
      </c>
      <c r="D513" s="41" t="n">
        <f aca="false">(B513+C513)/2</f>
        <v>-0.03125</v>
      </c>
      <c r="E513" s="15" t="n">
        <f aca="false">$C$2*(1+IF(E$3&lt;=$O$2,$D513,$D513-($D513-$I$508)*MIN(E$3-$O$2,$Q$2)/$Q$2))</f>
        <v>2654.375</v>
      </c>
      <c r="F513" s="15" t="n">
        <f aca="false">E513*(1+IF(F$3&lt;=$O$2,$D513,$D513-($D513-$I$508)*MIN(F$3-$O$2,$Q$2)/$Q$2))</f>
        <v>2571.42578125</v>
      </c>
      <c r="G513" s="15" t="n">
        <f aca="false">F513*(1+IF(G$3&lt;=$O$2,$D513,$D513-($D513-$I$508)*MIN(G$3-$O$2,$Q$2)/$Q$2))</f>
        <v>2491.06872558594</v>
      </c>
      <c r="H513" s="15" t="n">
        <f aca="false">G513*(1+IF(H$3&lt;=$O$2,$D513,$D513-($D513-$I$508)*MIN(H$3-$O$2,$Q$2)/$Q$2))</f>
        <v>2413.22282791138</v>
      </c>
      <c r="I513" s="15" t="n">
        <f aca="false">H513*(1+IF(I$3&lt;=$O$2,$D513,$D513-($D513-$I$508)*MIN(I$3-$O$2,$Q$2)/$Q$2))</f>
        <v>2337.80961453915</v>
      </c>
      <c r="J513" s="15" t="n">
        <f aca="false">I513*(1+IF(J$3&lt;=$O$2,$D513,$D513-($D513-$I$508)*MIN(J$3-$O$2,$Q$2)/$Q$2))</f>
        <v>2292.59637659396</v>
      </c>
      <c r="K513" s="15" t="n">
        <f aca="false">J513*(1+IF(K$3&lt;=$O$2,$D513,$D513-($D513-$I$508)*MIN(K$3-$O$2,$Q$2)/$Q$2))</f>
        <v>2275.56238551587</v>
      </c>
      <c r="L513" s="15" t="n">
        <f aca="false">K513*(1+IF(L$3&lt;=$O$2,$D513,$D513-($D513-$I$508)*MIN(L$3-$O$2,$Q$2)/$Q$2))</f>
        <v>2285.75690500298</v>
      </c>
      <c r="M513" s="15" t="n">
        <f aca="false">L513*(1+IF(M$3&lt;=$O$2,$D513,$D513-($D513-$I$508)*MIN(M$3-$O$2,$Q$2)/$Q$2))</f>
        <v>2323.22046067598</v>
      </c>
      <c r="N513" s="15" t="n">
        <f aca="false">M513*(1+IF(N$3&lt;=$O$2,$D513,$D513-($D513-$I$508)*MIN(N$3-$O$2,$Q$2)/$Q$2))</f>
        <v>2388.96759971311</v>
      </c>
      <c r="O513" s="15" t="n">
        <f aca="false">SUMPRODUCT(E513:N513,1/(1+$F$508)^$E$3:$N$3)*$E$2</f>
        <v>11001.1318147584</v>
      </c>
      <c r="P513" s="15" t="n">
        <f aca="false">N513*$E$2*(1+$I$508)/($F$508-$I$508)/(1+$F$508)^$N$3</f>
        <v>14087.2112593374</v>
      </c>
      <c r="Q513" s="15" t="n">
        <f aca="false">O513+P513</f>
        <v>25088.3430740958</v>
      </c>
      <c r="R513" s="15" t="n">
        <f aca="false">Q513-$G$2+$I$2</f>
        <v>25858.3430740958</v>
      </c>
      <c r="S513" s="42" t="n">
        <f aca="false">R513/$K$2</f>
        <v>247.614125003312</v>
      </c>
      <c r="T513" s="43" t="n">
        <f aca="false">S513-$M$2</f>
        <v>-44.6390589476604</v>
      </c>
    </row>
    <row r="514" customFormat="false" ht="15" hidden="false" customHeight="false" outlineLevel="0" collapsed="false">
      <c r="A514" s="5" t="n">
        <v>5</v>
      </c>
      <c r="B514" s="25" t="n">
        <f aca="false">IF(T513&gt;0,B513,D513)</f>
        <v>-0.03125</v>
      </c>
      <c r="C514" s="25" t="n">
        <f aca="false">IF(T513&gt;0,D513,C513)</f>
        <v>0.0625</v>
      </c>
      <c r="D514" s="41" t="n">
        <f aca="false">(B514+C514)/2</f>
        <v>0.015625</v>
      </c>
      <c r="E514" s="15" t="n">
        <f aca="false">$C$2*(1+IF(E$3&lt;=$O$2,$D514,$D514-($D514-$I$508)*MIN(E$3-$O$2,$Q$2)/$Q$2))</f>
        <v>2782.8125</v>
      </c>
      <c r="F514" s="15" t="n">
        <f aca="false">E514*(1+IF(F$3&lt;=$O$2,$D514,$D514-($D514-$I$508)*MIN(F$3-$O$2,$Q$2)/$Q$2))</f>
        <v>2826.2939453125</v>
      </c>
      <c r="G514" s="15" t="n">
        <f aca="false">F514*(1+IF(G$3&lt;=$O$2,$D514,$D514-($D514-$I$508)*MIN(G$3-$O$2,$Q$2)/$Q$2))</f>
        <v>2870.45478820801</v>
      </c>
      <c r="H514" s="15" t="n">
        <f aca="false">G514*(1+IF(H$3&lt;=$O$2,$D514,$D514-($D514-$I$508)*MIN(H$3-$O$2,$Q$2)/$Q$2))</f>
        <v>2915.30564427376</v>
      </c>
      <c r="I514" s="15" t="n">
        <f aca="false">H514*(1+IF(I$3&lt;=$O$2,$D514,$D514-($D514-$I$508)*MIN(I$3-$O$2,$Q$2)/$Q$2))</f>
        <v>2960.85729496554</v>
      </c>
      <c r="J514" s="15" t="n">
        <f aca="false">I514*(1+IF(J$3&lt;=$O$2,$D514,$D514-($D514-$I$508)*MIN(J$3-$O$2,$Q$2)/$Q$2))</f>
        <v>3014.62646344211</v>
      </c>
      <c r="K514" s="15" t="n">
        <f aca="false">J514*(1+IF(K$3&lt;=$O$2,$D514,$D514-($D514-$I$508)*MIN(K$3-$O$2,$Q$2)/$Q$2))</f>
        <v>3077.01415810304</v>
      </c>
      <c r="L514" s="15" t="n">
        <f aca="false">K514*(1+IF(L$3&lt;=$O$2,$D514,$D514-($D514-$I$508)*MIN(L$3-$O$2,$Q$2)/$Q$2))</f>
        <v>3148.49319699578</v>
      </c>
      <c r="M514" s="15" t="n">
        <f aca="false">L514*(1+IF(M$3&lt;=$O$2,$D514,$D514-($D514-$I$508)*MIN(M$3-$O$2,$Q$2)/$Q$2))</f>
        <v>3229.61412421637</v>
      </c>
      <c r="N514" s="15" t="n">
        <f aca="false">M514*(1+IF(N$3&lt;=$O$2,$D514,$D514-($D514-$I$508)*MIN(N$3-$O$2,$Q$2)/$Q$2))</f>
        <v>3321.0122039317</v>
      </c>
      <c r="O514" s="15" t="n">
        <f aca="false">SUMPRODUCT(E514:N514,1/(1+$F$508)^$E$3:$N$3)*$E$2</f>
        <v>13497.0410299523</v>
      </c>
      <c r="P514" s="15" t="n">
        <f aca="false">N514*$E$2*(1+$I$508)/($F$508-$I$508)/(1+$F$508)^$N$3</f>
        <v>19583.2712495732</v>
      </c>
      <c r="Q514" s="15" t="n">
        <f aca="false">O514+P514</f>
        <v>33080.3122795256</v>
      </c>
      <c r="R514" s="15" t="n">
        <f aca="false">Q514-$G$2+$I$2</f>
        <v>33850.3122795256</v>
      </c>
      <c r="S514" s="42" t="n">
        <f aca="false">R514/$K$2</f>
        <v>324.143562956292</v>
      </c>
      <c r="T514" s="43" t="n">
        <f aca="false">S514-$M$2</f>
        <v>31.8903790053199</v>
      </c>
    </row>
    <row r="515" customFormat="false" ht="15" hidden="false" customHeight="false" outlineLevel="0" collapsed="false">
      <c r="A515" s="5" t="n">
        <v>6</v>
      </c>
      <c r="B515" s="25" t="n">
        <f aca="false">IF(T514&gt;0,B514,D514)</f>
        <v>-0.03125</v>
      </c>
      <c r="C515" s="25" t="n">
        <f aca="false">IF(T514&gt;0,D514,C514)</f>
        <v>0.015625</v>
      </c>
      <c r="D515" s="41" t="n">
        <f aca="false">(B515+C515)/2</f>
        <v>-0.0078125</v>
      </c>
      <c r="E515" s="15" t="n">
        <f aca="false">$C$2*(1+IF(E$3&lt;=$O$2,$D515,$D515-($D515-$I$508)*MIN(E$3-$O$2,$Q$2)/$Q$2))</f>
        <v>2718.59375</v>
      </c>
      <c r="F515" s="15" t="n">
        <f aca="false">E515*(1+IF(F$3&lt;=$O$2,$D515,$D515-($D515-$I$508)*MIN(F$3-$O$2,$Q$2)/$Q$2))</f>
        <v>2697.35473632813</v>
      </c>
      <c r="G515" s="15" t="n">
        <f aca="false">F515*(1+IF(G$3&lt;=$O$2,$D515,$D515-($D515-$I$508)*MIN(G$3-$O$2,$Q$2)/$Q$2))</f>
        <v>2676.28165245056</v>
      </c>
      <c r="H515" s="15" t="n">
        <f aca="false">G515*(1+IF(H$3&lt;=$O$2,$D515,$D515-($D515-$I$508)*MIN(H$3-$O$2,$Q$2)/$Q$2))</f>
        <v>2655.37320204079</v>
      </c>
      <c r="I515" s="15" t="n">
        <f aca="false">H515*(1+IF(I$3&lt;=$O$2,$D515,$D515-($D515-$I$508)*MIN(I$3-$O$2,$Q$2)/$Q$2))</f>
        <v>2634.62809889985</v>
      </c>
      <c r="J515" s="15" t="n">
        <f aca="false">I515*(1+IF(J$3&lt;=$O$2,$D515,$D515-($D515-$I$508)*MIN(J$3-$O$2,$Q$2)/$Q$2))</f>
        <v>2633.0736683215</v>
      </c>
      <c r="K515" s="15" t="n">
        <f aca="false">J515*(1+IF(K$3&lt;=$O$2,$D515,$D515-($D515-$I$508)*MIN(K$3-$O$2,$Q$2)/$Q$2))</f>
        <v>2650.53752942664</v>
      </c>
      <c r="L515" s="15" t="n">
        <f aca="false">K515*(1+IF(L$3&lt;=$O$2,$D515,$D515-($D515-$I$508)*MIN(L$3-$O$2,$Q$2)/$Q$2))</f>
        <v>2687.26072689685</v>
      </c>
      <c r="M515" s="15" t="n">
        <f aca="false">L515*(1+IF(M$3&lt;=$O$2,$D515,$D515-($D515-$I$508)*MIN(M$3-$O$2,$Q$2)/$Q$2))</f>
        <v>2743.90146486801</v>
      </c>
      <c r="N515" s="15" t="n">
        <f aca="false">M515*(1+IF(N$3&lt;=$O$2,$D515,$D515-($D515-$I$508)*MIN(N$3-$O$2,$Q$2)/$Q$2))</f>
        <v>2821.55387632378</v>
      </c>
      <c r="O515" s="15" t="n">
        <f aca="false">SUMPRODUCT(E515:N515,1/(1+$F$508)^$E$3:$N$3)*$E$2</f>
        <v>12183.7195988301</v>
      </c>
      <c r="P515" s="15" t="n">
        <f aca="false">N515*$E$2*(1+$I$508)/($F$508-$I$508)/(1+$F$508)^$N$3</f>
        <v>16638.0764394414</v>
      </c>
      <c r="Q515" s="15" t="n">
        <f aca="false">O515+P515</f>
        <v>28821.7960382715</v>
      </c>
      <c r="R515" s="15" t="n">
        <f aca="false">Q515-$G$2+$I$2</f>
        <v>29591.7960382715</v>
      </c>
      <c r="S515" s="42" t="n">
        <f aca="false">R515/$K$2</f>
        <v>283.364895511553</v>
      </c>
      <c r="T515" s="43" t="n">
        <f aca="false">S515-$M$2</f>
        <v>-8.88828843941917</v>
      </c>
    </row>
    <row r="516" customFormat="false" ht="15" hidden="false" customHeight="false" outlineLevel="0" collapsed="false">
      <c r="A516" s="5" t="n">
        <v>7</v>
      </c>
      <c r="B516" s="25" t="n">
        <f aca="false">IF(T515&gt;0,B515,D515)</f>
        <v>-0.0078125</v>
      </c>
      <c r="C516" s="25" t="n">
        <f aca="false">IF(T515&gt;0,D515,C515)</f>
        <v>0.015625</v>
      </c>
      <c r="D516" s="41" t="n">
        <f aca="false">(B516+C516)/2</f>
        <v>0.00390625</v>
      </c>
      <c r="E516" s="15" t="n">
        <f aca="false">$C$2*(1+IF(E$3&lt;=$O$2,$D516,$D516-($D516-$I$508)*MIN(E$3-$O$2,$Q$2)/$Q$2))</f>
        <v>2750.703125</v>
      </c>
      <c r="F516" s="15" t="n">
        <f aca="false">E516*(1+IF(F$3&lt;=$O$2,$D516,$D516-($D516-$I$508)*MIN(F$3-$O$2,$Q$2)/$Q$2))</f>
        <v>2761.44805908203</v>
      </c>
      <c r="G516" s="15" t="n">
        <f aca="false">F516*(1+IF(G$3&lt;=$O$2,$D516,$D516-($D516-$I$508)*MIN(G$3-$O$2,$Q$2)/$Q$2))</f>
        <v>2772.23496556282</v>
      </c>
      <c r="H516" s="15" t="n">
        <f aca="false">G516*(1+IF(H$3&lt;=$O$2,$D516,$D516-($D516-$I$508)*MIN(H$3-$O$2,$Q$2)/$Q$2))</f>
        <v>2783.06400839705</v>
      </c>
      <c r="I516" s="15" t="n">
        <f aca="false">H516*(1+IF(I$3&lt;=$O$2,$D516,$D516-($D516-$I$508)*MIN(I$3-$O$2,$Q$2)/$Q$2))</f>
        <v>2793.93535217985</v>
      </c>
      <c r="J516" s="15" t="n">
        <f aca="false">I516*(1+IF(J$3&lt;=$O$2,$D516,$D516-($D516-$I$508)*MIN(J$3-$O$2,$Q$2)/$Q$2))</f>
        <v>2818.48007424875</v>
      </c>
      <c r="K516" s="15" t="n">
        <f aca="false">J516*(1+IF(K$3&lt;=$O$2,$D516,$D516-($D516-$I$508)*MIN(K$3-$O$2,$Q$2)/$Q$2))</f>
        <v>2856.99108136327</v>
      </c>
      <c r="L516" s="15" t="n">
        <f aca="false">K516*(1+IF(L$3&lt;=$O$2,$D516,$D516-($D516-$I$508)*MIN(L$3-$O$2,$Q$2)/$Q$2))</f>
        <v>2909.96683848945</v>
      </c>
      <c r="M516" s="15" t="n">
        <f aca="false">L516*(1+IF(M$3&lt;=$O$2,$D516,$D516-($D516-$I$508)*MIN(M$3-$O$2,$Q$2)/$Q$2))</f>
        <v>2978.12189930542</v>
      </c>
      <c r="N516" s="15" t="n">
        <f aca="false">M516*(1+IF(N$3&lt;=$O$2,$D516,$D516-($D516-$I$508)*MIN(N$3-$O$2,$Q$2)/$Q$2))</f>
        <v>3062.40274905576</v>
      </c>
      <c r="O516" s="15" t="n">
        <f aca="false">SUMPRODUCT(E516:N516,1/(1+$F$508)^$E$3:$N$3)*$E$2</f>
        <v>12823.216684164</v>
      </c>
      <c r="P516" s="15" t="n">
        <f aca="false">N516*$E$2*(1+$I$508)/($F$508-$I$508)/(1+$F$508)^$N$3</f>
        <v>18058.3087406899</v>
      </c>
      <c r="Q516" s="15" t="n">
        <f aca="false">O516+P516</f>
        <v>30881.5254248539</v>
      </c>
      <c r="R516" s="15" t="n">
        <f aca="false">Q516-$G$2+$I$2</f>
        <v>31651.5254248539</v>
      </c>
      <c r="S516" s="42" t="n">
        <f aca="false">R516/$K$2</f>
        <v>303.088436511097</v>
      </c>
      <c r="T516" s="43" t="n">
        <f aca="false">S516-$M$2</f>
        <v>10.8352525601252</v>
      </c>
    </row>
    <row r="517" customFormat="false" ht="15" hidden="false" customHeight="false" outlineLevel="0" collapsed="false">
      <c r="A517" s="5" t="n">
        <v>8</v>
      </c>
      <c r="B517" s="25" t="n">
        <f aca="false">IF(T516&gt;0,B516,D516)</f>
        <v>-0.0078125</v>
      </c>
      <c r="C517" s="25" t="n">
        <f aca="false">IF(T516&gt;0,D516,C516)</f>
        <v>0.00390625</v>
      </c>
      <c r="D517" s="41" t="n">
        <f aca="false">(B517+C517)/2</f>
        <v>-0.001953125</v>
      </c>
      <c r="E517" s="15" t="n">
        <f aca="false">$C$2*(1+IF(E$3&lt;=$O$2,$D517,$D517-($D517-$I$508)*MIN(E$3-$O$2,$Q$2)/$Q$2))</f>
        <v>2734.6484375</v>
      </c>
      <c r="F517" s="15" t="n">
        <f aca="false">E517*(1+IF(F$3&lt;=$O$2,$D517,$D517-($D517-$I$508)*MIN(F$3-$O$2,$Q$2)/$Q$2))</f>
        <v>2729.30732727051</v>
      </c>
      <c r="G517" s="15" t="n">
        <f aca="false">F517*(1+IF(G$3&lt;=$O$2,$D517,$D517-($D517-$I$508)*MIN(G$3-$O$2,$Q$2)/$Q$2))</f>
        <v>2723.97664889693</v>
      </c>
      <c r="H517" s="15" t="n">
        <f aca="false">G517*(1+IF(H$3&lt;=$O$2,$D517,$D517-($D517-$I$508)*MIN(H$3-$O$2,$Q$2)/$Q$2))</f>
        <v>2718.65638200456</v>
      </c>
      <c r="I517" s="15" t="n">
        <f aca="false">H517*(1+IF(I$3&lt;=$O$2,$D517,$D517-($D517-$I$508)*MIN(I$3-$O$2,$Q$2)/$Q$2))</f>
        <v>2713.34650625845</v>
      </c>
      <c r="J517" s="15" t="n">
        <f aca="false">I517*(1+IF(J$3&lt;=$O$2,$D517,$D517-($D517-$I$508)*MIN(J$3-$O$2,$Q$2)/$Q$2))</f>
        <v>2724.46444356785</v>
      </c>
      <c r="K517" s="15" t="n">
        <f aca="false">J517*(1+IF(K$3&lt;=$O$2,$D517,$D517-($D517-$I$508)*MIN(K$3-$O$2,$Q$2)/$Q$2))</f>
        <v>2752.11264929923</v>
      </c>
      <c r="L517" s="15" t="n">
        <f aca="false">K517*(1+IF(L$3&lt;=$O$2,$D517,$D517-($D517-$I$508)*MIN(L$3-$O$2,$Q$2)/$Q$2))</f>
        <v>2796.69343407707</v>
      </c>
      <c r="M517" s="15" t="n">
        <f aca="false">L517*(1+IF(M$3&lt;=$O$2,$D517,$D517-($D517-$I$508)*MIN(M$3-$O$2,$Q$2)/$Q$2))</f>
        <v>2858.91811505188</v>
      </c>
      <c r="N517" s="15" t="n">
        <f aca="false">M517*(1+IF(N$3&lt;=$O$2,$D517,$D517-($D517-$I$508)*MIN(N$3-$O$2,$Q$2)/$Q$2))</f>
        <v>2939.82549770785</v>
      </c>
      <c r="O517" s="15" t="n">
        <f aca="false">SUMPRODUCT(E517:N517,1/(1+$F$508)^$E$3:$N$3)*$E$2</f>
        <v>12499.2827668601</v>
      </c>
      <c r="P517" s="15" t="n">
        <f aca="false">N517*$E$2*(1+$I$508)/($F$508-$I$508)/(1+$F$508)^$N$3</f>
        <v>17335.4979183354</v>
      </c>
      <c r="Q517" s="15" t="n">
        <f aca="false">O517+P517</f>
        <v>29834.7806851955</v>
      </c>
      <c r="R517" s="15" t="n">
        <f aca="false">Q517-$G$2+$I$2</f>
        <v>30604.7806851955</v>
      </c>
      <c r="S517" s="42" t="n">
        <f aca="false">R517/$K$2</f>
        <v>293.065026191665</v>
      </c>
      <c r="T517" s="43" t="n">
        <f aca="false">S517-$M$2</f>
        <v>0.81184224069267</v>
      </c>
    </row>
    <row r="518" customFormat="false" ht="15" hidden="false" customHeight="false" outlineLevel="0" collapsed="false">
      <c r="A518" s="5" t="n">
        <v>9</v>
      </c>
      <c r="B518" s="25" t="n">
        <f aca="false">IF(T517&gt;0,B517,D517)</f>
        <v>-0.0078125</v>
      </c>
      <c r="C518" s="25" t="n">
        <f aca="false">IF(T517&gt;0,D517,C517)</f>
        <v>-0.001953125</v>
      </c>
      <c r="D518" s="41" t="n">
        <f aca="false">(B518+C518)/2</f>
        <v>-0.0048828125</v>
      </c>
      <c r="E518" s="15" t="n">
        <f aca="false">$C$2*(1+IF(E$3&lt;=$O$2,$D518,$D518-($D518-$I$508)*MIN(E$3-$O$2,$Q$2)/$Q$2))</f>
        <v>2726.62109375</v>
      </c>
      <c r="F518" s="15" t="n">
        <f aca="false">E518*(1+IF(F$3&lt;=$O$2,$D518,$D518-($D518-$I$508)*MIN(F$3-$O$2,$Q$2)/$Q$2))</f>
        <v>2713.30751419067</v>
      </c>
      <c r="G518" s="15" t="n">
        <f aca="false">F518*(1+IF(G$3&lt;=$O$2,$D518,$D518-($D518-$I$508)*MIN(G$3-$O$2,$Q$2)/$Q$2))</f>
        <v>2700.05894234404</v>
      </c>
      <c r="H518" s="15" t="n">
        <f aca="false">G518*(1+IF(H$3&lt;=$O$2,$D518,$D518-($D518-$I$508)*MIN(H$3-$O$2,$Q$2)/$Q$2))</f>
        <v>2686.87506078963</v>
      </c>
      <c r="I518" s="15" t="n">
        <f aca="false">H518*(1+IF(I$3&lt;=$O$2,$D518,$D518-($D518-$I$508)*MIN(I$3-$O$2,$Q$2)/$Q$2))</f>
        <v>2673.75555365686</v>
      </c>
      <c r="J518" s="15" t="n">
        <f aca="false">I518*(1+IF(J$3&lt;=$O$2,$D518,$D518-($D518-$I$508)*MIN(J$3-$O$2,$Q$2)/$Q$2))</f>
        <v>2678.44465245909</v>
      </c>
      <c r="K518" s="15" t="n">
        <f aca="false">J518*(1+IF(K$3&lt;=$O$2,$D518,$D518-($D518-$I$508)*MIN(K$3-$O$2,$Q$2)/$Q$2))</f>
        <v>2700.91764010717</v>
      </c>
      <c r="L518" s="15" t="n">
        <f aca="false">K518*(1+IF(L$3&lt;=$O$2,$D518,$D518-($D518-$I$508)*MIN(L$3-$O$2,$Q$2)/$Q$2))</f>
        <v>2741.50399187036</v>
      </c>
      <c r="M518" s="15" t="n">
        <f aca="false">L518*(1+IF(M$3&lt;=$O$2,$D518,$D518-($D518-$I$508)*MIN(M$3-$O$2,$Q$2)/$Q$2))</f>
        <v>2800.89439225424</v>
      </c>
      <c r="N518" s="15" t="n">
        <f aca="false">M518*(1+IF(N$3&lt;=$O$2,$D518,$D518-($D518-$I$508)*MIN(N$3-$O$2,$Q$2)/$Q$2))</f>
        <v>2880.15970355504</v>
      </c>
      <c r="O518" s="15" t="n">
        <f aca="false">SUMPRODUCT(E518:N518,1/(1+$F$508)^$E$3:$N$3)*$E$2</f>
        <v>12340.4677825276</v>
      </c>
      <c r="P518" s="15" t="n">
        <f aca="false">N518*$E$2*(1+$I$508)/($F$508-$I$508)/(1+$F$508)^$N$3</f>
        <v>16983.6619841487</v>
      </c>
      <c r="Q518" s="15" t="n">
        <f aca="false">O518+P518</f>
        <v>29324.1297666764</v>
      </c>
      <c r="R518" s="15" t="n">
        <f aca="false">Q518-$G$2+$I$2</f>
        <v>30094.1297666764</v>
      </c>
      <c r="S518" s="42" t="n">
        <f aca="false">R518/$K$2</f>
        <v>288.175139008679</v>
      </c>
      <c r="T518" s="43" t="n">
        <f aca="false">S518-$M$2</f>
        <v>-4.07804494229282</v>
      </c>
    </row>
    <row r="519" customFormat="false" ht="15" hidden="false" customHeight="false" outlineLevel="0" collapsed="false">
      <c r="A519" s="5" t="n">
        <v>10</v>
      </c>
      <c r="B519" s="25" t="n">
        <f aca="false">IF(T518&gt;0,B518,D518)</f>
        <v>-0.0048828125</v>
      </c>
      <c r="C519" s="25" t="n">
        <f aca="false">IF(T518&gt;0,D518,C518)</f>
        <v>-0.001953125</v>
      </c>
      <c r="D519" s="41" t="n">
        <f aca="false">(B519+C519)/2</f>
        <v>-0.00341796875</v>
      </c>
      <c r="E519" s="15" t="n">
        <f aca="false">$C$2*(1+IF(E$3&lt;=$O$2,$D519,$D519-($D519-$I$508)*MIN(E$3-$O$2,$Q$2)/$Q$2))</f>
        <v>2730.634765625</v>
      </c>
      <c r="F519" s="15" t="n">
        <f aca="false">E519*(1+IF(F$3&lt;=$O$2,$D519,$D519-($D519-$I$508)*MIN(F$3-$O$2,$Q$2)/$Q$2))</f>
        <v>2721.30154132843</v>
      </c>
      <c r="G519" s="15" t="n">
        <f aca="false">F519*(1+IF(G$3&lt;=$O$2,$D519,$D519-($D519-$I$508)*MIN(G$3-$O$2,$Q$2)/$Q$2))</f>
        <v>2712.00021770084</v>
      </c>
      <c r="H519" s="15" t="n">
        <f aca="false">G519*(1+IF(H$3&lt;=$O$2,$D519,$D519-($D519-$I$508)*MIN(H$3-$O$2,$Q$2)/$Q$2))</f>
        <v>2702.73068570675</v>
      </c>
      <c r="I519" s="15" t="n">
        <f aca="false">H519*(1+IF(I$3&lt;=$O$2,$D519,$D519-($D519-$I$508)*MIN(I$3-$O$2,$Q$2)/$Q$2))</f>
        <v>2693.49283668334</v>
      </c>
      <c r="J519" s="15" t="n">
        <f aca="false">I519*(1+IF(J$3&lt;=$O$2,$D519,$D519-($D519-$I$508)*MIN(J$3-$O$2,$Q$2)/$Q$2))</f>
        <v>2701.37298666366</v>
      </c>
      <c r="K519" s="15" t="n">
        <f aca="false">J519*(1+IF(K$3&lt;=$O$2,$D519,$D519-($D519-$I$508)*MIN(K$3-$O$2,$Q$2)/$Q$2))</f>
        <v>2726.41260380238</v>
      </c>
      <c r="L519" s="15" t="n">
        <f aca="false">K519*(1+IF(L$3&lt;=$O$2,$D519,$D519-($D519-$I$508)*MIN(L$3-$O$2,$Q$2)/$Q$2))</f>
        <v>2768.97957258319</v>
      </c>
      <c r="M519" s="15" t="n">
        <f aca="false">L519*(1+IF(M$3&lt;=$O$2,$D519,$D519-($D519-$I$508)*MIN(M$3-$O$2,$Q$2)/$Q$2))</f>
        <v>2829.77641297678</v>
      </c>
      <c r="N519" s="15" t="n">
        <f aca="false">M519*(1+IF(N$3&lt;=$O$2,$D519,$D519-($D519-$I$508)*MIN(N$3-$O$2,$Q$2)/$Q$2))</f>
        <v>2909.85908546402</v>
      </c>
      <c r="O519" s="15" t="n">
        <f aca="false">SUMPRODUCT(E519:N519,1/(1+$F$508)^$E$3:$N$3)*$E$2</f>
        <v>12419.615317652</v>
      </c>
      <c r="P519" s="15" t="n">
        <f aca="false">N519*$E$2*(1+$I$508)/($F$508-$I$508)/(1+$F$508)^$N$3</f>
        <v>17158.7926419583</v>
      </c>
      <c r="Q519" s="15" t="n">
        <f aca="false">O519+P519</f>
        <v>29578.4079596103</v>
      </c>
      <c r="R519" s="15" t="n">
        <f aca="false">Q519-$G$2+$I$2</f>
        <v>30348.4079596103</v>
      </c>
      <c r="S519" s="42" t="n">
        <f aca="false">R519/$K$2</f>
        <v>290.610054195253</v>
      </c>
      <c r="T519" s="43" t="n">
        <f aca="false">S519-$M$2</f>
        <v>-1.64312975571892</v>
      </c>
    </row>
    <row r="520" customFormat="false" ht="15" hidden="false" customHeight="false" outlineLevel="0" collapsed="false">
      <c r="A520" s="5" t="n">
        <v>11</v>
      </c>
      <c r="B520" s="25" t="n">
        <f aca="false">IF(T519&gt;0,B519,D519)</f>
        <v>-0.00341796875</v>
      </c>
      <c r="C520" s="25" t="n">
        <f aca="false">IF(T519&gt;0,D519,C519)</f>
        <v>-0.001953125</v>
      </c>
      <c r="D520" s="41" t="n">
        <f aca="false">(B520+C520)/2</f>
        <v>-0.002685546875</v>
      </c>
      <c r="E520" s="15" t="n">
        <f aca="false">$C$2*(1+IF(E$3&lt;=$O$2,$D520,$D520-($D520-$I$508)*MIN(E$3-$O$2,$Q$2)/$Q$2))</f>
        <v>2732.6416015625</v>
      </c>
      <c r="F520" s="15" t="n">
        <f aca="false">E520*(1+IF(F$3&lt;=$O$2,$D520,$D520-($D520-$I$508)*MIN(F$3-$O$2,$Q$2)/$Q$2))</f>
        <v>2725.30296444893</v>
      </c>
      <c r="G520" s="15" t="n">
        <f aca="false">F520*(1+IF(G$3&lt;=$O$2,$D520,$D520-($D520-$I$508)*MIN(G$3-$O$2,$Q$2)/$Q$2))</f>
        <v>2717.98403558933</v>
      </c>
      <c r="H520" s="15" t="n">
        <f aca="false">G520*(1+IF(H$3&lt;=$O$2,$D520,$D520-($D520-$I$508)*MIN(H$3-$O$2,$Q$2)/$Q$2))</f>
        <v>2710.68476205625</v>
      </c>
      <c r="I520" s="15" t="n">
        <f aca="false">H520*(1+IF(I$3&lt;=$O$2,$D520,$D520-($D520-$I$508)*MIN(I$3-$O$2,$Q$2)/$Q$2))</f>
        <v>2703.4050910644</v>
      </c>
      <c r="J520" s="15" t="n">
        <f aca="false">I520*(1+IF(J$3&lt;=$O$2,$D520,$D520-($D520-$I$508)*MIN(J$3-$O$2,$Q$2)/$Q$2))</f>
        <v>2712.89826700449</v>
      </c>
      <c r="K520" s="15" t="n">
        <f aca="false">J520*(1+IF(K$3&lt;=$O$2,$D520,$D520-($D520-$I$508)*MIN(K$3-$O$2,$Q$2)/$Q$2))</f>
        <v>2739.23690610909</v>
      </c>
      <c r="L520" s="15" t="n">
        <f aca="false">K520*(1+IF(L$3&lt;=$O$2,$D520,$D520-($D520-$I$508)*MIN(L$3-$O$2,$Q$2)/$Q$2))</f>
        <v>2782.80660912959</v>
      </c>
      <c r="M520" s="15" t="n">
        <f aca="false">L520*(1+IF(M$3&lt;=$O$2,$D520,$D520-($D520-$I$508)*MIN(M$3-$O$2,$Q$2)/$Q$2))</f>
        <v>2844.31467924171</v>
      </c>
      <c r="N520" s="15" t="n">
        <f aca="false">M520*(1+IF(N$3&lt;=$O$2,$D520,$D520-($D520-$I$508)*MIN(N$3-$O$2,$Q$2)/$Q$2))</f>
        <v>2924.80878466425</v>
      </c>
      <c r="O520" s="15" t="n">
        <f aca="false">SUMPRODUCT(E520:N520,1/(1+$F$508)^$E$3:$N$3)*$E$2</f>
        <v>12459.3838511705</v>
      </c>
      <c r="P520" s="15" t="n">
        <f aca="false">N520*$E$2*(1+$I$508)/($F$508-$I$508)/(1+$F$508)^$N$3</f>
        <v>17246.9476972728</v>
      </c>
      <c r="Q520" s="15" t="n">
        <f aca="false">O520+P520</f>
        <v>29706.3315484433</v>
      </c>
      <c r="R520" s="15" t="n">
        <f aca="false">Q520-$G$2+$I$2</f>
        <v>30476.3315484433</v>
      </c>
      <c r="S520" s="42" t="n">
        <f aca="false">R520/$K$2</f>
        <v>291.835023924574</v>
      </c>
      <c r="T520" s="43" t="n">
        <f aca="false">S520-$M$2</f>
        <v>-0.418160026397572</v>
      </c>
    </row>
    <row r="521" customFormat="false" ht="15" hidden="false" customHeight="false" outlineLevel="0" collapsed="false">
      <c r="A521" s="5" t="n">
        <v>12</v>
      </c>
      <c r="B521" s="25" t="n">
        <f aca="false">IF(T520&gt;0,B520,D520)</f>
        <v>-0.002685546875</v>
      </c>
      <c r="C521" s="25" t="n">
        <f aca="false">IF(T520&gt;0,D520,C520)</f>
        <v>-0.001953125</v>
      </c>
      <c r="D521" s="41" t="n">
        <f aca="false">(B521+C521)/2</f>
        <v>-0.0023193359375</v>
      </c>
      <c r="E521" s="15" t="n">
        <f aca="false">$C$2*(1+IF(E$3&lt;=$O$2,$D521,$D521-($D521-$I$508)*MIN(E$3-$O$2,$Q$2)/$Q$2))</f>
        <v>2733.64501953125</v>
      </c>
      <c r="F521" s="15" t="n">
        <f aca="false">E521*(1+IF(F$3&lt;=$O$2,$D521,$D521-($D521-$I$508)*MIN(F$3-$O$2,$Q$2)/$Q$2))</f>
        <v>2727.30477839708</v>
      </c>
      <c r="G521" s="15" t="n">
        <f aca="false">F521*(1+IF(G$3&lt;=$O$2,$D521,$D521-($D521-$I$508)*MIN(G$3-$O$2,$Q$2)/$Q$2))</f>
        <v>2720.97924241203</v>
      </c>
      <c r="H521" s="15" t="n">
        <f aca="false">G521*(1+IF(H$3&lt;=$O$2,$D521,$D521-($D521-$I$508)*MIN(H$3-$O$2,$Q$2)/$Q$2))</f>
        <v>2714.66837746991</v>
      </c>
      <c r="I521" s="15" t="n">
        <f aca="false">H521*(1+IF(I$3&lt;=$O$2,$D521,$D521-($D521-$I$508)*MIN(I$3-$O$2,$Q$2)/$Q$2))</f>
        <v>2708.37214954365</v>
      </c>
      <c r="J521" s="15" t="n">
        <f aca="false">I521*(1+IF(J$3&lt;=$O$2,$D521,$D521-($D521-$I$508)*MIN(J$3-$O$2,$Q$2)/$Q$2))</f>
        <v>2718.67623602322</v>
      </c>
      <c r="K521" s="15" t="n">
        <f aca="false">J521*(1+IF(K$3&lt;=$O$2,$D521,$D521-($D521-$I$508)*MIN(K$3-$O$2,$Q$2)/$Q$2))</f>
        <v>2745.66833691702</v>
      </c>
      <c r="L521" s="15" t="n">
        <f aca="false">K521*(1+IF(L$3&lt;=$O$2,$D521,$D521-($D521-$I$508)*MIN(L$3-$O$2,$Q$2)/$Q$2))</f>
        <v>2789.74253437937</v>
      </c>
      <c r="M521" s="15" t="n">
        <f aca="false">L521*(1+IF(M$3&lt;=$O$2,$D521,$D521-($D521-$I$508)*MIN(M$3-$O$2,$Q$2)/$Q$2))</f>
        <v>2851.60823533444</v>
      </c>
      <c r="N521" s="15" t="n">
        <f aca="false">M521*(1+IF(N$3&lt;=$O$2,$D521,$D521-($D521-$I$508)*MIN(N$3-$O$2,$Q$2)/$Q$2))</f>
        <v>2932.30874839441</v>
      </c>
      <c r="O521" s="15" t="n">
        <f aca="false">SUMPRODUCT(E521:N521,1/(1+$F$508)^$E$3:$N$3)*$E$2</f>
        <v>12479.316985956</v>
      </c>
      <c r="P521" s="15" t="n">
        <f aca="false">N521*$E$2*(1+$I$508)/($F$508-$I$508)/(1+$F$508)^$N$3</f>
        <v>17291.1733173761</v>
      </c>
      <c r="Q521" s="15" t="n">
        <f aca="false">O521+P521</f>
        <v>29770.4903033321</v>
      </c>
      <c r="R521" s="15" t="n">
        <f aca="false">Q521-$G$2+$I$2</f>
        <v>30540.4903033321</v>
      </c>
      <c r="S521" s="42" t="n">
        <f aca="false">R521/$K$2</f>
        <v>292.449394841828</v>
      </c>
      <c r="T521" s="43" t="n">
        <f aca="false">S521-$M$2</f>
        <v>0.196210890855866</v>
      </c>
    </row>
    <row r="522" customFormat="false" ht="15" hidden="false" customHeight="false" outlineLevel="0" collapsed="false">
      <c r="A522" s="5" t="n">
        <v>13</v>
      </c>
      <c r="B522" s="25" t="n">
        <f aca="false">IF(T521&gt;0,B521,D521)</f>
        <v>-0.002685546875</v>
      </c>
      <c r="C522" s="25" t="n">
        <f aca="false">IF(T521&gt;0,D521,C521)</f>
        <v>-0.0023193359375</v>
      </c>
      <c r="D522" s="41" t="n">
        <f aca="false">(B522+C522)/2</f>
        <v>-0.00250244140625</v>
      </c>
      <c r="E522" s="15" t="n">
        <f aca="false">$C$2*(1+IF(E$3&lt;=$O$2,$D522,$D522-($D522-$I$508)*MIN(E$3-$O$2,$Q$2)/$Q$2))</f>
        <v>2733.14331054688</v>
      </c>
      <c r="F522" s="15" t="n">
        <f aca="false">E522*(1+IF(F$3&lt;=$O$2,$D522,$D522-($D522-$I$508)*MIN(F$3-$O$2,$Q$2)/$Q$2))</f>
        <v>2726.30377955735</v>
      </c>
      <c r="G522" s="15" t="n">
        <f aca="false">F522*(1+IF(G$3&lt;=$O$2,$D522,$D522-($D522-$I$508)*MIN(G$3-$O$2,$Q$2)/$Q$2))</f>
        <v>2719.48136409337</v>
      </c>
      <c r="H522" s="15" t="n">
        <f aca="false">G522*(1+IF(H$3&lt;=$O$2,$D522,$D522-($D522-$I$508)*MIN(H$3-$O$2,$Q$2)/$Q$2))</f>
        <v>2712.67602132433</v>
      </c>
      <c r="I522" s="15" t="n">
        <f aca="false">H522*(1+IF(I$3&lt;=$O$2,$D522,$D522-($D522-$I$508)*MIN(I$3-$O$2,$Q$2)/$Q$2))</f>
        <v>2705.88770852683</v>
      </c>
      <c r="J522" s="15" t="n">
        <f aca="false">I522*(1+IF(J$3&lt;=$O$2,$D522,$D522-($D522-$I$508)*MIN(J$3-$O$2,$Q$2)/$Q$2))</f>
        <v>2715.78597260311</v>
      </c>
      <c r="K522" s="15" t="n">
        <f aca="false">J522*(1+IF(K$3&lt;=$O$2,$D522,$D522-($D522-$I$508)*MIN(K$3-$O$2,$Q$2)/$Q$2))</f>
        <v>2742.45101265196</v>
      </c>
      <c r="L522" s="15" t="n">
        <f aca="false">K522*(1+IF(L$3&lt;=$O$2,$D522,$D522-($D522-$I$508)*MIN(L$3-$O$2,$Q$2)/$Q$2))</f>
        <v>2786.27270165932</v>
      </c>
      <c r="M522" s="15" t="n">
        <f aca="false">L522*(1+IF(M$3&lt;=$O$2,$D522,$D522-($D522-$I$508)*MIN(M$3-$O$2,$Q$2)/$Q$2))</f>
        <v>2847.95941878934</v>
      </c>
      <c r="N522" s="15" t="n">
        <f aca="false">M522*(1+IF(N$3&lt;=$O$2,$D522,$D522-($D522-$I$508)*MIN(N$3-$O$2,$Q$2)/$Q$2))</f>
        <v>2928.55667034108</v>
      </c>
      <c r="O522" s="15" t="n">
        <f aca="false">SUMPRODUCT(E522:N522,1/(1+$F$508)^$E$3:$N$3)*$E$2</f>
        <v>12469.3463409621</v>
      </c>
      <c r="P522" s="15" t="n">
        <f aca="false">N522*$E$2*(1+$I$508)/($F$508-$I$508)/(1+$F$508)^$N$3</f>
        <v>17269.048146568</v>
      </c>
      <c r="Q522" s="15" t="n">
        <f aca="false">O522+P522</f>
        <v>29738.3944875301</v>
      </c>
      <c r="R522" s="15" t="n">
        <f aca="false">Q522-$G$2+$I$2</f>
        <v>30508.3944875301</v>
      </c>
      <c r="S522" s="42" t="n">
        <f aca="false">R522/$K$2</f>
        <v>292.142051972901</v>
      </c>
      <c r="T522" s="43" t="n">
        <f aca="false">S522-$M$2</f>
        <v>-0.111131978070773</v>
      </c>
    </row>
    <row r="523" customFormat="false" ht="15" hidden="false" customHeight="false" outlineLevel="0" collapsed="false">
      <c r="A523" s="5" t="n">
        <v>14</v>
      </c>
      <c r="B523" s="25" t="n">
        <f aca="false">IF(T522&gt;0,B522,D522)</f>
        <v>-0.00250244140625</v>
      </c>
      <c r="C523" s="25" t="n">
        <f aca="false">IF(T522&gt;0,D522,C522)</f>
        <v>-0.0023193359375</v>
      </c>
      <c r="D523" s="41" t="n">
        <f aca="false">(B523+C523)/2</f>
        <v>-0.002410888671875</v>
      </c>
      <c r="E523" s="15" t="n">
        <f aca="false">$C$2*(1+IF(E$3&lt;=$O$2,$D523,$D523-($D523-$I$508)*MIN(E$3-$O$2,$Q$2)/$Q$2))</f>
        <v>2733.39416503906</v>
      </c>
      <c r="F523" s="15" t="n">
        <f aca="false">E523*(1+IF(F$3&lt;=$O$2,$D523,$D523-($D523-$I$508)*MIN(F$3-$O$2,$Q$2)/$Q$2))</f>
        <v>2726.8042560108</v>
      </c>
      <c r="G523" s="15" t="n">
        <f aca="false">F523*(1+IF(G$3&lt;=$O$2,$D523,$D523-($D523-$I$508)*MIN(G$3-$O$2,$Q$2)/$Q$2))</f>
        <v>2720.23023451956</v>
      </c>
      <c r="H523" s="15" t="n">
        <f aca="false">G523*(1+IF(H$3&lt;=$O$2,$D523,$D523-($D523-$I$508)*MIN(H$3-$O$2,$Q$2)/$Q$2))</f>
        <v>2713.67206226227</v>
      </c>
      <c r="I523" s="15" t="n">
        <f aca="false">H523*(1+IF(I$3&lt;=$O$2,$D523,$D523-($D523-$I$508)*MIN(I$3-$O$2,$Q$2)/$Q$2))</f>
        <v>2707.12970102818</v>
      </c>
      <c r="J523" s="15" t="n">
        <f aca="false">I523*(1+IF(J$3&lt;=$O$2,$D523,$D523-($D523-$I$508)*MIN(J$3-$O$2,$Q$2)/$Q$2))</f>
        <v>2717.23078447239</v>
      </c>
      <c r="K523" s="15" t="n">
        <f aca="false">J523*(1+IF(K$3&lt;=$O$2,$D523,$D523-($D523-$I$508)*MIN(K$3-$O$2,$Q$2)/$Q$2))</f>
        <v>2744.05927240233</v>
      </c>
      <c r="L523" s="15" t="n">
        <f aca="false">K523*(1+IF(L$3&lt;=$O$2,$D523,$D523-($D523-$I$508)*MIN(L$3-$O$2,$Q$2)/$Q$2))</f>
        <v>2788.0071502818</v>
      </c>
      <c r="M523" s="15" t="n">
        <f aca="false">L523*(1+IF(M$3&lt;=$O$2,$D523,$D523-($D523-$I$508)*MIN(M$3-$O$2,$Q$2)/$Q$2))</f>
        <v>2849.78331719304</v>
      </c>
      <c r="N523" s="15" t="n">
        <f aca="false">M523*(1+IF(N$3&lt;=$O$2,$D523,$D523-($D523-$I$508)*MIN(N$3-$O$2,$Q$2)/$Q$2))</f>
        <v>2930.4321850696</v>
      </c>
      <c r="O523" s="15" t="n">
        <f aca="false">SUMPRODUCT(E523:N523,1/(1+$F$508)^$E$3:$N$3)*$E$2</f>
        <v>12474.3306436634</v>
      </c>
      <c r="P523" s="15" t="n">
        <f aca="false">N523*$E$2*(1+$I$508)/($F$508-$I$508)/(1+$F$508)^$N$3</f>
        <v>17280.1076403024</v>
      </c>
      <c r="Q523" s="15" t="n">
        <f aca="false">O523+P523</f>
        <v>29754.4382839658</v>
      </c>
      <c r="R523" s="15" t="n">
        <f aca="false">Q523-$G$2+$I$2</f>
        <v>30524.4382839658</v>
      </c>
      <c r="S523" s="42" t="n">
        <f aca="false">R523/$K$2</f>
        <v>292.295684036827</v>
      </c>
      <c r="T523" s="43" t="n">
        <f aca="false">S523-$M$2</f>
        <v>0.0425000858546696</v>
      </c>
    </row>
    <row r="524" customFormat="false" ht="15" hidden="false" customHeight="false" outlineLevel="0" collapsed="false">
      <c r="A524" s="5" t="n">
        <v>15</v>
      </c>
      <c r="B524" s="25" t="n">
        <f aca="false">IF(T523&gt;0,B523,D523)</f>
        <v>-0.00250244140625</v>
      </c>
      <c r="C524" s="25" t="n">
        <f aca="false">IF(T523&gt;0,D523,C523)</f>
        <v>-0.002410888671875</v>
      </c>
      <c r="D524" s="41" t="n">
        <f aca="false">(B524+C524)/2</f>
        <v>-0.0024566650390625</v>
      </c>
      <c r="E524" s="15" t="n">
        <f aca="false">$C$2*(1+IF(E$3&lt;=$O$2,$D524,$D524-($D524-$I$508)*MIN(E$3-$O$2,$Q$2)/$Q$2))</f>
        <v>2733.26873779297</v>
      </c>
      <c r="F524" s="15" t="n">
        <f aca="false">E524*(1+IF(F$3&lt;=$O$2,$D524,$D524-($D524-$I$508)*MIN(F$3-$O$2,$Q$2)/$Q$2))</f>
        <v>2726.55401204247</v>
      </c>
      <c r="G524" s="15" t="n">
        <f aca="false">F524*(1+IF(G$3&lt;=$O$2,$D524,$D524-($D524-$I$508)*MIN(G$3-$O$2,$Q$2)/$Q$2))</f>
        <v>2719.85578212397</v>
      </c>
      <c r="H524" s="15" t="n">
        <f aca="false">G524*(1+IF(H$3&lt;=$O$2,$D524,$D524-($D524-$I$508)*MIN(H$3-$O$2,$Q$2)/$Q$2))</f>
        <v>2713.17400751273</v>
      </c>
      <c r="I524" s="15" t="n">
        <f aca="false">H524*(1+IF(I$3&lt;=$O$2,$D524,$D524-($D524-$I$508)*MIN(I$3-$O$2,$Q$2)/$Q$2))</f>
        <v>2706.50864778358</v>
      </c>
      <c r="J524" s="15" t="n">
        <f aca="false">I524*(1+IF(J$3&lt;=$O$2,$D524,$D524-($D524-$I$508)*MIN(J$3-$O$2,$Q$2)/$Q$2))</f>
        <v>2716.5082985917</v>
      </c>
      <c r="K524" s="15" t="n">
        <f aca="false">J524*(1+IF(K$3&lt;=$O$2,$D524,$D524-($D524-$I$508)*MIN(K$3-$O$2,$Q$2)/$Q$2))</f>
        <v>2743.25504195247</v>
      </c>
      <c r="L524" s="15" t="n">
        <f aca="false">K524*(1+IF(L$3&lt;=$O$2,$D524,$D524-($D524-$I$508)*MIN(L$3-$O$2,$Q$2)/$Q$2))</f>
        <v>2787.1398090629</v>
      </c>
      <c r="M524" s="15" t="n">
        <f aca="false">L524*(1+IF(M$3&lt;=$O$2,$D524,$D524-($D524-$I$508)*MIN(M$3-$O$2,$Q$2)/$Q$2))</f>
        <v>2848.87124055451</v>
      </c>
      <c r="N524" s="15" t="n">
        <f aca="false">M524*(1+IF(N$3&lt;=$O$2,$D524,$D524-($D524-$I$508)*MIN(N$3-$O$2,$Q$2)/$Q$2))</f>
        <v>2929.4942966622</v>
      </c>
      <c r="O524" s="15" t="n">
        <f aca="false">SUMPRODUCT(E524:N524,1/(1+$F$508)^$E$3:$N$3)*$E$2</f>
        <v>12471.8382374133</v>
      </c>
      <c r="P524" s="15" t="n">
        <f aca="false">N524*$E$2*(1+$I$508)/($F$508-$I$508)/(1+$F$508)^$N$3</f>
        <v>17274.5771207029</v>
      </c>
      <c r="Q524" s="15" t="n">
        <f aca="false">O524+P524</f>
        <v>29746.4153581162</v>
      </c>
      <c r="R524" s="15" t="n">
        <f aca="false">Q524-$G$2+$I$2</f>
        <v>30516.4153581162</v>
      </c>
      <c r="S524" s="42" t="n">
        <f aca="false">R524/$K$2</f>
        <v>292.218858164476</v>
      </c>
      <c r="T524" s="43" t="n">
        <f aca="false">S524-$M$2</f>
        <v>-0.0343257864965381</v>
      </c>
    </row>
    <row r="525" customFormat="false" ht="15" hidden="false" customHeight="false" outlineLevel="0" collapsed="false">
      <c r="A525" s="5" t="n">
        <v>16</v>
      </c>
      <c r="B525" s="25" t="n">
        <f aca="false">IF(T524&gt;0,B524,D524)</f>
        <v>-0.0024566650390625</v>
      </c>
      <c r="C525" s="25" t="n">
        <f aca="false">IF(T524&gt;0,D524,C524)</f>
        <v>-0.002410888671875</v>
      </c>
      <c r="D525" s="41" t="n">
        <f aca="false">(B525+C525)/2</f>
        <v>-0.00243377685546875</v>
      </c>
      <c r="E525" s="15" t="n">
        <f aca="false">$C$2*(1+IF(E$3&lt;=$O$2,$D525,$D525-($D525-$I$508)*MIN(E$3-$O$2,$Q$2)/$Q$2))</f>
        <v>2733.33145141602</v>
      </c>
      <c r="F525" s="15" t="n">
        <f aca="false">E525*(1+IF(F$3&lt;=$O$2,$D525,$D525-($D525-$I$508)*MIN(F$3-$O$2,$Q$2)/$Q$2))</f>
        <v>2726.67913259123</v>
      </c>
      <c r="G525" s="15" t="n">
        <f aca="false">F525*(1+IF(G$3&lt;=$O$2,$D525,$D525-($D525-$I$508)*MIN(G$3-$O$2,$Q$2)/$Q$2))</f>
        <v>2720.04300402604</v>
      </c>
      <c r="H525" s="15" t="n">
        <f aca="false">G525*(1+IF(H$3&lt;=$O$2,$D525,$D525-($D525-$I$508)*MIN(H$3-$O$2,$Q$2)/$Q$2))</f>
        <v>2713.42302631697</v>
      </c>
      <c r="I525" s="15" t="n">
        <f aca="false">H525*(1+IF(I$3&lt;=$O$2,$D525,$D525-($D525-$I$508)*MIN(I$3-$O$2,$Q$2)/$Q$2))</f>
        <v>2706.81916015642</v>
      </c>
      <c r="J525" s="15" t="n">
        <f aca="false">I525*(1+IF(J$3&lt;=$O$2,$D525,$D525-($D525-$I$508)*MIN(J$3-$O$2,$Q$2)/$Q$2))</f>
        <v>2716.86952154376</v>
      </c>
      <c r="K525" s="15" t="n">
        <f aca="false">J525*(1+IF(K$3&lt;=$O$2,$D525,$D525-($D525-$I$508)*MIN(K$3-$O$2,$Q$2)/$Q$2))</f>
        <v>2743.65713203112</v>
      </c>
      <c r="L525" s="15" t="n">
        <f aca="false">K525*(1+IF(L$3&lt;=$O$2,$D525,$D525-($D525-$I$508)*MIN(L$3-$O$2,$Q$2)/$Q$2))</f>
        <v>2787.5734504421</v>
      </c>
      <c r="M525" s="15" t="n">
        <f aca="false">L525*(1+IF(M$3&lt;=$O$2,$D525,$D525-($D525-$I$508)*MIN(M$3-$O$2,$Q$2)/$Q$2))</f>
        <v>2849.32724701079</v>
      </c>
      <c r="N525" s="15" t="n">
        <f aca="false">M525*(1+IF(N$3&lt;=$O$2,$D525,$D525-($D525-$I$508)*MIN(N$3-$O$2,$Q$2)/$Q$2))</f>
        <v>2929.96320810119</v>
      </c>
      <c r="O525" s="15" t="n">
        <f aca="false">SUMPRODUCT(E525:N525,1/(1+$F$508)^$E$3:$N$3)*$E$2</f>
        <v>12473.0843768073</v>
      </c>
      <c r="P525" s="15" t="n">
        <f aca="false">N525*$E$2*(1+$I$508)/($F$508-$I$508)/(1+$F$508)^$N$3</f>
        <v>17277.3421872964</v>
      </c>
      <c r="Q525" s="15" t="n">
        <f aca="false">O525+P525</f>
        <v>29750.4265641037</v>
      </c>
      <c r="R525" s="15" t="n">
        <f aca="false">Q525-$G$2+$I$2</f>
        <v>30520.4265641037</v>
      </c>
      <c r="S525" s="42" t="n">
        <f aca="false">R525/$K$2</f>
        <v>292.257268640273</v>
      </c>
      <c r="T525" s="43" t="n">
        <f aca="false">S525-$M$2</f>
        <v>0.00408468930118033</v>
      </c>
    </row>
    <row r="526" customFormat="false" ht="15" hidden="false" customHeight="false" outlineLevel="0" collapsed="false">
      <c r="A526" s="5" t="n">
        <v>17</v>
      </c>
      <c r="B526" s="25" t="n">
        <f aca="false">IF(T525&gt;0,B525,D525)</f>
        <v>-0.0024566650390625</v>
      </c>
      <c r="C526" s="25" t="n">
        <f aca="false">IF(T525&gt;0,D525,C525)</f>
        <v>-0.00243377685546875</v>
      </c>
      <c r="D526" s="41" t="n">
        <f aca="false">(B526+C526)/2</f>
        <v>-0.00244522094726563</v>
      </c>
      <c r="E526" s="15" t="n">
        <f aca="false">$C$2*(1+IF(E$3&lt;=$O$2,$D526,$D526-($D526-$I$508)*MIN(E$3-$O$2,$Q$2)/$Q$2))</f>
        <v>2733.30009460449</v>
      </c>
      <c r="F526" s="15" t="n">
        <f aca="false">E526*(1+IF(F$3&lt;=$O$2,$D526,$D526-($D526-$I$508)*MIN(F$3-$O$2,$Q$2)/$Q$2))</f>
        <v>2726.616571958</v>
      </c>
      <c r="G526" s="15" t="n">
        <f aca="false">F526*(1+IF(G$3&lt;=$O$2,$D526,$D526-($D526-$I$508)*MIN(G$3-$O$2,$Q$2)/$Q$2))</f>
        <v>2719.94939200109</v>
      </c>
      <c r="H526" s="15" t="n">
        <f aca="false">G526*(1+IF(H$3&lt;=$O$2,$D526,$D526-($D526-$I$508)*MIN(H$3-$O$2,$Q$2)/$Q$2))</f>
        <v>2713.29851477227</v>
      </c>
      <c r="I526" s="15" t="n">
        <f aca="false">H526*(1+IF(I$3&lt;=$O$2,$D526,$D526-($D526-$I$508)*MIN(I$3-$O$2,$Q$2)/$Q$2))</f>
        <v>2706.66390040776</v>
      </c>
      <c r="J526" s="15" t="n">
        <f aca="false">I526*(1+IF(J$3&lt;=$O$2,$D526,$D526-($D526-$I$508)*MIN(J$3-$O$2,$Q$2)/$Q$2))</f>
        <v>2716.68890507088</v>
      </c>
      <c r="K526" s="15" t="n">
        <f aca="false">J526*(1+IF(K$3&lt;=$O$2,$D526,$D526-($D526-$I$508)*MIN(K$3-$O$2,$Q$2)/$Q$2))</f>
        <v>2743.45608070555</v>
      </c>
      <c r="L526" s="15" t="n">
        <f aca="false">K526*(1+IF(L$3&lt;=$O$2,$D526,$D526-($D526-$I$508)*MIN(L$3-$O$2,$Q$2)/$Q$2))</f>
        <v>2787.35662244535</v>
      </c>
      <c r="M526" s="15" t="n">
        <f aca="false">L526*(1+IF(M$3&lt;=$O$2,$D526,$D526-($D526-$I$508)*MIN(M$3-$O$2,$Q$2)/$Q$2))</f>
        <v>2849.09923581738</v>
      </c>
      <c r="N526" s="15" t="n">
        <f aca="false">M526*(1+IF(N$3&lt;=$O$2,$D526,$D526-($D526-$I$508)*MIN(N$3-$O$2,$Q$2)/$Q$2))</f>
        <v>2929.72874419101</v>
      </c>
      <c r="O526" s="15" t="n">
        <f aca="false">SUMPRODUCT(E526:N526,1/(1+$F$508)^$E$3:$N$3)*$E$2</f>
        <v>12472.4612911783</v>
      </c>
      <c r="P526" s="15" t="n">
        <f aca="false">N526*$E$2*(1+$I$508)/($F$508-$I$508)/(1+$F$508)^$N$3</f>
        <v>17275.959605701</v>
      </c>
      <c r="Q526" s="15" t="n">
        <f aca="false">O526+P526</f>
        <v>29748.4208968793</v>
      </c>
      <c r="R526" s="15" t="n">
        <f aca="false">Q526-$G$2+$I$2</f>
        <v>30518.4208968793</v>
      </c>
      <c r="S526" s="42" t="n">
        <f aca="false">R526/$K$2</f>
        <v>292.238062787315</v>
      </c>
      <c r="T526" s="43" t="n">
        <f aca="false">S526-$M$2</f>
        <v>-0.0151211636571134</v>
      </c>
    </row>
    <row r="527" customFormat="false" ht="15" hidden="false" customHeight="false" outlineLevel="0" collapsed="false">
      <c r="A527" s="5" t="n">
        <v>18</v>
      </c>
      <c r="B527" s="25" t="n">
        <f aca="false">IF(T526&gt;0,B526,D526)</f>
        <v>-0.00244522094726563</v>
      </c>
      <c r="C527" s="25" t="n">
        <f aca="false">IF(T526&gt;0,D526,C526)</f>
        <v>-0.00243377685546875</v>
      </c>
      <c r="D527" s="41" t="n">
        <f aca="false">(B527+C527)/2</f>
        <v>-0.00243949890136719</v>
      </c>
      <c r="E527" s="15" t="n">
        <f aca="false">$C$2*(1+IF(E$3&lt;=$O$2,$D527,$D527-($D527-$I$508)*MIN(E$3-$O$2,$Q$2)/$Q$2))</f>
        <v>2733.31577301025</v>
      </c>
      <c r="F527" s="15" t="n">
        <f aca="false">E527*(1+IF(F$3&lt;=$O$2,$D527,$D527-($D527-$I$508)*MIN(F$3-$O$2,$Q$2)/$Q$2))</f>
        <v>2726.64785218491</v>
      </c>
      <c r="G527" s="15" t="n">
        <f aca="false">F527*(1+IF(G$3&lt;=$O$2,$D527,$D527-($D527-$I$508)*MIN(G$3-$O$2,$Q$2)/$Q$2))</f>
        <v>2719.99619774509</v>
      </c>
      <c r="H527" s="15" t="n">
        <f aca="false">G527*(1+IF(H$3&lt;=$O$2,$D527,$D527-($D527-$I$508)*MIN(H$3-$O$2,$Q$2)/$Q$2))</f>
        <v>2713.36077000896</v>
      </c>
      <c r="I527" s="15" t="n">
        <f aca="false">H527*(1+IF(I$3&lt;=$O$2,$D527,$D527-($D527-$I$508)*MIN(I$3-$O$2,$Q$2)/$Q$2))</f>
        <v>2706.74152939151</v>
      </c>
      <c r="J527" s="15" t="n">
        <f aca="false">I527*(1+IF(J$3&lt;=$O$2,$D527,$D527-($D527-$I$508)*MIN(J$3-$O$2,$Q$2)/$Q$2))</f>
        <v>2716.77921205808</v>
      </c>
      <c r="K527" s="15" t="n">
        <f aca="false">J527*(1+IF(K$3&lt;=$O$2,$D527,$D527-($D527-$I$508)*MIN(K$3-$O$2,$Q$2)/$Q$2))</f>
        <v>2743.55660479674</v>
      </c>
      <c r="L527" s="15" t="n">
        <f aca="false">K527*(1+IF(L$3&lt;=$O$2,$D527,$D527-($D527-$I$508)*MIN(L$3-$O$2,$Q$2)/$Q$2))</f>
        <v>2787.46503461689</v>
      </c>
      <c r="M527" s="15" t="n">
        <f aca="false">L527*(1+IF(M$3&lt;=$O$2,$D527,$D527-($D527-$I$508)*MIN(M$3-$O$2,$Q$2)/$Q$2))</f>
        <v>2849.2132394227</v>
      </c>
      <c r="N527" s="15" t="n">
        <f aca="false">M527*(1+IF(N$3&lt;=$O$2,$D527,$D527-($D527-$I$508)*MIN(N$3-$O$2,$Q$2)/$Q$2))</f>
        <v>2929.84597409837</v>
      </c>
      <c r="O527" s="15" t="n">
        <f aca="false">SUMPRODUCT(E527:N527,1/(1+$F$508)^$E$3:$N$3)*$E$2</f>
        <v>12472.7728300097</v>
      </c>
      <c r="P527" s="15" t="n">
        <f aca="false">N527*$E$2*(1+$I$508)/($F$508-$I$508)/(1+$F$508)^$N$3</f>
        <v>17276.6508844237</v>
      </c>
      <c r="Q527" s="15" t="n">
        <f aca="false">O527+P527</f>
        <v>29749.4237144334</v>
      </c>
      <c r="R527" s="15" t="n">
        <f aca="false">Q527-$G$2+$I$2</f>
        <v>30519.4237144334</v>
      </c>
      <c r="S527" s="42" t="n">
        <f aca="false">R527/$K$2</f>
        <v>292.247665560025</v>
      </c>
      <c r="T527" s="43" t="n">
        <f aca="false">S527-$M$2</f>
        <v>-0.00551839094714524</v>
      </c>
    </row>
    <row r="528" customFormat="false" ht="15" hidden="false" customHeight="false" outlineLevel="0" collapsed="false">
      <c r="A528" s="5" t="n">
        <v>19</v>
      </c>
      <c r="B528" s="25" t="n">
        <f aca="false">IF(T527&gt;0,B527,D527)</f>
        <v>-0.00243949890136719</v>
      </c>
      <c r="C528" s="25" t="n">
        <f aca="false">IF(T527&gt;0,D527,C527)</f>
        <v>-0.00243377685546875</v>
      </c>
      <c r="D528" s="41" t="n">
        <f aca="false">(B528+C528)/2</f>
        <v>-0.00243663787841797</v>
      </c>
      <c r="E528" s="15" t="n">
        <f aca="false">$C$2*(1+IF(E$3&lt;=$O$2,$D528,$D528-($D528-$I$508)*MIN(E$3-$O$2,$Q$2)/$Q$2))</f>
        <v>2733.32361221313</v>
      </c>
      <c r="F528" s="15" t="n">
        <f aca="false">E528*(1+IF(F$3&lt;=$O$2,$D528,$D528-($D528-$I$508)*MIN(F$3-$O$2,$Q$2)/$Q$2))</f>
        <v>2726.66349236564</v>
      </c>
      <c r="G528" s="15" t="n">
        <f aca="false">F528*(1+IF(G$3&lt;=$O$2,$D528,$D528-($D528-$I$508)*MIN(G$3-$O$2,$Q$2)/$Q$2))</f>
        <v>2720.01960081844</v>
      </c>
      <c r="H528" s="15" t="n">
        <f aca="false">G528*(1+IF(H$3&lt;=$O$2,$D528,$D528-($D528-$I$508)*MIN(H$3-$O$2,$Q$2)/$Q$2))</f>
        <v>2713.39189802905</v>
      </c>
      <c r="I528" s="15" t="n">
        <f aca="false">H528*(1+IF(I$3&lt;=$O$2,$D528,$D528-($D528-$I$508)*MIN(I$3-$O$2,$Q$2)/$Q$2))</f>
        <v>2706.78034455132</v>
      </c>
      <c r="J528" s="15" t="n">
        <f aca="false">I528*(1+IF(J$3&lt;=$O$2,$D528,$D528-($D528-$I$508)*MIN(J$3-$O$2,$Q$2)/$Q$2))</f>
        <v>2716.82436648861</v>
      </c>
      <c r="K528" s="15" t="n">
        <f aca="false">J528*(1+IF(K$3&lt;=$O$2,$D528,$D528-($D528-$I$508)*MIN(K$3-$O$2,$Q$2)/$Q$2))</f>
        <v>2743.60686802102</v>
      </c>
      <c r="L528" s="15" t="n">
        <f aca="false">K528*(1+IF(L$3&lt;=$O$2,$D528,$D528-($D528-$I$508)*MIN(L$3-$O$2,$Q$2)/$Q$2))</f>
        <v>2787.51924207278</v>
      </c>
      <c r="M528" s="15" t="n">
        <f aca="false">L528*(1+IF(M$3&lt;=$O$2,$D528,$D528-($D528-$I$508)*MIN(M$3-$O$2,$Q$2)/$Q$2))</f>
        <v>2849.27024271889</v>
      </c>
      <c r="N528" s="15" t="n">
        <f aca="false">M528*(1+IF(N$3&lt;=$O$2,$D528,$D528-($D528-$I$508)*MIN(N$3-$O$2,$Q$2)/$Q$2))</f>
        <v>2929.90459058784</v>
      </c>
      <c r="O528" s="15" t="n">
        <f aca="false">SUMPRODUCT(E528:N528,1/(1+$F$508)^$E$3:$N$3)*$E$2</f>
        <v>12472.9286024127</v>
      </c>
      <c r="P528" s="15" t="n">
        <f aca="false">N528*$E$2*(1+$I$508)/($F$508-$I$508)/(1+$F$508)^$N$3</f>
        <v>17276.9965328413</v>
      </c>
      <c r="Q528" s="15" t="n">
        <f aca="false">O528+P528</f>
        <v>29749.925135254</v>
      </c>
      <c r="R528" s="15" t="n">
        <f aca="false">Q528-$G$2+$I$2</f>
        <v>30519.925135254</v>
      </c>
      <c r="S528" s="42" t="n">
        <f aca="false">R528/$K$2</f>
        <v>292.252467061706</v>
      </c>
      <c r="T528" s="43" t="n">
        <f aca="false">S528-$M$2</f>
        <v>-0.000716889265845566</v>
      </c>
    </row>
    <row r="529" customFormat="false" ht="15" hidden="false" customHeight="false" outlineLevel="0" collapsed="false">
      <c r="A529" s="5" t="n">
        <v>20</v>
      </c>
      <c r="B529" s="25" t="n">
        <f aca="false">IF(T528&gt;0,B528,D528)</f>
        <v>-0.00243663787841797</v>
      </c>
      <c r="C529" s="25" t="n">
        <f aca="false">IF(T528&gt;0,D528,C528)</f>
        <v>-0.00243377685546875</v>
      </c>
      <c r="D529" s="41" t="n">
        <f aca="false">(B529+C529)/2</f>
        <v>-0.00243520736694336</v>
      </c>
      <c r="E529" s="15" t="n">
        <f aca="false">$C$2*(1+IF(E$3&lt;=$O$2,$D529,$D529-($D529-$I$508)*MIN(E$3-$O$2,$Q$2)/$Q$2))</f>
        <v>2733.32753181458</v>
      </c>
      <c r="F529" s="15" t="n">
        <f aca="false">E529*(1+IF(F$3&lt;=$O$2,$D529,$D529-($D529-$I$508)*MIN(F$3-$O$2,$Q$2)/$Q$2))</f>
        <v>2726.67131247283</v>
      </c>
      <c r="G529" s="15" t="n">
        <f aca="false">F529*(1+IF(G$3&lt;=$O$2,$D529,$D529-($D529-$I$508)*MIN(G$3-$O$2,$Q$2)/$Q$2))</f>
        <v>2720.03130240546</v>
      </c>
      <c r="H529" s="15" t="n">
        <f aca="false">G529*(1+IF(H$3&lt;=$O$2,$D529,$D529-($D529-$I$508)*MIN(H$3-$O$2,$Q$2)/$Q$2))</f>
        <v>2713.40746213953</v>
      </c>
      <c r="I529" s="15" t="n">
        <f aca="false">H529*(1+IF(I$3&lt;=$O$2,$D529,$D529-($D529-$I$508)*MIN(I$3-$O$2,$Q$2)/$Q$2))</f>
        <v>2706.79975229821</v>
      </c>
      <c r="J529" s="15" t="n">
        <f aca="false">I529*(1+IF(J$3&lt;=$O$2,$D529,$D529-($D529-$I$508)*MIN(J$3-$O$2,$Q$2)/$Q$2))</f>
        <v>2716.84694393811</v>
      </c>
      <c r="K529" s="15" t="n">
        <f aca="false">J529*(1+IF(K$3&lt;=$O$2,$D529,$D529-($D529-$I$508)*MIN(K$3-$O$2,$Q$2)/$Q$2))</f>
        <v>2743.63199992785</v>
      </c>
      <c r="L529" s="15" t="n">
        <f aca="false">K529*(1+IF(L$3&lt;=$O$2,$D529,$D529-($D529-$I$508)*MIN(L$3-$O$2,$Q$2)/$Q$2))</f>
        <v>2787.54634614326</v>
      </c>
      <c r="M529" s="15" t="n">
        <f aca="false">L529*(1+IF(M$3&lt;=$O$2,$D529,$D529-($D529-$I$508)*MIN(M$3-$O$2,$Q$2)/$Q$2))</f>
        <v>2849.29874474038</v>
      </c>
      <c r="N529" s="15" t="n">
        <f aca="false">M529*(1+IF(N$3&lt;=$O$2,$D529,$D529-($D529-$I$508)*MIN(N$3-$O$2,$Q$2)/$Q$2))</f>
        <v>2929.93389921653</v>
      </c>
      <c r="O529" s="15" t="n">
        <f aca="false">SUMPRODUCT(E529:N529,1/(1+$F$508)^$E$3:$N$3)*$E$2</f>
        <v>12473.0064893611</v>
      </c>
      <c r="P529" s="15" t="n">
        <f aca="false">N529*$E$2*(1+$I$508)/($F$508-$I$508)/(1+$F$508)^$N$3</f>
        <v>17277.1693593141</v>
      </c>
      <c r="Q529" s="15" t="n">
        <f aca="false">O529+P529</f>
        <v>29750.1758486752</v>
      </c>
      <c r="R529" s="15" t="n">
        <f aca="false">Q529-$G$2+$I$2</f>
        <v>30520.1758486752</v>
      </c>
      <c r="S529" s="42" t="n">
        <f aca="false">R529/$K$2</f>
        <v>292.254867841379</v>
      </c>
      <c r="T529" s="43" t="n">
        <f aca="false">S529-$M$2</f>
        <v>0.00168389040703687</v>
      </c>
    </row>
    <row r="530" customFormat="false" ht="15" hidden="false" customHeight="false" outlineLevel="0" collapsed="false">
      <c r="A530" s="5" t="n">
        <v>21</v>
      </c>
      <c r="B530" s="25" t="n">
        <f aca="false">IF(T529&gt;0,B529,D529)</f>
        <v>-0.00243663787841797</v>
      </c>
      <c r="C530" s="25" t="n">
        <f aca="false">IF(T529&gt;0,D529,C529)</f>
        <v>-0.00243520736694336</v>
      </c>
      <c r="D530" s="41" t="n">
        <f aca="false">(B530+C530)/2</f>
        <v>-0.00243592262268066</v>
      </c>
      <c r="E530" s="15" t="n">
        <f aca="false">$C$2*(1+IF(E$3&lt;=$O$2,$D530,$D530-($D530-$I$508)*MIN(E$3-$O$2,$Q$2)/$Q$2))</f>
        <v>2733.32557201386</v>
      </c>
      <c r="F530" s="15" t="n">
        <f aca="false">E530*(1+IF(F$3&lt;=$O$2,$D530,$D530-($D530-$I$508)*MIN(F$3-$O$2,$Q$2)/$Q$2))</f>
        <v>2726.66740241783</v>
      </c>
      <c r="G530" s="15" t="n">
        <f aca="false">F530*(1+IF(G$3&lt;=$O$2,$D530,$D530-($D530-$I$508)*MIN(G$3-$O$2,$Q$2)/$Q$2))</f>
        <v>2720.02545160776</v>
      </c>
      <c r="H530" s="15" t="n">
        <f aca="false">G530*(1+IF(H$3&lt;=$O$2,$D530,$D530-($D530-$I$508)*MIN(H$3-$O$2,$Q$2)/$Q$2))</f>
        <v>2713.39968007592</v>
      </c>
      <c r="I530" s="15" t="n">
        <f aca="false">H530*(1+IF(I$3&lt;=$O$2,$D530,$D530-($D530-$I$508)*MIN(I$3-$O$2,$Q$2)/$Q$2))</f>
        <v>2706.79004841085</v>
      </c>
      <c r="J530" s="15" t="n">
        <f aca="false">I530*(1+IF(J$3&lt;=$O$2,$D530,$D530-($D530-$I$508)*MIN(J$3-$O$2,$Q$2)/$Q$2))</f>
        <v>2716.83565519384</v>
      </c>
      <c r="K530" s="15" t="n">
        <f aca="false">J530*(1+IF(K$3&lt;=$O$2,$D530,$D530-($D530-$I$508)*MIN(K$3-$O$2,$Q$2)/$Q$2))</f>
        <v>2743.61943394988</v>
      </c>
      <c r="L530" s="15" t="n">
        <f aca="false">K530*(1+IF(L$3&lt;=$O$2,$D530,$D530-($D530-$I$508)*MIN(L$3-$O$2,$Q$2)/$Q$2))</f>
        <v>2787.53279407947</v>
      </c>
      <c r="M530" s="15" t="n">
        <f aca="false">L530*(1+IF(M$3&lt;=$O$2,$D530,$D530-($D530-$I$508)*MIN(M$3-$O$2,$Q$2)/$Q$2))</f>
        <v>2849.28449369852</v>
      </c>
      <c r="N530" s="15" t="n">
        <f aca="false">M530*(1+IF(N$3&lt;=$O$2,$D530,$D530-($D530-$I$508)*MIN(N$3-$O$2,$Q$2)/$Q$2))</f>
        <v>2929.91924487019</v>
      </c>
      <c r="O530" s="15" t="n">
        <f aca="false">SUMPRODUCT(E530:N530,1/(1+$F$508)^$E$3:$N$3)*$E$2</f>
        <v>12472.9675458247</v>
      </c>
      <c r="P530" s="15" t="n">
        <f aca="false">N530*$E$2*(1+$I$508)/($F$508-$I$508)/(1+$F$508)^$N$3</f>
        <v>17277.082945889</v>
      </c>
      <c r="Q530" s="15" t="n">
        <f aca="false">O530+P530</f>
        <v>29750.0504917137</v>
      </c>
      <c r="R530" s="15" t="n">
        <f aca="false">Q530-$G$2+$I$2</f>
        <v>30520.0504917137</v>
      </c>
      <c r="S530" s="42" t="n">
        <f aca="false">R530/$K$2</f>
        <v>292.25366744914</v>
      </c>
      <c r="T530" s="43" t="n">
        <f aca="false">S530-$M$2</f>
        <v>0.000483498167909602</v>
      </c>
    </row>
    <row r="531" customFormat="false" ht="15" hidden="false" customHeight="false" outlineLevel="0" collapsed="false">
      <c r="A531" s="5" t="n">
        <v>22</v>
      </c>
      <c r="B531" s="25" t="n">
        <f aca="false">IF(T530&gt;0,B530,D530)</f>
        <v>-0.00243663787841797</v>
      </c>
      <c r="C531" s="25" t="n">
        <f aca="false">IF(T530&gt;0,D530,C530)</f>
        <v>-0.00243592262268066</v>
      </c>
      <c r="D531" s="41" t="n">
        <f aca="false">(B531+C531)/2</f>
        <v>-0.00243628025054932</v>
      </c>
      <c r="E531" s="15" t="n">
        <f aca="false">$C$2*(1+IF(E$3&lt;=$O$2,$D531,$D531-($D531-$I$508)*MIN(E$3-$O$2,$Q$2)/$Q$2))</f>
        <v>2733.3245921135</v>
      </c>
      <c r="F531" s="15" t="n">
        <f aca="false">E531*(1+IF(F$3&lt;=$O$2,$D531,$D531-($D531-$I$508)*MIN(F$3-$O$2,$Q$2)/$Q$2))</f>
        <v>2726.66544739139</v>
      </c>
      <c r="G531" s="15" t="n">
        <f aca="false">F531*(1+IF(G$3&lt;=$O$2,$D531,$D531-($D531-$I$508)*MIN(G$3-$O$2,$Q$2)/$Q$2))</f>
        <v>2720.02252621205</v>
      </c>
      <c r="H531" s="15" t="n">
        <f aca="false">G531*(1+IF(H$3&lt;=$O$2,$D531,$D531-($D531-$I$508)*MIN(H$3-$O$2,$Q$2)/$Q$2))</f>
        <v>2713.39578905039</v>
      </c>
      <c r="I531" s="15" t="n">
        <f aca="false">H531*(1+IF(I$3&lt;=$O$2,$D531,$D531-($D531-$I$508)*MIN(I$3-$O$2,$Q$2)/$Q$2))</f>
        <v>2706.78519647761</v>
      </c>
      <c r="J531" s="15" t="n">
        <f aca="false">I531*(1+IF(J$3&lt;=$O$2,$D531,$D531-($D531-$I$508)*MIN(J$3-$O$2,$Q$2)/$Q$2))</f>
        <v>2716.83001083634</v>
      </c>
      <c r="K531" s="15" t="n">
        <f aca="false">J531*(1+IF(K$3&lt;=$O$2,$D531,$D531-($D531-$I$508)*MIN(K$3-$O$2,$Q$2)/$Q$2))</f>
        <v>2743.61315097931</v>
      </c>
      <c r="L531" s="15" t="n">
        <f aca="false">K531*(1+IF(L$3&lt;=$O$2,$D531,$D531-($D531-$I$508)*MIN(L$3-$O$2,$Q$2)/$Q$2))</f>
        <v>2787.52601806899</v>
      </c>
      <c r="M531" s="15" t="n">
        <f aca="false">L531*(1+IF(M$3&lt;=$O$2,$D531,$D531-($D531-$I$508)*MIN(M$3-$O$2,$Q$2)/$Q$2))</f>
        <v>2849.27736820093</v>
      </c>
      <c r="N531" s="15" t="n">
        <f aca="false">M531*(1+IF(N$3&lt;=$O$2,$D531,$D531-($D531-$I$508)*MIN(N$3-$O$2,$Q$2)/$Q$2))</f>
        <v>2929.91191772101</v>
      </c>
      <c r="O531" s="15" t="n">
        <f aca="false">SUMPRODUCT(E531:N531,1/(1+$F$508)^$E$3:$N$3)*$E$2</f>
        <v>12472.9480741031</v>
      </c>
      <c r="P531" s="15" t="n">
        <f aca="false">N531*$E$2*(1+$I$508)/($F$508-$I$508)/(1+$F$508)^$N$3</f>
        <v>17277.039739318</v>
      </c>
      <c r="Q531" s="15" t="n">
        <f aca="false">O531+P531</f>
        <v>29749.9878134211</v>
      </c>
      <c r="R531" s="15" t="n">
        <f aca="false">Q531-$G$2+$I$2</f>
        <v>30519.9878134211</v>
      </c>
      <c r="S531" s="42" t="n">
        <f aca="false">R531/$K$2</f>
        <v>292.253067254822</v>
      </c>
      <c r="T531" s="43" t="n">
        <f aca="false">S531-$M$2</f>
        <v>-0.000116696149575546</v>
      </c>
    </row>
    <row r="532" customFormat="false" ht="15" hidden="false" customHeight="false" outlineLevel="0" collapsed="false">
      <c r="A532" s="5" t="n">
        <v>23</v>
      </c>
      <c r="B532" s="25" t="n">
        <f aca="false">IF(T531&gt;0,B531,D531)</f>
        <v>-0.00243628025054932</v>
      </c>
      <c r="C532" s="25" t="n">
        <f aca="false">IF(T531&gt;0,D531,C531)</f>
        <v>-0.00243592262268066</v>
      </c>
      <c r="D532" s="41" t="n">
        <f aca="false">(B532+C532)/2</f>
        <v>-0.00243610143661499</v>
      </c>
      <c r="E532" s="15" t="n">
        <f aca="false">$C$2*(1+IF(E$3&lt;=$O$2,$D532,$D532-($D532-$I$508)*MIN(E$3-$O$2,$Q$2)/$Q$2))</f>
        <v>2733.32508206368</v>
      </c>
      <c r="F532" s="15" t="n">
        <f aca="false">E532*(1+IF(F$3&lt;=$O$2,$D532,$D532-($D532-$I$508)*MIN(F$3-$O$2,$Q$2)/$Q$2))</f>
        <v>2726.66642490452</v>
      </c>
      <c r="G532" s="15" t="n">
        <f aca="false">F532*(1+IF(G$3&lt;=$O$2,$D532,$D532-($D532-$I$508)*MIN(G$3-$O$2,$Q$2)/$Q$2))</f>
        <v>2720.02398890964</v>
      </c>
      <c r="H532" s="15" t="n">
        <f aca="false">G532*(1+IF(H$3&lt;=$O$2,$D532,$D532-($D532-$I$508)*MIN(H$3-$O$2,$Q$2)/$Q$2))</f>
        <v>2713.39773456263</v>
      </c>
      <c r="I532" s="15" t="n">
        <f aca="false">H532*(1+IF(I$3&lt;=$O$2,$D532,$D532-($D532-$I$508)*MIN(I$3-$O$2,$Q$2)/$Q$2))</f>
        <v>2706.78762244336</v>
      </c>
      <c r="J532" s="15" t="n">
        <f aca="false">I532*(1+IF(J$3&lt;=$O$2,$D532,$D532-($D532-$I$508)*MIN(J$3-$O$2,$Q$2)/$Q$2))</f>
        <v>2716.83283301387</v>
      </c>
      <c r="K532" s="15" t="n">
        <f aca="false">J532*(1+IF(K$3&lt;=$O$2,$D532,$D532-($D532-$I$508)*MIN(K$3-$O$2,$Q$2)/$Q$2))</f>
        <v>2743.61629246306</v>
      </c>
      <c r="L532" s="15" t="n">
        <f aca="false">K532*(1+IF(L$3&lt;=$O$2,$D532,$D532-($D532-$I$508)*MIN(L$3-$O$2,$Q$2)/$Q$2))</f>
        <v>2787.52940607245</v>
      </c>
      <c r="M532" s="15" t="n">
        <f aca="false">L532*(1+IF(M$3&lt;=$O$2,$D532,$D532-($D532-$I$508)*MIN(M$3-$O$2,$Q$2)/$Q$2))</f>
        <v>2849.28093094778</v>
      </c>
      <c r="N532" s="15" t="n">
        <f aca="false">M532*(1+IF(N$3&lt;=$O$2,$D532,$D532-($D532-$I$508)*MIN(N$3-$O$2,$Q$2)/$Q$2))</f>
        <v>2929.9155812936</v>
      </c>
      <c r="O532" s="15" t="n">
        <f aca="false">SUMPRODUCT(E532:N532,1/(1+$F$508)^$E$3:$N$3)*$E$2</f>
        <v>12472.95780996</v>
      </c>
      <c r="P532" s="15" t="n">
        <f aca="false">N532*$E$2*(1+$I$508)/($F$508-$I$508)/(1+$F$508)^$N$3</f>
        <v>17277.0613425917</v>
      </c>
      <c r="Q532" s="15" t="n">
        <f aca="false">O532+P532</f>
        <v>29750.0191525517</v>
      </c>
      <c r="R532" s="15" t="n">
        <f aca="false">Q532-$G$2+$I$2</f>
        <v>30520.0191525517</v>
      </c>
      <c r="S532" s="42" t="n">
        <f aca="false">R532/$K$2</f>
        <v>292.253367351831</v>
      </c>
      <c r="T532" s="43" t="n">
        <f aca="false">S532-$M$2</f>
        <v>0.000183400858873028</v>
      </c>
    </row>
    <row r="533" customFormat="false" ht="15" hidden="false" customHeight="false" outlineLevel="0" collapsed="false">
      <c r="A533" s="5" t="n">
        <v>24</v>
      </c>
      <c r="B533" s="25" t="n">
        <f aca="false">IF(T532&gt;0,B532,D532)</f>
        <v>-0.00243628025054932</v>
      </c>
      <c r="C533" s="25" t="n">
        <f aca="false">IF(T532&gt;0,D532,C532)</f>
        <v>-0.00243610143661499</v>
      </c>
      <c r="D533" s="41" t="n">
        <f aca="false">(B533+C533)/2</f>
        <v>-0.00243619084358215</v>
      </c>
      <c r="E533" s="15" t="n">
        <f aca="false">$C$2*(1+IF(E$3&lt;=$O$2,$D533,$D533-($D533-$I$508)*MIN(E$3-$O$2,$Q$2)/$Q$2))</f>
        <v>2733.32483708859</v>
      </c>
      <c r="F533" s="15" t="n">
        <f aca="false">E533*(1+IF(F$3&lt;=$O$2,$D533,$D533-($D533-$I$508)*MIN(F$3-$O$2,$Q$2)/$Q$2))</f>
        <v>2726.66593614793</v>
      </c>
      <c r="G533" s="15" t="n">
        <f aca="false">F533*(1+IF(G$3&lt;=$O$2,$D533,$D533-($D533-$I$508)*MIN(G$3-$O$2,$Q$2)/$Q$2))</f>
        <v>2720.02325756078</v>
      </c>
      <c r="H533" s="15" t="n">
        <f aca="false">G533*(1+IF(H$3&lt;=$O$2,$D533,$D533-($D533-$I$508)*MIN(H$3-$O$2,$Q$2)/$Q$2))</f>
        <v>2713.39676180638</v>
      </c>
      <c r="I533" s="15" t="n">
        <f aca="false">H533*(1+IF(I$3&lt;=$O$2,$D533,$D533-($D533-$I$508)*MIN(I$3-$O$2,$Q$2)/$Q$2))</f>
        <v>2706.78640946027</v>
      </c>
      <c r="J533" s="15" t="n">
        <f aca="false">I533*(1+IF(J$3&lt;=$O$2,$D533,$D533-($D533-$I$508)*MIN(J$3-$O$2,$Q$2)/$Q$2))</f>
        <v>2716.8314219248</v>
      </c>
      <c r="K533" s="15" t="n">
        <f aca="false">J533*(1+IF(K$3&lt;=$O$2,$D533,$D533-($D533-$I$508)*MIN(K$3-$O$2,$Q$2)/$Q$2))</f>
        <v>2743.6147217208</v>
      </c>
      <c r="L533" s="15" t="n">
        <f aca="false">K533*(1+IF(L$3&lt;=$O$2,$D533,$D533-($D533-$I$508)*MIN(L$3-$O$2,$Q$2)/$Q$2))</f>
        <v>2787.52771207027</v>
      </c>
      <c r="M533" s="15" t="n">
        <f aca="false">L533*(1+IF(M$3&lt;=$O$2,$D533,$D533-($D533-$I$508)*MIN(M$3-$O$2,$Q$2)/$Q$2))</f>
        <v>2849.27914957387</v>
      </c>
      <c r="N533" s="15" t="n">
        <f aca="false">M533*(1+IF(N$3&lt;=$O$2,$D533,$D533-($D533-$I$508)*MIN(N$3-$O$2,$Q$2)/$Q$2))</f>
        <v>2929.91374950681</v>
      </c>
      <c r="O533" s="15" t="n">
        <f aca="false">SUMPRODUCT(E533:N533,1/(1+$F$508)^$E$3:$N$3)*$E$2</f>
        <v>12472.9529420306</v>
      </c>
      <c r="P533" s="15" t="n">
        <f aca="false">N533*$E$2*(1+$I$508)/($F$508-$I$508)/(1+$F$508)^$N$3</f>
        <v>17277.0505409519</v>
      </c>
      <c r="Q533" s="15" t="n">
        <f aca="false">O533+P533</f>
        <v>29750.0034829825</v>
      </c>
      <c r="R533" s="15" t="n">
        <f aca="false">Q533-$G$2+$I$2</f>
        <v>30520.0034829825</v>
      </c>
      <c r="S533" s="42" t="n">
        <f aca="false">R533/$K$2</f>
        <v>292.253217303289</v>
      </c>
      <c r="T533" s="43" t="n">
        <f aca="false">S533-$M$2</f>
        <v>3.33523171320849E-005</v>
      </c>
    </row>
    <row r="535" customFormat="false" ht="15" hidden="false" customHeight="false" outlineLevel="0" collapsed="false">
      <c r="A535" s="38" t="s">
        <v>197</v>
      </c>
      <c r="E535" s="5" t="s">
        <v>11</v>
      </c>
      <c r="F535" s="12" t="n">
        <f aca="false">Sensitivity!$B$13</f>
        <v>0.0822772551778937</v>
      </c>
      <c r="G535" s="5" t="s">
        <v>12</v>
      </c>
      <c r="I535" s="12" t="n">
        <f aca="false">Sensitivity!$F$9</f>
        <v>0.0333</v>
      </c>
    </row>
    <row r="536" customFormat="false" ht="23.85" hidden="false" customHeight="false" outlineLevel="0" collapsed="false">
      <c r="A536" s="38" t="s">
        <v>159</v>
      </c>
      <c r="B536" s="28" t="s">
        <v>160</v>
      </c>
      <c r="C536" s="28" t="s">
        <v>161</v>
      </c>
      <c r="D536" s="28" t="s">
        <v>162</v>
      </c>
      <c r="E536" s="28" t="s">
        <v>163</v>
      </c>
      <c r="F536" s="28" t="s">
        <v>164</v>
      </c>
      <c r="G536" s="28" t="s">
        <v>165</v>
      </c>
      <c r="H536" s="28" t="s">
        <v>166</v>
      </c>
      <c r="I536" s="28" t="s">
        <v>167</v>
      </c>
      <c r="J536" s="28" t="s">
        <v>168</v>
      </c>
      <c r="K536" s="28" t="s">
        <v>169</v>
      </c>
      <c r="L536" s="28" t="s">
        <v>170</v>
      </c>
      <c r="M536" s="28" t="s">
        <v>171</v>
      </c>
      <c r="N536" s="28" t="s">
        <v>172</v>
      </c>
      <c r="O536" s="28" t="s">
        <v>173</v>
      </c>
      <c r="P536" s="28" t="s">
        <v>174</v>
      </c>
      <c r="Q536" s="28" t="s">
        <v>175</v>
      </c>
      <c r="R536" s="28" t="s">
        <v>176</v>
      </c>
      <c r="S536" s="28" t="s">
        <v>177</v>
      </c>
      <c r="T536" s="28" t="s">
        <v>178</v>
      </c>
    </row>
    <row r="537" customFormat="false" ht="15" hidden="false" customHeight="false" outlineLevel="0" collapsed="false">
      <c r="A537" s="5" t="n">
        <v>1</v>
      </c>
      <c r="B537" s="24" t="n">
        <v>-0.5</v>
      </c>
      <c r="C537" s="24" t="n">
        <v>1</v>
      </c>
      <c r="D537" s="41" t="n">
        <f aca="false">(B537+C537)/2</f>
        <v>0.25</v>
      </c>
      <c r="E537" s="15" t="n">
        <f aca="false">$C$2*(1+IF(E$3&lt;=$O$2,$D537,$D537-($D537-$I$535)*MIN(E$3-$O$2,$Q$2)/$Q$2))</f>
        <v>3425</v>
      </c>
      <c r="F537" s="15" t="n">
        <f aca="false">E537*(1+IF(F$3&lt;=$O$2,$D537,$D537-($D537-$I$535)*MIN(F$3-$O$2,$Q$2)/$Q$2))</f>
        <v>4281.25</v>
      </c>
      <c r="G537" s="15" t="n">
        <f aca="false">F537*(1+IF(G$3&lt;=$O$2,$D537,$D537-($D537-$I$535)*MIN(G$3-$O$2,$Q$2)/$Q$2))</f>
        <v>5351.5625</v>
      </c>
      <c r="H537" s="15" t="n">
        <f aca="false">G537*(1+IF(H$3&lt;=$O$2,$D537,$D537-($D537-$I$535)*MIN(H$3-$O$2,$Q$2)/$Q$2))</f>
        <v>6689.453125</v>
      </c>
      <c r="I537" s="15" t="n">
        <f aca="false">H537*(1+IF(I$3&lt;=$O$2,$D537,$D537-($D537-$I$535)*MIN(I$3-$O$2,$Q$2)/$Q$2))</f>
        <v>8361.81640625</v>
      </c>
      <c r="J537" s="15" t="n">
        <f aca="false">I537*(1+IF(J$3&lt;=$O$2,$D537,$D537-($D537-$I$535)*MIN(J$3-$O$2,$Q$2)/$Q$2))</f>
        <v>10089.8693847656</v>
      </c>
      <c r="K537" s="15" t="n">
        <f aca="false">J537*(1+IF(K$3&lt;=$O$2,$D537,$D537-($D537-$I$535)*MIN(K$3-$O$2,$Q$2)/$Q$2))</f>
        <v>11737.7468526855</v>
      </c>
      <c r="L537" s="15" t="n">
        <f aca="false">K537*(1+IF(L$3&lt;=$O$2,$D537,$D537-($D537-$I$535)*MIN(L$3-$O$2,$Q$2)/$Q$2))</f>
        <v>13146.0417200708</v>
      </c>
      <c r="M537" s="15" t="n">
        <f aca="false">L537*(1+IF(M$3&lt;=$O$2,$D537,$D537-($D537-$I$535)*MIN(M$3-$O$2,$Q$2)/$Q$2))</f>
        <v>14153.554357497</v>
      </c>
      <c r="N537" s="15" t="n">
        <f aca="false">M537*(1+IF(N$3&lt;=$O$2,$D537,$D537-($D537-$I$535)*MIN(N$3-$O$2,$Q$2)/$Q$2))</f>
        <v>14624.8677176016</v>
      </c>
      <c r="O537" s="15" t="n">
        <f aca="false">SUMPRODUCT(E537:N537,1/(1+$F$535)^$E$3:$N$3)*$E$2</f>
        <v>37631.5333862381</v>
      </c>
      <c r="P537" s="15" t="n">
        <f aca="false">N537*$E$2*(1+$I$535)/($F$535-$I$535)/(1+$F$535)^$N$3</f>
        <v>95505.7813343434</v>
      </c>
      <c r="Q537" s="15" t="n">
        <f aca="false">O537+P537</f>
        <v>133137.314720581</v>
      </c>
      <c r="R537" s="15" t="n">
        <f aca="false">Q537-$G$2+$I$2</f>
        <v>133907.314720581</v>
      </c>
      <c r="S537" s="42" t="n">
        <f aca="false">R537/$K$2</f>
        <v>1282.26864618004</v>
      </c>
      <c r="T537" s="43" t="n">
        <f aca="false">S537-$M$2</f>
        <v>990.015462229067</v>
      </c>
    </row>
    <row r="538" customFormat="false" ht="15" hidden="false" customHeight="false" outlineLevel="0" collapsed="false">
      <c r="A538" s="5" t="n">
        <v>2</v>
      </c>
      <c r="B538" s="25" t="n">
        <f aca="false">IF(T537&gt;0,B537,D537)</f>
        <v>-0.5</v>
      </c>
      <c r="C538" s="25" t="n">
        <f aca="false">IF(T537&gt;0,D537,C537)</f>
        <v>0.25</v>
      </c>
      <c r="D538" s="41" t="n">
        <f aca="false">(B538+C538)/2</f>
        <v>-0.125</v>
      </c>
      <c r="E538" s="15" t="n">
        <f aca="false">$C$2*(1+IF(E$3&lt;=$O$2,$D538,$D538-($D538-$I$535)*MIN(E$3-$O$2,$Q$2)/$Q$2))</f>
        <v>2397.5</v>
      </c>
      <c r="F538" s="15" t="n">
        <f aca="false">E538*(1+IF(F$3&lt;=$O$2,$D538,$D538-($D538-$I$535)*MIN(F$3-$O$2,$Q$2)/$Q$2))</f>
        <v>2097.8125</v>
      </c>
      <c r="G538" s="15" t="n">
        <f aca="false">F538*(1+IF(G$3&lt;=$O$2,$D538,$D538-($D538-$I$535)*MIN(G$3-$O$2,$Q$2)/$Q$2))</f>
        <v>1835.5859375</v>
      </c>
      <c r="H538" s="15" t="n">
        <f aca="false">G538*(1+IF(H$3&lt;=$O$2,$D538,$D538-($D538-$I$535)*MIN(H$3-$O$2,$Q$2)/$Q$2))</f>
        <v>1606.1376953125</v>
      </c>
      <c r="I538" s="15" t="n">
        <f aca="false">H538*(1+IF(I$3&lt;=$O$2,$D538,$D538-($D538-$I$535)*MIN(I$3-$O$2,$Q$2)/$Q$2))</f>
        <v>1405.37048339844</v>
      </c>
      <c r="J538" s="15" t="n">
        <f aca="false">I538*(1+IF(J$3&lt;=$O$2,$D538,$D538-($D538-$I$535)*MIN(J$3-$O$2,$Q$2)/$Q$2))</f>
        <v>1274.19320247803</v>
      </c>
      <c r="K538" s="15" t="n">
        <f aca="false">J538*(1+IF(K$3&lt;=$O$2,$D538,$D538-($D538-$I$535)*MIN(K$3-$O$2,$Q$2)/$Q$2))</f>
        <v>1195.60096574918</v>
      </c>
      <c r="L538" s="15" t="n">
        <f aca="false">K538*(1+IF(L$3&lt;=$O$2,$D538,$D538-($D538-$I$535)*MIN(L$3-$O$2,$Q$2)/$Q$2))</f>
        <v>1159.70902475739</v>
      </c>
      <c r="M538" s="15" t="n">
        <f aca="false">L538*(1+IF(M$3&lt;=$O$2,$D538,$D538-($D538-$I$535)*MIN(M$3-$O$2,$Q$2)/$Q$2))</f>
        <v>1161.61094755799</v>
      </c>
      <c r="N538" s="15" t="n">
        <f aca="false">M538*(1+IF(N$3&lt;=$O$2,$D538,$D538-($D538-$I$535)*MIN(N$3-$O$2,$Q$2)/$Q$2))</f>
        <v>1200.29259211168</v>
      </c>
      <c r="O538" s="15" t="n">
        <f aca="false">SUMPRODUCT(E538:N538,1/(1+$F$535)^$E$3:$N$3)*$E$2</f>
        <v>7358.66696009166</v>
      </c>
      <c r="P538" s="15" t="n">
        <f aca="false">N538*$E$2*(1+$I$535)/($F$535-$I$535)/(1+$F$535)^$N$3</f>
        <v>7838.35341645396</v>
      </c>
      <c r="Q538" s="15" t="n">
        <f aca="false">O538+P538</f>
        <v>15197.0203765456</v>
      </c>
      <c r="R538" s="15" t="n">
        <f aca="false">Q538-$G$2+$I$2</f>
        <v>15967.0203765456</v>
      </c>
      <c r="S538" s="42" t="n">
        <f aca="false">R538/$K$2</f>
        <v>152.896872321609</v>
      </c>
      <c r="T538" s="43" t="n">
        <f aca="false">S538-$M$2</f>
        <v>-139.356311629363</v>
      </c>
    </row>
    <row r="539" customFormat="false" ht="15" hidden="false" customHeight="false" outlineLevel="0" collapsed="false">
      <c r="A539" s="5" t="n">
        <v>3</v>
      </c>
      <c r="B539" s="25" t="n">
        <f aca="false">IF(T538&gt;0,B538,D538)</f>
        <v>-0.125</v>
      </c>
      <c r="C539" s="25" t="n">
        <f aca="false">IF(T538&gt;0,D538,C538)</f>
        <v>0.25</v>
      </c>
      <c r="D539" s="41" t="n">
        <f aca="false">(B539+C539)/2</f>
        <v>0.0625</v>
      </c>
      <c r="E539" s="15" t="n">
        <f aca="false">$C$2*(1+IF(E$3&lt;=$O$2,$D539,$D539-($D539-$I$535)*MIN(E$3-$O$2,$Q$2)/$Q$2))</f>
        <v>2911.25</v>
      </c>
      <c r="F539" s="15" t="n">
        <f aca="false">E539*(1+IF(F$3&lt;=$O$2,$D539,$D539-($D539-$I$535)*MIN(F$3-$O$2,$Q$2)/$Q$2))</f>
        <v>3093.203125</v>
      </c>
      <c r="G539" s="15" t="n">
        <f aca="false">F539*(1+IF(G$3&lt;=$O$2,$D539,$D539-($D539-$I$535)*MIN(G$3-$O$2,$Q$2)/$Q$2))</f>
        <v>3286.5283203125</v>
      </c>
      <c r="H539" s="15" t="n">
        <f aca="false">G539*(1+IF(H$3&lt;=$O$2,$D539,$D539-($D539-$I$535)*MIN(H$3-$O$2,$Q$2)/$Q$2))</f>
        <v>3491.93634033203</v>
      </c>
      <c r="I539" s="15" t="n">
        <f aca="false">H539*(1+IF(I$3&lt;=$O$2,$D539,$D539-($D539-$I$535)*MIN(I$3-$O$2,$Q$2)/$Q$2))</f>
        <v>3710.18236160278</v>
      </c>
      <c r="J539" s="15" t="n">
        <f aca="false">I539*(1+IF(J$3&lt;=$O$2,$D539,$D539-($D539-$I$535)*MIN(J$3-$O$2,$Q$2)/$Q$2))</f>
        <v>3920.4012942112</v>
      </c>
      <c r="K539" s="15" t="n">
        <f aca="false">J539*(1+IF(K$3&lt;=$O$2,$D539,$D539-($D539-$I$535)*MIN(K$3-$O$2,$Q$2)/$Q$2))</f>
        <v>4119.63608798301</v>
      </c>
      <c r="L539" s="15" t="n">
        <f aca="false">K539*(1+IF(L$3&lt;=$O$2,$D539,$D539-($D539-$I$535)*MIN(L$3-$O$2,$Q$2)/$Q$2))</f>
        <v>4304.93731922049</v>
      </c>
      <c r="M539" s="15" t="n">
        <f aca="false">L539*(1+IF(M$3&lt;=$O$2,$D539,$D539-($D539-$I$535)*MIN(M$3-$O$2,$Q$2)/$Q$2))</f>
        <v>4473.43256589478</v>
      </c>
      <c r="N539" s="15" t="n">
        <f aca="false">M539*(1+IF(N$3&lt;=$O$2,$D539,$D539-($D539-$I$535)*MIN(N$3-$O$2,$Q$2)/$Q$2))</f>
        <v>4622.39787033907</v>
      </c>
      <c r="O539" s="15" t="n">
        <f aca="false">SUMPRODUCT(E539:N539,1/(1+$F$535)^$E$3:$N$3)*$E$2</f>
        <v>16621.3529143246</v>
      </c>
      <c r="P539" s="15" t="n">
        <f aca="false">N539*$E$2*(1+$I$535)/($F$535-$I$535)/(1+$F$535)^$N$3</f>
        <v>30185.9633036965</v>
      </c>
      <c r="Q539" s="15" t="n">
        <f aca="false">O539+P539</f>
        <v>46807.316218021</v>
      </c>
      <c r="R539" s="15" t="n">
        <f aca="false">Q539-$G$2+$I$2</f>
        <v>47577.316218021</v>
      </c>
      <c r="S539" s="42" t="n">
        <f aca="false">R539/$K$2</f>
        <v>455.590502901666</v>
      </c>
      <c r="T539" s="43" t="n">
        <f aca="false">S539-$M$2</f>
        <v>163.337318950694</v>
      </c>
    </row>
    <row r="540" customFormat="false" ht="15" hidden="false" customHeight="false" outlineLevel="0" collapsed="false">
      <c r="A540" s="5" t="n">
        <v>4</v>
      </c>
      <c r="B540" s="25" t="n">
        <f aca="false">IF(T539&gt;0,B539,D539)</f>
        <v>-0.125</v>
      </c>
      <c r="C540" s="25" t="n">
        <f aca="false">IF(T539&gt;0,D539,C539)</f>
        <v>0.0625</v>
      </c>
      <c r="D540" s="41" t="n">
        <f aca="false">(B540+C540)/2</f>
        <v>-0.03125</v>
      </c>
      <c r="E540" s="15" t="n">
        <f aca="false">$C$2*(1+IF(E$3&lt;=$O$2,$D540,$D540-($D540-$I$535)*MIN(E$3-$O$2,$Q$2)/$Q$2))</f>
        <v>2654.375</v>
      </c>
      <c r="F540" s="15" t="n">
        <f aca="false">E540*(1+IF(F$3&lt;=$O$2,$D540,$D540-($D540-$I$535)*MIN(F$3-$O$2,$Q$2)/$Q$2))</f>
        <v>2571.42578125</v>
      </c>
      <c r="G540" s="15" t="n">
        <f aca="false">F540*(1+IF(G$3&lt;=$O$2,$D540,$D540-($D540-$I$535)*MIN(G$3-$O$2,$Q$2)/$Q$2))</f>
        <v>2491.06872558594</v>
      </c>
      <c r="H540" s="15" t="n">
        <f aca="false">G540*(1+IF(H$3&lt;=$O$2,$D540,$D540-($D540-$I$535)*MIN(H$3-$O$2,$Q$2)/$Q$2))</f>
        <v>2413.22282791138</v>
      </c>
      <c r="I540" s="15" t="n">
        <f aca="false">H540*(1+IF(I$3&lt;=$O$2,$D540,$D540-($D540-$I$535)*MIN(I$3-$O$2,$Q$2)/$Q$2))</f>
        <v>2337.80961453915</v>
      </c>
      <c r="J540" s="15" t="n">
        <f aca="false">I540*(1+IF(J$3&lt;=$O$2,$D540,$D540-($D540-$I$535)*MIN(J$3-$O$2,$Q$2)/$Q$2))</f>
        <v>2294.9341862085</v>
      </c>
      <c r="K540" s="15" t="n">
        <f aca="false">J540*(1+IF(K$3&lt;=$O$2,$D540,$D540-($D540-$I$535)*MIN(K$3-$O$2,$Q$2)/$Q$2))</f>
        <v>2282.47269357739</v>
      </c>
      <c r="L540" s="15" t="n">
        <f aca="false">K540*(1+IF(L$3&lt;=$O$2,$D540,$D540-($D540-$I$535)*MIN(L$3-$O$2,$Q$2)/$Q$2))</f>
        <v>2299.54558932534</v>
      </c>
      <c r="M540" s="15" t="n">
        <f aca="false">L540*(1+IF(M$3&lt;=$O$2,$D540,$D540-($D540-$I$535)*MIN(M$3-$O$2,$Q$2)/$Q$2))</f>
        <v>2346.43332389169</v>
      </c>
      <c r="N540" s="15" t="n">
        <f aca="false">M540*(1+IF(N$3&lt;=$O$2,$D540,$D540-($D540-$I$535)*MIN(N$3-$O$2,$Q$2)/$Q$2))</f>
        <v>2424.56955357728</v>
      </c>
      <c r="O540" s="15" t="n">
        <f aca="false">SUMPRODUCT(E540:N540,1/(1+$F$535)^$E$3:$N$3)*$E$2</f>
        <v>11028.6316948356</v>
      </c>
      <c r="P540" s="15" t="n">
        <f aca="false">N540*$E$2*(1+$I$535)/($F$535-$I$535)/(1+$F$535)^$N$3</f>
        <v>15833.3336126635</v>
      </c>
      <c r="Q540" s="15" t="n">
        <f aca="false">O540+P540</f>
        <v>26861.965307499</v>
      </c>
      <c r="R540" s="15" t="n">
        <f aca="false">Q540-$G$2+$I$2</f>
        <v>27631.965307499</v>
      </c>
      <c r="S540" s="42" t="n">
        <f aca="false">R540/$K$2</f>
        <v>264.597963300766</v>
      </c>
      <c r="T540" s="43" t="n">
        <f aca="false">S540-$M$2</f>
        <v>-27.6552206502057</v>
      </c>
    </row>
    <row r="541" customFormat="false" ht="15" hidden="false" customHeight="false" outlineLevel="0" collapsed="false">
      <c r="A541" s="5" t="n">
        <v>5</v>
      </c>
      <c r="B541" s="25" t="n">
        <f aca="false">IF(T540&gt;0,B540,D540)</f>
        <v>-0.03125</v>
      </c>
      <c r="C541" s="25" t="n">
        <f aca="false">IF(T540&gt;0,D540,C540)</f>
        <v>0.0625</v>
      </c>
      <c r="D541" s="41" t="n">
        <f aca="false">(B541+C541)/2</f>
        <v>0.015625</v>
      </c>
      <c r="E541" s="15" t="n">
        <f aca="false">$C$2*(1+IF(E$3&lt;=$O$2,$D541,$D541-($D541-$I$535)*MIN(E$3-$O$2,$Q$2)/$Q$2))</f>
        <v>2782.8125</v>
      </c>
      <c r="F541" s="15" t="n">
        <f aca="false">E541*(1+IF(F$3&lt;=$O$2,$D541,$D541-($D541-$I$535)*MIN(F$3-$O$2,$Q$2)/$Q$2))</f>
        <v>2826.2939453125</v>
      </c>
      <c r="G541" s="15" t="n">
        <f aca="false">F541*(1+IF(G$3&lt;=$O$2,$D541,$D541-($D541-$I$535)*MIN(G$3-$O$2,$Q$2)/$Q$2))</f>
        <v>2870.45478820801</v>
      </c>
      <c r="H541" s="15" t="n">
        <f aca="false">G541*(1+IF(H$3&lt;=$O$2,$D541,$D541-($D541-$I$535)*MIN(H$3-$O$2,$Q$2)/$Q$2))</f>
        <v>2915.30564427376</v>
      </c>
      <c r="I541" s="15" t="n">
        <f aca="false">H541*(1+IF(I$3&lt;=$O$2,$D541,$D541-($D541-$I$535)*MIN(I$3-$O$2,$Q$2)/$Q$2))</f>
        <v>2960.85729496554</v>
      </c>
      <c r="J541" s="15" t="n">
        <f aca="false">I541*(1+IF(J$3&lt;=$O$2,$D541,$D541-($D541-$I$535)*MIN(J$3-$O$2,$Q$2)/$Q$2))</f>
        <v>3017.58732073708</v>
      </c>
      <c r="K541" s="15" t="n">
        <f aca="false">J541*(1+IF(K$3&lt;=$O$2,$D541,$D541-($D541-$I$535)*MIN(K$3-$O$2,$Q$2)/$Q$2))</f>
        <v>3086.0714649812</v>
      </c>
      <c r="L541" s="15" t="n">
        <f aca="false">K541*(1+IF(L$3&lt;=$O$2,$D541,$D541-($D541-$I$535)*MIN(L$3-$O$2,$Q$2)/$Q$2))</f>
        <v>3167.01911950766</v>
      </c>
      <c r="M541" s="15" t="n">
        <f aca="false">L541*(1+IF(M$3&lt;=$O$2,$D541,$D541-($D541-$I$535)*MIN(M$3-$O$2,$Q$2)/$Q$2))</f>
        <v>3261.28544359981</v>
      </c>
      <c r="N541" s="15" t="n">
        <f aca="false">M541*(1+IF(N$3&lt;=$O$2,$D541,$D541-($D541-$I$535)*MIN(N$3-$O$2,$Q$2)/$Q$2))</f>
        <v>3369.88624887168</v>
      </c>
      <c r="O541" s="15" t="n">
        <f aca="false">SUMPRODUCT(E541:N541,1/(1+$F$535)^$E$3:$N$3)*$E$2</f>
        <v>13534.3072345249</v>
      </c>
      <c r="P541" s="15" t="n">
        <f aca="false">N541*$E$2*(1+$I$535)/($F$535-$I$535)/(1+$F$535)^$N$3</f>
        <v>22006.6003618615</v>
      </c>
      <c r="Q541" s="15" t="n">
        <f aca="false">O541+P541</f>
        <v>35540.9075963864</v>
      </c>
      <c r="R541" s="15" t="n">
        <f aca="false">Q541-$G$2+$I$2</f>
        <v>36310.9075963864</v>
      </c>
      <c r="S541" s="42" t="n">
        <f aca="false">R541/$K$2</f>
        <v>347.705712883141</v>
      </c>
      <c r="T541" s="43" t="n">
        <f aca="false">S541-$M$2</f>
        <v>55.4525289321688</v>
      </c>
    </row>
    <row r="542" customFormat="false" ht="15" hidden="false" customHeight="false" outlineLevel="0" collapsed="false">
      <c r="A542" s="5" t="n">
        <v>6</v>
      </c>
      <c r="B542" s="25" t="n">
        <f aca="false">IF(T541&gt;0,B541,D541)</f>
        <v>-0.03125</v>
      </c>
      <c r="C542" s="25" t="n">
        <f aca="false">IF(T541&gt;0,D541,C541)</f>
        <v>0.015625</v>
      </c>
      <c r="D542" s="41" t="n">
        <f aca="false">(B542+C542)/2</f>
        <v>-0.0078125</v>
      </c>
      <c r="E542" s="15" t="n">
        <f aca="false">$C$2*(1+IF(E$3&lt;=$O$2,$D542,$D542-($D542-$I$535)*MIN(E$3-$O$2,$Q$2)/$Q$2))</f>
        <v>2718.59375</v>
      </c>
      <c r="F542" s="15" t="n">
        <f aca="false">E542*(1+IF(F$3&lt;=$O$2,$D542,$D542-($D542-$I$535)*MIN(F$3-$O$2,$Q$2)/$Q$2))</f>
        <v>2697.35473632813</v>
      </c>
      <c r="G542" s="15" t="n">
        <f aca="false">F542*(1+IF(G$3&lt;=$O$2,$D542,$D542-($D542-$I$535)*MIN(G$3-$O$2,$Q$2)/$Q$2))</f>
        <v>2676.28165245056</v>
      </c>
      <c r="H542" s="15" t="n">
        <f aca="false">G542*(1+IF(H$3&lt;=$O$2,$D542,$D542-($D542-$I$535)*MIN(H$3-$O$2,$Q$2)/$Q$2))</f>
        <v>2655.37320204079</v>
      </c>
      <c r="I542" s="15" t="n">
        <f aca="false">H542*(1+IF(I$3&lt;=$O$2,$D542,$D542-($D542-$I$535)*MIN(I$3-$O$2,$Q$2)/$Q$2))</f>
        <v>2634.62809889985</v>
      </c>
      <c r="J542" s="15" t="n">
        <f aca="false">I542*(1+IF(J$3&lt;=$O$2,$D542,$D542-($D542-$I$535)*MIN(J$3-$O$2,$Q$2)/$Q$2))</f>
        <v>2635.7082964204</v>
      </c>
      <c r="K542" s="15" t="n">
        <f aca="false">J542*(1+IF(K$3&lt;=$O$2,$D542,$D542-($D542-$I$535)*MIN(K$3-$O$2,$Q$2)/$Q$2))</f>
        <v>2658.46104828925</v>
      </c>
      <c r="L542" s="15" t="n">
        <f aca="false">K542*(1+IF(L$3&lt;=$O$2,$D542,$D542-($D542-$I$535)*MIN(L$3-$O$2,$Q$2)/$Q$2))</f>
        <v>2703.26940925816</v>
      </c>
      <c r="M542" s="15" t="n">
        <f aca="false">L542*(1+IF(M$3&lt;=$O$2,$D542,$D542-($D542-$I$535)*MIN(M$3-$O$2,$Q$2)/$Q$2))</f>
        <v>2771.06064786883</v>
      </c>
      <c r="N542" s="15" t="n">
        <f aca="false">M542*(1+IF(N$3&lt;=$O$2,$D542,$D542-($D542-$I$535)*MIN(N$3-$O$2,$Q$2)/$Q$2))</f>
        <v>2863.33696744287</v>
      </c>
      <c r="O542" s="15" t="n">
        <f aca="false">SUMPRODUCT(E542:N542,1/(1+$F$535)^$E$3:$N$3)*$E$2</f>
        <v>12215.783271983</v>
      </c>
      <c r="P542" s="15" t="n">
        <f aca="false">N542*$E$2*(1+$I$535)/($F$535-$I$535)/(1+$F$535)^$N$3</f>
        <v>18698.6466872458</v>
      </c>
      <c r="Q542" s="15" t="n">
        <f aca="false">O542+P542</f>
        <v>30914.4299592289</v>
      </c>
      <c r="R542" s="15" t="n">
        <f aca="false">Q542-$G$2+$I$2</f>
        <v>31684.4299592289</v>
      </c>
      <c r="S542" s="42" t="n">
        <f aca="false">R542/$K$2</f>
        <v>303.403523501186</v>
      </c>
      <c r="T542" s="43" t="n">
        <f aca="false">S542-$M$2</f>
        <v>11.150339550214</v>
      </c>
    </row>
    <row r="543" customFormat="false" ht="15" hidden="false" customHeight="false" outlineLevel="0" collapsed="false">
      <c r="A543" s="5" t="n">
        <v>7</v>
      </c>
      <c r="B543" s="25" t="n">
        <f aca="false">IF(T542&gt;0,B542,D542)</f>
        <v>-0.03125</v>
      </c>
      <c r="C543" s="25" t="n">
        <f aca="false">IF(T542&gt;0,D542,C542)</f>
        <v>-0.0078125</v>
      </c>
      <c r="D543" s="41" t="n">
        <f aca="false">(B543+C543)/2</f>
        <v>-0.01953125</v>
      </c>
      <c r="E543" s="15" t="n">
        <f aca="false">$C$2*(1+IF(E$3&lt;=$O$2,$D543,$D543-($D543-$I$535)*MIN(E$3-$O$2,$Q$2)/$Q$2))</f>
        <v>2686.484375</v>
      </c>
      <c r="F543" s="15" t="n">
        <f aca="false">E543*(1+IF(F$3&lt;=$O$2,$D543,$D543-($D543-$I$535)*MIN(F$3-$O$2,$Q$2)/$Q$2))</f>
        <v>2634.01397705078</v>
      </c>
      <c r="G543" s="15" t="n">
        <f aca="false">F543*(1+IF(G$3&lt;=$O$2,$D543,$D543-($D543-$I$535)*MIN(G$3-$O$2,$Q$2)/$Q$2))</f>
        <v>2582.56839156151</v>
      </c>
      <c r="H543" s="15" t="n">
        <f aca="false">G543*(1+IF(H$3&lt;=$O$2,$D543,$D543-($D543-$I$535)*MIN(H$3-$O$2,$Q$2)/$Q$2))</f>
        <v>2532.12760266382</v>
      </c>
      <c r="I543" s="15" t="n">
        <f aca="false">H543*(1+IF(I$3&lt;=$O$2,$D543,$D543-($D543-$I$535)*MIN(I$3-$O$2,$Q$2)/$Q$2))</f>
        <v>2482.67198542429</v>
      </c>
      <c r="J543" s="15" t="n">
        <f aca="false">I543*(1+IF(J$3&lt;=$O$2,$D543,$D543-($D543-$I$535)*MIN(J$3-$O$2,$Q$2)/$Q$2))</f>
        <v>2460.41483107497</v>
      </c>
      <c r="K543" s="15" t="n">
        <f aca="false">J543*(1+IF(K$3&lt;=$O$2,$D543,$D543-($D543-$I$535)*MIN(K$3-$O$2,$Q$2)/$Q$2))</f>
        <v>2464.35457032323</v>
      </c>
      <c r="L543" s="15" t="n">
        <f aca="false">K543*(1+IF(L$3&lt;=$O$2,$D543,$D543-($D543-$I$535)*MIN(L$3-$O$2,$Q$2)/$Q$2))</f>
        <v>2494.33960455763</v>
      </c>
      <c r="M543" s="15" t="n">
        <f aca="false">L543*(1+IF(M$3&lt;=$O$2,$D543,$D543-($D543-$I$535)*MIN(M$3-$O$2,$Q$2)/$Q$2))</f>
        <v>2551.04529754274</v>
      </c>
      <c r="N543" s="15" t="n">
        <f aca="false">M543*(1+IF(N$3&lt;=$O$2,$D543,$D543-($D543-$I$535)*MIN(N$3-$O$2,$Q$2)/$Q$2))</f>
        <v>2635.99510595092</v>
      </c>
      <c r="O543" s="15" t="n">
        <f aca="false">SUMPRODUCT(E543:N543,1/(1+$F$535)^$E$3:$N$3)*$E$2</f>
        <v>11606.5945399342</v>
      </c>
      <c r="P543" s="15" t="n">
        <f aca="false">N543*$E$2*(1+$I$535)/($F$535-$I$535)/(1+$F$535)^$N$3</f>
        <v>17214.0204649067</v>
      </c>
      <c r="Q543" s="15" t="n">
        <f aca="false">O543+P543</f>
        <v>28820.6150048409</v>
      </c>
      <c r="R543" s="15" t="n">
        <f aca="false">Q543-$G$2+$I$2</f>
        <v>29590.6150048409</v>
      </c>
      <c r="S543" s="42" t="n">
        <f aca="false">R543/$K$2</f>
        <v>283.353586180608</v>
      </c>
      <c r="T543" s="43" t="n">
        <f aca="false">S543-$M$2</f>
        <v>-8.89959777036393</v>
      </c>
    </row>
    <row r="544" customFormat="false" ht="15" hidden="false" customHeight="false" outlineLevel="0" collapsed="false">
      <c r="A544" s="5" t="n">
        <v>8</v>
      </c>
      <c r="B544" s="25" t="n">
        <f aca="false">IF(T543&gt;0,B543,D543)</f>
        <v>-0.01953125</v>
      </c>
      <c r="C544" s="25" t="n">
        <f aca="false">IF(T543&gt;0,D543,C543)</f>
        <v>-0.0078125</v>
      </c>
      <c r="D544" s="41" t="n">
        <f aca="false">(B544+C544)/2</f>
        <v>-0.013671875</v>
      </c>
      <c r="E544" s="15" t="n">
        <f aca="false">$C$2*(1+IF(E$3&lt;=$O$2,$D544,$D544-($D544-$I$535)*MIN(E$3-$O$2,$Q$2)/$Q$2))</f>
        <v>2702.5390625</v>
      </c>
      <c r="F544" s="15" t="n">
        <f aca="false">E544*(1+IF(F$3&lt;=$O$2,$D544,$D544-($D544-$I$535)*MIN(F$3-$O$2,$Q$2)/$Q$2))</f>
        <v>2665.59028625488</v>
      </c>
      <c r="G544" s="15" t="n">
        <f aca="false">F544*(1+IF(G$3&lt;=$O$2,$D544,$D544-($D544-$I$535)*MIN(G$3-$O$2,$Q$2)/$Q$2))</f>
        <v>2629.14666905999</v>
      </c>
      <c r="H544" s="15" t="n">
        <f aca="false">G544*(1+IF(H$3&lt;=$O$2,$D544,$D544-($D544-$I$535)*MIN(H$3-$O$2,$Q$2)/$Q$2))</f>
        <v>2593.20130444394</v>
      </c>
      <c r="I544" s="15" t="n">
        <f aca="false">H544*(1+IF(I$3&lt;=$O$2,$D544,$D544-($D544-$I$535)*MIN(I$3-$O$2,$Q$2)/$Q$2))</f>
        <v>2557.74738035974</v>
      </c>
      <c r="J544" s="15" t="n">
        <f aca="false">I544*(1+IF(J$3&lt;=$O$2,$D544,$D544-($D544-$I$535)*MIN(J$3-$O$2,$Q$2)/$Q$2))</f>
        <v>2546.80661594025</v>
      </c>
      <c r="K544" s="15" t="n">
        <f aca="false">J544*(1+IF(K$3&lt;=$O$2,$D544,$D544-($D544-$I$535)*MIN(K$3-$O$2,$Q$2)/$Q$2))</f>
        <v>2559.83830704319</v>
      </c>
      <c r="L544" s="15" t="n">
        <f aca="false">K544*(1+IF(L$3&lt;=$O$2,$D544,$D544-($D544-$I$535)*MIN(L$3-$O$2,$Q$2)/$Q$2))</f>
        <v>2596.98476067627</v>
      </c>
      <c r="M544" s="15" t="n">
        <f aca="false">L544*(1+IF(M$3&lt;=$O$2,$D544,$D544-($D544-$I$535)*MIN(M$3-$O$2,$Q$2)/$Q$2))</f>
        <v>2659.06730449572</v>
      </c>
      <c r="N544" s="15" t="n">
        <f aca="false">M544*(1+IF(N$3&lt;=$O$2,$D544,$D544-($D544-$I$535)*MIN(N$3-$O$2,$Q$2)/$Q$2))</f>
        <v>2747.61424573542</v>
      </c>
      <c r="O544" s="15" t="n">
        <f aca="false">SUMPRODUCT(E544:N544,1/(1+$F$535)^$E$3:$N$3)*$E$2</f>
        <v>11907.18734276</v>
      </c>
      <c r="P544" s="15" t="n">
        <f aca="false">N544*$E$2*(1+$I$535)/($F$535-$I$535)/(1+$F$535)^$N$3</f>
        <v>17942.9346241887</v>
      </c>
      <c r="Q544" s="15" t="n">
        <f aca="false">O544+P544</f>
        <v>29850.1219669487</v>
      </c>
      <c r="R544" s="15" t="n">
        <f aca="false">Q544-$G$2+$I$2</f>
        <v>30620.1219669487</v>
      </c>
      <c r="S544" s="42" t="n">
        <f aca="false">R544/$K$2</f>
        <v>293.211931120834</v>
      </c>
      <c r="T544" s="43" t="n">
        <f aca="false">S544-$M$2</f>
        <v>0.958747169862022</v>
      </c>
    </row>
    <row r="545" customFormat="false" ht="15" hidden="false" customHeight="false" outlineLevel="0" collapsed="false">
      <c r="A545" s="5" t="n">
        <v>9</v>
      </c>
      <c r="B545" s="25" t="n">
        <f aca="false">IF(T544&gt;0,B544,D544)</f>
        <v>-0.01953125</v>
      </c>
      <c r="C545" s="25" t="n">
        <f aca="false">IF(T544&gt;0,D544,C544)</f>
        <v>-0.013671875</v>
      </c>
      <c r="D545" s="41" t="n">
        <f aca="false">(B545+C545)/2</f>
        <v>-0.0166015625</v>
      </c>
      <c r="E545" s="15" t="n">
        <f aca="false">$C$2*(1+IF(E$3&lt;=$O$2,$D545,$D545-($D545-$I$535)*MIN(E$3-$O$2,$Q$2)/$Q$2))</f>
        <v>2694.51171875</v>
      </c>
      <c r="F545" s="15" t="n">
        <f aca="false">E545*(1+IF(F$3&lt;=$O$2,$D545,$D545-($D545-$I$535)*MIN(F$3-$O$2,$Q$2)/$Q$2))</f>
        <v>2649.77861404419</v>
      </c>
      <c r="G545" s="15" t="n">
        <f aca="false">F545*(1+IF(G$3&lt;=$O$2,$D545,$D545-($D545-$I$535)*MIN(G$3-$O$2,$Q$2)/$Q$2))</f>
        <v>2605.78814877197</v>
      </c>
      <c r="H545" s="15" t="n">
        <f aca="false">G545*(1+IF(H$3&lt;=$O$2,$D545,$D545-($D545-$I$535)*MIN(H$3-$O$2,$Q$2)/$Q$2))</f>
        <v>2562.52799395837</v>
      </c>
      <c r="I545" s="15" t="n">
        <f aca="false">H545*(1+IF(I$3&lt;=$O$2,$D545,$D545-($D545-$I$535)*MIN(I$3-$O$2,$Q$2)/$Q$2))</f>
        <v>2519.98602530868</v>
      </c>
      <c r="J545" s="15" t="n">
        <f aca="false">I545*(1+IF(J$3&lt;=$O$2,$D545,$D545-($D545-$I$535)*MIN(J$3-$O$2,$Q$2)/$Q$2))</f>
        <v>2503.3005678386</v>
      </c>
      <c r="K545" s="15" t="n">
        <f aca="false">J545*(1+IF(K$3&lt;=$O$2,$D545,$D545-($D545-$I$535)*MIN(K$3-$O$2,$Q$2)/$Q$2))</f>
        <v>2511.70931090226</v>
      </c>
      <c r="L545" s="15" t="n">
        <f aca="false">K545*(1+IF(L$3&lt;=$O$2,$D545,$D545-($D545-$I$535)*MIN(L$3-$O$2,$Q$2)/$Q$2))</f>
        <v>2545.21394329137</v>
      </c>
      <c r="M545" s="15" t="n">
        <f aca="false">L545*(1+IF(M$3&lt;=$O$2,$D545,$D545-($D545-$I$535)*MIN(M$3-$O$2,$Q$2)/$Q$2))</f>
        <v>2604.56753706957</v>
      </c>
      <c r="N545" s="15" t="n">
        <f aca="false">M545*(1+IF(N$3&lt;=$O$2,$D545,$D545-($D545-$I$535)*MIN(N$3-$O$2,$Q$2)/$Q$2))</f>
        <v>2691.29963605399</v>
      </c>
      <c r="O545" s="15" t="n">
        <f aca="false">SUMPRODUCT(E545:N545,1/(1+$F$535)^$E$3:$N$3)*$E$2</f>
        <v>11755.9030098345</v>
      </c>
      <c r="P545" s="15" t="n">
        <f aca="false">N545*$E$2*(1+$I$535)/($F$535-$I$535)/(1+$F$535)^$N$3</f>
        <v>17575.1794484143</v>
      </c>
      <c r="Q545" s="15" t="n">
        <f aca="false">O545+P545</f>
        <v>29331.0824582488</v>
      </c>
      <c r="R545" s="15" t="n">
        <f aca="false">Q545-$G$2+$I$2</f>
        <v>30101.0824582488</v>
      </c>
      <c r="S545" s="42" t="n">
        <f aca="false">R545/$K$2</f>
        <v>288.241716539776</v>
      </c>
      <c r="T545" s="43" t="n">
        <f aca="false">S545-$M$2</f>
        <v>-4.01146741119572</v>
      </c>
    </row>
    <row r="546" customFormat="false" ht="15" hidden="false" customHeight="false" outlineLevel="0" collapsed="false">
      <c r="A546" s="5" t="n">
        <v>10</v>
      </c>
      <c r="B546" s="25" t="n">
        <f aca="false">IF(T545&gt;0,B545,D545)</f>
        <v>-0.0166015625</v>
      </c>
      <c r="C546" s="25" t="n">
        <f aca="false">IF(T545&gt;0,D545,C545)</f>
        <v>-0.013671875</v>
      </c>
      <c r="D546" s="41" t="n">
        <f aca="false">(B546+C546)/2</f>
        <v>-0.01513671875</v>
      </c>
      <c r="E546" s="15" t="n">
        <f aca="false">$C$2*(1+IF(E$3&lt;=$O$2,$D546,$D546-($D546-$I$535)*MIN(E$3-$O$2,$Q$2)/$Q$2))</f>
        <v>2698.525390625</v>
      </c>
      <c r="F546" s="15" t="n">
        <f aca="false">E546*(1+IF(F$3&lt;=$O$2,$D546,$D546-($D546-$I$535)*MIN(F$3-$O$2,$Q$2)/$Q$2))</f>
        <v>2657.67857074738</v>
      </c>
      <c r="G546" s="15" t="n">
        <f aca="false">F546*(1+IF(G$3&lt;=$O$2,$D546,$D546-($D546-$I$535)*MIN(G$3-$O$2,$Q$2)/$Q$2))</f>
        <v>2617.45003769407</v>
      </c>
      <c r="H546" s="15" t="n">
        <f aca="false">G546*(1+IF(H$3&lt;=$O$2,$D546,$D546-($D546-$I$535)*MIN(H$3-$O$2,$Q$2)/$Q$2))</f>
        <v>2577.83043263132</v>
      </c>
      <c r="I546" s="15" t="n">
        <f aca="false">H546*(1+IF(I$3&lt;=$O$2,$D546,$D546-($D546-$I$535)*MIN(I$3-$O$2,$Q$2)/$Q$2))</f>
        <v>2538.81053838739</v>
      </c>
      <c r="J546" s="15" t="n">
        <f aca="false">I546*(1+IF(J$3&lt;=$O$2,$D546,$D546-($D546-$I$535)*MIN(J$3-$O$2,$Q$2)/$Q$2))</f>
        <v>2524.97560770976</v>
      </c>
      <c r="K546" s="15" t="n">
        <f aca="false">J546*(1+IF(K$3&lt;=$O$2,$D546,$D546-($D546-$I$535)*MIN(K$3-$O$2,$Q$2)/$Q$2))</f>
        <v>2535.67637542975</v>
      </c>
      <c r="L546" s="15" t="n">
        <f aca="false">K546*(1+IF(L$3&lt;=$O$2,$D546,$D546-($D546-$I$535)*MIN(L$3-$O$2,$Q$2)/$Q$2))</f>
        <v>2570.98646135648</v>
      </c>
      <c r="M546" s="15" t="n">
        <f aca="false">L546*(1+IF(M$3&lt;=$O$2,$D546,$D546-($D546-$I$535)*MIN(M$3-$O$2,$Q$2)/$Q$2))</f>
        <v>2631.69428089189</v>
      </c>
      <c r="N546" s="15" t="n">
        <f aca="false">M546*(1+IF(N$3&lt;=$O$2,$D546,$D546-($D546-$I$535)*MIN(N$3-$O$2,$Q$2)/$Q$2))</f>
        <v>2719.32970044559</v>
      </c>
      <c r="O546" s="15" t="n">
        <f aca="false">SUMPRODUCT(E546:N546,1/(1+$F$535)^$E$3:$N$3)*$E$2</f>
        <v>11831.2966466362</v>
      </c>
      <c r="P546" s="15" t="n">
        <f aca="false">N546*$E$2*(1+$I$535)/($F$535-$I$535)/(1+$F$535)^$N$3</f>
        <v>17758.2261092296</v>
      </c>
      <c r="Q546" s="15" t="n">
        <f aca="false">O546+P546</f>
        <v>29589.5227558658</v>
      </c>
      <c r="R546" s="15" t="n">
        <f aca="false">Q546-$G$2+$I$2</f>
        <v>30359.5227558658</v>
      </c>
      <c r="S546" s="42" t="n">
        <f aca="false">R546/$K$2</f>
        <v>290.716487176729</v>
      </c>
      <c r="T546" s="43" t="n">
        <f aca="false">S546-$M$2</f>
        <v>-1.53669677424324</v>
      </c>
    </row>
    <row r="547" customFormat="false" ht="15" hidden="false" customHeight="false" outlineLevel="0" collapsed="false">
      <c r="A547" s="5" t="n">
        <v>11</v>
      </c>
      <c r="B547" s="25" t="n">
        <f aca="false">IF(T546&gt;0,B546,D546)</f>
        <v>-0.01513671875</v>
      </c>
      <c r="C547" s="25" t="n">
        <f aca="false">IF(T546&gt;0,D546,C546)</f>
        <v>-0.013671875</v>
      </c>
      <c r="D547" s="41" t="n">
        <f aca="false">(B547+C547)/2</f>
        <v>-0.014404296875</v>
      </c>
      <c r="E547" s="15" t="n">
        <f aca="false">$C$2*(1+IF(E$3&lt;=$O$2,$D547,$D547-($D547-$I$535)*MIN(E$3-$O$2,$Q$2)/$Q$2))</f>
        <v>2700.5322265625</v>
      </c>
      <c r="F547" s="15" t="n">
        <f aca="false">E547*(1+IF(F$3&lt;=$O$2,$D547,$D547-($D547-$I$535)*MIN(F$3-$O$2,$Q$2)/$Q$2))</f>
        <v>2661.63295865059</v>
      </c>
      <c r="G547" s="15" t="n">
        <f aca="false">F547*(1+IF(G$3&lt;=$O$2,$D547,$D547-($D547-$I$535)*MIN(G$3-$O$2,$Q$2)/$Q$2))</f>
        <v>2623.2940073419</v>
      </c>
      <c r="H547" s="15" t="n">
        <f aca="false">G547*(1+IF(H$3&lt;=$O$2,$D547,$D547-($D547-$I$535)*MIN(H$3-$O$2,$Q$2)/$Q$2))</f>
        <v>2585.50730166974</v>
      </c>
      <c r="I547" s="15" t="n">
        <f aca="false">H547*(1+IF(I$3&lt;=$O$2,$D547,$D547-($D547-$I$535)*MIN(I$3-$O$2,$Q$2)/$Q$2))</f>
        <v>2548.26488692401</v>
      </c>
      <c r="J547" s="15" t="n">
        <f aca="false">I547*(1+IF(J$3&lt;=$O$2,$D547,$D547-($D547-$I$535)*MIN(J$3-$O$2,$Q$2)/$Q$2))</f>
        <v>2535.87155991301</v>
      </c>
      <c r="K547" s="15" t="n">
        <f aca="false">J547*(1+IF(K$3&lt;=$O$2,$D547,$D547-($D547-$I$535)*MIN(K$3-$O$2,$Q$2)/$Q$2))</f>
        <v>2547.73290101954</v>
      </c>
      <c r="L547" s="15" t="n">
        <f aca="false">K547*(1+IF(L$3&lt;=$O$2,$D547,$D547-($D547-$I$535)*MIN(L$3-$O$2,$Q$2)/$Q$2))</f>
        <v>2583.95728395611</v>
      </c>
      <c r="M547" s="15" t="n">
        <f aca="false">L547*(1+IF(M$3&lt;=$O$2,$D547,$D547-($D547-$I$535)*MIN(M$3-$O$2,$Q$2)/$Q$2))</f>
        <v>2645.34988843462</v>
      </c>
      <c r="N547" s="15" t="n">
        <f aca="false">M547*(1+IF(N$3&lt;=$O$2,$D547,$D547-($D547-$I$535)*MIN(N$3-$O$2,$Q$2)/$Q$2))</f>
        <v>2733.44003971949</v>
      </c>
      <c r="O547" s="15" t="n">
        <f aca="false">SUMPRODUCT(E547:N547,1/(1+$F$535)^$E$3:$N$3)*$E$2</f>
        <v>11869.1796680088</v>
      </c>
      <c r="P547" s="15" t="n">
        <f aca="false">N547*$E$2*(1+$I$535)/($F$535-$I$535)/(1+$F$535)^$N$3</f>
        <v>17850.3718300161</v>
      </c>
      <c r="Q547" s="15" t="n">
        <f aca="false">O547+P547</f>
        <v>29719.551498025</v>
      </c>
      <c r="R547" s="15" t="n">
        <f aca="false">Q547-$G$2+$I$2</f>
        <v>30489.551498025</v>
      </c>
      <c r="S547" s="42" t="n">
        <f aca="false">R547/$K$2</f>
        <v>291.961615417265</v>
      </c>
      <c r="T547" s="43" t="n">
        <f aca="false">S547-$M$2</f>
        <v>-0.291568533707334</v>
      </c>
    </row>
    <row r="548" customFormat="false" ht="15" hidden="false" customHeight="false" outlineLevel="0" collapsed="false">
      <c r="A548" s="5" t="n">
        <v>12</v>
      </c>
      <c r="B548" s="25" t="n">
        <f aca="false">IF(T547&gt;0,B547,D547)</f>
        <v>-0.014404296875</v>
      </c>
      <c r="C548" s="25" t="n">
        <f aca="false">IF(T547&gt;0,D547,C547)</f>
        <v>-0.013671875</v>
      </c>
      <c r="D548" s="41" t="n">
        <f aca="false">(B548+C548)/2</f>
        <v>-0.0140380859375</v>
      </c>
      <c r="E548" s="15" t="n">
        <f aca="false">$C$2*(1+IF(E$3&lt;=$O$2,$D548,$D548-($D548-$I$535)*MIN(E$3-$O$2,$Q$2)/$Q$2))</f>
        <v>2701.53564453125</v>
      </c>
      <c r="F548" s="15" t="n">
        <f aca="false">E548*(1+IF(F$3&lt;=$O$2,$D548,$D548-($D548-$I$535)*MIN(F$3-$O$2,$Q$2)/$Q$2))</f>
        <v>2663.6112549901</v>
      </c>
      <c r="G548" s="15" t="n">
        <f aca="false">F548*(1+IF(G$3&lt;=$O$2,$D548,$D548-($D548-$I$535)*MIN(G$3-$O$2,$Q$2)/$Q$2))</f>
        <v>2626.21925128846</v>
      </c>
      <c r="H548" s="15" t="n">
        <f aca="false">G548*(1+IF(H$3&lt;=$O$2,$D548,$D548-($D548-$I$535)*MIN(H$3-$O$2,$Q$2)/$Q$2))</f>
        <v>2589.35215974815</v>
      </c>
      <c r="I548" s="15" t="n">
        <f aca="false">H548*(1+IF(I$3&lt;=$O$2,$D548,$D548-($D548-$I$535)*MIN(I$3-$O$2,$Q$2)/$Q$2))</f>
        <v>2553.00261160716</v>
      </c>
      <c r="J548" s="15" t="n">
        <f aca="false">I548*(1+IF(J$3&lt;=$O$2,$D548,$D548-($D548-$I$535)*MIN(J$3-$O$2,$Q$2)/$Q$2))</f>
        <v>2541.33419295214</v>
      </c>
      <c r="K548" s="15" t="n">
        <f aca="false">J548*(1+IF(K$3&lt;=$O$2,$D548,$D548-($D548-$I$535)*MIN(K$3-$O$2,$Q$2)/$Q$2))</f>
        <v>2553.77948372432</v>
      </c>
      <c r="L548" s="15" t="n">
        <f aca="false">K548*(1+IF(L$3&lt;=$O$2,$D548,$D548-($D548-$I$535)*MIN(L$3-$O$2,$Q$2)/$Q$2))</f>
        <v>2590.46392746595</v>
      </c>
      <c r="M548" s="15" t="n">
        <f aca="false">L548*(1+IF(M$3&lt;=$O$2,$D548,$D548-($D548-$I$535)*MIN(M$3-$O$2,$Q$2)/$Q$2))</f>
        <v>2652.20085544729</v>
      </c>
      <c r="N548" s="15" t="n">
        <f aca="false">M548*(1+IF(N$3&lt;=$O$2,$D548,$D548-($D548-$I$535)*MIN(N$3-$O$2,$Q$2)/$Q$2))</f>
        <v>2740.51914393369</v>
      </c>
      <c r="O548" s="15" t="n">
        <f aca="false">SUMPRODUCT(E548:N548,1/(1+$F$535)^$E$3:$N$3)*$E$2</f>
        <v>11888.1678993697</v>
      </c>
      <c r="P548" s="15" t="n">
        <f aca="false">N548*$E$2*(1+$I$535)/($F$535-$I$535)/(1+$F$535)^$N$3</f>
        <v>17896.6009920284</v>
      </c>
      <c r="Q548" s="15" t="n">
        <f aca="false">O548+P548</f>
        <v>29784.7688913981</v>
      </c>
      <c r="R548" s="15" t="n">
        <f aca="false">Q548-$G$2+$I$2</f>
        <v>30554.7688913981</v>
      </c>
      <c r="S548" s="42" t="n">
        <f aca="false">R548/$K$2</f>
        <v>292.586123636868</v>
      </c>
      <c r="T548" s="43" t="n">
        <f aca="false">S548-$M$2</f>
        <v>0.332939685895553</v>
      </c>
    </row>
    <row r="549" customFormat="false" ht="15" hidden="false" customHeight="false" outlineLevel="0" collapsed="false">
      <c r="A549" s="5" t="n">
        <v>13</v>
      </c>
      <c r="B549" s="25" t="n">
        <f aca="false">IF(T548&gt;0,B548,D548)</f>
        <v>-0.014404296875</v>
      </c>
      <c r="C549" s="25" t="n">
        <f aca="false">IF(T548&gt;0,D548,C548)</f>
        <v>-0.0140380859375</v>
      </c>
      <c r="D549" s="41" t="n">
        <f aca="false">(B549+C549)/2</f>
        <v>-0.01422119140625</v>
      </c>
      <c r="E549" s="15" t="n">
        <f aca="false">$C$2*(1+IF(E$3&lt;=$O$2,$D549,$D549-($D549-$I$535)*MIN(E$3-$O$2,$Q$2)/$Q$2))</f>
        <v>2701.03393554688</v>
      </c>
      <c r="F549" s="15" t="n">
        <f aca="false">E549*(1+IF(F$3&lt;=$O$2,$D549,$D549-($D549-$I$535)*MIN(F$3-$O$2,$Q$2)/$Q$2))</f>
        <v>2662.62201495469</v>
      </c>
      <c r="G549" s="15" t="n">
        <f aca="false">F549*(1+IF(G$3&lt;=$O$2,$D549,$D549-($D549-$I$535)*MIN(G$3-$O$2,$Q$2)/$Q$2))</f>
        <v>2624.75635763752</v>
      </c>
      <c r="H549" s="15" t="n">
        <f aca="false">G549*(1+IF(H$3&lt;=$O$2,$D549,$D549-($D549-$I$535)*MIN(H$3-$O$2,$Q$2)/$Q$2))</f>
        <v>2587.42919508079</v>
      </c>
      <c r="I549" s="15" t="n">
        <f aca="false">H549*(1+IF(I$3&lt;=$O$2,$D549,$D549-($D549-$I$535)*MIN(I$3-$O$2,$Q$2)/$Q$2))</f>
        <v>2550.63286924742</v>
      </c>
      <c r="J549" s="15" t="n">
        <f aca="false">I549*(1+IF(J$3&lt;=$O$2,$D549,$D549-($D549-$I$535)*MIN(J$3-$O$2,$Q$2)/$Q$2))</f>
        <v>2538.6016535641</v>
      </c>
      <c r="K549" s="15" t="n">
        <f aca="false">J549*(1+IF(K$3&lt;=$O$2,$D549,$D549-($D549-$I$535)*MIN(K$3-$O$2,$Q$2)/$Q$2))</f>
        <v>2550.75466357784</v>
      </c>
      <c r="L549" s="15" t="n">
        <f aca="false">K549*(1+IF(L$3&lt;=$O$2,$D549,$D549-($D549-$I$535)*MIN(L$3-$O$2,$Q$2)/$Q$2))</f>
        <v>2587.20883363567</v>
      </c>
      <c r="M549" s="15" t="n">
        <f aca="false">L549*(1+IF(M$3&lt;=$O$2,$D549,$D549-($D549-$I$535)*MIN(M$3-$O$2,$Q$2)/$Q$2))</f>
        <v>2648.77343855751</v>
      </c>
      <c r="N549" s="15" t="n">
        <f aca="false">M549*(1+IF(N$3&lt;=$O$2,$D549,$D549-($D549-$I$535)*MIN(N$3-$O$2,$Q$2)/$Q$2))</f>
        <v>2736.97759406148</v>
      </c>
      <c r="O549" s="15" t="n">
        <f aca="false">SUMPRODUCT(E549:N549,1/(1+$F$535)^$E$3:$N$3)*$E$2</f>
        <v>11878.669885231</v>
      </c>
      <c r="P549" s="15" t="n">
        <f aca="false">N549*$E$2*(1+$I$535)/($F$535-$I$535)/(1+$F$535)^$N$3</f>
        <v>17873.4733648791</v>
      </c>
      <c r="Q549" s="15" t="n">
        <f aca="false">O549+P549</f>
        <v>29752.1432501101</v>
      </c>
      <c r="R549" s="15" t="n">
        <f aca="false">Q549-$G$2+$I$2</f>
        <v>30522.1432501101</v>
      </c>
      <c r="S549" s="42" t="n">
        <f aca="false">R549/$K$2</f>
        <v>292.273707269081</v>
      </c>
      <c r="T549" s="43" t="n">
        <f aca="false">S549-$M$2</f>
        <v>0.0205233181084736</v>
      </c>
    </row>
    <row r="550" customFormat="false" ht="15" hidden="false" customHeight="false" outlineLevel="0" collapsed="false">
      <c r="A550" s="5" t="n">
        <v>14</v>
      </c>
      <c r="B550" s="25" t="n">
        <f aca="false">IF(T549&gt;0,B549,D549)</f>
        <v>-0.014404296875</v>
      </c>
      <c r="C550" s="25" t="n">
        <f aca="false">IF(T549&gt;0,D549,C549)</f>
        <v>-0.01422119140625</v>
      </c>
      <c r="D550" s="41" t="n">
        <f aca="false">(B550+C550)/2</f>
        <v>-0.014312744140625</v>
      </c>
      <c r="E550" s="15" t="n">
        <f aca="false">$C$2*(1+IF(E$3&lt;=$O$2,$D550,$D550-($D550-$I$535)*MIN(E$3-$O$2,$Q$2)/$Q$2))</f>
        <v>2700.78308105469</v>
      </c>
      <c r="F550" s="15" t="n">
        <f aca="false">E550*(1+IF(F$3&lt;=$O$2,$D550,$D550-($D550-$I$535)*MIN(F$3-$O$2,$Q$2)/$Q$2))</f>
        <v>2662.12746383622</v>
      </c>
      <c r="G550" s="15" t="n">
        <f aca="false">F550*(1+IF(G$3&lt;=$O$2,$D550,$D550-($D550-$I$535)*MIN(G$3-$O$2,$Q$2)/$Q$2))</f>
        <v>2624.0251145766</v>
      </c>
      <c r="H550" s="15" t="n">
        <f aca="false">G550*(1+IF(H$3&lt;=$O$2,$D550,$D550-($D550-$I$535)*MIN(H$3-$O$2,$Q$2)/$Q$2))</f>
        <v>2586.4681144931</v>
      </c>
      <c r="I550" s="15" t="n">
        <f aca="false">H550*(1+IF(I$3&lt;=$O$2,$D550,$D550-($D550-$I$535)*MIN(I$3-$O$2,$Q$2)/$Q$2))</f>
        <v>2549.44865814247</v>
      </c>
      <c r="J550" s="15" t="n">
        <f aca="false">I550*(1+IF(J$3&lt;=$O$2,$D550,$D550-($D550-$I$535)*MIN(J$3-$O$2,$Q$2)/$Q$2))</f>
        <v>2537.23630113078</v>
      </c>
      <c r="K550" s="15" t="n">
        <f aca="false">J550*(1+IF(K$3&lt;=$O$2,$D550,$D550-($D550-$I$535)*MIN(K$3-$O$2,$Q$2)/$Q$2))</f>
        <v>2549.2434002604</v>
      </c>
      <c r="L550" s="15" t="n">
        <f aca="false">K550*(1+IF(L$3&lt;=$O$2,$D550,$D550-($D550-$I$535)*MIN(L$3-$O$2,$Q$2)/$Q$2))</f>
        <v>2585.58261598157</v>
      </c>
      <c r="M550" s="15" t="n">
        <f aca="false">L550*(1+IF(M$3&lt;=$O$2,$D550,$D550-($D550-$I$535)*MIN(M$3-$O$2,$Q$2)/$Q$2))</f>
        <v>2647.06118038392</v>
      </c>
      <c r="N550" s="15" t="n">
        <f aca="false">M550*(1+IF(N$3&lt;=$O$2,$D550,$D550-($D550-$I$535)*MIN(N$3-$O$2,$Q$2)/$Q$2))</f>
        <v>2735.2083176907</v>
      </c>
      <c r="O550" s="15" t="n">
        <f aca="false">SUMPRODUCT(E550:N550,1/(1+$F$535)^$E$3:$N$3)*$E$2</f>
        <v>11873.9238023858</v>
      </c>
      <c r="P550" s="15" t="n">
        <f aca="false">N550*$E$2*(1+$I$535)/($F$535-$I$535)/(1+$F$535)^$N$3</f>
        <v>17861.9193374889</v>
      </c>
      <c r="Q550" s="15" t="n">
        <f aca="false">O550+P550</f>
        <v>29735.8431398746</v>
      </c>
      <c r="R550" s="15" t="n">
        <f aca="false">Q550-$G$2+$I$2</f>
        <v>30505.8431398746</v>
      </c>
      <c r="S550" s="42" t="n">
        <f aca="false">R550/$K$2</f>
        <v>292.117620797421</v>
      </c>
      <c r="T550" s="43" t="n">
        <f aca="false">S550-$M$2</f>
        <v>-0.135563153551288</v>
      </c>
    </row>
    <row r="551" customFormat="false" ht="15" hidden="false" customHeight="false" outlineLevel="0" collapsed="false">
      <c r="A551" s="5" t="n">
        <v>15</v>
      </c>
      <c r="B551" s="25" t="n">
        <f aca="false">IF(T550&gt;0,B550,D550)</f>
        <v>-0.014312744140625</v>
      </c>
      <c r="C551" s="25" t="n">
        <f aca="false">IF(T550&gt;0,D550,C550)</f>
        <v>-0.01422119140625</v>
      </c>
      <c r="D551" s="41" t="n">
        <f aca="false">(B551+C551)/2</f>
        <v>-0.0142669677734375</v>
      </c>
      <c r="E551" s="15" t="n">
        <f aca="false">$C$2*(1+IF(E$3&lt;=$O$2,$D551,$D551-($D551-$I$535)*MIN(E$3-$O$2,$Q$2)/$Q$2))</f>
        <v>2700.90850830078</v>
      </c>
      <c r="F551" s="15" t="n">
        <f aca="false">E551*(1+IF(F$3&lt;=$O$2,$D551,$D551-($D551-$I$535)*MIN(F$3-$O$2,$Q$2)/$Q$2))</f>
        <v>2662.37473365385</v>
      </c>
      <c r="G551" s="15" t="n">
        <f aca="false">F551*(1+IF(G$3&lt;=$O$2,$D551,$D551-($D551-$I$535)*MIN(G$3-$O$2,$Q$2)/$Q$2))</f>
        <v>2624.390719128</v>
      </c>
      <c r="H551" s="15" t="n">
        <f aca="false">G551*(1+IF(H$3&lt;=$O$2,$D551,$D551-($D551-$I$535)*MIN(H$3-$O$2,$Q$2)/$Q$2))</f>
        <v>2586.94862131329</v>
      </c>
      <c r="I551" s="15" t="n">
        <f aca="false">H551*(1+IF(I$3&lt;=$O$2,$D551,$D551-($D551-$I$535)*MIN(I$3-$O$2,$Q$2)/$Q$2))</f>
        <v>2550.04070870147</v>
      </c>
      <c r="J551" s="15" t="n">
        <f aca="false">I551*(1+IF(J$3&lt;=$O$2,$D551,$D551-($D551-$I$535)*MIN(J$3-$O$2,$Q$2)/$Q$2))</f>
        <v>2537.91890093183</v>
      </c>
      <c r="K551" s="15" t="n">
        <f aca="false">J551*(1+IF(K$3&lt;=$O$2,$D551,$D551-($D551-$I$535)*MIN(K$3-$O$2,$Q$2)/$Q$2))</f>
        <v>2549.99893638952</v>
      </c>
      <c r="L551" s="15" t="n">
        <f aca="false">K551*(1+IF(L$3&lt;=$O$2,$D551,$D551-($D551-$I$535)*MIN(L$3-$O$2,$Q$2)/$Q$2))</f>
        <v>2586.39561407948</v>
      </c>
      <c r="M551" s="15" t="n">
        <f aca="false">L551*(1+IF(M$3&lt;=$O$2,$D551,$D551-($D551-$I$535)*MIN(M$3-$O$2,$Q$2)/$Q$2))</f>
        <v>2647.91718866347</v>
      </c>
      <c r="N551" s="15" t="n">
        <f aca="false">M551*(1+IF(N$3&lt;=$O$2,$D551,$D551-($D551-$I$535)*MIN(N$3-$O$2,$Q$2)/$Q$2))</f>
        <v>2736.09283104596</v>
      </c>
      <c r="O551" s="15" t="n">
        <f aca="false">SUMPRODUCT(E551:N551,1/(1+$F$535)^$E$3:$N$3)*$E$2</f>
        <v>11876.2966002023</v>
      </c>
      <c r="P551" s="15" t="n">
        <f aca="false">N551*$E$2*(1+$I$535)/($F$535-$I$535)/(1+$F$535)^$N$3</f>
        <v>17867.6955359972</v>
      </c>
      <c r="Q551" s="15" t="n">
        <f aca="false">O551+P551</f>
        <v>29743.9921361995</v>
      </c>
      <c r="R551" s="15" t="n">
        <f aca="false">Q551-$G$2+$I$2</f>
        <v>30513.9921361995</v>
      </c>
      <c r="S551" s="42" t="n">
        <f aca="false">R551/$K$2</f>
        <v>292.19565389447</v>
      </c>
      <c r="T551" s="43" t="n">
        <f aca="false">S551-$M$2</f>
        <v>-0.0575300565018324</v>
      </c>
    </row>
    <row r="552" customFormat="false" ht="15" hidden="false" customHeight="false" outlineLevel="0" collapsed="false">
      <c r="A552" s="5" t="n">
        <v>16</v>
      </c>
      <c r="B552" s="25" t="n">
        <f aca="false">IF(T551&gt;0,B551,D551)</f>
        <v>-0.0142669677734375</v>
      </c>
      <c r="C552" s="25" t="n">
        <f aca="false">IF(T551&gt;0,D551,C551)</f>
        <v>-0.01422119140625</v>
      </c>
      <c r="D552" s="41" t="n">
        <f aca="false">(B552+C552)/2</f>
        <v>-0.0142440795898438</v>
      </c>
      <c r="E552" s="15" t="n">
        <f aca="false">$C$2*(1+IF(E$3&lt;=$O$2,$D552,$D552-($D552-$I$535)*MIN(E$3-$O$2,$Q$2)/$Q$2))</f>
        <v>2700.97122192383</v>
      </c>
      <c r="F552" s="15" t="n">
        <f aca="false">E552*(1+IF(F$3&lt;=$O$2,$D552,$D552-($D552-$I$535)*MIN(F$3-$O$2,$Q$2)/$Q$2))</f>
        <v>2662.49837286887</v>
      </c>
      <c r="G552" s="15" t="n">
        <f aca="false">F552*(1+IF(G$3&lt;=$O$2,$D552,$D552-($D552-$I$535)*MIN(G$3-$O$2,$Q$2)/$Q$2))</f>
        <v>2624.57353413789</v>
      </c>
      <c r="H552" s="15" t="n">
        <f aca="false">G552*(1+IF(H$3&lt;=$O$2,$D552,$D552-($D552-$I$535)*MIN(H$3-$O$2,$Q$2)/$Q$2))</f>
        <v>2587.18889982824</v>
      </c>
      <c r="I552" s="15" t="n">
        <f aca="false">H552*(1+IF(I$3&lt;=$O$2,$D552,$D552-($D552-$I$535)*MIN(I$3-$O$2,$Q$2)/$Q$2))</f>
        <v>2550.33677522512</v>
      </c>
      <c r="J552" s="15" t="n">
        <f aca="false">I552*(1+IF(J$3&lt;=$O$2,$D552,$D552-($D552-$I$535)*MIN(J$3-$O$2,$Q$2)/$Q$2))</f>
        <v>2538.26025814235</v>
      </c>
      <c r="K552" s="15" t="n">
        <f aca="false">J552*(1+IF(K$3&lt;=$O$2,$D552,$D552-($D552-$I$535)*MIN(K$3-$O$2,$Q$2)/$Q$2))</f>
        <v>2550.37677609878</v>
      </c>
      <c r="L552" s="15" t="n">
        <f aca="false">K552*(1+IF(L$3&lt;=$O$2,$D552,$D552-($D552-$I$535)*MIN(L$3-$O$2,$Q$2)/$Q$2))</f>
        <v>2586.8021961721</v>
      </c>
      <c r="M552" s="15" t="n">
        <f aca="false">L552*(1+IF(M$3&lt;=$O$2,$D552,$D552-($D552-$I$535)*MIN(M$3-$O$2,$Q$2)/$Q$2))</f>
        <v>2648.34528340503</v>
      </c>
      <c r="N552" s="15" t="n">
        <f aca="false">M552*(1+IF(N$3&lt;=$O$2,$D552,$D552-($D552-$I$535)*MIN(N$3-$O$2,$Q$2)/$Q$2))</f>
        <v>2736.53518134242</v>
      </c>
      <c r="O552" s="15" t="n">
        <f aca="false">SUMPRODUCT(E552:N552,1/(1+$F$535)^$E$3:$N$3)*$E$2</f>
        <v>11877.4831818092</v>
      </c>
      <c r="P552" s="15" t="n">
        <f aca="false">N552*$E$2*(1+$I$535)/($F$535-$I$535)/(1+$F$535)^$N$3</f>
        <v>17870.5842466168</v>
      </c>
      <c r="Q552" s="15" t="n">
        <f aca="false">O552+P552</f>
        <v>29748.067428426</v>
      </c>
      <c r="R552" s="15" t="n">
        <f aca="false">Q552-$G$2+$I$2</f>
        <v>30518.067428426</v>
      </c>
      <c r="S552" s="42" t="n">
        <f aca="false">R552/$K$2</f>
        <v>292.234678046787</v>
      </c>
      <c r="T552" s="43" t="n">
        <f aca="false">S552-$M$2</f>
        <v>-0.0185059041846216</v>
      </c>
    </row>
    <row r="553" customFormat="false" ht="15" hidden="false" customHeight="false" outlineLevel="0" collapsed="false">
      <c r="A553" s="5" t="n">
        <v>17</v>
      </c>
      <c r="B553" s="25" t="n">
        <f aca="false">IF(T552&gt;0,B552,D552)</f>
        <v>-0.0142440795898438</v>
      </c>
      <c r="C553" s="25" t="n">
        <f aca="false">IF(T552&gt;0,D552,C552)</f>
        <v>-0.01422119140625</v>
      </c>
      <c r="D553" s="41" t="n">
        <f aca="false">(B553+C553)/2</f>
        <v>-0.0142326354980469</v>
      </c>
      <c r="E553" s="15" t="n">
        <f aca="false">$C$2*(1+IF(E$3&lt;=$O$2,$D553,$D553-($D553-$I$535)*MIN(E$3-$O$2,$Q$2)/$Q$2))</f>
        <v>2701.00257873535</v>
      </c>
      <c r="F553" s="15" t="n">
        <f aca="false">E553*(1+IF(F$3&lt;=$O$2,$D553,$D553-($D553-$I$535)*MIN(F$3-$O$2,$Q$2)/$Q$2))</f>
        <v>2662.56019355293</v>
      </c>
      <c r="G553" s="15" t="n">
        <f aca="false">F553*(1+IF(G$3&lt;=$O$2,$D553,$D553-($D553-$I$535)*MIN(G$3-$O$2,$Q$2)/$Q$2))</f>
        <v>2624.66494482648</v>
      </c>
      <c r="H553" s="15" t="n">
        <f aca="false">G553*(1+IF(H$3&lt;=$O$2,$D553,$D553-($D553-$I$535)*MIN(H$3-$O$2,$Q$2)/$Q$2))</f>
        <v>2587.30904536226</v>
      </c>
      <c r="I553" s="15" t="n">
        <f aca="false">H553*(1+IF(I$3&lt;=$O$2,$D553,$D553-($D553-$I$535)*MIN(I$3-$O$2,$Q$2)/$Q$2))</f>
        <v>2550.48481879882</v>
      </c>
      <c r="J553" s="15" t="n">
        <f aca="false">I553*(1+IF(J$3&lt;=$O$2,$D553,$D553-($D553-$I$535)*MIN(J$3-$O$2,$Q$2)/$Q$2))</f>
        <v>2538.43095107661</v>
      </c>
      <c r="K553" s="15" t="n">
        <f aca="false">J553*(1+IF(K$3&lt;=$O$2,$D553,$D553-($D553-$I$535)*MIN(K$3-$O$2,$Q$2)/$Q$2))</f>
        <v>2550.56571386677</v>
      </c>
      <c r="L553" s="15" t="n">
        <f aca="false">K553*(1+IF(L$3&lt;=$O$2,$D553,$D553-($D553-$I$535)*MIN(L$3-$O$2,$Q$2)/$Q$2))</f>
        <v>2587.00550798212</v>
      </c>
      <c r="M553" s="15" t="n">
        <f aca="false">L553*(1+IF(M$3&lt;=$O$2,$D553,$D553-($D553-$I$535)*MIN(M$3-$O$2,$Q$2)/$Q$2))</f>
        <v>2648.55935342945</v>
      </c>
      <c r="N553" s="15" t="n">
        <f aca="false">M553*(1+IF(N$3&lt;=$O$2,$D553,$D553-($D553-$I$535)*MIN(N$3-$O$2,$Q$2)/$Q$2))</f>
        <v>2736.75637989865</v>
      </c>
      <c r="O553" s="15" t="n">
        <f aca="false">SUMPRODUCT(E553:N553,1/(1+$F$535)^$E$3:$N$3)*$E$2</f>
        <v>11878.0765182925</v>
      </c>
      <c r="P553" s="15" t="n">
        <f aca="false">N553*$E$2*(1+$I$535)/($F$535-$I$535)/(1+$F$535)^$N$3</f>
        <v>17872.0287547895</v>
      </c>
      <c r="Q553" s="15" t="n">
        <f aca="false">O553+P553</f>
        <v>29750.105273082</v>
      </c>
      <c r="R553" s="15" t="n">
        <f aca="false">Q553-$G$2+$I$2</f>
        <v>30520.105273082</v>
      </c>
      <c r="S553" s="42" t="n">
        <f aca="false">R553/$K$2</f>
        <v>292.25419202415</v>
      </c>
      <c r="T553" s="43" t="n">
        <f aca="false">S553-$M$2</f>
        <v>0.00100807317835461</v>
      </c>
    </row>
    <row r="554" customFormat="false" ht="15" hidden="false" customHeight="false" outlineLevel="0" collapsed="false">
      <c r="A554" s="5" t="n">
        <v>18</v>
      </c>
      <c r="B554" s="25" t="n">
        <f aca="false">IF(T553&gt;0,B553,D553)</f>
        <v>-0.0142440795898438</v>
      </c>
      <c r="C554" s="25" t="n">
        <f aca="false">IF(T553&gt;0,D553,C553)</f>
        <v>-0.0142326354980469</v>
      </c>
      <c r="D554" s="41" t="n">
        <f aca="false">(B554+C554)/2</f>
        <v>-0.0142383575439453</v>
      </c>
      <c r="E554" s="15" t="n">
        <f aca="false">$C$2*(1+IF(E$3&lt;=$O$2,$D554,$D554-($D554-$I$535)*MIN(E$3-$O$2,$Q$2)/$Q$2))</f>
        <v>2700.98690032959</v>
      </c>
      <c r="F554" s="15" t="n">
        <f aca="false">E554*(1+IF(F$3&lt;=$O$2,$D554,$D554-($D554-$I$535)*MIN(F$3-$O$2,$Q$2)/$Q$2))</f>
        <v>2662.52928312118</v>
      </c>
      <c r="G554" s="15" t="n">
        <f aca="false">F554*(1+IF(G$3&lt;=$O$2,$D554,$D554-($D554-$I$535)*MIN(G$3-$O$2,$Q$2)/$Q$2))</f>
        <v>2624.61923921688</v>
      </c>
      <c r="H554" s="15" t="n">
        <f aca="false">G554*(1+IF(H$3&lt;=$O$2,$D554,$D554-($D554-$I$535)*MIN(H$3-$O$2,$Q$2)/$Q$2))</f>
        <v>2587.24897207219</v>
      </c>
      <c r="I554" s="15" t="n">
        <f aca="false">H554*(1+IF(I$3&lt;=$O$2,$D554,$D554-($D554-$I$535)*MIN(I$3-$O$2,$Q$2)/$Q$2))</f>
        <v>2550.41079615262</v>
      </c>
      <c r="J554" s="15" t="n">
        <f aca="false">I554*(1+IF(J$3&lt;=$O$2,$D554,$D554-($D554-$I$535)*MIN(J$3-$O$2,$Q$2)/$Q$2))</f>
        <v>2538.34560341535</v>
      </c>
      <c r="K554" s="15" t="n">
        <f aca="false">J554*(1+IF(K$3&lt;=$O$2,$D554,$D554-($D554-$I$535)*MIN(K$3-$O$2,$Q$2)/$Q$2))</f>
        <v>2550.47124348993</v>
      </c>
      <c r="L554" s="15" t="n">
        <f aca="false">K554*(1+IF(L$3&lt;=$O$2,$D554,$D554-($D554-$I$535)*MIN(L$3-$O$2,$Q$2)/$Q$2))</f>
        <v>2586.90385034671</v>
      </c>
      <c r="M554" s="15" t="n">
        <f aca="false">L554*(1+IF(M$3&lt;=$O$2,$D554,$D554-($D554-$I$535)*MIN(M$3-$O$2,$Q$2)/$Q$2))</f>
        <v>2648.45231652934</v>
      </c>
      <c r="N554" s="15" t="n">
        <f aca="false">M554*(1+IF(N$3&lt;=$O$2,$D554,$D554-($D554-$I$535)*MIN(N$3-$O$2,$Q$2)/$Q$2))</f>
        <v>2736.64577866977</v>
      </c>
      <c r="O554" s="15" t="n">
        <f aca="false">SUMPRODUCT(E554:N554,1/(1+$F$535)^$E$3:$N$3)*$E$2</f>
        <v>11877.779846244</v>
      </c>
      <c r="P554" s="15" t="n">
        <f aca="false">N554*$E$2*(1+$I$535)/($F$535-$I$535)/(1+$F$535)^$N$3</f>
        <v>17871.306487964</v>
      </c>
      <c r="Q554" s="15" t="n">
        <f aca="false">O554+P554</f>
        <v>29749.086334208</v>
      </c>
      <c r="R554" s="15" t="n">
        <f aca="false">Q554-$G$2+$I$2</f>
        <v>30519.086334208</v>
      </c>
      <c r="S554" s="42" t="n">
        <f aca="false">R554/$K$2</f>
        <v>292.244434877028</v>
      </c>
      <c r="T554" s="43" t="n">
        <f aca="false">S554-$M$2</f>
        <v>-0.0087490739445002</v>
      </c>
    </row>
    <row r="555" customFormat="false" ht="15" hidden="false" customHeight="false" outlineLevel="0" collapsed="false">
      <c r="A555" s="5" t="n">
        <v>19</v>
      </c>
      <c r="B555" s="25" t="n">
        <f aca="false">IF(T554&gt;0,B554,D554)</f>
        <v>-0.0142383575439453</v>
      </c>
      <c r="C555" s="25" t="n">
        <f aca="false">IF(T554&gt;0,D554,C554)</f>
        <v>-0.0142326354980469</v>
      </c>
      <c r="D555" s="41" t="n">
        <f aca="false">(B555+C555)/2</f>
        <v>-0.0142354965209961</v>
      </c>
      <c r="E555" s="15" t="n">
        <f aca="false">$C$2*(1+IF(E$3&lt;=$O$2,$D555,$D555-($D555-$I$535)*MIN(E$3-$O$2,$Q$2)/$Q$2))</f>
        <v>2700.99473953247</v>
      </c>
      <c r="F555" s="15" t="n">
        <f aca="false">E555*(1+IF(F$3&lt;=$O$2,$D555,$D555-($D555-$I$535)*MIN(F$3-$O$2,$Q$2)/$Q$2))</f>
        <v>2662.54473831463</v>
      </c>
      <c r="G555" s="15" t="n">
        <f aca="false">F555*(1+IF(G$3&lt;=$O$2,$D555,$D555-($D555-$I$535)*MIN(G$3-$O$2,$Q$2)/$Q$2))</f>
        <v>2624.64209195535</v>
      </c>
      <c r="H555" s="15" t="n">
        <f aca="false">G555*(1+IF(H$3&lt;=$O$2,$D555,$D555-($D555-$I$535)*MIN(H$3-$O$2,$Q$2)/$Q$2))</f>
        <v>2587.27900858646</v>
      </c>
      <c r="I555" s="15" t="n">
        <f aca="false">H555*(1+IF(I$3&lt;=$O$2,$D555,$D555-($D555-$I$535)*MIN(I$3-$O$2,$Q$2)/$Q$2))</f>
        <v>2550.44780726088</v>
      </c>
      <c r="J555" s="15" t="n">
        <f aca="false">I555*(1+IF(J$3&lt;=$O$2,$D555,$D555-($D555-$I$535)*MIN(J$3-$O$2,$Q$2)/$Q$2))</f>
        <v>2538.38827694745</v>
      </c>
      <c r="K555" s="15" t="n">
        <f aca="false">J555*(1+IF(K$3&lt;=$O$2,$D555,$D555-($D555-$I$535)*MIN(K$3-$O$2,$Q$2)/$Q$2))</f>
        <v>2550.51847830513</v>
      </c>
      <c r="L555" s="15" t="n">
        <f aca="false">K555*(1+IF(L$3&lt;=$O$2,$D555,$D555-($D555-$I$535)*MIN(L$3-$O$2,$Q$2)/$Q$2))</f>
        <v>2586.95467873181</v>
      </c>
      <c r="M555" s="15" t="n">
        <f aca="false">L555*(1+IF(M$3&lt;=$O$2,$D555,$D555-($D555-$I$535)*MIN(M$3-$O$2,$Q$2)/$Q$2))</f>
        <v>2648.50583450741</v>
      </c>
      <c r="N555" s="15" t="n">
        <f aca="false">M555*(1+IF(N$3&lt;=$O$2,$D555,$D555-($D555-$I$535)*MIN(N$3-$O$2,$Q$2)/$Q$2))</f>
        <v>2736.70107879651</v>
      </c>
      <c r="O555" s="15" t="n">
        <f aca="false">SUMPRODUCT(E555:N555,1/(1+$F$535)^$E$3:$N$3)*$E$2</f>
        <v>11877.9281813165</v>
      </c>
      <c r="P555" s="15" t="n">
        <f aca="false">N555*$E$2*(1+$I$535)/($F$535-$I$535)/(1+$F$535)^$N$3</f>
        <v>17871.6676181919</v>
      </c>
      <c r="Q555" s="15" t="n">
        <f aca="false">O555+P555</f>
        <v>29749.5957995084</v>
      </c>
      <c r="R555" s="15" t="n">
        <f aca="false">Q555-$G$2+$I$2</f>
        <v>30519.5957995084</v>
      </c>
      <c r="S555" s="42" t="n">
        <f aca="false">R555/$K$2</f>
        <v>292.249313410978</v>
      </c>
      <c r="T555" s="43" t="n">
        <f aca="false">S555-$M$2</f>
        <v>-0.00387053999395448</v>
      </c>
    </row>
    <row r="556" customFormat="false" ht="15" hidden="false" customHeight="false" outlineLevel="0" collapsed="false">
      <c r="A556" s="5" t="n">
        <v>20</v>
      </c>
      <c r="B556" s="25" t="n">
        <f aca="false">IF(T555&gt;0,B555,D555)</f>
        <v>-0.0142354965209961</v>
      </c>
      <c r="C556" s="25" t="n">
        <f aca="false">IF(T555&gt;0,D555,C555)</f>
        <v>-0.0142326354980469</v>
      </c>
      <c r="D556" s="41" t="n">
        <f aca="false">(B556+C556)/2</f>
        <v>-0.0142340660095215</v>
      </c>
      <c r="E556" s="15" t="n">
        <f aca="false">$C$2*(1+IF(E$3&lt;=$O$2,$D556,$D556-($D556-$I$535)*MIN(E$3-$O$2,$Q$2)/$Q$2))</f>
        <v>2700.99865913391</v>
      </c>
      <c r="F556" s="15" t="n">
        <f aca="false">E556*(1+IF(F$3&lt;=$O$2,$D556,$D556-($D556-$I$535)*MIN(F$3-$O$2,$Q$2)/$Q$2))</f>
        <v>2662.55246592817</v>
      </c>
      <c r="G556" s="15" t="n">
        <f aca="false">F556*(1+IF(G$3&lt;=$O$2,$D556,$D556-($D556-$I$535)*MIN(G$3-$O$2,$Q$2)/$Q$2))</f>
        <v>2624.65351837433</v>
      </c>
      <c r="H556" s="15" t="n">
        <f aca="false">G556*(1+IF(H$3&lt;=$O$2,$D556,$D556-($D556-$I$535)*MIN(H$3-$O$2,$Q$2)/$Q$2))</f>
        <v>2587.29402694167</v>
      </c>
      <c r="I556" s="15" t="n">
        <f aca="false">H556*(1+IF(I$3&lt;=$O$2,$D556,$D556-($D556-$I$535)*MIN(I$3-$O$2,$Q$2)/$Q$2))</f>
        <v>2550.46631297614</v>
      </c>
      <c r="J556" s="15" t="n">
        <f aca="false">I556*(1+IF(J$3&lt;=$O$2,$D556,$D556-($D556-$I$535)*MIN(J$3-$O$2,$Q$2)/$Q$2))</f>
        <v>2538.40961393739</v>
      </c>
      <c r="K556" s="15" t="n">
        <f aca="false">J556*(1+IF(K$3&lt;=$O$2,$D556,$D556-($D556-$I$535)*MIN(K$3-$O$2,$Q$2)/$Q$2))</f>
        <v>2550.54209599265</v>
      </c>
      <c r="L556" s="15" t="n">
        <f aca="false">K556*(1+IF(L$3&lt;=$O$2,$D556,$D556-($D556-$I$535)*MIN(L$3-$O$2,$Q$2)/$Q$2))</f>
        <v>2586.98009324881</v>
      </c>
      <c r="M556" s="15" t="n">
        <f aca="false">L556*(1+IF(M$3&lt;=$O$2,$D556,$D556-($D556-$I$535)*MIN(M$3-$O$2,$Q$2)/$Q$2))</f>
        <v>2648.53259385043</v>
      </c>
      <c r="N556" s="15" t="n">
        <f aca="false">M556*(1+IF(N$3&lt;=$O$2,$D556,$D556-($D556-$I$535)*MIN(N$3-$O$2,$Q$2)/$Q$2))</f>
        <v>2736.72872922565</v>
      </c>
      <c r="O556" s="15" t="n">
        <f aca="false">SUMPRODUCT(E556:N556,1/(1+$F$535)^$E$3:$N$3)*$E$2</f>
        <v>11878.0023495666</v>
      </c>
      <c r="P556" s="15" t="n">
        <f aca="false">N556*$E$2*(1+$I$535)/($F$535-$I$535)/(1+$F$535)^$N$3</f>
        <v>17871.8481856945</v>
      </c>
      <c r="Q556" s="15" t="n">
        <f aca="false">O556+P556</f>
        <v>29749.8505352611</v>
      </c>
      <c r="R556" s="15" t="n">
        <f aca="false">Q556-$G$2+$I$2</f>
        <v>30519.8505352611</v>
      </c>
      <c r="S556" s="42" t="n">
        <f aca="false">R556/$K$2</f>
        <v>292.251752707661</v>
      </c>
      <c r="T556" s="43" t="n">
        <f aca="false">S556-$M$2</f>
        <v>-0.00143124331071931</v>
      </c>
    </row>
    <row r="557" customFormat="false" ht="15" hidden="false" customHeight="false" outlineLevel="0" collapsed="false">
      <c r="A557" s="5" t="n">
        <v>21</v>
      </c>
      <c r="B557" s="25" t="n">
        <f aca="false">IF(T556&gt;0,B556,D556)</f>
        <v>-0.0142340660095215</v>
      </c>
      <c r="C557" s="25" t="n">
        <f aca="false">IF(T556&gt;0,D556,C556)</f>
        <v>-0.0142326354980469</v>
      </c>
      <c r="D557" s="41" t="n">
        <f aca="false">(B557+C557)/2</f>
        <v>-0.0142333507537842</v>
      </c>
      <c r="E557" s="15" t="n">
        <f aca="false">$C$2*(1+IF(E$3&lt;=$O$2,$D557,$D557-($D557-$I$535)*MIN(E$3-$O$2,$Q$2)/$Q$2))</f>
        <v>2701.00061893463</v>
      </c>
      <c r="F557" s="15" t="n">
        <f aca="false">E557*(1+IF(F$3&lt;=$O$2,$D557,$D557-($D557-$I$535)*MIN(F$3-$O$2,$Q$2)/$Q$2))</f>
        <v>2662.55632973915</v>
      </c>
      <c r="G557" s="15" t="n">
        <f aca="false">F557*(1+IF(G$3&lt;=$O$2,$D557,$D557-($D557-$I$535)*MIN(G$3-$O$2,$Q$2)/$Q$2))</f>
        <v>2624.65923159626</v>
      </c>
      <c r="H557" s="15" t="n">
        <f aca="false">G557*(1+IF(H$3&lt;=$O$2,$D557,$D557-($D557-$I$535)*MIN(H$3-$O$2,$Q$2)/$Q$2))</f>
        <v>2587.30153614379</v>
      </c>
      <c r="I557" s="15" t="n">
        <f aca="false">H557*(1+IF(I$3&lt;=$O$2,$D557,$D557-($D557-$I$535)*MIN(I$3-$O$2,$Q$2)/$Q$2))</f>
        <v>2550.47556587405</v>
      </c>
      <c r="J557" s="15" t="n">
        <f aca="false">I557*(1+IF(J$3&lt;=$O$2,$D557,$D557-($D557-$I$535)*MIN(J$3-$O$2,$Q$2)/$Q$2))</f>
        <v>2538.42028248834</v>
      </c>
      <c r="K557" s="15" t="n">
        <f aca="false">J557*(1+IF(K$3&lt;=$O$2,$D557,$D557-($D557-$I$535)*MIN(K$3-$O$2,$Q$2)/$Q$2))</f>
        <v>2550.55390490638</v>
      </c>
      <c r="L557" s="15" t="n">
        <f aca="false">K557*(1+IF(L$3&lt;=$O$2,$D557,$D557-($D557-$I$535)*MIN(L$3-$O$2,$Q$2)/$Q$2))</f>
        <v>2586.99280058842</v>
      </c>
      <c r="M557" s="15" t="n">
        <f aca="false">L557*(1+IF(M$3&lt;=$O$2,$D557,$D557-($D557-$I$535)*MIN(M$3-$O$2,$Q$2)/$Q$2))</f>
        <v>2648.54597361044</v>
      </c>
      <c r="N557" s="15" t="n">
        <f aca="false">M557*(1+IF(N$3&lt;=$O$2,$D557,$D557-($D557-$I$535)*MIN(N$3-$O$2,$Q$2)/$Q$2))</f>
        <v>2736.74255453167</v>
      </c>
      <c r="O557" s="15" t="n">
        <f aca="false">SUMPRODUCT(E557:N557,1/(1+$F$535)^$E$3:$N$3)*$E$2</f>
        <v>11878.03943387</v>
      </c>
      <c r="P557" s="15" t="n">
        <f aca="false">N557*$E$2*(1+$I$535)/($F$535-$I$535)/(1+$F$535)^$N$3</f>
        <v>17871.938470043</v>
      </c>
      <c r="Q557" s="15" t="n">
        <f aca="false">O557+P557</f>
        <v>29749.977903913</v>
      </c>
      <c r="R557" s="15" t="n">
        <f aca="false">Q557-$G$2+$I$2</f>
        <v>30519.977903913</v>
      </c>
      <c r="S557" s="42" t="n">
        <f aca="false">R557/$K$2</f>
        <v>292.25297236343</v>
      </c>
      <c r="T557" s="43" t="n">
        <f aca="false">S557-$M$2</f>
        <v>-0.000211587541969038</v>
      </c>
    </row>
    <row r="558" customFormat="false" ht="15" hidden="false" customHeight="false" outlineLevel="0" collapsed="false">
      <c r="A558" s="5" t="n">
        <v>22</v>
      </c>
      <c r="B558" s="25" t="n">
        <f aca="false">IF(T557&gt;0,B557,D557)</f>
        <v>-0.0142333507537842</v>
      </c>
      <c r="C558" s="25" t="n">
        <f aca="false">IF(T557&gt;0,D557,C557)</f>
        <v>-0.0142326354980469</v>
      </c>
      <c r="D558" s="41" t="n">
        <f aca="false">(B558+C558)/2</f>
        <v>-0.0142329931259155</v>
      </c>
      <c r="E558" s="15" t="n">
        <f aca="false">$C$2*(1+IF(E$3&lt;=$O$2,$D558,$D558-($D558-$I$535)*MIN(E$3-$O$2,$Q$2)/$Q$2))</f>
        <v>2701.00159883499</v>
      </c>
      <c r="F558" s="15" t="n">
        <f aca="false">E558*(1+IF(F$3&lt;=$O$2,$D558,$D558-($D558-$I$535)*MIN(F$3-$O$2,$Q$2)/$Q$2))</f>
        <v>2662.55826164569</v>
      </c>
      <c r="G558" s="15" t="n">
        <f aca="false">F558*(1+IF(G$3&lt;=$O$2,$D558,$D558-($D558-$I$535)*MIN(G$3-$O$2,$Q$2)/$Q$2))</f>
        <v>2624.66208821033</v>
      </c>
      <c r="H558" s="15" t="n">
        <f aca="false">G558*(1+IF(H$3&lt;=$O$2,$D558,$D558-($D558-$I$535)*MIN(H$3-$O$2,$Q$2)/$Q$2))</f>
        <v>2587.30529075099</v>
      </c>
      <c r="I558" s="15" t="n">
        <f aca="false">H558*(1+IF(I$3&lt;=$O$2,$D558,$D558-($D558-$I$535)*MIN(I$3-$O$2,$Q$2)/$Q$2))</f>
        <v>2550.48019233308</v>
      </c>
      <c r="J558" s="15" t="n">
        <f aca="false">I558*(1+IF(J$3&lt;=$O$2,$D558,$D558-($D558-$I$535)*MIN(J$3-$O$2,$Q$2)/$Q$2))</f>
        <v>2538.42561677781</v>
      </c>
      <c r="K558" s="15" t="n">
        <f aca="false">J558*(1+IF(K$3&lt;=$O$2,$D558,$D558-($D558-$I$535)*MIN(K$3-$O$2,$Q$2)/$Q$2))</f>
        <v>2550.55980938074</v>
      </c>
      <c r="L558" s="15" t="n">
        <f aca="false">K558*(1+IF(L$3&lt;=$O$2,$D558,$D558-($D558-$I$535)*MIN(L$3-$O$2,$Q$2)/$Q$2))</f>
        <v>2586.99915427851</v>
      </c>
      <c r="M558" s="15" t="n">
        <f aca="false">L558*(1+IF(M$3&lt;=$O$2,$D558,$D558-($D558-$I$535)*MIN(M$3-$O$2,$Q$2)/$Q$2))</f>
        <v>2648.55266351257</v>
      </c>
      <c r="N558" s="15" t="n">
        <f aca="false">M558*(1+IF(N$3&lt;=$O$2,$D558,$D558-($D558-$I$535)*MIN(N$3-$O$2,$Q$2)/$Q$2))</f>
        <v>2736.74946720754</v>
      </c>
      <c r="O558" s="15" t="n">
        <f aca="false">SUMPRODUCT(E558:N558,1/(1+$F$535)^$E$3:$N$3)*$E$2</f>
        <v>11878.0579760664</v>
      </c>
      <c r="P558" s="15" t="n">
        <f aca="false">N558*$E$2*(1+$I$535)/($F$535-$I$535)/(1+$F$535)^$N$3</f>
        <v>17871.9836123665</v>
      </c>
      <c r="Q558" s="15" t="n">
        <f aca="false">O558+P558</f>
        <v>29750.0415884329</v>
      </c>
      <c r="R558" s="15" t="n">
        <f aca="false">Q558-$G$2+$I$2</f>
        <v>30520.0415884329</v>
      </c>
      <c r="S558" s="42" t="n">
        <f aca="false">R558/$K$2</f>
        <v>292.253582193171</v>
      </c>
      <c r="T558" s="43" t="n">
        <f aca="false">S558-$M$2</f>
        <v>0.000398242199366905</v>
      </c>
    </row>
    <row r="559" customFormat="false" ht="15" hidden="false" customHeight="false" outlineLevel="0" collapsed="false">
      <c r="A559" s="5" t="n">
        <v>23</v>
      </c>
      <c r="B559" s="25" t="n">
        <f aca="false">IF(T558&gt;0,B558,D558)</f>
        <v>-0.0142333507537842</v>
      </c>
      <c r="C559" s="25" t="n">
        <f aca="false">IF(T558&gt;0,D558,C558)</f>
        <v>-0.0142329931259155</v>
      </c>
      <c r="D559" s="41" t="n">
        <f aca="false">(B559+C559)/2</f>
        <v>-0.0142331719398499</v>
      </c>
      <c r="E559" s="15" t="n">
        <f aca="false">$C$2*(1+IF(E$3&lt;=$O$2,$D559,$D559-($D559-$I$535)*MIN(E$3-$O$2,$Q$2)/$Q$2))</f>
        <v>2701.00110888481</v>
      </c>
      <c r="F559" s="15" t="n">
        <f aca="false">E559*(1+IF(F$3&lt;=$O$2,$D559,$D559-($D559-$I$535)*MIN(F$3-$O$2,$Q$2)/$Q$2))</f>
        <v>2662.55729569233</v>
      </c>
      <c r="G559" s="15" t="n">
        <f aca="false">F559*(1+IF(G$3&lt;=$O$2,$D559,$D559-($D559-$I$535)*MIN(G$3-$O$2,$Q$2)/$Q$2))</f>
        <v>2624.66065990304</v>
      </c>
      <c r="H559" s="15" t="n">
        <f aca="false">G559*(1+IF(H$3&lt;=$O$2,$D559,$D559-($D559-$I$535)*MIN(H$3-$O$2,$Q$2)/$Q$2))</f>
        <v>2587.30341344688</v>
      </c>
      <c r="I559" s="15" t="n">
        <f aca="false">H559*(1+IF(I$3&lt;=$O$2,$D559,$D559-($D559-$I$535)*MIN(I$3-$O$2,$Q$2)/$Q$2))</f>
        <v>2550.47787910273</v>
      </c>
      <c r="J559" s="15" t="n">
        <f aca="false">I559*(1+IF(J$3&lt;=$O$2,$D559,$D559-($D559-$I$535)*MIN(J$3-$O$2,$Q$2)/$Q$2))</f>
        <v>2538.42294963191</v>
      </c>
      <c r="K559" s="15" t="n">
        <f aca="false">J559*(1+IF(K$3&lt;=$O$2,$D559,$D559-($D559-$I$535)*MIN(K$3-$O$2,$Q$2)/$Q$2))</f>
        <v>2550.5568571421</v>
      </c>
      <c r="L559" s="15" t="n">
        <f aca="false">K559*(1+IF(L$3&lt;=$O$2,$D559,$D559-($D559-$I$535)*MIN(L$3-$O$2,$Q$2)/$Q$2))</f>
        <v>2586.99597743178</v>
      </c>
      <c r="M559" s="15" t="n">
        <f aca="false">L559*(1+IF(M$3&lt;=$O$2,$D559,$D559-($D559-$I$535)*MIN(M$3-$O$2,$Q$2)/$Q$2))</f>
        <v>2648.54931855966</v>
      </c>
      <c r="N559" s="15" t="n">
        <f aca="false">M559*(1+IF(N$3&lt;=$O$2,$D559,$D559-($D559-$I$535)*MIN(N$3-$O$2,$Q$2)/$Q$2))</f>
        <v>2736.7460108677</v>
      </c>
      <c r="O559" s="15" t="n">
        <f aca="false">SUMPRODUCT(E559:N559,1/(1+$F$535)^$E$3:$N$3)*$E$2</f>
        <v>11878.0487049645</v>
      </c>
      <c r="P559" s="15" t="n">
        <f aca="false">N559*$E$2*(1+$I$535)/($F$535-$I$535)/(1+$F$535)^$N$3</f>
        <v>17871.9610411923</v>
      </c>
      <c r="Q559" s="15" t="n">
        <f aca="false">O559+P559</f>
        <v>29750.0097461568</v>
      </c>
      <c r="R559" s="15" t="n">
        <f aca="false">Q559-$G$2+$I$2</f>
        <v>30520.0097461568</v>
      </c>
      <c r="S559" s="42" t="n">
        <f aca="false">R559/$K$2</f>
        <v>292.253277278146</v>
      </c>
      <c r="T559" s="43" t="n">
        <f aca="false">S559-$M$2</f>
        <v>9.33271739427255E-005</v>
      </c>
    </row>
    <row r="560" customFormat="false" ht="15" hidden="false" customHeight="false" outlineLevel="0" collapsed="false">
      <c r="A560" s="5" t="n">
        <v>24</v>
      </c>
      <c r="B560" s="25" t="n">
        <f aca="false">IF(T559&gt;0,B559,D559)</f>
        <v>-0.0142333507537842</v>
      </c>
      <c r="C560" s="25" t="n">
        <f aca="false">IF(T559&gt;0,D559,C559)</f>
        <v>-0.0142331719398499</v>
      </c>
      <c r="D560" s="41" t="n">
        <f aca="false">(B560+C560)/2</f>
        <v>-0.014233261346817</v>
      </c>
      <c r="E560" s="15" t="n">
        <f aca="false">$C$2*(1+IF(E$3&lt;=$O$2,$D560,$D560-($D560-$I$535)*MIN(E$3-$O$2,$Q$2)/$Q$2))</f>
        <v>2701.00086390972</v>
      </c>
      <c r="F560" s="15" t="n">
        <f aca="false">E560*(1+IF(F$3&lt;=$O$2,$D560,$D560-($D560-$I$535)*MIN(F$3-$O$2,$Q$2)/$Q$2))</f>
        <v>2662.55681271572</v>
      </c>
      <c r="G560" s="15" t="n">
        <f aca="false">F560*(1+IF(G$3&lt;=$O$2,$D560,$D560-($D560-$I$535)*MIN(G$3-$O$2,$Q$2)/$Q$2))</f>
        <v>2624.65994574959</v>
      </c>
      <c r="H560" s="15" t="n">
        <f aca="false">G560*(1+IF(H$3&lt;=$O$2,$D560,$D560-($D560-$I$535)*MIN(H$3-$O$2,$Q$2)/$Q$2))</f>
        <v>2587.30247479521</v>
      </c>
      <c r="I560" s="15" t="n">
        <f aca="false">H560*(1+IF(I$3&lt;=$O$2,$D560,$D560-($D560-$I$535)*MIN(I$3-$O$2,$Q$2)/$Q$2))</f>
        <v>2550.47672248818</v>
      </c>
      <c r="J560" s="15" t="n">
        <f aca="false">I560*(1+IF(J$3&lt;=$O$2,$D560,$D560-($D560-$I$535)*MIN(J$3-$O$2,$Q$2)/$Q$2))</f>
        <v>2538.42161605984</v>
      </c>
      <c r="K560" s="15" t="n">
        <f aca="false">J560*(1+IF(K$3&lt;=$O$2,$D560,$D560-($D560-$I$535)*MIN(K$3-$O$2,$Q$2)/$Q$2))</f>
        <v>2550.55538102388</v>
      </c>
      <c r="L560" s="15" t="n">
        <f aca="false">K560*(1+IF(L$3&lt;=$O$2,$D560,$D560-($D560-$I$535)*MIN(L$3-$O$2,$Q$2)/$Q$2))</f>
        <v>2586.99438900968</v>
      </c>
      <c r="M560" s="15" t="n">
        <f aca="false">L560*(1+IF(M$3&lt;=$O$2,$D560,$D560-($D560-$I$535)*MIN(M$3-$O$2,$Q$2)/$Q$2))</f>
        <v>2648.54764608459</v>
      </c>
      <c r="N560" s="15" t="n">
        <f aca="false">M560*(1+IF(N$3&lt;=$O$2,$D560,$D560-($D560-$I$535)*MIN(N$3-$O$2,$Q$2)/$Q$2))</f>
        <v>2736.74428269921</v>
      </c>
      <c r="O560" s="15" t="n">
        <f aca="false">SUMPRODUCT(E560:N560,1/(1+$F$535)^$E$3:$N$3)*$E$2</f>
        <v>11878.0440694163</v>
      </c>
      <c r="P560" s="15" t="n">
        <f aca="false">N560*$E$2*(1+$I$535)/($F$535-$I$535)/(1+$F$535)^$N$3</f>
        <v>17871.9497556145</v>
      </c>
      <c r="Q560" s="15" t="n">
        <f aca="false">O560+P560</f>
        <v>29749.9938250309</v>
      </c>
      <c r="R560" s="15" t="n">
        <f aca="false">Q560-$G$2+$I$2</f>
        <v>30519.9938250309</v>
      </c>
      <c r="S560" s="42" t="n">
        <f aca="false">R560/$K$2</f>
        <v>292.253124820749</v>
      </c>
      <c r="T560" s="43" t="n">
        <f aca="false">S560-$M$2</f>
        <v>-5.91302225529944E-005</v>
      </c>
    </row>
    <row r="562" customFormat="false" ht="15" hidden="false" customHeight="false" outlineLevel="0" collapsed="false">
      <c r="A562" s="38" t="s">
        <v>198</v>
      </c>
      <c r="E562" s="5" t="s">
        <v>11</v>
      </c>
      <c r="F562" s="12" t="n">
        <f aca="false">Sensitivity!$B$13</f>
        <v>0.0822772551778937</v>
      </c>
      <c r="G562" s="5" t="s">
        <v>12</v>
      </c>
      <c r="I562" s="12" t="n">
        <f aca="false">Sensitivity!$G$9</f>
        <v>0.0383</v>
      </c>
    </row>
    <row r="563" customFormat="false" ht="23.85" hidden="false" customHeight="false" outlineLevel="0" collapsed="false">
      <c r="A563" s="38" t="s">
        <v>159</v>
      </c>
      <c r="B563" s="28" t="s">
        <v>160</v>
      </c>
      <c r="C563" s="28" t="s">
        <v>161</v>
      </c>
      <c r="D563" s="28" t="s">
        <v>162</v>
      </c>
      <c r="E563" s="28" t="s">
        <v>163</v>
      </c>
      <c r="F563" s="28" t="s">
        <v>164</v>
      </c>
      <c r="G563" s="28" t="s">
        <v>165</v>
      </c>
      <c r="H563" s="28" t="s">
        <v>166</v>
      </c>
      <c r="I563" s="28" t="s">
        <v>167</v>
      </c>
      <c r="J563" s="28" t="s">
        <v>168</v>
      </c>
      <c r="K563" s="28" t="s">
        <v>169</v>
      </c>
      <c r="L563" s="28" t="s">
        <v>170</v>
      </c>
      <c r="M563" s="28" t="s">
        <v>171</v>
      </c>
      <c r="N563" s="28" t="s">
        <v>172</v>
      </c>
      <c r="O563" s="28" t="s">
        <v>173</v>
      </c>
      <c r="P563" s="28" t="s">
        <v>174</v>
      </c>
      <c r="Q563" s="28" t="s">
        <v>175</v>
      </c>
      <c r="R563" s="28" t="s">
        <v>176</v>
      </c>
      <c r="S563" s="28" t="s">
        <v>177</v>
      </c>
      <c r="T563" s="28" t="s">
        <v>178</v>
      </c>
    </row>
    <row r="564" customFormat="false" ht="15" hidden="false" customHeight="false" outlineLevel="0" collapsed="false">
      <c r="A564" s="5" t="n">
        <v>1</v>
      </c>
      <c r="B564" s="24" t="n">
        <v>-0.5</v>
      </c>
      <c r="C564" s="24" t="n">
        <v>1</v>
      </c>
      <c r="D564" s="41" t="n">
        <f aca="false">(B564+C564)/2</f>
        <v>0.25</v>
      </c>
      <c r="E564" s="15" t="n">
        <f aca="false">$C$2*(1+IF(E$3&lt;=$O$2,$D564,$D564-($D564-$I$562)*MIN(E$3-$O$2,$Q$2)/$Q$2))</f>
        <v>3425</v>
      </c>
      <c r="F564" s="15" t="n">
        <f aca="false">E564*(1+IF(F$3&lt;=$O$2,$D564,$D564-($D564-$I$562)*MIN(F$3-$O$2,$Q$2)/$Q$2))</f>
        <v>4281.25</v>
      </c>
      <c r="G564" s="15" t="n">
        <f aca="false">F564*(1+IF(G$3&lt;=$O$2,$D564,$D564-($D564-$I$562)*MIN(G$3-$O$2,$Q$2)/$Q$2))</f>
        <v>5351.5625</v>
      </c>
      <c r="H564" s="15" t="n">
        <f aca="false">G564*(1+IF(H$3&lt;=$O$2,$D564,$D564-($D564-$I$562)*MIN(H$3-$O$2,$Q$2)/$Q$2))</f>
        <v>6689.453125</v>
      </c>
      <c r="I564" s="15" t="n">
        <f aca="false">H564*(1+IF(I$3&lt;=$O$2,$D564,$D564-($D564-$I$562)*MIN(I$3-$O$2,$Q$2)/$Q$2))</f>
        <v>8361.81640625</v>
      </c>
      <c r="J564" s="15" t="n">
        <f aca="false">I564*(1+IF(J$3&lt;=$O$2,$D564,$D564-($D564-$I$562)*MIN(J$3-$O$2,$Q$2)/$Q$2))</f>
        <v>10098.2312011719</v>
      </c>
      <c r="K564" s="15" t="n">
        <f aca="false">J564*(1+IF(K$3&lt;=$O$2,$D564,$D564-($D564-$I$562)*MIN(K$3-$O$2,$Q$2)/$Q$2))</f>
        <v>11767.6707833496</v>
      </c>
      <c r="L564" s="15" t="n">
        <f aca="false">K564*(1+IF(L$3&lt;=$O$2,$D564,$D564-($D564-$I$562)*MIN(L$3-$O$2,$Q$2)/$Q$2))</f>
        <v>13214.8589362859</v>
      </c>
      <c r="M564" s="15" t="n">
        <f aca="false">L564*(1+IF(M$3&lt;=$O$2,$D564,$D564-($D564-$I$562)*MIN(M$3-$O$2,$Q$2)/$Q$2))</f>
        <v>14280.505160908</v>
      </c>
      <c r="N564" s="15" t="n">
        <f aca="false">M564*(1+IF(N$3&lt;=$O$2,$D564,$D564-($D564-$I$562)*MIN(N$3-$O$2,$Q$2)/$Q$2))</f>
        <v>14827.4485085708</v>
      </c>
      <c r="O564" s="15" t="n">
        <f aca="false">SUMPRODUCT(E564:N564,1/(1+$F$562)^$E$3:$N$3)*$E$2</f>
        <v>37777.0106741632</v>
      </c>
      <c r="P564" s="15" t="n">
        <f aca="false">N564*$E$2*(1+$I$562)/($F$562-$I$562)/(1+$F$562)^$N$3</f>
        <v>108359.473780395</v>
      </c>
      <c r="Q564" s="15" t="n">
        <f aca="false">O564+P564</f>
        <v>146136.484454558</v>
      </c>
      <c r="R564" s="15" t="n">
        <f aca="false">Q564-$G$2+$I$2</f>
        <v>146906.484454558</v>
      </c>
      <c r="S564" s="42" t="n">
        <f aca="false">R564/$K$2</f>
        <v>1406.74599688363</v>
      </c>
      <c r="T564" s="43" t="n">
        <f aca="false">S564-$M$2</f>
        <v>1114.49281293266</v>
      </c>
    </row>
    <row r="565" customFormat="false" ht="15" hidden="false" customHeight="false" outlineLevel="0" collapsed="false">
      <c r="A565" s="5" t="n">
        <v>2</v>
      </c>
      <c r="B565" s="25" t="n">
        <f aca="false">IF(T564&gt;0,B564,D564)</f>
        <v>-0.5</v>
      </c>
      <c r="C565" s="25" t="n">
        <f aca="false">IF(T564&gt;0,D564,C564)</f>
        <v>0.25</v>
      </c>
      <c r="D565" s="41" t="n">
        <f aca="false">(B565+C565)/2</f>
        <v>-0.125</v>
      </c>
      <c r="E565" s="15" t="n">
        <f aca="false">$C$2*(1+IF(E$3&lt;=$O$2,$D565,$D565-($D565-$I$562)*MIN(E$3-$O$2,$Q$2)/$Q$2))</f>
        <v>2397.5</v>
      </c>
      <c r="F565" s="15" t="n">
        <f aca="false">E565*(1+IF(F$3&lt;=$O$2,$D565,$D565-($D565-$I$562)*MIN(F$3-$O$2,$Q$2)/$Q$2))</f>
        <v>2097.8125</v>
      </c>
      <c r="G565" s="15" t="n">
        <f aca="false">F565*(1+IF(G$3&lt;=$O$2,$D565,$D565-($D565-$I$562)*MIN(G$3-$O$2,$Q$2)/$Q$2))</f>
        <v>1835.5859375</v>
      </c>
      <c r="H565" s="15" t="n">
        <f aca="false">G565*(1+IF(H$3&lt;=$O$2,$D565,$D565-($D565-$I$562)*MIN(H$3-$O$2,$Q$2)/$Q$2))</f>
        <v>1606.1376953125</v>
      </c>
      <c r="I565" s="15" t="n">
        <f aca="false">H565*(1+IF(I$3&lt;=$O$2,$D565,$D565-($D565-$I$562)*MIN(I$3-$O$2,$Q$2)/$Q$2))</f>
        <v>1405.37048339844</v>
      </c>
      <c r="J565" s="15" t="n">
        <f aca="false">I565*(1+IF(J$3&lt;=$O$2,$D565,$D565-($D565-$I$562)*MIN(J$3-$O$2,$Q$2)/$Q$2))</f>
        <v>1275.59857296143</v>
      </c>
      <c r="K565" s="15" t="n">
        <f aca="false">J565*(1+IF(K$3&lt;=$O$2,$D565,$D565-($D565-$I$562)*MIN(K$3-$O$2,$Q$2)/$Q$2))</f>
        <v>1199.47085012709</v>
      </c>
      <c r="L565" s="15" t="n">
        <f aca="false">K565*(1+IF(L$3&lt;=$O$2,$D565,$D565-($D565-$I$562)*MIN(L$3-$O$2,$Q$2)/$Q$2))</f>
        <v>1167.06114775665</v>
      </c>
      <c r="M565" s="15" t="n">
        <f aca="false">L565*(1+IF(M$3&lt;=$O$2,$D565,$D565-($D565-$I$562)*MIN(M$3-$O$2,$Q$2)/$Q$2))</f>
        <v>1173.64337263</v>
      </c>
      <c r="N565" s="15" t="n">
        <f aca="false">M565*(1+IF(N$3&lt;=$O$2,$D565,$D565-($D565-$I$562)*MIN(N$3-$O$2,$Q$2)/$Q$2))</f>
        <v>1218.59391380173</v>
      </c>
      <c r="O565" s="15" t="n">
        <f aca="false">SUMPRODUCT(E565:N565,1/(1+$F$562)^$E$3:$N$3)*$E$2</f>
        <v>7373.14361377041</v>
      </c>
      <c r="P565" s="15" t="n">
        <f aca="false">N565*$E$2*(1+$I$562)/($F$562-$I$562)/(1+$F$562)^$N$3</f>
        <v>8905.52377741994</v>
      </c>
      <c r="Q565" s="15" t="n">
        <f aca="false">O565+P565</f>
        <v>16278.6673911903</v>
      </c>
      <c r="R565" s="15" t="n">
        <f aca="false">Q565-$G$2+$I$2</f>
        <v>17048.6673911903</v>
      </c>
      <c r="S565" s="42" t="n">
        <f aca="false">R565/$K$2</f>
        <v>163.254499580488</v>
      </c>
      <c r="T565" s="43" t="n">
        <f aca="false">S565-$M$2</f>
        <v>-128.998684370484</v>
      </c>
    </row>
    <row r="566" customFormat="false" ht="15" hidden="false" customHeight="false" outlineLevel="0" collapsed="false">
      <c r="A566" s="5" t="n">
        <v>3</v>
      </c>
      <c r="B566" s="25" t="n">
        <f aca="false">IF(T565&gt;0,B565,D565)</f>
        <v>-0.125</v>
      </c>
      <c r="C566" s="25" t="n">
        <f aca="false">IF(T565&gt;0,D565,C565)</f>
        <v>0.25</v>
      </c>
      <c r="D566" s="41" t="n">
        <f aca="false">(B566+C566)/2</f>
        <v>0.0625</v>
      </c>
      <c r="E566" s="15" t="n">
        <f aca="false">$C$2*(1+IF(E$3&lt;=$O$2,$D566,$D566-($D566-$I$562)*MIN(E$3-$O$2,$Q$2)/$Q$2))</f>
        <v>2911.25</v>
      </c>
      <c r="F566" s="15" t="n">
        <f aca="false">E566*(1+IF(F$3&lt;=$O$2,$D566,$D566-($D566-$I$562)*MIN(F$3-$O$2,$Q$2)/$Q$2))</f>
        <v>3093.203125</v>
      </c>
      <c r="G566" s="15" t="n">
        <f aca="false">F566*(1+IF(G$3&lt;=$O$2,$D566,$D566-($D566-$I$562)*MIN(G$3-$O$2,$Q$2)/$Q$2))</f>
        <v>3286.5283203125</v>
      </c>
      <c r="H566" s="15" t="n">
        <f aca="false">G566*(1+IF(H$3&lt;=$O$2,$D566,$D566-($D566-$I$562)*MIN(H$3-$O$2,$Q$2)/$Q$2))</f>
        <v>3491.93634033203</v>
      </c>
      <c r="I566" s="15" t="n">
        <f aca="false">H566*(1+IF(I$3&lt;=$O$2,$D566,$D566-($D566-$I$562)*MIN(I$3-$O$2,$Q$2)/$Q$2))</f>
        <v>3710.18236160278</v>
      </c>
      <c r="J566" s="15" t="n">
        <f aca="false">I566*(1+IF(J$3&lt;=$O$2,$D566,$D566-($D566-$I$562)*MIN(J$3-$O$2,$Q$2)/$Q$2))</f>
        <v>3924.1114765728</v>
      </c>
      <c r="K566" s="15" t="n">
        <f aca="false">J566*(1+IF(K$3&lt;=$O$2,$D566,$D566-($D566-$I$562)*MIN(K$3-$O$2,$Q$2)/$Q$2))</f>
        <v>4131.38304476538</v>
      </c>
      <c r="L566" s="15" t="n">
        <f aca="false">K566*(1+IF(L$3&lt;=$O$2,$D566,$D566-($D566-$I$562)*MIN(L$3-$O$2,$Q$2)/$Q$2))</f>
        <v>4329.60680325322</v>
      </c>
      <c r="M566" s="15" t="n">
        <f aca="false">L566*(1+IF(M$3&lt;=$O$2,$D566,$D566-($D566-$I$562)*MIN(M$3-$O$2,$Q$2)/$Q$2))</f>
        <v>4516.38604074556</v>
      </c>
      <c r="N566" s="15" t="n">
        <f aca="false">M566*(1+IF(N$3&lt;=$O$2,$D566,$D566-($D566-$I$562)*MIN(N$3-$O$2,$Q$2)/$Q$2))</f>
        <v>4689.36362610612</v>
      </c>
      <c r="O566" s="15" t="n">
        <f aca="false">SUMPRODUCT(E566:N566,1/(1+$F$562)^$E$3:$N$3)*$E$2</f>
        <v>16671.5996483642</v>
      </c>
      <c r="P566" s="15" t="n">
        <f aca="false">N566*$E$2*(1+$I$562)/($F$562-$I$562)/(1+$F$562)^$N$3</f>
        <v>34270.0212107336</v>
      </c>
      <c r="Q566" s="15" t="n">
        <f aca="false">O566+P566</f>
        <v>50941.6208590978</v>
      </c>
      <c r="R566" s="15" t="n">
        <f aca="false">Q566-$G$2+$I$2</f>
        <v>51711.6208590978</v>
      </c>
      <c r="S566" s="42" t="n">
        <f aca="false">R566/$K$2</f>
        <v>495.179745849831</v>
      </c>
      <c r="T566" s="43" t="n">
        <f aca="false">S566-$M$2</f>
        <v>202.926561898859</v>
      </c>
    </row>
    <row r="567" customFormat="false" ht="15" hidden="false" customHeight="false" outlineLevel="0" collapsed="false">
      <c r="A567" s="5" t="n">
        <v>4</v>
      </c>
      <c r="B567" s="25" t="n">
        <f aca="false">IF(T566&gt;0,B566,D566)</f>
        <v>-0.125</v>
      </c>
      <c r="C567" s="25" t="n">
        <f aca="false">IF(T566&gt;0,D566,C566)</f>
        <v>0.0625</v>
      </c>
      <c r="D567" s="41" t="n">
        <f aca="false">(B567+C567)/2</f>
        <v>-0.03125</v>
      </c>
      <c r="E567" s="15" t="n">
        <f aca="false">$C$2*(1+IF(E$3&lt;=$O$2,$D567,$D567-($D567-$I$562)*MIN(E$3-$O$2,$Q$2)/$Q$2))</f>
        <v>2654.375</v>
      </c>
      <c r="F567" s="15" t="n">
        <f aca="false">E567*(1+IF(F$3&lt;=$O$2,$D567,$D567-($D567-$I$562)*MIN(F$3-$O$2,$Q$2)/$Q$2))</f>
        <v>2571.42578125</v>
      </c>
      <c r="G567" s="15" t="n">
        <f aca="false">F567*(1+IF(G$3&lt;=$O$2,$D567,$D567-($D567-$I$562)*MIN(G$3-$O$2,$Q$2)/$Q$2))</f>
        <v>2491.06872558594</v>
      </c>
      <c r="H567" s="15" t="n">
        <f aca="false">G567*(1+IF(H$3&lt;=$O$2,$D567,$D567-($D567-$I$562)*MIN(H$3-$O$2,$Q$2)/$Q$2))</f>
        <v>2413.22282791138</v>
      </c>
      <c r="I567" s="15" t="n">
        <f aca="false">H567*(1+IF(I$3&lt;=$O$2,$D567,$D567-($D567-$I$562)*MIN(I$3-$O$2,$Q$2)/$Q$2))</f>
        <v>2337.80961453915</v>
      </c>
      <c r="J567" s="15" t="n">
        <f aca="false">I567*(1+IF(J$3&lt;=$O$2,$D567,$D567-($D567-$I$562)*MIN(J$3-$O$2,$Q$2)/$Q$2))</f>
        <v>2297.27199582304</v>
      </c>
      <c r="K567" s="15" t="n">
        <f aca="false">J567*(1+IF(K$3&lt;=$O$2,$D567,$D567-($D567-$I$562)*MIN(K$3-$O$2,$Q$2)/$Q$2))</f>
        <v>2289.39235287737</v>
      </c>
      <c r="L567" s="15" t="n">
        <f aca="false">K567*(1+IF(L$3&lt;=$O$2,$D567,$D567-($D567-$I$562)*MIN(L$3-$O$2,$Q$2)/$Q$2))</f>
        <v>2313.38518473552</v>
      </c>
      <c r="M567" s="15" t="n">
        <f aca="false">L567*(1+IF(M$3&lt;=$O$2,$D567,$D567-($D567-$I$562)*MIN(M$3-$O$2,$Q$2)/$Q$2))</f>
        <v>2369.80864939122</v>
      </c>
      <c r="N567" s="15" t="n">
        <f aca="false">M567*(1+IF(N$3&lt;=$O$2,$D567,$D567-($D567-$I$562)*MIN(N$3-$O$2,$Q$2)/$Q$2))</f>
        <v>2460.5723206629</v>
      </c>
      <c r="O567" s="15" t="n">
        <f aca="false">SUMPRODUCT(E567:N567,1/(1+$F$562)^$E$3:$N$3)*$E$2</f>
        <v>11056.3321920857</v>
      </c>
      <c r="P567" s="15" t="n">
        <f aca="false">N567*$E$2*(1+$I$562)/($F$562-$I$562)/(1+$F$562)^$N$3</f>
        <v>17981.9421872561</v>
      </c>
      <c r="Q567" s="15" t="n">
        <f aca="false">O567+P567</f>
        <v>29038.2743793417</v>
      </c>
      <c r="R567" s="15" t="n">
        <f aca="false">Q567-$G$2+$I$2</f>
        <v>29808.2743793417</v>
      </c>
      <c r="S567" s="42" t="n">
        <f aca="false">R567/$K$2</f>
        <v>285.43784716405</v>
      </c>
      <c r="T567" s="43" t="n">
        <f aca="false">S567-$M$2</f>
        <v>-6.81533678692199</v>
      </c>
    </row>
    <row r="568" customFormat="false" ht="15" hidden="false" customHeight="false" outlineLevel="0" collapsed="false">
      <c r="A568" s="5" t="n">
        <v>5</v>
      </c>
      <c r="B568" s="25" t="n">
        <f aca="false">IF(T567&gt;0,B567,D567)</f>
        <v>-0.03125</v>
      </c>
      <c r="C568" s="25" t="n">
        <f aca="false">IF(T567&gt;0,D567,C567)</f>
        <v>0.0625</v>
      </c>
      <c r="D568" s="41" t="n">
        <f aca="false">(B568+C568)/2</f>
        <v>0.015625</v>
      </c>
      <c r="E568" s="15" t="n">
        <f aca="false">$C$2*(1+IF(E$3&lt;=$O$2,$D568,$D568-($D568-$I$562)*MIN(E$3-$O$2,$Q$2)/$Q$2))</f>
        <v>2782.8125</v>
      </c>
      <c r="F568" s="15" t="n">
        <f aca="false">E568*(1+IF(F$3&lt;=$O$2,$D568,$D568-($D568-$I$562)*MIN(F$3-$O$2,$Q$2)/$Q$2))</f>
        <v>2826.2939453125</v>
      </c>
      <c r="G568" s="15" t="n">
        <f aca="false">F568*(1+IF(G$3&lt;=$O$2,$D568,$D568-($D568-$I$562)*MIN(G$3-$O$2,$Q$2)/$Q$2))</f>
        <v>2870.45478820801</v>
      </c>
      <c r="H568" s="15" t="n">
        <f aca="false">G568*(1+IF(H$3&lt;=$O$2,$D568,$D568-($D568-$I$562)*MIN(H$3-$O$2,$Q$2)/$Q$2))</f>
        <v>2915.30564427376</v>
      </c>
      <c r="I568" s="15" t="n">
        <f aca="false">H568*(1+IF(I$3&lt;=$O$2,$D568,$D568-($D568-$I$562)*MIN(I$3-$O$2,$Q$2)/$Q$2))</f>
        <v>2960.85729496554</v>
      </c>
      <c r="J568" s="15" t="n">
        <f aca="false">I568*(1+IF(J$3&lt;=$O$2,$D568,$D568-($D568-$I$562)*MIN(J$3-$O$2,$Q$2)/$Q$2))</f>
        <v>3020.54817803204</v>
      </c>
      <c r="K568" s="15" t="n">
        <f aca="false">J568*(1+IF(K$3&lt;=$O$2,$D568,$D568-($D568-$I$562)*MIN(K$3-$O$2,$Q$2)/$Q$2))</f>
        <v>3095.14061528854</v>
      </c>
      <c r="L568" s="15" t="n">
        <f aca="false">K568*(1+IF(L$3&lt;=$O$2,$D568,$D568-($D568-$I$562)*MIN(L$3-$O$2,$Q$2)/$Q$2))</f>
        <v>3185.61157547343</v>
      </c>
      <c r="M568" s="15" t="n">
        <f aca="false">L568*(1+IF(M$3&lt;=$O$2,$D568,$D568-($D568-$I$562)*MIN(M$3-$O$2,$Q$2)/$Q$2))</f>
        <v>3293.17375031929</v>
      </c>
      <c r="N568" s="15" t="n">
        <f aca="false">M568*(1+IF(N$3&lt;=$O$2,$D568,$D568-($D568-$I$562)*MIN(N$3-$O$2,$Q$2)/$Q$2))</f>
        <v>3419.30230495652</v>
      </c>
      <c r="O568" s="15" t="n">
        <f aca="false">SUMPRODUCT(E568:N568,1/(1+$F$562)^$E$3:$N$3)*$E$2</f>
        <v>13571.8426694342</v>
      </c>
      <c r="P568" s="15" t="n">
        <f aca="false">N568*$E$2*(1+$I$562)/($F$562-$I$562)/(1+$F$562)^$N$3</f>
        <v>24988.3719540154</v>
      </c>
      <c r="Q568" s="15" t="n">
        <f aca="false">O568+P568</f>
        <v>38560.2146234496</v>
      </c>
      <c r="R568" s="15" t="n">
        <f aca="false">Q568-$G$2+$I$2</f>
        <v>39330.2146234496</v>
      </c>
      <c r="S568" s="42" t="n">
        <f aca="false">R568/$K$2</f>
        <v>376.617970156561</v>
      </c>
      <c r="T568" s="43" t="n">
        <f aca="false">S568-$M$2</f>
        <v>84.3647862055887</v>
      </c>
    </row>
    <row r="569" customFormat="false" ht="15" hidden="false" customHeight="false" outlineLevel="0" collapsed="false">
      <c r="A569" s="5" t="n">
        <v>6</v>
      </c>
      <c r="B569" s="25" t="n">
        <f aca="false">IF(T568&gt;0,B568,D568)</f>
        <v>-0.03125</v>
      </c>
      <c r="C569" s="25" t="n">
        <f aca="false">IF(T568&gt;0,D568,C568)</f>
        <v>0.015625</v>
      </c>
      <c r="D569" s="41" t="n">
        <f aca="false">(B569+C569)/2</f>
        <v>-0.0078125</v>
      </c>
      <c r="E569" s="15" t="n">
        <f aca="false">$C$2*(1+IF(E$3&lt;=$O$2,$D569,$D569-($D569-$I$562)*MIN(E$3-$O$2,$Q$2)/$Q$2))</f>
        <v>2718.59375</v>
      </c>
      <c r="F569" s="15" t="n">
        <f aca="false">E569*(1+IF(F$3&lt;=$O$2,$D569,$D569-($D569-$I$562)*MIN(F$3-$O$2,$Q$2)/$Q$2))</f>
        <v>2697.35473632813</v>
      </c>
      <c r="G569" s="15" t="n">
        <f aca="false">F569*(1+IF(G$3&lt;=$O$2,$D569,$D569-($D569-$I$562)*MIN(G$3-$O$2,$Q$2)/$Q$2))</f>
        <v>2676.28165245056</v>
      </c>
      <c r="H569" s="15" t="n">
        <f aca="false">G569*(1+IF(H$3&lt;=$O$2,$D569,$D569-($D569-$I$562)*MIN(H$3-$O$2,$Q$2)/$Q$2))</f>
        <v>2655.37320204079</v>
      </c>
      <c r="I569" s="15" t="n">
        <f aca="false">H569*(1+IF(I$3&lt;=$O$2,$D569,$D569-($D569-$I$562)*MIN(I$3-$O$2,$Q$2)/$Q$2))</f>
        <v>2634.62809889985</v>
      </c>
      <c r="J569" s="15" t="n">
        <f aca="false">I569*(1+IF(J$3&lt;=$O$2,$D569,$D569-($D569-$I$562)*MIN(J$3-$O$2,$Q$2)/$Q$2))</f>
        <v>2638.3429245193</v>
      </c>
      <c r="K569" s="15" t="n">
        <f aca="false">J569*(1+IF(K$3&lt;=$O$2,$D569,$D569-($D569-$I$562)*MIN(K$3-$O$2,$Q$2)/$Q$2))</f>
        <v>2666.39510566425</v>
      </c>
      <c r="L569" s="15" t="n">
        <f aca="false">K569*(1+IF(L$3&lt;=$O$2,$D569,$D569-($D569-$I$562)*MIN(L$3-$O$2,$Q$2)/$Q$2))</f>
        <v>2719.33638048721</v>
      </c>
      <c r="M569" s="15" t="n">
        <f aca="false">L569*(1+IF(M$3&lt;=$O$2,$D569,$D569-($D569-$I$562)*MIN(M$3-$O$2,$Q$2)/$Q$2))</f>
        <v>2798.40788409083</v>
      </c>
      <c r="N569" s="15" t="n">
        <f aca="false">M569*(1+IF(N$3&lt;=$O$2,$D569,$D569-($D569-$I$562)*MIN(N$3-$O$2,$Q$2)/$Q$2))</f>
        <v>2905.58690605151</v>
      </c>
      <c r="O569" s="15" t="n">
        <f aca="false">SUMPRODUCT(E569:N569,1/(1+$F$562)^$E$3:$N$3)*$E$2</f>
        <v>12248.0797157732</v>
      </c>
      <c r="P569" s="15" t="n">
        <f aca="false">N569*$E$2*(1+$I$562)/($F$562-$I$562)/(1+$F$562)^$N$3</f>
        <v>21234.1231858571</v>
      </c>
      <c r="Q569" s="15" t="n">
        <f aca="false">O569+P569</f>
        <v>33482.2029016304</v>
      </c>
      <c r="R569" s="15" t="n">
        <f aca="false">Q569-$G$2+$I$2</f>
        <v>34252.2029016304</v>
      </c>
      <c r="S569" s="42" t="n">
        <f aca="false">R569/$K$2</f>
        <v>327.991984119797</v>
      </c>
      <c r="T569" s="43" t="n">
        <f aca="false">S569-$M$2</f>
        <v>35.7388001688246</v>
      </c>
    </row>
    <row r="570" customFormat="false" ht="15" hidden="false" customHeight="false" outlineLevel="0" collapsed="false">
      <c r="A570" s="5" t="n">
        <v>7</v>
      </c>
      <c r="B570" s="25" t="n">
        <f aca="false">IF(T569&gt;0,B569,D569)</f>
        <v>-0.03125</v>
      </c>
      <c r="C570" s="25" t="n">
        <f aca="false">IF(T569&gt;0,D569,C569)</f>
        <v>-0.0078125</v>
      </c>
      <c r="D570" s="41" t="n">
        <f aca="false">(B570+C570)/2</f>
        <v>-0.01953125</v>
      </c>
      <c r="E570" s="15" t="n">
        <f aca="false">$C$2*(1+IF(E$3&lt;=$O$2,$D570,$D570-($D570-$I$562)*MIN(E$3-$O$2,$Q$2)/$Q$2))</f>
        <v>2686.484375</v>
      </c>
      <c r="F570" s="15" t="n">
        <f aca="false">E570*(1+IF(F$3&lt;=$O$2,$D570,$D570-($D570-$I$562)*MIN(F$3-$O$2,$Q$2)/$Q$2))</f>
        <v>2634.01397705078</v>
      </c>
      <c r="G570" s="15" t="n">
        <f aca="false">F570*(1+IF(G$3&lt;=$O$2,$D570,$D570-($D570-$I$562)*MIN(G$3-$O$2,$Q$2)/$Q$2))</f>
        <v>2582.56839156151</v>
      </c>
      <c r="H570" s="15" t="n">
        <f aca="false">G570*(1+IF(H$3&lt;=$O$2,$D570,$D570-($D570-$I$562)*MIN(H$3-$O$2,$Q$2)/$Q$2))</f>
        <v>2532.12760266382</v>
      </c>
      <c r="I570" s="15" t="n">
        <f aca="false">H570*(1+IF(I$3&lt;=$O$2,$D570,$D570-($D570-$I$562)*MIN(I$3-$O$2,$Q$2)/$Q$2))</f>
        <v>2482.67198542429</v>
      </c>
      <c r="J570" s="15" t="n">
        <f aca="false">I570*(1+IF(J$3&lt;=$O$2,$D570,$D570-($D570-$I$562)*MIN(J$3-$O$2,$Q$2)/$Q$2))</f>
        <v>2462.89750306039</v>
      </c>
      <c r="K570" s="15" t="n">
        <f aca="false">J570*(1+IF(K$3&lt;=$O$2,$D570,$D570-($D570-$I$562)*MIN(K$3-$O$2,$Q$2)/$Q$2))</f>
        <v>2471.76701269329</v>
      </c>
      <c r="L570" s="15" t="n">
        <f aca="false">K570*(1+IF(L$3&lt;=$O$2,$D570,$D570-($D570-$I$562)*MIN(L$3-$O$2,$Q$2)/$Q$2))</f>
        <v>2509.25753885831</v>
      </c>
      <c r="M570" s="15" t="n">
        <f aca="false">L570*(1+IF(M$3&lt;=$O$2,$D570,$D570-($D570-$I$562)*MIN(M$3-$O$2,$Q$2)/$Q$2))</f>
        <v>2576.33940258777</v>
      </c>
      <c r="N570" s="15" t="n">
        <f aca="false">M570*(1+IF(N$3&lt;=$O$2,$D570,$D570-($D570-$I$562)*MIN(N$3-$O$2,$Q$2)/$Q$2))</f>
        <v>2675.01320170688</v>
      </c>
      <c r="O570" s="15" t="n">
        <f aca="false">SUMPRODUCT(E570:N570,1/(1+$F$562)^$E$3:$N$3)*$E$2</f>
        <v>11636.5170183069</v>
      </c>
      <c r="P570" s="15" t="n">
        <f aca="false">N570*$E$2*(1+$I$562)/($F$562-$I$562)/(1+$F$562)^$N$3</f>
        <v>19549.0830890436</v>
      </c>
      <c r="Q570" s="15" t="n">
        <f aca="false">O570+P570</f>
        <v>31185.6001073504</v>
      </c>
      <c r="R570" s="15" t="n">
        <f aca="false">Q570-$G$2+$I$2</f>
        <v>31955.6001073504</v>
      </c>
      <c r="S570" s="42" t="n">
        <f aca="false">R570/$K$2</f>
        <v>306.000192543814</v>
      </c>
      <c r="T570" s="43" t="n">
        <f aca="false">S570-$M$2</f>
        <v>13.7470085928415</v>
      </c>
    </row>
    <row r="571" customFormat="false" ht="15" hidden="false" customHeight="false" outlineLevel="0" collapsed="false">
      <c r="A571" s="5" t="n">
        <v>8</v>
      </c>
      <c r="B571" s="25" t="n">
        <f aca="false">IF(T570&gt;0,B570,D570)</f>
        <v>-0.03125</v>
      </c>
      <c r="C571" s="25" t="n">
        <f aca="false">IF(T570&gt;0,D570,C570)</f>
        <v>-0.01953125</v>
      </c>
      <c r="D571" s="41" t="n">
        <f aca="false">(B571+C571)/2</f>
        <v>-0.025390625</v>
      </c>
      <c r="E571" s="15" t="n">
        <f aca="false">$C$2*(1+IF(E$3&lt;=$O$2,$D571,$D571-($D571-$I$562)*MIN(E$3-$O$2,$Q$2)/$Q$2))</f>
        <v>2670.4296875</v>
      </c>
      <c r="F571" s="15" t="n">
        <f aca="false">E571*(1+IF(F$3&lt;=$O$2,$D571,$D571-($D571-$I$562)*MIN(F$3-$O$2,$Q$2)/$Q$2))</f>
        <v>2602.62580871582</v>
      </c>
      <c r="G571" s="15" t="n">
        <f aca="false">F571*(1+IF(G$3&lt;=$O$2,$D571,$D571-($D571-$I$562)*MIN(G$3-$O$2,$Q$2)/$Q$2))</f>
        <v>2536.5435127914</v>
      </c>
      <c r="H571" s="15" t="n">
        <f aca="false">G571*(1+IF(H$3&lt;=$O$2,$D571,$D571-($D571-$I$562)*MIN(H$3-$O$2,$Q$2)/$Q$2))</f>
        <v>2472.13908766193</v>
      </c>
      <c r="I571" s="15" t="n">
        <f aca="false">H571*(1+IF(I$3&lt;=$O$2,$D571,$D571-($D571-$I$562)*MIN(I$3-$O$2,$Q$2)/$Q$2))</f>
        <v>2409.36993113926</v>
      </c>
      <c r="J571" s="15" t="n">
        <f aca="false">I571*(1+IF(J$3&lt;=$O$2,$D571,$D571-($D571-$I$562)*MIN(J$3-$O$2,$Q$2)/$Q$2))</f>
        <v>2378.88537808552</v>
      </c>
      <c r="K571" s="15" t="n">
        <f aca="false">J571*(1+IF(K$3&lt;=$O$2,$D571,$D571-($D571-$I$562)*MIN(K$3-$O$2,$Q$2)/$Q$2))</f>
        <v>2379.08907014602</v>
      </c>
      <c r="L571" s="15" t="n">
        <f aca="false">K571*(1+IF(L$3&lt;=$O$2,$D571,$D571-($D571-$I$562)*MIN(L$3-$O$2,$Q$2)/$Q$2))</f>
        <v>2409.5979136093</v>
      </c>
      <c r="M571" s="15" t="n">
        <f aca="false">L571*(1+IF(M$3&lt;=$O$2,$D571,$D571-($D571-$I$562)*MIN(M$3-$O$2,$Q$2)/$Q$2))</f>
        <v>2471.19175427725</v>
      </c>
      <c r="N571" s="15" t="n">
        <f aca="false">M571*(1+IF(N$3&lt;=$O$2,$D571,$D571-($D571-$I$562)*MIN(N$3-$O$2,$Q$2)/$Q$2))</f>
        <v>2565.83839846606</v>
      </c>
      <c r="O571" s="15" t="n">
        <f aca="false">SUMPRODUCT(E571:N571,1/(1+$F$562)^$E$3:$N$3)*$E$2</f>
        <v>11342.6001538453</v>
      </c>
      <c r="P571" s="15" t="n">
        <f aca="false">N571*$E$2*(1+$I$562)/($F$562-$I$562)/(1+$F$562)^$N$3</f>
        <v>18751.2300921227</v>
      </c>
      <c r="Q571" s="15" t="n">
        <f aca="false">O571+P571</f>
        <v>30093.8302459681</v>
      </c>
      <c r="R571" s="15" t="n">
        <f aca="false">Q571-$G$2+$I$2</f>
        <v>30863.8302459681</v>
      </c>
      <c r="S571" s="42" t="n">
        <f aca="false">R571/$K$2</f>
        <v>295.54563100611</v>
      </c>
      <c r="T571" s="43" t="n">
        <f aca="false">S571-$M$2</f>
        <v>3.29244705513781</v>
      </c>
    </row>
    <row r="572" customFormat="false" ht="15" hidden="false" customHeight="false" outlineLevel="0" collapsed="false">
      <c r="A572" s="5" t="n">
        <v>9</v>
      </c>
      <c r="B572" s="25" t="n">
        <f aca="false">IF(T571&gt;0,B571,D571)</f>
        <v>-0.03125</v>
      </c>
      <c r="C572" s="25" t="n">
        <f aca="false">IF(T571&gt;0,D571,C571)</f>
        <v>-0.025390625</v>
      </c>
      <c r="D572" s="41" t="n">
        <f aca="false">(B572+C572)/2</f>
        <v>-0.0283203125</v>
      </c>
      <c r="E572" s="15" t="n">
        <f aca="false">$C$2*(1+IF(E$3&lt;=$O$2,$D572,$D572-($D572-$I$562)*MIN(E$3-$O$2,$Q$2)/$Q$2))</f>
        <v>2662.40234375</v>
      </c>
      <c r="F572" s="15" t="n">
        <f aca="false">E572*(1+IF(F$3&lt;=$O$2,$D572,$D572-($D572-$I$562)*MIN(F$3-$O$2,$Q$2)/$Q$2))</f>
        <v>2587.00227737427</v>
      </c>
      <c r="G572" s="15" t="n">
        <f aca="false">F572*(1+IF(G$3&lt;=$O$2,$D572,$D572-($D572-$I$562)*MIN(G$3-$O$2,$Q$2)/$Q$2))</f>
        <v>2513.73756444082</v>
      </c>
      <c r="H572" s="15" t="n">
        <f aca="false">G572*(1+IF(H$3&lt;=$O$2,$D572,$D572-($D572-$I$562)*MIN(H$3-$O$2,$Q$2)/$Q$2))</f>
        <v>2442.54773107286</v>
      </c>
      <c r="I572" s="15" t="n">
        <f aca="false">H572*(1+IF(I$3&lt;=$O$2,$D572,$D572-($D572-$I$562)*MIN(I$3-$O$2,$Q$2)/$Q$2))</f>
        <v>2373.37401603271</v>
      </c>
      <c r="J572" s="15" t="n">
        <f aca="false">I572*(1+IF(J$3&lt;=$O$2,$D572,$D572-($D572-$I$562)*MIN(J$3-$O$2,$Q$2)/$Q$2))</f>
        <v>2337.78230594478</v>
      </c>
      <c r="K572" s="15" t="n">
        <f aca="false">J572*(1+IF(K$3&lt;=$O$2,$D572,$D572-($D572-$I$562)*MIN(K$3-$O$2,$Q$2)/$Q$2))</f>
        <v>2333.87309559506</v>
      </c>
      <c r="L572" s="15" t="n">
        <f aca="false">K572*(1+IF(L$3&lt;=$O$2,$D572,$D572-($D572-$I$562)*MIN(L$3-$O$2,$Q$2)/$Q$2))</f>
        <v>2361.0670931708</v>
      </c>
      <c r="M572" s="15" t="n">
        <f aca="false">L572*(1+IF(M$3&lt;=$O$2,$D572,$D572-($D572-$I$562)*MIN(M$3-$O$2,$Q$2)/$Q$2))</f>
        <v>2420.03695732314</v>
      </c>
      <c r="N572" s="15" t="n">
        <f aca="false">M572*(1+IF(N$3&lt;=$O$2,$D572,$D572-($D572-$I$562)*MIN(N$3-$O$2,$Q$2)/$Q$2))</f>
        <v>2512.72437278862</v>
      </c>
      <c r="O572" s="15" t="n">
        <f aca="false">SUMPRODUCT(E572:N572,1/(1+$F$562)^$E$3:$N$3)*$E$2</f>
        <v>11198.5220493055</v>
      </c>
      <c r="P572" s="15" t="n">
        <f aca="false">N572*$E$2*(1+$I$562)/($F$562-$I$562)/(1+$F$562)^$N$3</f>
        <v>18363.0710727581</v>
      </c>
      <c r="Q572" s="15" t="n">
        <f aca="false">O572+P572</f>
        <v>29561.5931220635</v>
      </c>
      <c r="R572" s="15" t="n">
        <f aca="false">Q572-$G$2+$I$2</f>
        <v>30331.5931220635</v>
      </c>
      <c r="S572" s="42" t="n">
        <f aca="false">R572/$K$2</f>
        <v>290.449038801719</v>
      </c>
      <c r="T572" s="43" t="n">
        <f aca="false">S572-$M$2</f>
        <v>-1.80414514925275</v>
      </c>
    </row>
    <row r="573" customFormat="false" ht="15" hidden="false" customHeight="false" outlineLevel="0" collapsed="false">
      <c r="A573" s="5" t="n">
        <v>10</v>
      </c>
      <c r="B573" s="25" t="n">
        <f aca="false">IF(T572&gt;0,B572,D572)</f>
        <v>-0.0283203125</v>
      </c>
      <c r="C573" s="25" t="n">
        <f aca="false">IF(T572&gt;0,D572,C572)</f>
        <v>-0.025390625</v>
      </c>
      <c r="D573" s="41" t="n">
        <f aca="false">(B573+C573)/2</f>
        <v>-0.02685546875</v>
      </c>
      <c r="E573" s="15" t="n">
        <f aca="false">$C$2*(1+IF(E$3&lt;=$O$2,$D573,$D573-($D573-$I$562)*MIN(E$3-$O$2,$Q$2)/$Q$2))</f>
        <v>2666.416015625</v>
      </c>
      <c r="F573" s="15" t="n">
        <f aca="false">E573*(1+IF(F$3&lt;=$O$2,$D573,$D573-($D573-$I$562)*MIN(F$3-$O$2,$Q$2)/$Q$2))</f>
        <v>2594.80816364288</v>
      </c>
      <c r="G573" s="15" t="n">
        <f aca="false">F573*(1+IF(G$3&lt;=$O$2,$D573,$D573-($D573-$I$562)*MIN(G$3-$O$2,$Q$2)/$Q$2))</f>
        <v>2525.12337409193</v>
      </c>
      <c r="H573" s="15" t="n">
        <f aca="false">G573*(1+IF(H$3&lt;=$O$2,$D573,$D573-($D573-$I$562)*MIN(H$3-$O$2,$Q$2)/$Q$2))</f>
        <v>2457.31000222911</v>
      </c>
      <c r="I573" s="15" t="n">
        <f aca="false">H573*(1+IF(I$3&lt;=$O$2,$D573,$D573-($D573-$I$562)*MIN(I$3-$O$2,$Q$2)/$Q$2))</f>
        <v>2391.31779025518</v>
      </c>
      <c r="J573" s="15" t="n">
        <f aca="false">I573*(1+IF(J$3&lt;=$O$2,$D573,$D573-($D573-$I$562)*MIN(J$3-$O$2,$Q$2)/$Q$2))</f>
        <v>2358.25931637852</v>
      </c>
      <c r="K573" s="15" t="n">
        <f aca="false">J573*(1+IF(K$3&lt;=$O$2,$D573,$D573-($D573-$I$562)*MIN(K$3-$O$2,$Q$2)/$Q$2))</f>
        <v>2356.3885534802</v>
      </c>
      <c r="L573" s="15" t="n">
        <f aca="false">K573*(1+IF(L$3&lt;=$O$2,$D573,$D573-($D573-$I$562)*MIN(L$3-$O$2,$Q$2)/$Q$2))</f>
        <v>2385.22559477484</v>
      </c>
      <c r="M573" s="15" t="n">
        <f aca="false">L573*(1+IF(M$3&lt;=$O$2,$D573,$D573-($D573-$I$562)*MIN(M$3-$O$2,$Q$2)/$Q$2))</f>
        <v>2445.4976367143</v>
      </c>
      <c r="N573" s="15" t="n">
        <f aca="false">M573*(1+IF(N$3&lt;=$O$2,$D573,$D573-($D573-$I$562)*MIN(N$3-$O$2,$Q$2)/$Q$2))</f>
        <v>2539.16019620046</v>
      </c>
      <c r="O573" s="15" t="n">
        <f aca="false">SUMPRODUCT(E573:N573,1/(1+$F$562)^$E$3:$N$3)*$E$2</f>
        <v>11270.3235823208</v>
      </c>
      <c r="P573" s="15" t="n">
        <f aca="false">N573*$E$2*(1+$I$562)/($F$562-$I$562)/(1+$F$562)^$N$3</f>
        <v>18556.2649261849</v>
      </c>
      <c r="Q573" s="15" t="n">
        <f aca="false">O573+P573</f>
        <v>29826.5885085057</v>
      </c>
      <c r="R573" s="15" t="n">
        <f aca="false">Q573-$G$2+$I$2</f>
        <v>30596.5885085057</v>
      </c>
      <c r="S573" s="42" t="n">
        <f aca="false">R573/$K$2</f>
        <v>292.986579608405</v>
      </c>
      <c r="T573" s="43" t="n">
        <f aca="false">S573-$M$2</f>
        <v>0.733395657432936</v>
      </c>
    </row>
    <row r="574" customFormat="false" ht="15" hidden="false" customHeight="false" outlineLevel="0" collapsed="false">
      <c r="A574" s="5" t="n">
        <v>11</v>
      </c>
      <c r="B574" s="25" t="n">
        <f aca="false">IF(T573&gt;0,B573,D573)</f>
        <v>-0.0283203125</v>
      </c>
      <c r="C574" s="25" t="n">
        <f aca="false">IF(T573&gt;0,D573,C573)</f>
        <v>-0.02685546875</v>
      </c>
      <c r="D574" s="41" t="n">
        <f aca="false">(B574+C574)/2</f>
        <v>-0.027587890625</v>
      </c>
      <c r="E574" s="15" t="n">
        <f aca="false">$C$2*(1+IF(E$3&lt;=$O$2,$D574,$D574-($D574-$I$562)*MIN(E$3-$O$2,$Q$2)/$Q$2))</f>
        <v>2664.4091796875</v>
      </c>
      <c r="F574" s="15" t="n">
        <f aca="false">E574*(1+IF(F$3&lt;=$O$2,$D574,$D574-($D574-$I$562)*MIN(F$3-$O$2,$Q$2)/$Q$2))</f>
        <v>2590.90375065804</v>
      </c>
      <c r="G574" s="15" t="n">
        <f aca="false">F574*(1+IF(G$3&lt;=$O$2,$D574,$D574-($D574-$I$562)*MIN(G$3-$O$2,$Q$2)/$Q$2))</f>
        <v>2519.42618136498</v>
      </c>
      <c r="H574" s="15" t="n">
        <f aca="false">G574*(1+IF(H$3&lt;=$O$2,$D574,$D574-($D574-$I$562)*MIN(H$3-$O$2,$Q$2)/$Q$2))</f>
        <v>2449.92052743572</v>
      </c>
      <c r="I574" s="15" t="n">
        <f aca="false">H574*(1+IF(I$3&lt;=$O$2,$D574,$D574-($D574-$I$562)*MIN(I$3-$O$2,$Q$2)/$Q$2))</f>
        <v>2382.33238788488</v>
      </c>
      <c r="J574" s="15" t="n">
        <f aca="false">I574*(1+IF(J$3&lt;=$O$2,$D574,$D574-($D574-$I$562)*MIN(J$3-$O$2,$Q$2)/$Q$2))</f>
        <v>2348.00223369659</v>
      </c>
      <c r="K574" s="15" t="n">
        <f aca="false">J574*(1+IF(K$3&lt;=$O$2,$D574,$D574-($D574-$I$562)*MIN(K$3-$O$2,$Q$2)/$Q$2))</f>
        <v>2345.10777063053</v>
      </c>
      <c r="L574" s="15" t="n">
        <f aca="false">K574*(1+IF(L$3&lt;=$O$2,$D574,$D574-($D574-$I$562)*MIN(L$3-$O$2,$Q$2)/$Q$2))</f>
        <v>2373.11971652763</v>
      </c>
      <c r="M574" s="15" t="n">
        <f aca="false">L574*(1+IF(M$3&lt;=$O$2,$D574,$D574-($D574-$I$562)*MIN(M$3-$O$2,$Q$2)/$Q$2))</f>
        <v>2432.73823120611</v>
      </c>
      <c r="N574" s="15" t="n">
        <f aca="false">M574*(1+IF(N$3&lt;=$O$2,$D574,$D574-($D574-$I$562)*MIN(N$3-$O$2,$Q$2)/$Q$2))</f>
        <v>2525.91210546131</v>
      </c>
      <c r="O574" s="15" t="n">
        <f aca="false">SUMPRODUCT(E574:N574,1/(1+$F$562)^$E$3:$N$3)*$E$2</f>
        <v>11234.3636226829</v>
      </c>
      <c r="P574" s="15" t="n">
        <f aca="false">N574*$E$2*(1+$I$562)/($F$562-$I$562)/(1+$F$562)^$N$3</f>
        <v>18459.4474501195</v>
      </c>
      <c r="Q574" s="15" t="n">
        <f aca="false">O574+P574</f>
        <v>29693.8110728025</v>
      </c>
      <c r="R574" s="15" t="n">
        <f aca="false">Q574-$G$2+$I$2</f>
        <v>30463.8110728025</v>
      </c>
      <c r="S574" s="42" t="n">
        <f aca="false">R574/$K$2</f>
        <v>291.715130449128</v>
      </c>
      <c r="T574" s="43" t="n">
        <f aca="false">S574-$M$2</f>
        <v>-0.538053501843706</v>
      </c>
    </row>
    <row r="575" customFormat="false" ht="15" hidden="false" customHeight="false" outlineLevel="0" collapsed="false">
      <c r="A575" s="5" t="n">
        <v>12</v>
      </c>
      <c r="B575" s="25" t="n">
        <f aca="false">IF(T574&gt;0,B574,D574)</f>
        <v>-0.027587890625</v>
      </c>
      <c r="C575" s="25" t="n">
        <f aca="false">IF(T574&gt;0,D574,C574)</f>
        <v>-0.02685546875</v>
      </c>
      <c r="D575" s="41" t="n">
        <f aca="false">(B575+C575)/2</f>
        <v>-0.0272216796875</v>
      </c>
      <c r="E575" s="15" t="n">
        <f aca="false">$C$2*(1+IF(E$3&lt;=$O$2,$D575,$D575-($D575-$I$562)*MIN(E$3-$O$2,$Q$2)/$Q$2))</f>
        <v>2665.41259765625</v>
      </c>
      <c r="F575" s="15" t="n">
        <f aca="false">E575*(1+IF(F$3&lt;=$O$2,$D575,$D575-($D575-$I$562)*MIN(F$3-$O$2,$Q$2)/$Q$2))</f>
        <v>2592.85558968782</v>
      </c>
      <c r="G575" s="15" t="n">
        <f aca="false">F575*(1+IF(G$3&lt;=$O$2,$D575,$D575-($D575-$I$562)*MIN(G$3-$O$2,$Q$2)/$Q$2))</f>
        <v>2522.2737053494</v>
      </c>
      <c r="H575" s="15" t="n">
        <f aca="false">G575*(1+IF(H$3&lt;=$O$2,$D575,$D575-($D575-$I$562)*MIN(H$3-$O$2,$Q$2)/$Q$2))</f>
        <v>2453.61317845817</v>
      </c>
      <c r="I575" s="15" t="n">
        <f aca="false">H575*(1+IF(I$3&lt;=$O$2,$D575,$D575-($D575-$I$562)*MIN(I$3-$O$2,$Q$2)/$Q$2))</f>
        <v>2386.82170643716</v>
      </c>
      <c r="J575" s="15" t="n">
        <f aca="false">I575*(1+IF(J$3&lt;=$O$2,$D575,$D575-($D575-$I$562)*MIN(J$3-$O$2,$Q$2)/$Q$2))</f>
        <v>2353.12612393742</v>
      </c>
      <c r="K575" s="15" t="n">
        <f aca="false">J575*(1+IF(K$3&lt;=$O$2,$D575,$D575-($D575-$I$562)*MIN(K$3-$O$2,$Q$2)/$Q$2))</f>
        <v>2350.74238879007</v>
      </c>
      <c r="L575" s="15" t="n">
        <f aca="false">K575*(1+IF(L$3&lt;=$O$2,$D575,$D575-($D575-$I$562)*MIN(L$3-$O$2,$Q$2)/$Q$2))</f>
        <v>2379.16598635028</v>
      </c>
      <c r="M575" s="15" t="n">
        <f aca="false">L575*(1+IF(M$3&lt;=$O$2,$D575,$D575-($D575-$I$562)*MIN(M$3-$O$2,$Q$2)/$Q$2))</f>
        <v>2439.11065329129</v>
      </c>
      <c r="N575" s="15" t="n">
        <f aca="false">M575*(1+IF(N$3&lt;=$O$2,$D575,$D575-($D575-$I$562)*MIN(N$3-$O$2,$Q$2)/$Q$2))</f>
        <v>2532.52859131235</v>
      </c>
      <c r="O575" s="15" t="n">
        <f aca="false">SUMPRODUCT(E575:N575,1/(1+$F$562)^$E$3:$N$3)*$E$2</f>
        <v>11252.3287809241</v>
      </c>
      <c r="P575" s="15" t="n">
        <f aca="false">N575*$E$2*(1+$I$562)/($F$562-$I$562)/(1+$F$562)^$N$3</f>
        <v>18507.800942946</v>
      </c>
      <c r="Q575" s="15" t="n">
        <f aca="false">O575+P575</f>
        <v>29760.12972387</v>
      </c>
      <c r="R575" s="15" t="n">
        <f aca="false">Q575-$G$2+$I$2</f>
        <v>30530.12972387</v>
      </c>
      <c r="S575" s="42" t="n">
        <f aca="false">R575/$K$2</f>
        <v>292.350184083789</v>
      </c>
      <c r="T575" s="43" t="n">
        <f aca="false">S575-$M$2</f>
        <v>0.097000132816504</v>
      </c>
    </row>
    <row r="576" customFormat="false" ht="15" hidden="false" customHeight="false" outlineLevel="0" collapsed="false">
      <c r="A576" s="5" t="n">
        <v>13</v>
      </c>
      <c r="B576" s="25" t="n">
        <f aca="false">IF(T575&gt;0,B575,D575)</f>
        <v>-0.027587890625</v>
      </c>
      <c r="C576" s="25" t="n">
        <f aca="false">IF(T575&gt;0,D575,C575)</f>
        <v>-0.0272216796875</v>
      </c>
      <c r="D576" s="41" t="n">
        <f aca="false">(B576+C576)/2</f>
        <v>-0.02740478515625</v>
      </c>
      <c r="E576" s="15" t="n">
        <f aca="false">$C$2*(1+IF(E$3&lt;=$O$2,$D576,$D576-($D576-$I$562)*MIN(E$3-$O$2,$Q$2)/$Q$2))</f>
        <v>2664.91088867188</v>
      </c>
      <c r="F576" s="15" t="n">
        <f aca="false">E576*(1+IF(F$3&lt;=$O$2,$D576,$D576-($D576-$I$562)*MIN(F$3-$O$2,$Q$2)/$Q$2))</f>
        <v>2591.87957830727</v>
      </c>
      <c r="G576" s="15" t="n">
        <f aca="false">F576*(1+IF(G$3&lt;=$O$2,$D576,$D576-($D576-$I$562)*MIN(G$3-$O$2,$Q$2)/$Q$2))</f>
        <v>2520.84967531289</v>
      </c>
      <c r="H576" s="15" t="n">
        <f aca="false">G576*(1+IF(H$3&lt;=$O$2,$D576,$D576-($D576-$I$562)*MIN(H$3-$O$2,$Q$2)/$Q$2))</f>
        <v>2451.76633154974</v>
      </c>
      <c r="I576" s="15" t="n">
        <f aca="false">H576*(1+IF(I$3&lt;=$O$2,$D576,$D576-($D576-$I$562)*MIN(I$3-$O$2,$Q$2)/$Q$2))</f>
        <v>2384.57620198029</v>
      </c>
      <c r="J576" s="15" t="n">
        <f aca="false">I576*(1+IF(J$3&lt;=$O$2,$D576,$D576-($D576-$I$562)*MIN(J$3-$O$2,$Q$2)/$Q$2))</f>
        <v>2350.56301688428</v>
      </c>
      <c r="K576" s="15" t="n">
        <f aca="false">J576*(1+IF(K$3&lt;=$O$2,$D576,$D576-($D576-$I$562)*MIN(K$3-$O$2,$Q$2)/$Q$2))</f>
        <v>2347.92363761858</v>
      </c>
      <c r="L576" s="15" t="n">
        <f aca="false">K576*(1+IF(L$3&lt;=$O$2,$D576,$D576-($D576-$I$562)*MIN(L$3-$O$2,$Q$2)/$Q$2))</f>
        <v>2376.14118567017</v>
      </c>
      <c r="M576" s="15" t="n">
        <f aca="false">L576*(1+IF(M$3&lt;=$O$2,$D576,$D576-($D576-$I$562)*MIN(M$3-$O$2,$Q$2)/$Q$2))</f>
        <v>2435.92262386026</v>
      </c>
      <c r="N576" s="15" t="n">
        <f aca="false">M576*(1+IF(N$3&lt;=$O$2,$D576,$D576-($D576-$I$562)*MIN(N$3-$O$2,$Q$2)/$Q$2))</f>
        <v>2529.21846035411</v>
      </c>
      <c r="O576" s="15" t="n">
        <f aca="false">SUMPRODUCT(E576:N576,1/(1+$F$562)^$E$3:$N$3)*$E$2</f>
        <v>11243.3424993235</v>
      </c>
      <c r="P576" s="15" t="n">
        <f aca="false">N576*$E$2*(1+$I$562)/($F$562-$I$562)/(1+$F$562)^$N$3</f>
        <v>18483.6103987285</v>
      </c>
      <c r="Q576" s="15" t="n">
        <f aca="false">O576+P576</f>
        <v>29726.952898052</v>
      </c>
      <c r="R576" s="15" t="n">
        <f aca="false">Q576-$G$2+$I$2</f>
        <v>30496.952898052</v>
      </c>
      <c r="S576" s="42" t="n">
        <f aca="false">R576/$K$2</f>
        <v>292.032489687369</v>
      </c>
      <c r="T576" s="43" t="n">
        <f aca="false">S576-$M$2</f>
        <v>-0.220694263602809</v>
      </c>
    </row>
    <row r="577" customFormat="false" ht="15" hidden="false" customHeight="false" outlineLevel="0" collapsed="false">
      <c r="A577" s="5" t="n">
        <v>14</v>
      </c>
      <c r="B577" s="25" t="n">
        <f aca="false">IF(T576&gt;0,B576,D576)</f>
        <v>-0.02740478515625</v>
      </c>
      <c r="C577" s="25" t="n">
        <f aca="false">IF(T576&gt;0,D576,C576)</f>
        <v>-0.0272216796875</v>
      </c>
      <c r="D577" s="41" t="n">
        <f aca="false">(B577+C577)/2</f>
        <v>-0.027313232421875</v>
      </c>
      <c r="E577" s="15" t="n">
        <f aca="false">$C$2*(1+IF(E$3&lt;=$O$2,$D577,$D577-($D577-$I$562)*MIN(E$3-$O$2,$Q$2)/$Q$2))</f>
        <v>2665.16174316406</v>
      </c>
      <c r="F577" s="15" t="n">
        <f aca="false">E577*(1+IF(F$3&lt;=$O$2,$D577,$D577-($D577-$I$562)*MIN(F$3-$O$2,$Q$2)/$Q$2))</f>
        <v>2592.36756103113</v>
      </c>
      <c r="G577" s="15" t="n">
        <f aca="false">F577*(1+IF(G$3&lt;=$O$2,$D577,$D577-($D577-$I$562)*MIN(G$3-$O$2,$Q$2)/$Q$2))</f>
        <v>2521.56162331376</v>
      </c>
      <c r="H577" s="15" t="n">
        <f aca="false">G577*(1+IF(H$3&lt;=$O$2,$D577,$D577-($D577-$I$562)*MIN(H$3-$O$2,$Q$2)/$Q$2))</f>
        <v>2452.68962463011</v>
      </c>
      <c r="I577" s="15" t="n">
        <f aca="false">H577*(1+IF(I$3&lt;=$O$2,$D577,$D577-($D577-$I$562)*MIN(I$3-$O$2,$Q$2)/$Q$2))</f>
        <v>2385.69874285387</v>
      </c>
      <c r="J577" s="15" t="n">
        <f aca="false">I577*(1+IF(J$3&lt;=$O$2,$D577,$D577-($D577-$I$562)*MIN(J$3-$O$2,$Q$2)/$Q$2))</f>
        <v>2351.84427982241</v>
      </c>
      <c r="K577" s="15" t="n">
        <f aca="false">J577*(1+IF(K$3&lt;=$O$2,$D577,$D577-($D577-$I$562)*MIN(K$3-$O$2,$Q$2)/$Q$2))</f>
        <v>2349.33265252839</v>
      </c>
      <c r="L577" s="15" t="n">
        <f aca="false">K577*(1+IF(L$3&lt;=$O$2,$D577,$D577-($D577-$I$562)*MIN(L$3-$O$2,$Q$2)/$Q$2))</f>
        <v>2377.65316937356</v>
      </c>
      <c r="M577" s="15" t="n">
        <f aca="false">L577*(1+IF(M$3&lt;=$O$2,$D577,$D577-($D577-$I$562)*MIN(M$3-$O$2,$Q$2)/$Q$2))</f>
        <v>2437.51618375643</v>
      </c>
      <c r="N577" s="15" t="n">
        <f aca="false">M577*(1+IF(N$3&lt;=$O$2,$D577,$D577-($D577-$I$562)*MIN(N$3-$O$2,$Q$2)/$Q$2))</f>
        <v>2530.8730535943</v>
      </c>
      <c r="O577" s="15" t="n">
        <f aca="false">SUMPRODUCT(E577:N577,1/(1+$F$562)^$E$3:$N$3)*$E$2</f>
        <v>11247.8347141396</v>
      </c>
      <c r="P577" s="15" t="n">
        <f aca="false">N577*$E$2*(1+$I$562)/($F$562-$I$562)/(1+$F$562)^$N$3</f>
        <v>18495.7022196999</v>
      </c>
      <c r="Q577" s="15" t="n">
        <f aca="false">O577+P577</f>
        <v>29743.5369338395</v>
      </c>
      <c r="R577" s="15" t="n">
        <f aca="false">Q577-$G$2+$I$2</f>
        <v>30513.5369338395</v>
      </c>
      <c r="S577" s="42" t="n">
        <f aca="false">R577/$K$2</f>
        <v>292.191294971172</v>
      </c>
      <c r="T577" s="43" t="n">
        <f aca="false">S577-$M$2</f>
        <v>-0.0618889798000737</v>
      </c>
    </row>
    <row r="578" customFormat="false" ht="15" hidden="false" customHeight="false" outlineLevel="0" collapsed="false">
      <c r="A578" s="5" t="n">
        <v>15</v>
      </c>
      <c r="B578" s="25" t="n">
        <f aca="false">IF(T577&gt;0,B577,D577)</f>
        <v>-0.027313232421875</v>
      </c>
      <c r="C578" s="25" t="n">
        <f aca="false">IF(T577&gt;0,D577,C577)</f>
        <v>-0.0272216796875</v>
      </c>
      <c r="D578" s="41" t="n">
        <f aca="false">(B578+C578)/2</f>
        <v>-0.0272674560546875</v>
      </c>
      <c r="E578" s="15" t="n">
        <f aca="false">$C$2*(1+IF(E$3&lt;=$O$2,$D578,$D578-($D578-$I$562)*MIN(E$3-$O$2,$Q$2)/$Q$2))</f>
        <v>2665.28717041016</v>
      </c>
      <c r="F578" s="15" t="n">
        <f aca="false">E578*(1+IF(F$3&lt;=$O$2,$D578,$D578-($D578-$I$562)*MIN(F$3-$O$2,$Q$2)/$Q$2))</f>
        <v>2592.61156961788</v>
      </c>
      <c r="G578" s="15" t="n">
        <f aca="false">F578*(1+IF(G$3&lt;=$O$2,$D578,$D578-($D578-$I$562)*MIN(G$3-$O$2,$Q$2)/$Q$2))</f>
        <v>2521.91764757645</v>
      </c>
      <c r="H578" s="15" t="n">
        <f aca="false">G578*(1+IF(H$3&lt;=$O$2,$D578,$D578-($D578-$I$562)*MIN(H$3-$O$2,$Q$2)/$Q$2))</f>
        <v>2453.15136894761</v>
      </c>
      <c r="I578" s="15" t="n">
        <f aca="false">H578*(1+IF(I$3&lt;=$O$2,$D578,$D578-($D578-$I$562)*MIN(I$3-$O$2,$Q$2)/$Q$2))</f>
        <v>2386.26017179934</v>
      </c>
      <c r="J578" s="15" t="n">
        <f aca="false">I578*(1+IF(J$3&lt;=$O$2,$D578,$D578-($D578-$I$562)*MIN(J$3-$O$2,$Q$2)/$Q$2))</f>
        <v>2352.48512921965</v>
      </c>
      <c r="K578" s="15" t="n">
        <f aca="false">J578*(1+IF(K$3&lt;=$O$2,$D578,$D578-($D578-$I$562)*MIN(K$3-$O$2,$Q$2)/$Q$2))</f>
        <v>2350.03743047111</v>
      </c>
      <c r="L578" s="15" t="n">
        <f aca="false">K578*(1+IF(L$3&lt;=$O$2,$D578,$D578-($D578-$I$562)*MIN(L$3-$O$2,$Q$2)/$Q$2))</f>
        <v>2378.40947367844</v>
      </c>
      <c r="M578" s="15" t="n">
        <f aca="false">L578*(1+IF(M$3&lt;=$O$2,$D578,$D578-($D578-$I$562)*MIN(M$3-$O$2,$Q$2)/$Q$2))</f>
        <v>2438.31330479123</v>
      </c>
      <c r="N578" s="15" t="n">
        <f aca="false">M578*(1+IF(N$3&lt;=$O$2,$D578,$D578-($D578-$I$562)*MIN(N$3-$O$2,$Q$2)/$Q$2))</f>
        <v>2531.70070436474</v>
      </c>
      <c r="O578" s="15" t="n">
        <f aca="false">SUMPRODUCT(E578:N578,1/(1+$F$562)^$E$3:$N$3)*$E$2</f>
        <v>11250.0815159903</v>
      </c>
      <c r="P578" s="15" t="n">
        <f aca="false">N578*$E$2*(1+$I$562)/($F$562-$I$562)/(1+$F$562)^$N$3</f>
        <v>18501.7507183277</v>
      </c>
      <c r="Q578" s="15" t="n">
        <f aca="false">O578+P578</f>
        <v>29751.832234318</v>
      </c>
      <c r="R578" s="15" t="n">
        <f aca="false">Q578-$G$2+$I$2</f>
        <v>30521.832234318</v>
      </c>
      <c r="S578" s="42" t="n">
        <f aca="false">R578/$K$2</f>
        <v>292.270729046423</v>
      </c>
      <c r="T578" s="43" t="n">
        <f aca="false">S578-$M$2</f>
        <v>0.0175450954513963</v>
      </c>
    </row>
    <row r="579" customFormat="false" ht="15" hidden="false" customHeight="false" outlineLevel="0" collapsed="false">
      <c r="A579" s="5" t="n">
        <v>16</v>
      </c>
      <c r="B579" s="25" t="n">
        <f aca="false">IF(T578&gt;0,B578,D578)</f>
        <v>-0.027313232421875</v>
      </c>
      <c r="C579" s="25" t="n">
        <f aca="false">IF(T578&gt;0,D578,C578)</f>
        <v>-0.0272674560546875</v>
      </c>
      <c r="D579" s="41" t="n">
        <f aca="false">(B579+C579)/2</f>
        <v>-0.0272903442382813</v>
      </c>
      <c r="E579" s="15" t="n">
        <f aca="false">$C$2*(1+IF(E$3&lt;=$O$2,$D579,$D579-($D579-$I$562)*MIN(E$3-$O$2,$Q$2)/$Q$2))</f>
        <v>2665.22445678711</v>
      </c>
      <c r="F579" s="15" t="n">
        <f aca="false">E579*(1+IF(F$3&lt;=$O$2,$D579,$D579-($D579-$I$562)*MIN(F$3-$O$2,$Q$2)/$Q$2))</f>
        <v>2592.4895638891</v>
      </c>
      <c r="G579" s="15" t="n">
        <f aca="false">F579*(1+IF(G$3&lt;=$O$2,$D579,$D579-($D579-$I$562)*MIN(G$3-$O$2,$Q$2)/$Q$2))</f>
        <v>2521.73963125642</v>
      </c>
      <c r="H579" s="15" t="n">
        <f aca="false">G579*(1+IF(H$3&lt;=$O$2,$D579,$D579-($D579-$I$562)*MIN(H$3-$O$2,$Q$2)/$Q$2))</f>
        <v>2452.92048864011</v>
      </c>
      <c r="I579" s="15" t="n">
        <f aca="false">H579*(1+IF(I$3&lt;=$O$2,$D579,$D579-($D579-$I$562)*MIN(I$3-$O$2,$Q$2)/$Q$2))</f>
        <v>2385.97944411599</v>
      </c>
      <c r="J579" s="15" t="n">
        <f aca="false">I579*(1+IF(J$3&lt;=$O$2,$D579,$D579-($D579-$I$562)*MIN(J$3-$O$2,$Q$2)/$Q$2))</f>
        <v>2352.16468635761</v>
      </c>
      <c r="K579" s="15" t="n">
        <f aca="false">J579*(1+IF(K$3&lt;=$O$2,$D579,$D579-($D579-$I$562)*MIN(K$3-$O$2,$Q$2)/$Q$2))</f>
        <v>2349.68501895511</v>
      </c>
      <c r="L579" s="15" t="n">
        <f aca="false">K579*(1+IF(L$3&lt;=$O$2,$D579,$D579-($D579-$I$562)*MIN(L$3-$O$2,$Q$2)/$Q$2))</f>
        <v>2378.03129548317</v>
      </c>
      <c r="M579" s="15" t="n">
        <f aca="false">L579*(1+IF(M$3&lt;=$O$2,$D579,$D579-($D579-$I$562)*MIN(M$3-$O$2,$Q$2)/$Q$2))</f>
        <v>2437.91471584415</v>
      </c>
      <c r="N579" s="15" t="n">
        <f aca="false">M579*(1+IF(N$3&lt;=$O$2,$D579,$D579-($D579-$I$562)*MIN(N$3-$O$2,$Q$2)/$Q$2))</f>
        <v>2531.28684946098</v>
      </c>
      <c r="O579" s="15" t="n">
        <f aca="false">SUMPRODUCT(E579:N579,1/(1+$F$562)^$E$3:$N$3)*$E$2</f>
        <v>11248.9580571852</v>
      </c>
      <c r="P579" s="15" t="n">
        <f aca="false">N579*$E$2*(1+$I$562)/($F$562-$I$562)/(1+$F$562)^$N$3</f>
        <v>18498.7262532914</v>
      </c>
      <c r="Q579" s="15" t="n">
        <f aca="false">O579+P579</f>
        <v>29747.6843104766</v>
      </c>
      <c r="R579" s="15" t="n">
        <f aca="false">Q579-$G$2+$I$2</f>
        <v>30517.6843104766</v>
      </c>
      <c r="S579" s="42" t="n">
        <f aca="false">R579/$K$2</f>
        <v>292.23100938884</v>
      </c>
      <c r="T579" s="43" t="n">
        <f aca="false">S579-$M$2</f>
        <v>-0.0221745621316245</v>
      </c>
    </row>
    <row r="580" customFormat="false" ht="15" hidden="false" customHeight="false" outlineLevel="0" collapsed="false">
      <c r="A580" s="5" t="n">
        <v>17</v>
      </c>
      <c r="B580" s="25" t="n">
        <f aca="false">IF(T579&gt;0,B579,D579)</f>
        <v>-0.0272903442382813</v>
      </c>
      <c r="C580" s="25" t="n">
        <f aca="false">IF(T579&gt;0,D579,C579)</f>
        <v>-0.0272674560546875</v>
      </c>
      <c r="D580" s="41" t="n">
        <f aca="false">(B580+C580)/2</f>
        <v>-0.0272789001464844</v>
      </c>
      <c r="E580" s="15" t="n">
        <f aca="false">$C$2*(1+IF(E$3&lt;=$O$2,$D580,$D580-($D580-$I$562)*MIN(E$3-$O$2,$Q$2)/$Q$2))</f>
        <v>2665.25581359863</v>
      </c>
      <c r="F580" s="15" t="n">
        <f aca="false">E580*(1+IF(F$3&lt;=$O$2,$D580,$D580-($D580-$I$562)*MIN(F$3-$O$2,$Q$2)/$Q$2))</f>
        <v>2592.55056639464</v>
      </c>
      <c r="G580" s="15" t="n">
        <f aca="false">F580*(1+IF(G$3&lt;=$O$2,$D580,$D580-($D580-$I$562)*MIN(G$3-$O$2,$Q$2)/$Q$2))</f>
        <v>2521.82863836925</v>
      </c>
      <c r="H580" s="15" t="n">
        <f aca="false">G580*(1+IF(H$3&lt;=$O$2,$D580,$D580-($D580-$I$562)*MIN(H$3-$O$2,$Q$2)/$Q$2))</f>
        <v>2453.03592675663</v>
      </c>
      <c r="I580" s="15" t="n">
        <f aca="false">H580*(1+IF(I$3&lt;=$O$2,$D580,$D580-($D580-$I$562)*MIN(I$3-$O$2,$Q$2)/$Q$2))</f>
        <v>2386.1198046549</v>
      </c>
      <c r="J580" s="15" t="n">
        <f aca="false">I580*(1+IF(J$3&lt;=$O$2,$D580,$D580-($D580-$I$562)*MIN(J$3-$O$2,$Q$2)/$Q$2))</f>
        <v>2352.32490324757</v>
      </c>
      <c r="K580" s="15" t="n">
        <f aca="false">J580*(1+IF(K$3&lt;=$O$2,$D580,$D580-($D580-$I$562)*MIN(K$3-$O$2,$Q$2)/$Q$2))</f>
        <v>2349.86121907665</v>
      </c>
      <c r="L580" s="15" t="n">
        <f aca="false">K580*(1+IF(L$3&lt;=$O$2,$D580,$D580-($D580-$I$562)*MIN(L$3-$O$2,$Q$2)/$Q$2))</f>
        <v>2378.22037806972</v>
      </c>
      <c r="M580" s="15" t="n">
        <f aca="false">L580*(1+IF(M$3&lt;=$O$2,$D580,$D580-($D580-$I$562)*MIN(M$3-$O$2,$Q$2)/$Q$2))</f>
        <v>2438.11400320984</v>
      </c>
      <c r="N580" s="15" t="n">
        <f aca="false">M580*(1+IF(N$3&lt;=$O$2,$D580,$D580-($D580-$I$562)*MIN(N$3-$O$2,$Q$2)/$Q$2))</f>
        <v>2531.49376953277</v>
      </c>
      <c r="O580" s="15" t="n">
        <f aca="false">SUMPRODUCT(E580:N580,1/(1+$F$562)^$E$3:$N$3)*$E$2</f>
        <v>11249.5197721171</v>
      </c>
      <c r="P580" s="15" t="n">
        <f aca="false">N580*$E$2*(1+$I$562)/($F$562-$I$562)/(1+$F$562)^$N$3</f>
        <v>18500.2384318756</v>
      </c>
      <c r="Q580" s="15" t="n">
        <f aca="false">O580+P580</f>
        <v>29749.7582039928</v>
      </c>
      <c r="R580" s="15" t="n">
        <f aca="false">Q580-$G$2+$I$2</f>
        <v>30519.7582039928</v>
      </c>
      <c r="S580" s="42" t="n">
        <f aca="false">R580/$K$2</f>
        <v>292.250868562604</v>
      </c>
      <c r="T580" s="43" t="n">
        <f aca="false">S580-$M$2</f>
        <v>-0.00231538836789014</v>
      </c>
    </row>
    <row r="581" customFormat="false" ht="15" hidden="false" customHeight="false" outlineLevel="0" collapsed="false">
      <c r="A581" s="5" t="n">
        <v>18</v>
      </c>
      <c r="B581" s="25" t="n">
        <f aca="false">IF(T580&gt;0,B580,D580)</f>
        <v>-0.0272789001464844</v>
      </c>
      <c r="C581" s="25" t="n">
        <f aca="false">IF(T580&gt;0,D580,C580)</f>
        <v>-0.0272674560546875</v>
      </c>
      <c r="D581" s="41" t="n">
        <f aca="false">(B581+C581)/2</f>
        <v>-0.0272731781005859</v>
      </c>
      <c r="E581" s="15" t="n">
        <f aca="false">$C$2*(1+IF(E$3&lt;=$O$2,$D581,$D581-($D581-$I$562)*MIN(E$3-$O$2,$Q$2)/$Q$2))</f>
        <v>2665.27149200439</v>
      </c>
      <c r="F581" s="15" t="n">
        <f aca="false">E581*(1+IF(F$3&lt;=$O$2,$D581,$D581-($D581-$I$562)*MIN(F$3-$O$2,$Q$2)/$Q$2))</f>
        <v>2592.58106791654</v>
      </c>
      <c r="G581" s="15" t="n">
        <f aca="false">F581*(1+IF(G$3&lt;=$O$2,$D581,$D581-($D581-$I$562)*MIN(G$3-$O$2,$Q$2)/$Q$2))</f>
        <v>2521.87314271105</v>
      </c>
      <c r="H581" s="15" t="n">
        <f aca="false">G581*(1+IF(H$3&lt;=$O$2,$D581,$D581-($D581-$I$562)*MIN(H$3-$O$2,$Q$2)/$Q$2))</f>
        <v>2453.09364734281</v>
      </c>
      <c r="I581" s="15" t="n">
        <f aca="false">H581*(1+IF(I$3&lt;=$O$2,$D581,$D581-($D581-$I$562)*MIN(I$3-$O$2,$Q$2)/$Q$2))</f>
        <v>2386.18998740141</v>
      </c>
      <c r="J581" s="15" t="n">
        <f aca="false">I581*(1+IF(J$3&lt;=$O$2,$D581,$D581-($D581-$I$562)*MIN(J$3-$O$2,$Q$2)/$Q$2))</f>
        <v>2352.40501509832</v>
      </c>
      <c r="K581" s="15" t="n">
        <f aca="false">J581*(1+IF(K$3&lt;=$O$2,$D581,$D581-($D581-$I$562)*MIN(K$3-$O$2,$Q$2)/$Q$2))</f>
        <v>2349.94932336473</v>
      </c>
      <c r="L581" s="15" t="n">
        <f aca="false">K581*(1+IF(L$3&lt;=$O$2,$D581,$D581-($D581-$I$562)*MIN(L$3-$O$2,$Q$2)/$Q$2))</f>
        <v>2378.31492424626</v>
      </c>
      <c r="M581" s="15" t="n">
        <f aca="false">L581*(1+IF(M$3&lt;=$O$2,$D581,$D581-($D581-$I$562)*MIN(M$3-$O$2,$Q$2)/$Q$2))</f>
        <v>2438.21365222352</v>
      </c>
      <c r="N581" s="15" t="n">
        <f aca="false">M581*(1+IF(N$3&lt;=$O$2,$D581,$D581-($D581-$I$562)*MIN(N$3-$O$2,$Q$2)/$Q$2))</f>
        <v>2531.59723510368</v>
      </c>
      <c r="O581" s="15" t="n">
        <f aca="false">SUMPRODUCT(E581:N581,1/(1+$F$562)^$E$3:$N$3)*$E$2</f>
        <v>11249.8006404359</v>
      </c>
      <c r="P581" s="15" t="n">
        <f aca="false">N581*$E$2*(1+$I$562)/($F$562-$I$562)/(1+$F$562)^$N$3</f>
        <v>18500.9945616178</v>
      </c>
      <c r="Q581" s="15" t="n">
        <f aca="false">O581+P581</f>
        <v>29750.7952020537</v>
      </c>
      <c r="R581" s="15" t="n">
        <f aca="false">Q581-$G$2+$I$2</f>
        <v>30520.7952020537</v>
      </c>
      <c r="S581" s="42" t="n">
        <f aca="false">R581/$K$2</f>
        <v>292.260798640752</v>
      </c>
      <c r="T581" s="43" t="n">
        <f aca="false">S581-$M$2</f>
        <v>0.00761468977998447</v>
      </c>
    </row>
    <row r="582" customFormat="false" ht="15" hidden="false" customHeight="false" outlineLevel="0" collapsed="false">
      <c r="A582" s="5" t="n">
        <v>19</v>
      </c>
      <c r="B582" s="25" t="n">
        <f aca="false">IF(T581&gt;0,B581,D581)</f>
        <v>-0.0272789001464844</v>
      </c>
      <c r="C582" s="25" t="n">
        <f aca="false">IF(T581&gt;0,D581,C581)</f>
        <v>-0.0272731781005859</v>
      </c>
      <c r="D582" s="41" t="n">
        <f aca="false">(B582+C582)/2</f>
        <v>-0.0272760391235352</v>
      </c>
      <c r="E582" s="15" t="n">
        <f aca="false">$C$2*(1+IF(E$3&lt;=$O$2,$D582,$D582-($D582-$I$562)*MIN(E$3-$O$2,$Q$2)/$Q$2))</f>
        <v>2665.26365280151</v>
      </c>
      <c r="F582" s="15" t="n">
        <f aca="false">E582*(1+IF(F$3&lt;=$O$2,$D582,$D582-($D582-$I$562)*MIN(F$3-$O$2,$Q$2)/$Q$2))</f>
        <v>2592.56581713316</v>
      </c>
      <c r="G582" s="15" t="n">
        <f aca="false">F582*(1+IF(G$3&lt;=$O$2,$D582,$D582-($D582-$I$562)*MIN(G$3-$O$2,$Q$2)/$Q$2))</f>
        <v>2521.8508904747</v>
      </c>
      <c r="H582" s="15" t="n">
        <f aca="false">G582*(1+IF(H$3&lt;=$O$2,$D582,$D582-($D582-$I$562)*MIN(H$3-$O$2,$Q$2)/$Q$2))</f>
        <v>2453.06478692239</v>
      </c>
      <c r="I582" s="15" t="n">
        <f aca="false">H582*(1+IF(I$3&lt;=$O$2,$D582,$D582-($D582-$I$562)*MIN(I$3-$O$2,$Q$2)/$Q$2))</f>
        <v>2386.15489582173</v>
      </c>
      <c r="J582" s="15" t="n">
        <f aca="false">I582*(1+IF(J$3&lt;=$O$2,$D582,$D582-($D582-$I$562)*MIN(J$3-$O$2,$Q$2)/$Q$2))</f>
        <v>2352.36495888912</v>
      </c>
      <c r="K582" s="15" t="n">
        <f aca="false">J582*(1+IF(K$3&lt;=$O$2,$D582,$D582-($D582-$I$562)*MIN(K$3-$O$2,$Q$2)/$Q$2))</f>
        <v>2349.90527086841</v>
      </c>
      <c r="L582" s="15" t="n">
        <f aca="false">K582*(1+IF(L$3&lt;=$O$2,$D582,$D582-($D582-$I$562)*MIN(L$3-$O$2,$Q$2)/$Q$2))</f>
        <v>2378.26765075104</v>
      </c>
      <c r="M582" s="15" t="n">
        <f aca="false">L582*(1+IF(M$3&lt;=$O$2,$D582,$D582-($D582-$I$562)*MIN(M$3-$O$2,$Q$2)/$Q$2))</f>
        <v>2438.16382727243</v>
      </c>
      <c r="N582" s="15" t="n">
        <f aca="false">M582*(1+IF(N$3&lt;=$O$2,$D582,$D582-($D582-$I$562)*MIN(N$3-$O$2,$Q$2)/$Q$2))</f>
        <v>2531.54550185696</v>
      </c>
      <c r="O582" s="15" t="n">
        <f aca="false">SUMPRODUCT(E582:N582,1/(1+$F$562)^$E$3:$N$3)*$E$2</f>
        <v>11249.6602053721</v>
      </c>
      <c r="P582" s="15" t="n">
        <f aca="false">N582*$E$2*(1+$I$562)/($F$562-$I$562)/(1+$F$562)^$N$3</f>
        <v>18500.6164933758</v>
      </c>
      <c r="Q582" s="15" t="n">
        <f aca="false">O582+P582</f>
        <v>29750.2766987479</v>
      </c>
      <c r="R582" s="15" t="n">
        <f aca="false">Q582-$G$2+$I$2</f>
        <v>30520.2766987479</v>
      </c>
      <c r="S582" s="42" t="n">
        <f aca="false">R582/$K$2</f>
        <v>292.255833560738</v>
      </c>
      <c r="T582" s="43" t="n">
        <f aca="false">S582-$M$2</f>
        <v>0.00264960976630846</v>
      </c>
    </row>
    <row r="583" customFormat="false" ht="15" hidden="false" customHeight="false" outlineLevel="0" collapsed="false">
      <c r="A583" s="5" t="n">
        <v>20</v>
      </c>
      <c r="B583" s="25" t="n">
        <f aca="false">IF(T582&gt;0,B582,D582)</f>
        <v>-0.0272789001464844</v>
      </c>
      <c r="C583" s="25" t="n">
        <f aca="false">IF(T582&gt;0,D582,C582)</f>
        <v>-0.0272760391235352</v>
      </c>
      <c r="D583" s="41" t="n">
        <f aca="false">(B583+C583)/2</f>
        <v>-0.0272774696350098</v>
      </c>
      <c r="E583" s="15" t="n">
        <f aca="false">$C$2*(1+IF(E$3&lt;=$O$2,$D583,$D583-($D583-$I$562)*MIN(E$3-$O$2,$Q$2)/$Q$2))</f>
        <v>2665.25973320007</v>
      </c>
      <c r="F583" s="15" t="n">
        <f aca="false">E583*(1+IF(F$3&lt;=$O$2,$D583,$D583-($D583-$I$562)*MIN(F$3-$O$2,$Q$2)/$Q$2))</f>
        <v>2592.55819175829</v>
      </c>
      <c r="G583" s="15" t="n">
        <f aca="false">F583*(1+IF(G$3&lt;=$O$2,$D583,$D583-($D583-$I$562)*MIN(G$3-$O$2,$Q$2)/$Q$2))</f>
        <v>2521.83976440561</v>
      </c>
      <c r="H583" s="15" t="n">
        <f aca="false">G583*(1+IF(H$3&lt;=$O$2,$D583,$D583-($D583-$I$562)*MIN(H$3-$O$2,$Q$2)/$Q$2))</f>
        <v>2453.05035680768</v>
      </c>
      <c r="I583" s="15" t="n">
        <f aca="false">H583*(1+IF(I$3&lt;=$O$2,$D583,$D583-($D583-$I$562)*MIN(I$3-$O$2,$Q$2)/$Q$2))</f>
        <v>2386.13735018671</v>
      </c>
      <c r="J583" s="15" t="n">
        <f aca="false">I583*(1+IF(J$3&lt;=$O$2,$D583,$D583-($D583-$I$562)*MIN(J$3-$O$2,$Q$2)/$Q$2))</f>
        <v>2352.34493099739</v>
      </c>
      <c r="K583" s="15" t="n">
        <f aca="false">J583*(1+IF(K$3&lt;=$O$2,$D583,$D583-($D583-$I$562)*MIN(K$3-$O$2,$Q$2)/$Q$2))</f>
        <v>2349.88324488446</v>
      </c>
      <c r="L583" s="15" t="n">
        <f aca="false">K583*(1+IF(L$3&lt;=$O$2,$D583,$D583-($D583-$I$562)*MIN(L$3-$O$2,$Q$2)/$Q$2))</f>
        <v>2378.24401430864</v>
      </c>
      <c r="M583" s="15" t="n">
        <f aca="false">L583*(1+IF(M$3&lt;=$O$2,$D583,$D583-($D583-$I$562)*MIN(M$3-$O$2,$Q$2)/$Q$2))</f>
        <v>2438.13891513007</v>
      </c>
      <c r="N583" s="15" t="n">
        <f aca="false">M583*(1+IF(N$3&lt;=$O$2,$D583,$D583-($D583-$I$562)*MIN(N$3-$O$2,$Q$2)/$Q$2))</f>
        <v>2531.51963557955</v>
      </c>
      <c r="O583" s="15" t="n">
        <f aca="false">SUMPRODUCT(E583:N583,1/(1+$F$562)^$E$3:$N$3)*$E$2</f>
        <v>11249.5899885185</v>
      </c>
      <c r="P583" s="15" t="n">
        <f aca="false">N583*$E$2*(1+$I$562)/($F$562-$I$562)/(1+$F$562)^$N$3</f>
        <v>18500.427461783</v>
      </c>
      <c r="Q583" s="15" t="n">
        <f aca="false">O583+P583</f>
        <v>29750.0174503015</v>
      </c>
      <c r="R583" s="15" t="n">
        <f aca="false">Q583-$G$2+$I$2</f>
        <v>30520.0174503015</v>
      </c>
      <c r="S583" s="42" t="n">
        <f aca="false">R583/$K$2</f>
        <v>292.253351051436</v>
      </c>
      <c r="T583" s="43" t="n">
        <f aca="false">S583-$M$2</f>
        <v>0.0001671004642958</v>
      </c>
    </row>
    <row r="584" customFormat="false" ht="15" hidden="false" customHeight="false" outlineLevel="0" collapsed="false">
      <c r="A584" s="5" t="n">
        <v>21</v>
      </c>
      <c r="B584" s="25" t="n">
        <f aca="false">IF(T583&gt;0,B583,D583)</f>
        <v>-0.0272789001464844</v>
      </c>
      <c r="C584" s="25" t="n">
        <f aca="false">IF(T583&gt;0,D583,C583)</f>
        <v>-0.0272774696350098</v>
      </c>
      <c r="D584" s="41" t="n">
        <f aca="false">(B584+C584)/2</f>
        <v>-0.0272781848907471</v>
      </c>
      <c r="E584" s="15" t="n">
        <f aca="false">$C$2*(1+IF(E$3&lt;=$O$2,$D584,$D584-($D584-$I$562)*MIN(E$3-$O$2,$Q$2)/$Q$2))</f>
        <v>2665.25777339935</v>
      </c>
      <c r="F584" s="15" t="n">
        <f aca="false">E584*(1+IF(F$3&lt;=$O$2,$D584,$D584-($D584-$I$562)*MIN(F$3-$O$2,$Q$2)/$Q$2))</f>
        <v>2592.55437907506</v>
      </c>
      <c r="G584" s="15" t="n">
        <f aca="false">F584*(1+IF(G$3&lt;=$O$2,$D584,$D584-($D584-$I$562)*MIN(G$3-$O$2,$Q$2)/$Q$2))</f>
        <v>2521.83420138334</v>
      </c>
      <c r="H584" s="15" t="n">
        <f aca="false">G584*(1+IF(H$3&lt;=$O$2,$D584,$D584-($D584-$I$562)*MIN(H$3-$O$2,$Q$2)/$Q$2))</f>
        <v>2453.04314177419</v>
      </c>
      <c r="I584" s="15" t="n">
        <f aca="false">H584*(1+IF(I$3&lt;=$O$2,$D584,$D584-($D584-$I$562)*MIN(I$3-$O$2,$Q$2)/$Q$2))</f>
        <v>2386.1285774079</v>
      </c>
      <c r="J584" s="15" t="n">
        <f aca="false">I584*(1+IF(J$3&lt;=$O$2,$D584,$D584-($D584-$I$562)*MIN(J$3-$O$2,$Q$2)/$Q$2))</f>
        <v>2352.33491710474</v>
      </c>
      <c r="K584" s="15" t="n">
        <f aca="false">J584*(1+IF(K$3&lt;=$O$2,$D584,$D584-($D584-$I$562)*MIN(K$3-$O$2,$Q$2)/$Q$2))</f>
        <v>2349.87223195854</v>
      </c>
      <c r="L584" s="15" t="n">
        <f aca="false">K584*(1+IF(L$3&lt;=$O$2,$D584,$D584-($D584-$I$562)*MIN(L$3-$O$2,$Q$2)/$Q$2))</f>
        <v>2378.23219616375</v>
      </c>
      <c r="M584" s="15" t="n">
        <f aca="false">L584*(1+IF(M$3&lt;=$O$2,$D584,$D584-($D584-$I$562)*MIN(M$3-$O$2,$Q$2)/$Q$2))</f>
        <v>2438.12645914219</v>
      </c>
      <c r="N584" s="15" t="n">
        <f aca="false">M584*(1+IF(N$3&lt;=$O$2,$D584,$D584-($D584-$I$562)*MIN(N$3-$O$2,$Q$2)/$Q$2))</f>
        <v>2531.50670252734</v>
      </c>
      <c r="O584" s="15" t="n">
        <f aca="false">SUMPRODUCT(E584:N584,1/(1+$F$562)^$E$3:$N$3)*$E$2</f>
        <v>11249.5548802613</v>
      </c>
      <c r="P584" s="15" t="n">
        <f aca="false">N584*$E$2*(1+$I$562)/($F$562-$I$562)/(1+$F$562)^$N$3</f>
        <v>18500.3329466186</v>
      </c>
      <c r="Q584" s="15" t="n">
        <f aca="false">O584+P584</f>
        <v>29749.8878268799</v>
      </c>
      <c r="R584" s="15" t="n">
        <f aca="false">Q584-$G$2+$I$2</f>
        <v>30519.8878268799</v>
      </c>
      <c r="S584" s="42" t="n">
        <f aca="false">R584/$K$2</f>
        <v>292.252109804462</v>
      </c>
      <c r="T584" s="43" t="n">
        <f aca="false">S584-$M$2</f>
        <v>-0.00107414651040472</v>
      </c>
    </row>
    <row r="585" customFormat="false" ht="15" hidden="false" customHeight="false" outlineLevel="0" collapsed="false">
      <c r="A585" s="5" t="n">
        <v>22</v>
      </c>
      <c r="B585" s="25" t="n">
        <f aca="false">IF(T584&gt;0,B584,D584)</f>
        <v>-0.0272781848907471</v>
      </c>
      <c r="C585" s="25" t="n">
        <f aca="false">IF(T584&gt;0,D584,C584)</f>
        <v>-0.0272774696350098</v>
      </c>
      <c r="D585" s="41" t="n">
        <f aca="false">(B585+C585)/2</f>
        <v>-0.0272778272628784</v>
      </c>
      <c r="E585" s="15" t="n">
        <f aca="false">$C$2*(1+IF(E$3&lt;=$O$2,$D585,$D585-($D585-$I$562)*MIN(E$3-$O$2,$Q$2)/$Q$2))</f>
        <v>2665.25875329971</v>
      </c>
      <c r="F585" s="15" t="n">
        <f aca="false">E585*(1+IF(F$3&lt;=$O$2,$D585,$D585-($D585-$I$562)*MIN(F$3-$O$2,$Q$2)/$Q$2))</f>
        <v>2592.55628541633</v>
      </c>
      <c r="G585" s="15" t="n">
        <f aca="false">F585*(1+IF(G$3&lt;=$O$2,$D585,$D585-($D585-$I$562)*MIN(G$3-$O$2,$Q$2)/$Q$2))</f>
        <v>2521.83698289345</v>
      </c>
      <c r="H585" s="15" t="n">
        <f aca="false">G585*(1+IF(H$3&lt;=$O$2,$D585,$D585-($D585-$I$562)*MIN(H$3-$O$2,$Q$2)/$Q$2))</f>
        <v>2453.04674928895</v>
      </c>
      <c r="I585" s="15" t="n">
        <f aca="false">H585*(1+IF(I$3&lt;=$O$2,$D585,$D585-($D585-$I$562)*MIN(I$3-$O$2,$Q$2)/$Q$2))</f>
        <v>2386.13296379408</v>
      </c>
      <c r="J585" s="15" t="n">
        <f aca="false">I585*(1+IF(J$3&lt;=$O$2,$D585,$D585-($D585-$I$562)*MIN(J$3-$O$2,$Q$2)/$Q$2))</f>
        <v>2352.33992404663</v>
      </c>
      <c r="K585" s="15" t="n">
        <f aca="false">J585*(1+IF(K$3&lt;=$O$2,$D585,$D585-($D585-$I$562)*MIN(K$3-$O$2,$Q$2)/$Q$2))</f>
        <v>2349.877738416</v>
      </c>
      <c r="L585" s="15" t="n">
        <f aca="false">K585*(1+IF(L$3&lt;=$O$2,$D585,$D585-($D585-$I$562)*MIN(L$3-$O$2,$Q$2)/$Q$2))</f>
        <v>2378.23810522984</v>
      </c>
      <c r="M585" s="15" t="n">
        <f aca="false">L585*(1+IF(M$3&lt;=$O$2,$D585,$D585-($D585-$I$562)*MIN(M$3-$O$2,$Q$2)/$Q$2))</f>
        <v>2438.13268712919</v>
      </c>
      <c r="N585" s="15" t="n">
        <f aca="false">M585*(1+IF(N$3&lt;=$O$2,$D585,$D585-($D585-$I$562)*MIN(N$3-$O$2,$Q$2)/$Q$2))</f>
        <v>2531.51316904624</v>
      </c>
      <c r="O585" s="15" t="n">
        <f aca="false">SUMPRODUCT(E585:N585,1/(1+$F$562)^$E$3:$N$3)*$E$2</f>
        <v>11249.5724343758</v>
      </c>
      <c r="P585" s="15" t="n">
        <f aca="false">N585*$E$2*(1+$I$562)/($F$562-$I$562)/(1+$F$562)^$N$3</f>
        <v>18500.3802041482</v>
      </c>
      <c r="Q585" s="15" t="n">
        <f aca="false">O585+P585</f>
        <v>29749.9526385239</v>
      </c>
      <c r="R585" s="15" t="n">
        <f aca="false">Q585-$G$2+$I$2</f>
        <v>30519.9526385239</v>
      </c>
      <c r="S585" s="42" t="n">
        <f aca="false">R585/$K$2</f>
        <v>292.252730427309</v>
      </c>
      <c r="T585" s="43" t="n">
        <f aca="false">S585-$M$2</f>
        <v>-0.000453523662770294</v>
      </c>
    </row>
    <row r="586" customFormat="false" ht="15" hidden="false" customHeight="false" outlineLevel="0" collapsed="false">
      <c r="A586" s="5" t="n">
        <v>23</v>
      </c>
      <c r="B586" s="25" t="n">
        <f aca="false">IF(T585&gt;0,B585,D585)</f>
        <v>-0.0272778272628784</v>
      </c>
      <c r="C586" s="25" t="n">
        <f aca="false">IF(T585&gt;0,D585,C585)</f>
        <v>-0.0272774696350098</v>
      </c>
      <c r="D586" s="41" t="n">
        <f aca="false">(B586+C586)/2</f>
        <v>-0.0272776484489441</v>
      </c>
      <c r="E586" s="15" t="n">
        <f aca="false">$C$2*(1+IF(E$3&lt;=$O$2,$D586,$D586-($D586-$I$562)*MIN(E$3-$O$2,$Q$2)/$Q$2))</f>
        <v>2665.25924324989</v>
      </c>
      <c r="F586" s="15" t="n">
        <f aca="false">E586*(1+IF(F$3&lt;=$O$2,$D586,$D586-($D586-$I$562)*MIN(F$3-$O$2,$Q$2)/$Q$2))</f>
        <v>2592.55723858722</v>
      </c>
      <c r="G586" s="15" t="n">
        <f aca="false">F586*(1+IF(G$3&lt;=$O$2,$D586,$D586-($D586-$I$562)*MIN(G$3-$O$2,$Q$2)/$Q$2))</f>
        <v>2521.83837364928</v>
      </c>
      <c r="H586" s="15" t="n">
        <f aca="false">G586*(1+IF(H$3&lt;=$O$2,$D586,$D586-($D586-$I$562)*MIN(H$3-$O$2,$Q$2)/$Q$2))</f>
        <v>2453.04855304781</v>
      </c>
      <c r="I586" s="15" t="n">
        <f aca="false">H586*(1+IF(I$3&lt;=$O$2,$D586,$D586-($D586-$I$562)*MIN(I$3-$O$2,$Q$2)/$Q$2))</f>
        <v>2386.13515698958</v>
      </c>
      <c r="J586" s="15" t="n">
        <f aca="false">I586*(1+IF(J$3&lt;=$O$2,$D586,$D586-($D586-$I$562)*MIN(J$3-$O$2,$Q$2)/$Q$2))</f>
        <v>2352.3424275209</v>
      </c>
      <c r="K586" s="15" t="n">
        <f aca="false">J586*(1+IF(K$3&lt;=$O$2,$D586,$D586-($D586-$I$562)*MIN(K$3-$O$2,$Q$2)/$Q$2))</f>
        <v>2349.88049164885</v>
      </c>
      <c r="L586" s="15" t="n">
        <f aca="false">K586*(1+IF(L$3&lt;=$O$2,$D586,$D586-($D586-$I$562)*MIN(L$3-$O$2,$Q$2)/$Q$2))</f>
        <v>2378.24105976765</v>
      </c>
      <c r="M586" s="15" t="n">
        <f aca="false">L586*(1+IF(M$3&lt;=$O$2,$D586,$D586-($D586-$I$562)*MIN(M$3-$O$2,$Q$2)/$Q$2))</f>
        <v>2438.13580112789</v>
      </c>
      <c r="N586" s="15" t="n">
        <f aca="false">M586*(1+IF(N$3&lt;=$O$2,$D586,$D586-($D586-$I$562)*MIN(N$3-$O$2,$Q$2)/$Q$2))</f>
        <v>2531.51640231109</v>
      </c>
      <c r="O586" s="15" t="n">
        <f aca="false">SUMPRODUCT(E586:N586,1/(1+$F$562)^$E$3:$N$3)*$E$2</f>
        <v>11249.5812114436</v>
      </c>
      <c r="P586" s="15" t="n">
        <f aca="false">N586*$E$2*(1+$I$562)/($F$562-$I$562)/(1+$F$562)^$N$3</f>
        <v>18500.4038329524</v>
      </c>
      <c r="Q586" s="15" t="n">
        <f aca="false">O586+P586</f>
        <v>29749.985044396</v>
      </c>
      <c r="R586" s="15" t="n">
        <f aca="false">Q586-$G$2+$I$2</f>
        <v>30519.985044396</v>
      </c>
      <c r="S586" s="42" t="n">
        <f aca="false">R586/$K$2</f>
        <v>292.253040739213</v>
      </c>
      <c r="T586" s="43" t="n">
        <f aca="false">S586-$M$2</f>
        <v>-0.000143211759279893</v>
      </c>
    </row>
    <row r="587" customFormat="false" ht="15" hidden="false" customHeight="false" outlineLevel="0" collapsed="false">
      <c r="A587" s="5" t="n">
        <v>24</v>
      </c>
      <c r="B587" s="25" t="n">
        <f aca="false">IF(T586&gt;0,B586,D586)</f>
        <v>-0.0272776484489441</v>
      </c>
      <c r="C587" s="25" t="n">
        <f aca="false">IF(T586&gt;0,D586,C586)</f>
        <v>-0.0272774696350098</v>
      </c>
      <c r="D587" s="41" t="n">
        <f aca="false">(B587+C587)/2</f>
        <v>-0.0272775590419769</v>
      </c>
      <c r="E587" s="15" t="n">
        <f aca="false">$C$2*(1+IF(E$3&lt;=$O$2,$D587,$D587-($D587-$I$562)*MIN(E$3-$O$2,$Q$2)/$Q$2))</f>
        <v>2665.25948822498</v>
      </c>
      <c r="F587" s="15" t="n">
        <f aca="false">E587*(1+IF(F$3&lt;=$O$2,$D587,$D587-($D587-$I$562)*MIN(F$3-$O$2,$Q$2)/$Q$2))</f>
        <v>2592.55771517274</v>
      </c>
      <c r="G587" s="15" t="n">
        <f aca="false">F587*(1+IF(G$3&lt;=$O$2,$D587,$D587-($D587-$I$562)*MIN(G$3-$O$2,$Q$2)/$Q$2))</f>
        <v>2521.83906902738</v>
      </c>
      <c r="H587" s="15" t="n">
        <f aca="false">G587*(1+IF(H$3&lt;=$O$2,$D587,$D587-($D587-$I$562)*MIN(H$3-$O$2,$Q$2)/$Q$2))</f>
        <v>2453.04945492762</v>
      </c>
      <c r="I587" s="15" t="n">
        <f aca="false">H587*(1+IF(I$3&lt;=$O$2,$D587,$D587-($D587-$I$562)*MIN(I$3-$O$2,$Q$2)/$Q$2))</f>
        <v>2386.13625358794</v>
      </c>
      <c r="J587" s="15" t="n">
        <f aca="false">I587*(1+IF(J$3&lt;=$O$2,$D587,$D587-($D587-$I$562)*MIN(J$3-$O$2,$Q$2)/$Q$2))</f>
        <v>2352.34367925887</v>
      </c>
      <c r="K587" s="15" t="n">
        <f aca="false">J587*(1+IF(K$3&lt;=$O$2,$D587,$D587-($D587-$I$562)*MIN(K$3-$O$2,$Q$2)/$Q$2))</f>
        <v>2349.88186826631</v>
      </c>
      <c r="L587" s="15" t="n">
        <f aca="false">K587*(1+IF(L$3&lt;=$O$2,$D587,$D587-($D587-$I$562)*MIN(L$3-$O$2,$Q$2)/$Q$2))</f>
        <v>2378.24253703775</v>
      </c>
      <c r="M587" s="15" t="n">
        <f aca="false">L587*(1+IF(M$3&lt;=$O$2,$D587,$D587-($D587-$I$562)*MIN(M$3-$O$2,$Q$2)/$Q$2))</f>
        <v>2438.13735812855</v>
      </c>
      <c r="N587" s="15" t="n">
        <f aca="false">M587*(1+IF(N$3&lt;=$O$2,$D587,$D587-($D587-$I$562)*MIN(N$3-$O$2,$Q$2)/$Q$2))</f>
        <v>2531.51801894487</v>
      </c>
      <c r="O587" s="15" t="n">
        <f aca="false">SUMPRODUCT(E587:N587,1/(1+$F$562)^$E$3:$N$3)*$E$2</f>
        <v>11249.5855999802</v>
      </c>
      <c r="P587" s="15" t="n">
        <f aca="false">N587*$E$2*(1+$I$562)/($F$562-$I$562)/(1+$F$562)^$N$3</f>
        <v>18500.4156473644</v>
      </c>
      <c r="Q587" s="15" t="n">
        <f aca="false">O587+P587</f>
        <v>29750.0012473446</v>
      </c>
      <c r="R587" s="15" t="n">
        <f aca="false">Q587-$G$2+$I$2</f>
        <v>30520.0012473446</v>
      </c>
      <c r="S587" s="42" t="n">
        <f aca="false">R587/$K$2</f>
        <v>292.253195895285</v>
      </c>
      <c r="T587" s="43" t="n">
        <f aca="false">S587-$M$2</f>
        <v>1.19443125186081E-005</v>
      </c>
    </row>
    <row r="589" customFormat="false" ht="15" hidden="false" customHeight="false" outlineLevel="0" collapsed="false">
      <c r="A589" s="38" t="s">
        <v>199</v>
      </c>
      <c r="E589" s="5" t="s">
        <v>11</v>
      </c>
      <c r="F589" s="12" t="n">
        <f aca="false">Sensitivity!$B$14</f>
        <v>0.0872772551778937</v>
      </c>
      <c r="G589" s="5" t="s">
        <v>12</v>
      </c>
      <c r="I589" s="12" t="n">
        <f aca="false">Sensitivity!$C$9</f>
        <v>0.0183</v>
      </c>
    </row>
    <row r="590" customFormat="false" ht="23.85" hidden="false" customHeight="false" outlineLevel="0" collapsed="false">
      <c r="A590" s="38" t="s">
        <v>159</v>
      </c>
      <c r="B590" s="28" t="s">
        <v>160</v>
      </c>
      <c r="C590" s="28" t="s">
        <v>161</v>
      </c>
      <c r="D590" s="28" t="s">
        <v>162</v>
      </c>
      <c r="E590" s="28" t="s">
        <v>163</v>
      </c>
      <c r="F590" s="28" t="s">
        <v>164</v>
      </c>
      <c r="G590" s="28" t="s">
        <v>165</v>
      </c>
      <c r="H590" s="28" t="s">
        <v>166</v>
      </c>
      <c r="I590" s="28" t="s">
        <v>167</v>
      </c>
      <c r="J590" s="28" t="s">
        <v>168</v>
      </c>
      <c r="K590" s="28" t="s">
        <v>169</v>
      </c>
      <c r="L590" s="28" t="s">
        <v>170</v>
      </c>
      <c r="M590" s="28" t="s">
        <v>171</v>
      </c>
      <c r="N590" s="28" t="s">
        <v>172</v>
      </c>
      <c r="O590" s="28" t="s">
        <v>173</v>
      </c>
      <c r="P590" s="28" t="s">
        <v>174</v>
      </c>
      <c r="Q590" s="28" t="s">
        <v>175</v>
      </c>
      <c r="R590" s="28" t="s">
        <v>176</v>
      </c>
      <c r="S590" s="28" t="s">
        <v>177</v>
      </c>
      <c r="T590" s="28" t="s">
        <v>178</v>
      </c>
    </row>
    <row r="591" customFormat="false" ht="15" hidden="false" customHeight="false" outlineLevel="0" collapsed="false">
      <c r="A591" s="5" t="n">
        <v>1</v>
      </c>
      <c r="B591" s="24" t="n">
        <v>-0.5</v>
      </c>
      <c r="C591" s="24" t="n">
        <v>1</v>
      </c>
      <c r="D591" s="41" t="n">
        <f aca="false">(B591+C591)/2</f>
        <v>0.25</v>
      </c>
      <c r="E591" s="15" t="n">
        <f aca="false">$C$2*(1+IF(E$3&lt;=$O$2,$D591,$D591-($D591-$I$589)*MIN(E$3-$O$2,$Q$2)/$Q$2))</f>
        <v>3425</v>
      </c>
      <c r="F591" s="15" t="n">
        <f aca="false">E591*(1+IF(F$3&lt;=$O$2,$D591,$D591-($D591-$I$589)*MIN(F$3-$O$2,$Q$2)/$Q$2))</f>
        <v>4281.25</v>
      </c>
      <c r="G591" s="15" t="n">
        <f aca="false">F591*(1+IF(G$3&lt;=$O$2,$D591,$D591-($D591-$I$589)*MIN(G$3-$O$2,$Q$2)/$Q$2))</f>
        <v>5351.5625</v>
      </c>
      <c r="H591" s="15" t="n">
        <f aca="false">G591*(1+IF(H$3&lt;=$O$2,$D591,$D591-($D591-$I$589)*MIN(H$3-$O$2,$Q$2)/$Q$2))</f>
        <v>6689.453125</v>
      </c>
      <c r="I591" s="15" t="n">
        <f aca="false">H591*(1+IF(I$3&lt;=$O$2,$D591,$D591-($D591-$I$589)*MIN(I$3-$O$2,$Q$2)/$Q$2))</f>
        <v>8361.81640625</v>
      </c>
      <c r="J591" s="15" t="n">
        <f aca="false">I591*(1+IF(J$3&lt;=$O$2,$D591,$D591-($D591-$I$589)*MIN(J$3-$O$2,$Q$2)/$Q$2))</f>
        <v>10064.7839355469</v>
      </c>
      <c r="K591" s="15" t="n">
        <f aca="false">J591*(1+IF(K$3&lt;=$O$2,$D591,$D591-($D591-$I$589)*MIN(K$3-$O$2,$Q$2)/$Q$2))</f>
        <v>11648.1757442871</v>
      </c>
      <c r="L591" s="15" t="n">
        <f aca="false">K591*(1+IF(L$3&lt;=$O$2,$D591,$D591-($D591-$I$589)*MIN(L$3-$O$2,$Q$2)/$Q$2))</f>
        <v>12940.8902883881</v>
      </c>
      <c r="M591" s="15" t="n">
        <f aca="false">L591*(1+IF(M$3&lt;=$O$2,$D591,$D591-($D591-$I$589)*MIN(M$3-$O$2,$Q$2)/$Q$2))</f>
        <v>13777.3894366295</v>
      </c>
      <c r="N591" s="15" t="n">
        <f aca="false">M591*(1+IF(N$3&lt;=$O$2,$D591,$D591-($D591-$I$589)*MIN(N$3-$O$2,$Q$2)/$Q$2))</f>
        <v>14029.5156633198</v>
      </c>
      <c r="O591" s="15" t="n">
        <f aca="false">SUMPRODUCT(E591:N591,1/(1+$F$589)^$E$3:$N$3)*$E$2</f>
        <v>36165.5956971802</v>
      </c>
      <c r="P591" s="15" t="n">
        <f aca="false">N591*$E$2*(1+$I$589)/($F$589-$I$589)/(1+$F$589)^$N$3</f>
        <v>61221.015110888</v>
      </c>
      <c r="Q591" s="15" t="n">
        <f aca="false">O591+P591</f>
        <v>97386.6108080682</v>
      </c>
      <c r="R591" s="15" t="n">
        <f aca="false">Q591-$G$2+$I$2</f>
        <v>98156.6108080682</v>
      </c>
      <c r="S591" s="42" t="n">
        <f aca="false">R591/$K$2</f>
        <v>939.927327473602</v>
      </c>
      <c r="T591" s="43" t="n">
        <f aca="false">S591-$M$2</f>
        <v>647.67414352263</v>
      </c>
    </row>
    <row r="592" customFormat="false" ht="15" hidden="false" customHeight="false" outlineLevel="0" collapsed="false">
      <c r="A592" s="5" t="n">
        <v>2</v>
      </c>
      <c r="B592" s="25" t="n">
        <f aca="false">IF(T591&gt;0,B591,D591)</f>
        <v>-0.5</v>
      </c>
      <c r="C592" s="25" t="n">
        <f aca="false">IF(T591&gt;0,D591,C591)</f>
        <v>0.25</v>
      </c>
      <c r="D592" s="41" t="n">
        <f aca="false">(B592+C592)/2</f>
        <v>-0.125</v>
      </c>
      <c r="E592" s="15" t="n">
        <f aca="false">$C$2*(1+IF(E$3&lt;=$O$2,$D592,$D592-($D592-$I$589)*MIN(E$3-$O$2,$Q$2)/$Q$2))</f>
        <v>2397.5</v>
      </c>
      <c r="F592" s="15" t="n">
        <f aca="false">E592*(1+IF(F$3&lt;=$O$2,$D592,$D592-($D592-$I$589)*MIN(F$3-$O$2,$Q$2)/$Q$2))</f>
        <v>2097.8125</v>
      </c>
      <c r="G592" s="15" t="n">
        <f aca="false">F592*(1+IF(G$3&lt;=$O$2,$D592,$D592-($D592-$I$589)*MIN(G$3-$O$2,$Q$2)/$Q$2))</f>
        <v>1835.5859375</v>
      </c>
      <c r="H592" s="15" t="n">
        <f aca="false">G592*(1+IF(H$3&lt;=$O$2,$D592,$D592-($D592-$I$589)*MIN(H$3-$O$2,$Q$2)/$Q$2))</f>
        <v>1606.1376953125</v>
      </c>
      <c r="I592" s="15" t="n">
        <f aca="false">H592*(1+IF(I$3&lt;=$O$2,$D592,$D592-($D592-$I$589)*MIN(I$3-$O$2,$Q$2)/$Q$2))</f>
        <v>1405.37048339844</v>
      </c>
      <c r="J592" s="15" t="n">
        <f aca="false">I592*(1+IF(J$3&lt;=$O$2,$D592,$D592-($D592-$I$589)*MIN(J$3-$O$2,$Q$2)/$Q$2))</f>
        <v>1269.97709102783</v>
      </c>
      <c r="K592" s="15" t="n">
        <f aca="false">J592*(1+IF(K$3&lt;=$O$2,$D592,$D592-($D592-$I$589)*MIN(K$3-$O$2,$Q$2)/$Q$2))</f>
        <v>1184.02504150707</v>
      </c>
      <c r="L592" s="15" t="n">
        <f aca="false">K592*(1+IF(L$3&lt;=$O$2,$D592,$D592-($D592-$I$589)*MIN(L$3-$O$2,$Q$2)/$Q$2))</f>
        <v>1137.82438438746</v>
      </c>
      <c r="M592" s="15" t="n">
        <f aca="false">L592*(1+IF(M$3&lt;=$O$2,$D592,$D592-($D592-$I$589)*MIN(M$3-$O$2,$Q$2)/$Q$2))</f>
        <v>1126.03652376521</v>
      </c>
      <c r="N592" s="15" t="n">
        <f aca="false">M592*(1+IF(N$3&lt;=$O$2,$D592,$D592-($D592-$I$589)*MIN(N$3-$O$2,$Q$2)/$Q$2))</f>
        <v>1146.64299215011</v>
      </c>
      <c r="O592" s="15" t="n">
        <f aca="false">SUMPRODUCT(E592:N592,1/(1+$F$589)^$E$3:$N$3)*$E$2</f>
        <v>7179.11211670273</v>
      </c>
      <c r="P592" s="15" t="n">
        <f aca="false">N592*$E$2*(1+$I$589)/($F$589-$I$589)/(1+$F$589)^$N$3</f>
        <v>5003.6401564988</v>
      </c>
      <c r="Q592" s="15" t="n">
        <f aca="false">O592+P592</f>
        <v>12182.7522732015</v>
      </c>
      <c r="R592" s="15" t="n">
        <f aca="false">Q592-$G$2+$I$2</f>
        <v>12952.7522732015</v>
      </c>
      <c r="S592" s="42" t="n">
        <f aca="false">R592/$K$2</f>
        <v>124.032866735627</v>
      </c>
      <c r="T592" s="43" t="n">
        <f aca="false">S592-$M$2</f>
        <v>-168.220317215345</v>
      </c>
    </row>
    <row r="593" customFormat="false" ht="15" hidden="false" customHeight="false" outlineLevel="0" collapsed="false">
      <c r="A593" s="5" t="n">
        <v>3</v>
      </c>
      <c r="B593" s="25" t="n">
        <f aca="false">IF(T592&gt;0,B592,D592)</f>
        <v>-0.125</v>
      </c>
      <c r="C593" s="25" t="n">
        <f aca="false">IF(T592&gt;0,D592,C592)</f>
        <v>0.25</v>
      </c>
      <c r="D593" s="41" t="n">
        <f aca="false">(B593+C593)/2</f>
        <v>0.0625</v>
      </c>
      <c r="E593" s="15" t="n">
        <f aca="false">$C$2*(1+IF(E$3&lt;=$O$2,$D593,$D593-($D593-$I$589)*MIN(E$3-$O$2,$Q$2)/$Q$2))</f>
        <v>2911.25</v>
      </c>
      <c r="F593" s="15" t="n">
        <f aca="false">E593*(1+IF(F$3&lt;=$O$2,$D593,$D593-($D593-$I$589)*MIN(F$3-$O$2,$Q$2)/$Q$2))</f>
        <v>3093.203125</v>
      </c>
      <c r="G593" s="15" t="n">
        <f aca="false">F593*(1+IF(G$3&lt;=$O$2,$D593,$D593-($D593-$I$589)*MIN(G$3-$O$2,$Q$2)/$Q$2))</f>
        <v>3286.5283203125</v>
      </c>
      <c r="H593" s="15" t="n">
        <f aca="false">G593*(1+IF(H$3&lt;=$O$2,$D593,$D593-($D593-$I$589)*MIN(H$3-$O$2,$Q$2)/$Q$2))</f>
        <v>3491.93634033203</v>
      </c>
      <c r="I593" s="15" t="n">
        <f aca="false">H593*(1+IF(I$3&lt;=$O$2,$D593,$D593-($D593-$I$589)*MIN(I$3-$O$2,$Q$2)/$Q$2))</f>
        <v>3710.18236160278</v>
      </c>
      <c r="J593" s="15" t="n">
        <f aca="false">I593*(1+IF(J$3&lt;=$O$2,$D593,$D593-($D593-$I$589)*MIN(J$3-$O$2,$Q$2)/$Q$2))</f>
        <v>3909.27074712639</v>
      </c>
      <c r="K593" s="15" t="n">
        <f aca="false">J593*(1+IF(K$3&lt;=$O$2,$D593,$D593-($D593-$I$589)*MIN(K$3-$O$2,$Q$2)/$Q$2))</f>
        <v>4084.48426201259</v>
      </c>
      <c r="L593" s="15" t="n">
        <f aca="false">K593*(1+IF(L$3&lt;=$O$2,$D593,$D593-($D593-$I$589)*MIN(L$3-$O$2,$Q$2)/$Q$2))</f>
        <v>4231.44400575981</v>
      </c>
      <c r="M593" s="15" t="n">
        <f aca="false">L593*(1+IF(M$3&lt;=$O$2,$D593,$D593-($D593-$I$589)*MIN(M$3-$O$2,$Q$2)/$Q$2))</f>
        <v>4346.28539607613</v>
      </c>
      <c r="N593" s="15" t="n">
        <f aca="false">M593*(1+IF(N$3&lt;=$O$2,$D593,$D593-($D593-$I$589)*MIN(N$3-$O$2,$Q$2)/$Q$2))</f>
        <v>4425.82241882432</v>
      </c>
      <c r="O593" s="15" t="n">
        <f aca="false">SUMPRODUCT(E593:N593,1/(1+$F$589)^$E$3:$N$3)*$E$2</f>
        <v>16080.3001943072</v>
      </c>
      <c r="P593" s="15" t="n">
        <f aca="false">N593*$E$2*(1+$I$589)/($F$589-$I$589)/(1+$F$589)^$N$3</f>
        <v>19313.0930306709</v>
      </c>
      <c r="Q593" s="15" t="n">
        <f aca="false">O593+P593</f>
        <v>35393.3932249781</v>
      </c>
      <c r="R593" s="15" t="n">
        <f aca="false">Q593-$G$2+$I$2</f>
        <v>36163.3932249781</v>
      </c>
      <c r="S593" s="42" t="n">
        <f aca="false">R593/$K$2</f>
        <v>346.293145886988</v>
      </c>
      <c r="T593" s="43" t="n">
        <f aca="false">S593-$M$2</f>
        <v>54.0399619360157</v>
      </c>
    </row>
    <row r="594" customFormat="false" ht="15" hidden="false" customHeight="false" outlineLevel="0" collapsed="false">
      <c r="A594" s="5" t="n">
        <v>4</v>
      </c>
      <c r="B594" s="25" t="n">
        <f aca="false">IF(T593&gt;0,B593,D593)</f>
        <v>-0.125</v>
      </c>
      <c r="C594" s="25" t="n">
        <f aca="false">IF(T593&gt;0,D593,C593)</f>
        <v>0.0625</v>
      </c>
      <c r="D594" s="41" t="n">
        <f aca="false">(B594+C594)/2</f>
        <v>-0.03125</v>
      </c>
      <c r="E594" s="15" t="n">
        <f aca="false">$C$2*(1+IF(E$3&lt;=$O$2,$D594,$D594-($D594-$I$589)*MIN(E$3-$O$2,$Q$2)/$Q$2))</f>
        <v>2654.375</v>
      </c>
      <c r="F594" s="15" t="n">
        <f aca="false">E594*(1+IF(F$3&lt;=$O$2,$D594,$D594-($D594-$I$589)*MIN(F$3-$O$2,$Q$2)/$Q$2))</f>
        <v>2571.42578125</v>
      </c>
      <c r="G594" s="15" t="n">
        <f aca="false">F594*(1+IF(G$3&lt;=$O$2,$D594,$D594-($D594-$I$589)*MIN(G$3-$O$2,$Q$2)/$Q$2))</f>
        <v>2491.06872558594</v>
      </c>
      <c r="H594" s="15" t="n">
        <f aca="false">G594*(1+IF(H$3&lt;=$O$2,$D594,$D594-($D594-$I$589)*MIN(H$3-$O$2,$Q$2)/$Q$2))</f>
        <v>2413.22282791138</v>
      </c>
      <c r="I594" s="15" t="n">
        <f aca="false">H594*(1+IF(I$3&lt;=$O$2,$D594,$D594-($D594-$I$589)*MIN(I$3-$O$2,$Q$2)/$Q$2))</f>
        <v>2337.80961453915</v>
      </c>
      <c r="J594" s="15" t="n">
        <f aca="false">I594*(1+IF(J$3&lt;=$O$2,$D594,$D594-($D594-$I$589)*MIN(J$3-$O$2,$Q$2)/$Q$2))</f>
        <v>2287.92075736488</v>
      </c>
      <c r="K594" s="15" t="n">
        <f aca="false">J594*(1+IF(K$3&lt;=$O$2,$D594,$D594-($D594-$I$589)*MIN(K$3-$O$2,$Q$2)/$Q$2))</f>
        <v>2261.7698231082</v>
      </c>
      <c r="L594" s="15" t="n">
        <f aca="false">K594*(1+IF(L$3&lt;=$O$2,$D594,$D594-($D594-$I$589)*MIN(L$3-$O$2,$Q$2)/$Q$2))</f>
        <v>2258.33193297708</v>
      </c>
      <c r="M594" s="15" t="n">
        <f aca="false">L594*(1+IF(M$3&lt;=$O$2,$D594,$D594-($D594-$I$589)*MIN(M$3-$O$2,$Q$2)/$Q$2))</f>
        <v>2277.27933789475</v>
      </c>
      <c r="N594" s="15" t="n">
        <f aca="false">M594*(1+IF(N$3&lt;=$O$2,$D594,$D594-($D594-$I$589)*MIN(N$3-$O$2,$Q$2)/$Q$2))</f>
        <v>2318.95354977823</v>
      </c>
      <c r="O594" s="15" t="n">
        <f aca="false">SUMPRODUCT(E594:N594,1/(1+$F$589)^$E$3:$N$3)*$E$2</f>
        <v>10712.8007005329</v>
      </c>
      <c r="P594" s="15" t="n">
        <f aca="false">N594*$E$2*(1+$I$589)/($F$589-$I$589)/(1+$F$589)^$N$3</f>
        <v>10119.2866325099</v>
      </c>
      <c r="Q594" s="15" t="n">
        <f aca="false">O594+P594</f>
        <v>20832.0873330428</v>
      </c>
      <c r="R594" s="15" t="n">
        <f aca="false">Q594-$G$2+$I$2</f>
        <v>21602.0873330428</v>
      </c>
      <c r="S594" s="42" t="n">
        <f aca="false">R594/$K$2</f>
        <v>206.857103639211</v>
      </c>
      <c r="T594" s="43" t="n">
        <f aca="false">S594-$M$2</f>
        <v>-85.3960803117612</v>
      </c>
    </row>
    <row r="595" customFormat="false" ht="15" hidden="false" customHeight="false" outlineLevel="0" collapsed="false">
      <c r="A595" s="5" t="n">
        <v>5</v>
      </c>
      <c r="B595" s="25" t="n">
        <f aca="false">IF(T594&gt;0,B594,D594)</f>
        <v>-0.03125</v>
      </c>
      <c r="C595" s="25" t="n">
        <f aca="false">IF(T594&gt;0,D594,C594)</f>
        <v>0.0625</v>
      </c>
      <c r="D595" s="41" t="n">
        <f aca="false">(B595+C595)/2</f>
        <v>0.015625</v>
      </c>
      <c r="E595" s="15" t="n">
        <f aca="false">$C$2*(1+IF(E$3&lt;=$O$2,$D595,$D595-($D595-$I$589)*MIN(E$3-$O$2,$Q$2)/$Q$2))</f>
        <v>2782.8125</v>
      </c>
      <c r="F595" s="15" t="n">
        <f aca="false">E595*(1+IF(F$3&lt;=$O$2,$D595,$D595-($D595-$I$589)*MIN(F$3-$O$2,$Q$2)/$Q$2))</f>
        <v>2826.2939453125</v>
      </c>
      <c r="G595" s="15" t="n">
        <f aca="false">F595*(1+IF(G$3&lt;=$O$2,$D595,$D595-($D595-$I$589)*MIN(G$3-$O$2,$Q$2)/$Q$2))</f>
        <v>2870.45478820801</v>
      </c>
      <c r="H595" s="15" t="n">
        <f aca="false">G595*(1+IF(H$3&lt;=$O$2,$D595,$D595-($D595-$I$589)*MIN(H$3-$O$2,$Q$2)/$Q$2))</f>
        <v>2915.30564427376</v>
      </c>
      <c r="I595" s="15" t="n">
        <f aca="false">H595*(1+IF(I$3&lt;=$O$2,$D595,$D595-($D595-$I$589)*MIN(I$3-$O$2,$Q$2)/$Q$2))</f>
        <v>2960.85729496554</v>
      </c>
      <c r="J595" s="15" t="n">
        <f aca="false">I595*(1+IF(J$3&lt;=$O$2,$D595,$D595-($D595-$I$589)*MIN(J$3-$O$2,$Q$2)/$Q$2))</f>
        <v>3008.70474885218</v>
      </c>
      <c r="K595" s="15" t="n">
        <f aca="false">J595*(1+IF(K$3&lt;=$O$2,$D595,$D595-($D595-$I$589)*MIN(K$3-$O$2,$Q$2)/$Q$2))</f>
        <v>3058.93507463427</v>
      </c>
      <c r="L595" s="15" t="n">
        <f aca="false">K595*(1+IF(L$3&lt;=$O$2,$D595,$D595-($D595-$I$589)*MIN(L$3-$O$2,$Q$2)/$Q$2))</f>
        <v>3111.64052597021</v>
      </c>
      <c r="M595" s="15" t="n">
        <f aca="false">L595*(1+IF(M$3&lt;=$O$2,$D595,$D595-($D595-$I$589)*MIN(M$3-$O$2,$Q$2)/$Q$2))</f>
        <v>3166.91881991407</v>
      </c>
      <c r="N595" s="15" t="n">
        <f aca="false">M595*(1+IF(N$3&lt;=$O$2,$D595,$D595-($D595-$I$589)*MIN(N$3-$O$2,$Q$2)/$Q$2))</f>
        <v>3224.8734343185</v>
      </c>
      <c r="O595" s="15" t="n">
        <f aca="false">SUMPRODUCT(E595:N595,1/(1+$F$589)^$E$3:$N$3)*$E$2</f>
        <v>13119.5320450566</v>
      </c>
      <c r="P595" s="15" t="n">
        <f aca="false">N595*$E$2*(1+$I$589)/($F$589-$I$589)/(1+$F$589)^$N$3</f>
        <v>14072.4761988253</v>
      </c>
      <c r="Q595" s="15" t="n">
        <f aca="false">O595+P595</f>
        <v>27192.0082438818</v>
      </c>
      <c r="R595" s="15" t="n">
        <f aca="false">Q595-$G$2+$I$2</f>
        <v>27962.0082438818</v>
      </c>
      <c r="S595" s="42" t="n">
        <f aca="false">R595/$K$2</f>
        <v>267.758385941605</v>
      </c>
      <c r="T595" s="43" t="n">
        <f aca="false">S595-$M$2</f>
        <v>-24.494798009367</v>
      </c>
    </row>
    <row r="596" customFormat="false" ht="15" hidden="false" customHeight="false" outlineLevel="0" collapsed="false">
      <c r="A596" s="5" t="n">
        <v>6</v>
      </c>
      <c r="B596" s="25" t="n">
        <f aca="false">IF(T595&gt;0,B595,D595)</f>
        <v>0.015625</v>
      </c>
      <c r="C596" s="25" t="n">
        <f aca="false">IF(T595&gt;0,D595,C595)</f>
        <v>0.0625</v>
      </c>
      <c r="D596" s="41" t="n">
        <f aca="false">(B596+C596)/2</f>
        <v>0.0390625</v>
      </c>
      <c r="E596" s="15" t="n">
        <f aca="false">$C$2*(1+IF(E$3&lt;=$O$2,$D596,$D596-($D596-$I$589)*MIN(E$3-$O$2,$Q$2)/$Q$2))</f>
        <v>2847.03125</v>
      </c>
      <c r="F596" s="15" t="n">
        <f aca="false">E596*(1+IF(F$3&lt;=$O$2,$D596,$D596-($D596-$I$589)*MIN(F$3-$O$2,$Q$2)/$Q$2))</f>
        <v>2958.24340820313</v>
      </c>
      <c r="G596" s="15" t="n">
        <f aca="false">F596*(1+IF(G$3&lt;=$O$2,$D596,$D596-($D596-$I$589)*MIN(G$3-$O$2,$Q$2)/$Q$2))</f>
        <v>3073.79979133606</v>
      </c>
      <c r="H596" s="15" t="n">
        <f aca="false">G596*(1+IF(H$3&lt;=$O$2,$D596,$D596-($D596-$I$589)*MIN(H$3-$O$2,$Q$2)/$Q$2))</f>
        <v>3193.87009568512</v>
      </c>
      <c r="I596" s="15" t="n">
        <f aca="false">H596*(1+IF(I$3&lt;=$O$2,$D596,$D596-($D596-$I$589)*MIN(I$3-$O$2,$Q$2)/$Q$2))</f>
        <v>3318.63064629782</v>
      </c>
      <c r="J596" s="15" t="n">
        <f aca="false">I596*(1+IF(J$3&lt;=$O$2,$D596,$D596-($D596-$I$589)*MIN(J$3-$O$2,$Q$2)/$Q$2))</f>
        <v>3434.48404216008</v>
      </c>
      <c r="K596" s="15" t="n">
        <f aca="false">J596*(1+IF(K$3&lt;=$O$2,$D596,$D596-($D596-$I$589)*MIN(K$3-$O$2,$Q$2)/$Q$2))</f>
        <v>3540.12018508682</v>
      </c>
      <c r="L596" s="15" t="n">
        <f aca="false">K596*(1+IF(L$3&lt;=$O$2,$D596,$D596-($D596-$I$589)*MIN(L$3-$O$2,$Q$2)/$Q$2))</f>
        <v>3634.30508261106</v>
      </c>
      <c r="M596" s="15" t="n">
        <f aca="false">L596*(1+IF(M$3&lt;=$O$2,$D596,$D596-($D596-$I$589)*MIN(M$3-$O$2,$Q$2)/$Q$2))</f>
        <v>3715.90431747838</v>
      </c>
      <c r="N596" s="15" t="n">
        <f aca="false">M596*(1+IF(N$3&lt;=$O$2,$D596,$D596-($D596-$I$589)*MIN(N$3-$O$2,$Q$2)/$Q$2))</f>
        <v>3783.90536648823</v>
      </c>
      <c r="O596" s="15" t="n">
        <f aca="false">SUMPRODUCT(E596:N596,1/(1+$F$589)^$E$3:$N$3)*$E$2</f>
        <v>14523.7424052807</v>
      </c>
      <c r="P596" s="15" t="n">
        <f aca="false">N596*$E$2*(1+$I$589)/($F$589-$I$589)/(1+$F$589)^$N$3</f>
        <v>16511.9404817094</v>
      </c>
      <c r="Q596" s="15" t="n">
        <f aca="false">O596+P596</f>
        <v>31035.6828869901</v>
      </c>
      <c r="R596" s="15" t="n">
        <f aca="false">Q596-$G$2+$I$2</f>
        <v>31805.6828869901</v>
      </c>
      <c r="S596" s="42" t="n">
        <f aca="false">R596/$K$2</f>
        <v>304.564616364934</v>
      </c>
      <c r="T596" s="43" t="n">
        <f aca="false">S596-$M$2</f>
        <v>12.3114324139621</v>
      </c>
    </row>
    <row r="597" customFormat="false" ht="15" hidden="false" customHeight="false" outlineLevel="0" collapsed="false">
      <c r="A597" s="5" t="n">
        <v>7</v>
      </c>
      <c r="B597" s="25" t="n">
        <f aca="false">IF(T596&gt;0,B596,D596)</f>
        <v>0.015625</v>
      </c>
      <c r="C597" s="25" t="n">
        <f aca="false">IF(T596&gt;0,D596,C596)</f>
        <v>0.0390625</v>
      </c>
      <c r="D597" s="41" t="n">
        <f aca="false">(B597+C597)/2</f>
        <v>0.02734375</v>
      </c>
      <c r="E597" s="15" t="n">
        <f aca="false">$C$2*(1+IF(E$3&lt;=$O$2,$D597,$D597-($D597-$I$589)*MIN(E$3-$O$2,$Q$2)/$Q$2))</f>
        <v>2814.921875</v>
      </c>
      <c r="F597" s="15" t="n">
        <f aca="false">E597*(1+IF(F$3&lt;=$O$2,$D597,$D597-($D597-$I$589)*MIN(F$3-$O$2,$Q$2)/$Q$2))</f>
        <v>2891.89239501953</v>
      </c>
      <c r="G597" s="15" t="n">
        <f aca="false">F597*(1+IF(G$3&lt;=$O$2,$D597,$D597-($D597-$I$589)*MIN(G$3-$O$2,$Q$2)/$Q$2))</f>
        <v>2970.96757769585</v>
      </c>
      <c r="H597" s="15" t="n">
        <f aca="false">G597*(1+IF(H$3&lt;=$O$2,$D597,$D597-($D597-$I$589)*MIN(H$3-$O$2,$Q$2)/$Q$2))</f>
        <v>3052.20497239847</v>
      </c>
      <c r="I597" s="15" t="n">
        <f aca="false">H597*(1+IF(I$3&lt;=$O$2,$D597,$D597-($D597-$I$589)*MIN(I$3-$O$2,$Q$2)/$Q$2))</f>
        <v>3135.66370211249</v>
      </c>
      <c r="J597" s="15" t="n">
        <f aca="false">I597*(1+IF(J$3&lt;=$O$2,$D597,$D597-($D597-$I$589)*MIN(J$3-$O$2,$Q$2)/$Q$2))</f>
        <v>3215.73287474593</v>
      </c>
      <c r="K597" s="15" t="n">
        <f aca="false">J597*(1+IF(K$3&lt;=$O$2,$D597,$D597-($D597-$I$589)*MIN(K$3-$O$2,$Q$2)/$Q$2))</f>
        <v>3292.03015686537</v>
      </c>
      <c r="L597" s="15" t="n">
        <f aca="false">K597*(1+IF(L$3&lt;=$O$2,$D597,$D597-($D597-$I$589)*MIN(L$3-$O$2,$Q$2)/$Q$2))</f>
        <v>3364.18322782847</v>
      </c>
      <c r="M597" s="15" t="n">
        <f aca="false">L597*(1+IF(M$3&lt;=$O$2,$D597,$D597-($D597-$I$589)*MIN(M$3-$O$2,$Q$2)/$Q$2))</f>
        <v>3431.83274731106</v>
      </c>
      <c r="N597" s="15" t="n">
        <f aca="false">M597*(1+IF(N$3&lt;=$O$2,$D597,$D597-($D597-$I$589)*MIN(N$3-$O$2,$Q$2)/$Q$2))</f>
        <v>3494.63528658686</v>
      </c>
      <c r="O597" s="15" t="n">
        <f aca="false">SUMPRODUCT(E597:N597,1/(1+$F$589)^$E$3:$N$3)*$E$2</f>
        <v>13803.5048637023</v>
      </c>
      <c r="P597" s="15" t="n">
        <f aca="false">N597*$E$2*(1+$I$589)/($F$589-$I$589)/(1+$F$589)^$N$3</f>
        <v>15249.6440234595</v>
      </c>
      <c r="Q597" s="15" t="n">
        <f aca="false">O597+P597</f>
        <v>29053.1488871618</v>
      </c>
      <c r="R597" s="15" t="n">
        <f aca="false">Q597-$G$2+$I$2</f>
        <v>29823.1488871618</v>
      </c>
      <c r="S597" s="42" t="n">
        <f aca="false">R597/$K$2</f>
        <v>285.58028236294</v>
      </c>
      <c r="T597" s="43" t="n">
        <f aca="false">S597-$M$2</f>
        <v>-6.67290158803252</v>
      </c>
    </row>
    <row r="598" customFormat="false" ht="15" hidden="false" customHeight="false" outlineLevel="0" collapsed="false">
      <c r="A598" s="5" t="n">
        <v>8</v>
      </c>
      <c r="B598" s="25" t="n">
        <f aca="false">IF(T597&gt;0,B597,D597)</f>
        <v>0.02734375</v>
      </c>
      <c r="C598" s="25" t="n">
        <f aca="false">IF(T597&gt;0,D597,C597)</f>
        <v>0.0390625</v>
      </c>
      <c r="D598" s="41" t="n">
        <f aca="false">(B598+C598)/2</f>
        <v>0.033203125</v>
      </c>
      <c r="E598" s="15" t="n">
        <f aca="false">$C$2*(1+IF(E$3&lt;=$O$2,$D598,$D598-($D598-$I$589)*MIN(E$3-$O$2,$Q$2)/$Q$2))</f>
        <v>2830.9765625</v>
      </c>
      <c r="F598" s="15" t="n">
        <f aca="false">E598*(1+IF(F$3&lt;=$O$2,$D598,$D598-($D598-$I$589)*MIN(F$3-$O$2,$Q$2)/$Q$2))</f>
        <v>2924.97383117676</v>
      </c>
      <c r="G598" s="15" t="n">
        <f aca="false">F598*(1+IF(G$3&lt;=$O$2,$D598,$D598-($D598-$I$589)*MIN(G$3-$O$2,$Q$2)/$Q$2))</f>
        <v>3022.09210291505</v>
      </c>
      <c r="H598" s="15" t="n">
        <f aca="false">G598*(1+IF(H$3&lt;=$O$2,$D598,$D598-($D598-$I$589)*MIN(H$3-$O$2,$Q$2)/$Q$2))</f>
        <v>3122.43500476965</v>
      </c>
      <c r="I598" s="15" t="n">
        <f aca="false">H598*(1+IF(I$3&lt;=$O$2,$D598,$D598-($D598-$I$589)*MIN(I$3-$O$2,$Q$2)/$Q$2))</f>
        <v>3226.10960453739</v>
      </c>
      <c r="J598" s="15" t="n">
        <f aca="false">I598*(1+IF(J$3&lt;=$O$2,$D598,$D598-($D598-$I$589)*MIN(J$3-$O$2,$Q$2)/$Q$2))</f>
        <v>3323.61070206052</v>
      </c>
      <c r="K598" s="15" t="n">
        <f aca="false">J598*(1+IF(K$3&lt;=$O$2,$D598,$D598-($D598-$I$589)*MIN(K$3-$O$2,$Q$2)/$Q$2))</f>
        <v>3414.15208935472</v>
      </c>
      <c r="L598" s="15" t="n">
        <f aca="false">K598*(1+IF(L$3&lt;=$O$2,$D598,$D598-($D598-$I$589)*MIN(L$3-$O$2,$Q$2)/$Q$2))</f>
        <v>3496.98368673258</v>
      </c>
      <c r="M598" s="15" t="n">
        <f aca="false">L598*(1+IF(M$3&lt;=$O$2,$D598,$D598-($D598-$I$589)*MIN(M$3-$O$2,$Q$2)/$Q$2))</f>
        <v>3571.40168520105</v>
      </c>
      <c r="N598" s="15" t="n">
        <f aca="false">M598*(1+IF(N$3&lt;=$O$2,$D598,$D598-($D598-$I$589)*MIN(N$3-$O$2,$Q$2)/$Q$2))</f>
        <v>3636.75833604023</v>
      </c>
      <c r="O598" s="15" t="n">
        <f aca="false">SUMPRODUCT(E598:N598,1/(1+$F$589)^$E$3:$N$3)*$E$2</f>
        <v>14158.9796588986</v>
      </c>
      <c r="P598" s="15" t="n">
        <f aca="false">N598*$E$2*(1+$I$589)/($F$589-$I$589)/(1+$F$589)^$N$3</f>
        <v>15869.8306048779</v>
      </c>
      <c r="Q598" s="15" t="n">
        <f aca="false">O598+P598</f>
        <v>30028.8102637765</v>
      </c>
      <c r="R598" s="15" t="n">
        <f aca="false">Q598-$G$2+$I$2</f>
        <v>30798.8102637765</v>
      </c>
      <c r="S598" s="42" t="n">
        <f aca="false">R598/$K$2</f>
        <v>294.923013154998</v>
      </c>
      <c r="T598" s="43" t="n">
        <f aca="false">S598-$M$2</f>
        <v>2.66982920402643</v>
      </c>
    </row>
    <row r="599" customFormat="false" ht="15" hidden="false" customHeight="false" outlineLevel="0" collapsed="false">
      <c r="A599" s="5" t="n">
        <v>9</v>
      </c>
      <c r="B599" s="25" t="n">
        <f aca="false">IF(T598&gt;0,B598,D598)</f>
        <v>0.02734375</v>
      </c>
      <c r="C599" s="25" t="n">
        <f aca="false">IF(T598&gt;0,D598,C598)</f>
        <v>0.033203125</v>
      </c>
      <c r="D599" s="41" t="n">
        <f aca="false">(B599+C599)/2</f>
        <v>0.0302734375</v>
      </c>
      <c r="E599" s="15" t="n">
        <f aca="false">$C$2*(1+IF(E$3&lt;=$O$2,$D599,$D599-($D599-$I$589)*MIN(E$3-$O$2,$Q$2)/$Q$2))</f>
        <v>2822.94921875</v>
      </c>
      <c r="F599" s="15" t="n">
        <f aca="false">E599*(1+IF(F$3&lt;=$O$2,$D599,$D599-($D599-$I$589)*MIN(F$3-$O$2,$Q$2)/$Q$2))</f>
        <v>2908.4095954895</v>
      </c>
      <c r="G599" s="15" t="n">
        <f aca="false">F599*(1+IF(G$3&lt;=$O$2,$D599,$D599-($D599-$I$589)*MIN(G$3-$O$2,$Q$2)/$Q$2))</f>
        <v>2996.45715160295</v>
      </c>
      <c r="H599" s="15" t="n">
        <f aca="false">G599*(1+IF(H$3&lt;=$O$2,$D599,$D599-($D599-$I$589)*MIN(H$3-$O$2,$Q$2)/$Q$2))</f>
        <v>3087.17020990343</v>
      </c>
      <c r="I599" s="15" t="n">
        <f aca="false">H599*(1+IF(I$3&lt;=$O$2,$D599,$D599-($D599-$I$589)*MIN(I$3-$O$2,$Q$2)/$Q$2))</f>
        <v>3180.62946430481</v>
      </c>
      <c r="J599" s="15" t="n">
        <f aca="false">I599*(1+IF(J$3&lt;=$O$2,$D599,$D599-($D599-$I$589)*MIN(J$3-$O$2,$Q$2)/$Q$2))</f>
        <v>3269.30143798279</v>
      </c>
      <c r="K599" s="15" t="n">
        <f aca="false">J599*(1+IF(K$3&lt;=$O$2,$D599,$D599-($D599-$I$589)*MIN(K$3-$O$2,$Q$2)/$Q$2))</f>
        <v>3352.61652015969</v>
      </c>
      <c r="L599" s="15" t="n">
        <f aca="false">K599*(1+IF(L$3&lt;=$O$2,$D599,$D599-($D599-$I$589)*MIN(L$3-$O$2,$Q$2)/$Q$2))</f>
        <v>3430.02634022485</v>
      </c>
      <c r="M599" s="15" t="n">
        <f aca="false">L599*(1+IF(M$3&lt;=$O$2,$D599,$D599-($D599-$I$589)*MIN(M$3-$O$2,$Q$2)/$Q$2))</f>
        <v>3501.00966345257</v>
      </c>
      <c r="N599" s="15" t="n">
        <f aca="false">M599*(1+IF(N$3&lt;=$O$2,$D599,$D599-($D599-$I$589)*MIN(N$3-$O$2,$Q$2)/$Q$2))</f>
        <v>3565.07814029375</v>
      </c>
      <c r="O599" s="15" t="n">
        <f aca="false">SUMPRODUCT(E599:N599,1/(1+$F$589)^$E$3:$N$3)*$E$2</f>
        <v>13980.0953118554</v>
      </c>
      <c r="P599" s="15" t="n">
        <f aca="false">N599*$E$2*(1+$I$589)/($F$589-$I$589)/(1+$F$589)^$N$3</f>
        <v>15557.0376010239</v>
      </c>
      <c r="Q599" s="15" t="n">
        <f aca="false">O599+P599</f>
        <v>29537.1329128793</v>
      </c>
      <c r="R599" s="15" t="n">
        <f aca="false">Q599-$G$2+$I$2</f>
        <v>30307.1329128793</v>
      </c>
      <c r="S599" s="42" t="n">
        <f aca="false">R599/$K$2</f>
        <v>290.214812916588</v>
      </c>
      <c r="T599" s="43" t="n">
        <f aca="false">S599-$M$2</f>
        <v>-2.03837103438372</v>
      </c>
    </row>
    <row r="600" customFormat="false" ht="15" hidden="false" customHeight="false" outlineLevel="0" collapsed="false">
      <c r="A600" s="5" t="n">
        <v>10</v>
      </c>
      <c r="B600" s="25" t="n">
        <f aca="false">IF(T599&gt;0,B599,D599)</f>
        <v>0.0302734375</v>
      </c>
      <c r="C600" s="25" t="n">
        <f aca="false">IF(T599&gt;0,D599,C599)</f>
        <v>0.033203125</v>
      </c>
      <c r="D600" s="41" t="n">
        <f aca="false">(B600+C600)/2</f>
        <v>0.03173828125</v>
      </c>
      <c r="E600" s="15" t="n">
        <f aca="false">$C$2*(1+IF(E$3&lt;=$O$2,$D600,$D600-($D600-$I$589)*MIN(E$3-$O$2,$Q$2)/$Q$2))</f>
        <v>2826.962890625</v>
      </c>
      <c r="F600" s="15" t="n">
        <f aca="false">E600*(1+IF(F$3&lt;=$O$2,$D600,$D600-($D600-$I$589)*MIN(F$3-$O$2,$Q$2)/$Q$2))</f>
        <v>2916.68583393097</v>
      </c>
      <c r="G600" s="15" t="n">
        <f aca="false">F600*(1+IF(G$3&lt;=$O$2,$D600,$D600-($D600-$I$589)*MIN(G$3-$O$2,$Q$2)/$Q$2))</f>
        <v>3009.25642924616</v>
      </c>
      <c r="H600" s="15" t="n">
        <f aca="false">G600*(1+IF(H$3&lt;=$O$2,$D600,$D600-($D600-$I$589)*MIN(H$3-$O$2,$Q$2)/$Q$2))</f>
        <v>3104.76505615095</v>
      </c>
      <c r="I600" s="15" t="n">
        <f aca="false">H600*(1+IF(I$3&lt;=$O$2,$D600,$D600-($D600-$I$589)*MIN(I$3-$O$2,$Q$2)/$Q$2))</f>
        <v>3203.30496271824</v>
      </c>
      <c r="J600" s="15" t="n">
        <f aca="false">I600*(1+IF(J$3&lt;=$O$2,$D600,$D600-($D600-$I$589)*MIN(J$3-$O$2,$Q$2)/$Q$2))</f>
        <v>3296.3629739508</v>
      </c>
      <c r="K600" s="15" t="n">
        <f aca="false">J600*(1+IF(K$3&lt;=$O$2,$D600,$D600-($D600-$I$589)*MIN(K$3-$O$2,$Q$2)/$Q$2))</f>
        <v>3383.26488802173</v>
      </c>
      <c r="L600" s="15" t="n">
        <f aca="false">K600*(1+IF(L$3&lt;=$O$2,$D600,$D600-($D600-$I$589)*MIN(L$3-$O$2,$Q$2)/$Q$2))</f>
        <v>3463.36474151592</v>
      </c>
      <c r="M600" s="15" t="n">
        <f aca="false">L600*(1+IF(M$3&lt;=$O$2,$D600,$D600-($D600-$I$589)*MIN(M$3-$O$2,$Q$2)/$Q$2))</f>
        <v>3536.05265017922</v>
      </c>
      <c r="N600" s="15" t="n">
        <f aca="false">M600*(1+IF(N$3&lt;=$O$2,$D600,$D600-($D600-$I$589)*MIN(N$3-$O$2,$Q$2)/$Q$2))</f>
        <v>3600.7624136775</v>
      </c>
      <c r="O600" s="15" t="n">
        <f aca="false">SUMPRODUCT(E600:N600,1/(1+$F$589)^$E$3:$N$3)*$E$2</f>
        <v>14069.2490040573</v>
      </c>
      <c r="P600" s="15" t="n">
        <f aca="false">N600*$E$2*(1+$I$589)/($F$589-$I$589)/(1+$F$589)^$N$3</f>
        <v>15712.7541269878</v>
      </c>
      <c r="Q600" s="15" t="n">
        <f aca="false">O600+P600</f>
        <v>29782.0031310451</v>
      </c>
      <c r="R600" s="15" t="n">
        <f aca="false">Q600-$G$2+$I$2</f>
        <v>30552.0031310451</v>
      </c>
      <c r="S600" s="42" t="n">
        <f aca="false">R600/$K$2</f>
        <v>292.559639289908</v>
      </c>
      <c r="T600" s="43" t="n">
        <f aca="false">S600-$M$2</f>
        <v>0.306455338935677</v>
      </c>
    </row>
    <row r="601" customFormat="false" ht="15" hidden="false" customHeight="false" outlineLevel="0" collapsed="false">
      <c r="A601" s="5" t="n">
        <v>11</v>
      </c>
      <c r="B601" s="25" t="n">
        <f aca="false">IF(T600&gt;0,B600,D600)</f>
        <v>0.0302734375</v>
      </c>
      <c r="C601" s="25" t="n">
        <f aca="false">IF(T600&gt;0,D600,C600)</f>
        <v>0.03173828125</v>
      </c>
      <c r="D601" s="41" t="n">
        <f aca="false">(B601+C601)/2</f>
        <v>0.031005859375</v>
      </c>
      <c r="E601" s="15" t="n">
        <f aca="false">$C$2*(1+IF(E$3&lt;=$O$2,$D601,$D601-($D601-$I$589)*MIN(E$3-$O$2,$Q$2)/$Q$2))</f>
        <v>2824.9560546875</v>
      </c>
      <c r="F601" s="15" t="n">
        <f aca="false">E601*(1+IF(F$3&lt;=$O$2,$D601,$D601-($D601-$I$589)*MIN(F$3-$O$2,$Q$2)/$Q$2))</f>
        <v>2912.5462448597</v>
      </c>
      <c r="G601" s="15" t="n">
        <f aca="false">F601*(1+IF(G$3&lt;=$O$2,$D601,$D601-($D601-$I$589)*MIN(G$3-$O$2,$Q$2)/$Q$2))</f>
        <v>3002.852244151</v>
      </c>
      <c r="H601" s="15" t="n">
        <f aca="false">G601*(1+IF(H$3&lt;=$O$2,$D601,$D601-($D601-$I$589)*MIN(H$3-$O$2,$Q$2)/$Q$2))</f>
        <v>3095.95825855705</v>
      </c>
      <c r="I601" s="15" t="n">
        <f aca="false">H601*(1+IF(I$3&lt;=$O$2,$D601,$D601-($D601-$I$589)*MIN(I$3-$O$2,$Q$2)/$Q$2))</f>
        <v>3191.95110495274</v>
      </c>
      <c r="J601" s="15" t="n">
        <f aca="false">I601*(1+IF(J$3&lt;=$O$2,$D601,$D601-($D601-$I$589)*MIN(J$3-$O$2,$Q$2)/$Q$2))</f>
        <v>3282.8089956705</v>
      </c>
      <c r="K601" s="15" t="n">
        <f aca="false">J601*(1+IF(K$3&lt;=$O$2,$D601,$D601-($D601-$I$589)*MIN(K$3-$O$2,$Q$2)/$Q$2))</f>
        <v>3367.91094596365</v>
      </c>
      <c r="L601" s="15" t="n">
        <f aca="false">K601*(1+IF(L$3&lt;=$O$2,$D601,$D601-($D601-$I$589)*MIN(L$3-$O$2,$Q$2)/$Q$2))</f>
        <v>3446.66059742156</v>
      </c>
      <c r="M601" s="15" t="n">
        <f aca="false">L601*(1+IF(M$3&lt;=$O$2,$D601,$D601-($D601-$I$589)*MIN(M$3-$O$2,$Q$2)/$Q$2))</f>
        <v>3518.49304332721</v>
      </c>
      <c r="N601" s="15" t="n">
        <f aca="false">M601*(1+IF(N$3&lt;=$O$2,$D601,$D601-($D601-$I$589)*MIN(N$3-$O$2,$Q$2)/$Q$2))</f>
        <v>3582.8814660201</v>
      </c>
      <c r="O601" s="15" t="n">
        <f aca="false">SUMPRODUCT(E601:N601,1/(1+$F$589)^$E$3:$N$3)*$E$2</f>
        <v>14024.6002563426</v>
      </c>
      <c r="P601" s="15" t="n">
        <f aca="false">N601*$E$2*(1+$I$589)/($F$589-$I$589)/(1+$F$589)^$N$3</f>
        <v>15634.7265034403</v>
      </c>
      <c r="Q601" s="15" t="n">
        <f aca="false">O601+P601</f>
        <v>29659.3267597829</v>
      </c>
      <c r="R601" s="15" t="n">
        <f aca="false">Q601-$G$2+$I$2</f>
        <v>30429.3267597829</v>
      </c>
      <c r="S601" s="42" t="n">
        <f aca="false">R601/$K$2</f>
        <v>291.384915826706</v>
      </c>
      <c r="T601" s="43" t="n">
        <f aca="false">S601-$M$2</f>
        <v>-0.86826812426574</v>
      </c>
    </row>
    <row r="602" customFormat="false" ht="15" hidden="false" customHeight="false" outlineLevel="0" collapsed="false">
      <c r="A602" s="5" t="n">
        <v>12</v>
      </c>
      <c r="B602" s="25" t="n">
        <f aca="false">IF(T601&gt;0,B601,D601)</f>
        <v>0.031005859375</v>
      </c>
      <c r="C602" s="25" t="n">
        <f aca="false">IF(T601&gt;0,D601,C601)</f>
        <v>0.03173828125</v>
      </c>
      <c r="D602" s="41" t="n">
        <f aca="false">(B602+C602)/2</f>
        <v>0.0313720703125</v>
      </c>
      <c r="E602" s="15" t="n">
        <f aca="false">$C$2*(1+IF(E$3&lt;=$O$2,$D602,$D602-($D602-$I$589)*MIN(E$3-$O$2,$Q$2)/$Q$2))</f>
        <v>2825.95947265625</v>
      </c>
      <c r="F602" s="15" t="n">
        <f aca="false">E602*(1+IF(F$3&lt;=$O$2,$D602,$D602-($D602-$I$589)*MIN(F$3-$O$2,$Q$2)/$Q$2))</f>
        <v>2914.6156719327</v>
      </c>
      <c r="G602" s="15" t="n">
        <f aca="false">F602*(1+IF(G$3&lt;=$O$2,$D602,$D602-($D602-$I$589)*MIN(G$3-$O$2,$Q$2)/$Q$2))</f>
        <v>3006.05319972648</v>
      </c>
      <c r="H602" s="15" t="n">
        <f aca="false">G602*(1+IF(H$3&lt;=$O$2,$D602,$D602-($D602-$I$589)*MIN(H$3-$O$2,$Q$2)/$Q$2))</f>
        <v>3100.35931207142</v>
      </c>
      <c r="I602" s="15" t="n">
        <f aca="false">H602*(1+IF(I$3&lt;=$O$2,$D602,$D602-($D602-$I$589)*MIN(I$3-$O$2,$Q$2)/$Q$2))</f>
        <v>3197.62400240374</v>
      </c>
      <c r="J602" s="15" t="n">
        <f aca="false">I602*(1+IF(J$3&lt;=$O$2,$D602,$D602-($D602-$I$589)*MIN(J$3-$O$2,$Q$2)/$Q$2))</f>
        <v>3289.58017428161</v>
      </c>
      <c r="K602" s="15" t="n">
        <f aca="false">J602*(1+IF(K$3&lt;=$O$2,$D602,$D602-($D602-$I$589)*MIN(K$3-$O$2,$Q$2)/$Q$2))</f>
        <v>3375.58046547306</v>
      </c>
      <c r="L602" s="15" t="n">
        <f aca="false">K602*(1+IF(L$3&lt;=$O$2,$D602,$D602-($D602-$I$589)*MIN(L$3-$O$2,$Q$2)/$Q$2))</f>
        <v>3455.00391806728</v>
      </c>
      <c r="M602" s="15" t="n">
        <f aca="false">L602*(1+IF(M$3&lt;=$O$2,$D602,$D602-($D602-$I$589)*MIN(M$3-$O$2,$Q$2)/$Q$2))</f>
        <v>3527.2633005973</v>
      </c>
      <c r="N602" s="15" t="n">
        <f aca="false">M602*(1+IF(N$3&lt;=$O$2,$D602,$D602-($D602-$I$589)*MIN(N$3-$O$2,$Q$2)/$Q$2))</f>
        <v>3591.81221899823</v>
      </c>
      <c r="O602" s="15" t="n">
        <f aca="false">SUMPRODUCT(E602:N602,1/(1+$F$589)^$E$3:$N$3)*$E$2</f>
        <v>14046.9066275022</v>
      </c>
      <c r="P602" s="15" t="n">
        <f aca="false">N602*$E$2*(1+$I$589)/($F$589-$I$589)/(1+$F$589)^$N$3</f>
        <v>15673.697896049</v>
      </c>
      <c r="Q602" s="15" t="n">
        <f aca="false">O602+P602</f>
        <v>29720.6045235512</v>
      </c>
      <c r="R602" s="15" t="n">
        <f aca="false">Q602-$G$2+$I$2</f>
        <v>30490.6045235512</v>
      </c>
      <c r="S602" s="42" t="n">
        <f aca="false">R602/$K$2</f>
        <v>291.971698971093</v>
      </c>
      <c r="T602" s="43" t="n">
        <f aca="false">S602-$M$2</f>
        <v>-0.28148497987911</v>
      </c>
    </row>
    <row r="603" customFormat="false" ht="15" hidden="false" customHeight="false" outlineLevel="0" collapsed="false">
      <c r="A603" s="5" t="n">
        <v>13</v>
      </c>
      <c r="B603" s="25" t="n">
        <f aca="false">IF(T602&gt;0,B602,D602)</f>
        <v>0.0313720703125</v>
      </c>
      <c r="C603" s="25" t="n">
        <f aca="false">IF(T602&gt;0,D602,C602)</f>
        <v>0.03173828125</v>
      </c>
      <c r="D603" s="41" t="n">
        <f aca="false">(B603+C603)/2</f>
        <v>0.03155517578125</v>
      </c>
      <c r="E603" s="15" t="n">
        <f aca="false">$C$2*(1+IF(E$3&lt;=$O$2,$D603,$D603-($D603-$I$589)*MIN(E$3-$O$2,$Q$2)/$Q$2))</f>
        <v>2826.46118164063</v>
      </c>
      <c r="F603" s="15" t="n">
        <f aca="false">E603*(1+IF(F$3&lt;=$O$2,$D603,$D603-($D603-$I$589)*MIN(F$3-$O$2,$Q$2)/$Q$2))</f>
        <v>2915.65066106617</v>
      </c>
      <c r="G603" s="15" t="n">
        <f aca="false">F603*(1+IF(G$3&lt;=$O$2,$D603,$D603-($D603-$I$589)*MIN(G$3-$O$2,$Q$2)/$Q$2))</f>
        <v>3007.65453019284</v>
      </c>
      <c r="H603" s="15" t="n">
        <f aca="false">G603*(1+IF(H$3&lt;=$O$2,$D603,$D603-($D603-$I$589)*MIN(H$3-$O$2,$Q$2)/$Q$2))</f>
        <v>3102.56159758234</v>
      </c>
      <c r="I603" s="15" t="n">
        <f aca="false">H603*(1+IF(I$3&lt;=$O$2,$D603,$D603-($D603-$I$589)*MIN(I$3-$O$2,$Q$2)/$Q$2))</f>
        <v>3200.46347416621</v>
      </c>
      <c r="J603" s="15" t="n">
        <f aca="false">I603*(1+IF(J$3&lt;=$O$2,$D603,$D603-($D603-$I$589)*MIN(J$3-$O$2,$Q$2)/$Q$2))</f>
        <v>3292.97012048869</v>
      </c>
      <c r="K603" s="15" t="n">
        <f aca="false">J603*(1+IF(K$3&lt;=$O$2,$D603,$D603-($D603-$I$589)*MIN(K$3-$O$2,$Q$2)/$Q$2))</f>
        <v>3379.42081236732</v>
      </c>
      <c r="L603" s="15" t="n">
        <f aca="false">K603*(1+IF(L$3&lt;=$O$2,$D603,$D603-($D603-$I$589)*MIN(L$3-$O$2,$Q$2)/$Q$2))</f>
        <v>3459.18213999634</v>
      </c>
      <c r="M603" s="15" t="n">
        <f aca="false">L603*(1+IF(M$3&lt;=$O$2,$D603,$D603-($D603-$I$589)*MIN(M$3-$O$2,$Q$2)/$Q$2))</f>
        <v>3531.65558662327</v>
      </c>
      <c r="N603" s="15" t="n">
        <f aca="false">M603*(1+IF(N$3&lt;=$O$2,$D603,$D603-($D603-$I$589)*MIN(N$3-$O$2,$Q$2)/$Q$2))</f>
        <v>3596.28488385848</v>
      </c>
      <c r="O603" s="15" t="n">
        <f aca="false">SUMPRODUCT(E603:N603,1/(1+$F$589)^$E$3:$N$3)*$E$2</f>
        <v>14058.0733116896</v>
      </c>
      <c r="P603" s="15" t="n">
        <f aca="false">N603*$E$2*(1+$I$589)/($F$589-$I$589)/(1+$F$589)^$N$3</f>
        <v>15693.2153968357</v>
      </c>
      <c r="Q603" s="15" t="n">
        <f aca="false">O603+P603</f>
        <v>29751.2887085253</v>
      </c>
      <c r="R603" s="15" t="n">
        <f aca="false">Q603-$G$2+$I$2</f>
        <v>30521.2887085253</v>
      </c>
      <c r="S603" s="42" t="n">
        <f aca="false">R603/$K$2</f>
        <v>292.26552435627</v>
      </c>
      <c r="T603" s="43" t="n">
        <f aca="false">S603-$M$2</f>
        <v>0.0123404052977207</v>
      </c>
    </row>
    <row r="604" customFormat="false" ht="15" hidden="false" customHeight="false" outlineLevel="0" collapsed="false">
      <c r="A604" s="5" t="n">
        <v>14</v>
      </c>
      <c r="B604" s="25" t="n">
        <f aca="false">IF(T603&gt;0,B603,D603)</f>
        <v>0.0313720703125</v>
      </c>
      <c r="C604" s="25" t="n">
        <f aca="false">IF(T603&gt;0,D603,C603)</f>
        <v>0.03155517578125</v>
      </c>
      <c r="D604" s="41" t="n">
        <f aca="false">(B604+C604)/2</f>
        <v>0.031463623046875</v>
      </c>
      <c r="E604" s="15" t="n">
        <f aca="false">$C$2*(1+IF(E$3&lt;=$O$2,$D604,$D604-($D604-$I$589)*MIN(E$3-$O$2,$Q$2)/$Q$2))</f>
        <v>2826.21032714844</v>
      </c>
      <c r="F604" s="15" t="n">
        <f aca="false">E604*(1+IF(F$3&lt;=$O$2,$D604,$D604-($D604-$I$589)*MIN(F$3-$O$2,$Q$2)/$Q$2))</f>
        <v>2915.13314353302</v>
      </c>
      <c r="G604" s="15" t="n">
        <f aca="false">F604*(1+IF(G$3&lt;=$O$2,$D604,$D604-($D604-$I$589)*MIN(G$3-$O$2,$Q$2)/$Q$2))</f>
        <v>3006.8537938926</v>
      </c>
      <c r="H604" s="15" t="n">
        <f aca="false">G604*(1+IF(H$3&lt;=$O$2,$D604,$D604-($D604-$I$589)*MIN(H$3-$O$2,$Q$2)/$Q$2))</f>
        <v>3101.4603082207</v>
      </c>
      <c r="I604" s="15" t="n">
        <f aca="false">H604*(1+IF(I$3&lt;=$O$2,$D604,$D604-($D604-$I$589)*MIN(I$3-$O$2,$Q$2)/$Q$2))</f>
        <v>3199.0434862534</v>
      </c>
      <c r="J604" s="15" t="n">
        <f aca="false">I604*(1+IF(J$3&lt;=$O$2,$D604,$D604-($D604-$I$589)*MIN(J$3-$O$2,$Q$2)/$Q$2))</f>
        <v>3291.27478410272</v>
      </c>
      <c r="K604" s="15" t="n">
        <f aca="false">J604*(1+IF(K$3&lt;=$O$2,$D604,$D604-($D604-$I$589)*MIN(K$3-$O$2,$Q$2)/$Q$2))</f>
        <v>3377.50017301276</v>
      </c>
      <c r="L604" s="15" t="n">
        <f aca="false">K604*(1+IF(L$3&lt;=$O$2,$D604,$D604-($D604-$I$589)*MIN(L$3-$O$2,$Q$2)/$Q$2))</f>
        <v>3457.09248182622</v>
      </c>
      <c r="M604" s="15" t="n">
        <f aca="false">L604*(1+IF(M$3&lt;=$O$2,$D604,$D604-($D604-$I$589)*MIN(M$3-$O$2,$Q$2)/$Q$2))</f>
        <v>3529.45884669743</v>
      </c>
      <c r="N604" s="15" t="n">
        <f aca="false">M604*(1+IF(N$3&lt;=$O$2,$D604,$D604-($D604-$I$589)*MIN(N$3-$O$2,$Q$2)/$Q$2))</f>
        <v>3594.04794359199</v>
      </c>
      <c r="O604" s="15" t="n">
        <f aca="false">SUMPRODUCT(E604:N604,1/(1+$F$589)^$E$3:$N$3)*$E$2</f>
        <v>14052.4888440005</v>
      </c>
      <c r="P604" s="15" t="n">
        <f aca="false">N604*$E$2*(1+$I$589)/($F$589-$I$589)/(1+$F$589)^$N$3</f>
        <v>15683.4539940087</v>
      </c>
      <c r="Q604" s="15" t="n">
        <f aca="false">O604+P604</f>
        <v>29735.9428380092</v>
      </c>
      <c r="R604" s="15" t="n">
        <f aca="false">Q604-$G$2+$I$2</f>
        <v>30505.9428380092</v>
      </c>
      <c r="S604" s="42" t="n">
        <f aca="false">R604/$K$2</f>
        <v>292.11857548606</v>
      </c>
      <c r="T604" s="43" t="n">
        <f aca="false">S604-$M$2</f>
        <v>-0.134608464912503</v>
      </c>
    </row>
    <row r="605" customFormat="false" ht="15" hidden="false" customHeight="false" outlineLevel="0" collapsed="false">
      <c r="A605" s="5" t="n">
        <v>15</v>
      </c>
      <c r="B605" s="25" t="n">
        <f aca="false">IF(T604&gt;0,B604,D604)</f>
        <v>0.031463623046875</v>
      </c>
      <c r="C605" s="25" t="n">
        <f aca="false">IF(T604&gt;0,D604,C604)</f>
        <v>0.03155517578125</v>
      </c>
      <c r="D605" s="41" t="n">
        <f aca="false">(B605+C605)/2</f>
        <v>0.0315093994140625</v>
      </c>
      <c r="E605" s="15" t="n">
        <f aca="false">$C$2*(1+IF(E$3&lt;=$O$2,$D605,$D605-($D605-$I$589)*MIN(E$3-$O$2,$Q$2)/$Q$2))</f>
        <v>2826.33575439453</v>
      </c>
      <c r="F605" s="15" t="n">
        <f aca="false">E605*(1+IF(F$3&lt;=$O$2,$D605,$D605-($D605-$I$589)*MIN(F$3-$O$2,$Q$2)/$Q$2))</f>
        <v>2915.39189655799</v>
      </c>
      <c r="G605" s="15" t="n">
        <f aca="false">F605*(1+IF(G$3&lt;=$O$2,$D605,$D605-($D605-$I$589)*MIN(G$3-$O$2,$Q$2)/$Q$2))</f>
        <v>3007.25414427516</v>
      </c>
      <c r="H605" s="15" t="n">
        <f aca="false">G605*(1+IF(H$3&lt;=$O$2,$D605,$D605-($D605-$I$589)*MIN(H$3-$O$2,$Q$2)/$Q$2))</f>
        <v>3102.01091624672</v>
      </c>
      <c r="I605" s="15" t="n">
        <f aca="false">H605*(1+IF(I$3&lt;=$O$2,$D605,$D605-($D605-$I$589)*MIN(I$3-$O$2,$Q$2)/$Q$2))</f>
        <v>3199.75341719352</v>
      </c>
      <c r="J605" s="15" t="n">
        <f aca="false">I605*(1+IF(J$3&lt;=$O$2,$D605,$D605-($D605-$I$589)*MIN(J$3-$O$2,$Q$2)/$Q$2))</f>
        <v>3292.12236145954</v>
      </c>
      <c r="K605" s="15" t="n">
        <f aca="false">J605*(1+IF(K$3&lt;=$O$2,$D605,$D605-($D605-$I$589)*MIN(K$3-$O$2,$Q$2)/$Q$2))</f>
        <v>3378.46037618974</v>
      </c>
      <c r="L605" s="15" t="n">
        <f aca="false">K605*(1+IF(L$3&lt;=$O$2,$D605,$D605-($D605-$I$589)*MIN(L$3-$O$2,$Q$2)/$Q$2))</f>
        <v>3458.13717407948</v>
      </c>
      <c r="M605" s="15" t="n">
        <f aca="false">L605*(1+IF(M$3&lt;=$O$2,$D605,$D605-($D605-$I$589)*MIN(M$3-$O$2,$Q$2)/$Q$2))</f>
        <v>3530.55706739734</v>
      </c>
      <c r="N605" s="15" t="n">
        <f aca="false">M605*(1+IF(N$3&lt;=$O$2,$D605,$D605-($D605-$I$589)*MIN(N$3-$O$2,$Q$2)/$Q$2))</f>
        <v>3595.16626173072</v>
      </c>
      <c r="O605" s="15" t="n">
        <f aca="false">SUMPRODUCT(E605:N605,1/(1+$F$589)^$E$3:$N$3)*$E$2</f>
        <v>14055.2807963928</v>
      </c>
      <c r="P605" s="15" t="n">
        <f aca="false">N605*$E$2*(1+$I$589)/($F$589-$I$589)/(1+$F$589)^$N$3</f>
        <v>15688.3340321592</v>
      </c>
      <c r="Q605" s="15" t="n">
        <f aca="false">O605+P605</f>
        <v>29743.614828552</v>
      </c>
      <c r="R605" s="15" t="n">
        <f aca="false">Q605-$G$2+$I$2</f>
        <v>30513.614828552</v>
      </c>
      <c r="S605" s="42" t="n">
        <f aca="false">R605/$K$2</f>
        <v>292.192040874768</v>
      </c>
      <c r="T605" s="43" t="n">
        <f aca="false">S605-$M$2</f>
        <v>-0.0611430762043028</v>
      </c>
    </row>
    <row r="606" customFormat="false" ht="15" hidden="false" customHeight="false" outlineLevel="0" collapsed="false">
      <c r="A606" s="5" t="n">
        <v>16</v>
      </c>
      <c r="B606" s="25" t="n">
        <f aca="false">IF(T605&gt;0,B605,D605)</f>
        <v>0.0315093994140625</v>
      </c>
      <c r="C606" s="25" t="n">
        <f aca="false">IF(T605&gt;0,D605,C605)</f>
        <v>0.03155517578125</v>
      </c>
      <c r="D606" s="41" t="n">
        <f aca="false">(B606+C606)/2</f>
        <v>0.0315322875976563</v>
      </c>
      <c r="E606" s="15" t="n">
        <f aca="false">$C$2*(1+IF(E$3&lt;=$O$2,$D606,$D606-($D606-$I$589)*MIN(E$3-$O$2,$Q$2)/$Q$2))</f>
        <v>2826.39846801758</v>
      </c>
      <c r="F606" s="15" t="n">
        <f aca="false">E606*(1+IF(F$3&lt;=$O$2,$D606,$D606-($D606-$I$589)*MIN(F$3-$O$2,$Q$2)/$Q$2))</f>
        <v>2915.52127737668</v>
      </c>
      <c r="G606" s="15" t="n">
        <f aca="false">F606*(1+IF(G$3&lt;=$O$2,$D606,$D606-($D606-$I$589)*MIN(G$3-$O$2,$Q$2)/$Q$2))</f>
        <v>3007.45433279201</v>
      </c>
      <c r="H606" s="15" t="n">
        <f aca="false">G606*(1+IF(H$3&lt;=$O$2,$D606,$D606-($D606-$I$589)*MIN(H$3-$O$2,$Q$2)/$Q$2))</f>
        <v>3102.28624775043</v>
      </c>
      <c r="I606" s="15" t="n">
        <f aca="false">H606*(1+IF(I$3&lt;=$O$2,$D606,$D606-($D606-$I$589)*MIN(I$3-$O$2,$Q$2)/$Q$2))</f>
        <v>3200.10842992475</v>
      </c>
      <c r="J606" s="15" t="n">
        <f aca="false">I606*(1+IF(J$3&lt;=$O$2,$D606,$D606-($D606-$I$589)*MIN(J$3-$O$2,$Q$2)/$Q$2))</f>
        <v>3292.54621826313</v>
      </c>
      <c r="K606" s="15" t="n">
        <f aca="false">J606*(1+IF(K$3&lt;=$O$2,$D606,$D606-($D606-$I$589)*MIN(K$3-$O$2,$Q$2)/$Q$2))</f>
        <v>3378.94056515052</v>
      </c>
      <c r="L606" s="15" t="n">
        <f aca="false">K606*(1+IF(L$3&lt;=$O$2,$D606,$D606-($D606-$I$589)*MIN(L$3-$O$2,$Q$2)/$Q$2))</f>
        <v>3458.65962282616</v>
      </c>
      <c r="M606" s="15" t="n">
        <f aca="false">L606*(1+IF(M$3&lt;=$O$2,$D606,$D606-($D606-$I$589)*MIN(M$3-$O$2,$Q$2)/$Q$2))</f>
        <v>3531.10628969021</v>
      </c>
      <c r="N606" s="15" t="n">
        <f aca="false">M606*(1+IF(N$3&lt;=$O$2,$D606,$D606-($D606-$I$589)*MIN(N$3-$O$2,$Q$2)/$Q$2))</f>
        <v>3595.72553479154</v>
      </c>
      <c r="O606" s="15" t="n">
        <f aca="false">SUMPRODUCT(E606:N606,1/(1+$F$589)^$E$3:$N$3)*$E$2</f>
        <v>14056.6769836714</v>
      </c>
      <c r="P606" s="15" t="n">
        <f aca="false">N606*$E$2*(1+$I$589)/($F$589-$I$589)/(1+$F$589)^$N$3</f>
        <v>15690.7745486624</v>
      </c>
      <c r="Q606" s="15" t="n">
        <f aca="false">O606+P606</f>
        <v>29747.4515323338</v>
      </c>
      <c r="R606" s="15" t="n">
        <f aca="false">Q606-$G$2+$I$2</f>
        <v>30517.4515323338</v>
      </c>
      <c r="S606" s="42" t="n">
        <f aca="false">R606/$K$2</f>
        <v>292.228780353671</v>
      </c>
      <c r="T606" s="43" t="n">
        <f aca="false">S606-$M$2</f>
        <v>-0.0244035973015002</v>
      </c>
    </row>
    <row r="607" customFormat="false" ht="15" hidden="false" customHeight="false" outlineLevel="0" collapsed="false">
      <c r="A607" s="5" t="n">
        <v>17</v>
      </c>
      <c r="B607" s="25" t="n">
        <f aca="false">IF(T606&gt;0,B606,D606)</f>
        <v>0.0315322875976563</v>
      </c>
      <c r="C607" s="25" t="n">
        <f aca="false">IF(T606&gt;0,D606,C606)</f>
        <v>0.03155517578125</v>
      </c>
      <c r="D607" s="41" t="n">
        <f aca="false">(B607+C607)/2</f>
        <v>0.0315437316894531</v>
      </c>
      <c r="E607" s="15" t="n">
        <f aca="false">$C$2*(1+IF(E$3&lt;=$O$2,$D607,$D607-($D607-$I$589)*MIN(E$3-$O$2,$Q$2)/$Q$2))</f>
        <v>2826.4298248291</v>
      </c>
      <c r="F607" s="15" t="n">
        <f aca="false">E607*(1+IF(F$3&lt;=$O$2,$D607,$D607-($D607-$I$589)*MIN(F$3-$O$2,$Q$2)/$Q$2))</f>
        <v>2915.58596886258</v>
      </c>
      <c r="G607" s="15" t="n">
        <f aca="false">F607*(1+IF(G$3&lt;=$O$2,$D607,$D607-($D607-$I$589)*MIN(G$3-$O$2,$Q$2)/$Q$2))</f>
        <v>3007.55443038191</v>
      </c>
      <c r="H607" s="15" t="n">
        <f aca="false">G607*(1+IF(H$3&lt;=$O$2,$D607,$D607-($D607-$I$589)*MIN(H$3-$O$2,$Q$2)/$Q$2))</f>
        <v>3102.42392037531</v>
      </c>
      <c r="I607" s="15" t="n">
        <f aca="false">H607*(1+IF(I$3&lt;=$O$2,$D607,$D607-($D607-$I$589)*MIN(I$3-$O$2,$Q$2)/$Q$2))</f>
        <v>3200.28594810657</v>
      </c>
      <c r="J607" s="15" t="n">
        <f aca="false">I607*(1+IF(J$3&lt;=$O$2,$D607,$D607-($D607-$I$589)*MIN(J$3-$O$2,$Q$2)/$Q$2))</f>
        <v>3292.75816369792</v>
      </c>
      <c r="K607" s="15" t="n">
        <f aca="false">J607*(1+IF(K$3&lt;=$O$2,$D607,$D607-($D607-$I$589)*MIN(K$3-$O$2,$Q$2)/$Q$2))</f>
        <v>3379.18068147655</v>
      </c>
      <c r="L607" s="15" t="n">
        <f aca="false">K607*(1+IF(L$3&lt;=$O$2,$D607,$D607-($D607-$I$589)*MIN(L$3-$O$2,$Q$2)/$Q$2))</f>
        <v>3458.92087285784</v>
      </c>
      <c r="M607" s="15" t="n">
        <f aca="false">L607*(1+IF(M$3&lt;=$O$2,$D607,$D607-($D607-$I$589)*MIN(M$3-$O$2,$Q$2)/$Q$2))</f>
        <v>3531.38092882617</v>
      </c>
      <c r="N607" s="15" t="n">
        <f aca="false">M607*(1+IF(N$3&lt;=$O$2,$D607,$D607-($D607-$I$589)*MIN(N$3-$O$2,$Q$2)/$Q$2))</f>
        <v>3596.00519982369</v>
      </c>
      <c r="O607" s="15" t="n">
        <f aca="false">SUMPRODUCT(E607:N607,1/(1+$F$589)^$E$3:$N$3)*$E$2</f>
        <v>14057.3751300872</v>
      </c>
      <c r="P607" s="15" t="n">
        <f aca="false">N607*$E$2*(1+$I$589)/($F$589-$I$589)/(1+$F$589)^$N$3</f>
        <v>15691.9949312878</v>
      </c>
      <c r="Q607" s="15" t="n">
        <f aca="false">O607+P607</f>
        <v>29749.3700613751</v>
      </c>
      <c r="R607" s="15" t="n">
        <f aca="false">Q607-$G$2+$I$2</f>
        <v>30519.3700613751</v>
      </c>
      <c r="S607" s="42" t="n">
        <f aca="false">R607/$K$2</f>
        <v>292.247151789477</v>
      </c>
      <c r="T607" s="43" t="n">
        <f aca="false">S607-$M$2</f>
        <v>-0.00603216149511354</v>
      </c>
    </row>
    <row r="608" customFormat="false" ht="15" hidden="false" customHeight="false" outlineLevel="0" collapsed="false">
      <c r="A608" s="5" t="n">
        <v>18</v>
      </c>
      <c r="B608" s="25" t="n">
        <f aca="false">IF(T607&gt;0,B607,D607)</f>
        <v>0.0315437316894531</v>
      </c>
      <c r="C608" s="25" t="n">
        <f aca="false">IF(T607&gt;0,D607,C607)</f>
        <v>0.03155517578125</v>
      </c>
      <c r="D608" s="41" t="n">
        <f aca="false">(B608+C608)/2</f>
        <v>0.0315494537353516</v>
      </c>
      <c r="E608" s="15" t="n">
        <f aca="false">$C$2*(1+IF(E$3&lt;=$O$2,$D608,$D608-($D608-$I$589)*MIN(E$3-$O$2,$Q$2)/$Q$2))</f>
        <v>2826.44550323486</v>
      </c>
      <c r="F608" s="15" t="n">
        <f aca="false">E608*(1+IF(F$3&lt;=$O$2,$D608,$D608-($D608-$I$589)*MIN(F$3-$O$2,$Q$2)/$Q$2))</f>
        <v>2915.61831487466</v>
      </c>
      <c r="G608" s="15" t="n">
        <f aca="false">F608*(1+IF(G$3&lt;=$O$2,$D608,$D608-($D608-$I$589)*MIN(G$3-$O$2,$Q$2)/$Q$2))</f>
        <v>3007.60448000975</v>
      </c>
      <c r="H608" s="15" t="n">
        <f aca="false">G608*(1+IF(H$3&lt;=$O$2,$D608,$D608-($D608-$I$589)*MIN(H$3-$O$2,$Q$2)/$Q$2))</f>
        <v>3102.49275840605</v>
      </c>
      <c r="I608" s="15" t="n">
        <f aca="false">H608*(1+IF(I$3&lt;=$O$2,$D608,$D608-($D608-$I$589)*MIN(I$3-$O$2,$Q$2)/$Q$2))</f>
        <v>3200.37471015164</v>
      </c>
      <c r="J608" s="15" t="n">
        <f aca="false">I608*(1+IF(J$3&lt;=$O$2,$D608,$D608-($D608-$I$589)*MIN(J$3-$O$2,$Q$2)/$Q$2))</f>
        <v>3292.86414067377</v>
      </c>
      <c r="K608" s="15" t="n">
        <f aca="false">J608*(1+IF(K$3&lt;=$O$2,$D608,$D608-($D608-$I$589)*MIN(K$3-$O$2,$Q$2)/$Q$2))</f>
        <v>3379.3007451013</v>
      </c>
      <c r="L608" s="15" t="n">
        <f aca="false">K608*(1+IF(L$3&lt;=$O$2,$D608,$D608-($D608-$I$589)*MIN(L$3-$O$2,$Q$2)/$Q$2))</f>
        <v>3459.05150428868</v>
      </c>
      <c r="M608" s="15" t="n">
        <f aca="false">L608*(1+IF(M$3&lt;=$O$2,$D608,$D608-($D608-$I$589)*MIN(M$3-$O$2,$Q$2)/$Q$2))</f>
        <v>3531.51825539201</v>
      </c>
      <c r="N608" s="15" t="n">
        <f aca="false">M608*(1+IF(N$3&lt;=$O$2,$D608,$D608-($D608-$I$589)*MIN(N$3-$O$2,$Q$2)/$Q$2))</f>
        <v>3596.14503946569</v>
      </c>
      <c r="O608" s="15" t="n">
        <f aca="false">SUMPRODUCT(E608:N608,1/(1+$F$589)^$E$3:$N$3)*$E$2</f>
        <v>14057.72421649</v>
      </c>
      <c r="P608" s="15" t="n">
        <f aca="false">N608*$E$2*(1+$I$589)/($F$589-$I$589)/(1+$F$589)^$N$3</f>
        <v>15692.6051536962</v>
      </c>
      <c r="Q608" s="15" t="n">
        <f aca="false">O608+P608</f>
        <v>29750.3293701861</v>
      </c>
      <c r="R608" s="15" t="n">
        <f aca="false">Q608-$G$2+$I$2</f>
        <v>30520.3293701861</v>
      </c>
      <c r="S608" s="42" t="n">
        <f aca="false">R608/$K$2</f>
        <v>292.256337931496</v>
      </c>
      <c r="T608" s="43" t="n">
        <f aca="false">S608-$M$2</f>
        <v>0.00315398052413229</v>
      </c>
    </row>
    <row r="609" customFormat="false" ht="15" hidden="false" customHeight="false" outlineLevel="0" collapsed="false">
      <c r="A609" s="5" t="n">
        <v>19</v>
      </c>
      <c r="B609" s="25" t="n">
        <f aca="false">IF(T608&gt;0,B608,D608)</f>
        <v>0.0315437316894531</v>
      </c>
      <c r="C609" s="25" t="n">
        <f aca="false">IF(T608&gt;0,D608,C608)</f>
        <v>0.0315494537353516</v>
      </c>
      <c r="D609" s="41" t="n">
        <f aca="false">(B609+C609)/2</f>
        <v>0.0315465927124023</v>
      </c>
      <c r="E609" s="15" t="n">
        <f aca="false">$C$2*(1+IF(E$3&lt;=$O$2,$D609,$D609-($D609-$I$589)*MIN(E$3-$O$2,$Q$2)/$Q$2))</f>
        <v>2826.43766403198</v>
      </c>
      <c r="F609" s="15" t="n">
        <f aca="false">E609*(1+IF(F$3&lt;=$O$2,$D609,$D609-($D609-$I$589)*MIN(F$3-$O$2,$Q$2)/$Q$2))</f>
        <v>2915.60214184619</v>
      </c>
      <c r="G609" s="15" t="n">
        <f aca="false">F609*(1+IF(G$3&lt;=$O$2,$D609,$D609-($D609-$I$589)*MIN(G$3-$O$2,$Q$2)/$Q$2))</f>
        <v>3007.57945512642</v>
      </c>
      <c r="H609" s="15" t="n">
        <f aca="false">G609*(1+IF(H$3&lt;=$O$2,$D609,$D609-($D609-$I$589)*MIN(H$3-$O$2,$Q$2)/$Q$2))</f>
        <v>3102.45833924749</v>
      </c>
      <c r="I609" s="15" t="n">
        <f aca="false">H609*(1+IF(I$3&lt;=$O$2,$D609,$D609-($D609-$I$589)*MIN(I$3-$O$2,$Q$2)/$Q$2))</f>
        <v>3200.33032888292</v>
      </c>
      <c r="J609" s="15" t="n">
        <f aca="false">I609*(1+IF(J$3&lt;=$O$2,$D609,$D609-($D609-$I$589)*MIN(J$3-$O$2,$Q$2)/$Q$2))</f>
        <v>3292.81115183097</v>
      </c>
      <c r="K609" s="15" t="n">
        <f aca="false">J609*(1+IF(K$3&lt;=$O$2,$D609,$D609-($D609-$I$589)*MIN(K$3-$O$2,$Q$2)/$Q$2))</f>
        <v>3379.24071283377</v>
      </c>
      <c r="L609" s="15" t="n">
        <f aca="false">K609*(1+IF(L$3&lt;=$O$2,$D609,$D609-($D609-$I$589)*MIN(L$3-$O$2,$Q$2)/$Q$2))</f>
        <v>3458.98618803866</v>
      </c>
      <c r="M609" s="15" t="n">
        <f aca="false">L609*(1+IF(M$3&lt;=$O$2,$D609,$D609-($D609-$I$589)*MIN(M$3-$O$2,$Q$2)/$Q$2))</f>
        <v>3531.44959152592</v>
      </c>
      <c r="N609" s="15" t="n">
        <f aca="false">M609*(1+IF(N$3&lt;=$O$2,$D609,$D609-($D609-$I$589)*MIN(N$3-$O$2,$Q$2)/$Q$2))</f>
        <v>3596.07511905085</v>
      </c>
      <c r="O609" s="15" t="n">
        <f aca="false">SUMPRODUCT(E609:N609,1/(1+$F$589)^$E$3:$N$3)*$E$2</f>
        <v>14057.549672189</v>
      </c>
      <c r="P609" s="15" t="n">
        <f aca="false">N609*$E$2*(1+$I$589)/($F$589-$I$589)/(1+$F$589)^$N$3</f>
        <v>15692.3000399006</v>
      </c>
      <c r="Q609" s="15" t="n">
        <f aca="false">O609+P609</f>
        <v>29749.8497120897</v>
      </c>
      <c r="R609" s="15" t="n">
        <f aca="false">Q609-$G$2+$I$2</f>
        <v>30519.8497120897</v>
      </c>
      <c r="S609" s="42" t="n">
        <f aca="false">R609/$K$2</f>
        <v>292.251744825143</v>
      </c>
      <c r="T609" s="43" t="n">
        <f aca="false">S609-$M$2</f>
        <v>-0.00143912582927896</v>
      </c>
    </row>
    <row r="610" customFormat="false" ht="15" hidden="false" customHeight="false" outlineLevel="0" collapsed="false">
      <c r="A610" s="5" t="n">
        <v>20</v>
      </c>
      <c r="B610" s="25" t="n">
        <f aca="false">IF(T609&gt;0,B609,D609)</f>
        <v>0.0315465927124023</v>
      </c>
      <c r="C610" s="25" t="n">
        <f aca="false">IF(T609&gt;0,D609,C609)</f>
        <v>0.0315494537353516</v>
      </c>
      <c r="D610" s="41" t="n">
        <f aca="false">(B610+C610)/2</f>
        <v>0.031548023223877</v>
      </c>
      <c r="E610" s="15" t="n">
        <f aca="false">$C$2*(1+IF(E$3&lt;=$O$2,$D610,$D610-($D610-$I$589)*MIN(E$3-$O$2,$Q$2)/$Q$2))</f>
        <v>2826.44158363342</v>
      </c>
      <c r="F610" s="15" t="n">
        <f aca="false">E610*(1+IF(F$3&lt;=$O$2,$D610,$D610-($D610-$I$589)*MIN(F$3-$O$2,$Q$2)/$Q$2))</f>
        <v>2915.61022835482</v>
      </c>
      <c r="G610" s="15" t="n">
        <f aca="false">F610*(1+IF(G$3&lt;=$O$2,$D610,$D610-($D610-$I$589)*MIN(G$3-$O$2,$Q$2)/$Q$2))</f>
        <v>3007.59196755073</v>
      </c>
      <c r="H610" s="15" t="n">
        <f aca="false">G610*(1+IF(H$3&lt;=$O$2,$D610,$D610-($D610-$I$589)*MIN(H$3-$O$2,$Q$2)/$Q$2))</f>
        <v>3102.47554879097</v>
      </c>
      <c r="I610" s="15" t="n">
        <f aca="false">H610*(1+IF(I$3&lt;=$O$2,$D610,$D610-($D610-$I$589)*MIN(I$3-$O$2,$Q$2)/$Q$2))</f>
        <v>3200.35251945574</v>
      </c>
      <c r="J610" s="15" t="n">
        <f aca="false">I610*(1+IF(J$3&lt;=$O$2,$D610,$D610-($D610-$I$589)*MIN(J$3-$O$2,$Q$2)/$Q$2))</f>
        <v>3292.83764616365</v>
      </c>
      <c r="K610" s="15" t="n">
        <f aca="false">J610*(1+IF(K$3&lt;=$O$2,$D610,$D610-($D610-$I$589)*MIN(K$3-$O$2,$Q$2)/$Q$2))</f>
        <v>3379.27072885374</v>
      </c>
      <c r="L610" s="15" t="n">
        <f aca="false">K610*(1+IF(L$3&lt;=$O$2,$D610,$D610-($D610-$I$589)*MIN(L$3-$O$2,$Q$2)/$Q$2))</f>
        <v>3459.01884603002</v>
      </c>
      <c r="M610" s="15" t="n">
        <f aca="false">L610*(1+IF(M$3&lt;=$O$2,$D610,$D610-($D610-$I$589)*MIN(M$3-$O$2,$Q$2)/$Q$2))</f>
        <v>3531.48392331317</v>
      </c>
      <c r="N610" s="15" t="n">
        <f aca="false">M610*(1+IF(N$3&lt;=$O$2,$D610,$D610-($D610-$I$589)*MIN(N$3-$O$2,$Q$2)/$Q$2))</f>
        <v>3596.1100791098</v>
      </c>
      <c r="O610" s="15" t="n">
        <f aca="false">SUMPRODUCT(E610:N610,1/(1+$F$589)^$E$3:$N$3)*$E$2</f>
        <v>14057.6369440646</v>
      </c>
      <c r="P610" s="15" t="n">
        <f aca="false">N610*$E$2*(1+$I$589)/($F$589-$I$589)/(1+$F$589)^$N$3</f>
        <v>15692.4525961506</v>
      </c>
      <c r="Q610" s="15" t="n">
        <f aca="false">O610+P610</f>
        <v>29750.0895402152</v>
      </c>
      <c r="R610" s="15" t="n">
        <f aca="false">Q610-$G$2+$I$2</f>
        <v>30520.0895402152</v>
      </c>
      <c r="S610" s="42" t="n">
        <f aca="false">R610/$K$2</f>
        <v>292.254041369483</v>
      </c>
      <c r="T610" s="43" t="n">
        <f aca="false">S610-$M$2</f>
        <v>0.000857418511372998</v>
      </c>
    </row>
    <row r="611" customFormat="false" ht="15" hidden="false" customHeight="false" outlineLevel="0" collapsed="false">
      <c r="A611" s="5" t="n">
        <v>21</v>
      </c>
      <c r="B611" s="25" t="n">
        <f aca="false">IF(T610&gt;0,B610,D610)</f>
        <v>0.0315465927124023</v>
      </c>
      <c r="C611" s="25" t="n">
        <f aca="false">IF(T610&gt;0,D610,C610)</f>
        <v>0.031548023223877</v>
      </c>
      <c r="D611" s="41" t="n">
        <f aca="false">(B611+C611)/2</f>
        <v>0.0315473079681397</v>
      </c>
      <c r="E611" s="15" t="n">
        <f aca="false">$C$2*(1+IF(E$3&lt;=$O$2,$D611,$D611-($D611-$I$589)*MIN(E$3-$O$2,$Q$2)/$Q$2))</f>
        <v>2826.4396238327</v>
      </c>
      <c r="F611" s="15" t="n">
        <f aca="false">E611*(1+IF(F$3&lt;=$O$2,$D611,$D611-($D611-$I$589)*MIN(F$3-$O$2,$Q$2)/$Q$2))</f>
        <v>2915.60618509911</v>
      </c>
      <c r="G611" s="15" t="n">
        <f aca="false">F611*(1+IF(G$3&lt;=$O$2,$D611,$D611-($D611-$I$589)*MIN(G$3-$O$2,$Q$2)/$Q$2))</f>
        <v>3007.58571133424</v>
      </c>
      <c r="H611" s="15" t="n">
        <f aca="false">G611*(1+IF(H$3&lt;=$O$2,$D611,$D611-($D611-$I$589)*MIN(H$3-$O$2,$Q$2)/$Q$2))</f>
        <v>3102.46694401028</v>
      </c>
      <c r="I611" s="15" t="n">
        <f aca="false">H611*(1+IF(I$3&lt;=$O$2,$D611,$D611-($D611-$I$589)*MIN(I$3-$O$2,$Q$2)/$Q$2))</f>
        <v>3200.34142415394</v>
      </c>
      <c r="J611" s="15" t="n">
        <f aca="false">I611*(1+IF(J$3&lt;=$O$2,$D611,$D611-($D611-$I$589)*MIN(J$3-$O$2,$Q$2)/$Q$2))</f>
        <v>3292.82439897513</v>
      </c>
      <c r="K611" s="15" t="n">
        <f aca="false">J611*(1+IF(K$3&lt;=$O$2,$D611,$D611-($D611-$I$589)*MIN(K$3-$O$2,$Q$2)/$Q$2))</f>
        <v>3379.25572081531</v>
      </c>
      <c r="L611" s="15" t="n">
        <f aca="false">K611*(1+IF(L$3&lt;=$O$2,$D611,$D611-($D611-$I$589)*MIN(L$3-$O$2,$Q$2)/$Q$2))</f>
        <v>3459.00251700093</v>
      </c>
      <c r="M611" s="15" t="n">
        <f aca="false">L611*(1+IF(M$3&lt;=$O$2,$D611,$D611-($D611-$I$589)*MIN(M$3-$O$2,$Q$2)/$Q$2))</f>
        <v>3531.4667573831</v>
      </c>
      <c r="N611" s="15" t="n">
        <f aca="false">M611*(1+IF(N$3&lt;=$O$2,$D611,$D611-($D611-$I$589)*MIN(N$3-$O$2,$Q$2)/$Q$2))</f>
        <v>3596.09259904321</v>
      </c>
      <c r="O611" s="15" t="n">
        <f aca="false">SUMPRODUCT(E611:N611,1/(1+$F$589)^$E$3:$N$3)*$E$2</f>
        <v>14057.5933080581</v>
      </c>
      <c r="P611" s="15" t="n">
        <f aca="false">N611*$E$2*(1+$I$589)/($F$589-$I$589)/(1+$F$589)^$N$3</f>
        <v>15692.3763178636</v>
      </c>
      <c r="Q611" s="15" t="n">
        <f aca="false">O611+P611</f>
        <v>29749.9696259217</v>
      </c>
      <c r="R611" s="15" t="n">
        <f aca="false">Q611-$G$2+$I$2</f>
        <v>30519.9696259217</v>
      </c>
      <c r="S611" s="42" t="n">
        <f aca="false">R611/$K$2</f>
        <v>292.252893095104</v>
      </c>
      <c r="T611" s="43" t="n">
        <f aca="false">S611-$M$2</f>
        <v>-0.00029085586788824</v>
      </c>
    </row>
    <row r="612" customFormat="false" ht="15" hidden="false" customHeight="false" outlineLevel="0" collapsed="false">
      <c r="A612" s="5" t="n">
        <v>22</v>
      </c>
      <c r="B612" s="25" t="n">
        <f aca="false">IF(T611&gt;0,B611,D611)</f>
        <v>0.0315473079681397</v>
      </c>
      <c r="C612" s="25" t="n">
        <f aca="false">IF(T611&gt;0,D611,C611)</f>
        <v>0.031548023223877</v>
      </c>
      <c r="D612" s="41" t="n">
        <f aca="false">(B612+C612)/2</f>
        <v>0.0315476655960083</v>
      </c>
      <c r="E612" s="15" t="n">
        <f aca="false">$C$2*(1+IF(E$3&lt;=$O$2,$D612,$D612-($D612-$I$589)*MIN(E$3-$O$2,$Q$2)/$Q$2))</f>
        <v>2826.44060373306</v>
      </c>
      <c r="F612" s="15" t="n">
        <f aca="false">E612*(1+IF(F$3&lt;=$O$2,$D612,$D612-($D612-$I$589)*MIN(F$3-$O$2,$Q$2)/$Q$2))</f>
        <v>2915.60820672661</v>
      </c>
      <c r="G612" s="15" t="n">
        <f aca="false">F612*(1+IF(G$3&lt;=$O$2,$D612,$D612-($D612-$I$589)*MIN(G$3-$O$2,$Q$2)/$Q$2))</f>
        <v>3007.5888394414</v>
      </c>
      <c r="H612" s="15" t="n">
        <f aca="false">G612*(1+IF(H$3&lt;=$O$2,$D612,$D612-($D612-$I$589)*MIN(H$3-$O$2,$Q$2)/$Q$2))</f>
        <v>3102.47124639839</v>
      </c>
      <c r="I612" s="15" t="n">
        <f aca="false">H612*(1+IF(I$3&lt;=$O$2,$D612,$D612-($D612-$I$589)*MIN(I$3-$O$2,$Q$2)/$Q$2))</f>
        <v>3200.34697180099</v>
      </c>
      <c r="J612" s="15" t="n">
        <f aca="false">I612*(1+IF(J$3&lt;=$O$2,$D612,$D612-($D612-$I$589)*MIN(J$3-$O$2,$Q$2)/$Q$2))</f>
        <v>3292.83102256385</v>
      </c>
      <c r="K612" s="15" t="n">
        <f aca="false">J612*(1+IF(K$3&lt;=$O$2,$D612,$D612-($D612-$I$589)*MIN(K$3-$O$2,$Q$2)/$Q$2))</f>
        <v>3379.26322482742</v>
      </c>
      <c r="L612" s="15" t="n">
        <f aca="false">K612*(1+IF(L$3&lt;=$O$2,$D612,$D612-($D612-$I$589)*MIN(L$3-$O$2,$Q$2)/$Q$2))</f>
        <v>3459.01068150712</v>
      </c>
      <c r="M612" s="15" t="n">
        <f aca="false">L612*(1+IF(M$3&lt;=$O$2,$D612,$D612-($D612-$I$589)*MIN(M$3-$O$2,$Q$2)/$Q$2))</f>
        <v>3531.47534033902</v>
      </c>
      <c r="N612" s="15" t="n">
        <f aca="false">M612*(1+IF(N$3&lt;=$O$2,$D612,$D612-($D612-$I$589)*MIN(N$3-$O$2,$Q$2)/$Q$2))</f>
        <v>3596.10133906723</v>
      </c>
      <c r="O612" s="15" t="n">
        <f aca="false">SUMPRODUCT(E612:N612,1/(1+$F$589)^$E$3:$N$3)*$E$2</f>
        <v>14057.6151260442</v>
      </c>
      <c r="P612" s="15" t="n">
        <f aca="false">N612*$E$2*(1+$I$589)/($F$589-$I$589)/(1+$F$589)^$N$3</f>
        <v>15692.4144569666</v>
      </c>
      <c r="Q612" s="15" t="n">
        <f aca="false">O612+P612</f>
        <v>29750.0295830108</v>
      </c>
      <c r="R612" s="15" t="n">
        <f aca="false">Q612-$G$2+$I$2</f>
        <v>30520.0295830108</v>
      </c>
      <c r="S612" s="42" t="n">
        <f aca="false">R612/$K$2</f>
        <v>292.253467231742</v>
      </c>
      <c r="T612" s="43" t="n">
        <f aca="false">S612-$M$2</f>
        <v>0.000283280769508565</v>
      </c>
    </row>
    <row r="613" customFormat="false" ht="15" hidden="false" customHeight="false" outlineLevel="0" collapsed="false">
      <c r="A613" s="5" t="n">
        <v>23</v>
      </c>
      <c r="B613" s="25" t="n">
        <f aca="false">IF(T612&gt;0,B612,D612)</f>
        <v>0.0315473079681397</v>
      </c>
      <c r="C613" s="25" t="n">
        <f aca="false">IF(T612&gt;0,D612,C612)</f>
        <v>0.0315476655960083</v>
      </c>
      <c r="D613" s="41" t="n">
        <f aca="false">(B613+C613)/2</f>
        <v>0.031547486782074</v>
      </c>
      <c r="E613" s="15" t="n">
        <f aca="false">$C$2*(1+IF(E$3&lt;=$O$2,$D613,$D613-($D613-$I$589)*MIN(E$3-$O$2,$Q$2)/$Q$2))</f>
        <v>2826.44011378288</v>
      </c>
      <c r="F613" s="15" t="n">
        <f aca="false">E613*(1+IF(F$3&lt;=$O$2,$D613,$D613-($D613-$I$589)*MIN(F$3-$O$2,$Q$2)/$Q$2))</f>
        <v>2915.60719591277</v>
      </c>
      <c r="G613" s="15" t="n">
        <f aca="false">F613*(1+IF(G$3&lt;=$O$2,$D613,$D613-($D613-$I$589)*MIN(G$3-$O$2,$Q$2)/$Q$2))</f>
        <v>3007.58727538755</v>
      </c>
      <c r="H613" s="15" t="n">
        <f aca="false">G613*(1+IF(H$3&lt;=$O$2,$D613,$D613-($D613-$I$589)*MIN(H$3-$O$2,$Q$2)/$Q$2))</f>
        <v>3102.46909520377</v>
      </c>
      <c r="I613" s="15" t="n">
        <f aca="false">H613*(1+IF(I$3&lt;=$O$2,$D613,$D613-($D613-$I$589)*MIN(I$3-$O$2,$Q$2)/$Q$2))</f>
        <v>3200.34419797651</v>
      </c>
      <c r="J613" s="15" t="n">
        <f aca="false">I613*(1+IF(J$3&lt;=$O$2,$D613,$D613-($D613-$I$589)*MIN(J$3-$O$2,$Q$2)/$Q$2))</f>
        <v>3292.8277107681</v>
      </c>
      <c r="K613" s="15" t="n">
        <f aca="false">J613*(1+IF(K$3&lt;=$O$2,$D613,$D613-($D613-$I$589)*MIN(K$3-$O$2,$Q$2)/$Q$2))</f>
        <v>3379.25947281959</v>
      </c>
      <c r="L613" s="15" t="n">
        <f aca="false">K613*(1+IF(L$3&lt;=$O$2,$D613,$D613-($D613-$I$589)*MIN(L$3-$O$2,$Q$2)/$Q$2))</f>
        <v>3459.00659925193</v>
      </c>
      <c r="M613" s="15" t="n">
        <f aca="false">L613*(1+IF(M$3&lt;=$O$2,$D613,$D613-($D613-$I$589)*MIN(M$3-$O$2,$Q$2)/$Q$2))</f>
        <v>3531.47104885878</v>
      </c>
      <c r="N613" s="15" t="n">
        <f aca="false">M613*(1+IF(N$3&lt;=$O$2,$D613,$D613-($D613-$I$589)*MIN(N$3-$O$2,$Q$2)/$Q$2))</f>
        <v>3596.0969690529</v>
      </c>
      <c r="O613" s="15" t="n">
        <f aca="false">SUMPRODUCT(E613:N613,1/(1+$F$589)^$E$3:$N$3)*$E$2</f>
        <v>14057.6042170468</v>
      </c>
      <c r="P613" s="15" t="n">
        <f aca="false">N613*$E$2*(1+$I$589)/($F$589-$I$589)/(1+$F$589)^$N$3</f>
        <v>15692.395387405</v>
      </c>
      <c r="Q613" s="15" t="n">
        <f aca="false">O613+P613</f>
        <v>29749.9996044518</v>
      </c>
      <c r="R613" s="15" t="n">
        <f aca="false">Q613-$G$2+$I$2</f>
        <v>30519.9996044518</v>
      </c>
      <c r="S613" s="42" t="n">
        <f aca="false">R613/$K$2</f>
        <v>292.253180163285</v>
      </c>
      <c r="T613" s="43" t="n">
        <f aca="false">S613-$M$2</f>
        <v>-3.787687262502E-006</v>
      </c>
    </row>
    <row r="614" customFormat="false" ht="15" hidden="false" customHeight="false" outlineLevel="0" collapsed="false">
      <c r="A614" s="5" t="n">
        <v>24</v>
      </c>
      <c r="B614" s="25" t="n">
        <f aca="false">IF(T613&gt;0,B613,D613)</f>
        <v>0.031547486782074</v>
      </c>
      <c r="C614" s="25" t="n">
        <f aca="false">IF(T613&gt;0,D613,C613)</f>
        <v>0.0315476655960083</v>
      </c>
      <c r="D614" s="41" t="n">
        <f aca="false">(B614+C614)/2</f>
        <v>0.0315475761890411</v>
      </c>
      <c r="E614" s="15" t="n">
        <f aca="false">$C$2*(1+IF(E$3&lt;=$O$2,$D614,$D614-($D614-$I$589)*MIN(E$3-$O$2,$Q$2)/$Q$2))</f>
        <v>2826.44035875797</v>
      </c>
      <c r="F614" s="15" t="n">
        <f aca="false">E614*(1+IF(F$3&lt;=$O$2,$D614,$D614-($D614-$I$589)*MIN(F$3-$O$2,$Q$2)/$Q$2))</f>
        <v>2915.60770131967</v>
      </c>
      <c r="G614" s="15" t="n">
        <f aca="false">F614*(1+IF(G$3&lt;=$O$2,$D614,$D614-($D614-$I$589)*MIN(G$3-$O$2,$Q$2)/$Q$2))</f>
        <v>3007.58805741441</v>
      </c>
      <c r="H614" s="15" t="n">
        <f aca="false">G614*(1+IF(H$3&lt;=$O$2,$D614,$D614-($D614-$I$589)*MIN(H$3-$O$2,$Q$2)/$Q$2))</f>
        <v>3102.47017080094</v>
      </c>
      <c r="I614" s="15" t="n">
        <f aca="false">H614*(1+IF(I$3&lt;=$O$2,$D614,$D614-($D614-$I$589)*MIN(I$3-$O$2,$Q$2)/$Q$2))</f>
        <v>3200.34558488851</v>
      </c>
      <c r="J614" s="15" t="n">
        <f aca="false">I614*(1+IF(J$3&lt;=$O$2,$D614,$D614-($D614-$I$589)*MIN(J$3-$O$2,$Q$2)/$Q$2))</f>
        <v>3292.82936666563</v>
      </c>
      <c r="K614" s="15" t="n">
        <f aca="false">J614*(1+IF(K$3&lt;=$O$2,$D614,$D614-($D614-$I$589)*MIN(K$3-$O$2,$Q$2)/$Q$2))</f>
        <v>3379.26134882306</v>
      </c>
      <c r="L614" s="15" t="n">
        <f aca="false">K614*(1+IF(L$3&lt;=$O$2,$D614,$D614-($D614-$I$589)*MIN(L$3-$O$2,$Q$2)/$Q$2))</f>
        <v>3459.008640379</v>
      </c>
      <c r="M614" s="15" t="n">
        <f aca="false">L614*(1+IF(M$3&lt;=$O$2,$D614,$D614-($D614-$I$589)*MIN(M$3-$O$2,$Q$2)/$Q$2))</f>
        <v>3531.47319459834</v>
      </c>
      <c r="N614" s="15" t="n">
        <f aca="false">M614*(1+IF(N$3&lt;=$O$2,$D614,$D614-($D614-$I$589)*MIN(N$3-$O$2,$Q$2)/$Q$2))</f>
        <v>3596.09915405948</v>
      </c>
      <c r="O614" s="15" t="n">
        <f aca="false">SUMPRODUCT(E614:N614,1/(1+$F$589)^$E$3:$N$3)*$E$2</f>
        <v>14057.6096715444</v>
      </c>
      <c r="P614" s="15" t="n">
        <f aca="false">N614*$E$2*(1+$I$589)/($F$589-$I$589)/(1+$F$589)^$N$3</f>
        <v>15692.4049221833</v>
      </c>
      <c r="Q614" s="15" t="n">
        <f aca="false">O614+P614</f>
        <v>29750.0145937277</v>
      </c>
      <c r="R614" s="15" t="n">
        <f aca="false">Q614-$G$2+$I$2</f>
        <v>30520.0145937277</v>
      </c>
      <c r="S614" s="42" t="n">
        <f aca="false">R614/$K$2</f>
        <v>292.253323697479</v>
      </c>
      <c r="T614" s="43" t="n">
        <f aca="false">S614-$M$2</f>
        <v>0.000139746506590654</v>
      </c>
    </row>
    <row r="616" customFormat="false" ht="15" hidden="false" customHeight="false" outlineLevel="0" collapsed="false">
      <c r="A616" s="38" t="s">
        <v>200</v>
      </c>
      <c r="E616" s="5" t="s">
        <v>11</v>
      </c>
      <c r="F616" s="12" t="n">
        <f aca="false">Sensitivity!$B$14</f>
        <v>0.0872772551778937</v>
      </c>
      <c r="G616" s="5" t="s">
        <v>12</v>
      </c>
      <c r="I616" s="12" t="n">
        <f aca="false">Sensitivity!$D$9</f>
        <v>0.0233</v>
      </c>
    </row>
    <row r="617" customFormat="false" ht="23.85" hidden="false" customHeight="false" outlineLevel="0" collapsed="false">
      <c r="A617" s="38" t="s">
        <v>159</v>
      </c>
      <c r="B617" s="28" t="s">
        <v>160</v>
      </c>
      <c r="C617" s="28" t="s">
        <v>161</v>
      </c>
      <c r="D617" s="28" t="s">
        <v>162</v>
      </c>
      <c r="E617" s="28" t="s">
        <v>163</v>
      </c>
      <c r="F617" s="28" t="s">
        <v>164</v>
      </c>
      <c r="G617" s="28" t="s">
        <v>165</v>
      </c>
      <c r="H617" s="28" t="s">
        <v>166</v>
      </c>
      <c r="I617" s="28" t="s">
        <v>167</v>
      </c>
      <c r="J617" s="28" t="s">
        <v>168</v>
      </c>
      <c r="K617" s="28" t="s">
        <v>169</v>
      </c>
      <c r="L617" s="28" t="s">
        <v>170</v>
      </c>
      <c r="M617" s="28" t="s">
        <v>171</v>
      </c>
      <c r="N617" s="28" t="s">
        <v>172</v>
      </c>
      <c r="O617" s="28" t="s">
        <v>173</v>
      </c>
      <c r="P617" s="28" t="s">
        <v>174</v>
      </c>
      <c r="Q617" s="28" t="s">
        <v>175</v>
      </c>
      <c r="R617" s="28" t="s">
        <v>176</v>
      </c>
      <c r="S617" s="28" t="s">
        <v>177</v>
      </c>
      <c r="T617" s="28" t="s">
        <v>178</v>
      </c>
    </row>
    <row r="618" customFormat="false" ht="15" hidden="false" customHeight="false" outlineLevel="0" collapsed="false">
      <c r="A618" s="5" t="n">
        <v>1</v>
      </c>
      <c r="B618" s="24" t="n">
        <v>-0.5</v>
      </c>
      <c r="C618" s="24" t="n">
        <v>1</v>
      </c>
      <c r="D618" s="41" t="n">
        <f aca="false">(B618+C618)/2</f>
        <v>0.25</v>
      </c>
      <c r="E618" s="15" t="n">
        <f aca="false">$C$2*(1+IF(E$3&lt;=$O$2,$D618,$D618-($D618-$I$616)*MIN(E$3-$O$2,$Q$2)/$Q$2))</f>
        <v>3425</v>
      </c>
      <c r="F618" s="15" t="n">
        <f aca="false">E618*(1+IF(F$3&lt;=$O$2,$D618,$D618-($D618-$I$616)*MIN(F$3-$O$2,$Q$2)/$Q$2))</f>
        <v>4281.25</v>
      </c>
      <c r="G618" s="15" t="n">
        <f aca="false">F618*(1+IF(G$3&lt;=$O$2,$D618,$D618-($D618-$I$616)*MIN(G$3-$O$2,$Q$2)/$Q$2))</f>
        <v>5351.5625</v>
      </c>
      <c r="H618" s="15" t="n">
        <f aca="false">G618*(1+IF(H$3&lt;=$O$2,$D618,$D618-($D618-$I$616)*MIN(H$3-$O$2,$Q$2)/$Q$2))</f>
        <v>6689.453125</v>
      </c>
      <c r="I618" s="15" t="n">
        <f aca="false">H618*(1+IF(I$3&lt;=$O$2,$D618,$D618-($D618-$I$616)*MIN(I$3-$O$2,$Q$2)/$Q$2))</f>
        <v>8361.81640625</v>
      </c>
      <c r="J618" s="15" t="n">
        <f aca="false">I618*(1+IF(J$3&lt;=$O$2,$D618,$D618-($D618-$I$616)*MIN(J$3-$O$2,$Q$2)/$Q$2))</f>
        <v>10073.1457519531</v>
      </c>
      <c r="K618" s="15" t="n">
        <f aca="false">J618*(1+IF(K$3&lt;=$O$2,$D618,$D618-($D618-$I$616)*MIN(K$3-$O$2,$Q$2)/$Q$2))</f>
        <v>11677.9993331543</v>
      </c>
      <c r="L618" s="15" t="n">
        <f aca="false">K618*(1+IF(L$3&lt;=$O$2,$D618,$D618-($D618-$I$616)*MIN(L$3-$O$2,$Q$2)/$Q$2))</f>
        <v>13009.0576971472</v>
      </c>
      <c r="M618" s="15" t="n">
        <f aca="false">L618*(1+IF(M$3&lt;=$O$2,$D618,$D618-($D618-$I$616)*MIN(M$3-$O$2,$Q$2)/$Q$2))</f>
        <v>13901.9994174794</v>
      </c>
      <c r="N618" s="15" t="n">
        <f aca="false">M618*(1+IF(N$3&lt;=$O$2,$D618,$D618-($D618-$I$616)*MIN(N$3-$O$2,$Q$2)/$Q$2))</f>
        <v>14225.9160039067</v>
      </c>
      <c r="O618" s="15" t="n">
        <f aca="false">SUMPRODUCT(E618:N618,1/(1+$F$616)^$E$3:$N$3)*$E$2</f>
        <v>36302.3029063772</v>
      </c>
      <c r="P618" s="15" t="n">
        <f aca="false">N618*$E$2*(1+$I$616)/($F$616-$I$616)/(1+$F$616)^$N$3</f>
        <v>67258.2593349238</v>
      </c>
      <c r="Q618" s="15" t="n">
        <f aca="false">O618+P618</f>
        <v>103560.562241301</v>
      </c>
      <c r="R618" s="15" t="n">
        <f aca="false">Q618-$G$2+$I$2</f>
        <v>104330.562241301</v>
      </c>
      <c r="S618" s="42" t="n">
        <f aca="false">R618/$K$2</f>
        <v>999.047804666293</v>
      </c>
      <c r="T618" s="43" t="n">
        <f aca="false">S618-$M$2</f>
        <v>706.794620715321</v>
      </c>
    </row>
    <row r="619" customFormat="false" ht="15" hidden="false" customHeight="false" outlineLevel="0" collapsed="false">
      <c r="A619" s="5" t="n">
        <v>2</v>
      </c>
      <c r="B619" s="25" t="n">
        <f aca="false">IF(T618&gt;0,B618,D618)</f>
        <v>-0.5</v>
      </c>
      <c r="C619" s="25" t="n">
        <f aca="false">IF(T618&gt;0,D618,C618)</f>
        <v>0.25</v>
      </c>
      <c r="D619" s="41" t="n">
        <f aca="false">(B619+C619)/2</f>
        <v>-0.125</v>
      </c>
      <c r="E619" s="15" t="n">
        <f aca="false">$C$2*(1+IF(E$3&lt;=$O$2,$D619,$D619-($D619-$I$616)*MIN(E$3-$O$2,$Q$2)/$Q$2))</f>
        <v>2397.5</v>
      </c>
      <c r="F619" s="15" t="n">
        <f aca="false">E619*(1+IF(F$3&lt;=$O$2,$D619,$D619-($D619-$I$616)*MIN(F$3-$O$2,$Q$2)/$Q$2))</f>
        <v>2097.8125</v>
      </c>
      <c r="G619" s="15" t="n">
        <f aca="false">F619*(1+IF(G$3&lt;=$O$2,$D619,$D619-($D619-$I$616)*MIN(G$3-$O$2,$Q$2)/$Q$2))</f>
        <v>1835.5859375</v>
      </c>
      <c r="H619" s="15" t="n">
        <f aca="false">G619*(1+IF(H$3&lt;=$O$2,$D619,$D619-($D619-$I$616)*MIN(H$3-$O$2,$Q$2)/$Q$2))</f>
        <v>1606.1376953125</v>
      </c>
      <c r="I619" s="15" t="n">
        <f aca="false">H619*(1+IF(I$3&lt;=$O$2,$D619,$D619-($D619-$I$616)*MIN(I$3-$O$2,$Q$2)/$Q$2))</f>
        <v>1405.37048339844</v>
      </c>
      <c r="J619" s="15" t="n">
        <f aca="false">I619*(1+IF(J$3&lt;=$O$2,$D619,$D619-($D619-$I$616)*MIN(J$3-$O$2,$Q$2)/$Q$2))</f>
        <v>1271.38246151123</v>
      </c>
      <c r="K619" s="15" t="n">
        <f aca="false">J619*(1+IF(K$3&lt;=$O$2,$D619,$D619-($D619-$I$616)*MIN(K$3-$O$2,$Q$2)/$Q$2))</f>
        <v>1187.87806143917</v>
      </c>
      <c r="L619" s="15" t="n">
        <f aca="false">K619*(1+IF(L$3&lt;=$O$2,$D619,$D619-($D619-$I$616)*MIN(L$3-$O$2,$Q$2)/$Q$2))</f>
        <v>1145.09069366613</v>
      </c>
      <c r="M619" s="15" t="n">
        <f aca="false">L619*(1+IF(M$3&lt;=$O$2,$D619,$D619-($D619-$I$616)*MIN(M$3-$O$2,$Q$2)/$Q$2))</f>
        <v>1137.80791685442</v>
      </c>
      <c r="N619" s="15" t="n">
        <f aca="false">M619*(1+IF(N$3&lt;=$O$2,$D619,$D619-($D619-$I$616)*MIN(N$3-$O$2,$Q$2)/$Q$2))</f>
        <v>1164.31884131713</v>
      </c>
      <c r="O619" s="15" t="n">
        <f aca="false">SUMPRODUCT(E619:N619,1/(1+$F$616)^$E$3:$N$3)*$E$2</f>
        <v>7192.70363515956</v>
      </c>
      <c r="P619" s="15" t="n">
        <f aca="false">N619*$E$2*(1+$I$616)/($F$616-$I$616)/(1+$F$616)^$N$3</f>
        <v>5504.74630641288</v>
      </c>
      <c r="Q619" s="15" t="n">
        <f aca="false">O619+P619</f>
        <v>12697.4499415724</v>
      </c>
      <c r="R619" s="15" t="n">
        <f aca="false">Q619-$G$2+$I$2</f>
        <v>13467.4499415724</v>
      </c>
      <c r="S619" s="42" t="n">
        <f aca="false">R619/$K$2</f>
        <v>128.961504755075</v>
      </c>
      <c r="T619" s="43" t="n">
        <f aca="false">S619-$M$2</f>
        <v>-163.291679195897</v>
      </c>
    </row>
    <row r="620" customFormat="false" ht="15" hidden="false" customHeight="false" outlineLevel="0" collapsed="false">
      <c r="A620" s="5" t="n">
        <v>3</v>
      </c>
      <c r="B620" s="25" t="n">
        <f aca="false">IF(T619&gt;0,B619,D619)</f>
        <v>-0.125</v>
      </c>
      <c r="C620" s="25" t="n">
        <f aca="false">IF(T619&gt;0,D619,C619)</f>
        <v>0.25</v>
      </c>
      <c r="D620" s="41" t="n">
        <f aca="false">(B620+C620)/2</f>
        <v>0.0625</v>
      </c>
      <c r="E620" s="15" t="n">
        <f aca="false">$C$2*(1+IF(E$3&lt;=$O$2,$D620,$D620-($D620-$I$616)*MIN(E$3-$O$2,$Q$2)/$Q$2))</f>
        <v>2911.25</v>
      </c>
      <c r="F620" s="15" t="n">
        <f aca="false">E620*(1+IF(F$3&lt;=$O$2,$D620,$D620-($D620-$I$616)*MIN(F$3-$O$2,$Q$2)/$Q$2))</f>
        <v>3093.203125</v>
      </c>
      <c r="G620" s="15" t="n">
        <f aca="false">F620*(1+IF(G$3&lt;=$O$2,$D620,$D620-($D620-$I$616)*MIN(G$3-$O$2,$Q$2)/$Q$2))</f>
        <v>3286.5283203125</v>
      </c>
      <c r="H620" s="15" t="n">
        <f aca="false">G620*(1+IF(H$3&lt;=$O$2,$D620,$D620-($D620-$I$616)*MIN(H$3-$O$2,$Q$2)/$Q$2))</f>
        <v>3491.93634033203</v>
      </c>
      <c r="I620" s="15" t="n">
        <f aca="false">H620*(1+IF(I$3&lt;=$O$2,$D620,$D620-($D620-$I$616)*MIN(I$3-$O$2,$Q$2)/$Q$2))</f>
        <v>3710.18236160278</v>
      </c>
      <c r="J620" s="15" t="n">
        <f aca="false">I620*(1+IF(J$3&lt;=$O$2,$D620,$D620-($D620-$I$616)*MIN(J$3-$O$2,$Q$2)/$Q$2))</f>
        <v>3912.98092948799</v>
      </c>
      <c r="K620" s="15" t="n">
        <f aca="false">J620*(1+IF(K$3&lt;=$O$2,$D620,$D620-($D620-$I$616)*MIN(K$3-$O$2,$Q$2)/$Q$2))</f>
        <v>4096.18669660662</v>
      </c>
      <c r="L620" s="15" t="n">
        <f aca="false">K620*(1+IF(L$3&lt;=$O$2,$D620,$D620-($D620-$I$616)*MIN(L$3-$O$2,$Q$2)/$Q$2))</f>
        <v>4255.85605404035</v>
      </c>
      <c r="M620" s="15" t="n">
        <f aca="false">L620*(1+IF(M$3&lt;=$O$2,$D620,$D620-($D620-$I$616)*MIN(M$3-$O$2,$Q$2)/$Q$2))</f>
        <v>4388.38341156316</v>
      </c>
      <c r="N620" s="15" t="n">
        <f aca="false">M620*(1+IF(N$3&lt;=$O$2,$D620,$D620-($D620-$I$616)*MIN(N$3-$O$2,$Q$2)/$Q$2))</f>
        <v>4490.63274505258</v>
      </c>
      <c r="O620" s="15" t="n">
        <f aca="false">SUMPRODUCT(E620:N620,1/(1+$F$616)^$E$3:$N$3)*$E$2</f>
        <v>16127.4964412573</v>
      </c>
      <c r="P620" s="15" t="n">
        <f aca="false">N620*$E$2*(1+$I$616)/($F$616-$I$616)/(1+$F$616)^$N$3</f>
        <v>21231.1208404228</v>
      </c>
      <c r="Q620" s="15" t="n">
        <f aca="false">O620+P620</f>
        <v>37358.6172816801</v>
      </c>
      <c r="R620" s="15" t="n">
        <f aca="false">Q620-$G$2+$I$2</f>
        <v>38128.6172816801</v>
      </c>
      <c r="S620" s="42" t="n">
        <f aca="false">R620/$K$2</f>
        <v>365.111723467204</v>
      </c>
      <c r="T620" s="43" t="n">
        <f aca="false">S620-$M$2</f>
        <v>72.8585395162321</v>
      </c>
    </row>
    <row r="621" customFormat="false" ht="15" hidden="false" customHeight="false" outlineLevel="0" collapsed="false">
      <c r="A621" s="5" t="n">
        <v>4</v>
      </c>
      <c r="B621" s="25" t="n">
        <f aca="false">IF(T620&gt;0,B620,D620)</f>
        <v>-0.125</v>
      </c>
      <c r="C621" s="25" t="n">
        <f aca="false">IF(T620&gt;0,D620,C620)</f>
        <v>0.0625</v>
      </c>
      <c r="D621" s="41" t="n">
        <f aca="false">(B621+C621)/2</f>
        <v>-0.03125</v>
      </c>
      <c r="E621" s="15" t="n">
        <f aca="false">$C$2*(1+IF(E$3&lt;=$O$2,$D621,$D621-($D621-$I$616)*MIN(E$3-$O$2,$Q$2)/$Q$2))</f>
        <v>2654.375</v>
      </c>
      <c r="F621" s="15" t="n">
        <f aca="false">E621*(1+IF(F$3&lt;=$O$2,$D621,$D621-($D621-$I$616)*MIN(F$3-$O$2,$Q$2)/$Q$2))</f>
        <v>2571.42578125</v>
      </c>
      <c r="G621" s="15" t="n">
        <f aca="false">F621*(1+IF(G$3&lt;=$O$2,$D621,$D621-($D621-$I$616)*MIN(G$3-$O$2,$Q$2)/$Q$2))</f>
        <v>2491.06872558594</v>
      </c>
      <c r="H621" s="15" t="n">
        <f aca="false">G621*(1+IF(H$3&lt;=$O$2,$D621,$D621-($D621-$I$616)*MIN(H$3-$O$2,$Q$2)/$Q$2))</f>
        <v>2413.22282791138</v>
      </c>
      <c r="I621" s="15" t="n">
        <f aca="false">H621*(1+IF(I$3&lt;=$O$2,$D621,$D621-($D621-$I$616)*MIN(I$3-$O$2,$Q$2)/$Q$2))</f>
        <v>2337.80961453915</v>
      </c>
      <c r="J621" s="15" t="n">
        <f aca="false">I621*(1+IF(J$3&lt;=$O$2,$D621,$D621-($D621-$I$616)*MIN(J$3-$O$2,$Q$2)/$Q$2))</f>
        <v>2290.25856697942</v>
      </c>
      <c r="K621" s="15" t="n">
        <f aca="false">J621*(1+IF(K$3&lt;=$O$2,$D621,$D621-($D621-$I$616)*MIN(K$3-$O$2,$Q$2)/$Q$2))</f>
        <v>2268.6614286928</v>
      </c>
      <c r="L621" s="15" t="n">
        <f aca="false">K621*(1+IF(L$3&lt;=$O$2,$D621,$D621-($D621-$I$616)*MIN(L$3-$O$2,$Q$2)/$Q$2))</f>
        <v>2272.01904760727</v>
      </c>
      <c r="M621" s="15" t="n">
        <f aca="false">L621*(1+IF(M$3&lt;=$O$2,$D621,$D621-($D621-$I$616)*MIN(M$3-$O$2,$Q$2)/$Q$2))</f>
        <v>2300.16936360712</v>
      </c>
      <c r="N621" s="15" t="n">
        <f aca="false">M621*(1+IF(N$3&lt;=$O$2,$D621,$D621-($D621-$I$616)*MIN(N$3-$O$2,$Q$2)/$Q$2))</f>
        <v>2353.76330977917</v>
      </c>
      <c r="O621" s="15" t="n">
        <f aca="false">SUMPRODUCT(E621:N621,1/(1+$F$616)^$E$3:$N$3)*$E$2</f>
        <v>10738.8135105527</v>
      </c>
      <c r="P621" s="15" t="n">
        <f aca="false">N621*$E$2*(1+$I$616)/($F$616-$I$616)/(1+$F$616)^$N$3</f>
        <v>11128.2832724924</v>
      </c>
      <c r="Q621" s="15" t="n">
        <f aca="false">O621+P621</f>
        <v>21867.0967830451</v>
      </c>
      <c r="R621" s="15" t="n">
        <f aca="false">Q621-$G$2+$I$2</f>
        <v>22637.0967830451</v>
      </c>
      <c r="S621" s="42" t="n">
        <f aca="false">R621/$K$2</f>
        <v>216.768139261181</v>
      </c>
      <c r="T621" s="43" t="n">
        <f aca="false">S621-$M$2</f>
        <v>-75.4850446897915</v>
      </c>
    </row>
    <row r="622" customFormat="false" ht="15" hidden="false" customHeight="false" outlineLevel="0" collapsed="false">
      <c r="A622" s="5" t="n">
        <v>5</v>
      </c>
      <c r="B622" s="25" t="n">
        <f aca="false">IF(T621&gt;0,B621,D621)</f>
        <v>-0.03125</v>
      </c>
      <c r="C622" s="25" t="n">
        <f aca="false">IF(T621&gt;0,D621,C621)</f>
        <v>0.0625</v>
      </c>
      <c r="D622" s="41" t="n">
        <f aca="false">(B622+C622)/2</f>
        <v>0.015625</v>
      </c>
      <c r="E622" s="15" t="n">
        <f aca="false">$C$2*(1+IF(E$3&lt;=$O$2,$D622,$D622-($D622-$I$616)*MIN(E$3-$O$2,$Q$2)/$Q$2))</f>
        <v>2782.8125</v>
      </c>
      <c r="F622" s="15" t="n">
        <f aca="false">E622*(1+IF(F$3&lt;=$O$2,$D622,$D622-($D622-$I$616)*MIN(F$3-$O$2,$Q$2)/$Q$2))</f>
        <v>2826.2939453125</v>
      </c>
      <c r="G622" s="15" t="n">
        <f aca="false">F622*(1+IF(G$3&lt;=$O$2,$D622,$D622-($D622-$I$616)*MIN(G$3-$O$2,$Q$2)/$Q$2))</f>
        <v>2870.45478820801</v>
      </c>
      <c r="H622" s="15" t="n">
        <f aca="false">G622*(1+IF(H$3&lt;=$O$2,$D622,$D622-($D622-$I$616)*MIN(H$3-$O$2,$Q$2)/$Q$2))</f>
        <v>2915.30564427376</v>
      </c>
      <c r="I622" s="15" t="n">
        <f aca="false">H622*(1+IF(I$3&lt;=$O$2,$D622,$D622-($D622-$I$616)*MIN(I$3-$O$2,$Q$2)/$Q$2))</f>
        <v>2960.85729496554</v>
      </c>
      <c r="J622" s="15" t="n">
        <f aca="false">I622*(1+IF(J$3&lt;=$O$2,$D622,$D622-($D622-$I$616)*MIN(J$3-$O$2,$Q$2)/$Q$2))</f>
        <v>3011.66560614714</v>
      </c>
      <c r="K622" s="15" t="n">
        <f aca="false">J622*(1+IF(K$3&lt;=$O$2,$D622,$D622-($D622-$I$616)*MIN(K$3-$O$2,$Q$2)/$Q$2))</f>
        <v>3067.96869465406</v>
      </c>
      <c r="L622" s="15" t="n">
        <f aca="false">K622*(1+IF(L$3&lt;=$O$2,$D622,$D622-($D622-$I$616)*MIN(L$3-$O$2,$Q$2)/$Q$2))</f>
        <v>3130.03370134692</v>
      </c>
      <c r="M622" s="15" t="n">
        <f aca="false">L622*(1+IF(M$3&lt;=$O$2,$D622,$D622-($D622-$I$616)*MIN(M$3-$O$2,$Q$2)/$Q$2))</f>
        <v>3198.15888485673</v>
      </c>
      <c r="N622" s="15" t="n">
        <f aca="false">M622*(1+IF(N$3&lt;=$O$2,$D622,$D622-($D622-$I$616)*MIN(N$3-$O$2,$Q$2)/$Q$2))</f>
        <v>3272.67598687389</v>
      </c>
      <c r="O622" s="15" t="n">
        <f aca="false">SUMPRODUCT(E622:N622,1/(1+$F$616)^$E$3:$N$3)*$E$2</f>
        <v>13154.7846472255</v>
      </c>
      <c r="P622" s="15" t="n">
        <f aca="false">N622*$E$2*(1+$I$616)/($F$616-$I$616)/(1+$F$616)^$N$3</f>
        <v>15472.7815195798</v>
      </c>
      <c r="Q622" s="15" t="n">
        <f aca="false">O622+P622</f>
        <v>28627.5661668054</v>
      </c>
      <c r="R622" s="15" t="n">
        <f aca="false">Q622-$G$2+$I$2</f>
        <v>29397.5661668054</v>
      </c>
      <c r="S622" s="42" t="n">
        <f aca="false">R622/$K$2</f>
        <v>281.504990585132</v>
      </c>
      <c r="T622" s="43" t="n">
        <f aca="false">S622-$M$2</f>
        <v>-10.7481933658397</v>
      </c>
    </row>
    <row r="623" customFormat="false" ht="15" hidden="false" customHeight="false" outlineLevel="0" collapsed="false">
      <c r="A623" s="5" t="n">
        <v>6</v>
      </c>
      <c r="B623" s="25" t="n">
        <f aca="false">IF(T622&gt;0,B622,D622)</f>
        <v>0.015625</v>
      </c>
      <c r="C623" s="25" t="n">
        <f aca="false">IF(T622&gt;0,D622,C622)</f>
        <v>0.0625</v>
      </c>
      <c r="D623" s="41" t="n">
        <f aca="false">(B623+C623)/2</f>
        <v>0.0390625</v>
      </c>
      <c r="E623" s="15" t="n">
        <f aca="false">$C$2*(1+IF(E$3&lt;=$O$2,$D623,$D623-($D623-$I$616)*MIN(E$3-$O$2,$Q$2)/$Q$2))</f>
        <v>2847.03125</v>
      </c>
      <c r="F623" s="15" t="n">
        <f aca="false">E623*(1+IF(F$3&lt;=$O$2,$D623,$D623-($D623-$I$616)*MIN(F$3-$O$2,$Q$2)/$Q$2))</f>
        <v>2958.24340820313</v>
      </c>
      <c r="G623" s="15" t="n">
        <f aca="false">F623*(1+IF(G$3&lt;=$O$2,$D623,$D623-($D623-$I$616)*MIN(G$3-$O$2,$Q$2)/$Q$2))</f>
        <v>3073.79979133606</v>
      </c>
      <c r="H623" s="15" t="n">
        <f aca="false">G623*(1+IF(H$3&lt;=$O$2,$D623,$D623-($D623-$I$616)*MIN(H$3-$O$2,$Q$2)/$Q$2))</f>
        <v>3193.87009568512</v>
      </c>
      <c r="I623" s="15" t="n">
        <f aca="false">H623*(1+IF(I$3&lt;=$O$2,$D623,$D623-($D623-$I$616)*MIN(I$3-$O$2,$Q$2)/$Q$2))</f>
        <v>3318.63064629782</v>
      </c>
      <c r="J623" s="15" t="n">
        <f aca="false">I623*(1+IF(J$3&lt;=$O$2,$D623,$D623-($D623-$I$616)*MIN(J$3-$O$2,$Q$2)/$Q$2))</f>
        <v>3437.80267280638</v>
      </c>
      <c r="K623" s="15" t="n">
        <f aca="false">J623*(1+IF(K$3&lt;=$O$2,$D623,$D623-($D623-$I$616)*MIN(K$3-$O$2,$Q$2)/$Q$2))</f>
        <v>3550.41649386083</v>
      </c>
      <c r="L623" s="15" t="n">
        <f aca="false">K623*(1+IF(L$3&lt;=$O$2,$D623,$D623-($D623-$I$616)*MIN(L$3-$O$2,$Q$2)/$Q$2))</f>
        <v>3655.52657416158</v>
      </c>
      <c r="M623" s="15" t="n">
        <f aca="false">L623*(1+IF(M$3&lt;=$O$2,$D623,$D623-($D623-$I$616)*MIN(M$3-$O$2,$Q$2)/$Q$2))</f>
        <v>3752.22439086459</v>
      </c>
      <c r="N623" s="15" t="n">
        <f aca="false">M623*(1+IF(N$3&lt;=$O$2,$D623,$D623-($D623-$I$616)*MIN(N$3-$O$2,$Q$2)/$Q$2))</f>
        <v>3839.65121917174</v>
      </c>
      <c r="O623" s="15" t="n">
        <f aca="false">SUMPRODUCT(E623:N623,1/(1+$F$616)^$E$3:$N$3)*$E$2</f>
        <v>14564.591457999</v>
      </c>
      <c r="P623" s="15" t="n">
        <f aca="false">N623*$E$2*(1+$I$616)/($F$616-$I$616)/(1+$F$616)^$N$3</f>
        <v>18153.3658278166</v>
      </c>
      <c r="Q623" s="15" t="n">
        <f aca="false">O623+P623</f>
        <v>32717.9572858156</v>
      </c>
      <c r="R623" s="15" t="n">
        <f aca="false">Q623-$G$2+$I$2</f>
        <v>33487.9572858156</v>
      </c>
      <c r="S623" s="42" t="n">
        <f aca="false">R623/$K$2</f>
        <v>320.673726762574</v>
      </c>
      <c r="T623" s="43" t="n">
        <f aca="false">S623-$M$2</f>
        <v>28.4205428116018</v>
      </c>
    </row>
    <row r="624" customFormat="false" ht="15" hidden="false" customHeight="false" outlineLevel="0" collapsed="false">
      <c r="A624" s="5" t="n">
        <v>7</v>
      </c>
      <c r="B624" s="25" t="n">
        <f aca="false">IF(T623&gt;0,B623,D623)</f>
        <v>0.015625</v>
      </c>
      <c r="C624" s="25" t="n">
        <f aca="false">IF(T623&gt;0,D623,C623)</f>
        <v>0.0390625</v>
      </c>
      <c r="D624" s="41" t="n">
        <f aca="false">(B624+C624)/2</f>
        <v>0.02734375</v>
      </c>
      <c r="E624" s="15" t="n">
        <f aca="false">$C$2*(1+IF(E$3&lt;=$O$2,$D624,$D624-($D624-$I$616)*MIN(E$3-$O$2,$Q$2)/$Q$2))</f>
        <v>2814.921875</v>
      </c>
      <c r="F624" s="15" t="n">
        <f aca="false">E624*(1+IF(F$3&lt;=$O$2,$D624,$D624-($D624-$I$616)*MIN(F$3-$O$2,$Q$2)/$Q$2))</f>
        <v>2891.89239501953</v>
      </c>
      <c r="G624" s="15" t="n">
        <f aca="false">F624*(1+IF(G$3&lt;=$O$2,$D624,$D624-($D624-$I$616)*MIN(G$3-$O$2,$Q$2)/$Q$2))</f>
        <v>2970.96757769585</v>
      </c>
      <c r="H624" s="15" t="n">
        <f aca="false">G624*(1+IF(H$3&lt;=$O$2,$D624,$D624-($D624-$I$616)*MIN(H$3-$O$2,$Q$2)/$Q$2))</f>
        <v>3052.20497239847</v>
      </c>
      <c r="I624" s="15" t="n">
        <f aca="false">H624*(1+IF(I$3&lt;=$O$2,$D624,$D624-($D624-$I$616)*MIN(I$3-$O$2,$Q$2)/$Q$2))</f>
        <v>3135.66370211249</v>
      </c>
      <c r="J624" s="15" t="n">
        <f aca="false">I624*(1+IF(J$3&lt;=$O$2,$D624,$D624-($D624-$I$616)*MIN(J$3-$O$2,$Q$2)/$Q$2))</f>
        <v>3218.86853844804</v>
      </c>
      <c r="K624" s="15" t="n">
        <f aca="false">J624*(1+IF(K$3&lt;=$O$2,$D624,$D624-($D624-$I$616)*MIN(K$3-$O$2,$Q$2)/$Q$2))</f>
        <v>3301.67795518529</v>
      </c>
      <c r="L624" s="15" t="n">
        <f aca="false">K624*(1+IF(L$3&lt;=$O$2,$D624,$D624-($D624-$I$616)*MIN(L$3-$O$2,$Q$2)/$Q$2))</f>
        <v>3383.94751563362</v>
      </c>
      <c r="M624" s="15" t="n">
        <f aca="false">L624*(1+IF(M$3&lt;=$O$2,$D624,$D624-($D624-$I$616)*MIN(M$3-$O$2,$Q$2)/$Q$2))</f>
        <v>3465.53026030115</v>
      </c>
      <c r="N624" s="15" t="n">
        <f aca="false">M624*(1+IF(N$3&lt;=$O$2,$D624,$D624-($D624-$I$616)*MIN(N$3-$O$2,$Q$2)/$Q$2))</f>
        <v>3546.27711536617</v>
      </c>
      <c r="O624" s="15" t="n">
        <f aca="false">SUMPRODUCT(E624:N624,1/(1+$F$616)^$E$3:$N$3)*$E$2</f>
        <v>13841.4667811762</v>
      </c>
      <c r="P624" s="15" t="n">
        <f aca="false">N624*$E$2*(1+$I$616)/($F$616-$I$616)/(1+$F$616)^$N$3</f>
        <v>16766.3316607031</v>
      </c>
      <c r="Q624" s="15" t="n">
        <f aca="false">O624+P624</f>
        <v>30607.7984418792</v>
      </c>
      <c r="R624" s="15" t="n">
        <f aca="false">Q624-$G$2+$I$2</f>
        <v>31377.7984418792</v>
      </c>
      <c r="S624" s="42" t="n">
        <f aca="false">R624/$K$2</f>
        <v>300.467283748724</v>
      </c>
      <c r="T624" s="43" t="n">
        <f aca="false">S624-$M$2</f>
        <v>8.21409979775194</v>
      </c>
    </row>
    <row r="625" customFormat="false" ht="15" hidden="false" customHeight="false" outlineLevel="0" collapsed="false">
      <c r="A625" s="5" t="n">
        <v>8</v>
      </c>
      <c r="B625" s="25" t="n">
        <f aca="false">IF(T624&gt;0,B624,D624)</f>
        <v>0.015625</v>
      </c>
      <c r="C625" s="25" t="n">
        <f aca="false">IF(T624&gt;0,D624,C624)</f>
        <v>0.02734375</v>
      </c>
      <c r="D625" s="41" t="n">
        <f aca="false">(B625+C625)/2</f>
        <v>0.021484375</v>
      </c>
      <c r="E625" s="15" t="n">
        <f aca="false">$C$2*(1+IF(E$3&lt;=$O$2,$D625,$D625-($D625-$I$616)*MIN(E$3-$O$2,$Q$2)/$Q$2))</f>
        <v>2798.8671875</v>
      </c>
      <c r="F625" s="15" t="n">
        <f aca="false">E625*(1+IF(F$3&lt;=$O$2,$D625,$D625-($D625-$I$616)*MIN(F$3-$O$2,$Q$2)/$Q$2))</f>
        <v>2858.99909973145</v>
      </c>
      <c r="G625" s="15" t="n">
        <f aca="false">F625*(1+IF(G$3&lt;=$O$2,$D625,$D625-($D625-$I$616)*MIN(G$3-$O$2,$Q$2)/$Q$2))</f>
        <v>2920.42290851474</v>
      </c>
      <c r="H625" s="15" t="n">
        <f aca="false">G625*(1+IF(H$3&lt;=$O$2,$D625,$D625-($D625-$I$616)*MIN(H$3-$O$2,$Q$2)/$Q$2))</f>
        <v>2983.16636943986</v>
      </c>
      <c r="I625" s="15" t="n">
        <f aca="false">H625*(1+IF(I$3&lt;=$O$2,$D625,$D625-($D625-$I$616)*MIN(I$3-$O$2,$Q$2)/$Q$2))</f>
        <v>3047.25783440829</v>
      </c>
      <c r="J625" s="15" t="n">
        <f aca="false">I625*(1+IF(J$3&lt;=$O$2,$D625,$D625-($D625-$I$616)*MIN(J$3-$O$2,$Q$2)/$Q$2))</f>
        <v>3113.83279994553</v>
      </c>
      <c r="K625" s="15" t="n">
        <f aca="false">J625*(1+IF(K$3&lt;=$O$2,$D625,$D625-($D625-$I$616)*MIN(K$3-$O$2,$Q$2)/$Q$2))</f>
        <v>3182.99297257782</v>
      </c>
      <c r="L625" s="15" t="n">
        <f aca="false">K625*(1+IF(L$3&lt;=$O$2,$D625,$D625-($D625-$I$616)*MIN(L$3-$O$2,$Q$2)/$Q$2))</f>
        <v>3254.84506019255</v>
      </c>
      <c r="M625" s="15" t="n">
        <f aca="false">L625*(1+IF(M$3&lt;=$O$2,$D625,$D625-($D625-$I$616)*MIN(M$3-$O$2,$Q$2)/$Q$2))</f>
        <v>3329.50103448255</v>
      </c>
      <c r="N625" s="15" t="n">
        <f aca="false">M625*(1+IF(N$3&lt;=$O$2,$D625,$D625-($D625-$I$616)*MIN(N$3-$O$2,$Q$2)/$Q$2))</f>
        <v>3407.078408586</v>
      </c>
      <c r="O625" s="15" t="n">
        <f aca="false">SUMPRODUCT(E625:N625,1/(1+$F$616)^$E$3:$N$3)*$E$2</f>
        <v>13493.6807046403</v>
      </c>
      <c r="P625" s="15" t="n">
        <f aca="false">N625*$E$2*(1+$I$616)/($F$616-$I$616)/(1+$F$616)^$N$3</f>
        <v>16108.2184877351</v>
      </c>
      <c r="Q625" s="15" t="n">
        <f aca="false">O625+P625</f>
        <v>29601.8991923754</v>
      </c>
      <c r="R625" s="15" t="n">
        <f aca="false">Q625-$G$2+$I$2</f>
        <v>30371.8991923754</v>
      </c>
      <c r="S625" s="42" t="n">
        <f aca="false">R625/$K$2</f>
        <v>290.835001363357</v>
      </c>
      <c r="T625" s="43" t="n">
        <f aca="false">S625-$M$2</f>
        <v>-1.41818258761492</v>
      </c>
    </row>
    <row r="626" customFormat="false" ht="15" hidden="false" customHeight="false" outlineLevel="0" collapsed="false">
      <c r="A626" s="5" t="n">
        <v>9</v>
      </c>
      <c r="B626" s="25" t="n">
        <f aca="false">IF(T625&gt;0,B625,D625)</f>
        <v>0.021484375</v>
      </c>
      <c r="C626" s="25" t="n">
        <f aca="false">IF(T625&gt;0,D625,C625)</f>
        <v>0.02734375</v>
      </c>
      <c r="D626" s="41" t="n">
        <f aca="false">(B626+C626)/2</f>
        <v>0.0244140625</v>
      </c>
      <c r="E626" s="15" t="n">
        <f aca="false">$C$2*(1+IF(E$3&lt;=$O$2,$D626,$D626-($D626-$I$616)*MIN(E$3-$O$2,$Q$2)/$Q$2))</f>
        <v>2806.89453125</v>
      </c>
      <c r="F626" s="15" t="n">
        <f aca="false">E626*(1+IF(F$3&lt;=$O$2,$D626,$D626-($D626-$I$616)*MIN(F$3-$O$2,$Q$2)/$Q$2))</f>
        <v>2875.42222976685</v>
      </c>
      <c r="G626" s="15" t="n">
        <f aca="false">F626*(1+IF(G$3&lt;=$O$2,$D626,$D626-($D626-$I$616)*MIN(G$3-$O$2,$Q$2)/$Q$2))</f>
        <v>2945.62296779826</v>
      </c>
      <c r="H626" s="15" t="n">
        <f aca="false">G626*(1+IF(H$3&lt;=$O$2,$D626,$D626-($D626-$I$616)*MIN(H$3-$O$2,$Q$2)/$Q$2))</f>
        <v>3017.53759103553</v>
      </c>
      <c r="I626" s="15" t="n">
        <f aca="false">H626*(1+IF(I$3&lt;=$O$2,$D626,$D626-($D626-$I$616)*MIN(I$3-$O$2,$Q$2)/$Q$2))</f>
        <v>3091.20794237917</v>
      </c>
      <c r="J626" s="15" t="n">
        <f aca="false">I626*(1+IF(J$3&lt;=$O$2,$D626,$D626-($D626-$I$616)*MIN(J$3-$O$2,$Q$2)/$Q$2))</f>
        <v>3165.98812651525</v>
      </c>
      <c r="K626" s="15" t="n">
        <f aca="false">J626*(1+IF(K$3&lt;=$O$2,$D626,$D626-($D626-$I$616)*MIN(K$3-$O$2,$Q$2)/$Q$2))</f>
        <v>3241.87191505137</v>
      </c>
      <c r="L626" s="15" t="n">
        <f aca="false">K626*(1+IF(L$3&lt;=$O$2,$D626,$D626-($D626-$I$616)*MIN(L$3-$O$2,$Q$2)/$Q$2))</f>
        <v>3318.85218984421</v>
      </c>
      <c r="M626" s="15" t="n">
        <f aca="false">L626*(1+IF(M$3&lt;=$O$2,$D626,$D626-($D626-$I$616)*MIN(M$3-$O$2,$Q$2)/$Q$2))</f>
        <v>3396.92092762113</v>
      </c>
      <c r="N626" s="15" t="n">
        <f aca="false">M626*(1+IF(N$3&lt;=$O$2,$D626,$D626-($D626-$I$616)*MIN(N$3-$O$2,$Q$2)/$Q$2))</f>
        <v>3476.0691852347</v>
      </c>
      <c r="O626" s="15" t="n">
        <f aca="false">SUMPRODUCT(E626:N626,1/(1+$F$616)^$E$3:$N$3)*$E$2</f>
        <v>13666.448884879</v>
      </c>
      <c r="P626" s="15" t="n">
        <f aca="false">N626*$E$2*(1+$I$616)/($F$616-$I$616)/(1+$F$616)^$N$3</f>
        <v>16434.3978034489</v>
      </c>
      <c r="Q626" s="15" t="n">
        <f aca="false">O626+P626</f>
        <v>30100.8466883279</v>
      </c>
      <c r="R626" s="15" t="n">
        <f aca="false">Q626-$G$2+$I$2</f>
        <v>30870.8466883279</v>
      </c>
      <c r="S626" s="42" t="n">
        <f aca="false">R626/$K$2</f>
        <v>295.612819001512</v>
      </c>
      <c r="T626" s="43" t="n">
        <f aca="false">S626-$M$2</f>
        <v>3.35963505053996</v>
      </c>
    </row>
    <row r="627" customFormat="false" ht="15" hidden="false" customHeight="false" outlineLevel="0" collapsed="false">
      <c r="A627" s="5" t="n">
        <v>10</v>
      </c>
      <c r="B627" s="25" t="n">
        <f aca="false">IF(T626&gt;0,B626,D626)</f>
        <v>0.021484375</v>
      </c>
      <c r="C627" s="25" t="n">
        <f aca="false">IF(T626&gt;0,D626,C626)</f>
        <v>0.0244140625</v>
      </c>
      <c r="D627" s="41" t="n">
        <f aca="false">(B627+C627)/2</f>
        <v>0.02294921875</v>
      </c>
      <c r="E627" s="15" t="n">
        <f aca="false">$C$2*(1+IF(E$3&lt;=$O$2,$D627,$D627-($D627-$I$616)*MIN(E$3-$O$2,$Q$2)/$Q$2))</f>
        <v>2802.880859375</v>
      </c>
      <c r="F627" s="15" t="n">
        <f aca="false">E627*(1+IF(F$3&lt;=$O$2,$D627,$D627-($D627-$I$616)*MIN(F$3-$O$2,$Q$2)/$Q$2))</f>
        <v>2867.20478534699</v>
      </c>
      <c r="G627" s="15" t="n">
        <f aca="false">F627*(1+IF(G$3&lt;=$O$2,$D627,$D627-($D627-$I$616)*MIN(G$3-$O$2,$Q$2)/$Q$2))</f>
        <v>2933.00489516696</v>
      </c>
      <c r="H627" s="15" t="n">
        <f aca="false">G627*(1+IF(H$3&lt;=$O$2,$D627,$D627-($D627-$I$616)*MIN(H$3-$O$2,$Q$2)/$Q$2))</f>
        <v>3000.31506610097</v>
      </c>
      <c r="I627" s="15" t="n">
        <f aca="false">H627*(1+IF(I$3&lt;=$O$2,$D627,$D627-($D627-$I$616)*MIN(I$3-$O$2,$Q$2)/$Q$2))</f>
        <v>3069.16995287184</v>
      </c>
      <c r="J627" s="15" t="n">
        <f aca="false">I627*(1+IF(J$3&lt;=$O$2,$D627,$D627-($D627-$I$616)*MIN(J$3-$O$2,$Q$2)/$Q$2))</f>
        <v>3139.82032695573</v>
      </c>
      <c r="K627" s="15" t="n">
        <f aca="false">J627*(1+IF(K$3&lt;=$O$2,$D627,$D627-($D627-$I$616)*MIN(K$3-$O$2,$Q$2)/$Q$2))</f>
        <v>3212.31730651436</v>
      </c>
      <c r="L627" s="15" t="n">
        <f aca="false">K627*(1+IF(L$3&lt;=$O$2,$D627,$D627-($D627-$I$616)*MIN(L$3-$O$2,$Q$2)/$Q$2))</f>
        <v>3286.71357148407</v>
      </c>
      <c r="M627" s="15" t="n">
        <f aca="false">L627*(1+IF(M$3&lt;=$O$2,$D627,$D627-($D627-$I$616)*MIN(M$3-$O$2,$Q$2)/$Q$2))</f>
        <v>3363.06341420065</v>
      </c>
      <c r="N627" s="15" t="n">
        <f aca="false">M627*(1+IF(N$3&lt;=$O$2,$D627,$D627-($D627-$I$616)*MIN(N$3-$O$2,$Q$2)/$Q$2))</f>
        <v>3441.42279175153</v>
      </c>
      <c r="O627" s="15" t="n">
        <f aca="false">SUMPRODUCT(E627:N627,1/(1+$F$616)^$E$3:$N$3)*$E$2</f>
        <v>13579.7852922781</v>
      </c>
      <c r="P627" s="15" t="n">
        <f aca="false">N627*$E$2*(1+$I$616)/($F$616-$I$616)/(1+$F$616)^$N$3</f>
        <v>16270.594213067</v>
      </c>
      <c r="Q627" s="15" t="n">
        <f aca="false">O627+P627</f>
        <v>29850.3795053452</v>
      </c>
      <c r="R627" s="15" t="n">
        <f aca="false">Q627-$G$2+$I$2</f>
        <v>30620.3795053452</v>
      </c>
      <c r="S627" s="42" t="n">
        <f aca="false">R627/$K$2</f>
        <v>293.214397255053</v>
      </c>
      <c r="T627" s="43" t="n">
        <f aca="false">S627-$M$2</f>
        <v>0.961213304080786</v>
      </c>
    </row>
    <row r="628" customFormat="false" ht="15" hidden="false" customHeight="false" outlineLevel="0" collapsed="false">
      <c r="A628" s="5" t="n">
        <v>11</v>
      </c>
      <c r="B628" s="25" t="n">
        <f aca="false">IF(T627&gt;0,B627,D627)</f>
        <v>0.021484375</v>
      </c>
      <c r="C628" s="25" t="n">
        <f aca="false">IF(T627&gt;0,D627,C627)</f>
        <v>0.02294921875</v>
      </c>
      <c r="D628" s="41" t="n">
        <f aca="false">(B628+C628)/2</f>
        <v>0.022216796875</v>
      </c>
      <c r="E628" s="15" t="n">
        <f aca="false">$C$2*(1+IF(E$3&lt;=$O$2,$D628,$D628-($D628-$I$616)*MIN(E$3-$O$2,$Q$2)/$Q$2))</f>
        <v>2800.8740234375</v>
      </c>
      <c r="F628" s="15" t="n">
        <f aca="false">E628*(1+IF(F$3&lt;=$O$2,$D628,$D628-($D628-$I$616)*MIN(F$3-$O$2,$Q$2)/$Q$2))</f>
        <v>2863.10047268868</v>
      </c>
      <c r="G628" s="15" t="n">
        <f aca="false">F628*(1+IF(G$3&lt;=$O$2,$D628,$D628-($D628-$I$616)*MIN(G$3-$O$2,$Q$2)/$Q$2))</f>
        <v>2926.70939432312</v>
      </c>
      <c r="H628" s="15" t="n">
        <f aca="false">G628*(1+IF(H$3&lt;=$O$2,$D628,$D628-($D628-$I$616)*MIN(H$3-$O$2,$Q$2)/$Q$2))</f>
        <v>2991.73150244895</v>
      </c>
      <c r="I628" s="15" t="n">
        <f aca="false">H628*(1+IF(I$3&lt;=$O$2,$D628,$D628-($D628-$I$616)*MIN(I$3-$O$2,$Q$2)/$Q$2))</f>
        <v>3058.19819354339</v>
      </c>
      <c r="J628" s="15" t="n">
        <f aca="false">I628*(1+IF(J$3&lt;=$O$2,$D628,$D628-($D628-$I$616)*MIN(J$3-$O$2,$Q$2)/$Q$2))</f>
        <v>3126.80409158086</v>
      </c>
      <c r="K628" s="15" t="n">
        <f aca="false">J628*(1+IF(K$3&lt;=$O$2,$D628,$D628-($D628-$I$616)*MIN(K$3-$O$2,$Q$2)/$Q$2))</f>
        <v>3197.62644853674</v>
      </c>
      <c r="L628" s="15" t="n">
        <f aca="false">K628*(1+IF(L$3&lt;=$O$2,$D628,$D628-($D628-$I$616)*MIN(L$3-$O$2,$Q$2)/$Q$2))</f>
        <v>3270.74567320299</v>
      </c>
      <c r="M628" s="15" t="n">
        <f aca="false">L628*(1+IF(M$3&lt;=$O$2,$D628,$D628-($D628-$I$616)*MIN(M$3-$O$2,$Q$2)/$Q$2))</f>
        <v>3346.24547100176</v>
      </c>
      <c r="N628" s="15" t="n">
        <f aca="false">M628*(1+IF(N$3&lt;=$O$2,$D628,$D628-($D628-$I$616)*MIN(N$3-$O$2,$Q$2)/$Q$2))</f>
        <v>3424.2129904761</v>
      </c>
      <c r="O628" s="15" t="n">
        <f aca="false">SUMPRODUCT(E628:N628,1/(1+$F$616)^$E$3:$N$3)*$E$2</f>
        <v>13536.6633358476</v>
      </c>
      <c r="P628" s="15" t="n">
        <f aca="false">N628*$E$2*(1+$I$616)/($F$616-$I$616)/(1+$F$616)^$N$3</f>
        <v>16189.228536722</v>
      </c>
      <c r="Q628" s="15" t="n">
        <f aca="false">O628+P628</f>
        <v>29725.8918725696</v>
      </c>
      <c r="R628" s="15" t="n">
        <f aca="false">Q628-$G$2+$I$2</f>
        <v>30495.8918725696</v>
      </c>
      <c r="S628" s="42" t="n">
        <f aca="false">R628/$K$2</f>
        <v>292.022329527622</v>
      </c>
      <c r="T628" s="43" t="n">
        <f aca="false">S628-$M$2</f>
        <v>-0.230854423349797</v>
      </c>
    </row>
    <row r="629" customFormat="false" ht="15" hidden="false" customHeight="false" outlineLevel="0" collapsed="false">
      <c r="A629" s="5" t="n">
        <v>12</v>
      </c>
      <c r="B629" s="25" t="n">
        <f aca="false">IF(T628&gt;0,B628,D628)</f>
        <v>0.022216796875</v>
      </c>
      <c r="C629" s="25" t="n">
        <f aca="false">IF(T628&gt;0,D628,C628)</f>
        <v>0.02294921875</v>
      </c>
      <c r="D629" s="41" t="n">
        <f aca="false">(B629+C629)/2</f>
        <v>0.0225830078125</v>
      </c>
      <c r="E629" s="15" t="n">
        <f aca="false">$C$2*(1+IF(E$3&lt;=$O$2,$D629,$D629-($D629-$I$616)*MIN(E$3-$O$2,$Q$2)/$Q$2))</f>
        <v>2801.87744140625</v>
      </c>
      <c r="F629" s="15" t="n">
        <f aca="false">E629*(1+IF(F$3&lt;=$O$2,$D629,$D629-($D629-$I$616)*MIN(F$3-$O$2,$Q$2)/$Q$2))</f>
        <v>2865.1522615552</v>
      </c>
      <c r="G629" s="15" t="n">
        <f aca="false">F629*(1+IF(G$3&lt;=$O$2,$D629,$D629-($D629-$I$616)*MIN(G$3-$O$2,$Q$2)/$Q$2))</f>
        <v>2929.8560174619</v>
      </c>
      <c r="H629" s="15" t="n">
        <f aca="false">G629*(1+IF(H$3&lt;=$O$2,$D629,$D629-($D629-$I$616)*MIN(H$3-$O$2,$Q$2)/$Q$2))</f>
        <v>2996.02097879374</v>
      </c>
      <c r="I629" s="15" t="n">
        <f aca="false">H629*(1+IF(I$3&lt;=$O$2,$D629,$D629-($D629-$I$616)*MIN(I$3-$O$2,$Q$2)/$Q$2))</f>
        <v>3063.68014396425</v>
      </c>
      <c r="J629" s="15" t="n">
        <f aca="false">I629*(1+IF(J$3&lt;=$O$2,$D629,$D629-($D629-$I$616)*MIN(J$3-$O$2,$Q$2)/$Q$2))</f>
        <v>3133.30658353604</v>
      </c>
      <c r="K629" s="15" t="n">
        <f aca="false">J629*(1+IF(K$3&lt;=$O$2,$D629,$D629-($D629-$I$616)*MIN(K$3-$O$2,$Q$2)/$Q$2))</f>
        <v>3204.96469312757</v>
      </c>
      <c r="L629" s="15" t="n">
        <f aca="false">K629*(1+IF(L$3&lt;=$O$2,$D629,$D629-($D629-$I$616)*MIN(L$3-$O$2,$Q$2)/$Q$2))</f>
        <v>3278.72119661897</v>
      </c>
      <c r="M629" s="15" t="n">
        <f aca="false">L629*(1+IF(M$3&lt;=$O$2,$D629,$D629-($D629-$I$616)*MIN(M$3-$O$2,$Q$2)/$Q$2))</f>
        <v>3354.6452370036</v>
      </c>
      <c r="N629" s="15" t="n">
        <f aca="false">M629*(1+IF(N$3&lt;=$O$2,$D629,$D629-($D629-$I$616)*MIN(N$3-$O$2,$Q$2)/$Q$2))</f>
        <v>3432.80847102578</v>
      </c>
      <c r="O629" s="15" t="n">
        <f aca="false">SUMPRODUCT(E629:N629,1/(1+$F$616)^$E$3:$N$3)*$E$2</f>
        <v>13558.2068718281</v>
      </c>
      <c r="P629" s="15" t="n">
        <f aca="false">N629*$E$2*(1+$I$616)/($F$616-$I$616)/(1+$F$616)^$N$3</f>
        <v>16229.8668379576</v>
      </c>
      <c r="Q629" s="15" t="n">
        <f aca="false">O629+P629</f>
        <v>29788.0737097857</v>
      </c>
      <c r="R629" s="15" t="n">
        <f aca="false">Q629-$G$2+$I$2</f>
        <v>30558.0737097857</v>
      </c>
      <c r="S629" s="42" t="n">
        <f aca="false">R629/$K$2</f>
        <v>292.617769891657</v>
      </c>
      <c r="T629" s="43" t="n">
        <f aca="false">S629-$M$2</f>
        <v>0.364585940684776</v>
      </c>
    </row>
    <row r="630" customFormat="false" ht="15" hidden="false" customHeight="false" outlineLevel="0" collapsed="false">
      <c r="A630" s="5" t="n">
        <v>13</v>
      </c>
      <c r="B630" s="25" t="n">
        <f aca="false">IF(T629&gt;0,B629,D629)</f>
        <v>0.022216796875</v>
      </c>
      <c r="C630" s="25" t="n">
        <f aca="false">IF(T629&gt;0,D629,C629)</f>
        <v>0.0225830078125</v>
      </c>
      <c r="D630" s="41" t="n">
        <f aca="false">(B630+C630)/2</f>
        <v>0.02239990234375</v>
      </c>
      <c r="E630" s="15" t="n">
        <f aca="false">$C$2*(1+IF(E$3&lt;=$O$2,$D630,$D630-($D630-$I$616)*MIN(E$3-$O$2,$Q$2)/$Q$2))</f>
        <v>2801.37573242188</v>
      </c>
      <c r="F630" s="15" t="n">
        <f aca="false">E630*(1+IF(F$3&lt;=$O$2,$D630,$D630-($D630-$I$616)*MIN(F$3-$O$2,$Q$2)/$Q$2))</f>
        <v>2864.12627525628</v>
      </c>
      <c r="G630" s="15" t="n">
        <f aca="false">F630*(1+IF(G$3&lt;=$O$2,$D630,$D630-($D630-$I$616)*MIN(G$3-$O$2,$Q$2)/$Q$2))</f>
        <v>2928.28242412219</v>
      </c>
      <c r="H630" s="15" t="n">
        <f aca="false">G630*(1+IF(H$3&lt;=$O$2,$D630,$D630-($D630-$I$616)*MIN(H$3-$O$2,$Q$2)/$Q$2))</f>
        <v>2993.87566445744</v>
      </c>
      <c r="I630" s="15" t="n">
        <f aca="false">H630*(1+IF(I$3&lt;=$O$2,$D630,$D630-($D630-$I$616)*MIN(I$3-$O$2,$Q$2)/$Q$2))</f>
        <v>3060.93818697062</v>
      </c>
      <c r="J630" s="15" t="n">
        <f aca="false">I630*(1+IF(J$3&lt;=$O$2,$D630,$D630-($D630-$I$616)*MIN(J$3-$O$2,$Q$2)/$Q$2))</f>
        <v>3130.05393209662</v>
      </c>
      <c r="K630" s="15" t="n">
        <f aca="false">J630*(1+IF(K$3&lt;=$O$2,$D630,$D630-($D630-$I$616)*MIN(K$3-$O$2,$Q$2)/$Q$2))</f>
        <v>3201.29377618954</v>
      </c>
      <c r="L630" s="15" t="n">
        <f aca="false">K630*(1+IF(L$3&lt;=$O$2,$D630,$D630-($D630-$I$616)*MIN(L$3-$O$2,$Q$2)/$Q$2))</f>
        <v>3274.73133036479</v>
      </c>
      <c r="M630" s="15" t="n">
        <f aca="false">L630*(1+IF(M$3&lt;=$O$2,$D630,$D630-($D630-$I$616)*MIN(M$3-$O$2,$Q$2)/$Q$2))</f>
        <v>3350.44305476323</v>
      </c>
      <c r="N630" s="15" t="n">
        <f aca="false">M630*(1+IF(N$3&lt;=$O$2,$D630,$D630-($D630-$I$616)*MIN(N$3-$O$2,$Q$2)/$Q$2))</f>
        <v>3428.50837793921</v>
      </c>
      <c r="O630" s="15" t="n">
        <f aca="false">SUMPRODUCT(E630:N630,1/(1+$F$616)^$E$3:$N$3)*$E$2</f>
        <v>13547.4307466046</v>
      </c>
      <c r="P630" s="15" t="n">
        <f aca="false">N630*$E$2*(1+$I$616)/($F$616-$I$616)/(1+$F$616)^$N$3</f>
        <v>16209.5365635555</v>
      </c>
      <c r="Q630" s="15" t="n">
        <f aca="false">O630+P630</f>
        <v>29756.9673101601</v>
      </c>
      <c r="R630" s="15" t="n">
        <f aca="false">Q630-$G$2+$I$2</f>
        <v>30526.9673101601</v>
      </c>
      <c r="S630" s="42" t="n">
        <f aca="false">R630/$K$2</f>
        <v>292.31990146663</v>
      </c>
      <c r="T630" s="43" t="n">
        <f aca="false">S630-$M$2</f>
        <v>0.0667175156575581</v>
      </c>
    </row>
    <row r="631" customFormat="false" ht="15" hidden="false" customHeight="false" outlineLevel="0" collapsed="false">
      <c r="A631" s="5" t="n">
        <v>14</v>
      </c>
      <c r="B631" s="25" t="n">
        <f aca="false">IF(T630&gt;0,B630,D630)</f>
        <v>0.022216796875</v>
      </c>
      <c r="C631" s="25" t="n">
        <f aca="false">IF(T630&gt;0,D630,C630)</f>
        <v>0.02239990234375</v>
      </c>
      <c r="D631" s="41" t="n">
        <f aca="false">(B631+C631)/2</f>
        <v>0.022308349609375</v>
      </c>
      <c r="E631" s="15" t="n">
        <f aca="false">$C$2*(1+IF(E$3&lt;=$O$2,$D631,$D631-($D631-$I$616)*MIN(E$3-$O$2,$Q$2)/$Q$2))</f>
        <v>2801.12487792969</v>
      </c>
      <c r="F631" s="15" t="n">
        <f aca="false">E631*(1+IF(F$3&lt;=$O$2,$D631,$D631-($D631-$I$616)*MIN(F$3-$O$2,$Q$2)/$Q$2))</f>
        <v>2863.61335100606</v>
      </c>
      <c r="G631" s="15" t="n">
        <f aca="false">F631*(1+IF(G$3&lt;=$O$2,$D631,$D631-($D631-$I$616)*MIN(G$3-$O$2,$Q$2)/$Q$2))</f>
        <v>2927.49583878638</v>
      </c>
      <c r="H631" s="15" t="n">
        <f aca="false">G631*(1+IF(H$3&lt;=$O$2,$D631,$D631-($D631-$I$616)*MIN(H$3-$O$2,$Q$2)/$Q$2))</f>
        <v>2992.80343943802</v>
      </c>
      <c r="I631" s="15" t="n">
        <f aca="false">H631*(1+IF(I$3&lt;=$O$2,$D631,$D631-($D631-$I$616)*MIN(I$3-$O$2,$Q$2)/$Q$2))</f>
        <v>3059.56794487714</v>
      </c>
      <c r="J631" s="15" t="n">
        <f aca="false">I631*(1+IF(J$3&lt;=$O$2,$D631,$D631-($D631-$I$616)*MIN(J$3-$O$2,$Q$2)/$Q$2))</f>
        <v>3128.42866059463</v>
      </c>
      <c r="K631" s="15" t="n">
        <f aca="false">J631*(1+IF(K$3&lt;=$O$2,$D631,$D631-($D631-$I$616)*MIN(K$3-$O$2,$Q$2)/$Q$2))</f>
        <v>3199.45966388449</v>
      </c>
      <c r="L631" s="15" t="n">
        <f aca="false">K631*(1+IF(L$3&lt;=$O$2,$D631,$D631-($D631-$I$616)*MIN(L$3-$O$2,$Q$2)/$Q$2))</f>
        <v>3272.73797588281</v>
      </c>
      <c r="M631" s="15" t="n">
        <f aca="false">L631*(1+IF(M$3&lt;=$O$2,$D631,$D631-($D631-$I$616)*MIN(M$3-$O$2,$Q$2)/$Q$2))</f>
        <v>3348.34368834244</v>
      </c>
      <c r="N631" s="15" t="n">
        <f aca="false">M631*(1+IF(N$3&lt;=$O$2,$D631,$D631-($D631-$I$616)*MIN(N$3-$O$2,$Q$2)/$Q$2))</f>
        <v>3426.36009628082</v>
      </c>
      <c r="O631" s="15" t="n">
        <f aca="false">SUMPRODUCT(E631:N631,1/(1+$F$616)^$E$3:$N$3)*$E$2</f>
        <v>13542.0459523332</v>
      </c>
      <c r="P631" s="15" t="n">
        <f aca="false">N631*$E$2*(1+$I$616)/($F$616-$I$616)/(1+$F$616)^$N$3</f>
        <v>16199.379770498</v>
      </c>
      <c r="Q631" s="15" t="n">
        <f aca="false">O631+P631</f>
        <v>29741.4257228313</v>
      </c>
      <c r="R631" s="15" t="n">
        <f aca="false">Q631-$G$2+$I$2</f>
        <v>30511.4257228313</v>
      </c>
      <c r="S631" s="42" t="n">
        <f aca="false">R631/$K$2</f>
        <v>292.171078452851</v>
      </c>
      <c r="T631" s="43" t="n">
        <f aca="false">S631-$M$2</f>
        <v>-0.0821054981207681</v>
      </c>
    </row>
    <row r="632" customFormat="false" ht="15" hidden="false" customHeight="false" outlineLevel="0" collapsed="false">
      <c r="A632" s="5" t="n">
        <v>15</v>
      </c>
      <c r="B632" s="25" t="n">
        <f aca="false">IF(T631&gt;0,B631,D631)</f>
        <v>0.022308349609375</v>
      </c>
      <c r="C632" s="25" t="n">
        <f aca="false">IF(T631&gt;0,D631,C631)</f>
        <v>0.02239990234375</v>
      </c>
      <c r="D632" s="41" t="n">
        <f aca="false">(B632+C632)/2</f>
        <v>0.0223541259765625</v>
      </c>
      <c r="E632" s="15" t="n">
        <f aca="false">$C$2*(1+IF(E$3&lt;=$O$2,$D632,$D632-($D632-$I$616)*MIN(E$3-$O$2,$Q$2)/$Q$2))</f>
        <v>2801.25030517578</v>
      </c>
      <c r="F632" s="15" t="n">
        <f aca="false">E632*(1+IF(F$3&lt;=$O$2,$D632,$D632-($D632-$I$616)*MIN(F$3-$O$2,$Q$2)/$Q$2))</f>
        <v>2863.86980738957</v>
      </c>
      <c r="G632" s="15" t="n">
        <f aca="false">F632*(1+IF(G$3&lt;=$O$2,$D632,$D632-($D632-$I$616)*MIN(G$3-$O$2,$Q$2)/$Q$2))</f>
        <v>2927.88911384443</v>
      </c>
      <c r="H632" s="15" t="n">
        <f aca="false">G632*(1+IF(H$3&lt;=$O$2,$D632,$D632-($D632-$I$616)*MIN(H$3-$O$2,$Q$2)/$Q$2))</f>
        <v>2993.33951594071</v>
      </c>
      <c r="I632" s="15" t="n">
        <f aca="false">H632*(1+IF(I$3&lt;=$O$2,$D632,$D632-($D632-$I$616)*MIN(I$3-$O$2,$Q$2)/$Q$2))</f>
        <v>3060.25300457067</v>
      </c>
      <c r="J632" s="15" t="n">
        <f aca="false">I632*(1+IF(J$3&lt;=$O$2,$D632,$D632-($D632-$I$616)*MIN(J$3-$O$2,$Q$2)/$Q$2))</f>
        <v>3129.24120851943</v>
      </c>
      <c r="K632" s="15" t="n">
        <f aca="false">J632*(1+IF(K$3&lt;=$O$2,$D632,$D632-($D632-$I$616)*MIN(K$3-$O$2,$Q$2)/$Q$2))</f>
        <v>3200.37660789461</v>
      </c>
      <c r="L632" s="15" t="n">
        <f aca="false">K632*(1+IF(L$3&lt;=$O$2,$D632,$D632-($D632-$I$616)*MIN(L$3-$O$2,$Q$2)/$Q$2))</f>
        <v>3273.7345216191</v>
      </c>
      <c r="M632" s="15" t="n">
        <f aca="false">L632*(1+IF(M$3&lt;=$O$2,$D632,$D632-($D632-$I$616)*MIN(M$3-$O$2,$Q$2)/$Q$2))</f>
        <v>3349.3932278841</v>
      </c>
      <c r="N632" s="15" t="n">
        <f aca="false">M632*(1+IF(N$3&lt;=$O$2,$D632,$D632-($D632-$I$616)*MIN(N$3-$O$2,$Q$2)/$Q$2))</f>
        <v>3427.4340900938</v>
      </c>
      <c r="O632" s="15" t="n">
        <f aca="false">SUMPRODUCT(E632:N632,1/(1+$F$616)^$E$3:$N$3)*$E$2</f>
        <v>13544.7380771938</v>
      </c>
      <c r="P632" s="15" t="n">
        <f aca="false">N632*$E$2*(1+$I$616)/($F$616-$I$616)/(1+$F$616)^$N$3</f>
        <v>16204.4574719534</v>
      </c>
      <c r="Q632" s="15" t="n">
        <f aca="false">O632+P632</f>
        <v>29749.1955491473</v>
      </c>
      <c r="R632" s="15" t="n">
        <f aca="false">Q632-$G$2+$I$2</f>
        <v>30519.1955491473</v>
      </c>
      <c r="S632" s="42" t="n">
        <f aca="false">R632/$K$2</f>
        <v>292.245480696613</v>
      </c>
      <c r="T632" s="43" t="n">
        <f aca="false">S632-$M$2</f>
        <v>-0.00770325435939867</v>
      </c>
    </row>
    <row r="633" customFormat="false" ht="15" hidden="false" customHeight="false" outlineLevel="0" collapsed="false">
      <c r="A633" s="5" t="n">
        <v>16</v>
      </c>
      <c r="B633" s="25" t="n">
        <f aca="false">IF(T632&gt;0,B632,D632)</f>
        <v>0.0223541259765625</v>
      </c>
      <c r="C633" s="25" t="n">
        <f aca="false">IF(T632&gt;0,D632,C632)</f>
        <v>0.02239990234375</v>
      </c>
      <c r="D633" s="41" t="n">
        <f aca="false">(B633+C633)/2</f>
        <v>0.0223770141601563</v>
      </c>
      <c r="E633" s="15" t="n">
        <f aca="false">$C$2*(1+IF(E$3&lt;=$O$2,$D633,$D633-($D633-$I$616)*MIN(E$3-$O$2,$Q$2)/$Q$2))</f>
        <v>2801.31301879883</v>
      </c>
      <c r="F633" s="15" t="n">
        <f aca="false">E633*(1+IF(F$3&lt;=$O$2,$D633,$D633-($D633-$I$616)*MIN(F$3-$O$2,$Q$2)/$Q$2))</f>
        <v>2863.99803988752</v>
      </c>
      <c r="G633" s="15" t="n">
        <f aca="false">F633*(1+IF(G$3&lt;=$O$2,$D633,$D633-($D633-$I$616)*MIN(G$3-$O$2,$Q$2)/$Q$2))</f>
        <v>2928.08576458074</v>
      </c>
      <c r="H633" s="15" t="n">
        <f aca="false">G633*(1+IF(H$3&lt;=$O$2,$D633,$D633-($D633-$I$616)*MIN(H$3-$O$2,$Q$2)/$Q$2))</f>
        <v>2993.60758119692</v>
      </c>
      <c r="I633" s="15" t="n">
        <f aca="false">H633*(1+IF(I$3&lt;=$O$2,$D633,$D633-($D633-$I$616)*MIN(I$3-$O$2,$Q$2)/$Q$2))</f>
        <v>3060.59558043131</v>
      </c>
      <c r="J633" s="15" t="n">
        <f aca="false">I633*(1+IF(J$3&lt;=$O$2,$D633,$D633-($D633-$I$616)*MIN(J$3-$O$2,$Q$2)/$Q$2))</f>
        <v>3129.64754834958</v>
      </c>
      <c r="K633" s="15" t="n">
        <f aca="false">J633*(1+IF(K$3&lt;=$O$2,$D633,$D633-($D633-$I$616)*MIN(K$3-$O$2,$Q$2)/$Q$2))</f>
        <v>3200.83516400363</v>
      </c>
      <c r="L633" s="15" t="n">
        <f aca="false">K633*(1+IF(L$3&lt;=$O$2,$D633,$D633-($D633-$I$616)*MIN(L$3-$O$2,$Q$2)/$Q$2))</f>
        <v>3274.23289311209</v>
      </c>
      <c r="M633" s="15" t="n">
        <f aca="false">L633*(1+IF(M$3&lt;=$O$2,$D633,$D633-($D633-$I$616)*MIN(M$3-$O$2,$Q$2)/$Q$2))</f>
        <v>3349.91810540227</v>
      </c>
      <c r="N633" s="15" t="n">
        <f aca="false">M633*(1+IF(N$3&lt;=$O$2,$D633,$D633-($D633-$I$616)*MIN(N$3-$O$2,$Q$2)/$Q$2))</f>
        <v>3427.97119725814</v>
      </c>
      <c r="O633" s="15" t="n">
        <f aca="false">SUMPRODUCT(E633:N633,1/(1+$F$616)^$E$3:$N$3)*$E$2</f>
        <v>13546.084343824</v>
      </c>
      <c r="P633" s="15" t="n">
        <f aca="false">N633*$E$2*(1+$I$616)/($F$616-$I$616)/(1+$F$616)^$N$3</f>
        <v>16206.9968439657</v>
      </c>
      <c r="Q633" s="15" t="n">
        <f aca="false">O633+P633</f>
        <v>29753.0811877897</v>
      </c>
      <c r="R633" s="15" t="n">
        <f aca="false">Q633-$G$2+$I$2</f>
        <v>30523.0811877897</v>
      </c>
      <c r="S633" s="42" t="n">
        <f aca="false">R633/$K$2</f>
        <v>292.282688765582</v>
      </c>
      <c r="T633" s="43" t="n">
        <f aca="false">S633-$M$2</f>
        <v>0.0295048146095951</v>
      </c>
    </row>
    <row r="634" customFormat="false" ht="15" hidden="false" customHeight="false" outlineLevel="0" collapsed="false">
      <c r="A634" s="5" t="n">
        <v>17</v>
      </c>
      <c r="B634" s="25" t="n">
        <f aca="false">IF(T633&gt;0,B633,D633)</f>
        <v>0.0223541259765625</v>
      </c>
      <c r="C634" s="25" t="n">
        <f aca="false">IF(T633&gt;0,D633,C633)</f>
        <v>0.0223770141601563</v>
      </c>
      <c r="D634" s="41" t="n">
        <f aca="false">(B634+C634)/2</f>
        <v>0.0223655700683594</v>
      </c>
      <c r="E634" s="15" t="n">
        <f aca="false">$C$2*(1+IF(E$3&lt;=$O$2,$D634,$D634-($D634-$I$616)*MIN(E$3-$O$2,$Q$2)/$Q$2))</f>
        <v>2801.2816619873</v>
      </c>
      <c r="F634" s="15" t="n">
        <f aca="false">E634*(1+IF(F$3&lt;=$O$2,$D634,$D634-($D634-$I$616)*MIN(F$3-$O$2,$Q$2)/$Q$2))</f>
        <v>2863.93392327969</v>
      </c>
      <c r="G634" s="15" t="n">
        <f aca="false">F634*(1+IF(G$3&lt;=$O$2,$D634,$D634-($D634-$I$616)*MIN(G$3-$O$2,$Q$2)/$Q$2))</f>
        <v>2927.98743811196</v>
      </c>
      <c r="H634" s="15" t="n">
        <f aca="false">G634*(1+IF(H$3&lt;=$O$2,$D634,$D634-($D634-$I$616)*MIN(H$3-$O$2,$Q$2)/$Q$2))</f>
        <v>2993.47354631832</v>
      </c>
      <c r="I634" s="15" t="n">
        <f aca="false">H634*(1+IF(I$3&lt;=$O$2,$D634,$D634-($D634-$I$616)*MIN(I$3-$O$2,$Q$2)/$Q$2))</f>
        <v>3060.42428866629</v>
      </c>
      <c r="J634" s="15" t="n">
        <f aca="false">I634*(1+IF(J$3&lt;=$O$2,$D634,$D634-($D634-$I$616)*MIN(J$3-$O$2,$Q$2)/$Q$2))</f>
        <v>3129.44437294513</v>
      </c>
      <c r="K634" s="15" t="n">
        <f aca="false">J634*(1+IF(K$3&lt;=$O$2,$D634,$D634-($D634-$I$616)*MIN(K$3-$O$2,$Q$2)/$Q$2))</f>
        <v>3200.60587893986</v>
      </c>
      <c r="L634" s="15" t="n">
        <f aca="false">K634*(1+IF(L$3&lt;=$O$2,$D634,$D634-($D634-$I$616)*MIN(L$3-$O$2,$Q$2)/$Q$2))</f>
        <v>3273.98369914609</v>
      </c>
      <c r="M634" s="15" t="n">
        <f aca="false">L634*(1+IF(M$3&lt;=$O$2,$D634,$D634-($D634-$I$616)*MIN(M$3-$O$2,$Q$2)/$Q$2))</f>
        <v>3349.65565766336</v>
      </c>
      <c r="N634" s="15" t="n">
        <f aca="false">M634*(1+IF(N$3&lt;=$O$2,$D634,$D634-($D634-$I$616)*MIN(N$3-$O$2,$Q$2)/$Q$2))</f>
        <v>3427.70263448692</v>
      </c>
      <c r="O634" s="15" t="n">
        <f aca="false">SUMPRODUCT(E634:N634,1/(1+$F$616)^$E$3:$N$3)*$E$2</f>
        <v>13545.4111934909</v>
      </c>
      <c r="P634" s="15" t="n">
        <f aca="false">N634*$E$2*(1+$I$616)/($F$616-$I$616)/(1+$F$616)^$N$3</f>
        <v>16205.727114515</v>
      </c>
      <c r="Q634" s="15" t="n">
        <f aca="false">O634+P634</f>
        <v>29751.1383080058</v>
      </c>
      <c r="R634" s="15" t="n">
        <f aca="false">Q634-$G$2+$I$2</f>
        <v>30521.1383080058</v>
      </c>
      <c r="S634" s="42" t="n">
        <f aca="false">R634/$K$2</f>
        <v>292.264084152119</v>
      </c>
      <c r="T634" s="43" t="n">
        <f aca="false">S634-$M$2</f>
        <v>0.0109002011473081</v>
      </c>
    </row>
    <row r="635" customFormat="false" ht="15" hidden="false" customHeight="false" outlineLevel="0" collapsed="false">
      <c r="A635" s="5" t="n">
        <v>18</v>
      </c>
      <c r="B635" s="25" t="n">
        <f aca="false">IF(T634&gt;0,B634,D634)</f>
        <v>0.0223541259765625</v>
      </c>
      <c r="C635" s="25" t="n">
        <f aca="false">IF(T634&gt;0,D634,C634)</f>
        <v>0.0223655700683594</v>
      </c>
      <c r="D635" s="41" t="n">
        <f aca="false">(B635+C635)/2</f>
        <v>0.0223598480224609</v>
      </c>
      <c r="E635" s="15" t="n">
        <f aca="false">$C$2*(1+IF(E$3&lt;=$O$2,$D635,$D635-($D635-$I$616)*MIN(E$3-$O$2,$Q$2)/$Q$2))</f>
        <v>2801.26598358154</v>
      </c>
      <c r="F635" s="15" t="n">
        <f aca="false">E635*(1+IF(F$3&lt;=$O$2,$D635,$D635-($D635-$I$616)*MIN(F$3-$O$2,$Q$2)/$Q$2))</f>
        <v>2863.90186524492</v>
      </c>
      <c r="G635" s="15" t="n">
        <f aca="false">F635*(1+IF(G$3&lt;=$O$2,$D635,$D635-($D635-$I$616)*MIN(G$3-$O$2,$Q$2)/$Q$2))</f>
        <v>2927.93827570303</v>
      </c>
      <c r="H635" s="15" t="n">
        <f aca="false">G635*(1+IF(H$3&lt;=$O$2,$D635,$D635-($D635-$I$616)*MIN(H$3-$O$2,$Q$2)/$Q$2))</f>
        <v>2993.4065305669</v>
      </c>
      <c r="I635" s="15" t="n">
        <f aca="false">H635*(1+IF(I$3&lt;=$O$2,$D635,$D635-($D635-$I$616)*MIN(I$3-$O$2,$Q$2)/$Q$2))</f>
        <v>3060.33864565982</v>
      </c>
      <c r="J635" s="15" t="n">
        <f aca="false">I635*(1+IF(J$3&lt;=$O$2,$D635,$D635-($D635-$I$616)*MIN(J$3-$O$2,$Q$2)/$Q$2))</f>
        <v>3129.34278935997</v>
      </c>
      <c r="K635" s="15" t="n">
        <f aca="false">J635*(1+IF(K$3&lt;=$O$2,$D635,$D635-($D635-$I$616)*MIN(K$3-$O$2,$Q$2)/$Q$2))</f>
        <v>3200.49124166497</v>
      </c>
      <c r="L635" s="15" t="n">
        <f aca="false">K635*(1+IF(L$3&lt;=$O$2,$D635,$D635-($D635-$I$616)*MIN(L$3-$O$2,$Q$2)/$Q$2))</f>
        <v>3273.85910832778</v>
      </c>
      <c r="M635" s="15" t="n">
        <f aca="false">L635*(1+IF(M$3&lt;=$O$2,$D635,$D635-($D635-$I$616)*MIN(M$3-$O$2,$Q$2)/$Q$2))</f>
        <v>3349.52444052884</v>
      </c>
      <c r="N635" s="15" t="n">
        <f aca="false">M635*(1+IF(N$3&lt;=$O$2,$D635,$D635-($D635-$I$616)*MIN(N$3-$O$2,$Q$2)/$Q$2))</f>
        <v>3427.56835999317</v>
      </c>
      <c r="O635" s="15" t="n">
        <f aca="false">SUMPRODUCT(E635:N635,1/(1+$F$616)^$E$3:$N$3)*$E$2</f>
        <v>13545.0746310879</v>
      </c>
      <c r="P635" s="15" t="n">
        <f aca="false">N635*$E$2*(1+$I$616)/($F$616-$I$616)/(1+$F$616)^$N$3</f>
        <v>16205.0922823734</v>
      </c>
      <c r="Q635" s="15" t="n">
        <f aca="false">O635+P635</f>
        <v>29750.1669134613</v>
      </c>
      <c r="R635" s="15" t="n">
        <f aca="false">Q635-$G$2+$I$2</f>
        <v>30520.1669134613</v>
      </c>
      <c r="S635" s="42" t="n">
        <f aca="false">R635/$K$2</f>
        <v>292.254782279626</v>
      </c>
      <c r="T635" s="43" t="n">
        <f aca="false">S635-$M$2</f>
        <v>0.00159832865352882</v>
      </c>
    </row>
    <row r="636" customFormat="false" ht="15" hidden="false" customHeight="false" outlineLevel="0" collapsed="false">
      <c r="A636" s="5" t="n">
        <v>19</v>
      </c>
      <c r="B636" s="25" t="n">
        <f aca="false">IF(T635&gt;0,B635,D635)</f>
        <v>0.0223541259765625</v>
      </c>
      <c r="C636" s="25" t="n">
        <f aca="false">IF(T635&gt;0,D635,C635)</f>
        <v>0.0223598480224609</v>
      </c>
      <c r="D636" s="41" t="n">
        <f aca="false">(B636+C636)/2</f>
        <v>0.0223569869995117</v>
      </c>
      <c r="E636" s="15" t="n">
        <f aca="false">$C$2*(1+IF(E$3&lt;=$O$2,$D636,$D636-($D636-$I$616)*MIN(E$3-$O$2,$Q$2)/$Q$2))</f>
        <v>2801.25814437866</v>
      </c>
      <c r="F636" s="15" t="n">
        <f aca="false">E636*(1+IF(F$3&lt;=$O$2,$D636,$D636-($D636-$I$616)*MIN(F$3-$O$2,$Q$2)/$Q$2))</f>
        <v>2863.88583629481</v>
      </c>
      <c r="G636" s="15" t="n">
        <f aca="false">F636*(1+IF(G$3&lt;=$O$2,$D636,$D636-($D636-$I$616)*MIN(G$3-$O$2,$Q$2)/$Q$2))</f>
        <v>2927.91369470494</v>
      </c>
      <c r="H636" s="15" t="n">
        <f aca="false">G636*(1+IF(H$3&lt;=$O$2,$D636,$D636-($D636-$I$616)*MIN(H$3-$O$2,$Q$2)/$Q$2))</f>
        <v>2993.37302311315</v>
      </c>
      <c r="I636" s="15" t="n">
        <f aca="false">H636*(1+IF(I$3&lt;=$O$2,$D636,$D636-($D636-$I$616)*MIN(I$3-$O$2,$Q$2)/$Q$2))</f>
        <v>3060.29582487558</v>
      </c>
      <c r="J636" s="15" t="n">
        <f aca="false">I636*(1+IF(J$3&lt;=$O$2,$D636,$D636-($D636-$I$616)*MIN(J$3-$O$2,$Q$2)/$Q$2))</f>
        <v>3129.29199859662</v>
      </c>
      <c r="K636" s="15" t="n">
        <f aca="false">J636*(1+IF(K$3&lt;=$O$2,$D636,$D636-($D636-$I$616)*MIN(K$3-$O$2,$Q$2)/$Q$2))</f>
        <v>3200.43392434173</v>
      </c>
      <c r="L636" s="15" t="n">
        <f aca="false">K636*(1+IF(L$3&lt;=$O$2,$D636,$D636-($D636-$I$616)*MIN(L$3-$O$2,$Q$2)/$Q$2))</f>
        <v>3273.79681445975</v>
      </c>
      <c r="M636" s="15" t="n">
        <f aca="false">L636*(1+IF(M$3&lt;=$O$2,$D636,$D636-($D636-$I$616)*MIN(M$3-$O$2,$Q$2)/$Q$2))</f>
        <v>3349.45883364526</v>
      </c>
      <c r="N636" s="15" t="n">
        <f aca="false">M636*(1+IF(N$3&lt;=$O$2,$D636,$D636-($D636-$I$616)*MIN(N$3-$O$2,$Q$2)/$Q$2))</f>
        <v>3427.50122446919</v>
      </c>
      <c r="O636" s="15" t="n">
        <f aca="false">SUMPRODUCT(E636:N636,1/(1+$F$616)^$E$3:$N$3)*$E$2</f>
        <v>13544.9063530773</v>
      </c>
      <c r="P636" s="15" t="n">
        <f aca="false">N636*$E$2*(1+$I$616)/($F$616-$I$616)/(1+$F$616)^$N$3</f>
        <v>16204.7748744482</v>
      </c>
      <c r="Q636" s="15" t="n">
        <f aca="false">O636+P636</f>
        <v>29749.6812275255</v>
      </c>
      <c r="R636" s="15" t="n">
        <f aca="false">Q636-$G$2+$I$2</f>
        <v>30519.6812275255</v>
      </c>
      <c r="S636" s="42" t="n">
        <f aca="false">R636/$K$2</f>
        <v>292.250131451935</v>
      </c>
      <c r="T636" s="43" t="n">
        <f aca="false">S636-$M$2</f>
        <v>-0.00305249903749427</v>
      </c>
    </row>
    <row r="637" customFormat="false" ht="15" hidden="false" customHeight="false" outlineLevel="0" collapsed="false">
      <c r="A637" s="5" t="n">
        <v>20</v>
      </c>
      <c r="B637" s="25" t="n">
        <f aca="false">IF(T636&gt;0,B636,D636)</f>
        <v>0.0223569869995117</v>
      </c>
      <c r="C637" s="25" t="n">
        <f aca="false">IF(T636&gt;0,D636,C636)</f>
        <v>0.0223598480224609</v>
      </c>
      <c r="D637" s="41" t="n">
        <f aca="false">(B637+C637)/2</f>
        <v>0.0223584175109863</v>
      </c>
      <c r="E637" s="15" t="n">
        <f aca="false">$C$2*(1+IF(E$3&lt;=$O$2,$D637,$D637-($D637-$I$616)*MIN(E$3-$O$2,$Q$2)/$Q$2))</f>
        <v>2801.2620639801</v>
      </c>
      <c r="F637" s="15" t="n">
        <f aca="false">E637*(1+IF(F$3&lt;=$O$2,$D637,$D637-($D637-$I$616)*MIN(F$3-$O$2,$Q$2)/$Q$2))</f>
        <v>2863.89385076426</v>
      </c>
      <c r="G637" s="15" t="n">
        <f aca="false">F637*(1+IF(G$3&lt;=$O$2,$D637,$D637-($D637-$I$616)*MIN(G$3-$O$2,$Q$2)/$Q$2))</f>
        <v>2927.92598518679</v>
      </c>
      <c r="H637" s="15" t="n">
        <f aca="false">G637*(1+IF(H$3&lt;=$O$2,$D637,$D637-($D637-$I$616)*MIN(H$3-$O$2,$Q$2)/$Q$2))</f>
        <v>2993.38977680486</v>
      </c>
      <c r="I637" s="15" t="n">
        <f aca="false">H637*(1+IF(I$3&lt;=$O$2,$D637,$D637-($D637-$I$616)*MIN(I$3-$O$2,$Q$2)/$Q$2))</f>
        <v>3060.31723520778</v>
      </c>
      <c r="J637" s="15" t="n">
        <f aca="false">I637*(1+IF(J$3&lt;=$O$2,$D637,$D637-($D637-$I$616)*MIN(J$3-$O$2,$Q$2)/$Q$2))</f>
        <v>3129.31739389253</v>
      </c>
      <c r="K637" s="15" t="n">
        <f aca="false">J637*(1+IF(K$3&lt;=$O$2,$D637,$D637-($D637-$I$616)*MIN(K$3-$O$2,$Q$2)/$Q$2))</f>
        <v>3200.46258289383</v>
      </c>
      <c r="L637" s="15" t="n">
        <f aca="false">K637*(1+IF(L$3&lt;=$O$2,$D637,$D637-($D637-$I$616)*MIN(L$3-$O$2,$Q$2)/$Q$2))</f>
        <v>3273.82796126534</v>
      </c>
      <c r="M637" s="15" t="n">
        <f aca="false">L637*(1+IF(M$3&lt;=$O$2,$D637,$D637-($D637-$I$616)*MIN(M$3-$O$2,$Q$2)/$Q$2))</f>
        <v>3349.49163694674</v>
      </c>
      <c r="N637" s="15" t="n">
        <f aca="false">M637*(1+IF(N$3&lt;=$O$2,$D637,$D637-($D637-$I$616)*MIN(N$3-$O$2,$Q$2)/$Q$2))</f>
        <v>3427.5347920876</v>
      </c>
      <c r="O637" s="15" t="n">
        <f aca="false">SUMPRODUCT(E637:N637,1/(1+$F$616)^$E$3:$N$3)*$E$2</f>
        <v>13544.9904918167</v>
      </c>
      <c r="P637" s="15" t="n">
        <f aca="false">N637*$E$2*(1+$I$616)/($F$616-$I$616)/(1+$F$616)^$N$3</f>
        <v>16204.933577732</v>
      </c>
      <c r="Q637" s="15" t="n">
        <f aca="false">O637+P637</f>
        <v>29749.9240695487</v>
      </c>
      <c r="R637" s="15" t="n">
        <f aca="false">Q637-$G$2+$I$2</f>
        <v>30519.9240695487</v>
      </c>
      <c r="S637" s="42" t="n">
        <f aca="false">R637/$K$2</f>
        <v>292.252456856734</v>
      </c>
      <c r="T637" s="43" t="n">
        <f aca="false">S637-$M$2</f>
        <v>-0.000727094238243353</v>
      </c>
    </row>
    <row r="638" customFormat="false" ht="15" hidden="false" customHeight="false" outlineLevel="0" collapsed="false">
      <c r="A638" s="5" t="n">
        <v>21</v>
      </c>
      <c r="B638" s="25" t="n">
        <f aca="false">IF(T637&gt;0,B637,D637)</f>
        <v>0.0223584175109863</v>
      </c>
      <c r="C638" s="25" t="n">
        <f aca="false">IF(T637&gt;0,D637,C637)</f>
        <v>0.0223598480224609</v>
      </c>
      <c r="D638" s="41" t="n">
        <f aca="false">(B638+C638)/2</f>
        <v>0.0223591327667236</v>
      </c>
      <c r="E638" s="15" t="n">
        <f aca="false">$C$2*(1+IF(E$3&lt;=$O$2,$D638,$D638-($D638-$I$616)*MIN(E$3-$O$2,$Q$2)/$Q$2))</f>
        <v>2801.26402378082</v>
      </c>
      <c r="F638" s="15" t="n">
        <f aca="false">E638*(1+IF(F$3&lt;=$O$2,$D638,$D638-($D638-$I$616)*MIN(F$3-$O$2,$Q$2)/$Q$2))</f>
        <v>2863.89785800318</v>
      </c>
      <c r="G638" s="15" t="n">
        <f aca="false">F638*(1+IF(G$3&lt;=$O$2,$D638,$D638-($D638-$I$616)*MIN(G$3-$O$2,$Q$2)/$Q$2))</f>
        <v>2927.93213044061</v>
      </c>
      <c r="H638" s="15" t="n">
        <f aca="false">G638*(1+IF(H$3&lt;=$O$2,$D638,$D638-($D638-$I$616)*MIN(H$3-$O$2,$Q$2)/$Q$2))</f>
        <v>2993.39815367709</v>
      </c>
      <c r="I638" s="15" t="n">
        <f aca="false">H638*(1+IF(I$3&lt;=$O$2,$D638,$D638-($D638-$I$616)*MIN(I$3-$O$2,$Q$2)/$Q$2))</f>
        <v>3060.32794041882</v>
      </c>
      <c r="J638" s="15" t="n">
        <f aca="false">I638*(1+IF(J$3&lt;=$O$2,$D638,$D638-($D638-$I$616)*MIN(J$3-$O$2,$Q$2)/$Q$2))</f>
        <v>3129.3300916048</v>
      </c>
      <c r="K638" s="15" t="n">
        <f aca="false">J638*(1+IF(K$3&lt;=$O$2,$D638,$D638-($D638-$I$616)*MIN(K$3-$O$2,$Q$2)/$Q$2))</f>
        <v>3200.47691225202</v>
      </c>
      <c r="L638" s="15" t="n">
        <f aca="false">K638*(1+IF(L$3&lt;=$O$2,$D638,$D638-($D638-$I$616)*MIN(L$3-$O$2,$Q$2)/$Q$2))</f>
        <v>3273.84353476445</v>
      </c>
      <c r="M638" s="15" t="n">
        <f aca="false">L638*(1+IF(M$3&lt;=$O$2,$D638,$D638-($D638-$I$616)*MIN(M$3-$O$2,$Q$2)/$Q$2))</f>
        <v>3349.50803870272</v>
      </c>
      <c r="N638" s="15" t="n">
        <f aca="false">M638*(1+IF(N$3&lt;=$O$2,$D638,$D638-($D638-$I$616)*MIN(N$3-$O$2,$Q$2)/$Q$2))</f>
        <v>3427.55157600449</v>
      </c>
      <c r="O638" s="15" t="n">
        <f aca="false">SUMPRODUCT(E638:N638,1/(1+$F$616)^$E$3:$N$3)*$E$2</f>
        <v>13545.0325613859</v>
      </c>
      <c r="P638" s="15" t="n">
        <f aca="false">N638*$E$2*(1+$I$616)/($F$616-$I$616)/(1+$F$616)^$N$3</f>
        <v>16205.012929883</v>
      </c>
      <c r="Q638" s="15" t="n">
        <f aca="false">O638+P638</f>
        <v>29750.0454912688</v>
      </c>
      <c r="R638" s="15" t="n">
        <f aca="false">Q638-$G$2+$I$2</f>
        <v>30520.0454912688</v>
      </c>
      <c r="S638" s="42" t="n">
        <f aca="false">R638/$K$2</f>
        <v>292.253619565918</v>
      </c>
      <c r="T638" s="43" t="n">
        <f aca="false">S638-$M$2</f>
        <v>0.000435614946070473</v>
      </c>
    </row>
    <row r="639" customFormat="false" ht="15" hidden="false" customHeight="false" outlineLevel="0" collapsed="false">
      <c r="A639" s="5" t="n">
        <v>22</v>
      </c>
      <c r="B639" s="25" t="n">
        <f aca="false">IF(T638&gt;0,B638,D638)</f>
        <v>0.0223584175109863</v>
      </c>
      <c r="C639" s="25" t="n">
        <f aca="false">IF(T638&gt;0,D638,C638)</f>
        <v>0.0223591327667236</v>
      </c>
      <c r="D639" s="41" t="n">
        <f aca="false">(B639+C639)/2</f>
        <v>0.022358775138855</v>
      </c>
      <c r="E639" s="15" t="n">
        <f aca="false">$C$2*(1+IF(E$3&lt;=$O$2,$D639,$D639-($D639-$I$616)*MIN(E$3-$O$2,$Q$2)/$Q$2))</f>
        <v>2801.26304388046</v>
      </c>
      <c r="F639" s="15" t="n">
        <f aca="false">E639*(1+IF(F$3&lt;=$O$2,$D639,$D639-($D639-$I$616)*MIN(F$3-$O$2,$Q$2)/$Q$2))</f>
        <v>2863.89585438337</v>
      </c>
      <c r="G639" s="15" t="n">
        <f aca="false">F639*(1+IF(G$3&lt;=$O$2,$D639,$D639-($D639-$I$616)*MIN(G$3-$O$2,$Q$2)/$Q$2))</f>
        <v>2927.92905781263</v>
      </c>
      <c r="H639" s="15" t="n">
        <f aca="false">G639*(1+IF(H$3&lt;=$O$2,$D639,$D639-($D639-$I$616)*MIN(H$3-$O$2,$Q$2)/$Q$2))</f>
        <v>2993.39396523878</v>
      </c>
      <c r="I639" s="15" t="n">
        <f aca="false">H639*(1+IF(I$3&lt;=$O$2,$D639,$D639-($D639-$I$616)*MIN(I$3-$O$2,$Q$2)/$Q$2))</f>
        <v>3060.32258780956</v>
      </c>
      <c r="J639" s="15" t="n">
        <f aca="false">I639*(1+IF(J$3&lt;=$O$2,$D639,$D639-($D639-$I$616)*MIN(J$3-$O$2,$Q$2)/$Q$2))</f>
        <v>3129.32374274331</v>
      </c>
      <c r="K639" s="15" t="n">
        <f aca="false">J639*(1+IF(K$3&lt;=$O$2,$D639,$D639-($D639-$I$616)*MIN(K$3-$O$2,$Q$2)/$Q$2))</f>
        <v>3200.46974756608</v>
      </c>
      <c r="L639" s="15" t="n">
        <f aca="false">K639*(1+IF(L$3&lt;=$O$2,$D639,$D639-($D639-$I$616)*MIN(L$3-$O$2,$Q$2)/$Q$2))</f>
        <v>3273.83574800687</v>
      </c>
      <c r="M639" s="15" t="n">
        <f aca="false">L639*(1+IF(M$3&lt;=$O$2,$D639,$D639-($D639-$I$616)*MIN(M$3-$O$2,$Q$2)/$Q$2))</f>
        <v>3349.49983781596</v>
      </c>
      <c r="N639" s="15" t="n">
        <f aca="false">M639*(1+IF(N$3&lt;=$O$2,$D639,$D639-($D639-$I$616)*MIN(N$3-$O$2,$Q$2)/$Q$2))</f>
        <v>3427.54318403708</v>
      </c>
      <c r="O639" s="15" t="n">
        <f aca="false">SUMPRODUCT(E639:N639,1/(1+$F$616)^$E$3:$N$3)*$E$2</f>
        <v>13545.0115265847</v>
      </c>
      <c r="P639" s="15" t="n">
        <f aca="false">N639*$E$2*(1+$I$616)/($F$616-$I$616)/(1+$F$616)^$N$3</f>
        <v>16204.9732537651</v>
      </c>
      <c r="Q639" s="15" t="n">
        <f aca="false">O639+P639</f>
        <v>29749.9847803497</v>
      </c>
      <c r="R639" s="15" t="n">
        <f aca="false">Q639-$G$2+$I$2</f>
        <v>30519.9847803497</v>
      </c>
      <c r="S639" s="42" t="n">
        <f aca="false">R639/$K$2</f>
        <v>292.253038210761</v>
      </c>
      <c r="T639" s="43" t="n">
        <f aca="false">S639-$M$2</f>
        <v>-0.000145740211337397</v>
      </c>
    </row>
    <row r="640" customFormat="false" ht="15" hidden="false" customHeight="false" outlineLevel="0" collapsed="false">
      <c r="A640" s="5" t="n">
        <v>23</v>
      </c>
      <c r="B640" s="25" t="n">
        <f aca="false">IF(T639&gt;0,B639,D639)</f>
        <v>0.022358775138855</v>
      </c>
      <c r="C640" s="25" t="n">
        <f aca="false">IF(T639&gt;0,D639,C639)</f>
        <v>0.0223591327667236</v>
      </c>
      <c r="D640" s="41" t="n">
        <f aca="false">(B640+C640)/2</f>
        <v>0.0223589539527893</v>
      </c>
      <c r="E640" s="15" t="n">
        <f aca="false">$C$2*(1+IF(E$3&lt;=$O$2,$D640,$D640-($D640-$I$616)*MIN(E$3-$O$2,$Q$2)/$Q$2))</f>
        <v>2801.26353383064</v>
      </c>
      <c r="F640" s="15" t="n">
        <f aca="false">E640*(1+IF(F$3&lt;=$O$2,$D640,$D640-($D640-$I$616)*MIN(F$3-$O$2,$Q$2)/$Q$2))</f>
        <v>2863.89685619319</v>
      </c>
      <c r="G640" s="15" t="n">
        <f aca="false">F640*(1+IF(G$3&lt;=$O$2,$D640,$D640-($D640-$I$616)*MIN(G$3-$O$2,$Q$2)/$Q$2))</f>
        <v>2927.93059412635</v>
      </c>
      <c r="H640" s="15" t="n">
        <f aca="false">G640*(1+IF(H$3&lt;=$O$2,$D640,$D640-($D640-$I$616)*MIN(H$3-$O$2,$Q$2)/$Q$2))</f>
        <v>2993.39605945739</v>
      </c>
      <c r="I640" s="15" t="n">
        <f aca="false">H640*(1+IF(I$3&lt;=$O$2,$D640,$D640-($D640-$I$616)*MIN(I$3-$O$2,$Q$2)/$Q$2))</f>
        <v>3060.32526411325</v>
      </c>
      <c r="J640" s="15" t="n">
        <f aca="false">I640*(1+IF(J$3&lt;=$O$2,$D640,$D640-($D640-$I$616)*MIN(J$3-$O$2,$Q$2)/$Q$2))</f>
        <v>3129.32691717271</v>
      </c>
      <c r="K640" s="15" t="n">
        <f aca="false">J640*(1+IF(K$3&lt;=$O$2,$D640,$D640-($D640-$I$616)*MIN(K$3-$O$2,$Q$2)/$Q$2))</f>
        <v>3200.47332990734</v>
      </c>
      <c r="L640" s="15" t="n">
        <f aca="false">K640*(1+IF(L$3&lt;=$O$2,$D640,$D640-($D640-$I$616)*MIN(L$3-$O$2,$Q$2)/$Q$2))</f>
        <v>3273.83964138365</v>
      </c>
      <c r="M640" s="15" t="n">
        <f aca="false">L640*(1+IF(M$3&lt;=$O$2,$D640,$D640-($D640-$I$616)*MIN(M$3-$O$2,$Q$2)/$Q$2))</f>
        <v>3349.50393825715</v>
      </c>
      <c r="N640" s="15" t="n">
        <f aca="false">M640*(1+IF(N$3&lt;=$O$2,$D640,$D640-($D640-$I$616)*MIN(N$3-$O$2,$Q$2)/$Q$2))</f>
        <v>3427.54738001854</v>
      </c>
      <c r="O640" s="15" t="n">
        <f aca="false">SUMPRODUCT(E640:N640,1/(1+$F$616)^$E$3:$N$3)*$E$2</f>
        <v>13545.0220439811</v>
      </c>
      <c r="P640" s="15" t="n">
        <f aca="false">N640*$E$2*(1+$I$616)/($F$616-$I$616)/(1+$F$616)^$N$3</f>
        <v>16204.9930918134</v>
      </c>
      <c r="Q640" s="15" t="n">
        <f aca="false">O640+P640</f>
        <v>29750.0151357945</v>
      </c>
      <c r="R640" s="15" t="n">
        <f aca="false">Q640-$G$2+$I$2</f>
        <v>30520.0151357945</v>
      </c>
      <c r="S640" s="42" t="n">
        <f aca="false">R640/$K$2</f>
        <v>292.253328888198</v>
      </c>
      <c r="T640" s="43" t="n">
        <f aca="false">S640-$M$2</f>
        <v>0.000144937225968533</v>
      </c>
    </row>
    <row r="641" customFormat="false" ht="15" hidden="false" customHeight="false" outlineLevel="0" collapsed="false">
      <c r="A641" s="5" t="n">
        <v>24</v>
      </c>
      <c r="B641" s="25" t="n">
        <f aca="false">IF(T640&gt;0,B640,D640)</f>
        <v>0.022358775138855</v>
      </c>
      <c r="C641" s="25" t="n">
        <f aca="false">IF(T640&gt;0,D640,C640)</f>
        <v>0.0223589539527893</v>
      </c>
      <c r="D641" s="41" t="n">
        <f aca="false">(B641+C641)/2</f>
        <v>0.0223588645458221</v>
      </c>
      <c r="E641" s="15" t="n">
        <f aca="false">$C$2*(1+IF(E$3&lt;=$O$2,$D641,$D641-($D641-$I$616)*MIN(E$3-$O$2,$Q$2)/$Q$2))</f>
        <v>2801.26328885555</v>
      </c>
      <c r="F641" s="15" t="n">
        <f aca="false">E641*(1+IF(F$3&lt;=$O$2,$D641,$D641-($D641-$I$616)*MIN(F$3-$O$2,$Q$2)/$Q$2))</f>
        <v>2863.89635528826</v>
      </c>
      <c r="G641" s="15" t="n">
        <f aca="false">F641*(1+IF(G$3&lt;=$O$2,$D641,$D641-($D641-$I$616)*MIN(G$3-$O$2,$Q$2)/$Q$2))</f>
        <v>2927.92982596942</v>
      </c>
      <c r="H641" s="15" t="n">
        <f aca="false">G641*(1+IF(H$3&lt;=$O$2,$D641,$D641-($D641-$I$616)*MIN(H$3-$O$2,$Q$2)/$Q$2))</f>
        <v>2993.39501234795</v>
      </c>
      <c r="I641" s="15" t="n">
        <f aca="false">H641*(1+IF(I$3&lt;=$O$2,$D641,$D641-($D641-$I$616)*MIN(I$3-$O$2,$Q$2)/$Q$2))</f>
        <v>3060.32392596117</v>
      </c>
      <c r="J641" s="15" t="n">
        <f aca="false">I641*(1+IF(J$3&lt;=$O$2,$D641,$D641-($D641-$I$616)*MIN(J$3-$O$2,$Q$2)/$Q$2))</f>
        <v>3129.32532995768</v>
      </c>
      <c r="K641" s="15" t="n">
        <f aca="false">J641*(1+IF(K$3&lt;=$O$2,$D641,$D641-($D641-$I$616)*MIN(K$3-$O$2,$Q$2)/$Q$2))</f>
        <v>3200.47153873628</v>
      </c>
      <c r="L641" s="15" t="n">
        <f aca="false">K641*(1+IF(L$3&lt;=$O$2,$D641,$D641-($D641-$I$616)*MIN(L$3-$O$2,$Q$2)/$Q$2))</f>
        <v>3273.83769469476</v>
      </c>
      <c r="M641" s="15" t="n">
        <f aca="false">L641*(1+IF(M$3&lt;=$O$2,$D641,$D641-($D641-$I$616)*MIN(M$3-$O$2,$Q$2)/$Q$2))</f>
        <v>3349.50188803601</v>
      </c>
      <c r="N641" s="15" t="n">
        <f aca="false">M641*(1+IF(N$3&lt;=$O$2,$D641,$D641-($D641-$I$616)*MIN(N$3-$O$2,$Q$2)/$Q$2))</f>
        <v>3427.54528202725</v>
      </c>
      <c r="O641" s="15" t="n">
        <f aca="false">SUMPRODUCT(E641:N641,1/(1+$F$616)^$E$3:$N$3)*$E$2</f>
        <v>13545.0167852818</v>
      </c>
      <c r="P641" s="15" t="n">
        <f aca="false">N641*$E$2*(1+$I$616)/($F$616-$I$616)/(1+$F$616)^$N$3</f>
        <v>16204.9831727866</v>
      </c>
      <c r="Q641" s="15" t="n">
        <f aca="false">O641+P641</f>
        <v>29749.9999580684</v>
      </c>
      <c r="R641" s="15" t="n">
        <f aca="false">Q641-$G$2+$I$2</f>
        <v>30519.9999580684</v>
      </c>
      <c r="S641" s="42" t="n">
        <f aca="false">R641/$K$2</f>
        <v>292.253183549444</v>
      </c>
      <c r="T641" s="43" t="n">
        <f aca="false">S641-$M$2</f>
        <v>-4.01528041038546E-007</v>
      </c>
    </row>
    <row r="643" customFormat="false" ht="15" hidden="false" customHeight="false" outlineLevel="0" collapsed="false">
      <c r="A643" s="38" t="s">
        <v>201</v>
      </c>
      <c r="E643" s="5" t="s">
        <v>11</v>
      </c>
      <c r="F643" s="12" t="n">
        <f aca="false">Sensitivity!$B$14</f>
        <v>0.0872772551778937</v>
      </c>
      <c r="G643" s="5" t="s">
        <v>12</v>
      </c>
      <c r="I643" s="12" t="n">
        <f aca="false">Sensitivity!$E$9</f>
        <v>0.0283</v>
      </c>
    </row>
    <row r="644" customFormat="false" ht="23.85" hidden="false" customHeight="false" outlineLevel="0" collapsed="false">
      <c r="A644" s="38" t="s">
        <v>159</v>
      </c>
      <c r="B644" s="28" t="s">
        <v>160</v>
      </c>
      <c r="C644" s="28" t="s">
        <v>161</v>
      </c>
      <c r="D644" s="28" t="s">
        <v>162</v>
      </c>
      <c r="E644" s="28" t="s">
        <v>163</v>
      </c>
      <c r="F644" s="28" t="s">
        <v>164</v>
      </c>
      <c r="G644" s="28" t="s">
        <v>165</v>
      </c>
      <c r="H644" s="28" t="s">
        <v>166</v>
      </c>
      <c r="I644" s="28" t="s">
        <v>167</v>
      </c>
      <c r="J644" s="28" t="s">
        <v>168</v>
      </c>
      <c r="K644" s="28" t="s">
        <v>169</v>
      </c>
      <c r="L644" s="28" t="s">
        <v>170</v>
      </c>
      <c r="M644" s="28" t="s">
        <v>171</v>
      </c>
      <c r="N644" s="28" t="s">
        <v>172</v>
      </c>
      <c r="O644" s="28" t="s">
        <v>173</v>
      </c>
      <c r="P644" s="28" t="s">
        <v>174</v>
      </c>
      <c r="Q644" s="28" t="s">
        <v>175</v>
      </c>
      <c r="R644" s="28" t="s">
        <v>176</v>
      </c>
      <c r="S644" s="28" t="s">
        <v>177</v>
      </c>
      <c r="T644" s="28" t="s">
        <v>178</v>
      </c>
    </row>
    <row r="645" customFormat="false" ht="15" hidden="false" customHeight="false" outlineLevel="0" collapsed="false">
      <c r="A645" s="5" t="n">
        <v>1</v>
      </c>
      <c r="B645" s="24" t="n">
        <v>-0.5</v>
      </c>
      <c r="C645" s="24" t="n">
        <v>1</v>
      </c>
      <c r="D645" s="41" t="n">
        <f aca="false">(B645+C645)/2</f>
        <v>0.25</v>
      </c>
      <c r="E645" s="15" t="n">
        <f aca="false">$C$2*(1+IF(E$3&lt;=$O$2,$D645,$D645-($D645-$I$643)*MIN(E$3-$O$2,$Q$2)/$Q$2))</f>
        <v>3425</v>
      </c>
      <c r="F645" s="15" t="n">
        <f aca="false">E645*(1+IF(F$3&lt;=$O$2,$D645,$D645-($D645-$I$643)*MIN(F$3-$O$2,$Q$2)/$Q$2))</f>
        <v>4281.25</v>
      </c>
      <c r="G645" s="15" t="n">
        <f aca="false">F645*(1+IF(G$3&lt;=$O$2,$D645,$D645-($D645-$I$643)*MIN(G$3-$O$2,$Q$2)/$Q$2))</f>
        <v>5351.5625</v>
      </c>
      <c r="H645" s="15" t="n">
        <f aca="false">G645*(1+IF(H$3&lt;=$O$2,$D645,$D645-($D645-$I$643)*MIN(H$3-$O$2,$Q$2)/$Q$2))</f>
        <v>6689.453125</v>
      </c>
      <c r="I645" s="15" t="n">
        <f aca="false">H645*(1+IF(I$3&lt;=$O$2,$D645,$D645-($D645-$I$643)*MIN(I$3-$O$2,$Q$2)/$Q$2))</f>
        <v>8361.81640625</v>
      </c>
      <c r="J645" s="15" t="n">
        <f aca="false">I645*(1+IF(J$3&lt;=$O$2,$D645,$D645-($D645-$I$643)*MIN(J$3-$O$2,$Q$2)/$Q$2))</f>
        <v>10081.5075683594</v>
      </c>
      <c r="K645" s="15" t="n">
        <f aca="false">J645*(1+IF(K$3&lt;=$O$2,$D645,$D645-($D645-$I$643)*MIN(K$3-$O$2,$Q$2)/$Q$2))</f>
        <v>11707.8563692871</v>
      </c>
      <c r="L645" s="15" t="n">
        <f aca="false">K645*(1+IF(L$3&lt;=$O$2,$D645,$D645-($D645-$I$643)*MIN(L$3-$O$2,$Q$2)/$Q$2))</f>
        <v>13077.4414073663</v>
      </c>
      <c r="M645" s="15" t="n">
        <f aca="false">L645*(1+IF(M$3&lt;=$O$2,$D645,$D645-($D645-$I$643)*MIN(M$3-$O$2,$Q$2)/$Q$2))</f>
        <v>14027.3867511974</v>
      </c>
      <c r="N645" s="15" t="n">
        <f aca="false">M645*(1+IF(N$3&lt;=$O$2,$D645,$D645-($D645-$I$643)*MIN(N$3-$O$2,$Q$2)/$Q$2))</f>
        <v>14424.3617962563</v>
      </c>
      <c r="O645" s="15" t="n">
        <f aca="false">SUMPRODUCT(E645:N645,1/(1+$F$643)^$E$3:$N$3)*$E$2</f>
        <v>36439.9528508338</v>
      </c>
      <c r="P645" s="15" t="n">
        <f aca="false">N645*$E$2*(1+$I$643)/($F$643-$I$643)/(1+$F$643)^$N$3</f>
        <v>74339.5450753086</v>
      </c>
      <c r="Q645" s="15" t="n">
        <f aca="false">O645+P645</f>
        <v>110779.497926142</v>
      </c>
      <c r="R645" s="15" t="n">
        <f aca="false">Q645-$G$2+$I$2</f>
        <v>111549.497926142</v>
      </c>
      <c r="S645" s="42" t="n">
        <f aca="false">R645/$K$2</f>
        <v>1068.17483411034</v>
      </c>
      <c r="T645" s="43" t="n">
        <f aca="false">S645-$M$2</f>
        <v>775.921650159364</v>
      </c>
    </row>
    <row r="646" customFormat="false" ht="15" hidden="false" customHeight="false" outlineLevel="0" collapsed="false">
      <c r="A646" s="5" t="n">
        <v>2</v>
      </c>
      <c r="B646" s="25" t="n">
        <f aca="false">IF(T645&gt;0,B645,D645)</f>
        <v>-0.5</v>
      </c>
      <c r="C646" s="25" t="n">
        <f aca="false">IF(T645&gt;0,D645,C645)</f>
        <v>0.25</v>
      </c>
      <c r="D646" s="41" t="n">
        <f aca="false">(B646+C646)/2</f>
        <v>-0.125</v>
      </c>
      <c r="E646" s="15" t="n">
        <f aca="false">$C$2*(1+IF(E$3&lt;=$O$2,$D646,$D646-($D646-$I$643)*MIN(E$3-$O$2,$Q$2)/$Q$2))</f>
        <v>2397.5</v>
      </c>
      <c r="F646" s="15" t="n">
        <f aca="false">E646*(1+IF(F$3&lt;=$O$2,$D646,$D646-($D646-$I$643)*MIN(F$3-$O$2,$Q$2)/$Q$2))</f>
        <v>2097.8125</v>
      </c>
      <c r="G646" s="15" t="n">
        <f aca="false">F646*(1+IF(G$3&lt;=$O$2,$D646,$D646-($D646-$I$643)*MIN(G$3-$O$2,$Q$2)/$Q$2))</f>
        <v>1835.5859375</v>
      </c>
      <c r="H646" s="15" t="n">
        <f aca="false">G646*(1+IF(H$3&lt;=$O$2,$D646,$D646-($D646-$I$643)*MIN(H$3-$O$2,$Q$2)/$Q$2))</f>
        <v>1606.1376953125</v>
      </c>
      <c r="I646" s="15" t="n">
        <f aca="false">H646*(1+IF(I$3&lt;=$O$2,$D646,$D646-($D646-$I$643)*MIN(I$3-$O$2,$Q$2)/$Q$2))</f>
        <v>1405.37048339844</v>
      </c>
      <c r="J646" s="15" t="n">
        <f aca="false">I646*(1+IF(J$3&lt;=$O$2,$D646,$D646-($D646-$I$643)*MIN(J$3-$O$2,$Q$2)/$Q$2))</f>
        <v>1272.78783199463</v>
      </c>
      <c r="K646" s="15" t="n">
        <f aca="false">J646*(1+IF(K$3&lt;=$O$2,$D646,$D646-($D646-$I$643)*MIN(K$3-$O$2,$Q$2)/$Q$2))</f>
        <v>1191.73670285321</v>
      </c>
      <c r="L646" s="15" t="n">
        <f aca="false">K646*(1+IF(L$3&lt;=$O$2,$D646,$D646-($D646-$I$643)*MIN(L$3-$O$2,$Q$2)/$Q$2))</f>
        <v>1152.385556925</v>
      </c>
      <c r="M646" s="15" t="n">
        <f aca="false">L646*(1+IF(M$3&lt;=$O$2,$D646,$D646-($D646-$I$643)*MIN(M$3-$O$2,$Q$2)/$Q$2))</f>
        <v>1149.66592701066</v>
      </c>
      <c r="N646" s="15" t="n">
        <f aca="false">M646*(1+IF(N$3&lt;=$O$2,$D646,$D646-($D646-$I$643)*MIN(N$3-$O$2,$Q$2)/$Q$2))</f>
        <v>1182.20147274506</v>
      </c>
      <c r="O646" s="15" t="n">
        <f aca="false">SUMPRODUCT(E646:N646,1/(1+$F$643)^$E$3:$N$3)*$E$2</f>
        <v>7206.39622734899</v>
      </c>
      <c r="P646" s="15" t="n">
        <f aca="false">N646*$E$2*(1+$I$643)/($F$643-$I$643)/(1+$F$643)^$N$3</f>
        <v>6092.77005891775</v>
      </c>
      <c r="Q646" s="15" t="n">
        <f aca="false">O646+P646</f>
        <v>13299.1662862667</v>
      </c>
      <c r="R646" s="15" t="n">
        <f aca="false">Q646-$G$2+$I$2</f>
        <v>14069.1662862667</v>
      </c>
      <c r="S646" s="42" t="n">
        <f aca="false">R646/$K$2</f>
        <v>134.723415553641</v>
      </c>
      <c r="T646" s="43" t="n">
        <f aca="false">S646-$M$2</f>
        <v>-157.529768397331</v>
      </c>
    </row>
    <row r="647" customFormat="false" ht="15" hidden="false" customHeight="false" outlineLevel="0" collapsed="false">
      <c r="A647" s="5" t="n">
        <v>3</v>
      </c>
      <c r="B647" s="25" t="n">
        <f aca="false">IF(T646&gt;0,B646,D646)</f>
        <v>-0.125</v>
      </c>
      <c r="C647" s="25" t="n">
        <f aca="false">IF(T646&gt;0,D646,C646)</f>
        <v>0.25</v>
      </c>
      <c r="D647" s="41" t="n">
        <f aca="false">(B647+C647)/2</f>
        <v>0.0625</v>
      </c>
      <c r="E647" s="15" t="n">
        <f aca="false">$C$2*(1+IF(E$3&lt;=$O$2,$D647,$D647-($D647-$I$643)*MIN(E$3-$O$2,$Q$2)/$Q$2))</f>
        <v>2911.25</v>
      </c>
      <c r="F647" s="15" t="n">
        <f aca="false">E647*(1+IF(F$3&lt;=$O$2,$D647,$D647-($D647-$I$643)*MIN(F$3-$O$2,$Q$2)/$Q$2))</f>
        <v>3093.203125</v>
      </c>
      <c r="G647" s="15" t="n">
        <f aca="false">F647*(1+IF(G$3&lt;=$O$2,$D647,$D647-($D647-$I$643)*MIN(G$3-$O$2,$Q$2)/$Q$2))</f>
        <v>3286.5283203125</v>
      </c>
      <c r="H647" s="15" t="n">
        <f aca="false">G647*(1+IF(H$3&lt;=$O$2,$D647,$D647-($D647-$I$643)*MIN(H$3-$O$2,$Q$2)/$Q$2))</f>
        <v>3491.93634033203</v>
      </c>
      <c r="I647" s="15" t="n">
        <f aca="false">H647*(1+IF(I$3&lt;=$O$2,$D647,$D647-($D647-$I$643)*MIN(I$3-$O$2,$Q$2)/$Q$2))</f>
        <v>3710.18236160278</v>
      </c>
      <c r="J647" s="15" t="n">
        <f aca="false">I647*(1+IF(J$3&lt;=$O$2,$D647,$D647-($D647-$I$643)*MIN(J$3-$O$2,$Q$2)/$Q$2))</f>
        <v>3916.69111184959</v>
      </c>
      <c r="K647" s="15" t="n">
        <f aca="false">J647*(1+IF(K$3&lt;=$O$2,$D647,$D647-($D647-$I$643)*MIN(K$3-$O$2,$Q$2)/$Q$2))</f>
        <v>4107.90397193009</v>
      </c>
      <c r="L647" s="15" t="n">
        <f aca="false">K647*(1+IF(L$3&lt;=$O$2,$D647,$D647-($D647-$I$643)*MIN(L$3-$O$2,$Q$2)/$Q$2))</f>
        <v>4280.35378067172</v>
      </c>
      <c r="M647" s="15" t="n">
        <f aca="false">L647*(1+IF(M$3&lt;=$O$2,$D647,$D647-($D647-$I$643)*MIN(M$3-$O$2,$Q$2)/$Q$2))</f>
        <v>4430.76541252452</v>
      </c>
      <c r="N647" s="15" t="n">
        <f aca="false">M647*(1+IF(N$3&lt;=$O$2,$D647,$D647-($D647-$I$643)*MIN(N$3-$O$2,$Q$2)/$Q$2))</f>
        <v>4556.15607369897</v>
      </c>
      <c r="O647" s="15" t="n">
        <f aca="false">SUMPRODUCT(E647:N647,1/(1+$F$643)^$E$3:$N$3)*$E$2</f>
        <v>16175.0302906719</v>
      </c>
      <c r="P647" s="15" t="n">
        <f aca="false">N647*$E$2*(1+$I$643)/($F$643-$I$643)/(1+$F$643)^$N$3</f>
        <v>23481.286353951</v>
      </c>
      <c r="Q647" s="15" t="n">
        <f aca="false">O647+P647</f>
        <v>39656.3166446229</v>
      </c>
      <c r="R647" s="15" t="n">
        <f aca="false">Q647-$G$2+$I$2</f>
        <v>40426.3166446229</v>
      </c>
      <c r="S647" s="42" t="n">
        <f aca="false">R647/$K$2</f>
        <v>387.114015557052</v>
      </c>
      <c r="T647" s="43" t="n">
        <f aca="false">S647-$M$2</f>
        <v>94.8608316060797</v>
      </c>
    </row>
    <row r="648" customFormat="false" ht="15" hidden="false" customHeight="false" outlineLevel="0" collapsed="false">
      <c r="A648" s="5" t="n">
        <v>4</v>
      </c>
      <c r="B648" s="25" t="n">
        <f aca="false">IF(T647&gt;0,B647,D647)</f>
        <v>-0.125</v>
      </c>
      <c r="C648" s="25" t="n">
        <f aca="false">IF(T647&gt;0,D647,C647)</f>
        <v>0.0625</v>
      </c>
      <c r="D648" s="41" t="n">
        <f aca="false">(B648+C648)/2</f>
        <v>-0.03125</v>
      </c>
      <c r="E648" s="15" t="n">
        <f aca="false">$C$2*(1+IF(E$3&lt;=$O$2,$D648,$D648-($D648-$I$643)*MIN(E$3-$O$2,$Q$2)/$Q$2))</f>
        <v>2654.375</v>
      </c>
      <c r="F648" s="15" t="n">
        <f aca="false">E648*(1+IF(F$3&lt;=$O$2,$D648,$D648-($D648-$I$643)*MIN(F$3-$O$2,$Q$2)/$Q$2))</f>
        <v>2571.42578125</v>
      </c>
      <c r="G648" s="15" t="n">
        <f aca="false">F648*(1+IF(G$3&lt;=$O$2,$D648,$D648-($D648-$I$643)*MIN(G$3-$O$2,$Q$2)/$Q$2))</f>
        <v>2491.06872558594</v>
      </c>
      <c r="H648" s="15" t="n">
        <f aca="false">G648*(1+IF(H$3&lt;=$O$2,$D648,$D648-($D648-$I$643)*MIN(H$3-$O$2,$Q$2)/$Q$2))</f>
        <v>2413.22282791138</v>
      </c>
      <c r="I648" s="15" t="n">
        <f aca="false">H648*(1+IF(I$3&lt;=$O$2,$D648,$D648-($D648-$I$643)*MIN(I$3-$O$2,$Q$2)/$Q$2))</f>
        <v>2337.80961453915</v>
      </c>
      <c r="J648" s="15" t="n">
        <f aca="false">I648*(1+IF(J$3&lt;=$O$2,$D648,$D648-($D648-$I$643)*MIN(J$3-$O$2,$Q$2)/$Q$2))</f>
        <v>2292.59637659396</v>
      </c>
      <c r="K648" s="15" t="n">
        <f aca="false">J648*(1+IF(K$3&lt;=$O$2,$D648,$D648-($D648-$I$643)*MIN(K$3-$O$2,$Q$2)/$Q$2))</f>
        <v>2275.56238551587</v>
      </c>
      <c r="L648" s="15" t="n">
        <f aca="false">K648*(1+IF(L$3&lt;=$O$2,$D648,$D648-($D648-$I$643)*MIN(L$3-$O$2,$Q$2)/$Q$2))</f>
        <v>2285.75690500298</v>
      </c>
      <c r="M648" s="15" t="n">
        <f aca="false">L648*(1+IF(M$3&lt;=$O$2,$D648,$D648-($D648-$I$643)*MIN(M$3-$O$2,$Q$2)/$Q$2))</f>
        <v>2323.22046067598</v>
      </c>
      <c r="N648" s="15" t="n">
        <f aca="false">M648*(1+IF(N$3&lt;=$O$2,$D648,$D648-($D648-$I$643)*MIN(N$3-$O$2,$Q$2)/$Q$2))</f>
        <v>2388.96759971311</v>
      </c>
      <c r="O648" s="15" t="n">
        <f aca="false">SUMPRODUCT(E648:N648,1/(1+$F$643)^$E$3:$N$3)*$E$2</f>
        <v>10765.015989702</v>
      </c>
      <c r="P648" s="15" t="n">
        <f aca="false">N648*$E$2*(1+$I$643)/($F$643-$I$643)/(1+$F$643)^$N$3</f>
        <v>12312.140188304</v>
      </c>
      <c r="Q648" s="15" t="n">
        <f aca="false">O648+P648</f>
        <v>23077.156178006</v>
      </c>
      <c r="R648" s="15" t="n">
        <f aca="false">Q648-$G$2+$I$2</f>
        <v>23847.156178006</v>
      </c>
      <c r="S648" s="42" t="n">
        <f aca="false">R648/$K$2</f>
        <v>228.355416815149</v>
      </c>
      <c r="T648" s="43" t="n">
        <f aca="false">S648-$M$2</f>
        <v>-63.8977671358231</v>
      </c>
    </row>
    <row r="649" customFormat="false" ht="15" hidden="false" customHeight="false" outlineLevel="0" collapsed="false">
      <c r="A649" s="5" t="n">
        <v>5</v>
      </c>
      <c r="B649" s="25" t="n">
        <f aca="false">IF(T648&gt;0,B648,D648)</f>
        <v>-0.03125</v>
      </c>
      <c r="C649" s="25" t="n">
        <f aca="false">IF(T648&gt;0,D648,C648)</f>
        <v>0.0625</v>
      </c>
      <c r="D649" s="41" t="n">
        <f aca="false">(B649+C649)/2</f>
        <v>0.015625</v>
      </c>
      <c r="E649" s="15" t="n">
        <f aca="false">$C$2*(1+IF(E$3&lt;=$O$2,$D649,$D649-($D649-$I$643)*MIN(E$3-$O$2,$Q$2)/$Q$2))</f>
        <v>2782.8125</v>
      </c>
      <c r="F649" s="15" t="n">
        <f aca="false">E649*(1+IF(F$3&lt;=$O$2,$D649,$D649-($D649-$I$643)*MIN(F$3-$O$2,$Q$2)/$Q$2))</f>
        <v>2826.2939453125</v>
      </c>
      <c r="G649" s="15" t="n">
        <f aca="false">F649*(1+IF(G$3&lt;=$O$2,$D649,$D649-($D649-$I$643)*MIN(G$3-$O$2,$Q$2)/$Q$2))</f>
        <v>2870.45478820801</v>
      </c>
      <c r="H649" s="15" t="n">
        <f aca="false">G649*(1+IF(H$3&lt;=$O$2,$D649,$D649-($D649-$I$643)*MIN(H$3-$O$2,$Q$2)/$Q$2))</f>
        <v>2915.30564427376</v>
      </c>
      <c r="I649" s="15" t="n">
        <f aca="false">H649*(1+IF(I$3&lt;=$O$2,$D649,$D649-($D649-$I$643)*MIN(I$3-$O$2,$Q$2)/$Q$2))</f>
        <v>2960.85729496554</v>
      </c>
      <c r="J649" s="15" t="n">
        <f aca="false">I649*(1+IF(J$3&lt;=$O$2,$D649,$D649-($D649-$I$643)*MIN(J$3-$O$2,$Q$2)/$Q$2))</f>
        <v>3014.62646344211</v>
      </c>
      <c r="K649" s="15" t="n">
        <f aca="false">J649*(1+IF(K$3&lt;=$O$2,$D649,$D649-($D649-$I$643)*MIN(K$3-$O$2,$Q$2)/$Q$2))</f>
        <v>3077.01415810304</v>
      </c>
      <c r="L649" s="15" t="n">
        <f aca="false">K649*(1+IF(L$3&lt;=$O$2,$D649,$D649-($D649-$I$643)*MIN(L$3-$O$2,$Q$2)/$Q$2))</f>
        <v>3148.49319699578</v>
      </c>
      <c r="M649" s="15" t="n">
        <f aca="false">L649*(1+IF(M$3&lt;=$O$2,$D649,$D649-($D649-$I$643)*MIN(M$3-$O$2,$Q$2)/$Q$2))</f>
        <v>3229.61412421637</v>
      </c>
      <c r="N649" s="15" t="n">
        <f aca="false">M649*(1+IF(N$3&lt;=$O$2,$D649,$D649-($D649-$I$643)*MIN(N$3-$O$2,$Q$2)/$Q$2))</f>
        <v>3321.0122039317</v>
      </c>
      <c r="O649" s="15" t="n">
        <f aca="false">SUMPRODUCT(E649:N649,1/(1+$F$643)^$E$3:$N$3)*$E$2</f>
        <v>13190.2918233922</v>
      </c>
      <c r="P649" s="15" t="n">
        <f aca="false">N649*$E$2*(1+$I$643)/($F$643-$I$643)/(1+$F$643)^$N$3</f>
        <v>17115.6644513663</v>
      </c>
      <c r="Q649" s="15" t="n">
        <f aca="false">O649+P649</f>
        <v>30305.9562747585</v>
      </c>
      <c r="R649" s="15" t="n">
        <f aca="false">Q649-$G$2+$I$2</f>
        <v>31075.9562747585</v>
      </c>
      <c r="S649" s="42" t="n">
        <f aca="false">R649/$K$2</f>
        <v>297.57690581977</v>
      </c>
      <c r="T649" s="43" t="n">
        <f aca="false">S649-$M$2</f>
        <v>5.32372186879752</v>
      </c>
    </row>
    <row r="650" customFormat="false" ht="15" hidden="false" customHeight="false" outlineLevel="0" collapsed="false">
      <c r="A650" s="5" t="n">
        <v>6</v>
      </c>
      <c r="B650" s="25" t="n">
        <f aca="false">IF(T649&gt;0,B649,D649)</f>
        <v>-0.03125</v>
      </c>
      <c r="C650" s="25" t="n">
        <f aca="false">IF(T649&gt;0,D649,C649)</f>
        <v>0.015625</v>
      </c>
      <c r="D650" s="41" t="n">
        <f aca="false">(B650+C650)/2</f>
        <v>-0.0078125</v>
      </c>
      <c r="E650" s="15" t="n">
        <f aca="false">$C$2*(1+IF(E$3&lt;=$O$2,$D650,$D650-($D650-$I$643)*MIN(E$3-$O$2,$Q$2)/$Q$2))</f>
        <v>2718.59375</v>
      </c>
      <c r="F650" s="15" t="n">
        <f aca="false">E650*(1+IF(F$3&lt;=$O$2,$D650,$D650-($D650-$I$643)*MIN(F$3-$O$2,$Q$2)/$Q$2))</f>
        <v>2697.35473632813</v>
      </c>
      <c r="G650" s="15" t="n">
        <f aca="false">F650*(1+IF(G$3&lt;=$O$2,$D650,$D650-($D650-$I$643)*MIN(G$3-$O$2,$Q$2)/$Q$2))</f>
        <v>2676.28165245056</v>
      </c>
      <c r="H650" s="15" t="n">
        <f aca="false">G650*(1+IF(H$3&lt;=$O$2,$D650,$D650-($D650-$I$643)*MIN(H$3-$O$2,$Q$2)/$Q$2))</f>
        <v>2655.37320204079</v>
      </c>
      <c r="I650" s="15" t="n">
        <f aca="false">H650*(1+IF(I$3&lt;=$O$2,$D650,$D650-($D650-$I$643)*MIN(I$3-$O$2,$Q$2)/$Q$2))</f>
        <v>2634.62809889985</v>
      </c>
      <c r="J650" s="15" t="n">
        <f aca="false">I650*(1+IF(J$3&lt;=$O$2,$D650,$D650-($D650-$I$643)*MIN(J$3-$O$2,$Q$2)/$Q$2))</f>
        <v>2633.0736683215</v>
      </c>
      <c r="K650" s="15" t="n">
        <f aca="false">J650*(1+IF(K$3&lt;=$O$2,$D650,$D650-($D650-$I$643)*MIN(K$3-$O$2,$Q$2)/$Q$2))</f>
        <v>2650.53752942664</v>
      </c>
      <c r="L650" s="15" t="n">
        <f aca="false">K650*(1+IF(L$3&lt;=$O$2,$D650,$D650-($D650-$I$643)*MIN(L$3-$O$2,$Q$2)/$Q$2))</f>
        <v>2687.26072689685</v>
      </c>
      <c r="M650" s="15" t="n">
        <f aca="false">L650*(1+IF(M$3&lt;=$O$2,$D650,$D650-($D650-$I$643)*MIN(M$3-$O$2,$Q$2)/$Q$2))</f>
        <v>2743.90146486801</v>
      </c>
      <c r="N650" s="15" t="n">
        <f aca="false">M650*(1+IF(N$3&lt;=$O$2,$D650,$D650-($D650-$I$643)*MIN(N$3-$O$2,$Q$2)/$Q$2))</f>
        <v>2821.55387632378</v>
      </c>
      <c r="O650" s="15" t="n">
        <f aca="false">SUMPRODUCT(E650:N650,1/(1+$F$643)^$E$3:$N$3)*$E$2</f>
        <v>11914.4225704487</v>
      </c>
      <c r="P650" s="15" t="n">
        <f aca="false">N650*$E$2*(1+$I$643)/($F$643-$I$643)/(1+$F$643)^$N$3</f>
        <v>14541.5814255174</v>
      </c>
      <c r="Q650" s="15" t="n">
        <f aca="false">O650+P650</f>
        <v>26456.0039959661</v>
      </c>
      <c r="R650" s="15" t="n">
        <f aca="false">Q650-$G$2+$I$2</f>
        <v>27226.0039959661</v>
      </c>
      <c r="S650" s="42" t="n">
        <f aca="false">R650/$K$2</f>
        <v>260.710562060386</v>
      </c>
      <c r="T650" s="43" t="n">
        <f aca="false">S650-$M$2</f>
        <v>-31.542621890586</v>
      </c>
    </row>
    <row r="651" customFormat="false" ht="15" hidden="false" customHeight="false" outlineLevel="0" collapsed="false">
      <c r="A651" s="5" t="n">
        <v>7</v>
      </c>
      <c r="B651" s="25" t="n">
        <f aca="false">IF(T650&gt;0,B650,D650)</f>
        <v>-0.0078125</v>
      </c>
      <c r="C651" s="25" t="n">
        <f aca="false">IF(T650&gt;0,D650,C650)</f>
        <v>0.015625</v>
      </c>
      <c r="D651" s="41" t="n">
        <f aca="false">(B651+C651)/2</f>
        <v>0.00390625</v>
      </c>
      <c r="E651" s="15" t="n">
        <f aca="false">$C$2*(1+IF(E$3&lt;=$O$2,$D651,$D651-($D651-$I$643)*MIN(E$3-$O$2,$Q$2)/$Q$2))</f>
        <v>2750.703125</v>
      </c>
      <c r="F651" s="15" t="n">
        <f aca="false">E651*(1+IF(F$3&lt;=$O$2,$D651,$D651-($D651-$I$643)*MIN(F$3-$O$2,$Q$2)/$Q$2))</f>
        <v>2761.44805908203</v>
      </c>
      <c r="G651" s="15" t="n">
        <f aca="false">F651*(1+IF(G$3&lt;=$O$2,$D651,$D651-($D651-$I$643)*MIN(G$3-$O$2,$Q$2)/$Q$2))</f>
        <v>2772.23496556282</v>
      </c>
      <c r="H651" s="15" t="n">
        <f aca="false">G651*(1+IF(H$3&lt;=$O$2,$D651,$D651-($D651-$I$643)*MIN(H$3-$O$2,$Q$2)/$Q$2))</f>
        <v>2783.06400839705</v>
      </c>
      <c r="I651" s="15" t="n">
        <f aca="false">H651*(1+IF(I$3&lt;=$O$2,$D651,$D651-($D651-$I$643)*MIN(I$3-$O$2,$Q$2)/$Q$2))</f>
        <v>2793.93535217985</v>
      </c>
      <c r="J651" s="15" t="n">
        <f aca="false">I651*(1+IF(J$3&lt;=$O$2,$D651,$D651-($D651-$I$643)*MIN(J$3-$O$2,$Q$2)/$Q$2))</f>
        <v>2818.48007424875</v>
      </c>
      <c r="K651" s="15" t="n">
        <f aca="false">J651*(1+IF(K$3&lt;=$O$2,$D651,$D651-($D651-$I$643)*MIN(K$3-$O$2,$Q$2)/$Q$2))</f>
        <v>2856.99108136327</v>
      </c>
      <c r="L651" s="15" t="n">
        <f aca="false">K651*(1+IF(L$3&lt;=$O$2,$D651,$D651-($D651-$I$643)*MIN(L$3-$O$2,$Q$2)/$Q$2))</f>
        <v>2909.96683848945</v>
      </c>
      <c r="M651" s="15" t="n">
        <f aca="false">L651*(1+IF(M$3&lt;=$O$2,$D651,$D651-($D651-$I$643)*MIN(M$3-$O$2,$Q$2)/$Q$2))</f>
        <v>2978.12189930542</v>
      </c>
      <c r="N651" s="15" t="n">
        <f aca="false">M651*(1+IF(N$3&lt;=$O$2,$D651,$D651-($D651-$I$643)*MIN(N$3-$O$2,$Q$2)/$Q$2))</f>
        <v>3062.40274905576</v>
      </c>
      <c r="O651" s="15" t="n">
        <f aca="false">SUMPRODUCT(E651:N651,1/(1+$F$643)^$E$3:$N$3)*$E$2</f>
        <v>12535.7564367829</v>
      </c>
      <c r="P651" s="15" t="n">
        <f aca="false">N651*$E$2*(1+$I$643)/($F$643-$I$643)/(1+$F$643)^$N$3</f>
        <v>15782.8561441981</v>
      </c>
      <c r="Q651" s="15" t="n">
        <f aca="false">O651+P651</f>
        <v>28318.612580981</v>
      </c>
      <c r="R651" s="15" t="n">
        <f aca="false">Q651-$G$2+$I$2</f>
        <v>29088.612580981</v>
      </c>
      <c r="S651" s="42" t="n">
        <f aca="false">R651/$K$2</f>
        <v>278.546515187025</v>
      </c>
      <c r="T651" s="43" t="n">
        <f aca="false">S651-$M$2</f>
        <v>-13.7066687639473</v>
      </c>
    </row>
    <row r="652" customFormat="false" ht="15" hidden="false" customHeight="false" outlineLevel="0" collapsed="false">
      <c r="A652" s="5" t="n">
        <v>8</v>
      </c>
      <c r="B652" s="25" t="n">
        <f aca="false">IF(T651&gt;0,B651,D651)</f>
        <v>0.00390625</v>
      </c>
      <c r="C652" s="25" t="n">
        <f aca="false">IF(T651&gt;0,D651,C651)</f>
        <v>0.015625</v>
      </c>
      <c r="D652" s="41" t="n">
        <f aca="false">(B652+C652)/2</f>
        <v>0.009765625</v>
      </c>
      <c r="E652" s="15" t="n">
        <f aca="false">$C$2*(1+IF(E$3&lt;=$O$2,$D652,$D652-($D652-$I$643)*MIN(E$3-$O$2,$Q$2)/$Q$2))</f>
        <v>2766.7578125</v>
      </c>
      <c r="F652" s="15" t="n">
        <f aca="false">E652*(1+IF(F$3&lt;=$O$2,$D652,$D652-($D652-$I$643)*MIN(F$3-$O$2,$Q$2)/$Q$2))</f>
        <v>2793.7769317627</v>
      </c>
      <c r="G652" s="15" t="n">
        <f aca="false">F652*(1+IF(G$3&lt;=$O$2,$D652,$D652-($D652-$I$643)*MIN(G$3-$O$2,$Q$2)/$Q$2))</f>
        <v>2821.05990961194</v>
      </c>
      <c r="H652" s="15" t="n">
        <f aca="false">G652*(1+IF(H$3&lt;=$O$2,$D652,$D652-($D652-$I$643)*MIN(H$3-$O$2,$Q$2)/$Q$2))</f>
        <v>2848.60932279174</v>
      </c>
      <c r="I652" s="15" t="n">
        <f aca="false">H652*(1+IF(I$3&lt;=$O$2,$D652,$D652-($D652-$I$643)*MIN(I$3-$O$2,$Q$2)/$Q$2))</f>
        <v>2876.42777320963</v>
      </c>
      <c r="J652" s="15" t="n">
        <f aca="false">I652*(1+IF(J$3&lt;=$O$2,$D652,$D652-($D652-$I$643)*MIN(J$3-$O$2,$Q$2)/$Q$2))</f>
        <v>2915.1804463842</v>
      </c>
      <c r="K652" s="15" t="n">
        <f aca="false">J652*(1+IF(K$3&lt;=$O$2,$D652,$D652-($D652-$I$643)*MIN(K$3-$O$2,$Q$2)/$Q$2))</f>
        <v>2965.2614244653</v>
      </c>
      <c r="L652" s="15" t="n">
        <f aca="false">K652*(1+IF(L$3&lt;=$O$2,$D652,$D652-($D652-$I$643)*MIN(L$3-$O$2,$Q$2)/$Q$2))</f>
        <v>3027.19461589204</v>
      </c>
      <c r="M652" s="15" t="n">
        <f aca="false">L652*(1+IF(M$3&lt;=$O$2,$D652,$D652-($D652-$I$643)*MIN(M$3-$O$2,$Q$2)/$Q$2))</f>
        <v>3101.64279148</v>
      </c>
      <c r="N652" s="15" t="n">
        <f aca="false">M652*(1+IF(N$3&lt;=$O$2,$D652,$D652-($D652-$I$643)*MIN(N$3-$O$2,$Q$2)/$Q$2))</f>
        <v>3189.41928247888</v>
      </c>
      <c r="O652" s="15" t="n">
        <f aca="false">SUMPRODUCT(E652:N652,1/(1+$F$643)^$E$3:$N$3)*$E$2</f>
        <v>12858.7710328455</v>
      </c>
      <c r="P652" s="15" t="n">
        <f aca="false">N652*$E$2*(1+$I$643)/($F$643-$I$643)/(1+$F$643)^$N$3</f>
        <v>16437.4675193903</v>
      </c>
      <c r="Q652" s="15" t="n">
        <f aca="false">O652+P652</f>
        <v>29296.2385522358</v>
      </c>
      <c r="R652" s="15" t="n">
        <f aca="false">Q652-$G$2+$I$2</f>
        <v>30066.2385522358</v>
      </c>
      <c r="S652" s="42" t="n">
        <f aca="false">R652/$K$2</f>
        <v>287.908058529501</v>
      </c>
      <c r="T652" s="43" t="n">
        <f aca="false">S652-$M$2</f>
        <v>-4.34512542147104</v>
      </c>
    </row>
    <row r="653" customFormat="false" ht="15" hidden="false" customHeight="false" outlineLevel="0" collapsed="false">
      <c r="A653" s="5" t="n">
        <v>9</v>
      </c>
      <c r="B653" s="25" t="n">
        <f aca="false">IF(T652&gt;0,B652,D652)</f>
        <v>0.009765625</v>
      </c>
      <c r="C653" s="25" t="n">
        <f aca="false">IF(T652&gt;0,D652,C652)</f>
        <v>0.015625</v>
      </c>
      <c r="D653" s="41" t="n">
        <f aca="false">(B653+C653)/2</f>
        <v>0.0126953125</v>
      </c>
      <c r="E653" s="15" t="n">
        <f aca="false">$C$2*(1+IF(E$3&lt;=$O$2,$D653,$D653-($D653-$I$643)*MIN(E$3-$O$2,$Q$2)/$Q$2))</f>
        <v>2774.78515625</v>
      </c>
      <c r="F653" s="15" t="n">
        <f aca="false">E653*(1+IF(F$3&lt;=$O$2,$D653,$D653-($D653-$I$643)*MIN(F$3-$O$2,$Q$2)/$Q$2))</f>
        <v>2810.01192092896</v>
      </c>
      <c r="G653" s="15" t="n">
        <f aca="false">F653*(1+IF(G$3&lt;=$O$2,$D653,$D653-($D653-$I$643)*MIN(G$3-$O$2,$Q$2)/$Q$2))</f>
        <v>2845.68590039387</v>
      </c>
      <c r="H653" s="15" t="n">
        <f aca="false">G653*(1+IF(H$3&lt;=$O$2,$D653,$D653-($D653-$I$643)*MIN(H$3-$O$2,$Q$2)/$Q$2))</f>
        <v>2881.81277217622</v>
      </c>
      <c r="I653" s="15" t="n">
        <f aca="false">H653*(1+IF(I$3&lt;=$O$2,$D653,$D653-($D653-$I$643)*MIN(I$3-$O$2,$Q$2)/$Q$2))</f>
        <v>2918.39828588549</v>
      </c>
      <c r="J653" s="15" t="n">
        <f aca="false">I653*(1+IF(J$3&lt;=$O$2,$D653,$D653-($D653-$I$643)*MIN(J$3-$O$2,$Q$2)/$Q$2))</f>
        <v>2964.55640277462</v>
      </c>
      <c r="K653" s="15" t="n">
        <f aca="false">J653*(1+IF(K$3&lt;=$O$2,$D653,$D653-($D653-$I$643)*MIN(K$3-$O$2,$Q$2)/$Q$2))</f>
        <v>3020.69676322829</v>
      </c>
      <c r="L653" s="15" t="n">
        <f aca="false">K653*(1+IF(L$3&lt;=$O$2,$D653,$D653-($D653-$I$643)*MIN(L$3-$O$2,$Q$2)/$Q$2))</f>
        <v>3087.32767001868</v>
      </c>
      <c r="M653" s="15" t="n">
        <f aca="false">L653*(1+IF(M$3&lt;=$O$2,$D653,$D653-($D653-$I$643)*MIN(M$3-$O$2,$Q$2)/$Q$2))</f>
        <v>3165.06368638006</v>
      </c>
      <c r="N653" s="15" t="n">
        <f aca="false">M653*(1+IF(N$3&lt;=$O$2,$D653,$D653-($D653-$I$643)*MIN(N$3-$O$2,$Q$2)/$Q$2))</f>
        <v>3254.63498870461</v>
      </c>
      <c r="O653" s="15" t="n">
        <f aca="false">SUMPRODUCT(E653:N653,1/(1+$F$643)^$E$3:$N$3)*$E$2</f>
        <v>13023.4550470541</v>
      </c>
      <c r="P653" s="15" t="n">
        <f aca="false">N653*$E$2*(1+$I$643)/($F$643-$I$643)/(1+$F$643)^$N$3</f>
        <v>16773.5729222542</v>
      </c>
      <c r="Q653" s="15" t="n">
        <f aca="false">O653+P653</f>
        <v>29797.0279693083</v>
      </c>
      <c r="R653" s="15" t="n">
        <f aca="false">Q653-$G$2+$I$2</f>
        <v>30567.0279693083</v>
      </c>
      <c r="S653" s="42" t="n">
        <f aca="false">R653/$K$2</f>
        <v>292.703514021913</v>
      </c>
      <c r="T653" s="43" t="n">
        <f aca="false">S653-$M$2</f>
        <v>0.450330070940652</v>
      </c>
    </row>
    <row r="654" customFormat="false" ht="15" hidden="false" customHeight="false" outlineLevel="0" collapsed="false">
      <c r="A654" s="5" t="n">
        <v>10</v>
      </c>
      <c r="B654" s="25" t="n">
        <f aca="false">IF(T653&gt;0,B653,D653)</f>
        <v>0.009765625</v>
      </c>
      <c r="C654" s="25" t="n">
        <f aca="false">IF(T653&gt;0,D653,C653)</f>
        <v>0.0126953125</v>
      </c>
      <c r="D654" s="41" t="n">
        <f aca="false">(B654+C654)/2</f>
        <v>0.01123046875</v>
      </c>
      <c r="E654" s="15" t="n">
        <f aca="false">$C$2*(1+IF(E$3&lt;=$O$2,$D654,$D654-($D654-$I$643)*MIN(E$3-$O$2,$Q$2)/$Q$2))</f>
        <v>2770.771484375</v>
      </c>
      <c r="F654" s="15" t="n">
        <f aca="false">E654*(1+IF(F$3&lt;=$O$2,$D654,$D654-($D654-$I$643)*MIN(F$3-$O$2,$Q$2)/$Q$2))</f>
        <v>2801.88854694366</v>
      </c>
      <c r="G654" s="15" t="n">
        <f aca="false">F654*(1+IF(G$3&lt;=$O$2,$D654,$D654-($D654-$I$643)*MIN(G$3-$O$2,$Q$2)/$Q$2))</f>
        <v>2833.3550687111</v>
      </c>
      <c r="H654" s="15" t="n">
        <f aca="false">G654*(1+IF(H$3&lt;=$O$2,$D654,$D654-($D654-$I$643)*MIN(H$3-$O$2,$Q$2)/$Q$2))</f>
        <v>2865.17497426791</v>
      </c>
      <c r="I654" s="15" t="n">
        <f aca="false">H654*(1+IF(I$3&lt;=$O$2,$D654,$D654-($D654-$I$643)*MIN(I$3-$O$2,$Q$2)/$Q$2))</f>
        <v>2897.35223227971</v>
      </c>
      <c r="J654" s="15" t="n">
        <f aca="false">I654*(1+IF(J$3&lt;=$O$2,$D654,$D654-($D654-$I$643)*MIN(J$3-$O$2,$Q$2)/$Q$2))</f>
        <v>2939.7821448763</v>
      </c>
      <c r="K654" s="15" t="n">
        <f aca="false">J654*(1+IF(K$3&lt;=$O$2,$D654,$D654-($D654-$I$643)*MIN(K$3-$O$2,$Q$2)/$Q$2))</f>
        <v>2992.86955766221</v>
      </c>
      <c r="L654" s="15" t="n">
        <f aca="false">K654*(1+IF(L$3&lt;=$O$2,$D654,$D654-($D654-$I$643)*MIN(L$3-$O$2,$Q$2)/$Q$2))</f>
        <v>3057.13301396737</v>
      </c>
      <c r="M654" s="15" t="n">
        <f aca="false">L654*(1+IF(M$3&lt;=$O$2,$D654,$D654-($D654-$I$643)*MIN(M$3-$O$2,$Q$2)/$Q$2))</f>
        <v>3133.21311275918</v>
      </c>
      <c r="N654" s="15" t="n">
        <f aca="false">M654*(1+IF(N$3&lt;=$O$2,$D654,$D654-($D654-$I$643)*MIN(N$3-$O$2,$Q$2)/$Q$2))</f>
        <v>3221.88304385027</v>
      </c>
      <c r="O654" s="15" t="n">
        <f aca="false">SUMPRODUCT(E654:N654,1/(1+$F$643)^$E$3:$N$3)*$E$2</f>
        <v>12940.8455940175</v>
      </c>
      <c r="P654" s="15" t="n">
        <f aca="false">N654*$E$2*(1+$I$643)/($F$643-$I$643)/(1+$F$643)^$N$3</f>
        <v>16604.7776081048</v>
      </c>
      <c r="Q654" s="15" t="n">
        <f aca="false">O654+P654</f>
        <v>29545.6232021224</v>
      </c>
      <c r="R654" s="15" t="n">
        <f aca="false">Q654-$G$2+$I$2</f>
        <v>30315.6232021224</v>
      </c>
      <c r="S654" s="42" t="n">
        <f aca="false">R654/$K$2</f>
        <v>290.296114163769</v>
      </c>
      <c r="T654" s="43" t="n">
        <f aca="false">S654-$M$2</f>
        <v>-1.95706978720335</v>
      </c>
    </row>
    <row r="655" customFormat="false" ht="15" hidden="false" customHeight="false" outlineLevel="0" collapsed="false">
      <c r="A655" s="5" t="n">
        <v>11</v>
      </c>
      <c r="B655" s="25" t="n">
        <f aca="false">IF(T654&gt;0,B654,D654)</f>
        <v>0.01123046875</v>
      </c>
      <c r="C655" s="25" t="n">
        <f aca="false">IF(T654&gt;0,D654,C654)</f>
        <v>0.0126953125</v>
      </c>
      <c r="D655" s="41" t="n">
        <f aca="false">(B655+C655)/2</f>
        <v>0.011962890625</v>
      </c>
      <c r="E655" s="15" t="n">
        <f aca="false">$C$2*(1+IF(E$3&lt;=$O$2,$D655,$D655-($D655-$I$643)*MIN(E$3-$O$2,$Q$2)/$Q$2))</f>
        <v>2772.7783203125</v>
      </c>
      <c r="F655" s="15" t="n">
        <f aca="false">E655*(1+IF(F$3&lt;=$O$2,$D655,$D655-($D655-$I$643)*MIN(F$3-$O$2,$Q$2)/$Q$2))</f>
        <v>2805.94876408577</v>
      </c>
      <c r="G655" s="15" t="n">
        <f aca="false">F655*(1+IF(G$3&lt;=$O$2,$D655,$D655-($D655-$I$643)*MIN(G$3-$O$2,$Q$2)/$Q$2))</f>
        <v>2839.51602224988</v>
      </c>
      <c r="H655" s="15" t="n">
        <f aca="false">G655*(1+IF(H$3&lt;=$O$2,$D655,$D655-($D655-$I$643)*MIN(H$3-$O$2,$Q$2)/$Q$2))</f>
        <v>2873.48484185199</v>
      </c>
      <c r="I655" s="15" t="n">
        <f aca="false">H655*(1+IF(I$3&lt;=$O$2,$D655,$D655-($D655-$I$643)*MIN(I$3-$O$2,$Q$2)/$Q$2))</f>
        <v>2907.86002672766</v>
      </c>
      <c r="J655" s="15" t="n">
        <f aca="false">I655*(1+IF(J$3&lt;=$O$2,$D655,$D655-($D655-$I$643)*MIN(J$3-$O$2,$Q$2)/$Q$2))</f>
        <v>2952.14764364098</v>
      </c>
      <c r="K655" s="15" t="n">
        <f aca="false">J655*(1+IF(K$3&lt;=$O$2,$D655,$D655-($D655-$I$643)*MIN(K$3-$O$2,$Q$2)/$Q$2))</f>
        <v>3006.75568658884</v>
      </c>
      <c r="L655" s="15" t="n">
        <f aca="false">K655*(1+IF(L$3&lt;=$O$2,$D655,$D655-($D655-$I$643)*MIN(L$3-$O$2,$Q$2)/$Q$2))</f>
        <v>3072.19819391302</v>
      </c>
      <c r="M655" s="15" t="n">
        <f aca="false">L655*(1+IF(M$3&lt;=$O$2,$D655,$D655-($D655-$I$643)*MIN(M$3-$O$2,$Q$2)/$Q$2))</f>
        <v>3149.10323521763</v>
      </c>
      <c r="N655" s="15" t="n">
        <f aca="false">M655*(1+IF(N$3&lt;=$O$2,$D655,$D655-($D655-$I$643)*MIN(N$3-$O$2,$Q$2)/$Q$2))</f>
        <v>3238.22285677429</v>
      </c>
      <c r="O655" s="15" t="n">
        <f aca="false">SUMPRODUCT(E655:N655,1/(1+$F$643)^$E$3:$N$3)*$E$2</f>
        <v>12982.0832535762</v>
      </c>
      <c r="P655" s="15" t="n">
        <f aca="false">N655*$E$2*(1+$I$643)/($F$643-$I$643)/(1+$F$643)^$N$3</f>
        <v>16688.9889081641</v>
      </c>
      <c r="Q655" s="15" t="n">
        <f aca="false">O655+P655</f>
        <v>29671.0721617403</v>
      </c>
      <c r="R655" s="15" t="n">
        <f aca="false">Q655-$G$2+$I$2</f>
        <v>30441.0721617403</v>
      </c>
      <c r="S655" s="42" t="n">
        <f aca="false">R655/$K$2</f>
        <v>291.497387357467</v>
      </c>
      <c r="T655" s="43" t="n">
        <f aca="false">S655-$M$2</f>
        <v>-0.755796593505011</v>
      </c>
    </row>
    <row r="656" customFormat="false" ht="15" hidden="false" customHeight="false" outlineLevel="0" collapsed="false">
      <c r="A656" s="5" t="n">
        <v>12</v>
      </c>
      <c r="B656" s="25" t="n">
        <f aca="false">IF(T655&gt;0,B655,D655)</f>
        <v>0.011962890625</v>
      </c>
      <c r="C656" s="25" t="n">
        <f aca="false">IF(T655&gt;0,D655,C655)</f>
        <v>0.0126953125</v>
      </c>
      <c r="D656" s="41" t="n">
        <f aca="false">(B656+C656)/2</f>
        <v>0.0123291015625</v>
      </c>
      <c r="E656" s="15" t="n">
        <f aca="false">$C$2*(1+IF(E$3&lt;=$O$2,$D656,$D656-($D656-$I$643)*MIN(E$3-$O$2,$Q$2)/$Q$2))</f>
        <v>2773.78173828125</v>
      </c>
      <c r="F656" s="15" t="n">
        <f aca="false">E656*(1+IF(F$3&lt;=$O$2,$D656,$D656-($D656-$I$643)*MIN(F$3-$O$2,$Q$2)/$Q$2))</f>
        <v>2807.97997504473</v>
      </c>
      <c r="G656" s="15" t="n">
        <f aca="false">F656*(1+IF(G$3&lt;=$O$2,$D656,$D656-($D656-$I$643)*MIN(G$3-$O$2,$Q$2)/$Q$2))</f>
        <v>2842.59984534252</v>
      </c>
      <c r="H656" s="15" t="n">
        <f aca="false">G656*(1+IF(H$3&lt;=$O$2,$D656,$D656-($D656-$I$643)*MIN(H$3-$O$2,$Q$2)/$Q$2))</f>
        <v>2877.64654753729</v>
      </c>
      <c r="I656" s="15" t="n">
        <f aca="false">H656*(1+IF(I$3&lt;=$O$2,$D656,$D656-($D656-$I$643)*MIN(I$3-$O$2,$Q$2)/$Q$2))</f>
        <v>2913.12534408286</v>
      </c>
      <c r="J656" s="15" t="n">
        <f aca="false">I656*(1+IF(J$3&lt;=$O$2,$D656,$D656-($D656-$I$643)*MIN(J$3-$O$2,$Q$2)/$Q$2))</f>
        <v>2958.34660811556</v>
      </c>
      <c r="K656" s="15" t="n">
        <f aca="false">J656*(1+IF(K$3&lt;=$O$2,$D656,$D656-($D656-$I$643)*MIN(K$3-$O$2,$Q$2)/$Q$2))</f>
        <v>3013.71934519255</v>
      </c>
      <c r="L656" s="15" t="n">
        <f aca="false">K656*(1+IF(L$3&lt;=$O$2,$D656,$D656-($D656-$I$643)*MIN(L$3-$O$2,$Q$2)/$Q$2))</f>
        <v>3079.75488042902</v>
      </c>
      <c r="M656" s="15" t="n">
        <f aca="false">L656*(1+IF(M$3&lt;=$O$2,$D656,$D656-($D656-$I$643)*MIN(M$3-$O$2,$Q$2)/$Q$2))</f>
        <v>3157.07465306362</v>
      </c>
      <c r="N656" s="15" t="n">
        <f aca="false">M656*(1+IF(N$3&lt;=$O$2,$D656,$D656-($D656-$I$643)*MIN(N$3-$O$2,$Q$2)/$Q$2))</f>
        <v>3246.41986574532</v>
      </c>
      <c r="O656" s="15" t="n">
        <f aca="false">SUMPRODUCT(E656:N656,1/(1+$F$643)^$E$3:$N$3)*$E$2</f>
        <v>13002.7523578304</v>
      </c>
      <c r="P656" s="15" t="n">
        <f aca="false">N656*$E$2*(1+$I$643)/($F$643-$I$643)/(1+$F$643)^$N$3</f>
        <v>16731.2342377316</v>
      </c>
      <c r="Q656" s="15" t="n">
        <f aca="false">O656+P656</f>
        <v>29733.986595562</v>
      </c>
      <c r="R656" s="15" t="n">
        <f aca="false">Q656-$G$2+$I$2</f>
        <v>30503.986595562</v>
      </c>
      <c r="S656" s="42" t="n">
        <f aca="false">R656/$K$2</f>
        <v>292.099842914508</v>
      </c>
      <c r="T656" s="43" t="n">
        <f aca="false">S656-$M$2</f>
        <v>-0.15334103646444</v>
      </c>
    </row>
    <row r="657" customFormat="false" ht="15" hidden="false" customHeight="false" outlineLevel="0" collapsed="false">
      <c r="A657" s="5" t="n">
        <v>13</v>
      </c>
      <c r="B657" s="25" t="n">
        <f aca="false">IF(T656&gt;0,B656,D656)</f>
        <v>0.0123291015625</v>
      </c>
      <c r="C657" s="25" t="n">
        <f aca="false">IF(T656&gt;0,D656,C656)</f>
        <v>0.0126953125</v>
      </c>
      <c r="D657" s="41" t="n">
        <f aca="false">(B657+C657)/2</f>
        <v>0.01251220703125</v>
      </c>
      <c r="E657" s="15" t="n">
        <f aca="false">$C$2*(1+IF(E$3&lt;=$O$2,$D657,$D657-($D657-$I$643)*MIN(E$3-$O$2,$Q$2)/$Q$2))</f>
        <v>2774.28344726563</v>
      </c>
      <c r="F657" s="15" t="n">
        <f aca="false">E657*(1+IF(F$3&lt;=$O$2,$D657,$D657-($D657-$I$643)*MIN(F$3-$O$2,$Q$2)/$Q$2))</f>
        <v>2808.99585612118</v>
      </c>
      <c r="G657" s="15" t="n">
        <f aca="false">F657*(1+IF(G$3&lt;=$O$2,$D657,$D657-($D657-$I$643)*MIN(G$3-$O$2,$Q$2)/$Q$2))</f>
        <v>2844.14259382289</v>
      </c>
      <c r="H657" s="15" t="n">
        <f aca="false">G657*(1+IF(H$3&lt;=$O$2,$D657,$D657-($D657-$I$643)*MIN(H$3-$O$2,$Q$2)/$Q$2))</f>
        <v>2879.7290947832</v>
      </c>
      <c r="I657" s="15" t="n">
        <f aca="false">H657*(1+IF(I$3&lt;=$O$2,$D657,$D657-($D657-$I$643)*MIN(I$3-$O$2,$Q$2)/$Q$2))</f>
        <v>2915.76086141104</v>
      </c>
      <c r="J657" s="15" t="n">
        <f aca="false">I657*(1+IF(J$3&lt;=$O$2,$D657,$D657-($D657-$I$643)*MIN(J$3-$O$2,$Q$2)/$Q$2))</f>
        <v>2961.4501507279</v>
      </c>
      <c r="K657" s="15" t="n">
        <f aca="false">J657*(1+IF(K$3&lt;=$O$2,$D657,$D657-($D657-$I$643)*MIN(K$3-$O$2,$Q$2)/$Q$2))</f>
        <v>3017.20633287332</v>
      </c>
      <c r="L657" s="15" t="n">
        <f aca="false">K657*(1+IF(L$3&lt;=$O$2,$D657,$D657-($D657-$I$643)*MIN(L$3-$O$2,$Q$2)/$Q$2))</f>
        <v>3083.53926052268</v>
      </c>
      <c r="M657" s="15" t="n">
        <f aca="false">L657*(1+IF(M$3&lt;=$O$2,$D657,$D657-($D657-$I$643)*MIN(M$3-$O$2,$Q$2)/$Q$2))</f>
        <v>3161.06696570424</v>
      </c>
      <c r="N657" s="15" t="n">
        <f aca="false">M657*(1+IF(N$3&lt;=$O$2,$D657,$D657-($D657-$I$643)*MIN(N$3-$O$2,$Q$2)/$Q$2))</f>
        <v>3250.52516083367</v>
      </c>
      <c r="O657" s="15" t="n">
        <f aca="false">SUMPRODUCT(E657:N657,1/(1+$F$643)^$E$3:$N$3)*$E$2</f>
        <v>13013.0995010992</v>
      </c>
      <c r="P657" s="15" t="n">
        <f aca="false">N657*$E$2*(1+$I$643)/($F$643-$I$643)/(1+$F$643)^$N$3</f>
        <v>16752.3918995803</v>
      </c>
      <c r="Q657" s="15" t="n">
        <f aca="false">O657+P657</f>
        <v>29765.4914006795</v>
      </c>
      <c r="R657" s="15" t="n">
        <f aca="false">Q657-$G$2+$I$2</f>
        <v>30535.4914006795</v>
      </c>
      <c r="S657" s="42" t="n">
        <f aca="false">R657/$K$2</f>
        <v>292.401526387815</v>
      </c>
      <c r="T657" s="43" t="n">
        <f aca="false">S657-$M$2</f>
        <v>0.148342436842597</v>
      </c>
    </row>
    <row r="658" customFormat="false" ht="15" hidden="false" customHeight="false" outlineLevel="0" collapsed="false">
      <c r="A658" s="5" t="n">
        <v>14</v>
      </c>
      <c r="B658" s="25" t="n">
        <f aca="false">IF(T657&gt;0,B657,D657)</f>
        <v>0.0123291015625</v>
      </c>
      <c r="C658" s="25" t="n">
        <f aca="false">IF(T657&gt;0,D657,C657)</f>
        <v>0.01251220703125</v>
      </c>
      <c r="D658" s="41" t="n">
        <f aca="false">(B658+C658)/2</f>
        <v>0.012420654296875</v>
      </c>
      <c r="E658" s="15" t="n">
        <f aca="false">$C$2*(1+IF(E$3&lt;=$O$2,$D658,$D658-($D658-$I$643)*MIN(E$3-$O$2,$Q$2)/$Q$2))</f>
        <v>2774.03259277344</v>
      </c>
      <c r="F658" s="15" t="n">
        <f aca="false">E658*(1+IF(F$3&lt;=$O$2,$D658,$D658-($D658-$I$643)*MIN(F$3-$O$2,$Q$2)/$Q$2))</f>
        <v>2808.48789261654</v>
      </c>
      <c r="G658" s="15" t="n">
        <f aca="false">F658*(1+IF(G$3&lt;=$O$2,$D658,$D658-($D658-$I$643)*MIN(G$3-$O$2,$Q$2)/$Q$2))</f>
        <v>2843.37114982769</v>
      </c>
      <c r="H658" s="15" t="n">
        <f aca="false">G658*(1+IF(H$3&lt;=$O$2,$D658,$D658-($D658-$I$643)*MIN(H$3-$O$2,$Q$2)/$Q$2))</f>
        <v>2878.68767991741</v>
      </c>
      <c r="I658" s="15" t="n">
        <f aca="false">H658*(1+IF(I$3&lt;=$O$2,$D658,$D658-($D658-$I$643)*MIN(I$3-$O$2,$Q$2)/$Q$2))</f>
        <v>2914.44286441833</v>
      </c>
      <c r="J658" s="15" t="n">
        <f aca="false">I658*(1+IF(J$3&lt;=$O$2,$D658,$D658-($D658-$I$643)*MIN(J$3-$O$2,$Q$2)/$Q$2))</f>
        <v>2959.89804086049</v>
      </c>
      <c r="K658" s="15" t="n">
        <f aca="false">J658*(1+IF(K$3&lt;=$O$2,$D658,$D658-($D658-$I$643)*MIN(K$3-$O$2,$Q$2)/$Q$2))</f>
        <v>3015.46240887474</v>
      </c>
      <c r="L658" s="15" t="n">
        <f aca="false">K658*(1+IF(L$3&lt;=$O$2,$D658,$D658-($D658-$I$643)*MIN(L$3-$O$2,$Q$2)/$Q$2))</f>
        <v>3081.64656702778</v>
      </c>
      <c r="M658" s="15" t="n">
        <f aca="false">L658*(1+IF(M$3&lt;=$O$2,$D658,$D658-($D658-$I$643)*MIN(M$3-$O$2,$Q$2)/$Q$2))</f>
        <v>3159.07025864013</v>
      </c>
      <c r="N658" s="15" t="n">
        <f aca="false">M658*(1+IF(N$3&lt;=$O$2,$D658,$D658-($D658-$I$643)*MIN(N$3-$O$2,$Q$2)/$Q$2))</f>
        <v>3248.47194695965</v>
      </c>
      <c r="O658" s="15" t="n">
        <f aca="false">SUMPRODUCT(E658:N658,1/(1+$F$643)^$E$3:$N$3)*$E$2</f>
        <v>13007.9248795319</v>
      </c>
      <c r="P658" s="15" t="n">
        <f aca="false">N658*$E$2*(1+$I$643)/($F$643-$I$643)/(1+$F$643)^$N$3</f>
        <v>16741.8101499339</v>
      </c>
      <c r="Q658" s="15" t="n">
        <f aca="false">O658+P658</f>
        <v>29749.7350294658</v>
      </c>
      <c r="R658" s="15" t="n">
        <f aca="false">Q658-$G$2+$I$2</f>
        <v>30519.7350294658</v>
      </c>
      <c r="S658" s="42" t="n">
        <f aca="false">R658/$K$2</f>
        <v>292.250646648145</v>
      </c>
      <c r="T658" s="43" t="n">
        <f aca="false">S658-$M$2</f>
        <v>-0.00253730282662445</v>
      </c>
    </row>
    <row r="659" customFormat="false" ht="15" hidden="false" customHeight="false" outlineLevel="0" collapsed="false">
      <c r="A659" s="5" t="n">
        <v>15</v>
      </c>
      <c r="B659" s="25" t="n">
        <f aca="false">IF(T658&gt;0,B658,D658)</f>
        <v>0.012420654296875</v>
      </c>
      <c r="C659" s="25" t="n">
        <f aca="false">IF(T658&gt;0,D658,C658)</f>
        <v>0.01251220703125</v>
      </c>
      <c r="D659" s="41" t="n">
        <f aca="false">(B659+C659)/2</f>
        <v>0.0124664306640625</v>
      </c>
      <c r="E659" s="15" t="n">
        <f aca="false">$C$2*(1+IF(E$3&lt;=$O$2,$D659,$D659-($D659-$I$643)*MIN(E$3-$O$2,$Q$2)/$Q$2))</f>
        <v>2774.15802001953</v>
      </c>
      <c r="F659" s="15" t="n">
        <f aca="false">E659*(1+IF(F$3&lt;=$O$2,$D659,$D659-($D659-$I$643)*MIN(F$3-$O$2,$Q$2)/$Q$2))</f>
        <v>2808.74186862726</v>
      </c>
      <c r="G659" s="15" t="n">
        <f aca="false">F659*(1+IF(G$3&lt;=$O$2,$D659,$D659-($D659-$I$643)*MIN(G$3-$O$2,$Q$2)/$Q$2))</f>
        <v>2843.75685438575</v>
      </c>
      <c r="H659" s="15" t="n">
        <f aca="false">G659*(1+IF(H$3&lt;=$O$2,$D659,$D659-($D659-$I$643)*MIN(H$3-$O$2,$Q$2)/$Q$2))</f>
        <v>2879.2083520364</v>
      </c>
      <c r="I659" s="15" t="n">
        <f aca="false">H659*(1+IF(I$3&lt;=$O$2,$D659,$D659-($D659-$I$643)*MIN(I$3-$O$2,$Q$2)/$Q$2))</f>
        <v>2915.10180332445</v>
      </c>
      <c r="J659" s="15" t="n">
        <f aca="false">I659*(1+IF(J$3&lt;=$O$2,$D659,$D659-($D659-$I$643)*MIN(J$3-$O$2,$Q$2)/$Q$2))</f>
        <v>2960.67401113913</v>
      </c>
      <c r="K659" s="15" t="n">
        <f aca="false">J659*(1+IF(K$3&lt;=$O$2,$D659,$D659-($D659-$I$643)*MIN(K$3-$O$2,$Q$2)/$Q$2))</f>
        <v>3016.33426331248</v>
      </c>
      <c r="L659" s="15" t="n">
        <f aca="false">K659*(1+IF(L$3&lt;=$O$2,$D659,$D659-($D659-$I$643)*MIN(L$3-$O$2,$Q$2)/$Q$2))</f>
        <v>3082.59278788482</v>
      </c>
      <c r="M659" s="15" t="n">
        <f aca="false">L659*(1+IF(M$3&lt;=$O$2,$D659,$D659-($D659-$I$643)*MIN(M$3-$O$2,$Q$2)/$Q$2))</f>
        <v>3160.06847445367</v>
      </c>
      <c r="N659" s="15" t="n">
        <f aca="false">M659*(1+IF(N$3&lt;=$O$2,$D659,$D659-($D659-$I$643)*MIN(N$3-$O$2,$Q$2)/$Q$2))</f>
        <v>3249.49841228071</v>
      </c>
      <c r="O659" s="15" t="n">
        <f aca="false">SUMPRODUCT(E659:N659,1/(1+$F$643)^$E$3:$N$3)*$E$2</f>
        <v>13010.511927782</v>
      </c>
      <c r="P659" s="15" t="n">
        <f aca="false">N659*$E$2*(1+$I$643)/($F$643-$I$643)/(1+$F$643)^$N$3</f>
        <v>16747.100294904</v>
      </c>
      <c r="Q659" s="15" t="n">
        <f aca="false">O659+P659</f>
        <v>29757.612222686</v>
      </c>
      <c r="R659" s="15" t="n">
        <f aca="false">Q659-$G$2+$I$2</f>
        <v>30527.612222686</v>
      </c>
      <c r="S659" s="42" t="n">
        <f aca="false">R659/$K$2</f>
        <v>292.326077015091</v>
      </c>
      <c r="T659" s="43" t="n">
        <f aca="false">S659-$M$2</f>
        <v>0.0728930641192278</v>
      </c>
    </row>
    <row r="660" customFormat="false" ht="15" hidden="false" customHeight="false" outlineLevel="0" collapsed="false">
      <c r="A660" s="5" t="n">
        <v>16</v>
      </c>
      <c r="B660" s="25" t="n">
        <f aca="false">IF(T659&gt;0,B659,D659)</f>
        <v>0.012420654296875</v>
      </c>
      <c r="C660" s="25" t="n">
        <f aca="false">IF(T659&gt;0,D659,C659)</f>
        <v>0.0124664306640625</v>
      </c>
      <c r="D660" s="41" t="n">
        <f aca="false">(B660+C660)/2</f>
        <v>0.0124435424804688</v>
      </c>
      <c r="E660" s="15" t="n">
        <f aca="false">$C$2*(1+IF(E$3&lt;=$O$2,$D660,$D660-($D660-$I$643)*MIN(E$3-$O$2,$Q$2)/$Q$2))</f>
        <v>2774.09530639648</v>
      </c>
      <c r="F660" s="15" t="n">
        <f aca="false">E660*(1+IF(F$3&lt;=$O$2,$D660,$D660-($D660-$I$643)*MIN(F$3-$O$2,$Q$2)/$Q$2))</f>
        <v>2808.6148791865</v>
      </c>
      <c r="G660" s="15" t="n">
        <f aca="false">F660*(1+IF(G$3&lt;=$O$2,$D660,$D660-($D660-$I$643)*MIN(G$3-$O$2,$Q$2)/$Q$2))</f>
        <v>2843.56399774693</v>
      </c>
      <c r="H660" s="15" t="n">
        <f aca="false">G660*(1+IF(H$3&lt;=$O$2,$D660,$D660-($D660-$I$643)*MIN(H$3-$O$2,$Q$2)/$Q$2))</f>
        <v>2878.94800714883</v>
      </c>
      <c r="I660" s="15" t="n">
        <f aca="false">H660*(1+IF(I$3&lt;=$O$2,$D660,$D660-($D660-$I$643)*MIN(I$3-$O$2,$Q$2)/$Q$2))</f>
        <v>2914.77231897485</v>
      </c>
      <c r="J660" s="15" t="n">
        <f aca="false">I660*(1+IF(J$3&lt;=$O$2,$D660,$D660-($D660-$I$643)*MIN(J$3-$O$2,$Q$2)/$Q$2))</f>
        <v>2960.28600483789</v>
      </c>
      <c r="K660" s="15" t="n">
        <f aca="false">J660*(1+IF(K$3&lt;=$O$2,$D660,$D660-($D660-$I$643)*MIN(K$3-$O$2,$Q$2)/$Q$2))</f>
        <v>3015.89830920598</v>
      </c>
      <c r="L660" s="15" t="n">
        <f aca="false">K660*(1+IF(L$3&lt;=$O$2,$D660,$D660-($D660-$I$643)*MIN(L$3-$O$2,$Q$2)/$Q$2))</f>
        <v>3082.11964598724</v>
      </c>
      <c r="M660" s="15" t="n">
        <f aca="false">L660*(1+IF(M$3&lt;=$O$2,$D660,$D660-($D660-$I$643)*MIN(M$3-$O$2,$Q$2)/$Q$2))</f>
        <v>3159.56933212134</v>
      </c>
      <c r="N660" s="15" t="n">
        <f aca="false">M660*(1+IF(N$3&lt;=$O$2,$D660,$D660-($D660-$I$643)*MIN(N$3-$O$2,$Q$2)/$Q$2))</f>
        <v>3248.98514422038</v>
      </c>
      <c r="O660" s="15" t="n">
        <f aca="false">SUMPRODUCT(E660:N660,1/(1+$F$643)^$E$3:$N$3)*$E$2</f>
        <v>13009.2183380299</v>
      </c>
      <c r="P660" s="15" t="n">
        <f aca="false">N660*$E$2*(1+$I$643)/($F$643-$I$643)/(1+$F$643)^$N$3</f>
        <v>16744.4550399772</v>
      </c>
      <c r="Q660" s="15" t="n">
        <f aca="false">O660+P660</f>
        <v>29753.6733780071</v>
      </c>
      <c r="R660" s="15" t="n">
        <f aca="false">Q660-$G$2+$I$2</f>
        <v>30523.6733780071</v>
      </c>
      <c r="S660" s="42" t="n">
        <f aca="false">R660/$K$2</f>
        <v>292.288359456163</v>
      </c>
      <c r="T660" s="43" t="n">
        <f aca="false">S660-$M$2</f>
        <v>0.0351755051909777</v>
      </c>
    </row>
    <row r="661" customFormat="false" ht="15" hidden="false" customHeight="false" outlineLevel="0" collapsed="false">
      <c r="A661" s="5" t="n">
        <v>17</v>
      </c>
      <c r="B661" s="25" t="n">
        <f aca="false">IF(T660&gt;0,B660,D660)</f>
        <v>0.012420654296875</v>
      </c>
      <c r="C661" s="25" t="n">
        <f aca="false">IF(T660&gt;0,D660,C660)</f>
        <v>0.0124435424804688</v>
      </c>
      <c r="D661" s="41" t="n">
        <f aca="false">(B661+C661)/2</f>
        <v>0.0124320983886719</v>
      </c>
      <c r="E661" s="15" t="n">
        <f aca="false">$C$2*(1+IF(E$3&lt;=$O$2,$D661,$D661-($D661-$I$643)*MIN(E$3-$O$2,$Q$2)/$Q$2))</f>
        <v>2774.06394958496</v>
      </c>
      <c r="F661" s="15" t="n">
        <f aca="false">E661*(1+IF(F$3&lt;=$O$2,$D661,$D661-($D661-$I$643)*MIN(F$3-$O$2,$Q$2)/$Q$2))</f>
        <v>2808.55138554267</v>
      </c>
      <c r="G661" s="15" t="n">
        <f aca="false">F661*(1+IF(G$3&lt;=$O$2,$D661,$D661-($D661-$I$643)*MIN(G$3-$O$2,$Q$2)/$Q$2))</f>
        <v>2843.46757269738</v>
      </c>
      <c r="H661" s="15" t="n">
        <f aca="false">G661*(1+IF(H$3&lt;=$O$2,$D661,$D661-($D661-$I$643)*MIN(H$3-$O$2,$Q$2)/$Q$2))</f>
        <v>2878.81784132615</v>
      </c>
      <c r="I661" s="15" t="n">
        <f aca="false">H661*(1+IF(I$3&lt;=$O$2,$D661,$D661-($D661-$I$643)*MIN(I$3-$O$2,$Q$2)/$Q$2))</f>
        <v>2914.60758797258</v>
      </c>
      <c r="J661" s="15" t="n">
        <f aca="false">I661*(1+IF(J$3&lt;=$O$2,$D661,$D661-($D661-$I$643)*MIN(J$3-$O$2,$Q$2)/$Q$2))</f>
        <v>2960.09201755894</v>
      </c>
      <c r="K661" s="15" t="n">
        <f aca="false">J661*(1+IF(K$3&lt;=$O$2,$D661,$D661-($D661-$I$643)*MIN(K$3-$O$2,$Q$2)/$Q$2))</f>
        <v>3015.6803523188</v>
      </c>
      <c r="L661" s="15" t="n">
        <f aca="false">K661*(1+IF(L$3&lt;=$O$2,$D661,$D661-($D661-$I$643)*MIN(L$3-$O$2,$Q$2)/$Q$2))</f>
        <v>3081.88309864069</v>
      </c>
      <c r="M661" s="15" t="n">
        <f aca="false">L661*(1+IF(M$3&lt;=$O$2,$D661,$D661-($D661-$I$643)*MIN(M$3-$O$2,$Q$2)/$Q$2))</f>
        <v>3159.31978677486</v>
      </c>
      <c r="N661" s="15" t="n">
        <f aca="false">M661*(1+IF(N$3&lt;=$O$2,$D661,$D661-($D661-$I$643)*MIN(N$3-$O$2,$Q$2)/$Q$2))</f>
        <v>3248.72853674058</v>
      </c>
      <c r="O661" s="15" t="n">
        <f aca="false">SUMPRODUCT(E661:N661,1/(1+$F$643)^$E$3:$N$3)*$E$2</f>
        <v>13008.5715923749</v>
      </c>
      <c r="P661" s="15" t="n">
        <f aca="false">N661*$E$2*(1+$I$643)/($F$643-$I$643)/(1+$F$643)^$N$3</f>
        <v>16743.1325493478</v>
      </c>
      <c r="Q661" s="15" t="n">
        <f aca="false">O661+P661</f>
        <v>29751.7041417228</v>
      </c>
      <c r="R661" s="15" t="n">
        <f aca="false">Q661-$G$2+$I$2</f>
        <v>30521.7041417228</v>
      </c>
      <c r="S661" s="42" t="n">
        <f aca="false">R661/$K$2</f>
        <v>292.269502458324</v>
      </c>
      <c r="T661" s="43" t="n">
        <f aca="false">S661-$M$2</f>
        <v>0.0163185073517411</v>
      </c>
    </row>
    <row r="662" customFormat="false" ht="15" hidden="false" customHeight="false" outlineLevel="0" collapsed="false">
      <c r="A662" s="5" t="n">
        <v>18</v>
      </c>
      <c r="B662" s="25" t="n">
        <f aca="false">IF(T661&gt;0,B661,D661)</f>
        <v>0.012420654296875</v>
      </c>
      <c r="C662" s="25" t="n">
        <f aca="false">IF(T661&gt;0,D661,C661)</f>
        <v>0.0124320983886719</v>
      </c>
      <c r="D662" s="41" t="n">
        <f aca="false">(B662+C662)/2</f>
        <v>0.0124263763427734</v>
      </c>
      <c r="E662" s="15" t="n">
        <f aca="false">$C$2*(1+IF(E$3&lt;=$O$2,$D662,$D662-($D662-$I$643)*MIN(E$3-$O$2,$Q$2)/$Q$2))</f>
        <v>2774.0482711792</v>
      </c>
      <c r="F662" s="15" t="n">
        <f aca="false">E662*(1+IF(F$3&lt;=$O$2,$D662,$D662-($D662-$I$643)*MIN(F$3-$O$2,$Q$2)/$Q$2))</f>
        <v>2808.51963898989</v>
      </c>
      <c r="G662" s="15" t="n">
        <f aca="false">F662*(1+IF(G$3&lt;=$O$2,$D662,$D662-($D662-$I$643)*MIN(G$3-$O$2,$Q$2)/$Q$2))</f>
        <v>2843.41936099005</v>
      </c>
      <c r="H662" s="15" t="n">
        <f aca="false">G662*(1+IF(H$3&lt;=$O$2,$D662,$D662-($D662-$I$643)*MIN(H$3-$O$2,$Q$2)/$Q$2))</f>
        <v>2878.75276007004</v>
      </c>
      <c r="I662" s="15" t="n">
        <f aca="false">H662*(1+IF(I$3&lt;=$O$2,$D662,$D662-($D662-$I$643)*MIN(I$3-$O$2,$Q$2)/$Q$2))</f>
        <v>2914.52522526447</v>
      </c>
      <c r="J662" s="15" t="n">
        <f aca="false">I662*(1+IF(J$3&lt;=$O$2,$D662,$D662-($D662-$I$643)*MIN(J$3-$O$2,$Q$2)/$Q$2))</f>
        <v>2959.99502788718</v>
      </c>
      <c r="K662" s="15" t="n">
        <f aca="false">J662*(1+IF(K$3&lt;=$O$2,$D662,$D662-($D662-$I$643)*MIN(K$3-$O$2,$Q$2)/$Q$2))</f>
        <v>3015.57137891642</v>
      </c>
      <c r="L662" s="15" t="n">
        <f aca="false">K662*(1+IF(L$3&lt;=$O$2,$D662,$D662-($D662-$I$643)*MIN(L$3-$O$2,$Q$2)/$Q$2))</f>
        <v>3081.76483086759</v>
      </c>
      <c r="M662" s="15" t="n">
        <f aca="false">L662*(1+IF(M$3&lt;=$O$2,$D662,$D662-($D662-$I$643)*MIN(M$3-$O$2,$Q$2)/$Q$2))</f>
        <v>3159.19502055609</v>
      </c>
      <c r="N662" s="15" t="n">
        <f aca="false">M662*(1+IF(N$3&lt;=$O$2,$D662,$D662-($D662-$I$643)*MIN(N$3-$O$2,$Q$2)/$Q$2))</f>
        <v>3248.60023963782</v>
      </c>
      <c r="O662" s="15" t="n">
        <f aca="false">SUMPRODUCT(E662:N662,1/(1+$F$643)^$E$3:$N$3)*$E$2</f>
        <v>13008.248231852</v>
      </c>
      <c r="P662" s="15" t="n">
        <f aca="false">N662*$E$2*(1+$I$643)/($F$643-$I$643)/(1+$F$643)^$N$3</f>
        <v>16742.4713382393</v>
      </c>
      <c r="Q662" s="15" t="n">
        <f aca="false">O662+P662</f>
        <v>29750.7195700913</v>
      </c>
      <c r="R662" s="15" t="n">
        <f aca="false">Q662-$G$2+$I$2</f>
        <v>30520.7195700913</v>
      </c>
      <c r="S662" s="42" t="n">
        <f aca="false">R662/$K$2</f>
        <v>292.260074404781</v>
      </c>
      <c r="T662" s="43" t="n">
        <f aca="false">S662-$M$2</f>
        <v>0.00689045380903508</v>
      </c>
    </row>
    <row r="663" customFormat="false" ht="15" hidden="false" customHeight="false" outlineLevel="0" collapsed="false">
      <c r="A663" s="5" t="n">
        <v>19</v>
      </c>
      <c r="B663" s="25" t="n">
        <f aca="false">IF(T662&gt;0,B662,D662)</f>
        <v>0.012420654296875</v>
      </c>
      <c r="C663" s="25" t="n">
        <f aca="false">IF(T662&gt;0,D662,C662)</f>
        <v>0.0124263763427734</v>
      </c>
      <c r="D663" s="41" t="n">
        <f aca="false">(B663+C663)/2</f>
        <v>0.0124235153198242</v>
      </c>
      <c r="E663" s="15" t="n">
        <f aca="false">$C$2*(1+IF(E$3&lt;=$O$2,$D663,$D663-($D663-$I$643)*MIN(E$3-$O$2,$Q$2)/$Q$2))</f>
        <v>2774.04043197632</v>
      </c>
      <c r="F663" s="15" t="n">
        <f aca="false">E663*(1+IF(F$3&lt;=$O$2,$D663,$D663-($D663-$I$643)*MIN(F$3-$O$2,$Q$2)/$Q$2))</f>
        <v>2808.50376578079</v>
      </c>
      <c r="G663" s="15" t="n">
        <f aca="false">F663*(1+IF(G$3&lt;=$O$2,$D663,$D663-($D663-$I$643)*MIN(G$3-$O$2,$Q$2)/$Q$2))</f>
        <v>2843.39525534075</v>
      </c>
      <c r="H663" s="15" t="n">
        <f aca="false">G663*(1+IF(H$3&lt;=$O$2,$D663,$D663-($D663-$I$643)*MIN(H$3-$O$2,$Q$2)/$Q$2))</f>
        <v>2878.72021985579</v>
      </c>
      <c r="I663" s="15" t="n">
        <f aca="false">H663*(1+IF(I$3&lt;=$O$2,$D663,$D663-($D663-$I$643)*MIN(I$3-$O$2,$Q$2)/$Q$2))</f>
        <v>2914.48404460866</v>
      </c>
      <c r="J663" s="15" t="n">
        <f aca="false">I663*(1+IF(J$3&lt;=$O$2,$D663,$D663-($D663-$I$643)*MIN(J$3-$O$2,$Q$2)/$Q$2))</f>
        <v>2959.94653404321</v>
      </c>
      <c r="K663" s="15" t="n">
        <f aca="false">J663*(1+IF(K$3&lt;=$O$2,$D663,$D663-($D663-$I$643)*MIN(K$3-$O$2,$Q$2)/$Q$2))</f>
        <v>3015.5168934755</v>
      </c>
      <c r="L663" s="15" t="n">
        <f aca="false">K663*(1+IF(L$3&lt;=$O$2,$D663,$D663-($D663-$I$643)*MIN(L$3-$O$2,$Q$2)/$Q$2))</f>
        <v>3081.70569845603</v>
      </c>
      <c r="M663" s="15" t="n">
        <f aca="false">L663*(1+IF(M$3&lt;=$O$2,$D663,$D663-($D663-$I$643)*MIN(M$3-$O$2,$Q$2)/$Q$2))</f>
        <v>3159.13263906026</v>
      </c>
      <c r="N663" s="15" t="n">
        <f aca="false">M663*(1+IF(N$3&lt;=$O$2,$D663,$D663-($D663-$I$643)*MIN(N$3-$O$2,$Q$2)/$Q$2))</f>
        <v>3248.53609274567</v>
      </c>
      <c r="O663" s="15" t="n">
        <f aca="false">SUMPRODUCT(E663:N663,1/(1+$F$643)^$E$3:$N$3)*$E$2</f>
        <v>13008.0865546667</v>
      </c>
      <c r="P663" s="15" t="n">
        <f aca="false">N663*$E$2*(1+$I$643)/($F$643-$I$643)/(1+$F$643)^$N$3</f>
        <v>16742.1407412362</v>
      </c>
      <c r="Q663" s="15" t="n">
        <f aca="false">O663+P663</f>
        <v>29750.2272959029</v>
      </c>
      <c r="R663" s="15" t="n">
        <f aca="false">Q663-$G$2+$I$2</f>
        <v>30520.2272959029</v>
      </c>
      <c r="S663" s="42" t="n">
        <f aca="false">R663/$K$2</f>
        <v>292.25536048935</v>
      </c>
      <c r="T663" s="43" t="n">
        <f aca="false">S663-$M$2</f>
        <v>0.00217653837836451</v>
      </c>
    </row>
    <row r="664" customFormat="false" ht="15" hidden="false" customHeight="false" outlineLevel="0" collapsed="false">
      <c r="A664" s="5" t="n">
        <v>20</v>
      </c>
      <c r="B664" s="25" t="n">
        <f aca="false">IF(T663&gt;0,B663,D663)</f>
        <v>0.012420654296875</v>
      </c>
      <c r="C664" s="25" t="n">
        <f aca="false">IF(T663&gt;0,D663,C663)</f>
        <v>0.0124235153198242</v>
      </c>
      <c r="D664" s="41" t="n">
        <f aca="false">(B664+C664)/2</f>
        <v>0.0124220848083496</v>
      </c>
      <c r="E664" s="15" t="n">
        <f aca="false">$C$2*(1+IF(E$3&lt;=$O$2,$D664,$D664-($D664-$I$643)*MIN(E$3-$O$2,$Q$2)/$Q$2))</f>
        <v>2774.03651237488</v>
      </c>
      <c r="F664" s="15" t="n">
        <f aca="false">E664*(1+IF(F$3&lt;=$O$2,$D664,$D664-($D664-$I$643)*MIN(F$3-$O$2,$Q$2)/$Q$2))</f>
        <v>2808.49582919306</v>
      </c>
      <c r="G664" s="15" t="n">
        <f aca="false">F664*(1+IF(G$3&lt;=$O$2,$D664,$D664-($D664-$I$643)*MIN(G$3-$O$2,$Q$2)/$Q$2))</f>
        <v>2843.38320256719</v>
      </c>
      <c r="H664" s="15" t="n">
        <f aca="false">G664*(1+IF(H$3&lt;=$O$2,$D664,$D664-($D664-$I$643)*MIN(H$3-$O$2,$Q$2)/$Q$2))</f>
        <v>2878.70394985212</v>
      </c>
      <c r="I664" s="15" t="n">
        <f aca="false">H664*(1+IF(I$3&lt;=$O$2,$D664,$D664-($D664-$I$643)*MIN(I$3-$O$2,$Q$2)/$Q$2))</f>
        <v>2914.46345445531</v>
      </c>
      <c r="J664" s="15" t="n">
        <f aca="false">I664*(1+IF(J$3&lt;=$O$2,$D664,$D664-($D664-$I$643)*MIN(J$3-$O$2,$Q$2)/$Q$2))</f>
        <v>2959.92228736919</v>
      </c>
      <c r="K664" s="15" t="n">
        <f aca="false">J664*(1+IF(K$3&lt;=$O$2,$D664,$D664-($D664-$I$643)*MIN(K$3-$O$2,$Q$2)/$Q$2))</f>
        <v>3015.4896510701</v>
      </c>
      <c r="L664" s="15" t="n">
        <f aca="false">K664*(1+IF(L$3&lt;=$O$2,$D664,$D664-($D664-$I$643)*MIN(L$3-$O$2,$Q$2)/$Q$2))</f>
        <v>3081.67613261899</v>
      </c>
      <c r="M664" s="15" t="n">
        <f aca="false">L664*(1+IF(M$3&lt;=$O$2,$D664,$D664-($D664-$I$643)*MIN(M$3-$O$2,$Q$2)/$Q$2))</f>
        <v>3159.10144871574</v>
      </c>
      <c r="N664" s="15" t="n">
        <f aca="false">M664*(1+IF(N$3&lt;=$O$2,$D664,$D664-($D664-$I$643)*MIN(N$3-$O$2,$Q$2)/$Q$2))</f>
        <v>3248.50401971439</v>
      </c>
      <c r="O664" s="15" t="n">
        <f aca="false">SUMPRODUCT(E664:N664,1/(1+$F$643)^$E$3:$N$3)*$E$2</f>
        <v>13008.005716843</v>
      </c>
      <c r="P664" s="15" t="n">
        <f aca="false">N664*$E$2*(1+$I$643)/($F$643-$I$643)/(1+$F$643)^$N$3</f>
        <v>16741.9754448725</v>
      </c>
      <c r="Q664" s="15" t="n">
        <f aca="false">O664+P664</f>
        <v>29749.9811617154</v>
      </c>
      <c r="R664" s="15" t="n">
        <f aca="false">Q664-$G$2+$I$2</f>
        <v>30519.9811617154</v>
      </c>
      <c r="S664" s="42" t="n">
        <f aca="false">R664/$K$2</f>
        <v>292.25300355947</v>
      </c>
      <c r="T664" s="43" t="n">
        <f aca="false">S664-$M$2</f>
        <v>-0.000180391502226485</v>
      </c>
    </row>
    <row r="665" customFormat="false" ht="15" hidden="false" customHeight="false" outlineLevel="0" collapsed="false">
      <c r="A665" s="5" t="n">
        <v>21</v>
      </c>
      <c r="B665" s="25" t="n">
        <f aca="false">IF(T664&gt;0,B664,D664)</f>
        <v>0.0124220848083496</v>
      </c>
      <c r="C665" s="25" t="n">
        <f aca="false">IF(T664&gt;0,D664,C664)</f>
        <v>0.0124235153198242</v>
      </c>
      <c r="D665" s="41" t="n">
        <f aca="false">(B665+C665)/2</f>
        <v>0.0124228000640869</v>
      </c>
      <c r="E665" s="15" t="n">
        <f aca="false">$C$2*(1+IF(E$3&lt;=$O$2,$D665,$D665-($D665-$I$643)*MIN(E$3-$O$2,$Q$2)/$Q$2))</f>
        <v>2774.0384721756</v>
      </c>
      <c r="F665" s="15" t="n">
        <f aca="false">E665*(1+IF(F$3&lt;=$O$2,$D665,$D665-($D665-$I$643)*MIN(F$3-$O$2,$Q$2)/$Q$2))</f>
        <v>2808.49979748552</v>
      </c>
      <c r="G665" s="15" t="n">
        <f aca="false">F665*(1+IF(G$3&lt;=$O$2,$D665,$D665-($D665-$I$643)*MIN(G$3-$O$2,$Q$2)/$Q$2))</f>
        <v>2843.38922894971</v>
      </c>
      <c r="H665" s="15" t="n">
        <f aca="false">G665*(1+IF(H$3&lt;=$O$2,$D665,$D665-($D665-$I$643)*MIN(H$3-$O$2,$Q$2)/$Q$2))</f>
        <v>2878.71208484533</v>
      </c>
      <c r="I665" s="15" t="n">
        <f aca="false">H665*(1+IF(I$3&lt;=$O$2,$D665,$D665-($D665-$I$643)*MIN(I$3-$O$2,$Q$2)/$Q$2))</f>
        <v>2914.47374951744</v>
      </c>
      <c r="J665" s="15" t="n">
        <f aca="false">I665*(1+IF(J$3&lt;=$O$2,$D665,$D665-($D665-$I$643)*MIN(J$3-$O$2,$Q$2)/$Q$2))</f>
        <v>2959.93441068553</v>
      </c>
      <c r="K665" s="15" t="n">
        <f aca="false">J665*(1+IF(K$3&lt;=$O$2,$D665,$D665-($D665-$I$643)*MIN(K$3-$O$2,$Q$2)/$Q$2))</f>
        <v>3015.50327224655</v>
      </c>
      <c r="L665" s="15" t="n">
        <f aca="false">K665*(1+IF(L$3&lt;=$O$2,$D665,$D665-($D665-$I$643)*MIN(L$3-$O$2,$Q$2)/$Q$2))</f>
        <v>3081.69091550678</v>
      </c>
      <c r="M665" s="15" t="n">
        <f aca="false">L665*(1+IF(M$3&lt;=$O$2,$D665,$D665-($D665-$I$643)*MIN(M$3-$O$2,$Q$2)/$Q$2))</f>
        <v>3159.11704385439</v>
      </c>
      <c r="N665" s="15" t="n">
        <f aca="false">M665*(1+IF(N$3&lt;=$O$2,$D665,$D665-($D665-$I$643)*MIN(N$3-$O$2,$Q$2)/$Q$2))</f>
        <v>3248.52005619547</v>
      </c>
      <c r="O665" s="15" t="n">
        <f aca="false">SUMPRODUCT(E665:N665,1/(1+$F$643)^$E$3:$N$3)*$E$2</f>
        <v>13008.0461356907</v>
      </c>
      <c r="P665" s="15" t="n">
        <f aca="false">N665*$E$2*(1+$I$643)/($F$643-$I$643)/(1+$F$643)^$N$3</f>
        <v>16742.0580928762</v>
      </c>
      <c r="Q665" s="15" t="n">
        <f aca="false">O665+P665</f>
        <v>29750.1042285669</v>
      </c>
      <c r="R665" s="15" t="n">
        <f aca="false">Q665-$G$2+$I$2</f>
        <v>30520.1042285669</v>
      </c>
      <c r="S665" s="42" t="n">
        <f aca="false">R665/$K$2</f>
        <v>292.254182022091</v>
      </c>
      <c r="T665" s="43" t="n">
        <f aca="false">S665-$M$2</f>
        <v>0.000998071118544885</v>
      </c>
    </row>
    <row r="666" customFormat="false" ht="15" hidden="false" customHeight="false" outlineLevel="0" collapsed="false">
      <c r="A666" s="5" t="n">
        <v>22</v>
      </c>
      <c r="B666" s="25" t="n">
        <f aca="false">IF(T665&gt;0,B665,D665)</f>
        <v>0.0124220848083496</v>
      </c>
      <c r="C666" s="25" t="n">
        <f aca="false">IF(T665&gt;0,D665,C665)</f>
        <v>0.0124228000640869</v>
      </c>
      <c r="D666" s="41" t="n">
        <f aca="false">(B666+C666)/2</f>
        <v>0.0124224424362183</v>
      </c>
      <c r="E666" s="15" t="n">
        <f aca="false">$C$2*(1+IF(E$3&lt;=$O$2,$D666,$D666-($D666-$I$643)*MIN(E$3-$O$2,$Q$2)/$Q$2))</f>
        <v>2774.03749227524</v>
      </c>
      <c r="F666" s="15" t="n">
        <f aca="false">E666*(1+IF(F$3&lt;=$O$2,$D666,$D666-($D666-$I$643)*MIN(F$3-$O$2,$Q$2)/$Q$2))</f>
        <v>2808.49781333894</v>
      </c>
      <c r="G666" s="15" t="n">
        <f aca="false">F666*(1+IF(G$3&lt;=$O$2,$D666,$D666-($D666-$I$643)*MIN(G$3-$O$2,$Q$2)/$Q$2))</f>
        <v>2843.38621575739</v>
      </c>
      <c r="H666" s="15" t="n">
        <f aca="false">G666*(1+IF(H$3&lt;=$O$2,$D666,$D666-($D666-$I$643)*MIN(H$3-$O$2,$Q$2)/$Q$2))</f>
        <v>2878.70801734657</v>
      </c>
      <c r="I666" s="15" t="n">
        <f aca="false">H666*(1+IF(I$3&lt;=$O$2,$D666,$D666-($D666-$I$643)*MIN(I$3-$O$2,$Q$2)/$Q$2))</f>
        <v>2914.46860198274</v>
      </c>
      <c r="J666" s="15" t="n">
        <f aca="false">I666*(1+IF(J$3&lt;=$O$2,$D666,$D666-($D666-$I$643)*MIN(J$3-$O$2,$Q$2)/$Q$2))</f>
        <v>2959.9283490222</v>
      </c>
      <c r="K666" s="15" t="n">
        <f aca="false">J666*(1+IF(K$3&lt;=$O$2,$D666,$D666-($D666-$I$643)*MIN(K$3-$O$2,$Q$2)/$Q$2))</f>
        <v>3015.49646165176</v>
      </c>
      <c r="L666" s="15" t="n">
        <f aca="false">K666*(1+IF(L$3&lt;=$O$2,$D666,$D666-($D666-$I$643)*MIN(L$3-$O$2,$Q$2)/$Q$2))</f>
        <v>3081.6835240552</v>
      </c>
      <c r="M666" s="15" t="n">
        <f aca="false">L666*(1+IF(M$3&lt;=$O$2,$D666,$D666-($D666-$I$643)*MIN(M$3-$O$2,$Q$2)/$Q$2))</f>
        <v>3159.10924627666</v>
      </c>
      <c r="N666" s="15" t="n">
        <f aca="false">M666*(1+IF(N$3&lt;=$O$2,$D666,$D666-($D666-$I$643)*MIN(N$3-$O$2,$Q$2)/$Q$2))</f>
        <v>3248.51203794629</v>
      </c>
      <c r="O666" s="15" t="n">
        <f aca="false">SUMPRODUCT(E666:N666,1/(1+$F$643)^$E$3:$N$3)*$E$2</f>
        <v>13008.0259262508</v>
      </c>
      <c r="P666" s="15" t="n">
        <f aca="false">N666*$E$2*(1+$I$643)/($F$643-$I$643)/(1+$F$643)^$N$3</f>
        <v>16742.0167688298</v>
      </c>
      <c r="Q666" s="15" t="n">
        <f aca="false">O666+P666</f>
        <v>29750.0426950806</v>
      </c>
      <c r="R666" s="15" t="n">
        <f aca="false">Q666-$G$2+$I$2</f>
        <v>30520.0426950806</v>
      </c>
      <c r="S666" s="42" t="n">
        <f aca="false">R666/$K$2</f>
        <v>292.2535927902</v>
      </c>
      <c r="T666" s="43" t="n">
        <f aca="false">S666-$M$2</f>
        <v>0.00040883922821422</v>
      </c>
    </row>
    <row r="667" customFormat="false" ht="15" hidden="false" customHeight="false" outlineLevel="0" collapsed="false">
      <c r="A667" s="5" t="n">
        <v>23</v>
      </c>
      <c r="B667" s="25" t="n">
        <f aca="false">IF(T666&gt;0,B666,D666)</f>
        <v>0.0124220848083496</v>
      </c>
      <c r="C667" s="25" t="n">
        <f aca="false">IF(T666&gt;0,D666,C666)</f>
        <v>0.0124224424362183</v>
      </c>
      <c r="D667" s="41" t="n">
        <f aca="false">(B667+C667)/2</f>
        <v>0.0124222636222839</v>
      </c>
      <c r="E667" s="15" t="n">
        <f aca="false">$C$2*(1+IF(E$3&lt;=$O$2,$D667,$D667-($D667-$I$643)*MIN(E$3-$O$2,$Q$2)/$Q$2))</f>
        <v>2774.03700232506</v>
      </c>
      <c r="F667" s="15" t="n">
        <f aca="false">E667*(1+IF(F$3&lt;=$O$2,$D667,$D667-($D667-$I$643)*MIN(F$3-$O$2,$Q$2)/$Q$2))</f>
        <v>2808.49682126591</v>
      </c>
      <c r="G667" s="15" t="n">
        <f aca="false">F667*(1+IF(G$3&lt;=$O$2,$D667,$D667-($D667-$I$643)*MIN(G$3-$O$2,$Q$2)/$Q$2))</f>
        <v>2843.38470916202</v>
      </c>
      <c r="H667" s="15" t="n">
        <f aca="false">G667*(1+IF(H$3&lt;=$O$2,$D667,$D667-($D667-$I$643)*MIN(H$3-$O$2,$Q$2)/$Q$2))</f>
        <v>2878.7059835988</v>
      </c>
      <c r="I667" s="15" t="n">
        <f aca="false">H667*(1+IF(I$3&lt;=$O$2,$D667,$D667-($D667-$I$643)*MIN(I$3-$O$2,$Q$2)/$Q$2))</f>
        <v>2914.46602821811</v>
      </c>
      <c r="J667" s="15" t="n">
        <f aca="false">I667*(1+IF(J$3&lt;=$O$2,$D667,$D667-($D667-$I$643)*MIN(J$3-$O$2,$Q$2)/$Q$2))</f>
        <v>2959.9253181944</v>
      </c>
      <c r="K667" s="15" t="n">
        <f aca="false">J667*(1+IF(K$3&lt;=$O$2,$D667,$D667-($D667-$I$643)*MIN(K$3-$O$2,$Q$2)/$Q$2))</f>
        <v>3015.49305635929</v>
      </c>
      <c r="L667" s="15" t="n">
        <f aca="false">K667*(1+IF(L$3&lt;=$O$2,$D667,$D667-($D667-$I$643)*MIN(L$3-$O$2,$Q$2)/$Q$2))</f>
        <v>3081.67982833518</v>
      </c>
      <c r="M667" s="15" t="n">
        <f aca="false">L667*(1+IF(M$3&lt;=$O$2,$D667,$D667-($D667-$I$643)*MIN(M$3-$O$2,$Q$2)/$Q$2))</f>
        <v>3159.1053474941</v>
      </c>
      <c r="N667" s="15" t="n">
        <f aca="false">M667*(1+IF(N$3&lt;=$O$2,$D667,$D667-($D667-$I$643)*MIN(N$3-$O$2,$Q$2)/$Q$2))</f>
        <v>3248.50802882818</v>
      </c>
      <c r="O667" s="15" t="n">
        <f aca="false">SUMPRODUCT(E667:N667,1/(1+$F$643)^$E$3:$N$3)*$E$2</f>
        <v>13008.0158215429</v>
      </c>
      <c r="P667" s="15" t="n">
        <f aca="false">N667*$E$2*(1+$I$643)/($F$643-$I$643)/(1+$F$643)^$N$3</f>
        <v>16741.99610684</v>
      </c>
      <c r="Q667" s="15" t="n">
        <f aca="false">O667+P667</f>
        <v>29750.0119283829</v>
      </c>
      <c r="R667" s="15" t="n">
        <f aca="false">Q667-$G$2+$I$2</f>
        <v>30520.0119283829</v>
      </c>
      <c r="S667" s="42" t="n">
        <f aca="false">R667/$K$2</f>
        <v>292.25329817469</v>
      </c>
      <c r="T667" s="43" t="n">
        <f aca="false">S667-$M$2</f>
        <v>0.000114223718071571</v>
      </c>
    </row>
    <row r="668" customFormat="false" ht="15" hidden="false" customHeight="false" outlineLevel="0" collapsed="false">
      <c r="A668" s="5" t="n">
        <v>24</v>
      </c>
      <c r="B668" s="25" t="n">
        <f aca="false">IF(T667&gt;0,B667,D667)</f>
        <v>0.0124220848083496</v>
      </c>
      <c r="C668" s="25" t="n">
        <f aca="false">IF(T667&gt;0,D667,C667)</f>
        <v>0.0124222636222839</v>
      </c>
      <c r="D668" s="41" t="n">
        <f aca="false">(B668+C668)/2</f>
        <v>0.0124221742153168</v>
      </c>
      <c r="E668" s="15" t="n">
        <f aca="false">$C$2*(1+IF(E$3&lt;=$O$2,$D668,$D668-($D668-$I$643)*MIN(E$3-$O$2,$Q$2)/$Q$2))</f>
        <v>2774.03675734997</v>
      </c>
      <c r="F668" s="15" t="n">
        <f aca="false">E668*(1+IF(F$3&lt;=$O$2,$D668,$D668-($D668-$I$643)*MIN(F$3-$O$2,$Q$2)/$Q$2))</f>
        <v>2808.49632522946</v>
      </c>
      <c r="G668" s="15" t="n">
        <f aca="false">F668*(1+IF(G$3&lt;=$O$2,$D668,$D668-($D668-$I$643)*MIN(G$3-$O$2,$Q$2)/$Q$2))</f>
        <v>2843.38395586454</v>
      </c>
      <c r="H668" s="15" t="n">
        <f aca="false">G668*(1+IF(H$3&lt;=$O$2,$D668,$D668-($D668-$I$643)*MIN(H$3-$O$2,$Q$2)/$Q$2))</f>
        <v>2878.70496672532</v>
      </c>
      <c r="I668" s="15" t="n">
        <f aca="false">H668*(1+IF(I$3&lt;=$O$2,$D668,$D668-($D668-$I$643)*MIN(I$3-$O$2,$Q$2)/$Q$2))</f>
        <v>2914.46474133648</v>
      </c>
      <c r="J668" s="15" t="n">
        <f aca="false">I668*(1+IF(J$3&lt;=$O$2,$D668,$D668-($D668-$I$643)*MIN(J$3-$O$2,$Q$2)/$Q$2))</f>
        <v>2959.92380278147</v>
      </c>
      <c r="K668" s="15" t="n">
        <f aca="false">J668*(1+IF(K$3&lt;=$O$2,$D668,$D668-($D668-$I$643)*MIN(K$3-$O$2,$Q$2)/$Q$2))</f>
        <v>3015.49135371429</v>
      </c>
      <c r="L668" s="15" t="n">
        <f aca="false">K668*(1+IF(L$3&lt;=$O$2,$D668,$D668-($D668-$I$643)*MIN(L$3-$O$2,$Q$2)/$Q$2))</f>
        <v>3081.6779804766</v>
      </c>
      <c r="M668" s="15" t="n">
        <f aca="false">L668*(1+IF(M$3&lt;=$O$2,$D668,$D668-($D668-$I$643)*MIN(M$3-$O$2,$Q$2)/$Q$2))</f>
        <v>3159.10339810439</v>
      </c>
      <c r="N668" s="15" t="n">
        <f aca="false">M668*(1+IF(N$3&lt;=$O$2,$D668,$D668-($D668-$I$643)*MIN(N$3-$O$2,$Q$2)/$Q$2))</f>
        <v>3248.50602427075</v>
      </c>
      <c r="O668" s="15" t="n">
        <f aca="false">SUMPRODUCT(E668:N668,1/(1+$F$643)^$E$3:$N$3)*$E$2</f>
        <v>13008.0107691919</v>
      </c>
      <c r="P668" s="15" t="n">
        <f aca="false">N668*$E$2*(1+$I$643)/($F$643-$I$643)/(1+$F$643)^$N$3</f>
        <v>16741.9857758534</v>
      </c>
      <c r="Q668" s="15" t="n">
        <f aca="false">O668+P668</f>
        <v>29749.9965450454</v>
      </c>
      <c r="R668" s="15" t="n">
        <f aca="false">Q668-$G$2+$I$2</f>
        <v>30519.9965450454</v>
      </c>
      <c r="S668" s="42" t="n">
        <f aca="false">R668/$K$2</f>
        <v>292.253150867044</v>
      </c>
      <c r="T668" s="43" t="n">
        <f aca="false">S668-$M$2</f>
        <v>-3.30839283719797E-005</v>
      </c>
    </row>
    <row r="670" customFormat="false" ht="15" hidden="false" customHeight="false" outlineLevel="0" collapsed="false">
      <c r="A670" s="38" t="s">
        <v>202</v>
      </c>
      <c r="E670" s="5" t="s">
        <v>11</v>
      </c>
      <c r="F670" s="12" t="n">
        <f aca="false">Sensitivity!$B$14</f>
        <v>0.0872772551778937</v>
      </c>
      <c r="G670" s="5" t="s">
        <v>12</v>
      </c>
      <c r="I670" s="12" t="n">
        <f aca="false">Sensitivity!$F$9</f>
        <v>0.0333</v>
      </c>
    </row>
    <row r="671" customFormat="false" ht="23.85" hidden="false" customHeight="false" outlineLevel="0" collapsed="false">
      <c r="A671" s="38" t="s">
        <v>159</v>
      </c>
      <c r="B671" s="28" t="s">
        <v>160</v>
      </c>
      <c r="C671" s="28" t="s">
        <v>161</v>
      </c>
      <c r="D671" s="28" t="s">
        <v>162</v>
      </c>
      <c r="E671" s="28" t="s">
        <v>163</v>
      </c>
      <c r="F671" s="28" t="s">
        <v>164</v>
      </c>
      <c r="G671" s="28" t="s">
        <v>165</v>
      </c>
      <c r="H671" s="28" t="s">
        <v>166</v>
      </c>
      <c r="I671" s="28" t="s">
        <v>167</v>
      </c>
      <c r="J671" s="28" t="s">
        <v>168</v>
      </c>
      <c r="K671" s="28" t="s">
        <v>169</v>
      </c>
      <c r="L671" s="28" t="s">
        <v>170</v>
      </c>
      <c r="M671" s="28" t="s">
        <v>171</v>
      </c>
      <c r="N671" s="28" t="s">
        <v>172</v>
      </c>
      <c r="O671" s="28" t="s">
        <v>173</v>
      </c>
      <c r="P671" s="28" t="s">
        <v>174</v>
      </c>
      <c r="Q671" s="28" t="s">
        <v>175</v>
      </c>
      <c r="R671" s="28" t="s">
        <v>176</v>
      </c>
      <c r="S671" s="28" t="s">
        <v>177</v>
      </c>
      <c r="T671" s="28" t="s">
        <v>178</v>
      </c>
    </row>
    <row r="672" customFormat="false" ht="15" hidden="false" customHeight="false" outlineLevel="0" collapsed="false">
      <c r="A672" s="5" t="n">
        <v>1</v>
      </c>
      <c r="B672" s="24" t="n">
        <v>-0.5</v>
      </c>
      <c r="C672" s="24" t="n">
        <v>1</v>
      </c>
      <c r="D672" s="41" t="n">
        <f aca="false">(B672+C672)/2</f>
        <v>0.25</v>
      </c>
      <c r="E672" s="15" t="n">
        <f aca="false">$C$2*(1+IF(E$3&lt;=$O$2,$D672,$D672-($D672-$I$670)*MIN(E$3-$O$2,$Q$2)/$Q$2))</f>
        <v>3425</v>
      </c>
      <c r="F672" s="15" t="n">
        <f aca="false">E672*(1+IF(F$3&lt;=$O$2,$D672,$D672-($D672-$I$670)*MIN(F$3-$O$2,$Q$2)/$Q$2))</f>
        <v>4281.25</v>
      </c>
      <c r="G672" s="15" t="n">
        <f aca="false">F672*(1+IF(G$3&lt;=$O$2,$D672,$D672-($D672-$I$670)*MIN(G$3-$O$2,$Q$2)/$Q$2))</f>
        <v>5351.5625</v>
      </c>
      <c r="H672" s="15" t="n">
        <f aca="false">G672*(1+IF(H$3&lt;=$O$2,$D672,$D672-($D672-$I$670)*MIN(H$3-$O$2,$Q$2)/$Q$2))</f>
        <v>6689.453125</v>
      </c>
      <c r="I672" s="15" t="n">
        <f aca="false">H672*(1+IF(I$3&lt;=$O$2,$D672,$D672-($D672-$I$670)*MIN(I$3-$O$2,$Q$2)/$Q$2))</f>
        <v>8361.81640625</v>
      </c>
      <c r="J672" s="15" t="n">
        <f aca="false">I672*(1+IF(J$3&lt;=$O$2,$D672,$D672-($D672-$I$670)*MIN(J$3-$O$2,$Q$2)/$Q$2))</f>
        <v>10089.8693847656</v>
      </c>
      <c r="K672" s="15" t="n">
        <f aca="false">J672*(1+IF(K$3&lt;=$O$2,$D672,$D672-($D672-$I$670)*MIN(K$3-$O$2,$Q$2)/$Q$2))</f>
        <v>11737.7468526855</v>
      </c>
      <c r="L672" s="15" t="n">
        <f aca="false">K672*(1+IF(L$3&lt;=$O$2,$D672,$D672-($D672-$I$670)*MIN(L$3-$O$2,$Q$2)/$Q$2))</f>
        <v>13146.0417200708</v>
      </c>
      <c r="M672" s="15" t="n">
        <f aca="false">L672*(1+IF(M$3&lt;=$O$2,$D672,$D672-($D672-$I$670)*MIN(M$3-$O$2,$Q$2)/$Q$2))</f>
        <v>14153.554357497</v>
      </c>
      <c r="N672" s="15" t="n">
        <f aca="false">M672*(1+IF(N$3&lt;=$O$2,$D672,$D672-($D672-$I$670)*MIN(N$3-$O$2,$Q$2)/$Q$2))</f>
        <v>14624.8677176016</v>
      </c>
      <c r="O672" s="15" t="n">
        <f aca="false">SUMPRODUCT(E672:N672,1/(1+$F$670)^$E$3:$N$3)*$E$2</f>
        <v>36578.5509125235</v>
      </c>
      <c r="P672" s="15" t="n">
        <f aca="false">N672*$E$2*(1+$I$670)/($F$670-$I$670)/(1+$F$670)^$N$3</f>
        <v>82755.2571391154</v>
      </c>
      <c r="Q672" s="15" t="n">
        <f aca="false">O672+P672</f>
        <v>119333.808051639</v>
      </c>
      <c r="R672" s="15" t="n">
        <f aca="false">Q672-$G$2+$I$2</f>
        <v>120103.808051639</v>
      </c>
      <c r="S672" s="42" t="n">
        <f aca="false">R672/$K$2</f>
        <v>1150.08913197011</v>
      </c>
      <c r="T672" s="43" t="n">
        <f aca="false">S672-$M$2</f>
        <v>857.835948019141</v>
      </c>
    </row>
    <row r="673" customFormat="false" ht="15" hidden="false" customHeight="false" outlineLevel="0" collapsed="false">
      <c r="A673" s="5" t="n">
        <v>2</v>
      </c>
      <c r="B673" s="25" t="n">
        <f aca="false">IF(T672&gt;0,B672,D672)</f>
        <v>-0.5</v>
      </c>
      <c r="C673" s="25" t="n">
        <f aca="false">IF(T672&gt;0,D672,C672)</f>
        <v>0.25</v>
      </c>
      <c r="D673" s="41" t="n">
        <f aca="false">(B673+C673)/2</f>
        <v>-0.125</v>
      </c>
      <c r="E673" s="15" t="n">
        <f aca="false">$C$2*(1+IF(E$3&lt;=$O$2,$D673,$D673-($D673-$I$670)*MIN(E$3-$O$2,$Q$2)/$Q$2))</f>
        <v>2397.5</v>
      </c>
      <c r="F673" s="15" t="n">
        <f aca="false">E673*(1+IF(F$3&lt;=$O$2,$D673,$D673-($D673-$I$670)*MIN(F$3-$O$2,$Q$2)/$Q$2))</f>
        <v>2097.8125</v>
      </c>
      <c r="G673" s="15" t="n">
        <f aca="false">F673*(1+IF(G$3&lt;=$O$2,$D673,$D673-($D673-$I$670)*MIN(G$3-$O$2,$Q$2)/$Q$2))</f>
        <v>1835.5859375</v>
      </c>
      <c r="H673" s="15" t="n">
        <f aca="false">G673*(1+IF(H$3&lt;=$O$2,$D673,$D673-($D673-$I$670)*MIN(H$3-$O$2,$Q$2)/$Q$2))</f>
        <v>1606.1376953125</v>
      </c>
      <c r="I673" s="15" t="n">
        <f aca="false">H673*(1+IF(I$3&lt;=$O$2,$D673,$D673-($D673-$I$670)*MIN(I$3-$O$2,$Q$2)/$Q$2))</f>
        <v>1405.37048339844</v>
      </c>
      <c r="J673" s="15" t="n">
        <f aca="false">I673*(1+IF(J$3&lt;=$O$2,$D673,$D673-($D673-$I$670)*MIN(J$3-$O$2,$Q$2)/$Q$2))</f>
        <v>1274.19320247803</v>
      </c>
      <c r="K673" s="15" t="n">
        <f aca="false">J673*(1+IF(K$3&lt;=$O$2,$D673,$D673-($D673-$I$670)*MIN(K$3-$O$2,$Q$2)/$Q$2))</f>
        <v>1195.60096574918</v>
      </c>
      <c r="L673" s="15" t="n">
        <f aca="false">K673*(1+IF(L$3&lt;=$O$2,$D673,$D673-($D673-$I$670)*MIN(L$3-$O$2,$Q$2)/$Q$2))</f>
        <v>1159.70902475739</v>
      </c>
      <c r="M673" s="15" t="n">
        <f aca="false">L673*(1+IF(M$3&lt;=$O$2,$D673,$D673-($D673-$I$670)*MIN(M$3-$O$2,$Q$2)/$Q$2))</f>
        <v>1161.61094755799</v>
      </c>
      <c r="N673" s="15" t="n">
        <f aca="false">M673*(1+IF(N$3&lt;=$O$2,$D673,$D673-($D673-$I$670)*MIN(N$3-$O$2,$Q$2)/$Q$2))</f>
        <v>1200.29259211168</v>
      </c>
      <c r="O673" s="15" t="n">
        <f aca="false">SUMPRODUCT(E673:N673,1/(1+$F$670)^$E$3:$N$3)*$E$2</f>
        <v>7220.19054153872</v>
      </c>
      <c r="P673" s="15" t="n">
        <f aca="false">N673*$E$2*(1+$I$670)/($F$670-$I$670)/(1+$F$670)^$N$3</f>
        <v>6791.89200342843</v>
      </c>
      <c r="Q673" s="15" t="n">
        <f aca="false">O673+P673</f>
        <v>14012.0825449672</v>
      </c>
      <c r="R673" s="15" t="n">
        <f aca="false">Q673-$G$2+$I$2</f>
        <v>14782.0825449672</v>
      </c>
      <c r="S673" s="42" t="n">
        <f aca="false">R673/$K$2</f>
        <v>141.550153643274</v>
      </c>
      <c r="T673" s="43" t="n">
        <f aca="false">S673-$M$2</f>
        <v>-150.703030307698</v>
      </c>
    </row>
    <row r="674" customFormat="false" ht="15" hidden="false" customHeight="false" outlineLevel="0" collapsed="false">
      <c r="A674" s="5" t="n">
        <v>3</v>
      </c>
      <c r="B674" s="25" t="n">
        <f aca="false">IF(T673&gt;0,B673,D673)</f>
        <v>-0.125</v>
      </c>
      <c r="C674" s="25" t="n">
        <f aca="false">IF(T673&gt;0,D673,C673)</f>
        <v>0.25</v>
      </c>
      <c r="D674" s="41" t="n">
        <f aca="false">(B674+C674)/2</f>
        <v>0.0625</v>
      </c>
      <c r="E674" s="15" t="n">
        <f aca="false">$C$2*(1+IF(E$3&lt;=$O$2,$D674,$D674-($D674-$I$670)*MIN(E$3-$O$2,$Q$2)/$Q$2))</f>
        <v>2911.25</v>
      </c>
      <c r="F674" s="15" t="n">
        <f aca="false">E674*(1+IF(F$3&lt;=$O$2,$D674,$D674-($D674-$I$670)*MIN(F$3-$O$2,$Q$2)/$Q$2))</f>
        <v>3093.203125</v>
      </c>
      <c r="G674" s="15" t="n">
        <f aca="false">F674*(1+IF(G$3&lt;=$O$2,$D674,$D674-($D674-$I$670)*MIN(G$3-$O$2,$Q$2)/$Q$2))</f>
        <v>3286.5283203125</v>
      </c>
      <c r="H674" s="15" t="n">
        <f aca="false">G674*(1+IF(H$3&lt;=$O$2,$D674,$D674-($D674-$I$670)*MIN(H$3-$O$2,$Q$2)/$Q$2))</f>
        <v>3491.93634033203</v>
      </c>
      <c r="I674" s="15" t="n">
        <f aca="false">H674*(1+IF(I$3&lt;=$O$2,$D674,$D674-($D674-$I$670)*MIN(I$3-$O$2,$Q$2)/$Q$2))</f>
        <v>3710.18236160278</v>
      </c>
      <c r="J674" s="15" t="n">
        <f aca="false">I674*(1+IF(J$3&lt;=$O$2,$D674,$D674-($D674-$I$670)*MIN(J$3-$O$2,$Q$2)/$Q$2))</f>
        <v>3920.4012942112</v>
      </c>
      <c r="K674" s="15" t="n">
        <f aca="false">J674*(1+IF(K$3&lt;=$O$2,$D674,$D674-($D674-$I$670)*MIN(K$3-$O$2,$Q$2)/$Q$2))</f>
        <v>4119.63608798301</v>
      </c>
      <c r="L674" s="15" t="n">
        <f aca="false">K674*(1+IF(L$3&lt;=$O$2,$D674,$D674-($D674-$I$670)*MIN(L$3-$O$2,$Q$2)/$Q$2))</f>
        <v>4304.93731922049</v>
      </c>
      <c r="M674" s="15" t="n">
        <f aca="false">L674*(1+IF(M$3&lt;=$O$2,$D674,$D674-($D674-$I$670)*MIN(M$3-$O$2,$Q$2)/$Q$2))</f>
        <v>4473.43256589478</v>
      </c>
      <c r="N674" s="15" t="n">
        <f aca="false">M674*(1+IF(N$3&lt;=$O$2,$D674,$D674-($D674-$I$670)*MIN(N$3-$O$2,$Q$2)/$Q$2))</f>
        <v>4622.39787033907</v>
      </c>
      <c r="O674" s="15" t="n">
        <f aca="false">SUMPRODUCT(E674:N674,1/(1+$F$670)^$E$3:$N$3)*$E$2</f>
        <v>16222.9037798247</v>
      </c>
      <c r="P674" s="15" t="n">
        <f aca="false">N674*$E$2*(1+$I$670)/($F$670-$I$670)/(1+$F$670)^$N$3</f>
        <v>26155.9784160524</v>
      </c>
      <c r="Q674" s="15" t="n">
        <f aca="false">O674+P674</f>
        <v>42378.8821958771</v>
      </c>
      <c r="R674" s="15" t="n">
        <f aca="false">Q674-$G$2+$I$2</f>
        <v>43148.8821958771</v>
      </c>
      <c r="S674" s="42" t="n">
        <f aca="false">R674/$K$2</f>
        <v>413.184738062598</v>
      </c>
      <c r="T674" s="43" t="n">
        <f aca="false">S674-$M$2</f>
        <v>120.931554111626</v>
      </c>
    </row>
    <row r="675" customFormat="false" ht="15" hidden="false" customHeight="false" outlineLevel="0" collapsed="false">
      <c r="A675" s="5" t="n">
        <v>4</v>
      </c>
      <c r="B675" s="25" t="n">
        <f aca="false">IF(T674&gt;0,B674,D674)</f>
        <v>-0.125</v>
      </c>
      <c r="C675" s="25" t="n">
        <f aca="false">IF(T674&gt;0,D674,C674)</f>
        <v>0.0625</v>
      </c>
      <c r="D675" s="41" t="n">
        <f aca="false">(B675+C675)/2</f>
        <v>-0.03125</v>
      </c>
      <c r="E675" s="15" t="n">
        <f aca="false">$C$2*(1+IF(E$3&lt;=$O$2,$D675,$D675-($D675-$I$670)*MIN(E$3-$O$2,$Q$2)/$Q$2))</f>
        <v>2654.375</v>
      </c>
      <c r="F675" s="15" t="n">
        <f aca="false">E675*(1+IF(F$3&lt;=$O$2,$D675,$D675-($D675-$I$670)*MIN(F$3-$O$2,$Q$2)/$Q$2))</f>
        <v>2571.42578125</v>
      </c>
      <c r="G675" s="15" t="n">
        <f aca="false">F675*(1+IF(G$3&lt;=$O$2,$D675,$D675-($D675-$I$670)*MIN(G$3-$O$2,$Q$2)/$Q$2))</f>
        <v>2491.06872558594</v>
      </c>
      <c r="H675" s="15" t="n">
        <f aca="false">G675*(1+IF(H$3&lt;=$O$2,$D675,$D675-($D675-$I$670)*MIN(H$3-$O$2,$Q$2)/$Q$2))</f>
        <v>2413.22282791138</v>
      </c>
      <c r="I675" s="15" t="n">
        <f aca="false">H675*(1+IF(I$3&lt;=$O$2,$D675,$D675-($D675-$I$670)*MIN(I$3-$O$2,$Q$2)/$Q$2))</f>
        <v>2337.80961453915</v>
      </c>
      <c r="J675" s="15" t="n">
        <f aca="false">I675*(1+IF(J$3&lt;=$O$2,$D675,$D675-($D675-$I$670)*MIN(J$3-$O$2,$Q$2)/$Q$2))</f>
        <v>2294.9341862085</v>
      </c>
      <c r="K675" s="15" t="n">
        <f aca="false">J675*(1+IF(K$3&lt;=$O$2,$D675,$D675-($D675-$I$670)*MIN(K$3-$O$2,$Q$2)/$Q$2))</f>
        <v>2282.47269357739</v>
      </c>
      <c r="L675" s="15" t="n">
        <f aca="false">K675*(1+IF(L$3&lt;=$O$2,$D675,$D675-($D675-$I$670)*MIN(L$3-$O$2,$Q$2)/$Q$2))</f>
        <v>2299.54558932534</v>
      </c>
      <c r="M675" s="15" t="n">
        <f aca="false">L675*(1+IF(M$3&lt;=$O$2,$D675,$D675-($D675-$I$670)*MIN(M$3-$O$2,$Q$2)/$Q$2))</f>
        <v>2346.43332389169</v>
      </c>
      <c r="N675" s="15" t="n">
        <f aca="false">M675*(1+IF(N$3&lt;=$O$2,$D675,$D675-($D675-$I$670)*MIN(N$3-$O$2,$Q$2)/$Q$2))</f>
        <v>2424.56955357728</v>
      </c>
      <c r="O675" s="15" t="n">
        <f aca="false">SUMPRODUCT(E675:N675,1/(1+$F$670)^$E$3:$N$3)*$E$2</f>
        <v>10791.4093170609</v>
      </c>
      <c r="P675" s="15" t="n">
        <f aca="false">N675*$E$2*(1+$I$670)/($F$670-$I$670)/(1+$F$670)^$N$3</f>
        <v>13719.5002876144</v>
      </c>
      <c r="Q675" s="15" t="n">
        <f aca="false">O675+P675</f>
        <v>24510.9096046753</v>
      </c>
      <c r="R675" s="15" t="n">
        <f aca="false">Q675-$G$2+$I$2</f>
        <v>25280.9096046753</v>
      </c>
      <c r="S675" s="42" t="n">
        <f aca="false">R675/$K$2</f>
        <v>242.084741977164</v>
      </c>
      <c r="T675" s="43" t="n">
        <f aca="false">S675-$M$2</f>
        <v>-50.1684419738077</v>
      </c>
    </row>
    <row r="676" customFormat="false" ht="15" hidden="false" customHeight="false" outlineLevel="0" collapsed="false">
      <c r="A676" s="5" t="n">
        <v>5</v>
      </c>
      <c r="B676" s="25" t="n">
        <f aca="false">IF(T675&gt;0,B675,D675)</f>
        <v>-0.03125</v>
      </c>
      <c r="C676" s="25" t="n">
        <f aca="false">IF(T675&gt;0,D675,C675)</f>
        <v>0.0625</v>
      </c>
      <c r="D676" s="41" t="n">
        <f aca="false">(B676+C676)/2</f>
        <v>0.015625</v>
      </c>
      <c r="E676" s="15" t="n">
        <f aca="false">$C$2*(1+IF(E$3&lt;=$O$2,$D676,$D676-($D676-$I$670)*MIN(E$3-$O$2,$Q$2)/$Q$2))</f>
        <v>2782.8125</v>
      </c>
      <c r="F676" s="15" t="n">
        <f aca="false">E676*(1+IF(F$3&lt;=$O$2,$D676,$D676-($D676-$I$670)*MIN(F$3-$O$2,$Q$2)/$Q$2))</f>
        <v>2826.2939453125</v>
      </c>
      <c r="G676" s="15" t="n">
        <f aca="false">F676*(1+IF(G$3&lt;=$O$2,$D676,$D676-($D676-$I$670)*MIN(G$3-$O$2,$Q$2)/$Q$2))</f>
        <v>2870.45478820801</v>
      </c>
      <c r="H676" s="15" t="n">
        <f aca="false">G676*(1+IF(H$3&lt;=$O$2,$D676,$D676-($D676-$I$670)*MIN(H$3-$O$2,$Q$2)/$Q$2))</f>
        <v>2915.30564427376</v>
      </c>
      <c r="I676" s="15" t="n">
        <f aca="false">H676*(1+IF(I$3&lt;=$O$2,$D676,$D676-($D676-$I$670)*MIN(I$3-$O$2,$Q$2)/$Q$2))</f>
        <v>2960.85729496554</v>
      </c>
      <c r="J676" s="15" t="n">
        <f aca="false">I676*(1+IF(J$3&lt;=$O$2,$D676,$D676-($D676-$I$670)*MIN(J$3-$O$2,$Q$2)/$Q$2))</f>
        <v>3017.58732073708</v>
      </c>
      <c r="K676" s="15" t="n">
        <f aca="false">J676*(1+IF(K$3&lt;=$O$2,$D676,$D676-($D676-$I$670)*MIN(K$3-$O$2,$Q$2)/$Q$2))</f>
        <v>3086.0714649812</v>
      </c>
      <c r="L676" s="15" t="n">
        <f aca="false">K676*(1+IF(L$3&lt;=$O$2,$D676,$D676-($D676-$I$670)*MIN(L$3-$O$2,$Q$2)/$Q$2))</f>
        <v>3167.01911950766</v>
      </c>
      <c r="M676" s="15" t="n">
        <f aca="false">L676*(1+IF(M$3&lt;=$O$2,$D676,$D676-($D676-$I$670)*MIN(M$3-$O$2,$Q$2)/$Q$2))</f>
        <v>3261.28544359981</v>
      </c>
      <c r="N676" s="15" t="n">
        <f aca="false">M676*(1+IF(N$3&lt;=$O$2,$D676,$D676-($D676-$I$670)*MIN(N$3-$O$2,$Q$2)/$Q$2))</f>
        <v>3369.88624887168</v>
      </c>
      <c r="O676" s="15" t="n">
        <f aca="false">SUMPRODUCT(E676:N676,1/(1+$F$670)^$E$3:$N$3)*$E$2</f>
        <v>13226.0551325021</v>
      </c>
      <c r="P676" s="15" t="n">
        <f aca="false">N676*$E$2*(1+$I$670)/($F$670-$I$670)/(1+$F$670)^$N$3</f>
        <v>19068.6034526867</v>
      </c>
      <c r="Q676" s="15" t="n">
        <f aca="false">O676+P676</f>
        <v>32294.6585851888</v>
      </c>
      <c r="R676" s="15" t="n">
        <f aca="false">Q676-$G$2+$I$2</f>
        <v>33064.6585851888</v>
      </c>
      <c r="S676" s="42" t="n">
        <f aca="false">R676/$K$2</f>
        <v>316.620306283528</v>
      </c>
      <c r="T676" s="43" t="n">
        <f aca="false">S676-$M$2</f>
        <v>24.367122332556</v>
      </c>
    </row>
    <row r="677" customFormat="false" ht="15" hidden="false" customHeight="false" outlineLevel="0" collapsed="false">
      <c r="A677" s="5" t="n">
        <v>6</v>
      </c>
      <c r="B677" s="25" t="n">
        <f aca="false">IF(T676&gt;0,B676,D676)</f>
        <v>-0.03125</v>
      </c>
      <c r="C677" s="25" t="n">
        <f aca="false">IF(T676&gt;0,D676,C676)</f>
        <v>0.015625</v>
      </c>
      <c r="D677" s="41" t="n">
        <f aca="false">(B677+C677)/2</f>
        <v>-0.0078125</v>
      </c>
      <c r="E677" s="15" t="n">
        <f aca="false">$C$2*(1+IF(E$3&lt;=$O$2,$D677,$D677-($D677-$I$670)*MIN(E$3-$O$2,$Q$2)/$Q$2))</f>
        <v>2718.59375</v>
      </c>
      <c r="F677" s="15" t="n">
        <f aca="false">E677*(1+IF(F$3&lt;=$O$2,$D677,$D677-($D677-$I$670)*MIN(F$3-$O$2,$Q$2)/$Q$2))</f>
        <v>2697.35473632813</v>
      </c>
      <c r="G677" s="15" t="n">
        <f aca="false">F677*(1+IF(G$3&lt;=$O$2,$D677,$D677-($D677-$I$670)*MIN(G$3-$O$2,$Q$2)/$Q$2))</f>
        <v>2676.28165245056</v>
      </c>
      <c r="H677" s="15" t="n">
        <f aca="false">G677*(1+IF(H$3&lt;=$O$2,$D677,$D677-($D677-$I$670)*MIN(H$3-$O$2,$Q$2)/$Q$2))</f>
        <v>2655.37320204079</v>
      </c>
      <c r="I677" s="15" t="n">
        <f aca="false">H677*(1+IF(I$3&lt;=$O$2,$D677,$D677-($D677-$I$670)*MIN(I$3-$O$2,$Q$2)/$Q$2))</f>
        <v>2634.62809889985</v>
      </c>
      <c r="J677" s="15" t="n">
        <f aca="false">I677*(1+IF(J$3&lt;=$O$2,$D677,$D677-($D677-$I$670)*MIN(J$3-$O$2,$Q$2)/$Q$2))</f>
        <v>2635.7082964204</v>
      </c>
      <c r="K677" s="15" t="n">
        <f aca="false">J677*(1+IF(K$3&lt;=$O$2,$D677,$D677-($D677-$I$670)*MIN(K$3-$O$2,$Q$2)/$Q$2))</f>
        <v>2658.46104828925</v>
      </c>
      <c r="L677" s="15" t="n">
        <f aca="false">K677*(1+IF(L$3&lt;=$O$2,$D677,$D677-($D677-$I$670)*MIN(L$3-$O$2,$Q$2)/$Q$2))</f>
        <v>2703.26940925816</v>
      </c>
      <c r="M677" s="15" t="n">
        <f aca="false">L677*(1+IF(M$3&lt;=$O$2,$D677,$D677-($D677-$I$670)*MIN(M$3-$O$2,$Q$2)/$Q$2))</f>
        <v>2771.06064786883</v>
      </c>
      <c r="N677" s="15" t="n">
        <f aca="false">M677*(1+IF(N$3&lt;=$O$2,$D677,$D677-($D677-$I$670)*MIN(N$3-$O$2,$Q$2)/$Q$2))</f>
        <v>2863.33696744287</v>
      </c>
      <c r="O677" s="15" t="n">
        <f aca="false">SUMPRODUCT(E677:N677,1/(1+$F$670)^$E$3:$N$3)*$E$2</f>
        <v>11945.1945857316</v>
      </c>
      <c r="P677" s="15" t="n">
        <f aca="false">N677*$E$2*(1+$I$670)/($F$670-$I$670)/(1+$F$670)^$N$3</f>
        <v>16202.2789943927</v>
      </c>
      <c r="Q677" s="15" t="n">
        <f aca="false">O677+P677</f>
        <v>28147.4735801244</v>
      </c>
      <c r="R677" s="15" t="n">
        <f aca="false">Q677-$G$2+$I$2</f>
        <v>28917.4735801244</v>
      </c>
      <c r="S677" s="42" t="n">
        <f aca="false">R677/$K$2</f>
        <v>276.907723643822</v>
      </c>
      <c r="T677" s="43" t="n">
        <f aca="false">S677-$M$2</f>
        <v>-15.3454603071496</v>
      </c>
    </row>
    <row r="678" customFormat="false" ht="15" hidden="false" customHeight="false" outlineLevel="0" collapsed="false">
      <c r="A678" s="5" t="n">
        <v>7</v>
      </c>
      <c r="B678" s="25" t="n">
        <f aca="false">IF(T677&gt;0,B677,D677)</f>
        <v>-0.0078125</v>
      </c>
      <c r="C678" s="25" t="n">
        <f aca="false">IF(T677&gt;0,D677,C677)</f>
        <v>0.015625</v>
      </c>
      <c r="D678" s="41" t="n">
        <f aca="false">(B678+C678)/2</f>
        <v>0.00390625</v>
      </c>
      <c r="E678" s="15" t="n">
        <f aca="false">$C$2*(1+IF(E$3&lt;=$O$2,$D678,$D678-($D678-$I$670)*MIN(E$3-$O$2,$Q$2)/$Q$2))</f>
        <v>2750.703125</v>
      </c>
      <c r="F678" s="15" t="n">
        <f aca="false">E678*(1+IF(F$3&lt;=$O$2,$D678,$D678-($D678-$I$670)*MIN(F$3-$O$2,$Q$2)/$Q$2))</f>
        <v>2761.44805908203</v>
      </c>
      <c r="G678" s="15" t="n">
        <f aca="false">F678*(1+IF(G$3&lt;=$O$2,$D678,$D678-($D678-$I$670)*MIN(G$3-$O$2,$Q$2)/$Q$2))</f>
        <v>2772.23496556282</v>
      </c>
      <c r="H678" s="15" t="n">
        <f aca="false">G678*(1+IF(H$3&lt;=$O$2,$D678,$D678-($D678-$I$670)*MIN(H$3-$O$2,$Q$2)/$Q$2))</f>
        <v>2783.06400839705</v>
      </c>
      <c r="I678" s="15" t="n">
        <f aca="false">H678*(1+IF(I$3&lt;=$O$2,$D678,$D678-($D678-$I$670)*MIN(I$3-$O$2,$Q$2)/$Q$2))</f>
        <v>2793.93535217985</v>
      </c>
      <c r="J678" s="15" t="n">
        <f aca="false">I678*(1+IF(J$3&lt;=$O$2,$D678,$D678-($D678-$I$670)*MIN(J$3-$O$2,$Q$2)/$Q$2))</f>
        <v>2821.27400960093</v>
      </c>
      <c r="K678" s="15" t="n">
        <f aca="false">J678*(1+IF(K$3&lt;=$O$2,$D678,$D678-($D678-$I$670)*MIN(K$3-$O$2,$Q$2)/$Q$2))</f>
        <v>2865.46574036882</v>
      </c>
      <c r="L678" s="15" t="n">
        <f aca="false">K678*(1+IF(L$3&lt;=$O$2,$D678,$D678-($D678-$I$670)*MIN(L$3-$O$2,$Q$2)/$Q$2))</f>
        <v>2927.19503608071</v>
      </c>
      <c r="M678" s="15" t="n">
        <f aca="false">L678*(1+IF(M$3&lt;=$O$2,$D678,$D678-($D678-$I$670)*MIN(M$3-$O$2,$Q$2)/$Q$2))</f>
        <v>3007.46238296384</v>
      </c>
      <c r="N678" s="15" t="n">
        <f aca="false">M678*(1+IF(N$3&lt;=$O$2,$D678,$D678-($D678-$I$670)*MIN(N$3-$O$2,$Q$2)/$Q$2))</f>
        <v>3107.61088031654</v>
      </c>
      <c r="O678" s="15" t="n">
        <f aca="false">SUMPRODUCT(E678:N678,1/(1+$F$670)^$E$3:$N$3)*$E$2</f>
        <v>12568.9432469991</v>
      </c>
      <c r="P678" s="15" t="n">
        <f aca="false">N678*$E$2*(1+$I$670)/($F$670-$I$670)/(1+$F$670)^$N$3</f>
        <v>17584.5103323151</v>
      </c>
      <c r="Q678" s="15" t="n">
        <f aca="false">O678+P678</f>
        <v>30153.4535793142</v>
      </c>
      <c r="R678" s="15" t="n">
        <f aca="false">Q678-$G$2+$I$2</f>
        <v>30923.4535793142</v>
      </c>
      <c r="S678" s="42" t="n">
        <f aca="false">R678/$K$2</f>
        <v>296.116571668239</v>
      </c>
      <c r="T678" s="43" t="n">
        <f aca="false">S678-$M$2</f>
        <v>3.86338771726673</v>
      </c>
    </row>
    <row r="679" customFormat="false" ht="15" hidden="false" customHeight="false" outlineLevel="0" collapsed="false">
      <c r="A679" s="5" t="n">
        <v>8</v>
      </c>
      <c r="B679" s="25" t="n">
        <f aca="false">IF(T678&gt;0,B678,D678)</f>
        <v>-0.0078125</v>
      </c>
      <c r="C679" s="25" t="n">
        <f aca="false">IF(T678&gt;0,D678,C678)</f>
        <v>0.00390625</v>
      </c>
      <c r="D679" s="41" t="n">
        <f aca="false">(B679+C679)/2</f>
        <v>-0.001953125</v>
      </c>
      <c r="E679" s="15" t="n">
        <f aca="false">$C$2*(1+IF(E$3&lt;=$O$2,$D679,$D679-($D679-$I$670)*MIN(E$3-$O$2,$Q$2)/$Q$2))</f>
        <v>2734.6484375</v>
      </c>
      <c r="F679" s="15" t="n">
        <f aca="false">E679*(1+IF(F$3&lt;=$O$2,$D679,$D679-($D679-$I$670)*MIN(F$3-$O$2,$Q$2)/$Q$2))</f>
        <v>2729.30732727051</v>
      </c>
      <c r="G679" s="15" t="n">
        <f aca="false">F679*(1+IF(G$3&lt;=$O$2,$D679,$D679-($D679-$I$670)*MIN(G$3-$O$2,$Q$2)/$Q$2))</f>
        <v>2723.97664889693</v>
      </c>
      <c r="H679" s="15" t="n">
        <f aca="false">G679*(1+IF(H$3&lt;=$O$2,$D679,$D679-($D679-$I$670)*MIN(H$3-$O$2,$Q$2)/$Q$2))</f>
        <v>2718.65638200456</v>
      </c>
      <c r="I679" s="15" t="n">
        <f aca="false">H679*(1+IF(I$3&lt;=$O$2,$D679,$D679-($D679-$I$670)*MIN(I$3-$O$2,$Q$2)/$Q$2))</f>
        <v>2713.34650625845</v>
      </c>
      <c r="J679" s="15" t="n">
        <f aca="false">I679*(1+IF(J$3&lt;=$O$2,$D679,$D679-($D679-$I$670)*MIN(J$3-$O$2,$Q$2)/$Q$2))</f>
        <v>2727.17779007411</v>
      </c>
      <c r="K679" s="15" t="n">
        <f aca="false">J679*(1+IF(K$3&lt;=$O$2,$D679,$D679-($D679-$I$670)*MIN(K$3-$O$2,$Q$2)/$Q$2))</f>
        <v>2760.30788676515</v>
      </c>
      <c r="L679" s="15" t="n">
        <f aca="false">K679*(1+IF(L$3&lt;=$O$2,$D679,$D679-($D679-$I$670)*MIN(L$3-$O$2,$Q$2)/$Q$2))</f>
        <v>2813.30234780618</v>
      </c>
      <c r="M679" s="15" t="n">
        <f aca="false">L679*(1+IF(M$3&lt;=$O$2,$D679,$D679-($D679-$I$670)*MIN(M$3-$O$2,$Q$2)/$Q$2))</f>
        <v>2887.14977612213</v>
      </c>
      <c r="N679" s="15" t="n">
        <f aca="false">M679*(1+IF(N$3&lt;=$O$2,$D679,$D679-($D679-$I$670)*MIN(N$3-$O$2,$Q$2)/$Q$2))</f>
        <v>2983.29186366699</v>
      </c>
      <c r="O679" s="15" t="n">
        <f aca="false">SUMPRODUCT(E679:N679,1/(1+$F$670)^$E$3:$N$3)*$E$2</f>
        <v>12253.0008675607</v>
      </c>
      <c r="P679" s="15" t="n">
        <f aca="false">N679*$E$2*(1+$I$670)/($F$670-$I$670)/(1+$F$670)^$N$3</f>
        <v>16881.0474095201</v>
      </c>
      <c r="Q679" s="15" t="n">
        <f aca="false">O679+P679</f>
        <v>29134.0482770808</v>
      </c>
      <c r="R679" s="15" t="n">
        <f aca="false">Q679-$G$2+$I$2</f>
        <v>29904.0482770808</v>
      </c>
      <c r="S679" s="42" t="n">
        <f aca="false">R679/$K$2</f>
        <v>286.354958125834</v>
      </c>
      <c r="T679" s="43" t="n">
        <f aca="false">S679-$M$2</f>
        <v>-5.89822582513835</v>
      </c>
    </row>
    <row r="680" customFormat="false" ht="15" hidden="false" customHeight="false" outlineLevel="0" collapsed="false">
      <c r="A680" s="5" t="n">
        <v>9</v>
      </c>
      <c r="B680" s="25" t="n">
        <f aca="false">IF(T679&gt;0,B679,D679)</f>
        <v>-0.001953125</v>
      </c>
      <c r="C680" s="25" t="n">
        <f aca="false">IF(T679&gt;0,D679,C679)</f>
        <v>0.00390625</v>
      </c>
      <c r="D680" s="41" t="n">
        <f aca="false">(B680+C680)/2</f>
        <v>0.0009765625</v>
      </c>
      <c r="E680" s="15" t="n">
        <f aca="false">$C$2*(1+IF(E$3&lt;=$O$2,$D680,$D680-($D680-$I$670)*MIN(E$3-$O$2,$Q$2)/$Q$2))</f>
        <v>2742.67578125</v>
      </c>
      <c r="F680" s="15" t="n">
        <f aca="false">E680*(1+IF(F$3&lt;=$O$2,$D680,$D680-($D680-$I$670)*MIN(F$3-$O$2,$Q$2)/$Q$2))</f>
        <v>2745.35417556763</v>
      </c>
      <c r="G680" s="15" t="n">
        <f aca="false">F680*(1+IF(G$3&lt;=$O$2,$D680,$D680-($D680-$I$670)*MIN(G$3-$O$2,$Q$2)/$Q$2))</f>
        <v>2748.0351855047</v>
      </c>
      <c r="H680" s="15" t="n">
        <f aca="false">G680*(1+IF(H$3&lt;=$O$2,$D680,$D680-($D680-$I$670)*MIN(H$3-$O$2,$Q$2)/$Q$2))</f>
        <v>2750.71881361555</v>
      </c>
      <c r="I680" s="15" t="n">
        <f aca="false">H680*(1+IF(I$3&lt;=$O$2,$D680,$D680-($D680-$I$670)*MIN(I$3-$O$2,$Q$2)/$Q$2))</f>
        <v>2753.40506245697</v>
      </c>
      <c r="J680" s="15" t="n">
        <f aca="false">I680*(1+IF(J$3&lt;=$O$2,$D680,$D680-($D680-$I$670)*MIN(J$3-$O$2,$Q$2)/$Q$2))</f>
        <v>2773.89383787798</v>
      </c>
      <c r="K680" s="15" t="n">
        <f aca="false">J680*(1+IF(K$3&lt;=$O$2,$D680,$D680-($D680-$I$670)*MIN(K$3-$O$2,$Q$2)/$Q$2))</f>
        <v>2812.46743221914</v>
      </c>
      <c r="L680" s="15" t="n">
        <f aca="false">K680*(1+IF(L$3&lt;=$O$2,$D680,$D680-($D680-$I$670)*MIN(L$3-$O$2,$Q$2)/$Q$2))</f>
        <v>2869.75915160559</v>
      </c>
      <c r="M680" s="15" t="n">
        <f aca="false">L680*(1+IF(M$3&lt;=$O$2,$D680,$D680-($D680-$I$670)*MIN(M$3-$O$2,$Q$2)/$Q$2))</f>
        <v>2946.77003523866</v>
      </c>
      <c r="N680" s="15" t="n">
        <f aca="false">M680*(1+IF(N$3&lt;=$O$2,$D680,$D680-($D680-$I$670)*MIN(N$3-$O$2,$Q$2)/$Q$2))</f>
        <v>3044.89747741211</v>
      </c>
      <c r="O680" s="15" t="n">
        <f aca="false">SUMPRODUCT(E680:N680,1/(1+$F$670)^$E$3:$N$3)*$E$2</f>
        <v>12409.9424231299</v>
      </c>
      <c r="P680" s="15" t="n">
        <f aca="false">N680*$E$2*(1+$I$670)/($F$670-$I$670)/(1+$F$670)^$N$3</f>
        <v>17229.6446416547</v>
      </c>
      <c r="Q680" s="15" t="n">
        <f aca="false">O680+P680</f>
        <v>29639.5870647846</v>
      </c>
      <c r="R680" s="15" t="n">
        <f aca="false">Q680-$G$2+$I$2</f>
        <v>30409.5870647846</v>
      </c>
      <c r="S680" s="42" t="n">
        <f aca="false">R680/$K$2</f>
        <v>291.195892605426</v>
      </c>
      <c r="T680" s="43" t="n">
        <f aca="false">S680-$M$2</f>
        <v>-1.05729134554633</v>
      </c>
    </row>
    <row r="681" customFormat="false" ht="15" hidden="false" customHeight="false" outlineLevel="0" collapsed="false">
      <c r="A681" s="5" t="n">
        <v>10</v>
      </c>
      <c r="B681" s="25" t="n">
        <f aca="false">IF(T680&gt;0,B680,D680)</f>
        <v>0.0009765625</v>
      </c>
      <c r="C681" s="25" t="n">
        <f aca="false">IF(T680&gt;0,D680,C680)</f>
        <v>0.00390625</v>
      </c>
      <c r="D681" s="41" t="n">
        <f aca="false">(B681+C681)/2</f>
        <v>0.00244140625</v>
      </c>
      <c r="E681" s="15" t="n">
        <f aca="false">$C$2*(1+IF(E$3&lt;=$O$2,$D681,$D681-($D681-$I$670)*MIN(E$3-$O$2,$Q$2)/$Q$2))</f>
        <v>2746.689453125</v>
      </c>
      <c r="F681" s="15" t="n">
        <f aca="false">E681*(1+IF(F$3&lt;=$O$2,$D681,$D681-($D681-$I$670)*MIN(F$3-$O$2,$Q$2)/$Q$2))</f>
        <v>2753.39523792267</v>
      </c>
      <c r="G681" s="15" t="n">
        <f aca="false">F681*(1+IF(G$3&lt;=$O$2,$D681,$D681-($D681-$I$670)*MIN(G$3-$O$2,$Q$2)/$Q$2))</f>
        <v>2760.11739426525</v>
      </c>
      <c r="H681" s="15" t="n">
        <f aca="false">G681*(1+IF(H$3&lt;=$O$2,$D681,$D681-($D681-$I$670)*MIN(H$3-$O$2,$Q$2)/$Q$2))</f>
        <v>2766.85596212235</v>
      </c>
      <c r="I681" s="15" t="n">
        <f aca="false">H681*(1+IF(I$3&lt;=$O$2,$D681,$D681-($D681-$I$670)*MIN(I$3-$O$2,$Q$2)/$Q$2))</f>
        <v>2773.61098156112</v>
      </c>
      <c r="J681" s="15" t="n">
        <f aca="false">I681*(1+IF(J$3&lt;=$O$2,$D681,$D681-($D681-$I$670)*MIN(J$3-$O$2,$Q$2)/$Q$2))</f>
        <v>2797.50043964668</v>
      </c>
      <c r="K681" s="15" t="n">
        <f aca="false">J681*(1+IF(K$3&lt;=$O$2,$D681,$D681-($D681-$I$670)*MIN(K$3-$O$2,$Q$2)/$Q$2))</f>
        <v>2838.86104653741</v>
      </c>
      <c r="L681" s="15" t="n">
        <f aca="false">K681*(1+IF(L$3&lt;=$O$2,$D681,$D681-($D681-$I$670)*MIN(L$3-$O$2,$Q$2)/$Q$2))</f>
        <v>2898.35381548799</v>
      </c>
      <c r="M681" s="15" t="n">
        <f aca="false">L681*(1+IF(M$3&lt;=$O$2,$D681,$D681-($D681-$I$670)*MIN(M$3-$O$2,$Q$2)/$Q$2))</f>
        <v>2976.98117295656</v>
      </c>
      <c r="N681" s="15" t="n">
        <f aca="false">M681*(1+IF(N$3&lt;=$O$2,$D681,$D681-($D681-$I$670)*MIN(N$3-$O$2,$Q$2)/$Q$2))</f>
        <v>3076.11464601601</v>
      </c>
      <c r="O681" s="15" t="n">
        <f aca="false">SUMPRODUCT(E681:N681,1/(1+$F$670)^$E$3:$N$3)*$E$2</f>
        <v>12489.1838338255</v>
      </c>
      <c r="P681" s="15" t="n">
        <f aca="false">N681*$E$2*(1+$I$670)/($F$670-$I$670)/(1+$F$670)^$N$3</f>
        <v>17406.2879361346</v>
      </c>
      <c r="Q681" s="15" t="n">
        <f aca="false">O681+P681</f>
        <v>29895.4717699602</v>
      </c>
      <c r="R681" s="15" t="n">
        <f aca="false">Q681-$G$2+$I$2</f>
        <v>30665.4717699602</v>
      </c>
      <c r="S681" s="42" t="n">
        <f aca="false">R681/$K$2</f>
        <v>293.646191419708</v>
      </c>
      <c r="T681" s="43" t="n">
        <f aca="false">S681-$M$2</f>
        <v>1.39300746873641</v>
      </c>
    </row>
    <row r="682" customFormat="false" ht="15" hidden="false" customHeight="false" outlineLevel="0" collapsed="false">
      <c r="A682" s="5" t="n">
        <v>11</v>
      </c>
      <c r="B682" s="25" t="n">
        <f aca="false">IF(T681&gt;0,B681,D681)</f>
        <v>0.0009765625</v>
      </c>
      <c r="C682" s="25" t="n">
        <f aca="false">IF(T681&gt;0,D681,C681)</f>
        <v>0.00244140625</v>
      </c>
      <c r="D682" s="41" t="n">
        <f aca="false">(B682+C682)/2</f>
        <v>0.001708984375</v>
      </c>
      <c r="E682" s="15" t="n">
        <f aca="false">$C$2*(1+IF(E$3&lt;=$O$2,$D682,$D682-($D682-$I$670)*MIN(E$3-$O$2,$Q$2)/$Q$2))</f>
        <v>2744.6826171875</v>
      </c>
      <c r="F682" s="15" t="n">
        <f aca="false">E682*(1+IF(F$3&lt;=$O$2,$D682,$D682-($D682-$I$670)*MIN(F$3-$O$2,$Q$2)/$Q$2))</f>
        <v>2749.37323689461</v>
      </c>
      <c r="G682" s="15" t="n">
        <f aca="false">F682*(1+IF(G$3&lt;=$O$2,$D682,$D682-($D682-$I$670)*MIN(G$3-$O$2,$Q$2)/$Q$2))</f>
        <v>2754.0718727975</v>
      </c>
      <c r="H682" s="15" t="n">
        <f aca="false">G682*(1+IF(H$3&lt;=$O$2,$D682,$D682-($D682-$I$670)*MIN(H$3-$O$2,$Q$2)/$Q$2))</f>
        <v>2758.77853859574</v>
      </c>
      <c r="I682" s="15" t="n">
        <f aca="false">H682*(1+IF(I$3&lt;=$O$2,$D682,$D682-($D682-$I$670)*MIN(I$3-$O$2,$Q$2)/$Q$2))</f>
        <v>2763.49324801229</v>
      </c>
      <c r="J682" s="15" t="n">
        <f aca="false">I682*(1+IF(J$3&lt;=$O$2,$D682,$D682-($D682-$I$670)*MIN(J$3-$O$2,$Q$2)/$Q$2))</f>
        <v>2785.67632646907</v>
      </c>
      <c r="K682" s="15" t="n">
        <f aca="false">J682*(1+IF(K$3&lt;=$O$2,$D682,$D682-($D682-$I$670)*MIN(K$3-$O$2,$Q$2)/$Q$2))</f>
        <v>2825.63794152708</v>
      </c>
      <c r="L682" s="15" t="n">
        <f aca="false">K682*(1+IF(L$3&lt;=$O$2,$D682,$D682-($D682-$I$670)*MIN(L$3-$O$2,$Q$2)/$Q$2))</f>
        <v>2884.02577603538</v>
      </c>
      <c r="M682" s="15" t="n">
        <f aca="false">L682*(1+IF(M$3&lt;=$O$2,$D682,$D682-($D682-$I$670)*MIN(M$3-$O$2,$Q$2)/$Q$2))</f>
        <v>2961.84197370663</v>
      </c>
      <c r="N682" s="15" t="n">
        <f aca="false">M682*(1+IF(N$3&lt;=$O$2,$D682,$D682-($D682-$I$670)*MIN(N$3-$O$2,$Q$2)/$Q$2))</f>
        <v>3060.47131143106</v>
      </c>
      <c r="O682" s="15" t="n">
        <f aca="false">SUMPRODUCT(E682:N682,1/(1+$F$670)^$E$3:$N$3)*$E$2</f>
        <v>12449.4985779273</v>
      </c>
      <c r="P682" s="15" t="n">
        <f aca="false">N682*$E$2*(1+$I$670)/($F$670-$I$670)/(1+$F$670)^$N$3</f>
        <v>17317.7696533653</v>
      </c>
      <c r="Q682" s="15" t="n">
        <f aca="false">O682+P682</f>
        <v>29767.2682312926</v>
      </c>
      <c r="R682" s="15" t="n">
        <f aca="false">Q682-$G$2+$I$2</f>
        <v>30537.2682312926</v>
      </c>
      <c r="S682" s="42" t="n">
        <f aca="false">R682/$K$2</f>
        <v>292.41854094889</v>
      </c>
      <c r="T682" s="43" t="n">
        <f aca="false">S682-$M$2</f>
        <v>0.165356997918252</v>
      </c>
    </row>
    <row r="683" customFormat="false" ht="15" hidden="false" customHeight="false" outlineLevel="0" collapsed="false">
      <c r="A683" s="5" t="n">
        <v>12</v>
      </c>
      <c r="B683" s="25" t="n">
        <f aca="false">IF(T682&gt;0,B682,D682)</f>
        <v>0.0009765625</v>
      </c>
      <c r="C683" s="25" t="n">
        <f aca="false">IF(T682&gt;0,D682,C682)</f>
        <v>0.001708984375</v>
      </c>
      <c r="D683" s="41" t="n">
        <f aca="false">(B683+C683)/2</f>
        <v>0.0013427734375</v>
      </c>
      <c r="E683" s="15" t="n">
        <f aca="false">$C$2*(1+IF(E$3&lt;=$O$2,$D683,$D683-($D683-$I$670)*MIN(E$3-$O$2,$Q$2)/$Q$2))</f>
        <v>2743.67919921875</v>
      </c>
      <c r="F683" s="15" t="n">
        <f aca="false">E683*(1+IF(F$3&lt;=$O$2,$D683,$D683-($D683-$I$670)*MIN(F$3-$O$2,$Q$2)/$Q$2))</f>
        <v>2747.36333876848</v>
      </c>
      <c r="G683" s="15" t="n">
        <f aca="false">F683*(1+IF(G$3&lt;=$O$2,$D683,$D683-($D683-$I$670)*MIN(G$3-$O$2,$Q$2)/$Q$2))</f>
        <v>2751.05242528294</v>
      </c>
      <c r="H683" s="15" t="n">
        <f aca="false">G683*(1+IF(H$3&lt;=$O$2,$D683,$D683-($D683-$I$670)*MIN(H$3-$O$2,$Q$2)/$Q$2))</f>
        <v>2754.74646540478</v>
      </c>
      <c r="I683" s="15" t="n">
        <f aca="false">H683*(1+IF(I$3&lt;=$O$2,$D683,$D683-($D683-$I$670)*MIN(I$3-$O$2,$Q$2)/$Q$2))</f>
        <v>2758.44546578557</v>
      </c>
      <c r="J683" s="15" t="n">
        <f aca="false">I683*(1+IF(J$3&lt;=$O$2,$D683,$D683-($D683-$I$670)*MIN(J$3-$O$2,$Q$2)/$Q$2))</f>
        <v>2779.77988642791</v>
      </c>
      <c r="K683" s="15" t="n">
        <f aca="false">J683*(1+IF(K$3&lt;=$O$2,$D683,$D683-($D683-$I$670)*MIN(K$3-$O$2,$Q$2)/$Q$2))</f>
        <v>2819.04612327128</v>
      </c>
      <c r="L683" s="15" t="n">
        <f aca="false">K683*(1+IF(L$3&lt;=$O$2,$D683,$D683-($D683-$I$670)*MIN(L$3-$O$2,$Q$2)/$Q$2))</f>
        <v>2876.88480091561</v>
      </c>
      <c r="M683" s="15" t="n">
        <f aca="false">L683*(1+IF(M$3&lt;=$O$2,$D683,$D683-($D683-$I$670)*MIN(M$3-$O$2,$Q$2)/$Q$2))</f>
        <v>2954.29761291068</v>
      </c>
      <c r="N683" s="15" t="n">
        <f aca="false">M683*(1+IF(N$3&lt;=$O$2,$D683,$D683-($D683-$I$670)*MIN(N$3-$O$2,$Q$2)/$Q$2))</f>
        <v>3052.67572342061</v>
      </c>
      <c r="O683" s="15" t="n">
        <f aca="false">SUMPRODUCT(E683:N683,1/(1+$F$670)^$E$3:$N$3)*$E$2</f>
        <v>12429.7043878021</v>
      </c>
      <c r="P683" s="15" t="n">
        <f aca="false">N683*$E$2*(1+$I$670)/($F$670-$I$670)/(1+$F$670)^$N$3</f>
        <v>17273.6580823882</v>
      </c>
      <c r="Q683" s="15" t="n">
        <f aca="false">O683+P683</f>
        <v>29703.3624701903</v>
      </c>
      <c r="R683" s="15" t="n">
        <f aca="false">Q683-$G$2+$I$2</f>
        <v>30473.3624701903</v>
      </c>
      <c r="S683" s="42" t="n">
        <f aca="false">R683/$K$2</f>
        <v>291.806592647613</v>
      </c>
      <c r="T683" s="43" t="n">
        <f aca="false">S683-$M$2</f>
        <v>-0.446591303358787</v>
      </c>
    </row>
    <row r="684" customFormat="false" ht="15" hidden="false" customHeight="false" outlineLevel="0" collapsed="false">
      <c r="A684" s="5" t="n">
        <v>13</v>
      </c>
      <c r="B684" s="25" t="n">
        <f aca="false">IF(T683&gt;0,B683,D683)</f>
        <v>0.0013427734375</v>
      </c>
      <c r="C684" s="25" t="n">
        <f aca="false">IF(T683&gt;0,D683,C683)</f>
        <v>0.001708984375</v>
      </c>
      <c r="D684" s="41" t="n">
        <f aca="false">(B684+C684)/2</f>
        <v>0.00152587890625</v>
      </c>
      <c r="E684" s="15" t="n">
        <f aca="false">$C$2*(1+IF(E$3&lt;=$O$2,$D684,$D684-($D684-$I$670)*MIN(E$3-$O$2,$Q$2)/$Q$2))</f>
        <v>2744.18090820313</v>
      </c>
      <c r="F684" s="15" t="n">
        <f aca="false">E684*(1+IF(F$3&lt;=$O$2,$D684,$D684-($D684-$I$670)*MIN(F$3-$O$2,$Q$2)/$Q$2))</f>
        <v>2748.36819596589</v>
      </c>
      <c r="G684" s="15" t="n">
        <f aca="false">F684*(1+IF(G$3&lt;=$O$2,$D684,$D684-($D684-$I$670)*MIN(G$3-$O$2,$Q$2)/$Q$2))</f>
        <v>2752.56187302272</v>
      </c>
      <c r="H684" s="15" t="n">
        <f aca="false">G684*(1+IF(H$3&lt;=$O$2,$D684,$D684-($D684-$I$670)*MIN(H$3-$O$2,$Q$2)/$Q$2))</f>
        <v>2756.76194912291</v>
      </c>
      <c r="I684" s="15" t="n">
        <f aca="false">H684*(1+IF(I$3&lt;=$O$2,$D684,$D684-($D684-$I$670)*MIN(I$3-$O$2,$Q$2)/$Q$2))</f>
        <v>2760.96843403063</v>
      </c>
      <c r="J684" s="15" t="n">
        <f aca="false">I684*(1+IF(J$3&lt;=$O$2,$D684,$D684-($D684-$I$670)*MIN(J$3-$O$2,$Q$2)/$Q$2))</f>
        <v>2782.72680659672</v>
      </c>
      <c r="K684" s="15" t="n">
        <f aca="false">J684*(1+IF(K$3&lt;=$O$2,$D684,$D684-($D684-$I$670)*MIN(K$3-$O$2,$Q$2)/$Q$2))</f>
        <v>2822.34039014222</v>
      </c>
      <c r="L684" s="15" t="n">
        <f aca="false">K684*(1+IF(L$3&lt;=$O$2,$D684,$D684-($D684-$I$670)*MIN(L$3-$O$2,$Q$2)/$Q$2))</f>
        <v>2880.45337100429</v>
      </c>
      <c r="M684" s="15" t="n">
        <f aca="false">L684*(1+IF(M$3&lt;=$O$2,$D684,$D684-($D684-$I$670)*MIN(M$3-$O$2,$Q$2)/$Q$2))</f>
        <v>2958.06769341569</v>
      </c>
      <c r="N684" s="15" t="n">
        <f aca="false">M684*(1+IF(N$3&lt;=$O$2,$D684,$D684-($D684-$I$670)*MIN(N$3-$O$2,$Q$2)/$Q$2))</f>
        <v>3056.57134760644</v>
      </c>
      <c r="O684" s="15" t="n">
        <f aca="false">SUMPRODUCT(E684:N684,1/(1+$F$670)^$E$3:$N$3)*$E$2</f>
        <v>12439.5974515718</v>
      </c>
      <c r="P684" s="15" t="n">
        <f aca="false">N684*$E$2*(1+$I$670)/($F$670-$I$670)/(1+$F$670)^$N$3</f>
        <v>17295.7015898879</v>
      </c>
      <c r="Q684" s="15" t="n">
        <f aca="false">O684+P684</f>
        <v>29735.2990414597</v>
      </c>
      <c r="R684" s="15" t="n">
        <f aca="false">Q684-$G$2+$I$2</f>
        <v>30505.2990414597</v>
      </c>
      <c r="S684" s="42" t="n">
        <f aca="false">R684/$K$2</f>
        <v>292.112410623956</v>
      </c>
      <c r="T684" s="43" t="n">
        <f aca="false">S684-$M$2</f>
        <v>-0.140773327016063</v>
      </c>
    </row>
    <row r="685" customFormat="false" ht="15" hidden="false" customHeight="false" outlineLevel="0" collapsed="false">
      <c r="A685" s="5" t="n">
        <v>14</v>
      </c>
      <c r="B685" s="25" t="n">
        <f aca="false">IF(T684&gt;0,B684,D684)</f>
        <v>0.00152587890625</v>
      </c>
      <c r="C685" s="25" t="n">
        <f aca="false">IF(T684&gt;0,D684,C684)</f>
        <v>0.001708984375</v>
      </c>
      <c r="D685" s="41" t="n">
        <f aca="false">(B685+C685)/2</f>
        <v>0.001617431640625</v>
      </c>
      <c r="E685" s="15" t="n">
        <f aca="false">$C$2*(1+IF(E$3&lt;=$O$2,$D685,$D685-($D685-$I$670)*MIN(E$3-$O$2,$Q$2)/$Q$2))</f>
        <v>2744.43176269531</v>
      </c>
      <c r="F685" s="15" t="n">
        <f aca="false">E685*(1+IF(F$3&lt;=$O$2,$D685,$D685-($D685-$I$670)*MIN(F$3-$O$2,$Q$2)/$Q$2))</f>
        <v>2748.87069346383</v>
      </c>
      <c r="G685" s="15" t="n">
        <f aca="false">F685*(1+IF(G$3&lt;=$O$2,$D685,$D685-($D685-$I$670)*MIN(G$3-$O$2,$Q$2)/$Q$2))</f>
        <v>2753.31680389943</v>
      </c>
      <c r="H685" s="15" t="n">
        <f aca="false">G685*(1+IF(H$3&lt;=$O$2,$D685,$D685-($D685-$I$670)*MIN(H$3-$O$2,$Q$2)/$Q$2))</f>
        <v>2757.77010561472</v>
      </c>
      <c r="I685" s="15" t="n">
        <f aca="false">H685*(1+IF(I$3&lt;=$O$2,$D685,$D685-($D685-$I$670)*MIN(I$3-$O$2,$Q$2)/$Q$2))</f>
        <v>2762.23061024111</v>
      </c>
      <c r="J685" s="15" t="n">
        <f aca="false">I685*(1+IF(J$3&lt;=$O$2,$D685,$D685-($D685-$I$670)*MIN(J$3-$O$2,$Q$2)/$Q$2))</f>
        <v>2784.20124145548</v>
      </c>
      <c r="K685" s="15" t="n">
        <f aca="false">J685*(1+IF(K$3&lt;=$O$2,$D685,$D685-($D685-$I$670)*MIN(K$3-$O$2,$Q$2)/$Q$2))</f>
        <v>2823.98875510075</v>
      </c>
      <c r="L685" s="15" t="n">
        <f aca="false">K685*(1+IF(L$3&lt;=$O$2,$D685,$D685-($D685-$I$670)*MIN(L$3-$O$2,$Q$2)/$Q$2))</f>
        <v>2882.23909393377</v>
      </c>
      <c r="M685" s="15" t="n">
        <f aca="false">L685*(1+IF(M$3&lt;=$O$2,$D685,$D685-($D685-$I$670)*MIN(M$3-$O$2,$Q$2)/$Q$2))</f>
        <v>2959.95430833744</v>
      </c>
      <c r="N685" s="15" t="n">
        <f aca="false">M685*(1+IF(N$3&lt;=$O$2,$D685,$D685-($D685-$I$670)*MIN(N$3-$O$2,$Q$2)/$Q$2))</f>
        <v>3058.52078680507</v>
      </c>
      <c r="O685" s="15" t="n">
        <f aca="false">SUMPRODUCT(E685:N685,1/(1+$F$670)^$E$3:$N$3)*$E$2</f>
        <v>12444.5470065372</v>
      </c>
      <c r="P685" s="15" t="n">
        <f aca="false">N685*$E$2*(1+$I$670)/($F$670-$I$670)/(1+$F$670)^$N$3</f>
        <v>17306.7325506648</v>
      </c>
      <c r="Q685" s="15" t="n">
        <f aca="false">O685+P685</f>
        <v>29751.279557202</v>
      </c>
      <c r="R685" s="15" t="n">
        <f aca="false">Q685-$G$2+$I$2</f>
        <v>30521.279557202</v>
      </c>
      <c r="S685" s="42" t="n">
        <f aca="false">R685/$K$2</f>
        <v>292.265436725098</v>
      </c>
      <c r="T685" s="43" t="n">
        <f aca="false">S685-$M$2</f>
        <v>0.0122527741263525</v>
      </c>
    </row>
    <row r="686" customFormat="false" ht="15" hidden="false" customHeight="false" outlineLevel="0" collapsed="false">
      <c r="A686" s="5" t="n">
        <v>15</v>
      </c>
      <c r="B686" s="25" t="n">
        <f aca="false">IF(T685&gt;0,B685,D685)</f>
        <v>0.00152587890625</v>
      </c>
      <c r="C686" s="25" t="n">
        <f aca="false">IF(T685&gt;0,D685,C685)</f>
        <v>0.001617431640625</v>
      </c>
      <c r="D686" s="41" t="n">
        <f aca="false">(B686+C686)/2</f>
        <v>0.0015716552734375</v>
      </c>
      <c r="E686" s="15" t="n">
        <f aca="false">$C$2*(1+IF(E$3&lt;=$O$2,$D686,$D686-($D686-$I$670)*MIN(E$3-$O$2,$Q$2)/$Q$2))</f>
        <v>2744.30633544922</v>
      </c>
      <c r="F686" s="15" t="n">
        <f aca="false">E686*(1+IF(F$3&lt;=$O$2,$D686,$D686-($D686-$I$670)*MIN(F$3-$O$2,$Q$2)/$Q$2))</f>
        <v>2748.61943897326</v>
      </c>
      <c r="G686" s="15" t="n">
        <f aca="false">F686*(1+IF(G$3&lt;=$O$2,$D686,$D686-($D686-$I$670)*MIN(G$3-$O$2,$Q$2)/$Q$2))</f>
        <v>2752.93932120919</v>
      </c>
      <c r="H686" s="15" t="n">
        <f aca="false">G686*(1+IF(H$3&lt;=$O$2,$D686,$D686-($D686-$I$670)*MIN(H$3-$O$2,$Q$2)/$Q$2))</f>
        <v>2757.26599281082</v>
      </c>
      <c r="I686" s="15" t="n">
        <f aca="false">H686*(1+IF(I$3&lt;=$O$2,$D686,$D686-($D686-$I$670)*MIN(I$3-$O$2,$Q$2)/$Q$2))</f>
        <v>2761.59946444869</v>
      </c>
      <c r="J686" s="15" t="n">
        <f aca="false">I686*(1+IF(J$3&lt;=$O$2,$D686,$D686-($D686-$I$670)*MIN(J$3-$O$2,$Q$2)/$Q$2))</f>
        <v>2783.46394277106</v>
      </c>
      <c r="K686" s="15" t="n">
        <f aca="false">J686*(1+IF(K$3&lt;=$O$2,$D686,$D686-($D686-$I$670)*MIN(K$3-$O$2,$Q$2)/$Q$2))</f>
        <v>2823.16446995922</v>
      </c>
      <c r="L686" s="15" t="n">
        <f aca="false">K686*(1+IF(L$3&lt;=$O$2,$D686,$D686-($D686-$I$670)*MIN(L$3-$O$2,$Q$2)/$Q$2))</f>
        <v>2881.3461125998</v>
      </c>
      <c r="M686" s="15" t="n">
        <f aca="false">L686*(1+IF(M$3&lt;=$O$2,$D686,$D686-($D686-$I$670)*MIN(M$3-$O$2,$Q$2)/$Q$2))</f>
        <v>2959.01086960195</v>
      </c>
      <c r="N686" s="15" t="n">
        <f aca="false">M686*(1+IF(N$3&lt;=$O$2,$D686,$D686-($D686-$I$670)*MIN(N$3-$O$2,$Q$2)/$Q$2))</f>
        <v>3057.5459315597</v>
      </c>
      <c r="O686" s="15" t="n">
        <f aca="false">SUMPRODUCT(E686:N686,1/(1+$F$670)^$E$3:$N$3)*$E$2</f>
        <v>12442.0719770501</v>
      </c>
      <c r="P686" s="15" t="n">
        <f aca="false">N686*$E$2*(1+$I$670)/($F$670-$I$670)/(1+$F$670)^$N$3</f>
        <v>17301.2163027191</v>
      </c>
      <c r="Q686" s="15" t="n">
        <f aca="false">O686+P686</f>
        <v>29743.2882797691</v>
      </c>
      <c r="R686" s="15" t="n">
        <f aca="false">Q686-$G$2+$I$2</f>
        <v>30513.2882797691</v>
      </c>
      <c r="S686" s="42" t="n">
        <f aca="false">R686/$K$2</f>
        <v>292.188913911415</v>
      </c>
      <c r="T686" s="43" t="n">
        <f aca="false">S686-$M$2</f>
        <v>-0.064270039556618</v>
      </c>
    </row>
    <row r="687" customFormat="false" ht="15" hidden="false" customHeight="false" outlineLevel="0" collapsed="false">
      <c r="A687" s="5" t="n">
        <v>16</v>
      </c>
      <c r="B687" s="25" t="n">
        <f aca="false">IF(T686&gt;0,B686,D686)</f>
        <v>0.0015716552734375</v>
      </c>
      <c r="C687" s="25" t="n">
        <f aca="false">IF(T686&gt;0,D686,C686)</f>
        <v>0.001617431640625</v>
      </c>
      <c r="D687" s="41" t="n">
        <f aca="false">(B687+C687)/2</f>
        <v>0.00159454345703125</v>
      </c>
      <c r="E687" s="15" t="n">
        <f aca="false">$C$2*(1+IF(E$3&lt;=$O$2,$D687,$D687-($D687-$I$670)*MIN(E$3-$O$2,$Q$2)/$Q$2))</f>
        <v>2744.36904907227</v>
      </c>
      <c r="F687" s="15" t="n">
        <f aca="false">E687*(1+IF(F$3&lt;=$O$2,$D687,$D687-($D687-$I$670)*MIN(F$3-$O$2,$Q$2)/$Q$2))</f>
        <v>2748.74506478314</v>
      </c>
      <c r="G687" s="15" t="n">
        <f aca="false">F687*(1+IF(G$3&lt;=$O$2,$D687,$D687-($D687-$I$670)*MIN(G$3-$O$2,$Q$2)/$Q$2))</f>
        <v>2753.12805824124</v>
      </c>
      <c r="H687" s="15" t="n">
        <f aca="false">G687*(1+IF(H$3&lt;=$O$2,$D687,$D687-($D687-$I$670)*MIN(H$3-$O$2,$Q$2)/$Q$2))</f>
        <v>2757.51804057288</v>
      </c>
      <c r="I687" s="15" t="n">
        <f aca="false">H687*(1+IF(I$3&lt;=$O$2,$D687,$D687-($D687-$I$670)*MIN(I$3-$O$2,$Q$2)/$Q$2))</f>
        <v>2761.91502292212</v>
      </c>
      <c r="J687" s="15" t="n">
        <f aca="false">I687*(1+IF(J$3&lt;=$O$2,$D687,$D687-($D687-$I$670)*MIN(J$3-$O$2,$Q$2)/$Q$2))</f>
        <v>2783.83257179772</v>
      </c>
      <c r="K687" s="15" t="n">
        <f aca="false">J687*(1+IF(K$3&lt;=$O$2,$D687,$D687-($D687-$I$670)*MIN(K$3-$O$2,$Q$2)/$Q$2))</f>
        <v>2823.57658686177</v>
      </c>
      <c r="L687" s="15" t="n">
        <f aca="false">K687*(1+IF(L$3&lt;=$O$2,$D687,$D687-($D687-$I$670)*MIN(L$3-$O$2,$Q$2)/$Q$2))</f>
        <v>2881.79257329607</v>
      </c>
      <c r="M687" s="15" t="n">
        <f aca="false">L687*(1+IF(M$3&lt;=$O$2,$D687,$D687-($D687-$I$670)*MIN(M$3-$O$2,$Q$2)/$Q$2))</f>
        <v>2959.48255614713</v>
      </c>
      <c r="N687" s="15" t="n">
        <f aca="false">M687*(1+IF(N$3&lt;=$O$2,$D687,$D687-($D687-$I$670)*MIN(N$3-$O$2,$Q$2)/$Q$2))</f>
        <v>3058.03332526683</v>
      </c>
      <c r="O687" s="15" t="n">
        <f aca="false">SUMPRODUCT(E687:N687,1/(1+$F$670)^$E$3:$N$3)*$E$2</f>
        <v>12443.3094287864</v>
      </c>
      <c r="P687" s="15" t="n">
        <f aca="false">N687*$E$2*(1+$I$670)/($F$670-$I$670)/(1+$F$670)^$N$3</f>
        <v>17303.9742347797</v>
      </c>
      <c r="Q687" s="15" t="n">
        <f aca="false">O687+P687</f>
        <v>29747.2836635662</v>
      </c>
      <c r="R687" s="15" t="n">
        <f aca="false">Q687-$G$2+$I$2</f>
        <v>30517.2836635662</v>
      </c>
      <c r="S687" s="42" t="n">
        <f aca="false">R687/$K$2</f>
        <v>292.227172877202</v>
      </c>
      <c r="T687" s="43" t="n">
        <f aca="false">S687-$M$2</f>
        <v>-0.026011073770519</v>
      </c>
    </row>
    <row r="688" customFormat="false" ht="15" hidden="false" customHeight="false" outlineLevel="0" collapsed="false">
      <c r="A688" s="5" t="n">
        <v>17</v>
      </c>
      <c r="B688" s="25" t="n">
        <f aca="false">IF(T687&gt;0,B687,D687)</f>
        <v>0.00159454345703125</v>
      </c>
      <c r="C688" s="25" t="n">
        <f aca="false">IF(T687&gt;0,D687,C687)</f>
        <v>0.001617431640625</v>
      </c>
      <c r="D688" s="41" t="n">
        <f aca="false">(B688+C688)/2</f>
        <v>0.00160598754882813</v>
      </c>
      <c r="E688" s="15" t="n">
        <f aca="false">$C$2*(1+IF(E$3&lt;=$O$2,$D688,$D688-($D688-$I$670)*MIN(E$3-$O$2,$Q$2)/$Q$2))</f>
        <v>2744.40040588379</v>
      </c>
      <c r="F688" s="15" t="n">
        <f aca="false">E688*(1+IF(F$3&lt;=$O$2,$D688,$D688-($D688-$I$670)*MIN(F$3-$O$2,$Q$2)/$Q$2))</f>
        <v>2748.80787876464</v>
      </c>
      <c r="G688" s="15" t="n">
        <f aca="false">F688*(1+IF(G$3&lt;=$O$2,$D688,$D688-($D688-$I$670)*MIN(G$3-$O$2,$Q$2)/$Q$2))</f>
        <v>2753.22242999205</v>
      </c>
      <c r="H688" s="15" t="n">
        <f aca="false">G688*(1+IF(H$3&lt;=$O$2,$D688,$D688-($D688-$I$670)*MIN(H$3-$O$2,$Q$2)/$Q$2))</f>
        <v>2757.64407093378</v>
      </c>
      <c r="I688" s="15" t="n">
        <f aca="false">H688*(1+IF(I$3&lt;=$O$2,$D688,$D688-($D688-$I$670)*MIN(I$3-$O$2,$Q$2)/$Q$2))</f>
        <v>2762.0728129758</v>
      </c>
      <c r="J688" s="15" t="n">
        <f aca="false">I688*(1+IF(J$3&lt;=$O$2,$D688,$D688-($D688-$I$670)*MIN(J$3-$O$2,$Q$2)/$Q$2))</f>
        <v>2784.01690154749</v>
      </c>
      <c r="K688" s="15" t="n">
        <f aca="false">J688*(1+IF(K$3&lt;=$O$2,$D688,$D688-($D688-$I$670)*MIN(K$3-$O$2,$Q$2)/$Q$2))</f>
        <v>2823.78266456387</v>
      </c>
      <c r="L688" s="15" t="n">
        <f aca="false">K688*(1+IF(L$3&lt;=$O$2,$D688,$D688-($D688-$I$670)*MIN(L$3-$O$2,$Q$2)/$Q$2))</f>
        <v>2882.01582612181</v>
      </c>
      <c r="M688" s="15" t="n">
        <f aca="false">L688*(1+IF(M$3&lt;=$O$2,$D688,$D688-($D688-$I$670)*MIN(M$3-$O$2,$Q$2)/$Q$2))</f>
        <v>2959.71842403615</v>
      </c>
      <c r="N688" s="15" t="n">
        <f aca="false">M688*(1+IF(N$3&lt;=$O$2,$D688,$D688-($D688-$I$670)*MIN(N$3-$O$2,$Q$2)/$Q$2))</f>
        <v>3058.27704755656</v>
      </c>
      <c r="O688" s="15" t="n">
        <f aca="false">SUMPRODUCT(E688:N688,1/(1+$F$670)^$E$3:$N$3)*$E$2</f>
        <v>12443.9282019093</v>
      </c>
      <c r="P688" s="15" t="n">
        <f aca="false">N688*$E$2*(1+$I$670)/($F$670-$I$670)/(1+$F$670)^$N$3</f>
        <v>17305.3533447414</v>
      </c>
      <c r="Q688" s="15" t="n">
        <f aca="false">O688+P688</f>
        <v>29749.2815466506</v>
      </c>
      <c r="R688" s="15" t="n">
        <f aca="false">Q688-$G$2+$I$2</f>
        <v>30519.2815466506</v>
      </c>
      <c r="S688" s="42" t="n">
        <f aca="false">R688/$K$2</f>
        <v>292.246304190852</v>
      </c>
      <c r="T688" s="43" t="n">
        <f aca="false">S688-$M$2</f>
        <v>-0.00687976012051195</v>
      </c>
    </row>
    <row r="689" customFormat="false" ht="15" hidden="false" customHeight="false" outlineLevel="0" collapsed="false">
      <c r="A689" s="5" t="n">
        <v>18</v>
      </c>
      <c r="B689" s="25" t="n">
        <f aca="false">IF(T688&gt;0,B688,D688)</f>
        <v>0.00160598754882813</v>
      </c>
      <c r="C689" s="25" t="n">
        <f aca="false">IF(T688&gt;0,D688,C688)</f>
        <v>0.001617431640625</v>
      </c>
      <c r="D689" s="41" t="n">
        <f aca="false">(B689+C689)/2</f>
        <v>0.00161170959472656</v>
      </c>
      <c r="E689" s="15" t="n">
        <f aca="false">$C$2*(1+IF(E$3&lt;=$O$2,$D689,$D689-($D689-$I$670)*MIN(E$3-$O$2,$Q$2)/$Q$2))</f>
        <v>2744.41608428955</v>
      </c>
      <c r="F689" s="15" t="n">
        <f aca="false">E689*(1+IF(F$3&lt;=$O$2,$D689,$D689-($D689-$I$670)*MIN(F$3-$O$2,$Q$2)/$Q$2))</f>
        <v>2748.83928602452</v>
      </c>
      <c r="G689" s="15" t="n">
        <f aca="false">F689*(1+IF(G$3&lt;=$O$2,$D689,$D689-($D689-$I$670)*MIN(G$3-$O$2,$Q$2)/$Q$2))</f>
        <v>2753.26961667617</v>
      </c>
      <c r="H689" s="15" t="n">
        <f aca="false">G689*(1+IF(H$3&lt;=$O$2,$D689,$D689-($D689-$I$670)*MIN(H$3-$O$2,$Q$2)/$Q$2))</f>
        <v>2757.70708773424</v>
      </c>
      <c r="I689" s="15" t="n">
        <f aca="false">H689*(1+IF(I$3&lt;=$O$2,$D689,$D689-($D689-$I$670)*MIN(I$3-$O$2,$Q$2)/$Q$2))</f>
        <v>2762.15171070698</v>
      </c>
      <c r="J689" s="15" t="n">
        <f aca="false">I689*(1+IF(J$3&lt;=$O$2,$D689,$D689-($D689-$I$670)*MIN(J$3-$O$2,$Q$2)/$Q$2))</f>
        <v>2784.10907023168</v>
      </c>
      <c r="K689" s="15" t="n">
        <f aca="false">J689*(1+IF(K$3&lt;=$O$2,$D689,$D689-($D689-$I$670)*MIN(K$3-$O$2,$Q$2)/$Q$2))</f>
        <v>2823.88570822792</v>
      </c>
      <c r="L689" s="15" t="n">
        <f aca="false">K689*(1+IF(L$3&lt;=$O$2,$D689,$D689-($D689-$I$670)*MIN(L$3-$O$2,$Q$2)/$Q$2))</f>
        <v>2882.12745815446</v>
      </c>
      <c r="M689" s="15" t="n">
        <f aca="false">L689*(1+IF(M$3&lt;=$O$2,$D689,$D689-($D689-$I$670)*MIN(M$3-$O$2,$Q$2)/$Q$2))</f>
        <v>2959.8363641352</v>
      </c>
      <c r="N689" s="15" t="n">
        <f aca="false">M689*(1+IF(N$3&lt;=$O$2,$D689,$D689-($D689-$I$670)*MIN(N$3-$O$2,$Q$2)/$Q$2))</f>
        <v>3058.3989150609</v>
      </c>
      <c r="O689" s="15" t="n">
        <f aca="false">SUMPRODUCT(E689:N689,1/(1+$F$670)^$E$3:$N$3)*$E$2</f>
        <v>12444.237600285</v>
      </c>
      <c r="P689" s="15" t="n">
        <f aca="false">N689*$E$2*(1+$I$670)/($F$670-$I$670)/(1+$F$670)^$N$3</f>
        <v>17306.0429357075</v>
      </c>
      <c r="Q689" s="15" t="n">
        <f aca="false">O689+P689</f>
        <v>29750.2805359925</v>
      </c>
      <c r="R689" s="15" t="n">
        <f aca="false">Q689-$G$2+$I$2</f>
        <v>30520.2805359925</v>
      </c>
      <c r="S689" s="42" t="n">
        <f aca="false">R689/$K$2</f>
        <v>292.255870305396</v>
      </c>
      <c r="T689" s="43" t="n">
        <f aca="false">S689-$M$2</f>
        <v>0.00268635442404275</v>
      </c>
    </row>
    <row r="690" customFormat="false" ht="15" hidden="false" customHeight="false" outlineLevel="0" collapsed="false">
      <c r="A690" s="5" t="n">
        <v>19</v>
      </c>
      <c r="B690" s="25" t="n">
        <f aca="false">IF(T689&gt;0,B689,D689)</f>
        <v>0.00160598754882813</v>
      </c>
      <c r="C690" s="25" t="n">
        <f aca="false">IF(T689&gt;0,D689,C689)</f>
        <v>0.00161170959472656</v>
      </c>
      <c r="D690" s="41" t="n">
        <f aca="false">(B690+C690)/2</f>
        <v>0.00160884857177734</v>
      </c>
      <c r="E690" s="15" t="n">
        <f aca="false">$C$2*(1+IF(E$3&lt;=$O$2,$D690,$D690-($D690-$I$670)*MIN(E$3-$O$2,$Q$2)/$Q$2))</f>
        <v>2744.40824508667</v>
      </c>
      <c r="F690" s="15" t="n">
        <f aca="false">E690*(1+IF(F$3&lt;=$O$2,$D690,$D690-($D690-$I$670)*MIN(F$3-$O$2,$Q$2)/$Q$2))</f>
        <v>2748.82358237215</v>
      </c>
      <c r="G690" s="15" t="n">
        <f aca="false">F690*(1+IF(G$3&lt;=$O$2,$D690,$D690-($D690-$I$670)*MIN(G$3-$O$2,$Q$2)/$Q$2))</f>
        <v>2753.24602326672</v>
      </c>
      <c r="H690" s="15" t="n">
        <f aca="false">G690*(1+IF(H$3&lt;=$O$2,$D690,$D690-($D690-$I$670)*MIN(H$3-$O$2,$Q$2)/$Q$2))</f>
        <v>2757.675579199</v>
      </c>
      <c r="I690" s="15" t="n">
        <f aca="false">H690*(1+IF(I$3&lt;=$O$2,$D690,$D690-($D690-$I$670)*MIN(I$3-$O$2,$Q$2)/$Q$2))</f>
        <v>2762.11226161602</v>
      </c>
      <c r="J690" s="15" t="n">
        <f aca="false">I690*(1+IF(J$3&lt;=$O$2,$D690,$D690-($D690-$I$670)*MIN(J$3-$O$2,$Q$2)/$Q$2))</f>
        <v>2784.06298557214</v>
      </c>
      <c r="K690" s="15" t="n">
        <f aca="false">J690*(1+IF(K$3&lt;=$O$2,$D690,$D690-($D690-$I$670)*MIN(K$3-$O$2,$Q$2)/$Q$2))</f>
        <v>2823.8341859948</v>
      </c>
      <c r="L690" s="15" t="n">
        <f aca="false">K690*(1+IF(L$3&lt;=$O$2,$D690,$D690-($D690-$I$670)*MIN(L$3-$O$2,$Q$2)/$Q$2))</f>
        <v>2882.07164166981</v>
      </c>
      <c r="M690" s="15" t="n">
        <f aca="false">L690*(1+IF(M$3&lt;=$O$2,$D690,$D690-($D690-$I$670)*MIN(M$3-$O$2,$Q$2)/$Q$2))</f>
        <v>2959.77739357279</v>
      </c>
      <c r="N690" s="15" t="n">
        <f aca="false">M690*(1+IF(N$3&lt;=$O$2,$D690,$D690-($D690-$I$670)*MIN(N$3-$O$2,$Q$2)/$Q$2))</f>
        <v>3058.33798077876</v>
      </c>
      <c r="O690" s="15" t="n">
        <f aca="false">SUMPRODUCT(E690:N690,1/(1+$F$670)^$E$3:$N$3)*$E$2</f>
        <v>12444.0829001126</v>
      </c>
      <c r="P690" s="15" t="n">
        <f aca="false">N690*$E$2*(1+$I$670)/($F$670-$I$670)/(1+$F$670)^$N$3</f>
        <v>17305.6981372256</v>
      </c>
      <c r="Q690" s="15" t="n">
        <f aca="false">O690+P690</f>
        <v>29749.7810373382</v>
      </c>
      <c r="R690" s="15" t="n">
        <f aca="false">Q690-$G$2+$I$2</f>
        <v>30519.7810373382</v>
      </c>
      <c r="S690" s="42" t="n">
        <f aca="false">R690/$K$2</f>
        <v>292.251087209979</v>
      </c>
      <c r="T690" s="43" t="n">
        <f aca="false">S690-$M$2</f>
        <v>-0.00209674099255608</v>
      </c>
    </row>
    <row r="691" customFormat="false" ht="15" hidden="false" customHeight="false" outlineLevel="0" collapsed="false">
      <c r="A691" s="5" t="n">
        <v>20</v>
      </c>
      <c r="B691" s="25" t="n">
        <f aca="false">IF(T690&gt;0,B690,D690)</f>
        <v>0.00160884857177734</v>
      </c>
      <c r="C691" s="25" t="n">
        <f aca="false">IF(T690&gt;0,D690,C690)</f>
        <v>0.00161170959472656</v>
      </c>
      <c r="D691" s="41" t="n">
        <f aca="false">(B691+C691)/2</f>
        <v>0.00161027908325195</v>
      </c>
      <c r="E691" s="15" t="n">
        <f aca="false">$C$2*(1+IF(E$3&lt;=$O$2,$D691,$D691-($D691-$I$670)*MIN(E$3-$O$2,$Q$2)/$Q$2))</f>
        <v>2744.41216468811</v>
      </c>
      <c r="F691" s="15" t="n">
        <f aca="false">E691*(1+IF(F$3&lt;=$O$2,$D691,$D691-($D691-$I$670)*MIN(F$3-$O$2,$Q$2)/$Q$2))</f>
        <v>2748.83143419273</v>
      </c>
      <c r="G691" s="15" t="n">
        <f aca="false">F691*(1+IF(G$3&lt;=$O$2,$D691,$D691-($D691-$I$670)*MIN(G$3-$O$2,$Q$2)/$Q$2))</f>
        <v>2753.2578199546</v>
      </c>
      <c r="H691" s="15" t="n">
        <f aca="false">G691*(1+IF(H$3&lt;=$O$2,$D691,$D691-($D691-$I$670)*MIN(H$3-$O$2,$Q$2)/$Q$2))</f>
        <v>2757.69133343287</v>
      </c>
      <c r="I691" s="15" t="n">
        <f aca="false">H691*(1+IF(I$3&lt;=$O$2,$D691,$D691-($D691-$I$670)*MIN(I$3-$O$2,$Q$2)/$Q$2))</f>
        <v>2762.13198610516</v>
      </c>
      <c r="J691" s="15" t="n">
        <f aca="false">I691*(1+IF(J$3&lt;=$O$2,$D691,$D691-($D691-$I$670)*MIN(J$3-$O$2,$Q$2)/$Q$2))</f>
        <v>2784.08602782255</v>
      </c>
      <c r="K691" s="15" t="n">
        <f aca="false">J691*(1+IF(K$3&lt;=$O$2,$D691,$D691-($D691-$I$670)*MIN(K$3-$O$2,$Q$2)/$Q$2))</f>
        <v>2823.85994701109</v>
      </c>
      <c r="L691" s="15" t="n">
        <f aca="false">K691*(1+IF(L$3&lt;=$O$2,$D691,$D691-($D691-$I$670)*MIN(L$3-$O$2,$Q$2)/$Q$2))</f>
        <v>2882.09954979505</v>
      </c>
      <c r="M691" s="15" t="n">
        <f aca="false">L691*(1+IF(M$3&lt;=$O$2,$D691,$D691-($D691-$I$670)*MIN(M$3-$O$2,$Q$2)/$Q$2))</f>
        <v>2959.80687872577</v>
      </c>
      <c r="N691" s="15" t="n">
        <f aca="false">M691*(1+IF(N$3&lt;=$O$2,$D691,$D691-($D691-$I$670)*MIN(N$3-$O$2,$Q$2)/$Q$2))</f>
        <v>3058.36844778734</v>
      </c>
      <c r="O691" s="15" t="n">
        <f aca="false">SUMPRODUCT(E691:N691,1/(1+$F$670)^$E$3:$N$3)*$E$2</f>
        <v>12444.1602499526</v>
      </c>
      <c r="P691" s="15" t="n">
        <f aca="false">N691*$E$2*(1+$I$670)/($F$670-$I$670)/(1+$F$670)^$N$3</f>
        <v>17305.8705357168</v>
      </c>
      <c r="Q691" s="15" t="n">
        <f aca="false">O691+P691</f>
        <v>29750.0307856695</v>
      </c>
      <c r="R691" s="15" t="n">
        <f aca="false">Q691-$G$2+$I$2</f>
        <v>30520.0307856695</v>
      </c>
      <c r="S691" s="42" t="n">
        <f aca="false">R691/$K$2</f>
        <v>292.253478748152</v>
      </c>
      <c r="T691" s="43" t="n">
        <f aca="false">S691-$M$2</f>
        <v>0.000294797179606121</v>
      </c>
    </row>
    <row r="692" customFormat="false" ht="15" hidden="false" customHeight="false" outlineLevel="0" collapsed="false">
      <c r="A692" s="5" t="n">
        <v>21</v>
      </c>
      <c r="B692" s="25" t="n">
        <f aca="false">IF(T691&gt;0,B691,D691)</f>
        <v>0.00160884857177734</v>
      </c>
      <c r="C692" s="25" t="n">
        <f aca="false">IF(T691&gt;0,D691,C691)</f>
        <v>0.00161027908325195</v>
      </c>
      <c r="D692" s="41" t="n">
        <f aca="false">(B692+C692)/2</f>
        <v>0.00160956382751465</v>
      </c>
      <c r="E692" s="15" t="n">
        <f aca="false">$C$2*(1+IF(E$3&lt;=$O$2,$D692,$D692-($D692-$I$670)*MIN(E$3-$O$2,$Q$2)/$Q$2))</f>
        <v>2744.41020488739</v>
      </c>
      <c r="F692" s="15" t="n">
        <f aca="false">E692*(1+IF(F$3&lt;=$O$2,$D692,$D692-($D692-$I$670)*MIN(F$3-$O$2,$Q$2)/$Q$2))</f>
        <v>2748.82750828104</v>
      </c>
      <c r="G692" s="15" t="n">
        <f aca="false">F692*(1+IF(G$3&lt;=$O$2,$D692,$D692-($D692-$I$670)*MIN(G$3-$O$2,$Q$2)/$Q$2))</f>
        <v>2753.25192160645</v>
      </c>
      <c r="H692" s="15" t="n">
        <f aca="false">G692*(1+IF(H$3&lt;=$O$2,$D692,$D692-($D692-$I$670)*MIN(H$3-$O$2,$Q$2)/$Q$2))</f>
        <v>2757.6834563075</v>
      </c>
      <c r="I692" s="15" t="n">
        <f aca="false">H692*(1+IF(I$3&lt;=$O$2,$D692,$D692-($D692-$I$670)*MIN(I$3-$O$2,$Q$2)/$Q$2))</f>
        <v>2762.12212384651</v>
      </c>
      <c r="J692" s="15" t="n">
        <f aca="false">I692*(1+IF(J$3&lt;=$O$2,$D692,$D692-($D692-$I$670)*MIN(J$3-$O$2,$Q$2)/$Q$2))</f>
        <v>2784.0745066775</v>
      </c>
      <c r="K692" s="15" t="n">
        <f aca="false">J692*(1+IF(K$3&lt;=$O$2,$D692,$D692-($D692-$I$670)*MIN(K$3-$O$2,$Q$2)/$Q$2))</f>
        <v>2823.84706647788</v>
      </c>
      <c r="L692" s="15" t="n">
        <f aca="false">K692*(1+IF(L$3&lt;=$O$2,$D692,$D692-($D692-$I$670)*MIN(L$3-$O$2,$Q$2)/$Q$2))</f>
        <v>2882.08559570316</v>
      </c>
      <c r="M692" s="15" t="n">
        <f aca="false">L692*(1+IF(M$3&lt;=$O$2,$D692,$D692-($D692-$I$670)*MIN(M$3-$O$2,$Q$2)/$Q$2))</f>
        <v>2959.79213611722</v>
      </c>
      <c r="N692" s="15" t="n">
        <f aca="false">M692*(1+IF(N$3&lt;=$O$2,$D692,$D692-($D692-$I$670)*MIN(N$3-$O$2,$Q$2)/$Q$2))</f>
        <v>3058.35321424993</v>
      </c>
      <c r="O692" s="15" t="n">
        <f aca="false">SUMPRODUCT(E692:N692,1/(1+$F$670)^$E$3:$N$3)*$E$2</f>
        <v>12444.1215749711</v>
      </c>
      <c r="P692" s="15" t="n">
        <f aca="false">N692*$E$2*(1+$I$670)/($F$670-$I$670)/(1+$F$670)^$N$3</f>
        <v>17305.7843362838</v>
      </c>
      <c r="Q692" s="15" t="n">
        <f aca="false">O692+P692</f>
        <v>29749.9059112549</v>
      </c>
      <c r="R692" s="15" t="n">
        <f aca="false">Q692-$G$2+$I$2</f>
        <v>30519.9059112549</v>
      </c>
      <c r="S692" s="42" t="n">
        <f aca="false">R692/$K$2</f>
        <v>292.252282976682</v>
      </c>
      <c r="T692" s="43" t="n">
        <f aca="false">S692-$M$2</f>
        <v>-0.000900974290516388</v>
      </c>
    </row>
    <row r="693" customFormat="false" ht="15" hidden="false" customHeight="false" outlineLevel="0" collapsed="false">
      <c r="A693" s="5" t="n">
        <v>22</v>
      </c>
      <c r="B693" s="25" t="n">
        <f aca="false">IF(T692&gt;0,B692,D692)</f>
        <v>0.00160956382751465</v>
      </c>
      <c r="C693" s="25" t="n">
        <f aca="false">IF(T692&gt;0,D692,C692)</f>
        <v>0.00161027908325195</v>
      </c>
      <c r="D693" s="41" t="n">
        <f aca="false">(B693+C693)/2</f>
        <v>0.0016099214553833</v>
      </c>
      <c r="E693" s="15" t="n">
        <f aca="false">$C$2*(1+IF(E$3&lt;=$O$2,$D693,$D693-($D693-$I$670)*MIN(E$3-$O$2,$Q$2)/$Q$2))</f>
        <v>2744.41118478775</v>
      </c>
      <c r="F693" s="15" t="n">
        <f aca="false">E693*(1+IF(F$3&lt;=$O$2,$D693,$D693-($D693-$I$670)*MIN(F$3-$O$2,$Q$2)/$Q$2))</f>
        <v>2748.82947123653</v>
      </c>
      <c r="G693" s="15" t="n">
        <f aca="false">F693*(1+IF(G$3&lt;=$O$2,$D693,$D693-($D693-$I$670)*MIN(G$3-$O$2,$Q$2)/$Q$2))</f>
        <v>2753.25487077947</v>
      </c>
      <c r="H693" s="15" t="n">
        <f aca="false">G693*(1+IF(H$3&lt;=$O$2,$D693,$D693-($D693-$I$670)*MIN(H$3-$O$2,$Q$2)/$Q$2))</f>
        <v>2757.68739486807</v>
      </c>
      <c r="I693" s="15" t="n">
        <f aca="false">H693*(1+IF(I$3&lt;=$O$2,$D693,$D693-($D693-$I$670)*MIN(I$3-$O$2,$Q$2)/$Q$2))</f>
        <v>2762.12705497231</v>
      </c>
      <c r="J693" s="15" t="n">
        <f aca="false">I693*(1+IF(J$3&lt;=$O$2,$D693,$D693-($D693-$I$670)*MIN(J$3-$O$2,$Q$2)/$Q$2))</f>
        <v>2784.08026724506</v>
      </c>
      <c r="K693" s="15" t="n">
        <f aca="false">J693*(1+IF(K$3&lt;=$O$2,$D693,$D693-($D693-$I$670)*MIN(K$3-$O$2,$Q$2)/$Q$2))</f>
        <v>2823.85350673822</v>
      </c>
      <c r="L693" s="15" t="n">
        <f aca="false">K693*(1+IF(L$3&lt;=$O$2,$D693,$D693-($D693-$I$670)*MIN(L$3-$O$2,$Q$2)/$Q$2))</f>
        <v>2882.09257274179</v>
      </c>
      <c r="M693" s="15" t="n">
        <f aca="false">L693*(1+IF(M$3&lt;=$O$2,$D693,$D693-($D693-$I$670)*MIN(M$3-$O$2,$Q$2)/$Q$2))</f>
        <v>2959.79950741348</v>
      </c>
      <c r="N693" s="15" t="n">
        <f aca="false">M693*(1+IF(N$3&lt;=$O$2,$D693,$D693-($D693-$I$670)*MIN(N$3-$O$2,$Q$2)/$Q$2))</f>
        <v>3058.36083101035</v>
      </c>
      <c r="O693" s="15" t="n">
        <f aca="false">SUMPRODUCT(E693:N693,1/(1+$F$670)^$E$3:$N$3)*$E$2</f>
        <v>12444.1409124465</v>
      </c>
      <c r="P693" s="15" t="n">
        <f aca="false">N693*$E$2*(1+$I$670)/($F$670-$I$670)/(1+$F$670)^$N$3</f>
        <v>17305.8274359535</v>
      </c>
      <c r="Q693" s="15" t="n">
        <f aca="false">O693+P693</f>
        <v>29749.9683483999</v>
      </c>
      <c r="R693" s="15" t="n">
        <f aca="false">Q693-$G$2+$I$2</f>
        <v>30519.9683483999</v>
      </c>
      <c r="S693" s="42" t="n">
        <f aca="false">R693/$K$2</f>
        <v>292.252880861821</v>
      </c>
      <c r="T693" s="43" t="n">
        <f aca="false">S693-$M$2</f>
        <v>-0.000303089151373115</v>
      </c>
    </row>
    <row r="694" customFormat="false" ht="15" hidden="false" customHeight="false" outlineLevel="0" collapsed="false">
      <c r="A694" s="5" t="n">
        <v>23</v>
      </c>
      <c r="B694" s="25" t="n">
        <f aca="false">IF(T693&gt;0,B693,D693)</f>
        <v>0.0016099214553833</v>
      </c>
      <c r="C694" s="25" t="n">
        <f aca="false">IF(T693&gt;0,D693,C693)</f>
        <v>0.00161027908325195</v>
      </c>
      <c r="D694" s="41" t="n">
        <f aca="false">(B694+C694)/2</f>
        <v>0.00161010026931763</v>
      </c>
      <c r="E694" s="15" t="n">
        <f aca="false">$C$2*(1+IF(E$3&lt;=$O$2,$D694,$D694-($D694-$I$670)*MIN(E$3-$O$2,$Q$2)/$Q$2))</f>
        <v>2744.41167473793</v>
      </c>
      <c r="F694" s="15" t="n">
        <f aca="false">E694*(1+IF(F$3&lt;=$O$2,$D694,$D694-($D694-$I$670)*MIN(F$3-$O$2,$Q$2)/$Q$2))</f>
        <v>2748.83045271454</v>
      </c>
      <c r="G694" s="15" t="n">
        <f aca="false">F694*(1+IF(G$3&lt;=$O$2,$D694,$D694-($D694-$I$670)*MIN(G$3-$O$2,$Q$2)/$Q$2))</f>
        <v>2753.25634536677</v>
      </c>
      <c r="H694" s="15" t="n">
        <f aca="false">G694*(1+IF(H$3&lt;=$O$2,$D694,$D694-($D694-$I$670)*MIN(H$3-$O$2,$Q$2)/$Q$2))</f>
        <v>2757.68936414994</v>
      </c>
      <c r="I694" s="15" t="n">
        <f aca="false">H694*(1+IF(I$3&lt;=$O$2,$D694,$D694-($D694-$I$670)*MIN(I$3-$O$2,$Q$2)/$Q$2))</f>
        <v>2762.12952053786</v>
      </c>
      <c r="J694" s="15" t="n">
        <f aca="false">I694*(1+IF(J$3&lt;=$O$2,$D694,$D694-($D694-$I$670)*MIN(J$3-$O$2,$Q$2)/$Q$2))</f>
        <v>2784.08314753257</v>
      </c>
      <c r="K694" s="15" t="n">
        <f aca="false">J694*(1+IF(K$3&lt;=$O$2,$D694,$D694-($D694-$I$670)*MIN(K$3-$O$2,$Q$2)/$Q$2))</f>
        <v>2823.85672687309</v>
      </c>
      <c r="L694" s="15" t="n">
        <f aca="false">K694*(1+IF(L$3&lt;=$O$2,$D694,$D694-($D694-$I$670)*MIN(L$3-$O$2,$Q$2)/$Q$2))</f>
        <v>2882.09606126659</v>
      </c>
      <c r="M694" s="15" t="n">
        <f aca="false">L694*(1+IF(M$3&lt;=$O$2,$D694,$D694-($D694-$I$670)*MIN(M$3-$O$2,$Q$2)/$Q$2))</f>
        <v>2959.80319306762</v>
      </c>
      <c r="N694" s="15" t="n">
        <f aca="false">M694*(1+IF(N$3&lt;=$O$2,$D694,$D694-($D694-$I$670)*MIN(N$3-$O$2,$Q$2)/$Q$2))</f>
        <v>3058.36463939678</v>
      </c>
      <c r="O694" s="15" t="n">
        <f aca="false">SUMPRODUCT(E694:N694,1/(1+$F$670)^$E$3:$N$3)*$E$2</f>
        <v>12444.1505811957</v>
      </c>
      <c r="P694" s="15" t="n">
        <f aca="false">N694*$E$2*(1+$I$670)/($F$670-$I$670)/(1+$F$670)^$N$3</f>
        <v>17305.8489858234</v>
      </c>
      <c r="Q694" s="15" t="n">
        <f aca="false">O694+P694</f>
        <v>29749.9995670191</v>
      </c>
      <c r="R694" s="15" t="n">
        <f aca="false">Q694-$G$2+$I$2</f>
        <v>30519.9995670191</v>
      </c>
      <c r="S694" s="42" t="n">
        <f aca="false">R694/$K$2</f>
        <v>292.253179804837</v>
      </c>
      <c r="T694" s="43" t="n">
        <f aca="false">S694-$M$2</f>
        <v>-4.14613487009774E-006</v>
      </c>
    </row>
    <row r="695" customFormat="false" ht="15" hidden="false" customHeight="false" outlineLevel="0" collapsed="false">
      <c r="A695" s="5" t="n">
        <v>24</v>
      </c>
      <c r="B695" s="25" t="n">
        <f aca="false">IF(T694&gt;0,B694,D694)</f>
        <v>0.00161010026931763</v>
      </c>
      <c r="C695" s="25" t="n">
        <f aca="false">IF(T694&gt;0,D694,C694)</f>
        <v>0.00161027908325195</v>
      </c>
      <c r="D695" s="41" t="n">
        <f aca="false">(B695+C695)/2</f>
        <v>0.00161018967628479</v>
      </c>
      <c r="E695" s="15" t="n">
        <f aca="false">$C$2*(1+IF(E$3&lt;=$O$2,$D695,$D695-($D695-$I$670)*MIN(E$3-$O$2,$Q$2)/$Q$2))</f>
        <v>2744.41191971302</v>
      </c>
      <c r="F695" s="15" t="n">
        <f aca="false">E695*(1+IF(F$3&lt;=$O$2,$D695,$D695-($D695-$I$670)*MIN(F$3-$O$2,$Q$2)/$Q$2))</f>
        <v>2748.83094345362</v>
      </c>
      <c r="G695" s="15" t="n">
        <f aca="false">F695*(1+IF(G$3&lt;=$O$2,$D695,$D695-($D695-$I$670)*MIN(G$3-$O$2,$Q$2)/$Q$2))</f>
        <v>2753.25708266062</v>
      </c>
      <c r="H695" s="15" t="n">
        <f aca="false">G695*(1+IF(H$3&lt;=$O$2,$D695,$D695-($D695-$I$670)*MIN(H$3-$O$2,$Q$2)/$Q$2))</f>
        <v>2757.69034879127</v>
      </c>
      <c r="I695" s="15" t="n">
        <f aca="false">H695*(1+IF(I$3&lt;=$O$2,$D695,$D695-($D695-$I$670)*MIN(I$3-$O$2,$Q$2)/$Q$2))</f>
        <v>2762.13075332129</v>
      </c>
      <c r="J695" s="15" t="n">
        <f aca="false">I695*(1+IF(J$3&lt;=$O$2,$D695,$D695-($D695-$I$670)*MIN(J$3-$O$2,$Q$2)/$Q$2))</f>
        <v>2784.08458767725</v>
      </c>
      <c r="K695" s="15" t="n">
        <f aca="false">J695*(1+IF(K$3&lt;=$O$2,$D695,$D695-($D695-$I$670)*MIN(K$3-$O$2,$Q$2)/$Q$2))</f>
        <v>2823.85833694169</v>
      </c>
      <c r="L695" s="15" t="n">
        <f aca="false">K695*(1+IF(L$3&lt;=$O$2,$D695,$D695-($D695-$I$670)*MIN(L$3-$O$2,$Q$2)/$Q$2))</f>
        <v>2882.09780553036</v>
      </c>
      <c r="M695" s="15" t="n">
        <f aca="false">L695*(1+IF(M$3&lt;=$O$2,$D695,$D695-($D695-$I$670)*MIN(M$3-$O$2,$Q$2)/$Q$2))</f>
        <v>2959.80503589619</v>
      </c>
      <c r="N695" s="15" t="n">
        <f aca="false">M695*(1+IF(N$3&lt;=$O$2,$D695,$D695-($D695-$I$670)*MIN(N$3-$O$2,$Q$2)/$Q$2))</f>
        <v>3058.36654359154</v>
      </c>
      <c r="O695" s="15" t="n">
        <f aca="false">SUMPRODUCT(E695:N695,1/(1+$F$670)^$E$3:$N$3)*$E$2</f>
        <v>12444.1554155732</v>
      </c>
      <c r="P695" s="15" t="n">
        <f aca="false">N695*$E$2*(1+$I$670)/($F$670-$I$670)/(1+$F$670)^$N$3</f>
        <v>17305.8597607672</v>
      </c>
      <c r="Q695" s="15" t="n">
        <f aca="false">O695+P695</f>
        <v>29750.0151763404</v>
      </c>
      <c r="R695" s="15" t="n">
        <f aca="false">Q695-$G$2+$I$2</f>
        <v>30520.0151763404</v>
      </c>
      <c r="S695" s="42" t="n">
        <f aca="false">R695/$K$2</f>
        <v>292.253329276457</v>
      </c>
      <c r="T695" s="43" t="n">
        <f aca="false">S695-$M$2</f>
        <v>0.000145325485050307</v>
      </c>
    </row>
    <row r="697" customFormat="false" ht="15" hidden="false" customHeight="false" outlineLevel="0" collapsed="false">
      <c r="A697" s="38" t="s">
        <v>203</v>
      </c>
      <c r="E697" s="5" t="s">
        <v>11</v>
      </c>
      <c r="F697" s="12" t="n">
        <f aca="false">Sensitivity!$B$14</f>
        <v>0.0872772551778937</v>
      </c>
      <c r="G697" s="5" t="s">
        <v>12</v>
      </c>
      <c r="I697" s="12" t="n">
        <f aca="false">Sensitivity!$G$9</f>
        <v>0.0383</v>
      </c>
    </row>
    <row r="698" customFormat="false" ht="23.85" hidden="false" customHeight="false" outlineLevel="0" collapsed="false">
      <c r="A698" s="38" t="s">
        <v>159</v>
      </c>
      <c r="B698" s="28" t="s">
        <v>160</v>
      </c>
      <c r="C698" s="28" t="s">
        <v>161</v>
      </c>
      <c r="D698" s="28" t="s">
        <v>162</v>
      </c>
      <c r="E698" s="28" t="s">
        <v>163</v>
      </c>
      <c r="F698" s="28" t="s">
        <v>164</v>
      </c>
      <c r="G698" s="28" t="s">
        <v>165</v>
      </c>
      <c r="H698" s="28" t="s">
        <v>166</v>
      </c>
      <c r="I698" s="28" t="s">
        <v>167</v>
      </c>
      <c r="J698" s="28" t="s">
        <v>168</v>
      </c>
      <c r="K698" s="28" t="s">
        <v>169</v>
      </c>
      <c r="L698" s="28" t="s">
        <v>170</v>
      </c>
      <c r="M698" s="28" t="s">
        <v>171</v>
      </c>
      <c r="N698" s="28" t="s">
        <v>172</v>
      </c>
      <c r="O698" s="28" t="s">
        <v>173</v>
      </c>
      <c r="P698" s="28" t="s">
        <v>174</v>
      </c>
      <c r="Q698" s="28" t="s">
        <v>175</v>
      </c>
      <c r="R698" s="28" t="s">
        <v>176</v>
      </c>
      <c r="S698" s="28" t="s">
        <v>177</v>
      </c>
      <c r="T698" s="28" t="s">
        <v>178</v>
      </c>
    </row>
    <row r="699" customFormat="false" ht="15" hidden="false" customHeight="false" outlineLevel="0" collapsed="false">
      <c r="A699" s="5" t="n">
        <v>1</v>
      </c>
      <c r="B699" s="24" t="n">
        <v>-0.5</v>
      </c>
      <c r="C699" s="24" t="n">
        <v>1</v>
      </c>
      <c r="D699" s="41" t="n">
        <f aca="false">(B699+C699)/2</f>
        <v>0.25</v>
      </c>
      <c r="E699" s="15" t="n">
        <f aca="false">$C$2*(1+IF(E$3&lt;=$O$2,$D699,$D699-($D699-$I$697)*MIN(E$3-$O$2,$Q$2)/$Q$2))</f>
        <v>3425</v>
      </c>
      <c r="F699" s="15" t="n">
        <f aca="false">E699*(1+IF(F$3&lt;=$O$2,$D699,$D699-($D699-$I$697)*MIN(F$3-$O$2,$Q$2)/$Q$2))</f>
        <v>4281.25</v>
      </c>
      <c r="G699" s="15" t="n">
        <f aca="false">F699*(1+IF(G$3&lt;=$O$2,$D699,$D699-($D699-$I$697)*MIN(G$3-$O$2,$Q$2)/$Q$2))</f>
        <v>5351.5625</v>
      </c>
      <c r="H699" s="15" t="n">
        <f aca="false">G699*(1+IF(H$3&lt;=$O$2,$D699,$D699-($D699-$I$697)*MIN(H$3-$O$2,$Q$2)/$Q$2))</f>
        <v>6689.453125</v>
      </c>
      <c r="I699" s="15" t="n">
        <f aca="false">H699*(1+IF(I$3&lt;=$O$2,$D699,$D699-($D699-$I$697)*MIN(I$3-$O$2,$Q$2)/$Q$2))</f>
        <v>8361.81640625</v>
      </c>
      <c r="J699" s="15" t="n">
        <f aca="false">I699*(1+IF(J$3&lt;=$O$2,$D699,$D699-($D699-$I$697)*MIN(J$3-$O$2,$Q$2)/$Q$2))</f>
        <v>10098.2312011719</v>
      </c>
      <c r="K699" s="15" t="n">
        <f aca="false">J699*(1+IF(K$3&lt;=$O$2,$D699,$D699-($D699-$I$697)*MIN(K$3-$O$2,$Q$2)/$Q$2))</f>
        <v>11767.6707833496</v>
      </c>
      <c r="L699" s="15" t="n">
        <f aca="false">K699*(1+IF(L$3&lt;=$O$2,$D699,$D699-($D699-$I$697)*MIN(L$3-$O$2,$Q$2)/$Q$2))</f>
        <v>13214.8589362859</v>
      </c>
      <c r="M699" s="15" t="n">
        <f aca="false">L699*(1+IF(M$3&lt;=$O$2,$D699,$D699-($D699-$I$697)*MIN(M$3-$O$2,$Q$2)/$Q$2))</f>
        <v>14280.505160908</v>
      </c>
      <c r="N699" s="15" t="n">
        <f aca="false">M699*(1+IF(N$3&lt;=$O$2,$D699,$D699-($D699-$I$697)*MIN(N$3-$O$2,$Q$2)/$Q$2))</f>
        <v>14827.4485085708</v>
      </c>
      <c r="O699" s="15" t="n">
        <f aca="false">SUMPRODUCT(E699:N699,1/(1+$F$697)^$E$3:$N$3)*$E$2</f>
        <v>36718.1024937064</v>
      </c>
      <c r="P699" s="15" t="n">
        <f aca="false">N699*$E$2*(1+$I$697)/($F$697-$I$697)/(1+$F$697)^$N$3</f>
        <v>92914.3619555497</v>
      </c>
      <c r="Q699" s="15" t="n">
        <f aca="false">O699+P699</f>
        <v>129632.464449256</v>
      </c>
      <c r="R699" s="15" t="n">
        <f aca="false">Q699-$G$2+$I$2</f>
        <v>130402.464449256</v>
      </c>
      <c r="S699" s="42" t="n">
        <f aca="false">R699/$K$2</f>
        <v>1248.70692759989</v>
      </c>
      <c r="T699" s="43" t="n">
        <f aca="false">S699-$M$2</f>
        <v>956.453743648914</v>
      </c>
    </row>
    <row r="700" customFormat="false" ht="15" hidden="false" customHeight="false" outlineLevel="0" collapsed="false">
      <c r="A700" s="5" t="n">
        <v>2</v>
      </c>
      <c r="B700" s="25" t="n">
        <f aca="false">IF(T699&gt;0,B699,D699)</f>
        <v>-0.5</v>
      </c>
      <c r="C700" s="25" t="n">
        <f aca="false">IF(T699&gt;0,D699,C699)</f>
        <v>0.25</v>
      </c>
      <c r="D700" s="41" t="n">
        <f aca="false">(B700+C700)/2</f>
        <v>-0.125</v>
      </c>
      <c r="E700" s="15" t="n">
        <f aca="false">$C$2*(1+IF(E$3&lt;=$O$2,$D700,$D700-($D700-$I$697)*MIN(E$3-$O$2,$Q$2)/$Q$2))</f>
        <v>2397.5</v>
      </c>
      <c r="F700" s="15" t="n">
        <f aca="false">E700*(1+IF(F$3&lt;=$O$2,$D700,$D700-($D700-$I$697)*MIN(F$3-$O$2,$Q$2)/$Q$2))</f>
        <v>2097.8125</v>
      </c>
      <c r="G700" s="15" t="n">
        <f aca="false">F700*(1+IF(G$3&lt;=$O$2,$D700,$D700-($D700-$I$697)*MIN(G$3-$O$2,$Q$2)/$Q$2))</f>
        <v>1835.5859375</v>
      </c>
      <c r="H700" s="15" t="n">
        <f aca="false">G700*(1+IF(H$3&lt;=$O$2,$D700,$D700-($D700-$I$697)*MIN(H$3-$O$2,$Q$2)/$Q$2))</f>
        <v>1606.1376953125</v>
      </c>
      <c r="I700" s="15" t="n">
        <f aca="false">H700*(1+IF(I$3&lt;=$O$2,$D700,$D700-($D700-$I$697)*MIN(I$3-$O$2,$Q$2)/$Q$2))</f>
        <v>1405.37048339844</v>
      </c>
      <c r="J700" s="15" t="n">
        <f aca="false">I700*(1+IF(J$3&lt;=$O$2,$D700,$D700-($D700-$I$697)*MIN(J$3-$O$2,$Q$2)/$Q$2))</f>
        <v>1275.59857296143</v>
      </c>
      <c r="K700" s="15" t="n">
        <f aca="false">J700*(1+IF(K$3&lt;=$O$2,$D700,$D700-($D700-$I$697)*MIN(K$3-$O$2,$Q$2)/$Q$2))</f>
        <v>1199.47085012709</v>
      </c>
      <c r="L700" s="15" t="n">
        <f aca="false">K700*(1+IF(L$3&lt;=$O$2,$D700,$D700-($D700-$I$697)*MIN(L$3-$O$2,$Q$2)/$Q$2))</f>
        <v>1167.06114775665</v>
      </c>
      <c r="M700" s="15" t="n">
        <f aca="false">L700*(1+IF(M$3&lt;=$O$2,$D700,$D700-($D700-$I$697)*MIN(M$3-$O$2,$Q$2)/$Q$2))</f>
        <v>1173.64337263</v>
      </c>
      <c r="N700" s="15" t="n">
        <f aca="false">M700*(1+IF(N$3&lt;=$O$2,$D700,$D700-($D700-$I$697)*MIN(N$3-$O$2,$Q$2)/$Q$2))</f>
        <v>1218.59391380173</v>
      </c>
      <c r="O700" s="15" t="n">
        <f aca="false">SUMPRODUCT(E700:N700,1/(1+$F$697)^$E$3:$N$3)*$E$2</f>
        <v>7234.08722883032</v>
      </c>
      <c r="P700" s="15" t="n">
        <f aca="false">N700*$E$2*(1+$I$697)/($F$697-$I$697)/(1+$F$697)^$N$3</f>
        <v>7636.16720154892</v>
      </c>
      <c r="Q700" s="15" t="n">
        <f aca="false">O700+P700</f>
        <v>14870.2544303792</v>
      </c>
      <c r="R700" s="15" t="n">
        <f aca="false">Q700-$G$2+$I$2</f>
        <v>15640.2544303792</v>
      </c>
      <c r="S700" s="42" t="n">
        <f aca="false">R700/$K$2</f>
        <v>149.767829458769</v>
      </c>
      <c r="T700" s="43" t="n">
        <f aca="false">S700-$M$2</f>
        <v>-142.485354492203</v>
      </c>
    </row>
    <row r="701" customFormat="false" ht="15" hidden="false" customHeight="false" outlineLevel="0" collapsed="false">
      <c r="A701" s="5" t="n">
        <v>3</v>
      </c>
      <c r="B701" s="25" t="n">
        <f aca="false">IF(T700&gt;0,B700,D700)</f>
        <v>-0.125</v>
      </c>
      <c r="C701" s="25" t="n">
        <f aca="false">IF(T700&gt;0,D700,C700)</f>
        <v>0.25</v>
      </c>
      <c r="D701" s="41" t="n">
        <f aca="false">(B701+C701)/2</f>
        <v>0.0625</v>
      </c>
      <c r="E701" s="15" t="n">
        <f aca="false">$C$2*(1+IF(E$3&lt;=$O$2,$D701,$D701-($D701-$I$697)*MIN(E$3-$O$2,$Q$2)/$Q$2))</f>
        <v>2911.25</v>
      </c>
      <c r="F701" s="15" t="n">
        <f aca="false">E701*(1+IF(F$3&lt;=$O$2,$D701,$D701-($D701-$I$697)*MIN(F$3-$O$2,$Q$2)/$Q$2))</f>
        <v>3093.203125</v>
      </c>
      <c r="G701" s="15" t="n">
        <f aca="false">F701*(1+IF(G$3&lt;=$O$2,$D701,$D701-($D701-$I$697)*MIN(G$3-$O$2,$Q$2)/$Q$2))</f>
        <v>3286.5283203125</v>
      </c>
      <c r="H701" s="15" t="n">
        <f aca="false">G701*(1+IF(H$3&lt;=$O$2,$D701,$D701-($D701-$I$697)*MIN(H$3-$O$2,$Q$2)/$Q$2))</f>
        <v>3491.93634033203</v>
      </c>
      <c r="I701" s="15" t="n">
        <f aca="false">H701*(1+IF(I$3&lt;=$O$2,$D701,$D701-($D701-$I$697)*MIN(I$3-$O$2,$Q$2)/$Q$2))</f>
        <v>3710.18236160278</v>
      </c>
      <c r="J701" s="15" t="n">
        <f aca="false">I701*(1+IF(J$3&lt;=$O$2,$D701,$D701-($D701-$I$697)*MIN(J$3-$O$2,$Q$2)/$Q$2))</f>
        <v>3924.1114765728</v>
      </c>
      <c r="K701" s="15" t="n">
        <f aca="false">J701*(1+IF(K$3&lt;=$O$2,$D701,$D701-($D701-$I$697)*MIN(K$3-$O$2,$Q$2)/$Q$2))</f>
        <v>4131.38304476538</v>
      </c>
      <c r="L701" s="15" t="n">
        <f aca="false">K701*(1+IF(L$3&lt;=$O$2,$D701,$D701-($D701-$I$697)*MIN(L$3-$O$2,$Q$2)/$Q$2))</f>
        <v>4329.60680325322</v>
      </c>
      <c r="M701" s="15" t="n">
        <f aca="false">L701*(1+IF(M$3&lt;=$O$2,$D701,$D701-($D701-$I$697)*MIN(M$3-$O$2,$Q$2)/$Q$2))</f>
        <v>4516.38604074556</v>
      </c>
      <c r="N701" s="15" t="n">
        <f aca="false">M701*(1+IF(N$3&lt;=$O$2,$D701,$D701-($D701-$I$697)*MIN(N$3-$O$2,$Q$2)/$Q$2))</f>
        <v>4689.36362610612</v>
      </c>
      <c r="O701" s="15" t="n">
        <f aca="false">SUMPRODUCT(E701:N701,1/(1+$F$697)^$E$3:$N$3)*$E$2</f>
        <v>16271.1189542309</v>
      </c>
      <c r="P701" s="15" t="n">
        <f aca="false">N701*$E$2*(1+$I$697)/($F$697-$I$697)/(1+$F$697)^$N$3</f>
        <v>29385.3139362013</v>
      </c>
      <c r="Q701" s="15" t="n">
        <f aca="false">O701+P701</f>
        <v>45656.4328904322</v>
      </c>
      <c r="R701" s="15" t="n">
        <f aca="false">Q701-$G$2+$I$2</f>
        <v>46426.4328904322</v>
      </c>
      <c r="S701" s="42" t="n">
        <f aca="false">R701/$K$2</f>
        <v>444.569883083714</v>
      </c>
      <c r="T701" s="43" t="n">
        <f aca="false">S701-$M$2</f>
        <v>152.316699132741</v>
      </c>
    </row>
    <row r="702" customFormat="false" ht="15" hidden="false" customHeight="false" outlineLevel="0" collapsed="false">
      <c r="A702" s="5" t="n">
        <v>4</v>
      </c>
      <c r="B702" s="25" t="n">
        <f aca="false">IF(T701&gt;0,B701,D701)</f>
        <v>-0.125</v>
      </c>
      <c r="C702" s="25" t="n">
        <f aca="false">IF(T701&gt;0,D701,C701)</f>
        <v>0.0625</v>
      </c>
      <c r="D702" s="41" t="n">
        <f aca="false">(B702+C702)/2</f>
        <v>-0.03125</v>
      </c>
      <c r="E702" s="15" t="n">
        <f aca="false">$C$2*(1+IF(E$3&lt;=$O$2,$D702,$D702-($D702-$I$697)*MIN(E$3-$O$2,$Q$2)/$Q$2))</f>
        <v>2654.375</v>
      </c>
      <c r="F702" s="15" t="n">
        <f aca="false">E702*(1+IF(F$3&lt;=$O$2,$D702,$D702-($D702-$I$697)*MIN(F$3-$O$2,$Q$2)/$Q$2))</f>
        <v>2571.42578125</v>
      </c>
      <c r="G702" s="15" t="n">
        <f aca="false">F702*(1+IF(G$3&lt;=$O$2,$D702,$D702-($D702-$I$697)*MIN(G$3-$O$2,$Q$2)/$Q$2))</f>
        <v>2491.06872558594</v>
      </c>
      <c r="H702" s="15" t="n">
        <f aca="false">G702*(1+IF(H$3&lt;=$O$2,$D702,$D702-($D702-$I$697)*MIN(H$3-$O$2,$Q$2)/$Q$2))</f>
        <v>2413.22282791138</v>
      </c>
      <c r="I702" s="15" t="n">
        <f aca="false">H702*(1+IF(I$3&lt;=$O$2,$D702,$D702-($D702-$I$697)*MIN(I$3-$O$2,$Q$2)/$Q$2))</f>
        <v>2337.80961453915</v>
      </c>
      <c r="J702" s="15" t="n">
        <f aca="false">I702*(1+IF(J$3&lt;=$O$2,$D702,$D702-($D702-$I$697)*MIN(J$3-$O$2,$Q$2)/$Q$2))</f>
        <v>2297.27199582304</v>
      </c>
      <c r="K702" s="15" t="n">
        <f aca="false">J702*(1+IF(K$3&lt;=$O$2,$D702,$D702-($D702-$I$697)*MIN(K$3-$O$2,$Q$2)/$Q$2))</f>
        <v>2289.39235287737</v>
      </c>
      <c r="L702" s="15" t="n">
        <f aca="false">K702*(1+IF(L$3&lt;=$O$2,$D702,$D702-($D702-$I$697)*MIN(L$3-$O$2,$Q$2)/$Q$2))</f>
        <v>2313.38518473552</v>
      </c>
      <c r="M702" s="15" t="n">
        <f aca="false">L702*(1+IF(M$3&lt;=$O$2,$D702,$D702-($D702-$I$697)*MIN(M$3-$O$2,$Q$2)/$Q$2))</f>
        <v>2369.80864939122</v>
      </c>
      <c r="N702" s="15" t="n">
        <f aca="false">M702*(1+IF(N$3&lt;=$O$2,$D702,$D702-($D702-$I$697)*MIN(N$3-$O$2,$Q$2)/$Q$2))</f>
        <v>2460.5723206629</v>
      </c>
      <c r="O702" s="15" t="n">
        <f aca="false">SUMPRODUCT(E702:N702,1/(1+$F$697)^$E$3:$N$3)*$E$2</f>
        <v>10817.994676663</v>
      </c>
      <c r="P702" s="15" t="n">
        <f aca="false">N702*$E$2*(1+$I$697)/($F$697-$I$697)/(1+$F$697)^$N$3</f>
        <v>15418.8704204724</v>
      </c>
      <c r="Q702" s="15" t="n">
        <f aca="false">O702+P702</f>
        <v>26236.8650971354</v>
      </c>
      <c r="R702" s="15" t="n">
        <f aca="false">Q702-$G$2+$I$2</f>
        <v>27006.8650971354</v>
      </c>
      <c r="S702" s="42" t="n">
        <f aca="false">R702/$K$2</f>
        <v>258.612133459115</v>
      </c>
      <c r="T702" s="43" t="n">
        <f aca="false">S702-$M$2</f>
        <v>-33.6410504918568</v>
      </c>
    </row>
    <row r="703" customFormat="false" ht="15" hidden="false" customHeight="false" outlineLevel="0" collapsed="false">
      <c r="A703" s="5" t="n">
        <v>5</v>
      </c>
      <c r="B703" s="25" t="n">
        <f aca="false">IF(T702&gt;0,B702,D702)</f>
        <v>-0.03125</v>
      </c>
      <c r="C703" s="25" t="n">
        <f aca="false">IF(T702&gt;0,D702,C702)</f>
        <v>0.0625</v>
      </c>
      <c r="D703" s="41" t="n">
        <f aca="false">(B703+C703)/2</f>
        <v>0.015625</v>
      </c>
      <c r="E703" s="15" t="n">
        <f aca="false">$C$2*(1+IF(E$3&lt;=$O$2,$D703,$D703-($D703-$I$697)*MIN(E$3-$O$2,$Q$2)/$Q$2))</f>
        <v>2782.8125</v>
      </c>
      <c r="F703" s="15" t="n">
        <f aca="false">E703*(1+IF(F$3&lt;=$O$2,$D703,$D703-($D703-$I$697)*MIN(F$3-$O$2,$Q$2)/$Q$2))</f>
        <v>2826.2939453125</v>
      </c>
      <c r="G703" s="15" t="n">
        <f aca="false">F703*(1+IF(G$3&lt;=$O$2,$D703,$D703-($D703-$I$697)*MIN(G$3-$O$2,$Q$2)/$Q$2))</f>
        <v>2870.45478820801</v>
      </c>
      <c r="H703" s="15" t="n">
        <f aca="false">G703*(1+IF(H$3&lt;=$O$2,$D703,$D703-($D703-$I$697)*MIN(H$3-$O$2,$Q$2)/$Q$2))</f>
        <v>2915.30564427376</v>
      </c>
      <c r="I703" s="15" t="n">
        <f aca="false">H703*(1+IF(I$3&lt;=$O$2,$D703,$D703-($D703-$I$697)*MIN(I$3-$O$2,$Q$2)/$Q$2))</f>
        <v>2960.85729496554</v>
      </c>
      <c r="J703" s="15" t="n">
        <f aca="false">I703*(1+IF(J$3&lt;=$O$2,$D703,$D703-($D703-$I$697)*MIN(J$3-$O$2,$Q$2)/$Q$2))</f>
        <v>3020.54817803204</v>
      </c>
      <c r="K703" s="15" t="n">
        <f aca="false">J703*(1+IF(K$3&lt;=$O$2,$D703,$D703-($D703-$I$697)*MIN(K$3-$O$2,$Q$2)/$Q$2))</f>
        <v>3095.14061528854</v>
      </c>
      <c r="L703" s="15" t="n">
        <f aca="false">K703*(1+IF(L$3&lt;=$O$2,$D703,$D703-($D703-$I$697)*MIN(L$3-$O$2,$Q$2)/$Q$2))</f>
        <v>3185.61157547343</v>
      </c>
      <c r="M703" s="15" t="n">
        <f aca="false">L703*(1+IF(M$3&lt;=$O$2,$D703,$D703-($D703-$I$697)*MIN(M$3-$O$2,$Q$2)/$Q$2))</f>
        <v>3293.17375031929</v>
      </c>
      <c r="N703" s="15" t="n">
        <f aca="false">M703*(1+IF(N$3&lt;=$O$2,$D703,$D703-($D703-$I$697)*MIN(N$3-$O$2,$Q$2)/$Q$2))</f>
        <v>3419.30230495652</v>
      </c>
      <c r="O703" s="15" t="n">
        <f aca="false">SUMPRODUCT(E703:N703,1/(1+$F$697)^$E$3:$N$3)*$E$2</f>
        <v>13262.0761399261</v>
      </c>
      <c r="P703" s="15" t="n">
        <f aca="false">N703*$E$2*(1+$I$697)/($F$697-$I$697)/(1+$F$697)^$N$3</f>
        <v>21426.6326276251</v>
      </c>
      <c r="Q703" s="15" t="n">
        <f aca="false">O703+P703</f>
        <v>34688.7087675512</v>
      </c>
      <c r="R703" s="15" t="n">
        <f aca="false">Q703-$G$2+$I$2</f>
        <v>35458.7087675512</v>
      </c>
      <c r="S703" s="42" t="n">
        <f aca="false">R703/$K$2</f>
        <v>339.545233817402</v>
      </c>
      <c r="T703" s="43" t="n">
        <f aca="false">S703-$M$2</f>
        <v>47.2920498664295</v>
      </c>
    </row>
    <row r="704" customFormat="false" ht="15" hidden="false" customHeight="false" outlineLevel="0" collapsed="false">
      <c r="A704" s="5" t="n">
        <v>6</v>
      </c>
      <c r="B704" s="25" t="n">
        <f aca="false">IF(T703&gt;0,B703,D703)</f>
        <v>-0.03125</v>
      </c>
      <c r="C704" s="25" t="n">
        <f aca="false">IF(T703&gt;0,D703,C703)</f>
        <v>0.015625</v>
      </c>
      <c r="D704" s="41" t="n">
        <f aca="false">(B704+C704)/2</f>
        <v>-0.0078125</v>
      </c>
      <c r="E704" s="15" t="n">
        <f aca="false">$C$2*(1+IF(E$3&lt;=$O$2,$D704,$D704-($D704-$I$697)*MIN(E$3-$O$2,$Q$2)/$Q$2))</f>
        <v>2718.59375</v>
      </c>
      <c r="F704" s="15" t="n">
        <f aca="false">E704*(1+IF(F$3&lt;=$O$2,$D704,$D704-($D704-$I$697)*MIN(F$3-$O$2,$Q$2)/$Q$2))</f>
        <v>2697.35473632813</v>
      </c>
      <c r="G704" s="15" t="n">
        <f aca="false">F704*(1+IF(G$3&lt;=$O$2,$D704,$D704-($D704-$I$697)*MIN(G$3-$O$2,$Q$2)/$Q$2))</f>
        <v>2676.28165245056</v>
      </c>
      <c r="H704" s="15" t="n">
        <f aca="false">G704*(1+IF(H$3&lt;=$O$2,$D704,$D704-($D704-$I$697)*MIN(H$3-$O$2,$Q$2)/$Q$2))</f>
        <v>2655.37320204079</v>
      </c>
      <c r="I704" s="15" t="n">
        <f aca="false">H704*(1+IF(I$3&lt;=$O$2,$D704,$D704-($D704-$I$697)*MIN(I$3-$O$2,$Q$2)/$Q$2))</f>
        <v>2634.62809889985</v>
      </c>
      <c r="J704" s="15" t="n">
        <f aca="false">I704*(1+IF(J$3&lt;=$O$2,$D704,$D704-($D704-$I$697)*MIN(J$3-$O$2,$Q$2)/$Q$2))</f>
        <v>2638.3429245193</v>
      </c>
      <c r="K704" s="15" t="n">
        <f aca="false">J704*(1+IF(K$3&lt;=$O$2,$D704,$D704-($D704-$I$697)*MIN(K$3-$O$2,$Q$2)/$Q$2))</f>
        <v>2666.39510566425</v>
      </c>
      <c r="L704" s="15" t="n">
        <f aca="false">K704*(1+IF(L$3&lt;=$O$2,$D704,$D704-($D704-$I$697)*MIN(L$3-$O$2,$Q$2)/$Q$2))</f>
        <v>2719.33638048721</v>
      </c>
      <c r="M704" s="15" t="n">
        <f aca="false">L704*(1+IF(M$3&lt;=$O$2,$D704,$D704-($D704-$I$697)*MIN(M$3-$O$2,$Q$2)/$Q$2))</f>
        <v>2798.40788409083</v>
      </c>
      <c r="N704" s="15" t="n">
        <f aca="false">M704*(1+IF(N$3&lt;=$O$2,$D704,$D704-($D704-$I$697)*MIN(N$3-$O$2,$Q$2)/$Q$2))</f>
        <v>2905.58690605151</v>
      </c>
      <c r="O704" s="15" t="n">
        <f aca="false">SUMPRODUCT(E704:N704,1/(1+$F$697)^$E$3:$N$3)*$E$2</f>
        <v>11976.1894059986</v>
      </c>
      <c r="P704" s="15" t="n">
        <f aca="false">N704*$E$2*(1+$I$697)/($F$697-$I$697)/(1+$F$697)^$N$3</f>
        <v>18207.4989723365</v>
      </c>
      <c r="Q704" s="15" t="n">
        <f aca="false">O704+P704</f>
        <v>30183.6883783351</v>
      </c>
      <c r="R704" s="15" t="n">
        <f aca="false">Q704-$G$2+$I$2</f>
        <v>30953.6883783351</v>
      </c>
      <c r="S704" s="42" t="n">
        <f aca="false">R704/$K$2</f>
        <v>296.406093826823</v>
      </c>
      <c r="T704" s="43" t="n">
        <f aca="false">S704-$M$2</f>
        <v>4.15290987585092</v>
      </c>
    </row>
    <row r="705" customFormat="false" ht="15" hidden="false" customHeight="false" outlineLevel="0" collapsed="false">
      <c r="A705" s="5" t="n">
        <v>7</v>
      </c>
      <c r="B705" s="25" t="n">
        <f aca="false">IF(T704&gt;0,B704,D704)</f>
        <v>-0.03125</v>
      </c>
      <c r="C705" s="25" t="n">
        <f aca="false">IF(T704&gt;0,D704,C704)</f>
        <v>-0.0078125</v>
      </c>
      <c r="D705" s="41" t="n">
        <f aca="false">(B705+C705)/2</f>
        <v>-0.01953125</v>
      </c>
      <c r="E705" s="15" t="n">
        <f aca="false">$C$2*(1+IF(E$3&lt;=$O$2,$D705,$D705-($D705-$I$697)*MIN(E$3-$O$2,$Q$2)/$Q$2))</f>
        <v>2686.484375</v>
      </c>
      <c r="F705" s="15" t="n">
        <f aca="false">E705*(1+IF(F$3&lt;=$O$2,$D705,$D705-($D705-$I$697)*MIN(F$3-$O$2,$Q$2)/$Q$2))</f>
        <v>2634.01397705078</v>
      </c>
      <c r="G705" s="15" t="n">
        <f aca="false">F705*(1+IF(G$3&lt;=$O$2,$D705,$D705-($D705-$I$697)*MIN(G$3-$O$2,$Q$2)/$Q$2))</f>
        <v>2582.56839156151</v>
      </c>
      <c r="H705" s="15" t="n">
        <f aca="false">G705*(1+IF(H$3&lt;=$O$2,$D705,$D705-($D705-$I$697)*MIN(H$3-$O$2,$Q$2)/$Q$2))</f>
        <v>2532.12760266382</v>
      </c>
      <c r="I705" s="15" t="n">
        <f aca="false">H705*(1+IF(I$3&lt;=$O$2,$D705,$D705-($D705-$I$697)*MIN(I$3-$O$2,$Q$2)/$Q$2))</f>
        <v>2482.67198542429</v>
      </c>
      <c r="J705" s="15" t="n">
        <f aca="false">I705*(1+IF(J$3&lt;=$O$2,$D705,$D705-($D705-$I$697)*MIN(J$3-$O$2,$Q$2)/$Q$2))</f>
        <v>2462.89750306039</v>
      </c>
      <c r="K705" s="15" t="n">
        <f aca="false">J705*(1+IF(K$3&lt;=$O$2,$D705,$D705-($D705-$I$697)*MIN(K$3-$O$2,$Q$2)/$Q$2))</f>
        <v>2471.76701269329</v>
      </c>
      <c r="L705" s="15" t="n">
        <f aca="false">K705*(1+IF(L$3&lt;=$O$2,$D705,$D705-($D705-$I$697)*MIN(L$3-$O$2,$Q$2)/$Q$2))</f>
        <v>2509.25753885831</v>
      </c>
      <c r="M705" s="15" t="n">
        <f aca="false">L705*(1+IF(M$3&lt;=$O$2,$D705,$D705-($D705-$I$697)*MIN(M$3-$O$2,$Q$2)/$Q$2))</f>
        <v>2576.33940258777</v>
      </c>
      <c r="N705" s="15" t="n">
        <f aca="false">M705*(1+IF(N$3&lt;=$O$2,$D705,$D705-($D705-$I$697)*MIN(N$3-$O$2,$Q$2)/$Q$2))</f>
        <v>2675.01320170688</v>
      </c>
      <c r="O705" s="15" t="n">
        <f aca="false">SUMPRODUCT(E705:N705,1/(1+$F$697)^$E$3:$N$3)*$E$2</f>
        <v>11381.9148298751</v>
      </c>
      <c r="P705" s="15" t="n">
        <f aca="false">N705*$E$2*(1+$I$697)/($F$697-$I$697)/(1+$F$697)^$N$3</f>
        <v>16762.6375310356</v>
      </c>
      <c r="Q705" s="15" t="n">
        <f aca="false">O705+P705</f>
        <v>28144.5523609107</v>
      </c>
      <c r="R705" s="15" t="n">
        <f aca="false">Q705-$G$2+$I$2</f>
        <v>28914.5523609107</v>
      </c>
      <c r="S705" s="42" t="n">
        <f aca="false">R705/$K$2</f>
        <v>276.879750655086</v>
      </c>
      <c r="T705" s="43" t="n">
        <f aca="false">S705-$M$2</f>
        <v>-15.3734332958858</v>
      </c>
    </row>
    <row r="706" customFormat="false" ht="15" hidden="false" customHeight="false" outlineLevel="0" collapsed="false">
      <c r="A706" s="5" t="n">
        <v>8</v>
      </c>
      <c r="B706" s="25" t="n">
        <f aca="false">IF(T705&gt;0,B705,D705)</f>
        <v>-0.01953125</v>
      </c>
      <c r="C706" s="25" t="n">
        <f aca="false">IF(T705&gt;0,D705,C705)</f>
        <v>-0.0078125</v>
      </c>
      <c r="D706" s="41" t="n">
        <f aca="false">(B706+C706)/2</f>
        <v>-0.013671875</v>
      </c>
      <c r="E706" s="15" t="n">
        <f aca="false">$C$2*(1+IF(E$3&lt;=$O$2,$D706,$D706-($D706-$I$697)*MIN(E$3-$O$2,$Q$2)/$Q$2))</f>
        <v>2702.5390625</v>
      </c>
      <c r="F706" s="15" t="n">
        <f aca="false">E706*(1+IF(F$3&lt;=$O$2,$D706,$D706-($D706-$I$697)*MIN(F$3-$O$2,$Q$2)/$Q$2))</f>
        <v>2665.59028625488</v>
      </c>
      <c r="G706" s="15" t="n">
        <f aca="false">F706*(1+IF(G$3&lt;=$O$2,$D706,$D706-($D706-$I$697)*MIN(G$3-$O$2,$Q$2)/$Q$2))</f>
        <v>2629.14666905999</v>
      </c>
      <c r="H706" s="15" t="n">
        <f aca="false">G706*(1+IF(H$3&lt;=$O$2,$D706,$D706-($D706-$I$697)*MIN(H$3-$O$2,$Q$2)/$Q$2))</f>
        <v>2593.20130444394</v>
      </c>
      <c r="I706" s="15" t="n">
        <f aca="false">H706*(1+IF(I$3&lt;=$O$2,$D706,$D706-($D706-$I$697)*MIN(I$3-$O$2,$Q$2)/$Q$2))</f>
        <v>2557.74738035974</v>
      </c>
      <c r="J706" s="15" t="n">
        <f aca="false">I706*(1+IF(J$3&lt;=$O$2,$D706,$D706-($D706-$I$697)*MIN(J$3-$O$2,$Q$2)/$Q$2))</f>
        <v>2549.36436332061</v>
      </c>
      <c r="K706" s="15" t="n">
        <f aca="false">J706*(1+IF(K$3&lt;=$O$2,$D706,$D706-($D706-$I$697)*MIN(K$3-$O$2,$Q$2)/$Q$2))</f>
        <v>2567.50787082382</v>
      </c>
      <c r="L706" s="15" t="n">
        <f aca="false">K706*(1+IF(L$3&lt;=$O$2,$D706,$D706-($D706-$I$697)*MIN(L$3-$O$2,$Q$2)/$Q$2))</f>
        <v>2612.46814302678</v>
      </c>
      <c r="M706" s="15" t="n">
        <f aca="false">L706*(1+IF(M$3&lt;=$O$2,$D706,$D706-($D706-$I$697)*MIN(M$3-$O$2,$Q$2)/$Q$2))</f>
        <v>2685.37069935054</v>
      </c>
      <c r="N706" s="15" t="n">
        <f aca="false">M706*(1+IF(N$3&lt;=$O$2,$D706,$D706-($D706-$I$697)*MIN(N$3-$O$2,$Q$2)/$Q$2))</f>
        <v>2788.22039713566</v>
      </c>
      <c r="O706" s="15" t="n">
        <f aca="false">SUMPRODUCT(E706:N706,1/(1+$F$697)^$E$3:$N$3)*$E$2</f>
        <v>11675.1624401614</v>
      </c>
      <c r="P706" s="15" t="n">
        <f aca="false">N706*$E$2*(1+$I$697)/($F$697-$I$697)/(1+$F$697)^$N$3</f>
        <v>17472.0363413543</v>
      </c>
      <c r="Q706" s="15" t="n">
        <f aca="false">O706+P706</f>
        <v>29147.1987815157</v>
      </c>
      <c r="R706" s="15" t="n">
        <f aca="false">Q706-$G$2+$I$2</f>
        <v>29917.1987815157</v>
      </c>
      <c r="S706" s="42" t="n">
        <f aca="false">R706/$K$2</f>
        <v>286.480884626216</v>
      </c>
      <c r="T706" s="43" t="n">
        <f aca="false">S706-$M$2</f>
        <v>-5.77229932475626</v>
      </c>
    </row>
    <row r="707" customFormat="false" ht="15" hidden="false" customHeight="false" outlineLevel="0" collapsed="false">
      <c r="A707" s="5" t="n">
        <v>9</v>
      </c>
      <c r="B707" s="25" t="n">
        <f aca="false">IF(T706&gt;0,B706,D706)</f>
        <v>-0.013671875</v>
      </c>
      <c r="C707" s="25" t="n">
        <f aca="false">IF(T706&gt;0,D706,C706)</f>
        <v>-0.0078125</v>
      </c>
      <c r="D707" s="41" t="n">
        <f aca="false">(B707+C707)/2</f>
        <v>-0.0107421875</v>
      </c>
      <c r="E707" s="15" t="n">
        <f aca="false">$C$2*(1+IF(E$3&lt;=$O$2,$D707,$D707-($D707-$I$697)*MIN(E$3-$O$2,$Q$2)/$Q$2))</f>
        <v>2710.56640625</v>
      </c>
      <c r="F707" s="15" t="n">
        <f aca="false">E707*(1+IF(F$3&lt;=$O$2,$D707,$D707-($D707-$I$697)*MIN(F$3-$O$2,$Q$2)/$Q$2))</f>
        <v>2681.44899368286</v>
      </c>
      <c r="G707" s="15" t="n">
        <f aca="false">F707*(1+IF(G$3&lt;=$O$2,$D707,$D707-($D707-$I$697)*MIN(G$3-$O$2,$Q$2)/$Q$2))</f>
        <v>2652.64436582103</v>
      </c>
      <c r="H707" s="15" t="n">
        <f aca="false">G707*(1+IF(H$3&lt;=$O$2,$D707,$D707-($D707-$I$697)*MIN(H$3-$O$2,$Q$2)/$Q$2))</f>
        <v>2624.14916267257</v>
      </c>
      <c r="I707" s="15" t="n">
        <f aca="false">H707*(1+IF(I$3&lt;=$O$2,$D707,$D707-($D707-$I$697)*MIN(I$3-$O$2,$Q$2)/$Q$2))</f>
        <v>2595.96006033917</v>
      </c>
      <c r="J707" s="15" t="n">
        <f aca="false">I707*(1+IF(J$3&lt;=$O$2,$D707,$D707-($D707-$I$697)*MIN(J$3-$O$2,$Q$2)/$Q$2))</f>
        <v>2593.53608263283</v>
      </c>
      <c r="K707" s="15" t="n">
        <f aca="false">J707*(1+IF(K$3&lt;=$O$2,$D707,$D707-($D707-$I$697)*MIN(K$3-$O$2,$Q$2)/$Q$2))</f>
        <v>2616.55290488617</v>
      </c>
      <c r="L707" s="15" t="n">
        <f aca="false">K707*(1+IF(L$3&lt;=$O$2,$D707,$D707-($D707-$I$697)*MIN(L$3-$O$2,$Q$2)/$Q$2))</f>
        <v>2665.43828987727</v>
      </c>
      <c r="M707" s="15" t="n">
        <f aca="false">L707*(1+IF(M$3&lt;=$O$2,$D707,$D707-($D707-$I$697)*MIN(M$3-$O$2,$Q$2)/$Q$2))</f>
        <v>2741.3807915032</v>
      </c>
      <c r="N707" s="15" t="n">
        <f aca="false">M707*(1+IF(N$3&lt;=$O$2,$D707,$D707-($D707-$I$697)*MIN(N$3-$O$2,$Q$2)/$Q$2))</f>
        <v>2846.37567581777</v>
      </c>
      <c r="O707" s="15" t="n">
        <f aca="false">SUMPRODUCT(E707:N707,1/(1+$F$697)^$E$3:$N$3)*$E$2</f>
        <v>11824.6913526837</v>
      </c>
      <c r="P707" s="15" t="n">
        <f aca="false">N707*$E$2*(1+$I$697)/($F$697-$I$697)/(1+$F$697)^$N$3</f>
        <v>17836.4591623118</v>
      </c>
      <c r="Q707" s="15" t="n">
        <f aca="false">O707+P707</f>
        <v>29661.1505149956</v>
      </c>
      <c r="R707" s="15" t="n">
        <f aca="false">Q707-$G$2+$I$2</f>
        <v>30431.1505149956</v>
      </c>
      <c r="S707" s="42" t="n">
        <f aca="false">R707/$K$2</f>
        <v>291.402379728005</v>
      </c>
      <c r="T707" s="43" t="n">
        <f aca="false">S707-$M$2</f>
        <v>-0.850804222966985</v>
      </c>
    </row>
    <row r="708" customFormat="false" ht="15" hidden="false" customHeight="false" outlineLevel="0" collapsed="false">
      <c r="A708" s="5" t="n">
        <v>10</v>
      </c>
      <c r="B708" s="25" t="n">
        <f aca="false">IF(T707&gt;0,B707,D707)</f>
        <v>-0.0107421875</v>
      </c>
      <c r="C708" s="25" t="n">
        <f aca="false">IF(T707&gt;0,D707,C707)</f>
        <v>-0.0078125</v>
      </c>
      <c r="D708" s="41" t="n">
        <f aca="false">(B708+C708)/2</f>
        <v>-0.00927734375</v>
      </c>
      <c r="E708" s="15" t="n">
        <f aca="false">$C$2*(1+IF(E$3&lt;=$O$2,$D708,$D708-($D708-$I$697)*MIN(E$3-$O$2,$Q$2)/$Q$2))</f>
        <v>2714.580078125</v>
      </c>
      <c r="F708" s="15" t="n">
        <f aca="false">E708*(1+IF(F$3&lt;=$O$2,$D708,$D708-($D708-$I$697)*MIN(F$3-$O$2,$Q$2)/$Q$2))</f>
        <v>2689.39598560333</v>
      </c>
      <c r="G708" s="15" t="n">
        <f aca="false">F708*(1+IF(G$3&lt;=$O$2,$D708,$D708-($D708-$I$697)*MIN(G$3-$O$2,$Q$2)/$Q$2))</f>
        <v>2664.44553456502</v>
      </c>
      <c r="H708" s="15" t="n">
        <f aca="false">G708*(1+IF(H$3&lt;=$O$2,$D708,$D708-($D708-$I$697)*MIN(H$3-$O$2,$Q$2)/$Q$2))</f>
        <v>2639.72655743771</v>
      </c>
      <c r="I708" s="15" t="n">
        <f aca="false">H708*(1+IF(I$3&lt;=$O$2,$D708,$D708-($D708-$I$697)*MIN(I$3-$O$2,$Q$2)/$Q$2))</f>
        <v>2615.23690675835</v>
      </c>
      <c r="J708" s="15" t="n">
        <f aca="false">I708*(1+IF(J$3&lt;=$O$2,$D708,$D708-($D708-$I$697)*MIN(J$3-$O$2,$Q$2)/$Q$2))</f>
        <v>2615.85966004678</v>
      </c>
      <c r="K708" s="15" t="n">
        <f aca="false">J708*(1+IF(K$3&lt;=$O$2,$D708,$D708-($D708-$I$697)*MIN(K$3-$O$2,$Q$2)/$Q$2))</f>
        <v>2641.37369247789</v>
      </c>
      <c r="L708" s="15" t="n">
        <f aca="false">K708*(1+IF(L$3&lt;=$O$2,$D708,$D708-($D708-$I$697)*MIN(L$3-$O$2,$Q$2)/$Q$2))</f>
        <v>2692.2704872441</v>
      </c>
      <c r="M708" s="15" t="n">
        <f aca="false">L708*(1+IF(M$3&lt;=$O$2,$D708,$D708-($D708-$I$697)*MIN(M$3-$O$2,$Q$2)/$Q$2))</f>
        <v>2769.76623121763</v>
      </c>
      <c r="N708" s="15" t="n">
        <f aca="false">M708*(1+IF(N$3&lt;=$O$2,$D708,$D708-($D708-$I$697)*MIN(N$3-$O$2,$Q$2)/$Q$2))</f>
        <v>2875.84827787326</v>
      </c>
      <c r="O708" s="15" t="n">
        <f aca="false">SUMPRODUCT(E708:N708,1/(1+$F$697)^$E$3:$N$3)*$E$2</f>
        <v>11900.1927033607</v>
      </c>
      <c r="P708" s="15" t="n">
        <f aca="false">N708*$E$2*(1+$I$697)/($F$697-$I$697)/(1+$F$697)^$N$3</f>
        <v>18021.1455575182</v>
      </c>
      <c r="Q708" s="15" t="n">
        <f aca="false">O708+P708</f>
        <v>29921.3382608789</v>
      </c>
      <c r="R708" s="15" t="n">
        <f aca="false">Q708-$G$2+$I$2</f>
        <v>30691.3382608789</v>
      </c>
      <c r="S708" s="42" t="n">
        <f aca="false">R708/$K$2</f>
        <v>293.89388356678</v>
      </c>
      <c r="T708" s="43" t="n">
        <f aca="false">S708-$M$2</f>
        <v>1.64069961580827</v>
      </c>
    </row>
    <row r="709" customFormat="false" ht="15" hidden="false" customHeight="false" outlineLevel="0" collapsed="false">
      <c r="A709" s="5" t="n">
        <v>11</v>
      </c>
      <c r="B709" s="25" t="n">
        <f aca="false">IF(T708&gt;0,B708,D708)</f>
        <v>-0.0107421875</v>
      </c>
      <c r="C709" s="25" t="n">
        <f aca="false">IF(T708&gt;0,D708,C708)</f>
        <v>-0.00927734375</v>
      </c>
      <c r="D709" s="41" t="n">
        <f aca="false">(B709+C709)/2</f>
        <v>-0.010009765625</v>
      </c>
      <c r="E709" s="15" t="n">
        <f aca="false">$C$2*(1+IF(E$3&lt;=$O$2,$D709,$D709-($D709-$I$697)*MIN(E$3-$O$2,$Q$2)/$Q$2))</f>
        <v>2712.5732421875</v>
      </c>
      <c r="F709" s="15" t="n">
        <f aca="false">E709*(1+IF(F$3&lt;=$O$2,$D709,$D709-($D709-$I$697)*MIN(F$3-$O$2,$Q$2)/$Q$2))</f>
        <v>2685.42101979256</v>
      </c>
      <c r="G709" s="15" t="n">
        <f aca="false">F709*(1+IF(G$3&lt;=$O$2,$D709,$D709-($D709-$I$697)*MIN(G$3-$O$2,$Q$2)/$Q$2))</f>
        <v>2658.54058477999</v>
      </c>
      <c r="H709" s="15" t="n">
        <f aca="false">G709*(1+IF(H$3&lt;=$O$2,$D709,$D709-($D709-$I$697)*MIN(H$3-$O$2,$Q$2)/$Q$2))</f>
        <v>2631.92921662179</v>
      </c>
      <c r="I709" s="15" t="n">
        <f aca="false">H709*(1+IF(I$3&lt;=$O$2,$D709,$D709-($D709-$I$697)*MIN(I$3-$O$2,$Q$2)/$Q$2))</f>
        <v>2605.58422202181</v>
      </c>
      <c r="J709" s="15" t="n">
        <f aca="false">I709*(1+IF(J$3&lt;=$O$2,$D709,$D709-($D709-$I$697)*MIN(J$3-$O$2,$Q$2)/$Q$2))</f>
        <v>2604.67796725959</v>
      </c>
      <c r="K709" s="15" t="n">
        <f aca="false">J709*(1+IF(K$3&lt;=$O$2,$D709,$D709-($D709-$I$697)*MIN(K$3-$O$2,$Q$2)/$Q$2))</f>
        <v>2628.93830412949</v>
      </c>
      <c r="L709" s="15" t="n">
        <f aca="false">K709*(1+IF(L$3&lt;=$O$2,$D709,$D709-($D709-$I$697)*MIN(L$3-$O$2,$Q$2)/$Q$2))</f>
        <v>2678.82528385161</v>
      </c>
      <c r="M709" s="15" t="n">
        <f aca="false">L709*(1+IF(M$3&lt;=$O$2,$D709,$D709-($D709-$I$697)*MIN(M$3-$O$2,$Q$2)/$Q$2))</f>
        <v>2755.54160790049</v>
      </c>
      <c r="N709" s="15" t="n">
        <f aca="false">M709*(1+IF(N$3&lt;=$O$2,$D709,$D709-($D709-$I$697)*MIN(N$3-$O$2,$Q$2)/$Q$2))</f>
        <v>2861.07885148308</v>
      </c>
      <c r="O709" s="15" t="n">
        <f aca="false">SUMPRODUCT(E709:N709,1/(1+$F$697)^$E$3:$N$3)*$E$2</f>
        <v>11862.3803013514</v>
      </c>
      <c r="P709" s="15" t="n">
        <f aca="false">N709*$E$2*(1+$I$697)/($F$697-$I$697)/(1+$F$697)^$N$3</f>
        <v>17928.5947839512</v>
      </c>
      <c r="Q709" s="15" t="n">
        <f aca="false">O709+P709</f>
        <v>29790.9750853026</v>
      </c>
      <c r="R709" s="15" t="n">
        <f aca="false">Q709-$G$2+$I$2</f>
        <v>30560.9750853026</v>
      </c>
      <c r="S709" s="42" t="n">
        <f aca="false">R709/$K$2</f>
        <v>292.645552861272</v>
      </c>
      <c r="T709" s="43" t="n">
        <f aca="false">S709-$M$2</f>
        <v>0.392368910299524</v>
      </c>
    </row>
    <row r="710" customFormat="false" ht="15" hidden="false" customHeight="false" outlineLevel="0" collapsed="false">
      <c r="A710" s="5" t="n">
        <v>12</v>
      </c>
      <c r="B710" s="25" t="n">
        <f aca="false">IF(T709&gt;0,B709,D709)</f>
        <v>-0.0107421875</v>
      </c>
      <c r="C710" s="25" t="n">
        <f aca="false">IF(T709&gt;0,D709,C709)</f>
        <v>-0.010009765625</v>
      </c>
      <c r="D710" s="41" t="n">
        <f aca="false">(B710+C710)/2</f>
        <v>-0.0103759765625</v>
      </c>
      <c r="E710" s="15" t="n">
        <f aca="false">$C$2*(1+IF(E$3&lt;=$O$2,$D710,$D710-($D710-$I$697)*MIN(E$3-$O$2,$Q$2)/$Q$2))</f>
        <v>2711.56982421875</v>
      </c>
      <c r="F710" s="15" t="n">
        <f aca="false">E710*(1+IF(F$3&lt;=$O$2,$D710,$D710-($D710-$I$697)*MIN(F$3-$O$2,$Q$2)/$Q$2))</f>
        <v>2683.43463927507</v>
      </c>
      <c r="G710" s="15" t="n">
        <f aca="false">F710*(1+IF(G$3&lt;=$O$2,$D710,$D710-($D710-$I$697)*MIN(G$3-$O$2,$Q$2)/$Q$2))</f>
        <v>2655.59138435096</v>
      </c>
      <c r="H710" s="15" t="n">
        <f aca="false">G710*(1+IF(H$3&lt;=$O$2,$D710,$D710-($D710-$I$697)*MIN(H$3-$O$2,$Q$2)/$Q$2))</f>
        <v>2628.03703038735</v>
      </c>
      <c r="I710" s="15" t="n">
        <f aca="false">H710*(1+IF(I$3&lt;=$O$2,$D710,$D710-($D710-$I$697)*MIN(I$3-$O$2,$Q$2)/$Q$2))</f>
        <v>2600.76857975467</v>
      </c>
      <c r="J710" s="15" t="n">
        <f aca="false">I710*(1+IF(J$3&lt;=$O$2,$D710,$D710-($D710-$I$697)*MIN(J$3-$O$2,$Q$2)/$Q$2))</f>
        <v>2599.10205601318</v>
      </c>
      <c r="K710" s="15" t="n">
        <f aca="false">J710*(1+IF(K$3&lt;=$O$2,$D710,$D710-($D710-$I$697)*MIN(K$3-$O$2,$Q$2)/$Q$2))</f>
        <v>2622.73936630125</v>
      </c>
      <c r="L710" s="15" t="n">
        <f aca="false">K710*(1+IF(L$3&lt;=$O$2,$D710,$D710-($D710-$I$697)*MIN(L$3-$O$2,$Q$2)/$Q$2))</f>
        <v>2672.12452406114</v>
      </c>
      <c r="M710" s="15" t="n">
        <f aca="false">L710*(1+IF(M$3&lt;=$O$2,$D710,$D710-($D710-$I$697)*MIN(M$3-$O$2,$Q$2)/$Q$2))</f>
        <v>2748.45323919163</v>
      </c>
      <c r="N710" s="15" t="n">
        <f aca="false">M710*(1+IF(N$3&lt;=$O$2,$D710,$D710-($D710-$I$697)*MIN(N$3-$O$2,$Q$2)/$Q$2))</f>
        <v>2853.71899825267</v>
      </c>
      <c r="O710" s="15" t="n">
        <f aca="false">SUMPRODUCT(E710:N710,1/(1+$F$697)^$E$3:$N$3)*$E$2</f>
        <v>11843.5204193333</v>
      </c>
      <c r="P710" s="15" t="n">
        <f aca="false">N710*$E$2*(1+$I$697)/($F$697-$I$697)/(1+$F$697)^$N$3</f>
        <v>17882.4751790444</v>
      </c>
      <c r="Q710" s="15" t="n">
        <f aca="false">O710+P710</f>
        <v>29725.9955983777</v>
      </c>
      <c r="R710" s="15" t="n">
        <f aca="false">Q710-$G$2+$I$2</f>
        <v>30495.9955983777</v>
      </c>
      <c r="S710" s="42" t="n">
        <f aca="false">R710/$K$2</f>
        <v>292.023322784427</v>
      </c>
      <c r="T710" s="43" t="n">
        <f aca="false">S710-$M$2</f>
        <v>-0.229861166544936</v>
      </c>
    </row>
    <row r="711" customFormat="false" ht="15" hidden="false" customHeight="false" outlineLevel="0" collapsed="false">
      <c r="A711" s="5" t="n">
        <v>13</v>
      </c>
      <c r="B711" s="25" t="n">
        <f aca="false">IF(T710&gt;0,B710,D710)</f>
        <v>-0.0103759765625</v>
      </c>
      <c r="C711" s="25" t="n">
        <f aca="false">IF(T710&gt;0,D710,C710)</f>
        <v>-0.010009765625</v>
      </c>
      <c r="D711" s="41" t="n">
        <f aca="false">(B711+C711)/2</f>
        <v>-0.01019287109375</v>
      </c>
      <c r="E711" s="15" t="n">
        <f aca="false">$C$2*(1+IF(E$3&lt;=$O$2,$D711,$D711-($D711-$I$697)*MIN(E$3-$O$2,$Q$2)/$Q$2))</f>
        <v>2712.07153320313</v>
      </c>
      <c r="F711" s="15" t="n">
        <f aca="false">E711*(1+IF(F$3&lt;=$O$2,$D711,$D711-($D711-$I$697)*MIN(F$3-$O$2,$Q$2)/$Q$2))</f>
        <v>2684.42773766816</v>
      </c>
      <c r="G711" s="15" t="n">
        <f aca="false">F711*(1+IF(G$3&lt;=$O$2,$D711,$D711-($D711-$I$697)*MIN(G$3-$O$2,$Q$2)/$Q$2))</f>
        <v>2657.06571177762</v>
      </c>
      <c r="H711" s="15" t="n">
        <f aca="false">G711*(1+IF(H$3&lt;=$O$2,$D711,$D711-($D711-$I$697)*MIN(H$3-$O$2,$Q$2)/$Q$2))</f>
        <v>2629.98258348985</v>
      </c>
      <c r="I711" s="15" t="n">
        <f aca="false">H711*(1+IF(I$3&lt;=$O$2,$D711,$D711-($D711-$I$697)*MIN(I$3-$O$2,$Q$2)/$Q$2))</f>
        <v>2603.17551003753</v>
      </c>
      <c r="J711" s="15" t="n">
        <f aca="false">I711*(1+IF(J$3&lt;=$O$2,$D711,$D711-($D711-$I$697)*MIN(J$3-$O$2,$Q$2)/$Q$2))</f>
        <v>2601.88876851784</v>
      </c>
      <c r="K711" s="15" t="n">
        <f aca="false">J711*(1+IF(K$3&lt;=$O$2,$D711,$D711-($D711-$I$697)*MIN(K$3-$O$2,$Q$2)/$Q$2))</f>
        <v>2625.83727436086</v>
      </c>
      <c r="L711" s="15" t="n">
        <f aca="false">K711*(1+IF(L$3&lt;=$O$2,$D711,$D711-($D711-$I$697)*MIN(L$3-$O$2,$Q$2)/$Q$2))</f>
        <v>2675.47308658539</v>
      </c>
      <c r="M711" s="15" t="n">
        <f aca="false">L711*(1+IF(M$3&lt;=$O$2,$D711,$D711-($D711-$I$697)*MIN(M$3-$O$2,$Q$2)/$Q$2))</f>
        <v>2751.99543150109</v>
      </c>
      <c r="N711" s="15" t="n">
        <f aca="false">M711*(1+IF(N$3&lt;=$O$2,$D711,$D711-($D711-$I$697)*MIN(N$3-$O$2,$Q$2)/$Q$2))</f>
        <v>2857.39685652758</v>
      </c>
      <c r="O711" s="15" t="n">
        <f aca="false">SUMPRODUCT(E711:N711,1/(1+$F$697)^$E$3:$N$3)*$E$2</f>
        <v>11852.9465054259</v>
      </c>
      <c r="P711" s="15" t="n">
        <f aca="false">N711*$E$2*(1+$I$697)/($F$697-$I$697)/(1+$F$697)^$N$3</f>
        <v>17905.5220205006</v>
      </c>
      <c r="Q711" s="15" t="n">
        <f aca="false">O711+P711</f>
        <v>29758.4685259265</v>
      </c>
      <c r="R711" s="15" t="n">
        <f aca="false">Q711-$G$2+$I$2</f>
        <v>30528.4685259265</v>
      </c>
      <c r="S711" s="42" t="n">
        <f aca="false">R711/$K$2</f>
        <v>292.334276797151</v>
      </c>
      <c r="T711" s="43" t="n">
        <f aca="false">S711-$M$2</f>
        <v>0.0810928461793878</v>
      </c>
    </row>
    <row r="712" customFormat="false" ht="15" hidden="false" customHeight="false" outlineLevel="0" collapsed="false">
      <c r="A712" s="5" t="n">
        <v>14</v>
      </c>
      <c r="B712" s="25" t="n">
        <f aca="false">IF(T711&gt;0,B711,D711)</f>
        <v>-0.0103759765625</v>
      </c>
      <c r="C712" s="25" t="n">
        <f aca="false">IF(T711&gt;0,D711,C711)</f>
        <v>-0.01019287109375</v>
      </c>
      <c r="D712" s="41" t="n">
        <f aca="false">(B712+C712)/2</f>
        <v>-0.010284423828125</v>
      </c>
      <c r="E712" s="15" t="n">
        <f aca="false">$C$2*(1+IF(E$3&lt;=$O$2,$D712,$D712-($D712-$I$697)*MIN(E$3-$O$2,$Q$2)/$Q$2))</f>
        <v>2711.82067871094</v>
      </c>
      <c r="F712" s="15" t="n">
        <f aca="false">E712*(1+IF(F$3&lt;=$O$2,$D712,$D712-($D712-$I$697)*MIN(F$3-$O$2,$Q$2)/$Q$2))</f>
        <v>2683.9311655052</v>
      </c>
      <c r="G712" s="15" t="n">
        <f aca="false">F712*(1+IF(G$3&lt;=$O$2,$D712,$D712-($D712-$I$697)*MIN(G$3-$O$2,$Q$2)/$Q$2))</f>
        <v>2656.32847987363</v>
      </c>
      <c r="H712" s="15" t="n">
        <f aca="false">G712*(1+IF(H$3&lt;=$O$2,$D712,$D712-($D712-$I$697)*MIN(H$3-$O$2,$Q$2)/$Q$2))</f>
        <v>2629.00967195989</v>
      </c>
      <c r="I712" s="15" t="n">
        <f aca="false">H712*(1+IF(I$3&lt;=$O$2,$D712,$D712-($D712-$I$697)*MIN(I$3-$O$2,$Q$2)/$Q$2))</f>
        <v>2601.97182224522</v>
      </c>
      <c r="J712" s="15" t="n">
        <f aca="false">I712*(1+IF(J$3&lt;=$O$2,$D712,$D712-($D712-$I$697)*MIN(J$3-$O$2,$Q$2)/$Q$2))</f>
        <v>2600.49510159657</v>
      </c>
      <c r="K712" s="15" t="n">
        <f aca="false">J712*(1+IF(K$3&lt;=$O$2,$D712,$D712-($D712-$I$697)*MIN(K$3-$O$2,$Q$2)/$Q$2))</f>
        <v>2624.28793028036</v>
      </c>
      <c r="L712" s="15" t="n">
        <f aca="false">K712*(1+IF(L$3&lt;=$O$2,$D712,$D712-($D712-$I$697)*MIN(L$3-$O$2,$Q$2)/$Q$2))</f>
        <v>2673.79835118939</v>
      </c>
      <c r="M712" s="15" t="n">
        <f aca="false">L712*(1+IF(M$3&lt;=$O$2,$D712,$D712-($D712-$I$697)*MIN(M$3-$O$2,$Q$2)/$Q$2))</f>
        <v>2750.22383757492</v>
      </c>
      <c r="N712" s="15" t="n">
        <f aca="false">M712*(1+IF(N$3&lt;=$O$2,$D712,$D712-($D712-$I$697)*MIN(N$3-$O$2,$Q$2)/$Q$2))</f>
        <v>2855.55741055403</v>
      </c>
      <c r="O712" s="15" t="n">
        <f aca="false">SUMPRODUCT(E712:N712,1/(1+$F$697)^$E$3:$N$3)*$E$2</f>
        <v>11848.2324990251</v>
      </c>
      <c r="P712" s="15" t="n">
        <f aca="false">N712*$E$2*(1+$I$697)/($F$697-$I$697)/(1+$F$697)^$N$3</f>
        <v>17893.9953610834</v>
      </c>
      <c r="Q712" s="15" t="n">
        <f aca="false">O712+P712</f>
        <v>29742.2278601085</v>
      </c>
      <c r="R712" s="15" t="n">
        <f aca="false">Q712-$G$2+$I$2</f>
        <v>30512.2278601085</v>
      </c>
      <c r="S712" s="42" t="n">
        <f aca="false">R712/$K$2</f>
        <v>292.178759552892</v>
      </c>
      <c r="T712" s="43" t="n">
        <f aca="false">S712-$M$2</f>
        <v>-0.0744243980800547</v>
      </c>
    </row>
    <row r="713" customFormat="false" ht="15" hidden="false" customHeight="false" outlineLevel="0" collapsed="false">
      <c r="A713" s="5" t="n">
        <v>15</v>
      </c>
      <c r="B713" s="25" t="n">
        <f aca="false">IF(T712&gt;0,B712,D712)</f>
        <v>-0.010284423828125</v>
      </c>
      <c r="C713" s="25" t="n">
        <f aca="false">IF(T712&gt;0,D712,C712)</f>
        <v>-0.01019287109375</v>
      </c>
      <c r="D713" s="41" t="n">
        <f aca="false">(B713+C713)/2</f>
        <v>-0.0102386474609375</v>
      </c>
      <c r="E713" s="15" t="n">
        <f aca="false">$C$2*(1+IF(E$3&lt;=$O$2,$D713,$D713-($D713-$I$697)*MIN(E$3-$O$2,$Q$2)/$Q$2))</f>
        <v>2711.94610595703</v>
      </c>
      <c r="F713" s="15" t="n">
        <f aca="false">E713*(1+IF(F$3&lt;=$O$2,$D713,$D713-($D713-$I$697)*MIN(F$3-$O$2,$Q$2)/$Q$2))</f>
        <v>2684.17944584508</v>
      </c>
      <c r="G713" s="15" t="n">
        <f aca="false">F713*(1+IF(G$3&lt;=$O$2,$D713,$D713-($D713-$I$697)*MIN(G$3-$O$2,$Q$2)/$Q$2))</f>
        <v>2656.69707877717</v>
      </c>
      <c r="H713" s="15" t="n">
        <f aca="false">G713*(1+IF(H$3&lt;=$O$2,$D713,$D713-($D713-$I$697)*MIN(H$3-$O$2,$Q$2)/$Q$2))</f>
        <v>2629.49609397707</v>
      </c>
      <c r="I713" s="15" t="n">
        <f aca="false">H713*(1+IF(I$3&lt;=$O$2,$D713,$D713-($D713-$I$697)*MIN(I$3-$O$2,$Q$2)/$Q$2))</f>
        <v>2602.57361047093</v>
      </c>
      <c r="J713" s="15" t="n">
        <f aca="false">I713*(1+IF(J$3&lt;=$O$2,$D713,$D713-($D713-$I$697)*MIN(J$3-$O$2,$Q$2)/$Q$2))</f>
        <v>2601.19185737613</v>
      </c>
      <c r="K713" s="15" t="n">
        <f aca="false">J713*(1+IF(K$3&lt;=$O$2,$D713,$D713-($D713-$I$697)*MIN(K$3-$O$2,$Q$2)/$Q$2))</f>
        <v>2625.06250478757</v>
      </c>
      <c r="L713" s="15" t="n">
        <f aca="false">K713*(1+IF(L$3&lt;=$O$2,$D713,$D713-($D713-$I$697)*MIN(L$3-$O$2,$Q$2)/$Q$2))</f>
        <v>2674.63560532782</v>
      </c>
      <c r="M713" s="15" t="n">
        <f aca="false">L713*(1+IF(M$3&lt;=$O$2,$D713,$D713-($D713-$I$697)*MIN(M$3-$O$2,$Q$2)/$Q$2))</f>
        <v>2751.10951006518</v>
      </c>
      <c r="N713" s="15" t="n">
        <f aca="false">M713*(1+IF(N$3&lt;=$O$2,$D713,$D713-($D713-$I$697)*MIN(N$3-$O$2,$Q$2)/$Q$2))</f>
        <v>2856.47700430067</v>
      </c>
      <c r="O713" s="15" t="n">
        <f aca="false">SUMPRODUCT(E713:N713,1/(1+$F$697)^$E$3:$N$3)*$E$2</f>
        <v>11850.58926134</v>
      </c>
      <c r="P713" s="15" t="n">
        <f aca="false">N713*$E$2*(1+$I$697)/($F$697-$I$697)/(1+$F$697)^$N$3</f>
        <v>17899.7578809248</v>
      </c>
      <c r="Q713" s="15" t="n">
        <f aca="false">O713+P713</f>
        <v>29750.3471422648</v>
      </c>
      <c r="R713" s="15" t="n">
        <f aca="false">Q713-$G$2+$I$2</f>
        <v>30520.3471422648</v>
      </c>
      <c r="S713" s="42" t="n">
        <f aca="false">R713/$K$2</f>
        <v>292.256508113232</v>
      </c>
      <c r="T713" s="43" t="n">
        <f aca="false">S713-$M$2</f>
        <v>0.00332416226001442</v>
      </c>
    </row>
    <row r="714" customFormat="false" ht="15" hidden="false" customHeight="false" outlineLevel="0" collapsed="false">
      <c r="A714" s="5" t="n">
        <v>16</v>
      </c>
      <c r="B714" s="25" t="n">
        <f aca="false">IF(T713&gt;0,B713,D713)</f>
        <v>-0.010284423828125</v>
      </c>
      <c r="C714" s="25" t="n">
        <f aca="false">IF(T713&gt;0,D713,C713)</f>
        <v>-0.0102386474609375</v>
      </c>
      <c r="D714" s="41" t="n">
        <f aca="false">(B714+C714)/2</f>
        <v>-0.0102615356445313</v>
      </c>
      <c r="E714" s="15" t="n">
        <f aca="false">$C$2*(1+IF(E$3&lt;=$O$2,$D714,$D714-($D714-$I$697)*MIN(E$3-$O$2,$Q$2)/$Q$2))</f>
        <v>2711.88339233398</v>
      </c>
      <c r="F714" s="15" t="n">
        <f aca="false">E714*(1+IF(F$3&lt;=$O$2,$D714,$D714-($D714-$I$697)*MIN(F$3-$O$2,$Q$2)/$Q$2))</f>
        <v>2684.05530423974</v>
      </c>
      <c r="G714" s="15" t="n">
        <f aca="false">F714*(1+IF(G$3&lt;=$O$2,$D714,$D714-($D714-$I$697)*MIN(G$3-$O$2,$Q$2)/$Q$2))</f>
        <v>2656.51277506339</v>
      </c>
      <c r="H714" s="15" t="n">
        <f aca="false">G714*(1+IF(H$3&lt;=$O$2,$D714,$D714-($D714-$I$697)*MIN(H$3-$O$2,$Q$2)/$Q$2))</f>
        <v>2629.25287453192</v>
      </c>
      <c r="I714" s="15" t="n">
        <f aca="false">H714*(1+IF(I$3&lt;=$O$2,$D714,$D714-($D714-$I$697)*MIN(I$3-$O$2,$Q$2)/$Q$2))</f>
        <v>2602.27270244143</v>
      </c>
      <c r="J714" s="15" t="n">
        <f aca="false">I714*(1+IF(J$3&lt;=$O$2,$D714,$D714-($D714-$I$697)*MIN(J$3-$O$2,$Q$2)/$Q$2))</f>
        <v>2600.84346006781</v>
      </c>
      <c r="K714" s="15" t="n">
        <f aca="false">J714*(1+IF(K$3&lt;=$O$2,$D714,$D714-($D714-$I$697)*MIN(K$3-$O$2,$Q$2)/$Q$2))</f>
        <v>2624.67519315325</v>
      </c>
      <c r="L714" s="15" t="n">
        <f aca="false">K714*(1+IF(L$3&lt;=$O$2,$D714,$D714-($D714-$I$697)*MIN(L$3-$O$2,$Q$2)/$Q$2))</f>
        <v>2674.21694987197</v>
      </c>
      <c r="M714" s="15" t="n">
        <f aca="false">L714*(1+IF(M$3&lt;=$O$2,$D714,$D714-($D714-$I$697)*MIN(M$3-$O$2,$Q$2)/$Q$2))</f>
        <v>2750.66664270558</v>
      </c>
      <c r="N714" s="15" t="n">
        <f aca="false">M714*(1+IF(N$3&lt;=$O$2,$D714,$D714-($D714-$I$697)*MIN(N$3-$O$2,$Q$2)/$Q$2))</f>
        <v>2856.01717512121</v>
      </c>
      <c r="O714" s="15" t="n">
        <f aca="false">SUMPRODUCT(E714:N714,1/(1+$F$697)^$E$3:$N$3)*$E$2</f>
        <v>11849.4108199671</v>
      </c>
      <c r="P714" s="15" t="n">
        <f aca="false">N714*$E$2*(1+$I$697)/($F$697-$I$697)/(1+$F$697)^$N$3</f>
        <v>17896.8764185617</v>
      </c>
      <c r="Q714" s="15" t="n">
        <f aca="false">O714+P714</f>
        <v>29746.2872385287</v>
      </c>
      <c r="R714" s="15" t="n">
        <f aca="false">Q714-$G$2+$I$2</f>
        <v>30516.2872385287</v>
      </c>
      <c r="S714" s="42" t="n">
        <f aca="false">R714/$K$2</f>
        <v>292.217631317904</v>
      </c>
      <c r="T714" s="43" t="n">
        <f aca="false">S714-$M$2</f>
        <v>-0.0355526330679368</v>
      </c>
    </row>
    <row r="715" customFormat="false" ht="15" hidden="false" customHeight="false" outlineLevel="0" collapsed="false">
      <c r="A715" s="5" t="n">
        <v>17</v>
      </c>
      <c r="B715" s="25" t="n">
        <f aca="false">IF(T714&gt;0,B714,D714)</f>
        <v>-0.0102615356445313</v>
      </c>
      <c r="C715" s="25" t="n">
        <f aca="false">IF(T714&gt;0,D714,C714)</f>
        <v>-0.0102386474609375</v>
      </c>
      <c r="D715" s="41" t="n">
        <f aca="false">(B715+C715)/2</f>
        <v>-0.0102500915527344</v>
      </c>
      <c r="E715" s="15" t="n">
        <f aca="false">$C$2*(1+IF(E$3&lt;=$O$2,$D715,$D715-($D715-$I$697)*MIN(E$3-$O$2,$Q$2)/$Q$2))</f>
        <v>2711.91474914551</v>
      </c>
      <c r="F715" s="15" t="n">
        <f aca="false">E715*(1+IF(F$3&lt;=$O$2,$D715,$D715-($D715-$I$697)*MIN(F$3-$O$2,$Q$2)/$Q$2))</f>
        <v>2684.11737468356</v>
      </c>
      <c r="G715" s="15" t="n">
        <f aca="false">F715*(1+IF(G$3&lt;=$O$2,$D715,$D715-($D715-$I$697)*MIN(G$3-$O$2,$Q$2)/$Q$2))</f>
        <v>2656.60492585476</v>
      </c>
      <c r="H715" s="15" t="n">
        <f aca="false">G715*(1+IF(H$3&lt;=$O$2,$D715,$D715-($D715-$I$697)*MIN(H$3-$O$2,$Q$2)/$Q$2))</f>
        <v>2629.37448214531</v>
      </c>
      <c r="I715" s="15" t="n">
        <f aca="false">H715*(1+IF(I$3&lt;=$O$2,$D715,$D715-($D715-$I$697)*MIN(I$3-$O$2,$Q$2)/$Q$2))</f>
        <v>2602.4231529769</v>
      </c>
      <c r="J715" s="15" t="n">
        <f aca="false">I715*(1+IF(J$3&lt;=$O$2,$D715,$D715-($D715-$I$697)*MIN(J$3-$O$2,$Q$2)/$Q$2))</f>
        <v>2601.01765386712</v>
      </c>
      <c r="K715" s="15" t="n">
        <f aca="false">J715*(1+IF(K$3&lt;=$O$2,$D715,$D715-($D715-$I$697)*MIN(K$3-$O$2,$Q$2)/$Q$2))</f>
        <v>2624.86884287492</v>
      </c>
      <c r="L715" s="15" t="n">
        <f aca="false">K715*(1+IF(L$3&lt;=$O$2,$D715,$D715-($D715-$I$697)*MIN(L$3-$O$2,$Q$2)/$Q$2))</f>
        <v>2674.42627050283</v>
      </c>
      <c r="M715" s="15" t="n">
        <f aca="false">L715*(1+IF(M$3&lt;=$O$2,$D715,$D715-($D715-$I$697)*MIN(M$3-$O$2,$Q$2)/$Q$2))</f>
        <v>2750.8880686063</v>
      </c>
      <c r="N715" s="15" t="n">
        <f aca="false">M715*(1+IF(N$3&lt;=$O$2,$D715,$D715-($D715-$I$697)*MIN(N$3-$O$2,$Q$2)/$Q$2))</f>
        <v>2856.24708163392</v>
      </c>
      <c r="O715" s="15" t="n">
        <f aca="false">SUMPRODUCT(E715:N715,1/(1+$F$697)^$E$3:$N$3)*$E$2</f>
        <v>11850.0000255989</v>
      </c>
      <c r="P715" s="15" t="n">
        <f aca="false">N715*$E$2*(1+$I$697)/($F$697-$I$697)/(1+$F$697)^$N$3</f>
        <v>17898.3170991296</v>
      </c>
      <c r="Q715" s="15" t="n">
        <f aca="false">O715+P715</f>
        <v>29748.3171247285</v>
      </c>
      <c r="R715" s="15" t="n">
        <f aca="false">Q715-$G$2+$I$2</f>
        <v>30518.3171247285</v>
      </c>
      <c r="S715" s="42" t="n">
        <f aca="false">R715/$K$2</f>
        <v>292.237069086742</v>
      </c>
      <c r="T715" s="43" t="n">
        <f aca="false">S715-$M$2</f>
        <v>-0.0161148642295643</v>
      </c>
    </row>
    <row r="716" customFormat="false" ht="15" hidden="false" customHeight="false" outlineLevel="0" collapsed="false">
      <c r="A716" s="5" t="n">
        <v>18</v>
      </c>
      <c r="B716" s="25" t="n">
        <f aca="false">IF(T715&gt;0,B715,D715)</f>
        <v>-0.0102500915527344</v>
      </c>
      <c r="C716" s="25" t="n">
        <f aca="false">IF(T715&gt;0,D715,C715)</f>
        <v>-0.0102386474609375</v>
      </c>
      <c r="D716" s="41" t="n">
        <f aca="false">(B716+C716)/2</f>
        <v>-0.0102443695068359</v>
      </c>
      <c r="E716" s="15" t="n">
        <f aca="false">$C$2*(1+IF(E$3&lt;=$O$2,$D716,$D716-($D716-$I$697)*MIN(E$3-$O$2,$Q$2)/$Q$2))</f>
        <v>2711.93042755127</v>
      </c>
      <c r="F716" s="15" t="n">
        <f aca="false">E716*(1+IF(F$3&lt;=$O$2,$D716,$D716-($D716-$I$697)*MIN(F$3-$O$2,$Q$2)/$Q$2))</f>
        <v>2684.1484101746</v>
      </c>
      <c r="G716" s="15" t="n">
        <f aca="false">F716*(1+IF(G$3&lt;=$O$2,$D716,$D716-($D716-$I$697)*MIN(G$3-$O$2,$Q$2)/$Q$2))</f>
        <v>2656.65100204959</v>
      </c>
      <c r="H716" s="15" t="n">
        <f aca="false">G716*(1+IF(H$3&lt;=$O$2,$D716,$D716-($D716-$I$697)*MIN(H$3-$O$2,$Q$2)/$Q$2))</f>
        <v>2629.43528753389</v>
      </c>
      <c r="I716" s="15" t="n">
        <f aca="false">H716*(1+IF(I$3&lt;=$O$2,$D716,$D716-($D716-$I$697)*MIN(I$3-$O$2,$Q$2)/$Q$2))</f>
        <v>2602.49838085408</v>
      </c>
      <c r="J716" s="15" t="n">
        <f aca="false">I716*(1+IF(J$3&lt;=$O$2,$D716,$D716-($D716-$I$697)*MIN(J$3-$O$2,$Q$2)/$Q$2))</f>
        <v>2601.10475440789</v>
      </c>
      <c r="K716" s="15" t="n">
        <f aca="false">J716*(1+IF(K$3&lt;=$O$2,$D716,$D716-($D716-$I$697)*MIN(K$3-$O$2,$Q$2)/$Q$2))</f>
        <v>2624.96567230733</v>
      </c>
      <c r="L716" s="15" t="n">
        <f aca="false">K716*(1+IF(L$3&lt;=$O$2,$D716,$D716-($D716-$I$697)*MIN(L$3-$O$2,$Q$2)/$Q$2))</f>
        <v>2674.530936141</v>
      </c>
      <c r="M716" s="15" t="n">
        <f aca="false">L716*(1+IF(M$3&lt;=$O$2,$D716,$D716-($D716-$I$697)*MIN(M$3-$O$2,$Q$2)/$Q$2))</f>
        <v>2750.99878739091</v>
      </c>
      <c r="N716" s="15" t="n">
        <f aca="false">M716*(1+IF(N$3&lt;=$O$2,$D716,$D716-($D716-$I$697)*MIN(N$3-$O$2,$Q$2)/$Q$2))</f>
        <v>2856.36204094798</v>
      </c>
      <c r="O716" s="15" t="n">
        <f aca="false">SUMPRODUCT(E716:N716,1/(1+$F$697)^$E$3:$N$3)*$E$2</f>
        <v>11850.2946397058</v>
      </c>
      <c r="P716" s="15" t="n">
        <f aca="false">N716*$E$2*(1+$I$697)/($F$697-$I$697)/(1+$F$697)^$N$3</f>
        <v>17899.0374773734</v>
      </c>
      <c r="Q716" s="15" t="n">
        <f aca="false">O716+P716</f>
        <v>29749.3321170791</v>
      </c>
      <c r="R716" s="15" t="n">
        <f aca="false">Q716-$G$2+$I$2</f>
        <v>30519.3321170791</v>
      </c>
      <c r="S716" s="42" t="n">
        <f aca="false">R716/$K$2</f>
        <v>292.246788442776</v>
      </c>
      <c r="T716" s="43" t="n">
        <f aca="false">S716-$M$2</f>
        <v>-0.00639550819568058</v>
      </c>
    </row>
    <row r="717" customFormat="false" ht="15" hidden="false" customHeight="false" outlineLevel="0" collapsed="false">
      <c r="A717" s="5" t="n">
        <v>19</v>
      </c>
      <c r="B717" s="25" t="n">
        <f aca="false">IF(T716&gt;0,B716,D716)</f>
        <v>-0.0102443695068359</v>
      </c>
      <c r="C717" s="25" t="n">
        <f aca="false">IF(T716&gt;0,D716,C716)</f>
        <v>-0.0102386474609375</v>
      </c>
      <c r="D717" s="41" t="n">
        <f aca="false">(B717+C717)/2</f>
        <v>-0.0102415084838867</v>
      </c>
      <c r="E717" s="15" t="n">
        <f aca="false">$C$2*(1+IF(E$3&lt;=$O$2,$D717,$D717-($D717-$I$697)*MIN(E$3-$O$2,$Q$2)/$Q$2))</f>
        <v>2711.93826675415</v>
      </c>
      <c r="F717" s="15" t="n">
        <f aca="false">E717*(1+IF(F$3&lt;=$O$2,$D717,$D717-($D717-$I$697)*MIN(F$3-$O$2,$Q$2)/$Q$2))</f>
        <v>2684.16392798741</v>
      </c>
      <c r="G717" s="15" t="n">
        <f aca="false">F717*(1+IF(G$3&lt;=$O$2,$D717,$D717-($D717-$I$697)*MIN(G$3-$O$2,$Q$2)/$Q$2))</f>
        <v>2656.67404034678</v>
      </c>
      <c r="H717" s="15" t="n">
        <f aca="false">G717*(1+IF(H$3&lt;=$O$2,$D717,$D717-($D717-$I$697)*MIN(H$3-$O$2,$Q$2)/$Q$2))</f>
        <v>2629.46569062365</v>
      </c>
      <c r="I717" s="15" t="n">
        <f aca="false">H717*(1+IF(I$3&lt;=$O$2,$D717,$D717-($D717-$I$697)*MIN(I$3-$O$2,$Q$2)/$Q$2))</f>
        <v>2602.53599544504</v>
      </c>
      <c r="J717" s="15" t="n">
        <f aca="false">I717*(1+IF(J$3&lt;=$O$2,$D717,$D717-($D717-$I$697)*MIN(J$3-$O$2,$Q$2)/$Q$2))</f>
        <v>2601.14830558857</v>
      </c>
      <c r="K717" s="15" t="n">
        <f aca="false">J717*(1+IF(K$3&lt;=$O$2,$D717,$D717-($D717-$I$697)*MIN(K$3-$O$2,$Q$2)/$Q$2))</f>
        <v>2625.01408816647</v>
      </c>
      <c r="L717" s="15" t="n">
        <f aca="false">K717*(1+IF(L$3&lt;=$O$2,$D717,$D717-($D717-$I$697)*MIN(L$3-$O$2,$Q$2)/$Q$2))</f>
        <v>2674.58327029082</v>
      </c>
      <c r="M717" s="15" t="n">
        <f aca="false">L717*(1+IF(M$3&lt;=$O$2,$D717,$D717-($D717-$I$697)*MIN(M$3-$O$2,$Q$2)/$Q$2))</f>
        <v>2751.05414824183</v>
      </c>
      <c r="N717" s="15" t="n">
        <f aca="false">M717*(1+IF(N$3&lt;=$O$2,$D717,$D717-($D717-$I$697)*MIN(N$3-$O$2,$Q$2)/$Q$2))</f>
        <v>2856.41952211949</v>
      </c>
      <c r="O717" s="15" t="n">
        <f aca="false">SUMPRODUCT(E717:N717,1/(1+$F$697)^$E$3:$N$3)*$E$2</f>
        <v>11850.441949582</v>
      </c>
      <c r="P717" s="15" t="n">
        <f aca="false">N717*$E$2*(1+$I$697)/($F$697-$I$697)/(1+$F$697)^$N$3</f>
        <v>17899.3976759856</v>
      </c>
      <c r="Q717" s="15" t="n">
        <f aca="false">O717+P717</f>
        <v>29749.8396255675</v>
      </c>
      <c r="R717" s="15" t="n">
        <f aca="false">Q717-$G$2+$I$2</f>
        <v>30519.8396255675</v>
      </c>
      <c r="S717" s="42" t="n">
        <f aca="false">R717/$K$2</f>
        <v>292.251648238701</v>
      </c>
      <c r="T717" s="43" t="n">
        <f aca="false">S717-$M$2</f>
        <v>-0.00153571227127713</v>
      </c>
    </row>
    <row r="718" customFormat="false" ht="15" hidden="false" customHeight="false" outlineLevel="0" collapsed="false">
      <c r="A718" s="5" t="n">
        <v>20</v>
      </c>
      <c r="B718" s="25" t="n">
        <f aca="false">IF(T717&gt;0,B717,D717)</f>
        <v>-0.0102415084838867</v>
      </c>
      <c r="C718" s="25" t="n">
        <f aca="false">IF(T717&gt;0,D717,C717)</f>
        <v>-0.0102386474609375</v>
      </c>
      <c r="D718" s="41" t="n">
        <f aca="false">(B718+C718)/2</f>
        <v>-0.0102400779724121</v>
      </c>
      <c r="E718" s="15" t="n">
        <f aca="false">$C$2*(1+IF(E$3&lt;=$O$2,$D718,$D718-($D718-$I$697)*MIN(E$3-$O$2,$Q$2)/$Q$2))</f>
        <v>2711.94218635559</v>
      </c>
      <c r="F718" s="15" t="n">
        <f aca="false">E718*(1+IF(F$3&lt;=$O$2,$D718,$D718-($D718-$I$697)*MIN(F$3-$O$2,$Q$2)/$Q$2))</f>
        <v>2684.17168691064</v>
      </c>
      <c r="G718" s="15" t="n">
        <f aca="false">F718*(1+IF(G$3&lt;=$O$2,$D718,$D718-($D718-$I$697)*MIN(G$3-$O$2,$Q$2)/$Q$2))</f>
        <v>2656.68555954533</v>
      </c>
      <c r="H718" s="15" t="n">
        <f aca="false">G718*(1+IF(H$3&lt;=$O$2,$D718,$D718-($D718-$I$697)*MIN(H$3-$O$2,$Q$2)/$Q$2))</f>
        <v>2629.4808922674</v>
      </c>
      <c r="I718" s="15" t="n">
        <f aca="false">H718*(1+IF(I$3&lt;=$O$2,$D718,$D718-($D718-$I$697)*MIN(I$3-$O$2,$Q$2)/$Q$2))</f>
        <v>2602.55480290362</v>
      </c>
      <c r="J718" s="15" t="n">
        <f aca="false">I718*(1+IF(J$3&lt;=$O$2,$D718,$D718-($D718-$I$697)*MIN(J$3-$O$2,$Q$2)/$Q$2))</f>
        <v>2601.17008140649</v>
      </c>
      <c r="K718" s="15" t="n">
        <f aca="false">J718*(1+IF(K$3&lt;=$O$2,$D718,$D718-($D718-$I$697)*MIN(K$3-$O$2,$Q$2)/$Q$2))</f>
        <v>2625.03829638178</v>
      </c>
      <c r="L718" s="15" t="n">
        <f aca="false">K718*(1+IF(L$3&lt;=$O$2,$D718,$D718-($D718-$I$697)*MIN(L$3-$O$2,$Q$2)/$Q$2))</f>
        <v>2674.60943769842</v>
      </c>
      <c r="M718" s="15" t="n">
        <f aca="false">L718*(1+IF(M$3&lt;=$O$2,$D718,$D718-($D718-$I$697)*MIN(M$3-$O$2,$Q$2)/$Q$2))</f>
        <v>2751.08182903195</v>
      </c>
      <c r="N718" s="15" t="n">
        <f aca="false">M718*(1+IF(N$3&lt;=$O$2,$D718,$D718-($D718-$I$697)*MIN(N$3-$O$2,$Q$2)/$Q$2))</f>
        <v>2856.44826308387</v>
      </c>
      <c r="O718" s="15" t="n">
        <f aca="false">SUMPRODUCT(E718:N718,1/(1+$F$697)^$E$3:$N$3)*$E$2</f>
        <v>11850.5156052258</v>
      </c>
      <c r="P718" s="15" t="n">
        <f aca="false">N718*$E$2*(1+$I$697)/($F$697-$I$697)/(1+$F$697)^$N$3</f>
        <v>17899.5777776643</v>
      </c>
      <c r="Q718" s="15" t="n">
        <f aca="false">O718+P718</f>
        <v>29750.0933828901</v>
      </c>
      <c r="R718" s="15" t="n">
        <f aca="false">Q718-$G$2+$I$2</f>
        <v>30520.0933828901</v>
      </c>
      <c r="S718" s="42" t="n">
        <f aca="false">R718/$K$2</f>
        <v>292.254078166141</v>
      </c>
      <c r="T718" s="43" t="n">
        <f aca="false">S718-$M$2</f>
        <v>0.000894215168500523</v>
      </c>
    </row>
    <row r="719" customFormat="false" ht="15" hidden="false" customHeight="false" outlineLevel="0" collapsed="false">
      <c r="A719" s="5" t="n">
        <v>21</v>
      </c>
      <c r="B719" s="25" t="n">
        <f aca="false">IF(T718&gt;0,B718,D718)</f>
        <v>-0.0102415084838867</v>
      </c>
      <c r="C719" s="25" t="n">
        <f aca="false">IF(T718&gt;0,D718,C718)</f>
        <v>-0.0102400779724121</v>
      </c>
      <c r="D719" s="41" t="n">
        <f aca="false">(B719+C719)/2</f>
        <v>-0.0102407932281494</v>
      </c>
      <c r="E719" s="15" t="n">
        <f aca="false">$C$2*(1+IF(E$3&lt;=$O$2,$D719,$D719-($D719-$I$697)*MIN(E$3-$O$2,$Q$2)/$Q$2))</f>
        <v>2711.94022655487</v>
      </c>
      <c r="F719" s="15" t="n">
        <f aca="false">E719*(1+IF(F$3&lt;=$O$2,$D719,$D719-($D719-$I$697)*MIN(F$3-$O$2,$Q$2)/$Q$2))</f>
        <v>2684.16780744762</v>
      </c>
      <c r="G719" s="15" t="n">
        <f aca="false">F719*(1+IF(G$3&lt;=$O$2,$D719,$D719-($D719-$I$697)*MIN(G$3-$O$2,$Q$2)/$Q$2))</f>
        <v>2656.6797999419</v>
      </c>
      <c r="H719" s="15" t="n">
        <f aca="false">G719*(1+IF(H$3&lt;=$O$2,$D719,$D719-($D719-$I$697)*MIN(H$3-$O$2,$Q$2)/$Q$2))</f>
        <v>2629.47329143729</v>
      </c>
      <c r="I719" s="15" t="n">
        <f aca="false">H719*(1+IF(I$3&lt;=$O$2,$D719,$D719-($D719-$I$697)*MIN(I$3-$O$2,$Q$2)/$Q$2))</f>
        <v>2602.54539916074</v>
      </c>
      <c r="J719" s="15" t="n">
        <f aca="false">I719*(1+IF(J$3&lt;=$O$2,$D719,$D719-($D719-$I$697)*MIN(J$3-$O$2,$Q$2)/$Q$2))</f>
        <v>2601.15919347857</v>
      </c>
      <c r="K719" s="15" t="n">
        <f aca="false">J719*(1+IF(K$3&lt;=$O$2,$D719,$D719-($D719-$I$697)*MIN(K$3-$O$2,$Q$2)/$Q$2))</f>
        <v>2625.02619225031</v>
      </c>
      <c r="L719" s="15" t="n">
        <f aca="false">K719*(1+IF(L$3&lt;=$O$2,$D719,$D719-($D719-$I$697)*MIN(L$3-$O$2,$Q$2)/$Q$2))</f>
        <v>2674.5963539669</v>
      </c>
      <c r="M719" s="15" t="n">
        <f aca="false">L719*(1+IF(M$3&lt;=$O$2,$D719,$D719-($D719-$I$697)*MIN(M$3-$O$2,$Q$2)/$Q$2))</f>
        <v>2751.0679886065</v>
      </c>
      <c r="N719" s="15" t="n">
        <f aca="false">M719*(1+IF(N$3&lt;=$O$2,$D719,$D719-($D719-$I$697)*MIN(N$3-$O$2,$Q$2)/$Q$2))</f>
        <v>2856.43389257013</v>
      </c>
      <c r="O719" s="15" t="n">
        <f aca="false">SUMPRODUCT(E719:N719,1/(1+$F$697)^$E$3:$N$3)*$E$2</f>
        <v>11850.478777345</v>
      </c>
      <c r="P719" s="15" t="n">
        <f aca="false">N719*$E$2*(1+$I$697)/($F$697-$I$697)/(1+$F$697)^$N$3</f>
        <v>17899.4877266272</v>
      </c>
      <c r="Q719" s="15" t="n">
        <f aca="false">O719+P719</f>
        <v>29749.9665039723</v>
      </c>
      <c r="R719" s="15" t="n">
        <f aca="false">Q719-$G$2+$I$2</f>
        <v>30519.9665039723</v>
      </c>
      <c r="S719" s="42" t="n">
        <f aca="false">R719/$K$2</f>
        <v>292.252863199964</v>
      </c>
      <c r="T719" s="43" t="n">
        <f aca="false">S719-$M$2</f>
        <v>-0.000320751007791387</v>
      </c>
    </row>
    <row r="720" customFormat="false" ht="15" hidden="false" customHeight="false" outlineLevel="0" collapsed="false">
      <c r="A720" s="5" t="n">
        <v>22</v>
      </c>
      <c r="B720" s="25" t="n">
        <f aca="false">IF(T719&gt;0,B719,D719)</f>
        <v>-0.0102407932281494</v>
      </c>
      <c r="C720" s="25" t="n">
        <f aca="false">IF(T719&gt;0,D719,C719)</f>
        <v>-0.0102400779724121</v>
      </c>
      <c r="D720" s="41" t="n">
        <f aca="false">(B720+C720)/2</f>
        <v>-0.0102404356002808</v>
      </c>
      <c r="E720" s="15" t="n">
        <f aca="false">$C$2*(1+IF(E$3&lt;=$O$2,$D720,$D720-($D720-$I$697)*MIN(E$3-$O$2,$Q$2)/$Q$2))</f>
        <v>2711.94120645523</v>
      </c>
      <c r="F720" s="15" t="n">
        <f aca="false">E720*(1+IF(F$3&lt;=$O$2,$D720,$D720-($D720-$I$697)*MIN(F$3-$O$2,$Q$2)/$Q$2))</f>
        <v>2684.16974717878</v>
      </c>
      <c r="G720" s="15" t="n">
        <f aca="false">F720*(1+IF(G$3&lt;=$O$2,$D720,$D720-($D720-$I$697)*MIN(G$3-$O$2,$Q$2)/$Q$2))</f>
        <v>2656.68267974257</v>
      </c>
      <c r="H720" s="15" t="n">
        <f aca="false">G720*(1+IF(H$3&lt;=$O$2,$D720,$D720-($D720-$I$697)*MIN(H$3-$O$2,$Q$2)/$Q$2))</f>
        <v>2629.47709185029</v>
      </c>
      <c r="I720" s="15" t="n">
        <f aca="false">H720*(1+IF(I$3&lt;=$O$2,$D720,$D720-($D720-$I$697)*MIN(I$3-$O$2,$Q$2)/$Q$2))</f>
        <v>2602.55010102878</v>
      </c>
      <c r="J720" s="15" t="n">
        <f aca="false">I720*(1+IF(J$3&lt;=$O$2,$D720,$D720-($D720-$I$697)*MIN(J$3-$O$2,$Q$2)/$Q$2))</f>
        <v>2601.16463743779</v>
      </c>
      <c r="K720" s="15" t="n">
        <f aca="false">J720*(1+IF(K$3&lt;=$O$2,$D720,$D720-($D720-$I$697)*MIN(K$3-$O$2,$Q$2)/$Q$2))</f>
        <v>2625.03224431009</v>
      </c>
      <c r="L720" s="15" t="n">
        <f aca="false">K720*(1+IF(L$3&lt;=$O$2,$D720,$D720-($D720-$I$697)*MIN(L$3-$O$2,$Q$2)/$Q$2))</f>
        <v>2674.60289582573</v>
      </c>
      <c r="M720" s="15" t="n">
        <f aca="false">L720*(1+IF(M$3&lt;=$O$2,$D720,$D720-($D720-$I$697)*MIN(M$3-$O$2,$Q$2)/$Q$2))</f>
        <v>2751.07490881162</v>
      </c>
      <c r="N720" s="15" t="n">
        <f aca="false">M720*(1+IF(N$3&lt;=$O$2,$D720,$D720-($D720-$I$697)*MIN(N$3-$O$2,$Q$2)/$Q$2))</f>
        <v>2856.44107781911</v>
      </c>
      <c r="O720" s="15" t="n">
        <f aca="false">SUMPRODUCT(E720:N720,1/(1+$F$697)^$E$3:$N$3)*$E$2</f>
        <v>11850.4971912707</v>
      </c>
      <c r="P720" s="15" t="n">
        <f aca="false">N720*$E$2*(1+$I$697)/($F$697-$I$697)/(1+$F$697)^$N$3</f>
        <v>17899.5327520963</v>
      </c>
      <c r="Q720" s="15" t="n">
        <f aca="false">O720+P720</f>
        <v>29750.029943367</v>
      </c>
      <c r="R720" s="15" t="n">
        <f aca="false">Q720-$G$2+$I$2</f>
        <v>30520.029943367</v>
      </c>
      <c r="S720" s="42" t="n">
        <f aca="false">R720/$K$2</f>
        <v>292.253470682438</v>
      </c>
      <c r="T720" s="43" t="n">
        <f aca="false">S720-$M$2</f>
        <v>0.000286731466303536</v>
      </c>
    </row>
    <row r="721" customFormat="false" ht="15" hidden="false" customHeight="false" outlineLevel="0" collapsed="false">
      <c r="A721" s="5" t="n">
        <v>23</v>
      </c>
      <c r="B721" s="25" t="n">
        <f aca="false">IF(T720&gt;0,B720,D720)</f>
        <v>-0.0102407932281494</v>
      </c>
      <c r="C721" s="25" t="n">
        <f aca="false">IF(T720&gt;0,D720,C720)</f>
        <v>-0.0102404356002808</v>
      </c>
      <c r="D721" s="41" t="n">
        <f aca="false">(B721+C721)/2</f>
        <v>-0.0102406144142151</v>
      </c>
      <c r="E721" s="15" t="n">
        <f aca="false">$C$2*(1+IF(E$3&lt;=$O$2,$D721,$D721-($D721-$I$697)*MIN(E$3-$O$2,$Q$2)/$Q$2))</f>
        <v>2711.94071650505</v>
      </c>
      <c r="F721" s="15" t="n">
        <f aca="false">E721*(1+IF(F$3&lt;=$O$2,$D721,$D721-($D721-$I$697)*MIN(F$3-$O$2,$Q$2)/$Q$2))</f>
        <v>2684.16877731311</v>
      </c>
      <c r="G721" s="15" t="n">
        <f aca="false">F721*(1+IF(G$3&lt;=$O$2,$D721,$D721-($D721-$I$697)*MIN(G$3-$O$2,$Q$2)/$Q$2))</f>
        <v>2656.68123984197</v>
      </c>
      <c r="H721" s="15" t="n">
        <f aca="false">G721*(1+IF(H$3&lt;=$O$2,$D721,$D721-($D721-$I$697)*MIN(H$3-$O$2,$Q$2)/$Q$2))</f>
        <v>2629.47519164327</v>
      </c>
      <c r="I721" s="15" t="n">
        <f aca="false">H721*(1+IF(I$3&lt;=$O$2,$D721,$D721-($D721-$I$697)*MIN(I$3-$O$2,$Q$2)/$Q$2))</f>
        <v>2602.54775009391</v>
      </c>
      <c r="J721" s="15" t="n">
        <f aca="false">I721*(1+IF(J$3&lt;=$O$2,$D721,$D721-($D721-$I$697)*MIN(J$3-$O$2,$Q$2)/$Q$2))</f>
        <v>2601.16191545699</v>
      </c>
      <c r="K721" s="15" t="n">
        <f aca="false">J721*(1+IF(K$3&lt;=$O$2,$D721,$D721-($D721-$I$697)*MIN(K$3-$O$2,$Q$2)/$Q$2))</f>
        <v>2625.02921827871</v>
      </c>
      <c r="L721" s="15" t="n">
        <f aca="false">K721*(1+IF(L$3&lt;=$O$2,$D721,$D721-($D721-$I$697)*MIN(L$3-$O$2,$Q$2)/$Q$2))</f>
        <v>2674.59962489458</v>
      </c>
      <c r="M721" s="15" t="n">
        <f aca="false">L721*(1+IF(M$3&lt;=$O$2,$D721,$D721-($D721-$I$697)*MIN(M$3-$O$2,$Q$2)/$Q$2))</f>
        <v>2751.07144870716</v>
      </c>
      <c r="N721" s="15" t="n">
        <f aca="false">M721*(1+IF(N$3&lt;=$O$2,$D721,$D721-($D721-$I$697)*MIN(N$3-$O$2,$Q$2)/$Q$2))</f>
        <v>2856.43748519265</v>
      </c>
      <c r="O721" s="15" t="n">
        <f aca="false">SUMPRODUCT(E721:N721,1/(1+$F$697)^$E$3:$N$3)*$E$2</f>
        <v>11850.4879843042</v>
      </c>
      <c r="P721" s="15" t="n">
        <f aca="false">N721*$E$2*(1+$I$697)/($F$697-$I$697)/(1+$F$697)^$N$3</f>
        <v>17899.5102393494</v>
      </c>
      <c r="Q721" s="15" t="n">
        <f aca="false">O721+P721</f>
        <v>29749.9982236536</v>
      </c>
      <c r="R721" s="15" t="n">
        <f aca="false">Q721-$G$2+$I$2</f>
        <v>30519.9982236536</v>
      </c>
      <c r="S721" s="42" t="n">
        <f aca="false">R721/$K$2</f>
        <v>292.253166941048</v>
      </c>
      <c r="T721" s="43" t="n">
        <f aca="false">S721-$M$2</f>
        <v>-1.70099243064215E-005</v>
      </c>
    </row>
    <row r="722" customFormat="false" ht="15" hidden="false" customHeight="false" outlineLevel="0" collapsed="false">
      <c r="A722" s="5" t="n">
        <v>24</v>
      </c>
      <c r="B722" s="25" t="n">
        <f aca="false">IF(T721&gt;0,B721,D721)</f>
        <v>-0.0102406144142151</v>
      </c>
      <c r="C722" s="25" t="n">
        <f aca="false">IF(T721&gt;0,D721,C721)</f>
        <v>-0.0102404356002808</v>
      </c>
      <c r="D722" s="41" t="n">
        <f aca="false">(B722+C722)/2</f>
        <v>-0.0102405250072479</v>
      </c>
      <c r="E722" s="15" t="n">
        <f aca="false">$C$2*(1+IF(E$3&lt;=$O$2,$D722,$D722-($D722-$I$697)*MIN(E$3-$O$2,$Q$2)/$Q$2))</f>
        <v>2711.94096148014</v>
      </c>
      <c r="F722" s="15" t="n">
        <f aca="false">E722*(1+IF(F$3&lt;=$O$2,$D722,$D722-($D722-$I$697)*MIN(F$3-$O$2,$Q$2)/$Q$2))</f>
        <v>2684.16926224592</v>
      </c>
      <c r="G722" s="15" t="n">
        <f aca="false">F722*(1+IF(G$3&lt;=$O$2,$D722,$D722-($D722-$I$697)*MIN(G$3-$O$2,$Q$2)/$Q$2))</f>
        <v>2656.68195979221</v>
      </c>
      <c r="H722" s="15" t="n">
        <f aca="false">G722*(1+IF(H$3&lt;=$O$2,$D722,$D722-($D722-$I$697)*MIN(H$3-$O$2,$Q$2)/$Q$2))</f>
        <v>2629.47614174665</v>
      </c>
      <c r="I722" s="15" t="n">
        <f aca="false">H722*(1+IF(I$3&lt;=$O$2,$D722,$D722-($D722-$I$697)*MIN(I$3-$O$2,$Q$2)/$Q$2))</f>
        <v>2602.54892556113</v>
      </c>
      <c r="J722" s="15" t="n">
        <f aca="false">I722*(1+IF(J$3&lt;=$O$2,$D722,$D722-($D722-$I$697)*MIN(J$3-$O$2,$Q$2)/$Q$2))</f>
        <v>2601.1632764471</v>
      </c>
      <c r="K722" s="15" t="n">
        <f aca="false">J722*(1+IF(K$3&lt;=$O$2,$D722,$D722-($D722-$I$697)*MIN(K$3-$O$2,$Q$2)/$Q$2))</f>
        <v>2625.03073129403</v>
      </c>
      <c r="L722" s="15" t="n">
        <f aca="false">K722*(1+IF(L$3&lt;=$O$2,$D722,$D722-($D722-$I$697)*MIN(L$3-$O$2,$Q$2)/$Q$2))</f>
        <v>2674.60126035972</v>
      </c>
      <c r="M722" s="15" t="n">
        <f aca="false">L722*(1+IF(M$3&lt;=$O$2,$D722,$D722-($D722-$I$697)*MIN(M$3-$O$2,$Q$2)/$Q$2))</f>
        <v>2751.07317875892</v>
      </c>
      <c r="N722" s="15" t="n">
        <f aca="false">M722*(1+IF(N$3&lt;=$O$2,$D722,$D722-($D722-$I$697)*MIN(N$3-$O$2,$Q$2)/$Q$2))</f>
        <v>2856.43928150538</v>
      </c>
      <c r="O722" s="15" t="n">
        <f aca="false">SUMPRODUCT(E722:N722,1/(1+$F$697)^$E$3:$N$3)*$E$2</f>
        <v>11850.4925877865</v>
      </c>
      <c r="P722" s="15" t="n">
        <f aca="false">N722*$E$2*(1+$I$697)/($F$697-$I$697)/(1+$F$697)^$N$3</f>
        <v>17899.5214957198</v>
      </c>
      <c r="Q722" s="15" t="n">
        <f aca="false">O722+P722</f>
        <v>29750.0140835063</v>
      </c>
      <c r="R722" s="15" t="n">
        <f aca="false">Q722-$G$2+$I$2</f>
        <v>30520.0140835063</v>
      </c>
      <c r="S722" s="42" t="n">
        <f aca="false">R722/$K$2</f>
        <v>292.253318811705</v>
      </c>
      <c r="T722" s="43" t="n">
        <f aca="false">S722-$M$2</f>
        <v>0.000134860732600828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3" min="3" style="0" width="12"/>
  </cols>
  <sheetData>
    <row r="2" customFormat="false" ht="19.7" hidden="false" customHeight="false" outlineLevel="0" collapsed="false">
      <c r="B2" s="1" t="s">
        <v>204</v>
      </c>
    </row>
    <row r="3" customFormat="false" ht="15" hidden="false" customHeight="false" outlineLevel="0" collapsed="false">
      <c r="B3" s="2" t="s">
        <v>205</v>
      </c>
    </row>
    <row r="5" customFormat="false" ht="15" hidden="false" customHeight="false" outlineLevel="0" collapsed="false">
      <c r="B5" s="3" t="s">
        <v>206</v>
      </c>
    </row>
    <row r="6" customFormat="false" ht="15" hidden="false" customHeight="false" outlineLevel="0" collapsed="false">
      <c r="B6" s="28" t="s">
        <v>155</v>
      </c>
      <c r="C6" s="44" t="n">
        <v>1</v>
      </c>
      <c r="D6" s="44" t="n">
        <v>2</v>
      </c>
      <c r="E6" s="44" t="n">
        <v>3</v>
      </c>
      <c r="F6" s="44" t="n">
        <v>4</v>
      </c>
      <c r="G6" s="44" t="n">
        <v>5</v>
      </c>
      <c r="H6" s="44" t="n">
        <v>6</v>
      </c>
      <c r="I6" s="44" t="n">
        <v>7</v>
      </c>
      <c r="J6" s="44" t="n">
        <v>8</v>
      </c>
      <c r="K6" s="44" t="n">
        <v>9</v>
      </c>
      <c r="L6" s="44" t="n">
        <v>10</v>
      </c>
    </row>
    <row r="7" customFormat="false" ht="15" hidden="false" customHeight="false" outlineLevel="0" collapsed="false">
      <c r="B7" s="5" t="s">
        <v>207</v>
      </c>
      <c r="C7" s="23" t="n">
        <f aca="false">IF(C$6&lt;=Inputs!$C$46,Solver!$W$7,Solver!$W$7-(Solver!$W$7-Inputs!$C$37)*MIN(C$6-Inputs!$C$46,Inputs!$C$47)/Inputs!$C$47)</f>
        <v>-0.0182283910212391</v>
      </c>
      <c r="D7" s="23" t="n">
        <f aca="false">IF(D$6&lt;=Inputs!$C$46,Solver!$W$7,Solver!$W$7-(Solver!$W$7-Inputs!$C$37)*MIN(D$6-Inputs!$C$46,Inputs!$C$47)/Inputs!$C$47)</f>
        <v>-0.0182283910212391</v>
      </c>
      <c r="E7" s="23" t="n">
        <f aca="false">IF(E$6&lt;=Inputs!$C$46,Solver!$W$7,Solver!$W$7-(Solver!$W$7-Inputs!$C$37)*MIN(E$6-Inputs!$C$46,Inputs!$C$47)/Inputs!$C$47)</f>
        <v>-0.0182283910212391</v>
      </c>
      <c r="F7" s="23" t="n">
        <f aca="false">IF(F$6&lt;=Inputs!$C$46,Solver!$W$7,Solver!$W$7-(Solver!$W$7-Inputs!$C$37)*MIN(F$6-Inputs!$C$46,Inputs!$C$47)/Inputs!$C$47)</f>
        <v>-0.0182283910212391</v>
      </c>
      <c r="G7" s="23" t="n">
        <f aca="false">IF(G$6&lt;=Inputs!$C$46,Solver!$W$7,Solver!$W$7-(Solver!$W$7-Inputs!$C$37)*MIN(G$6-Inputs!$C$46,Inputs!$C$47)/Inputs!$C$47)</f>
        <v>-0.0182283910212391</v>
      </c>
      <c r="H7" s="23" t="n">
        <f aca="false">IF(H$6&lt;=Inputs!$C$46,Solver!$W$7,Solver!$W$7-(Solver!$W$7-Inputs!$C$37)*MIN(H$6-Inputs!$C$46,Inputs!$C$47)/Inputs!$C$47)</f>
        <v>-0.00892271281699126</v>
      </c>
      <c r="I7" s="23" t="n">
        <f aca="false">IF(I$6&lt;=Inputs!$C$46,Solver!$W$7,Solver!$W$7-(Solver!$W$7-Inputs!$C$37)*MIN(I$6-Inputs!$C$46,Inputs!$C$47)/Inputs!$C$47)</f>
        <v>0.000382965387256556</v>
      </c>
      <c r="J7" s="23" t="n">
        <f aca="false">IF(J$6&lt;=Inputs!$C$46,Solver!$W$7,Solver!$W$7-(Solver!$W$7-Inputs!$C$37)*MIN(J$6-Inputs!$C$46,Inputs!$C$47)/Inputs!$C$47)</f>
        <v>0.00968864359150438</v>
      </c>
      <c r="K7" s="23" t="n">
        <f aca="false">IF(K$6&lt;=Inputs!$C$46,Solver!$W$7,Solver!$W$7-(Solver!$W$7-Inputs!$C$37)*MIN(K$6-Inputs!$C$46,Inputs!$C$47)/Inputs!$C$47)</f>
        <v>0.0189943217957522</v>
      </c>
      <c r="L7" s="23" t="n">
        <f aca="false">IF(L$6&lt;=Inputs!$C$46,Solver!$W$7,Solver!$W$7-(Solver!$W$7-Inputs!$C$37)*MIN(L$6-Inputs!$C$46,Inputs!$C$47)/Inputs!$C$47)</f>
        <v>0.0283</v>
      </c>
    </row>
    <row r="8" customFormat="false" ht="15" hidden="false" customHeight="false" outlineLevel="0" collapsed="false">
      <c r="B8" s="5" t="s">
        <v>106</v>
      </c>
      <c r="C8" s="15" t="n">
        <f aca="false">Inputs!$C$12*(1+C7)</f>
        <v>2690.05420860181</v>
      </c>
      <c r="D8" s="15" t="n">
        <f aca="false">C8*(1+D7)</f>
        <v>2641.01884861908</v>
      </c>
      <c r="E8" s="15" t="n">
        <f aca="false">D8*(1+E7)</f>
        <v>2592.87732435199</v>
      </c>
      <c r="F8" s="15" t="n">
        <f aca="false">E8*(1+F7)</f>
        <v>2545.6133426136</v>
      </c>
      <c r="G8" s="15" t="n">
        <f aca="false">F8*(1+G7)</f>
        <v>2499.21090721555</v>
      </c>
      <c r="H8" s="15" t="n">
        <f aca="false">G8*(1+H7)</f>
        <v>2476.91116602138</v>
      </c>
      <c r="I8" s="15" t="n">
        <f aca="false">H8*(1+I7)</f>
        <v>2477.85973726527</v>
      </c>
      <c r="J8" s="15" t="n">
        <f aca="false">I8*(1+J7)</f>
        <v>2501.86683712937</v>
      </c>
      <c r="K8" s="15" t="n">
        <f aca="false">J8*(1+K7)</f>
        <v>2549.38810092393</v>
      </c>
      <c r="L8" s="15" t="n">
        <f aca="false">K8*(1+L7)</f>
        <v>2621.53578418008</v>
      </c>
    </row>
    <row r="9" customFormat="false" ht="15" hidden="false" customHeight="false" outlineLevel="0" collapsed="false">
      <c r="B9" s="5" t="s">
        <v>61</v>
      </c>
      <c r="C9" s="15" t="n">
        <f aca="false">C8*Inputs!$C$23</f>
        <v>1835.91290879028</v>
      </c>
      <c r="D9" s="15" t="n">
        <f aca="false">D8*Inputs!$C$23</f>
        <v>1802.44717040791</v>
      </c>
      <c r="E9" s="15" t="n">
        <f aca="false">E8*Inputs!$C$23</f>
        <v>1769.59145859059</v>
      </c>
      <c r="F9" s="15" t="n">
        <f aca="false">F8*Inputs!$C$23</f>
        <v>1737.33465353556</v>
      </c>
      <c r="G9" s="15" t="n">
        <f aca="false">G8*Inputs!$C$23</f>
        <v>1705.66583813616</v>
      </c>
      <c r="H9" s="15" t="n">
        <f aca="false">H8*Inputs!$C$23</f>
        <v>1690.44667170072</v>
      </c>
      <c r="I9" s="15" t="n">
        <f aca="false">I8*Inputs!$C$23</f>
        <v>1691.09405426499</v>
      </c>
      <c r="J9" s="15" t="n">
        <f aca="false">J8*Inputs!$C$23</f>
        <v>1707.47846183647</v>
      </c>
      <c r="K9" s="15" t="n">
        <f aca="false">K8*Inputs!$C$23</f>
        <v>1739.91085719991</v>
      </c>
      <c r="L9" s="15" t="n">
        <f aca="false">L8*Inputs!$C$23</f>
        <v>1789.15033445867</v>
      </c>
    </row>
    <row r="10" customFormat="false" ht="15" hidden="false" customHeight="false" outlineLevel="0" collapsed="false">
      <c r="B10" s="5" t="s">
        <v>208</v>
      </c>
      <c r="C10" s="45" t="n">
        <f aca="false">1/(1+WACC!$C$37)^C$6</f>
        <v>0.9282661405813</v>
      </c>
      <c r="D10" s="45" t="n">
        <f aca="false">1/(1+WACC!$C$37)^D$6</f>
        <v>0.861678027749702</v>
      </c>
      <c r="E10" s="45" t="n">
        <f aca="false">1/(1+WACC!$C$37)^E$6</f>
        <v>0.799866537242923</v>
      </c>
      <c r="F10" s="45" t="n">
        <f aca="false">1/(1+WACC!$C$37)^F$6</f>
        <v>0.742489023506617</v>
      </c>
      <c r="G10" s="45" t="n">
        <f aca="false">1/(1+WACC!$C$37)^G$6</f>
        <v>0.689227420274466</v>
      </c>
      <c r="H10" s="45" t="n">
        <f aca="false">1/(1+WACC!$C$37)^H$6</f>
        <v>0.639786477400984</v>
      </c>
      <c r="I10" s="45" t="n">
        <f aca="false">1/(1+WACC!$C$37)^I$6</f>
        <v>0.593892124173117</v>
      </c>
      <c r="J10" s="45" t="n">
        <f aca="false">1/(1+WACC!$C$37)^J$6</f>
        <v>0.551289950027809</v>
      </c>
      <c r="K10" s="45" t="n">
        <f aca="false">1/(1+WACC!$C$37)^K$6</f>
        <v>0.511743794253572</v>
      </c>
      <c r="L10" s="45" t="n">
        <f aca="false">1/(1+WACC!$C$37)^L$6</f>
        <v>0.475034436858195</v>
      </c>
    </row>
    <row r="11" customFormat="false" ht="15" hidden="false" customHeight="false" outlineLevel="0" collapsed="false">
      <c r="B11" s="5" t="s">
        <v>209</v>
      </c>
      <c r="C11" s="15" t="n">
        <f aca="false">C9*C10</f>
        <v>1704.21579028614</v>
      </c>
      <c r="D11" s="15" t="n">
        <f aca="false">D9*D10</f>
        <v>1553.12912292012</v>
      </c>
      <c r="E11" s="15" t="n">
        <f aca="false">E9*E10</f>
        <v>1415.43699231751</v>
      </c>
      <c r="F11" s="15" t="n">
        <f aca="false">F9*F10</f>
        <v>1289.95191040782</v>
      </c>
      <c r="G11" s="15" t="n">
        <f aca="false">G9*G10</f>
        <v>1175.59166546887</v>
      </c>
      <c r="H11" s="15" t="n">
        <f aca="false">H9*H10</f>
        <v>1081.52492132162</v>
      </c>
      <c r="I11" s="15" t="n">
        <f aca="false">I9*I10</f>
        <v>1004.32744006396</v>
      </c>
      <c r="J11" s="15" t="n">
        <f aca="false">J9*J10</f>
        <v>941.315715899389</v>
      </c>
      <c r="K11" s="15" t="n">
        <f aca="false">K9*K10</f>
        <v>890.388583726467</v>
      </c>
      <c r="L11" s="15" t="n">
        <f aca="false">L9*L10</f>
        <v>849.908021584223</v>
      </c>
    </row>
    <row r="13" customFormat="false" ht="15" hidden="false" customHeight="false" outlineLevel="0" collapsed="false">
      <c r="B13" s="5" t="s">
        <v>210</v>
      </c>
      <c r="C13" s="15" t="n">
        <f aca="false">SUM(C11:L11)</f>
        <v>11905.7901639961</v>
      </c>
    </row>
    <row r="14" customFormat="false" ht="15" hidden="false" customHeight="false" outlineLevel="0" collapsed="false">
      <c r="B14" s="5" t="s">
        <v>211</v>
      </c>
      <c r="C14" s="15" t="n">
        <f aca="false">L9*(1+Inputs!$C$37)/(WACC!$C$37-Inputs!$C$37)</f>
        <v>37564.0342081532</v>
      </c>
    </row>
    <row r="15" customFormat="false" ht="15" hidden="false" customHeight="false" outlineLevel="0" collapsed="false">
      <c r="B15" s="5" t="s">
        <v>212</v>
      </c>
      <c r="C15" s="15" t="n">
        <f aca="false">C14*L10</f>
        <v>17844.209836192</v>
      </c>
    </row>
    <row r="16" customFormat="false" ht="15" hidden="false" customHeight="false" outlineLevel="0" collapsed="false">
      <c r="B16" s="7" t="s">
        <v>213</v>
      </c>
      <c r="C16" s="15" t="n">
        <f aca="false">C13+C15</f>
        <v>29750.0000001882</v>
      </c>
    </row>
    <row r="17" customFormat="false" ht="15" hidden="false" customHeight="false" outlineLevel="0" collapsed="false">
      <c r="B17" s="5" t="s">
        <v>214</v>
      </c>
      <c r="C17" s="16" t="n">
        <f aca="false">-Inputs!$C$27</f>
        <v>-1580</v>
      </c>
    </row>
    <row r="18" customFormat="false" ht="15" hidden="false" customHeight="false" outlineLevel="0" collapsed="false">
      <c r="B18" s="5" t="s">
        <v>215</v>
      </c>
      <c r="C18" s="16" t="n">
        <f aca="false">Inputs!$C$28</f>
        <v>2350</v>
      </c>
    </row>
    <row r="19" customFormat="false" ht="15" hidden="false" customHeight="false" outlineLevel="0" collapsed="false">
      <c r="B19" s="5" t="s">
        <v>216</v>
      </c>
      <c r="C19" s="15" t="n">
        <f aca="false">SUM(C16:C18)</f>
        <v>30520.0000001882</v>
      </c>
    </row>
    <row r="20" customFormat="false" ht="15" hidden="false" customHeight="false" outlineLevel="0" collapsed="false">
      <c r="B20" s="5" t="s">
        <v>217</v>
      </c>
      <c r="C20" s="36" t="n">
        <f aca="false">Inputs!$C$7</f>
        <v>104.43</v>
      </c>
    </row>
    <row r="21" customFormat="false" ht="15" hidden="false" customHeight="false" outlineLevel="0" collapsed="false">
      <c r="B21" s="7" t="s">
        <v>218</v>
      </c>
      <c r="C21" s="46" t="n">
        <f aca="false">C19/C20</f>
        <v>292.253183952774</v>
      </c>
    </row>
    <row r="22" customFormat="false" ht="15" hidden="false" customHeight="false" outlineLevel="0" collapsed="false">
      <c r="B22" s="5" t="s">
        <v>6</v>
      </c>
      <c r="C22" s="6" t="n">
        <f aca="false">Inputs!$C$6</f>
        <v>292.253183950972</v>
      </c>
    </row>
    <row r="23" customFormat="false" ht="15" hidden="false" customHeight="false" outlineLevel="0" collapsed="false">
      <c r="B23" s="5" t="s">
        <v>219</v>
      </c>
      <c r="C23" s="23" t="n">
        <f aca="false">C21/C22-1</f>
        <v>6.16462436653364E-012</v>
      </c>
    </row>
    <row r="24" customFormat="false" ht="15" hidden="false" customHeight="false" outlineLevel="0" collapsed="false">
      <c r="B24" s="5" t="s">
        <v>220</v>
      </c>
      <c r="C24" s="23" t="n">
        <f aca="false">C15/C16</f>
        <v>0.599805372641317</v>
      </c>
    </row>
    <row r="25" customFormat="false" ht="15" hidden="false" customHeight="false" outlineLevel="0" collapsed="false">
      <c r="B25" s="3" t="s">
        <v>221</v>
      </c>
    </row>
    <row r="26" customFormat="false" ht="15" hidden="false" customHeight="false" outlineLevel="0" collapsed="false">
      <c r="B26" s="28" t="s">
        <v>155</v>
      </c>
      <c r="C26" s="44" t="n">
        <v>1</v>
      </c>
      <c r="D26" s="44" t="n">
        <v>2</v>
      </c>
      <c r="E26" s="44" t="n">
        <v>3</v>
      </c>
      <c r="F26" s="44" t="n">
        <v>4</v>
      </c>
      <c r="G26" s="44" t="n">
        <v>5</v>
      </c>
      <c r="H26" s="44" t="n">
        <v>6</v>
      </c>
      <c r="I26" s="44" t="n">
        <v>7</v>
      </c>
      <c r="J26" s="44" t="n">
        <v>8</v>
      </c>
      <c r="K26" s="44" t="n">
        <v>9</v>
      </c>
      <c r="L26" s="44" t="n">
        <v>10</v>
      </c>
    </row>
    <row r="27" customFormat="false" ht="15" hidden="false" customHeight="false" outlineLevel="0" collapsed="false">
      <c r="B27" s="5" t="s">
        <v>207</v>
      </c>
      <c r="C27" s="23" t="n">
        <f aca="false">IF(C$26&lt;=Inputs!$C$46,Inputs!$C$45,Inputs!$C$45-(Inputs!$C$45-Inputs!$C$37)*MIN(C$26-Inputs!$C$46,Inputs!$C$47)/Inputs!$C$47)</f>
        <v>0.10354491728709</v>
      </c>
      <c r="D27" s="23" t="n">
        <f aca="false">IF(D$26&lt;=Inputs!$C$46,Inputs!$C$45,Inputs!$C$45-(Inputs!$C$45-Inputs!$C$37)*MIN(D$26-Inputs!$C$46,Inputs!$C$47)/Inputs!$C$47)</f>
        <v>0.10354491728709</v>
      </c>
      <c r="E27" s="23" t="n">
        <f aca="false">IF(E$26&lt;=Inputs!$C$46,Inputs!$C$45,Inputs!$C$45-(Inputs!$C$45-Inputs!$C$37)*MIN(E$26-Inputs!$C$46,Inputs!$C$47)/Inputs!$C$47)</f>
        <v>0.10354491728709</v>
      </c>
      <c r="F27" s="23" t="n">
        <f aca="false">IF(F$26&lt;=Inputs!$C$46,Inputs!$C$45,Inputs!$C$45-(Inputs!$C$45-Inputs!$C$37)*MIN(F$26-Inputs!$C$46,Inputs!$C$47)/Inputs!$C$47)</f>
        <v>0.10354491728709</v>
      </c>
      <c r="G27" s="23" t="n">
        <f aca="false">IF(G$26&lt;=Inputs!$C$46,Inputs!$C$45,Inputs!$C$45-(Inputs!$C$45-Inputs!$C$37)*MIN(G$26-Inputs!$C$46,Inputs!$C$47)/Inputs!$C$47)</f>
        <v>0.10354491728709</v>
      </c>
      <c r="H27" s="23" t="n">
        <f aca="false">IF(H$26&lt;=Inputs!$C$46,Inputs!$C$45,Inputs!$C$45-(Inputs!$C$45-Inputs!$C$37)*MIN(H$26-Inputs!$C$46,Inputs!$C$47)/Inputs!$C$47)</f>
        <v>0.0884959338296716</v>
      </c>
      <c r="I27" s="23" t="n">
        <f aca="false">IF(I$26&lt;=Inputs!$C$46,Inputs!$C$45,Inputs!$C$45-(Inputs!$C$45-Inputs!$C$37)*MIN(I$26-Inputs!$C$46,Inputs!$C$47)/Inputs!$C$47)</f>
        <v>0.0734469503722537</v>
      </c>
      <c r="J27" s="23" t="n">
        <f aca="false">IF(J$26&lt;=Inputs!$C$46,Inputs!$C$45,Inputs!$C$45-(Inputs!$C$45-Inputs!$C$37)*MIN(J$26-Inputs!$C$46,Inputs!$C$47)/Inputs!$C$47)</f>
        <v>0.0583979669148358</v>
      </c>
      <c r="K27" s="23" t="n">
        <f aca="false">IF(K$26&lt;=Inputs!$C$46,Inputs!$C$45,Inputs!$C$45-(Inputs!$C$45-Inputs!$C$37)*MIN(K$26-Inputs!$C$46,Inputs!$C$47)/Inputs!$C$47)</f>
        <v>0.0433489834574179</v>
      </c>
      <c r="L27" s="23" t="n">
        <f aca="false">IF(L$26&lt;=Inputs!$C$46,Inputs!$C$45,Inputs!$C$45-(Inputs!$C$45-Inputs!$C$37)*MIN(L$26-Inputs!$C$46,Inputs!$C$47)/Inputs!$C$47)</f>
        <v>0.0283</v>
      </c>
    </row>
    <row r="28" customFormat="false" ht="15" hidden="false" customHeight="false" outlineLevel="0" collapsed="false">
      <c r="B28" s="5" t="s">
        <v>106</v>
      </c>
      <c r="C28" s="15" t="n">
        <f aca="false">Inputs!$C$12*(1+C27)</f>
        <v>3023.71307336663</v>
      </c>
      <c r="D28" s="15" t="n">
        <f aca="false">C28*(1+D27)</f>
        <v>3336.80319344826</v>
      </c>
      <c r="E28" s="15" t="n">
        <f aca="false">D28*(1+E27)</f>
        <v>3682.31220411716</v>
      </c>
      <c r="F28" s="15" t="n">
        <f aca="false">E28*(1+F27)</f>
        <v>4063.59691671771</v>
      </c>
      <c r="G28" s="15" t="n">
        <f aca="false">F28*(1+G27)</f>
        <v>4484.36172334732</v>
      </c>
      <c r="H28" s="15" t="n">
        <f aca="false">G28*(1+H27)</f>
        <v>4881.20950168498</v>
      </c>
      <c r="I28" s="15" t="n">
        <f aca="false">H28*(1+I27)</f>
        <v>5239.71945371181</v>
      </c>
      <c r="J28" s="15" t="n">
        <f aca="false">I28*(1+J27)</f>
        <v>5545.70841701269</v>
      </c>
      <c r="K28" s="15" t="n">
        <f aca="false">J28*(1+K27)</f>
        <v>5786.10923944143</v>
      </c>
      <c r="L28" s="15" t="n">
        <f aca="false">K28*(1+L27)</f>
        <v>5949.85613091763</v>
      </c>
    </row>
    <row r="29" customFormat="false" ht="15" hidden="false" customHeight="false" outlineLevel="0" collapsed="false">
      <c r="B29" s="5" t="s">
        <v>61</v>
      </c>
      <c r="C29" s="15" t="n">
        <f aca="false">C28*Inputs!$C$23</f>
        <v>2063.62899532686</v>
      </c>
      <c r="D29" s="15" t="n">
        <f aca="false">D28*Inputs!$C$23</f>
        <v>2277.30728895922</v>
      </c>
      <c r="E29" s="15" t="n">
        <f aca="false">E28*Inputs!$C$23</f>
        <v>2513.11088383178</v>
      </c>
      <c r="F29" s="15" t="n">
        <f aca="false">F28*Inputs!$C$23</f>
        <v>2773.33074243143</v>
      </c>
      <c r="G29" s="15" t="n">
        <f aca="false">G28*Inputs!$C$23</f>
        <v>3060.49504476624</v>
      </c>
      <c r="H29" s="15" t="n">
        <f aca="false">H28*Inputs!$C$23</f>
        <v>3331.33641173391</v>
      </c>
      <c r="I29" s="15" t="n">
        <f aca="false">I28*Inputs!$C$23</f>
        <v>3576.01291183981</v>
      </c>
      <c r="J29" s="15" t="n">
        <f aca="false">J28*Inputs!$C$23</f>
        <v>3784.84479555246</v>
      </c>
      <c r="K29" s="15" t="n">
        <f aca="false">K28*Inputs!$C$23</f>
        <v>3948.91396998375</v>
      </c>
      <c r="L29" s="15" t="n">
        <f aca="false">L28*Inputs!$C$23</f>
        <v>4060.66823533429</v>
      </c>
    </row>
    <row r="30" customFormat="false" ht="15" hidden="false" customHeight="false" outlineLevel="0" collapsed="false">
      <c r="B30" s="5" t="s">
        <v>208</v>
      </c>
      <c r="C30" s="45" t="n">
        <f aca="false">1/(1+WACC!$C$37)^C$26</f>
        <v>0.9282661405813</v>
      </c>
      <c r="D30" s="45" t="n">
        <f aca="false">1/(1+WACC!$C$37)^D$26</f>
        <v>0.861678027749702</v>
      </c>
      <c r="E30" s="45" t="n">
        <f aca="false">1/(1+WACC!$C$37)^E$26</f>
        <v>0.799866537242923</v>
      </c>
      <c r="F30" s="45" t="n">
        <f aca="false">1/(1+WACC!$C$37)^F$26</f>
        <v>0.742489023506617</v>
      </c>
      <c r="G30" s="45" t="n">
        <f aca="false">1/(1+WACC!$C$37)^G$26</f>
        <v>0.689227420274466</v>
      </c>
      <c r="H30" s="45" t="n">
        <f aca="false">1/(1+WACC!$C$37)^H$26</f>
        <v>0.639786477400984</v>
      </c>
      <c r="I30" s="45" t="n">
        <f aca="false">1/(1+WACC!$C$37)^I$26</f>
        <v>0.593892124173117</v>
      </c>
      <c r="J30" s="45" t="n">
        <f aca="false">1/(1+WACC!$C$37)^J$26</f>
        <v>0.551289950027809</v>
      </c>
      <c r="K30" s="45" t="n">
        <f aca="false">1/(1+WACC!$C$37)^K$26</f>
        <v>0.511743794253572</v>
      </c>
      <c r="L30" s="45" t="n">
        <f aca="false">1/(1+WACC!$C$37)^L$26</f>
        <v>0.475034436858195</v>
      </c>
    </row>
    <row r="31" customFormat="false" ht="15" hidden="false" customHeight="false" outlineLevel="0" collapsed="false">
      <c r="B31" s="5" t="s">
        <v>209</v>
      </c>
      <c r="C31" s="15" t="n">
        <f aca="false">C29*C30</f>
        <v>1915.59692308373</v>
      </c>
      <c r="D31" s="15" t="n">
        <f aca="false">D29*D30</f>
        <v>1962.3056533304</v>
      </c>
      <c r="E31" s="15" t="n">
        <f aca="false">E29*E30</f>
        <v>2010.15330035803</v>
      </c>
      <c r="F31" s="15" t="n">
        <f aca="false">F29*F30</f>
        <v>2059.16763480879</v>
      </c>
      <c r="G31" s="15" t="n">
        <f aca="false">G29*G30</f>
        <v>2109.37710446702</v>
      </c>
      <c r="H31" s="15" t="n">
        <f aca="false">H29*H30</f>
        <v>2131.34398790087</v>
      </c>
      <c r="I31" s="15" t="n">
        <f aca="false">I29*I30</f>
        <v>2123.76590428304</v>
      </c>
      <c r="J31" s="15" t="n">
        <f aca="false">J29*J30</f>
        <v>2086.54689820313</v>
      </c>
      <c r="K31" s="15" t="n">
        <f aca="false">K29*K30</f>
        <v>2020.83221818042</v>
      </c>
      <c r="L31" s="15" t="n">
        <f aca="false">L29*L30</f>
        <v>1928.95724843998</v>
      </c>
    </row>
    <row r="33" customFormat="false" ht="15" hidden="false" customHeight="false" outlineLevel="0" collapsed="false">
      <c r="B33" s="5" t="s">
        <v>210</v>
      </c>
      <c r="C33" s="15" t="n">
        <f aca="false">SUM(C31:L31)</f>
        <v>20348.0468730554</v>
      </c>
    </row>
    <row r="34" customFormat="false" ht="15" hidden="false" customHeight="false" outlineLevel="0" collapsed="false">
      <c r="B34" s="5" t="s">
        <v>211</v>
      </c>
      <c r="C34" s="15" t="n">
        <f aca="false">L29*(1+Inputs!$C$37)/(WACC!$C$37-Inputs!$C$37)</f>
        <v>85255.5973426404</v>
      </c>
    </row>
    <row r="35" customFormat="false" ht="15" hidden="false" customHeight="false" outlineLevel="0" collapsed="false">
      <c r="B35" s="5" t="s">
        <v>212</v>
      </c>
      <c r="C35" s="15" t="n">
        <f aca="false">C34*L30</f>
        <v>40499.3446726702</v>
      </c>
    </row>
    <row r="36" customFormat="false" ht="15" hidden="false" customHeight="false" outlineLevel="0" collapsed="false">
      <c r="B36" s="7" t="s">
        <v>213</v>
      </c>
      <c r="C36" s="15" t="n">
        <f aca="false">C33+C35</f>
        <v>60847.3915457256</v>
      </c>
    </row>
    <row r="37" customFormat="false" ht="15" hidden="false" customHeight="false" outlineLevel="0" collapsed="false">
      <c r="B37" s="5" t="s">
        <v>214</v>
      </c>
      <c r="C37" s="16" t="n">
        <f aca="false">-Inputs!$C$27</f>
        <v>-1580</v>
      </c>
    </row>
    <row r="38" customFormat="false" ht="15" hidden="false" customHeight="false" outlineLevel="0" collapsed="false">
      <c r="B38" s="5" t="s">
        <v>215</v>
      </c>
      <c r="C38" s="16" t="n">
        <f aca="false">Inputs!$C$28</f>
        <v>2350</v>
      </c>
    </row>
    <row r="39" customFormat="false" ht="15" hidden="false" customHeight="false" outlineLevel="0" collapsed="false">
      <c r="B39" s="5" t="s">
        <v>216</v>
      </c>
      <c r="C39" s="15" t="n">
        <f aca="false">SUM(C36:C38)</f>
        <v>61617.3915457256</v>
      </c>
    </row>
    <row r="40" customFormat="false" ht="15" hidden="false" customHeight="false" outlineLevel="0" collapsed="false">
      <c r="B40" s="5" t="s">
        <v>217</v>
      </c>
      <c r="C40" s="36" t="n">
        <f aca="false">Inputs!$C$7</f>
        <v>104.43</v>
      </c>
    </row>
    <row r="41" customFormat="false" ht="15" hidden="false" customHeight="false" outlineLevel="0" collapsed="false">
      <c r="B41" s="7" t="s">
        <v>218</v>
      </c>
      <c r="C41" s="46" t="n">
        <f aca="false">C39/C40</f>
        <v>590.035349475492</v>
      </c>
    </row>
    <row r="42" customFormat="false" ht="15" hidden="false" customHeight="false" outlineLevel="0" collapsed="false">
      <c r="B42" s="5" t="s">
        <v>6</v>
      </c>
      <c r="C42" s="6" t="n">
        <f aca="false">Inputs!$C$6</f>
        <v>292.253183950972</v>
      </c>
    </row>
    <row r="43" customFormat="false" ht="15" hidden="false" customHeight="false" outlineLevel="0" collapsed="false">
      <c r="B43" s="5" t="s">
        <v>219</v>
      </c>
      <c r="C43" s="23" t="n">
        <f aca="false">C41/C42-1</f>
        <v>1.01891846480097</v>
      </c>
    </row>
    <row r="44" customFormat="false" ht="15" hidden="false" customHeight="false" outlineLevel="0" collapsed="false">
      <c r="B44" s="5" t="s">
        <v>220</v>
      </c>
      <c r="C44" s="23" t="n">
        <f aca="false">C35/C36</f>
        <v>0.66558883863141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60"/>
  </cols>
  <sheetData>
    <row r="2" customFormat="false" ht="19.7" hidden="false" customHeight="false" outlineLevel="0" collapsed="false">
      <c r="B2" s="1" t="s">
        <v>222</v>
      </c>
    </row>
    <row r="3" customFormat="false" ht="15" hidden="false" customHeight="false" outlineLevel="0" collapsed="false">
      <c r="B3" s="2" t="s">
        <v>223</v>
      </c>
    </row>
    <row r="5" customFormat="false" ht="15" hidden="false" customHeight="false" outlineLevel="0" collapsed="false">
      <c r="B5" s="5" t="s">
        <v>224</v>
      </c>
      <c r="C5" s="24" t="n">
        <v>0.005</v>
      </c>
      <c r="D5" s="5" t="s">
        <v>225</v>
      </c>
      <c r="F5" s="24" t="n">
        <v>0.005</v>
      </c>
    </row>
    <row r="6" customFormat="false" ht="15" hidden="false" customHeight="false" outlineLevel="0" collapsed="false">
      <c r="B6" s="5" t="s">
        <v>226</v>
      </c>
      <c r="C6" s="24" t="n">
        <v>0.02</v>
      </c>
    </row>
    <row r="8" customFormat="false" ht="15" hidden="false" customHeight="false" outlineLevel="0" collapsed="false">
      <c r="B8" s="3" t="s">
        <v>227</v>
      </c>
    </row>
    <row r="9" customFormat="false" ht="15" hidden="false" customHeight="false" outlineLevel="0" collapsed="false">
      <c r="C9" s="47" t="n">
        <f aca="false">Inputs!$C$37+(0-2)*$F$5</f>
        <v>0.0183</v>
      </c>
      <c r="D9" s="47" t="n">
        <f aca="false">Inputs!$C$37+(1-2)*$F$5</f>
        <v>0.0233</v>
      </c>
      <c r="E9" s="47" t="n">
        <f aca="false">Inputs!$C$37+(2-2)*$F$5</f>
        <v>0.0283</v>
      </c>
      <c r="F9" s="47" t="n">
        <f aca="false">Inputs!$C$37+(3-2)*$F$5</f>
        <v>0.0333</v>
      </c>
      <c r="G9" s="47" t="n">
        <f aca="false">Inputs!$C$37+(4-2)*$F$5</f>
        <v>0.0383</v>
      </c>
    </row>
    <row r="10" customFormat="false" ht="15" hidden="false" customHeight="false" outlineLevel="0" collapsed="false">
      <c r="B10" s="47" t="n">
        <f aca="false">WACC!$C$37+(0-2)*$C$5</f>
        <v>0.0672772551778937</v>
      </c>
      <c r="C10" s="9" t="n">
        <f aca="false">Solver!$D$74</f>
        <v>-0.0262263119220734</v>
      </c>
      <c r="D10" s="9" t="n">
        <f aca="false">Solver!$D$101</f>
        <v>-0.0390937626361847</v>
      </c>
      <c r="E10" s="9" t="n">
        <f aca="false">Solver!$D$128</f>
        <v>-0.0534763038158417</v>
      </c>
      <c r="F10" s="9" t="n">
        <f aca="false">Solver!$D$155</f>
        <v>-0.0697703659534454</v>
      </c>
      <c r="G10" s="9" t="n">
        <f aca="false">Solver!$D$182</f>
        <v>-0.0885540544986725</v>
      </c>
      <c r="I10" s="19" t="s">
        <v>228</v>
      </c>
    </row>
    <row r="11" customFormat="false" ht="15" hidden="false" customHeight="false" outlineLevel="0" collapsed="false">
      <c r="B11" s="47" t="n">
        <f aca="false">WACC!$C$37+(1-2)*$C$5</f>
        <v>0.0722772551778937</v>
      </c>
      <c r="C11" s="9" t="n">
        <f aca="false">Solver!$D$209</f>
        <v>-0.0105364620685577</v>
      </c>
      <c r="D11" s="9" t="n">
        <f aca="false">Solver!$D$236</f>
        <v>-0.0222260653972626</v>
      </c>
      <c r="E11" s="9" t="n">
        <f aca="false">Solver!$D$263</f>
        <v>-0.0351525247097015</v>
      </c>
      <c r="F11" s="9" t="n">
        <f aca="false">Solver!$D$290</f>
        <v>-0.0496005117893219</v>
      </c>
      <c r="G11" s="9" t="n">
        <f aca="false">Solver!$D$317</f>
        <v>-0.065968245267868</v>
      </c>
    </row>
    <row r="12" customFormat="false" ht="15" hidden="false" customHeight="false" outlineLevel="0" collapsed="false">
      <c r="B12" s="47" t="n">
        <f aca="false">WACC!$C$37+(2-2)*$C$5</f>
        <v>0.0772772551778937</v>
      </c>
      <c r="C12" s="9" t="n">
        <f aca="false">Solver!$D$344</f>
        <v>0.0042283833026886</v>
      </c>
      <c r="D12" s="9" t="n">
        <f aca="false">Solver!$D$371</f>
        <v>-0.00648507475852966</v>
      </c>
      <c r="E12" s="8" t="n">
        <f aca="false">Solver!$D$398</f>
        <v>-0.0182283222675324</v>
      </c>
      <c r="F12" s="9" t="n">
        <f aca="false">Solver!$D$425</f>
        <v>-0.031213790178299</v>
      </c>
      <c r="G12" s="9" t="n">
        <f aca="false">Solver!$D$452</f>
        <v>-0.045727401971817</v>
      </c>
    </row>
    <row r="13" customFormat="false" ht="15" hidden="false" customHeight="false" outlineLevel="0" collapsed="false">
      <c r="B13" s="47" t="n">
        <f aca="false">WACC!$C$37+(3-2)*$C$5</f>
        <v>0.0822772551778937</v>
      </c>
      <c r="C13" s="9" t="n">
        <f aca="false">Solver!$D$479</f>
        <v>0.0182177126407623</v>
      </c>
      <c r="D13" s="9" t="n">
        <f aca="false">Solver!$D$506</f>
        <v>0.00832661986351013</v>
      </c>
      <c r="E13" s="9" t="n">
        <f aca="false">Solver!$D$533</f>
        <v>-0.00243619084358215</v>
      </c>
      <c r="F13" s="9" t="n">
        <f aca="false">Solver!$D$560</f>
        <v>-0.014233261346817</v>
      </c>
      <c r="G13" s="9" t="n">
        <f aca="false">Solver!$D$587</f>
        <v>-0.0272775590419769</v>
      </c>
    </row>
    <row r="14" customFormat="false" ht="15" hidden="false" customHeight="false" outlineLevel="0" collapsed="false">
      <c r="B14" s="47" t="n">
        <f aca="false">WACC!$C$37+(4-2)*$C$5</f>
        <v>0.0872772551778937</v>
      </c>
      <c r="C14" s="9" t="n">
        <f aca="false">Solver!$D$614</f>
        <v>0.0315475761890411</v>
      </c>
      <c r="D14" s="9" t="n">
        <f aca="false">Solver!$D$641</f>
        <v>0.0223588645458221</v>
      </c>
      <c r="E14" s="9" t="n">
        <f aca="false">Solver!$D$668</f>
        <v>0.0124221742153168</v>
      </c>
      <c r="F14" s="9" t="n">
        <f aca="false">Solver!$D$695</f>
        <v>0.00161018967628479</v>
      </c>
      <c r="G14" s="9" t="n">
        <f aca="false">Solver!$D$722</f>
        <v>-0.0102405250072479</v>
      </c>
    </row>
    <row r="17" customFormat="false" ht="15" hidden="false" customHeight="false" outlineLevel="0" collapsed="false">
      <c r="B17" s="3" t="s">
        <v>229</v>
      </c>
    </row>
    <row r="18" customFormat="false" ht="15" hidden="false" customHeight="false" outlineLevel="0" collapsed="false">
      <c r="C18" s="48" t="n">
        <f aca="false">Inputs!$C$45+(0-2)*$C$6</f>
        <v>0.0635449172870895</v>
      </c>
      <c r="D18" s="48" t="n">
        <f aca="false">Inputs!$C$45+(1-2)*$C$6</f>
        <v>0.0835449172870895</v>
      </c>
      <c r="E18" s="48" t="n">
        <f aca="false">Inputs!$C$45+(2-2)*$C$6</f>
        <v>0.10354491728709</v>
      </c>
      <c r="F18" s="48" t="n">
        <f aca="false">Inputs!$C$45+(3-2)*$C$6</f>
        <v>0.12354491728709</v>
      </c>
      <c r="G18" s="48" t="n">
        <f aca="false">Inputs!$C$45+(4-2)*$C$6</f>
        <v>0.14354491728709</v>
      </c>
    </row>
    <row r="19" customFormat="false" ht="15" hidden="false" customHeight="false" outlineLevel="0" collapsed="false">
      <c r="B19" s="47" t="n">
        <f aca="false">WACC!$C$37+(0-2)*$C$5</f>
        <v>0.0672772551778937</v>
      </c>
      <c r="C19" s="42" t="n">
        <f aca="false">(SUMPRODUCT($C28:$L28,1/(1+$B19)^$C$27:$L$27)*Inputs!$C$23+$L28*Inputs!$C$23*(1+Inputs!$C$37)/($B19-Inputs!$C$37)/(1+$B19)^$L$27-Inputs!$C$27+Inputs!$C$28)/Inputs!$C$7</f>
        <v>591.584460794708</v>
      </c>
      <c r="D19" s="42" t="n">
        <f aca="false">(SUMPRODUCT($C29:$L29,1/(1+$B19)^$C$27:$L$27)*Inputs!$C$23+$L29*Inputs!$C$23*(1+Inputs!$C$37)/($B19-Inputs!$C$37)/(1+$B19)^$L$27-Inputs!$C$27+Inputs!$C$28)/Inputs!$C$7</f>
        <v>665.352198760669</v>
      </c>
      <c r="E19" s="42" t="n">
        <f aca="false">(SUMPRODUCT($C30:$L30,1/(1+$B19)^$C$27:$L$27)*Inputs!$C$23+$L30*Inputs!$C$23*(1+Inputs!$C$37)/($B19-Inputs!$C$37)/(1+$B19)^$L$27-Inputs!$C$27+Inputs!$C$28)/Inputs!$C$7</f>
        <v>747.545464724002</v>
      </c>
      <c r="F19" s="42" t="n">
        <f aca="false">(SUMPRODUCT($C31:$L31,1/(1+$B19)^$C$27:$L$27)*Inputs!$C$23+$L31*Inputs!$C$23*(1+Inputs!$C$37)/($B19-Inputs!$C$37)/(1+$B19)^$L$27-Inputs!$C$27+Inputs!$C$28)/Inputs!$C$7</f>
        <v>838.994558608257</v>
      </c>
      <c r="G19" s="42" t="n">
        <f aca="false">(SUMPRODUCT($C32:$L32,1/(1+$B19)^$C$27:$L$27)*Inputs!$C$23+$L32*Inputs!$C$23*(1+Inputs!$C$37)/($B19-Inputs!$C$37)/(1+$B19)^$L$27-Inputs!$C$27+Inputs!$C$28)/Inputs!$C$7</f>
        <v>940.597887690805</v>
      </c>
      <c r="I19" s="19" t="s">
        <v>230</v>
      </c>
    </row>
    <row r="20" customFormat="false" ht="15" hidden="false" customHeight="false" outlineLevel="0" collapsed="false">
      <c r="B20" s="47" t="n">
        <f aca="false">WACC!$C$37+(1-2)*$C$5</f>
        <v>0.0722772551778937</v>
      </c>
      <c r="C20" s="42" t="n">
        <f aca="false">(SUMPRODUCT($C28:$L28,1/(1+$B20)^$C$27:$L$27)*Inputs!$C$23+$L28*Inputs!$C$23*(1+Inputs!$C$37)/($B20-Inputs!$C$37)/(1+$B20)^$L$27-Inputs!$C$27+Inputs!$C$28)/Inputs!$C$7</f>
        <v>523.736046363605</v>
      </c>
      <c r="D20" s="42" t="n">
        <f aca="false">(SUMPRODUCT($C29:$L29,1/(1+$B20)^$C$27:$L$27)*Inputs!$C$23+$L29*Inputs!$C$23*(1+Inputs!$C$37)/($B20-Inputs!$C$37)/(1+$B20)^$L$27-Inputs!$C$27+Inputs!$C$28)/Inputs!$C$7</f>
        <v>588.110384120228</v>
      </c>
      <c r="E20" s="42" t="n">
        <f aca="false">(SUMPRODUCT($C30:$L30,1/(1+$B20)^$C$27:$L$27)*Inputs!$C$23+$L30*Inputs!$C$23*(1+Inputs!$C$37)/($B20-Inputs!$C$37)/(1+$B20)^$L$27-Inputs!$C$27+Inputs!$C$28)/Inputs!$C$7</f>
        <v>659.788325040248</v>
      </c>
      <c r="F20" s="42" t="n">
        <f aca="false">(SUMPRODUCT($C31:$L31,1/(1+$B20)^$C$27:$L$27)*Inputs!$C$23+$L31*Inputs!$C$23*(1+Inputs!$C$37)/($B20-Inputs!$C$37)/(1+$B20)^$L$27-Inputs!$C$27+Inputs!$C$28)/Inputs!$C$7</f>
        <v>739.486811985106</v>
      </c>
      <c r="G20" s="42" t="n">
        <f aca="false">(SUMPRODUCT($C32:$L32,1/(1+$B20)^$C$27:$L$27)*Inputs!$C$23+$L32*Inputs!$C$23*(1+Inputs!$C$37)/($B20-Inputs!$C$37)/(1+$B20)^$L$27-Inputs!$C$27+Inputs!$C$28)/Inputs!$C$7</f>
        <v>827.981435888143</v>
      </c>
    </row>
    <row r="21" customFormat="false" ht="15" hidden="false" customHeight="false" outlineLevel="0" collapsed="false">
      <c r="B21" s="47" t="n">
        <f aca="false">WACC!$C$37+(2-2)*$C$5</f>
        <v>0.0772772551778937</v>
      </c>
      <c r="C21" s="42" t="n">
        <f aca="false">(SUMPRODUCT($C28:$L28,1/(1+$B21)^$C$27:$L$27)*Inputs!$C$23+$L28*Inputs!$C$23*(1+Inputs!$C$37)/($B21-Inputs!$C$37)/(1+$B21)^$L$27-Inputs!$C$27+Inputs!$C$28)/Inputs!$C$7</f>
        <v>469.77416848463</v>
      </c>
      <c r="D21" s="42" t="n">
        <f aca="false">(SUMPRODUCT($C29:$L29,1/(1+$B21)^$C$27:$L$27)*Inputs!$C$23+$L29*Inputs!$C$23*(1+Inputs!$C$37)/($B21-Inputs!$C$37)/(1+$B21)^$L$27-Inputs!$C$27+Inputs!$C$28)/Inputs!$C$7</f>
        <v>526.697202382238</v>
      </c>
      <c r="E21" s="46" t="n">
        <f aca="false">(SUMPRODUCT($C30:$L30,1/(1+$B21)^$C$27:$L$27)*Inputs!$C$23+$L30*Inputs!$C$23*(1+Inputs!$C$37)/($B21-Inputs!$C$37)/(1+$B21)^$L$27-Inputs!$C$27+Inputs!$C$28)/Inputs!$C$7</f>
        <v>590.035349475492</v>
      </c>
      <c r="F21" s="42" t="n">
        <f aca="false">(SUMPRODUCT($C31:$L31,1/(1+$B21)^$C$27:$L$27)*Inputs!$C$23+$L31*Inputs!$C$23*(1+Inputs!$C$37)/($B21-Inputs!$C$37)/(1+$B21)^$L$27-Inputs!$C$27+Inputs!$C$28)/Inputs!$C$7</f>
        <v>660.415886737815</v>
      </c>
      <c r="G21" s="42" t="n">
        <f aca="false">(SUMPRODUCT($C32:$L32,1/(1+$B21)^$C$27:$L$27)*Inputs!$C$23+$L32*Inputs!$C$23*(1+Inputs!$C$37)/($B21-Inputs!$C$37)/(1+$B21)^$L$27-Inputs!$C$27+Inputs!$C$28)/Inputs!$C$7</f>
        <v>738.517263789403</v>
      </c>
    </row>
    <row r="22" customFormat="false" ht="15" hidden="false" customHeight="false" outlineLevel="0" collapsed="false">
      <c r="B22" s="47" t="n">
        <f aca="false">WACC!$C$37+(3-2)*$C$5</f>
        <v>0.0822772551778937</v>
      </c>
      <c r="C22" s="42" t="n">
        <f aca="false">(SUMPRODUCT($C28:$L28,1/(1+$B22)^$C$27:$L$27)*Inputs!$C$23+$L28*Inputs!$C$23*(1+Inputs!$C$37)/($B22-Inputs!$C$37)/(1+$B22)^$L$27-Inputs!$C$27+Inputs!$C$28)/Inputs!$C$7</f>
        <v>425.838816823531</v>
      </c>
      <c r="D22" s="42" t="n">
        <f aca="false">(SUMPRODUCT($C29:$L29,1/(1+$B22)^$C$27:$L$27)*Inputs!$C$23+$L29*Inputs!$C$23*(1+Inputs!$C$37)/($B22-Inputs!$C$37)/(1+$B22)^$L$27-Inputs!$C$27+Inputs!$C$28)/Inputs!$C$7</f>
        <v>476.712201771443</v>
      </c>
      <c r="E22" s="42" t="n">
        <f aca="false">(SUMPRODUCT($C30:$L30,1/(1+$B22)^$C$27:$L$27)*Inputs!$C$23+$L30*Inputs!$C$23*(1+Inputs!$C$37)/($B22-Inputs!$C$37)/(1+$B22)^$L$27-Inputs!$C$27+Inputs!$C$28)/Inputs!$C$7</f>
        <v>533.280632122831</v>
      </c>
      <c r="F22" s="42" t="n">
        <f aca="false">(SUMPRODUCT($C31:$L31,1/(1+$B22)^$C$27:$L$27)*Inputs!$C$23+$L31*Inputs!$C$23*(1+Inputs!$C$37)/($B22-Inputs!$C$37)/(1+$B22)^$L$27-Inputs!$C$27+Inputs!$C$28)/Inputs!$C$7</f>
        <v>596.098807751668</v>
      </c>
      <c r="G22" s="42" t="n">
        <f aca="false">(SUMPRODUCT($C32:$L32,1/(1+$B22)^$C$27:$L$27)*Inputs!$C$23+$L32*Inputs!$C$23*(1+Inputs!$C$37)/($B22-Inputs!$C$37)/(1+$B22)^$L$27-Inputs!$C$27+Inputs!$C$28)/Inputs!$C$7</f>
        <v>665.766556432553</v>
      </c>
    </row>
    <row r="23" customFormat="false" ht="15" hidden="false" customHeight="false" outlineLevel="0" collapsed="false">
      <c r="B23" s="47" t="n">
        <f aca="false">WACC!$C$37+(4-2)*$C$5</f>
        <v>0.0872772551778937</v>
      </c>
      <c r="C23" s="42" t="n">
        <f aca="false">(SUMPRODUCT($C28:$L28,1/(1+$B23)^$C$27:$L$27)*Inputs!$C$23+$L28*Inputs!$C$23*(1+Inputs!$C$37)/($B23-Inputs!$C$37)/(1+$B23)^$L$27-Inputs!$C$27+Inputs!$C$28)/Inputs!$C$7</f>
        <v>389.379000478564</v>
      </c>
      <c r="D23" s="42" t="n">
        <f aca="false">(SUMPRODUCT($C29:$L29,1/(1+$B23)^$C$27:$L$27)*Inputs!$C$23+$L29*Inputs!$C$23*(1+Inputs!$C$37)/($B23-Inputs!$C$37)/(1+$B23)^$L$27-Inputs!$C$27+Inputs!$C$28)/Inputs!$C$7</f>
        <v>435.247248283972</v>
      </c>
      <c r="E23" s="42" t="n">
        <f aca="false">(SUMPRODUCT($C30:$L30,1/(1+$B23)^$C$27:$L$27)*Inputs!$C$23+$L30*Inputs!$C$23*(1+Inputs!$C$37)/($B23-Inputs!$C$37)/(1+$B23)^$L$27-Inputs!$C$27+Inputs!$C$28)/Inputs!$C$7</f>
        <v>486.215935307763</v>
      </c>
      <c r="F23" s="42" t="n">
        <f aca="false">(SUMPRODUCT($C31:$L31,1/(1+$B23)^$C$27:$L$27)*Inputs!$C$23+$L31*Inputs!$C$23*(1+Inputs!$C$37)/($B23-Inputs!$C$37)/(1+$B23)^$L$27-Inputs!$C$27+Inputs!$C$28)/Inputs!$C$7</f>
        <v>542.779910426024</v>
      </c>
      <c r="G23" s="42" t="n">
        <f aca="false">(SUMPRODUCT($C32:$L32,1/(1+$B23)^$C$27:$L$27)*Inputs!$C$23+$L32*Inputs!$C$23*(1+Inputs!$C$37)/($B23-Inputs!$C$37)/(1+$B23)^$L$27-Inputs!$C$27+Inputs!$C$28)/Inputs!$C$7</f>
        <v>605.474170836826</v>
      </c>
    </row>
    <row r="26" customFormat="false" ht="15" hidden="false" customHeight="false" outlineLevel="0" collapsed="false">
      <c r="B26" s="19" t="s">
        <v>231</v>
      </c>
    </row>
    <row r="27" customFormat="false" ht="15" hidden="false" customHeight="false" outlineLevel="0" collapsed="false">
      <c r="C27" s="39" t="n">
        <v>1</v>
      </c>
      <c r="D27" s="39" t="n">
        <v>2</v>
      </c>
      <c r="E27" s="39" t="n">
        <v>3</v>
      </c>
      <c r="F27" s="39" t="n">
        <v>4</v>
      </c>
      <c r="G27" s="39" t="n">
        <v>5</v>
      </c>
      <c r="H27" s="39" t="n">
        <v>6</v>
      </c>
      <c r="I27" s="39" t="n">
        <v>7</v>
      </c>
      <c r="J27" s="39" t="n">
        <v>8</v>
      </c>
      <c r="K27" s="39" t="n">
        <v>9</v>
      </c>
      <c r="L27" s="39" t="n">
        <v>10</v>
      </c>
    </row>
    <row r="28" customFormat="false" ht="15" hidden="false" customHeight="false" outlineLevel="0" collapsed="false">
      <c r="B28" s="23" t="n">
        <f aca="false">C$18</f>
        <v>0.0635449172870895</v>
      </c>
      <c r="C28" s="15" t="n">
        <f aca="false">Inputs!$C$12*(1+IF(C$27&lt;=Inputs!$C$46,$B28,$B28-($B28-Inputs!$C$37)*MIN(C$27-Inputs!$C$46,Inputs!$C$47)/Inputs!$C$47))</f>
        <v>2914.11307336663</v>
      </c>
      <c r="D28" s="15" t="n">
        <f aca="false">C28*(1+IF(D$27&lt;=Inputs!$C$46,$B28,$B28-($B28-Inputs!$C$37)*MIN(D$27-Inputs!$C$46,Inputs!$C$47)/Inputs!$C$47))</f>
        <v>3099.29014757893</v>
      </c>
      <c r="E28" s="15" t="n">
        <f aca="false">D28*(1+IF(E$27&lt;=Inputs!$C$46,$B28,$B28-($B28-Inputs!$C$37)*MIN(E$27-Inputs!$C$46,Inputs!$C$47)/Inputs!$C$47))</f>
        <v>3296.23428365553</v>
      </c>
      <c r="F28" s="15" t="n">
        <f aca="false">E28*(1+IF(F$27&lt;=Inputs!$C$46,$B28,$B28-($B28-Inputs!$C$37)*MIN(F$27-Inputs!$C$46,Inputs!$C$47)/Inputs!$C$47))</f>
        <v>3505.69321856929</v>
      </c>
      <c r="G28" s="15" t="n">
        <f aca="false">F28*(1+IF(G$27&lt;=Inputs!$C$46,$B28,$B28-($B28-Inputs!$C$37)*MIN(G$27-Inputs!$C$46,Inputs!$C$47)/Inputs!$C$47))</f>
        <v>3728.46220417718</v>
      </c>
      <c r="H28" s="15" t="n">
        <f aca="false">G28*(1+IF(H$27&lt;=Inputs!$C$46,$B28,$B28-($B28-Inputs!$C$37)*MIN(H$27-Inputs!$C$46,Inputs!$C$47)/Inputs!$C$47))</f>
        <v>3939.10515815081</v>
      </c>
      <c r="I28" s="15" t="n">
        <f aca="false">H28*(1+IF(I$27&lt;=Inputs!$C$46,$B28,$B28-($B28-Inputs!$C$37)*MIN(I$27-Inputs!$C$46,Inputs!$C$47)/Inputs!$C$47))</f>
        <v>4133.88189541698</v>
      </c>
      <c r="J28" s="15" t="n">
        <f aca="false">I28*(1+IF(J$27&lt;=Inputs!$C$46,$B28,$B28-($B28-Inputs!$C$37)*MIN(J$27-Inputs!$C$46,Inputs!$C$47)/Inputs!$C$47))</f>
        <v>4309.15008324871</v>
      </c>
      <c r="K28" s="15" t="n">
        <f aca="false">J28*(1+IF(K$27&lt;=Inputs!$C$46,$B28,$B28-($B28-Inputs!$C$37)*MIN(K$27-Inputs!$C$46,Inputs!$C$47)/Inputs!$C$47))</f>
        <v>4461.474158257</v>
      </c>
      <c r="L28" s="15" t="n">
        <f aca="false">K28*(1+IF(L$27&lt;=Inputs!$C$46,$B28,$B28-($B28-Inputs!$C$37)*MIN(L$27-Inputs!$C$46,Inputs!$C$47)/Inputs!$C$47))</f>
        <v>4587.73387693567</v>
      </c>
    </row>
    <row r="29" customFormat="false" ht="15" hidden="false" customHeight="false" outlineLevel="0" collapsed="false">
      <c r="B29" s="23" t="n">
        <f aca="false">D$18</f>
        <v>0.0835449172870895</v>
      </c>
      <c r="C29" s="15" t="n">
        <f aca="false">Inputs!$C$12*(1+IF(C$27&lt;=Inputs!$C$46,$B29,$B29-($B29-Inputs!$C$37)*MIN(C$27-Inputs!$C$46,Inputs!$C$47)/Inputs!$C$47))</f>
        <v>2968.91307336663</v>
      </c>
      <c r="D29" s="15" t="n">
        <f aca="false">C29*(1+IF(D$27&lt;=Inputs!$C$46,$B29,$B29-($B29-Inputs!$C$37)*MIN(D$27-Inputs!$C$46,Inputs!$C$47)/Inputs!$C$47))</f>
        <v>3216.9506705136</v>
      </c>
      <c r="E29" s="15" t="n">
        <f aca="false">D29*(1+IF(E$27&lt;=Inputs!$C$46,$B29,$B29-($B29-Inputs!$C$37)*MIN(E$27-Inputs!$C$46,Inputs!$C$47)/Inputs!$C$47))</f>
        <v>3485.7105481983</v>
      </c>
      <c r="F29" s="15" t="n">
        <f aca="false">E29*(1+IF(F$27&lt;=Inputs!$C$46,$B29,$B29-($B29-Inputs!$C$37)*MIN(F$27-Inputs!$C$46,Inputs!$C$47)/Inputs!$C$47))</f>
        <v>3776.92394763427</v>
      </c>
      <c r="G29" s="15" t="n">
        <f aca="false">F29*(1+IF(G$27&lt;=Inputs!$C$46,$B29,$B29-($B29-Inputs!$C$37)*MIN(G$27-Inputs!$C$46,Inputs!$C$47)/Inputs!$C$47))</f>
        <v>4092.466746439</v>
      </c>
      <c r="H29" s="15" t="n">
        <f aca="false">G29*(1+IF(H$27&lt;=Inputs!$C$46,$B29,$B29-($B29-Inputs!$C$37)*MIN(H$27-Inputs!$C$46,Inputs!$C$47)/Inputs!$C$47))</f>
        <v>4389.15394488897</v>
      </c>
      <c r="I29" s="15" t="n">
        <f aca="false">H29*(1+IF(I$27&lt;=Inputs!$C$46,$B29,$B29-($B29-Inputs!$C$37)*MIN(I$27-Inputs!$C$46,Inputs!$C$47)/Inputs!$C$47))</f>
        <v>4658.85406951675</v>
      </c>
      <c r="J29" s="15" t="n">
        <f aca="false">I29*(1+IF(J$27&lt;=Inputs!$C$46,$B29,$B29-($B29-Inputs!$C$37)*MIN(J$27-Inputs!$C$46,Inputs!$C$47)/Inputs!$C$47))</f>
        <v>4893.6508427733</v>
      </c>
      <c r="K29" s="15" t="n">
        <f aca="false">J29*(1+IF(K$27&lt;=Inputs!$C$46,$B29,$B29-($B29-Inputs!$C$37)*MIN(K$27-Inputs!$C$46,Inputs!$C$47)/Inputs!$C$47))</f>
        <v>5086.21102883196</v>
      </c>
      <c r="L29" s="15" t="n">
        <f aca="false">K29*(1+IF(L$27&lt;=Inputs!$C$46,$B29,$B29-($B29-Inputs!$C$37)*MIN(L$27-Inputs!$C$46,Inputs!$C$47)/Inputs!$C$47))</f>
        <v>5230.15080094791</v>
      </c>
    </row>
    <row r="30" customFormat="false" ht="15" hidden="false" customHeight="false" outlineLevel="0" collapsed="false">
      <c r="B30" s="23" t="n">
        <f aca="false">E$18</f>
        <v>0.10354491728709</v>
      </c>
      <c r="C30" s="15" t="n">
        <f aca="false">Inputs!$C$12*(1+IF(C$27&lt;=Inputs!$C$46,$B30,$B30-($B30-Inputs!$C$37)*MIN(C$27-Inputs!$C$46,Inputs!$C$47)/Inputs!$C$47))</f>
        <v>3023.71307336663</v>
      </c>
      <c r="D30" s="15" t="n">
        <f aca="false">C30*(1+IF(D$27&lt;=Inputs!$C$46,$B30,$B30-($B30-Inputs!$C$37)*MIN(D$27-Inputs!$C$46,Inputs!$C$47)/Inputs!$C$47))</f>
        <v>3336.80319344826</v>
      </c>
      <c r="E30" s="15" t="n">
        <f aca="false">D30*(1+IF(E$27&lt;=Inputs!$C$46,$B30,$B30-($B30-Inputs!$C$37)*MIN(E$27-Inputs!$C$46,Inputs!$C$47)/Inputs!$C$47))</f>
        <v>3682.31220411716</v>
      </c>
      <c r="F30" s="15" t="n">
        <f aca="false">E30*(1+IF(F$27&lt;=Inputs!$C$46,$B30,$B30-($B30-Inputs!$C$37)*MIN(F$27-Inputs!$C$46,Inputs!$C$47)/Inputs!$C$47))</f>
        <v>4063.59691671771</v>
      </c>
      <c r="G30" s="15" t="n">
        <f aca="false">F30*(1+IF(G$27&lt;=Inputs!$C$46,$B30,$B30-($B30-Inputs!$C$37)*MIN(G$27-Inputs!$C$46,Inputs!$C$47)/Inputs!$C$47))</f>
        <v>4484.36172334732</v>
      </c>
      <c r="H30" s="15" t="n">
        <f aca="false">G30*(1+IF(H$27&lt;=Inputs!$C$46,$B30,$B30-($B30-Inputs!$C$37)*MIN(H$27-Inputs!$C$46,Inputs!$C$47)/Inputs!$C$47))</f>
        <v>4881.20950168498</v>
      </c>
      <c r="I30" s="15" t="n">
        <f aca="false">H30*(1+IF(I$27&lt;=Inputs!$C$46,$B30,$B30-($B30-Inputs!$C$37)*MIN(I$27-Inputs!$C$46,Inputs!$C$47)/Inputs!$C$47))</f>
        <v>5239.71945371181</v>
      </c>
      <c r="J30" s="15" t="n">
        <f aca="false">I30*(1+IF(J$27&lt;=Inputs!$C$46,$B30,$B30-($B30-Inputs!$C$37)*MIN(J$27-Inputs!$C$46,Inputs!$C$47)/Inputs!$C$47))</f>
        <v>5545.70841701269</v>
      </c>
      <c r="K30" s="15" t="n">
        <f aca="false">J30*(1+IF(K$27&lt;=Inputs!$C$46,$B30,$B30-($B30-Inputs!$C$37)*MIN(K$27-Inputs!$C$46,Inputs!$C$47)/Inputs!$C$47))</f>
        <v>5786.10923944143</v>
      </c>
      <c r="L30" s="15" t="n">
        <f aca="false">K30*(1+IF(L$27&lt;=Inputs!$C$46,$B30,$B30-($B30-Inputs!$C$37)*MIN(L$27-Inputs!$C$46,Inputs!$C$47)/Inputs!$C$47))</f>
        <v>5949.85613091763</v>
      </c>
    </row>
    <row r="31" customFormat="false" ht="15" hidden="false" customHeight="false" outlineLevel="0" collapsed="false">
      <c r="B31" s="23" t="n">
        <f aca="false">F$18</f>
        <v>0.12354491728709</v>
      </c>
      <c r="C31" s="15" t="n">
        <f aca="false">Inputs!$C$12*(1+IF(C$27&lt;=Inputs!$C$46,$B31,$B31-($B31-Inputs!$C$37)*MIN(C$27-Inputs!$C$46,Inputs!$C$47)/Inputs!$C$47))</f>
        <v>3078.51307336663</v>
      </c>
      <c r="D31" s="15" t="n">
        <f aca="false">C31*(1+IF(D$27&lt;=Inputs!$C$46,$B31,$B31-($B31-Inputs!$C$37)*MIN(D$27-Inputs!$C$46,Inputs!$C$47)/Inputs!$C$47))</f>
        <v>3458.84771638293</v>
      </c>
      <c r="E31" s="15" t="n">
        <f aca="false">D31*(1+IF(E$27&lt;=Inputs!$C$46,$B31,$B31-($B31-Inputs!$C$37)*MIN(E$27-Inputs!$C$46,Inputs!$C$47)/Inputs!$C$47))</f>
        <v>3886.1707714121</v>
      </c>
      <c r="F31" s="15" t="n">
        <f aca="false">E31*(1+IF(F$27&lt;=Inputs!$C$46,$B31,$B31-($B31-Inputs!$C$37)*MIN(F$27-Inputs!$C$46,Inputs!$C$47)/Inputs!$C$47))</f>
        <v>4366.28741792971</v>
      </c>
      <c r="G31" s="15" t="n">
        <f aca="false">F31*(1+IF(G$27&lt;=Inputs!$C$46,$B31,$B31-($B31-Inputs!$C$37)*MIN(G$27-Inputs!$C$46,Inputs!$C$47)/Inputs!$C$47))</f>
        <v>4905.72003582949</v>
      </c>
      <c r="H31" s="15" t="n">
        <f aca="false">G31*(1+IF(H$27&lt;=Inputs!$C$46,$B31,$B31-($B31-Inputs!$C$37)*MIN(H$27-Inputs!$C$46,Inputs!$C$47)/Inputs!$C$47))</f>
        <v>5418.34783208043</v>
      </c>
      <c r="I31" s="15" t="n">
        <f aca="false">H31*(1+IF(I$27&lt;=Inputs!$C$46,$B31,$B31-($B31-Inputs!$C$37)*MIN(I$27-Inputs!$C$46,Inputs!$C$47)/Inputs!$C$47))</f>
        <v>5881.32913038781</v>
      </c>
      <c r="J31" s="15" t="n">
        <f aca="false">I31*(1+IF(J$27&lt;=Inputs!$C$46,$B31,$B31-($B31-Inputs!$C$37)*MIN(J$27-Inputs!$C$46,Inputs!$C$47)/Inputs!$C$47))</f>
        <v>6271.83742740256</v>
      </c>
      <c r="K31" s="15" t="n">
        <f aca="false">J31*(1+IF(K$27&lt;=Inputs!$C$46,$B31,$B31-($B31-Inputs!$C$37)*MIN(K$27-Inputs!$C$46,Inputs!$C$47)/Inputs!$C$47))</f>
        <v>6568.80255400026</v>
      </c>
      <c r="L31" s="15" t="n">
        <f aca="false">K31*(1+IF(L$27&lt;=Inputs!$C$46,$B31,$B31-($B31-Inputs!$C$37)*MIN(L$27-Inputs!$C$46,Inputs!$C$47)/Inputs!$C$47))</f>
        <v>6754.69966627847</v>
      </c>
    </row>
    <row r="32" customFormat="false" ht="15" hidden="false" customHeight="false" outlineLevel="0" collapsed="false">
      <c r="B32" s="23" t="n">
        <f aca="false">G$18</f>
        <v>0.14354491728709</v>
      </c>
      <c r="C32" s="15" t="n">
        <f aca="false">Inputs!$C$12*(1+IF(C$27&lt;=Inputs!$C$46,$B32,$B32-($B32-Inputs!$C$37)*MIN(C$27-Inputs!$C$46,Inputs!$C$47)/Inputs!$C$47))</f>
        <v>3133.31307336663</v>
      </c>
      <c r="D32" s="15" t="n">
        <f aca="false">C32*(1+IF(D$27&lt;=Inputs!$C$46,$B32,$B32-($B32-Inputs!$C$37)*MIN(D$27-Inputs!$C$46,Inputs!$C$47)/Inputs!$C$47))</f>
        <v>3583.08423931759</v>
      </c>
      <c r="E32" s="15" t="n">
        <f aca="false">D32*(1+IF(E$27&lt;=Inputs!$C$46,$B32,$B32-($B32-Inputs!$C$37)*MIN(E$27-Inputs!$C$46,Inputs!$C$47)/Inputs!$C$47))</f>
        <v>4097.41777008311</v>
      </c>
      <c r="F32" s="15" t="n">
        <f aca="false">E32*(1+IF(F$27&lt;=Inputs!$C$46,$B32,$B32-($B32-Inputs!$C$37)*MIN(F$27-Inputs!$C$46,Inputs!$C$47)/Inputs!$C$47))</f>
        <v>4685.58126498034</v>
      </c>
      <c r="G32" s="15" t="n">
        <f aca="false">F32*(1+IF(G$27&lt;=Inputs!$C$46,$B32,$B32-($B32-Inputs!$C$37)*MIN(G$27-Inputs!$C$46,Inputs!$C$47)/Inputs!$C$47))</f>
        <v>5358.17264010388</v>
      </c>
      <c r="H32" s="15" t="n">
        <f aca="false">G32*(1+IF(H$27&lt;=Inputs!$C$46,$B32,$B32-($B32-Inputs!$C$37)*MIN(H$27-Inputs!$C$46,Inputs!$C$47)/Inputs!$C$47))</f>
        <v>6003.8106559938</v>
      </c>
      <c r="I32" s="15" t="n">
        <f aca="false">H32*(1+IF(I$27&lt;=Inputs!$C$46,$B32,$B32-($B32-Inputs!$C$37)*MIN(I$27-Inputs!$C$46,Inputs!$C$47)/Inputs!$C$47))</f>
        <v>6588.86369503283</v>
      </c>
      <c r="J32" s="15" t="n">
        <f aca="false">I32*(1+IF(J$27&lt;=Inputs!$C$46,$B32,$B32-($B32-Inputs!$C$37)*MIN(J$27-Inputs!$C$46,Inputs!$C$47)/Inputs!$C$47))</f>
        <v>7079.06175822225</v>
      </c>
      <c r="K32" s="15" t="n">
        <f aca="false">J32*(1+IF(K$27&lt;=Inputs!$C$46,$B32,$B32-($B32-Inputs!$C$37)*MIN(K$27-Inputs!$C$46,Inputs!$C$47)/Inputs!$C$47))</f>
        <v>7442.56438333924</v>
      </c>
      <c r="L32" s="15" t="n">
        <f aca="false">K32*(1+IF(L$27&lt;=Inputs!$C$46,$B32,$B32-($B32-Inputs!$C$37)*MIN(L$27-Inputs!$C$46,Inputs!$C$47)/Inputs!$C$47))</f>
        <v>7653.18895538774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50"/>
  </cols>
  <sheetData>
    <row r="2" customFormat="false" ht="19.7" hidden="false" customHeight="false" outlineLevel="0" collapsed="false">
      <c r="B2" s="1" t="s">
        <v>232</v>
      </c>
    </row>
    <row r="3" customFormat="false" ht="15" hidden="false" customHeight="false" outlineLevel="0" collapsed="false">
      <c r="B3" s="2" t="s">
        <v>233</v>
      </c>
    </row>
    <row r="5" customFormat="false" ht="15" hidden="false" customHeight="false" outlineLevel="0" collapsed="false">
      <c r="B5" s="28" t="s">
        <v>234</v>
      </c>
      <c r="C5" s="28" t="s">
        <v>235</v>
      </c>
      <c r="D5" s="28" t="s">
        <v>236</v>
      </c>
      <c r="E5" s="28" t="s">
        <v>237</v>
      </c>
      <c r="F5" s="28" t="s">
        <v>238</v>
      </c>
    </row>
    <row r="6" customFormat="false" ht="15" hidden="false" customHeight="false" outlineLevel="0" collapsed="false">
      <c r="B6" s="5" t="s">
        <v>13</v>
      </c>
      <c r="C6" s="12" t="n">
        <f aca="false">Inputs!$C$23</f>
        <v>0.682481751824818</v>
      </c>
      <c r="D6" s="24" t="n">
        <v>0.68248175</v>
      </c>
      <c r="E6" s="49" t="n">
        <f aca="false">C6-D6</f>
        <v>1.82481751931363E-009</v>
      </c>
      <c r="F6" s="5" t="str">
        <f aca="false">IF(ABS(E6)&lt;=0.00005,"Pass","Check")</f>
        <v>Pass</v>
      </c>
    </row>
    <row r="7" customFormat="false" ht="15" hidden="false" customHeight="false" outlineLevel="0" collapsed="false">
      <c r="B7" s="5" t="s">
        <v>128</v>
      </c>
      <c r="C7" s="50" t="n">
        <f aca="false">WACC!$C$14</f>
        <v>0.609131529999621</v>
      </c>
      <c r="D7" s="51" t="n">
        <v>0.60913153</v>
      </c>
      <c r="E7" s="49" t="n">
        <f aca="false">C7-D7</f>
        <v>-3.78919118304566E-013</v>
      </c>
      <c r="F7" s="5" t="str">
        <f aca="false">IF(ABS(E7)&lt;=0.0005,"Pass","Check")</f>
        <v>Pass</v>
      </c>
    </row>
    <row r="8" customFormat="false" ht="15" hidden="false" customHeight="false" outlineLevel="0" collapsed="false">
      <c r="B8" s="5" t="s">
        <v>11</v>
      </c>
      <c r="C8" s="12" t="n">
        <f aca="false">WACC!$C$37</f>
        <v>0.0772772551778937</v>
      </c>
      <c r="D8" s="24" t="n">
        <v>0.07727726</v>
      </c>
      <c r="E8" s="49" t="n">
        <f aca="false">C8-D8</f>
        <v>-4.82210633923064E-009</v>
      </c>
      <c r="F8" s="5" t="str">
        <f aca="false">IF(ABS(E8)&lt;=0.00005,"Pass","Check")</f>
        <v>Pass</v>
      </c>
    </row>
    <row r="9" customFormat="false" ht="15" hidden="false" customHeight="false" outlineLevel="0" collapsed="false">
      <c r="B9" s="5" t="s">
        <v>12</v>
      </c>
      <c r="C9" s="12" t="n">
        <f aca="false">Inputs!$C$37</f>
        <v>0.0283</v>
      </c>
      <c r="D9" s="24" t="n">
        <v>0.0283</v>
      </c>
      <c r="E9" s="49" t="n">
        <f aca="false">C9-D9</f>
        <v>0</v>
      </c>
      <c r="F9" s="5" t="str">
        <f aca="false">IF(ABS(E9)&lt;=0.00005,"Pass","Check")</f>
        <v>Pass</v>
      </c>
    </row>
    <row r="10" customFormat="false" ht="15" hidden="false" customHeight="false" outlineLevel="0" collapsed="false">
      <c r="B10" s="5" t="s">
        <v>239</v>
      </c>
      <c r="C10" s="12" t="n">
        <f aca="false">Inputs!$C$43</f>
        <v>0.10354491728709</v>
      </c>
      <c r="D10" s="24" t="n">
        <v>0.10354492</v>
      </c>
      <c r="E10" s="49" t="n">
        <f aca="false">C10-D10</f>
        <v>-2.71291043796307E-009</v>
      </c>
      <c r="F10" s="5" t="str">
        <f aca="false">IF(ABS(E10)&lt;=0.00005,"Pass","Check")</f>
        <v>Pass</v>
      </c>
    </row>
    <row r="11" customFormat="false" ht="15" hidden="false" customHeight="false" outlineLevel="0" collapsed="false">
      <c r="B11" s="5" t="s">
        <v>240</v>
      </c>
      <c r="C11" s="12" t="n">
        <f aca="false">Solver!$W$7</f>
        <v>-0.0182283910212391</v>
      </c>
      <c r="D11" s="24" t="n">
        <v>-0.01822839</v>
      </c>
      <c r="E11" s="49" t="n">
        <f aca="false">C11-D11</f>
        <v>-1.02123907594343E-009</v>
      </c>
      <c r="F11" s="5" t="str">
        <f aca="false">IF(ABS(E11)&lt;=0.00005,"Pass","Check")</f>
        <v>Pass</v>
      </c>
    </row>
    <row r="12" customFormat="false" ht="15" hidden="false" customHeight="false" outlineLevel="0" collapsed="false">
      <c r="B12" s="5" t="s">
        <v>241</v>
      </c>
      <c r="C12" s="12" t="n">
        <f aca="false">Sensitivity!$E$14</f>
        <v>0.0124221742153168</v>
      </c>
      <c r="D12" s="24" t="n">
        <v>0.0124222</v>
      </c>
      <c r="E12" s="49" t="n">
        <f aca="false">C12-D12</f>
        <v>-2.57846832271008E-008</v>
      </c>
      <c r="F12" s="5" t="str">
        <f aca="false">IF(ABS(E12)&lt;=0.0002,"Pass","Check")</f>
        <v>Pass</v>
      </c>
    </row>
    <row r="13" customFormat="false" ht="15" hidden="false" customHeight="false" outlineLevel="0" collapsed="false">
      <c r="B13" s="5" t="s">
        <v>242</v>
      </c>
      <c r="C13" s="6" t="n">
        <f aca="false">DCF!$C$41</f>
        <v>590.035349475492</v>
      </c>
      <c r="D13" s="20" t="n">
        <v>590.03534948</v>
      </c>
      <c r="E13" s="49" t="n">
        <f aca="false">C13-D13</f>
        <v>-4.50825154985068E-009</v>
      </c>
      <c r="F13" s="5" t="str">
        <f aca="false">IF(ABS(E13)&lt;=0.0590035349475493,"Pass","Check")</f>
        <v>Pass</v>
      </c>
    </row>
    <row r="14" customFormat="false" ht="15" hidden="false" customHeight="false" outlineLevel="0" collapsed="false">
      <c r="B14" s="5" t="s">
        <v>243</v>
      </c>
      <c r="C14" s="6" t="n">
        <f aca="false">DCF!$C$21-DCF!$C$22</f>
        <v>1.80165216079331E-009</v>
      </c>
      <c r="D14" s="20" t="n">
        <v>0</v>
      </c>
      <c r="E14" s="49" t="n">
        <f aca="false">C14-D14</f>
        <v>1.80165216079331E-009</v>
      </c>
      <c r="F14" s="5" t="str">
        <f aca="false">IF(ABS(E14)&lt;=0.01,"Pass","Check")</f>
        <v>Pass</v>
      </c>
      <c r="G14" s="19" t="s">
        <v>244</v>
      </c>
    </row>
    <row r="16" customFormat="false" ht="15" hidden="false" customHeight="false" outlineLevel="0" collapsed="false">
      <c r="B16" s="38" t="s">
        <v>245</v>
      </c>
      <c r="C16" s="7" t="str">
        <f aca="false">IF(COUNTIF(F6:F14,"Pass")=9,"All checks pass","Review")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2026-10-14T16:48:44Z</dcterms:created>
  <dc:creator>openpyxl</dc:creator>
  <dc:description/>
  <dc:language>en-US</dc:language>
  <cp:lastModifiedBy/>
  <dcterms:modified xsi:type="dcterms:W3CDTF">2026-10-14T16:48:45Z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