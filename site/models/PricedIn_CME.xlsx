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<sst xmlns="http://schemas.openxmlformats.org/spreadsheetml/2006/main" count="847" uniqueCount="254">
  <si>
    <t xml:space="preserve">Priced In: CME Group (CME)</t>
  </si>
  <si>
    <t xml:space="preserve">Reverse DCF, model v1.0. Inputs as of the Oct 13, 2026 close; model locked Oct 14, 2026 (commit 0735af0).</t>
  </si>
  <si>
    <t xml:space="preserve">Exchanges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</si>
  <si>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</si>
  <si>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</si>
  <si>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</si>
  <si>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</si>
  <si>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</si>
  <si>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</si>
  <si>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</si>
  <si>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</si>
  <si>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</si>
  <si>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</si>
  <si>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</si>
  <si>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</si>
  <si>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</si>
  <si>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</si>
  <si>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Fit flag: Cyclical volumes</t>
  </si>
  <si>
    <t xml:space="preserve">Futures volumes swing with volatility; judge growth through the cycle.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</si>
  <si>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</si>
  <si>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</si>
  <si>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</si>
  <si>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</si>
  <si>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</si>
  <si>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</si>
  <si>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</si>
  <si>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</si>
  <si>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</si>
  <si>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</si>
  <si>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</si>
  <si>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</si>
  <si>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</si>
  <si>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CME Group (CME):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</si>
  <si>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</si>
  <si>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</si>
  <si>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</si>
  <si>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</si>
  <si>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</si>
  <si>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</si>
  <si>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</si>
  <si>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</si>
  <si>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</si>
  <si>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</si>
  <si>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</si>
  <si>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</si>
  <si>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</si>
  <si>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</si>
  <si>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</si>
  <si>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</si>
  <si>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</si>
  <si>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</si>
  <si>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</si>
  <si>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</si>
  <si>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</si>
  <si>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</si>
  <si>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</si>
  <si>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</si>
  <si>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</si>
  <si>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</si>
  <si>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</si>
  <si>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</si>
  <si>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</si>
  <si>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</si>
  <si>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</si>
  <si>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</si>
  <si>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</si>
  <si>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</si>
  <si>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</si>
  <si>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</si>
  <si>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</si>
  <si>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</si>
  <si>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</si>
  <si>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</si>
  <si>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</si>
  <si>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</si>
  <si>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</si>
  <si>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</si>
  <si>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</si>
  <si>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</si>
  <si>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</si>
  <si>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</si>
  <si>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</si>
  <si>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</si>
  <si>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</si>
  <si>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</si>
  <si>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</si>
  <si>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</si>
  <si>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</si>
  <si>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</si>
  <si>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</si>
  <si>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</si>
  <si>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</si>
  <si>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</si>
  <si>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</si>
  <si>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</si>
  <si>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</si>
  <si>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CME Group (CME):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</si>
  <si>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</si>
  <si>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</si>
  <si>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</si>
  <si>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</si>
  <si>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</si>
  <si>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</si>
  <si>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</si>
  <si>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</si>
  <si>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</si>
  <si>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</si>
  <si>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</si>
  <si>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</si>
  <si>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</si>
  <si>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</si>
  <si>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</si>
  <si>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</si>
  <si>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</si>
  <si>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</si>
  <si>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</si>
  <si>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</si>
  <si>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</si>
  <si>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</si>
  <si>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</si>
  <si>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</si>
  <si>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CME Group (CME):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</si>
  <si>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</si>
  <si>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</si>
  <si>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</si>
  <si>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</si>
  <si>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</si>
  <si>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</si>
  <si>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Intercontinental Exchange (ICE)</t>
  </si>
  <si>
    <t xml:space="preserve">Raw betas: 60 monthly returns to Sep 2026 against the S&amp;P 500 (S&amp;P/TSX for TMX); Cboe uses Stock Analysis's 5-year beta. Debt and equity from Stock Analysis, Oct 13, 2026.</t>
  </si>
  <si>
    <t xml:space="preserve">CME Group (CME)</t>
  </si>
  <si>
    <t xml:space="preserve">Nasdaq (NDAQ)</t>
  </si>
  <si>
    <t xml:space="preserve">Cboe Global Markets (CBOE)</t>
  </si>
  <si>
    <t xml:space="preserve">TMX Group (X)</t>
  </si>
  <si>
    <t xml:space="preserve">Tradeweb (TW)</t>
  </si>
  <si>
    <t xml:space="preserve">MarketAxess (MKTX)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</si>
  <si>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</si>
  <si>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</si>
  <si>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</si>
  <si>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</si>
  <si>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</si>
  <si>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</si>
  <si>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</si>
  <si>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</si>
  <si>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</si>
  <si>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</si>
  <si>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</si>
  <si>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</si>
  <si>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</si>
  <si>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</si>
  <si>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</si>
  <si>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</si>
  <si>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</si>
  <si>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</si>
  <si>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</si>
  <si>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</si>
  <si>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</si>
  <si>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</si>
  <si>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</si>
  <si>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</si>
  <si>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</si>
  <si>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</si>
  <si>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</si>
  <si>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</si>
  <si>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</si>
  <si>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</si>
  <si>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</si>
  <si>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</si>
  <si>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</si>
  <si>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</si>
  <si>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</si>
  <si>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</si>
  <si>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</si>
  <si>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</si>
  <si>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</si>
  <si>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</si>
  <si>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</si>
  <si>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</si>
  <si>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</si>
  <si>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</si>
  <si>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</si>
  <si>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</si>
  <si>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</si>
  <si>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</si>
  <si>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</si>
  <si>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</si>
  <si>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</si>
  <si>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</si>
  <si>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</si>
  <si>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</si>
  <si>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</si>
  <si>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</si>
  <si>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</si>
  <si>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</si>
  <si>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</si>
  <si>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</si>
  <si>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</si>
  <si>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</si>
  <si>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</si>
  <si>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</si>
  <si>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</si>
  <si>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</si>
  <si>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</si>
  <si>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</si>
  <si>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</si>
  <si>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</si>
  <si>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</si>
  <si>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</si>
  <si>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</si>
  <si>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</si>
  <si>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</si>
  <si>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</si>
  <si>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CME Group (CME):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</si>
  <si>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</si>
  <si>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</si>
  <si>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</si>
  <si>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</si>
  <si>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</si>
  <si>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</si>
  <si>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</si>
  <si>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</si>
  <si>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</si>
  <si>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</si>
  <si>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</si>
  <si>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</si>
  <si>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</si>
  <si>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</si>
  <si>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</si>
  <si>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</si>
  <si>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</si>
  <si>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CME Group (CME):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</si>
  <si>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</si>
  <si>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</si>
  <si>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</si>
  <si>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</si>
  <si>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</si>
  <si>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</si>
  <si>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</si>
  <si>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$278.02.</t>
  </si>
  <si>
    <t xml:space="preserve">Helper: revenue paths for each growth view (years 1 to 10)</t>
  </si>
  <si>
    <t xml:space="preserve">CME Group (CME):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</si>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</sst>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278.018799710774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0.0524038638045568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0.0733633384693491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-0.0209594746647923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About right</v>
      </c>
    </row>
    <row r="15" customFormat="false" ht="15" hidden="false" customHeight="false" outlineLevel="0" collapsed="false">
      <c r="B15" s="5" t="s">
        <v>11</v>
      </c>
      <c r="C15" s="12" t="n">
        <f aca="false">WACC!$C$37</f>
        <v>0.0774202832668642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0.622781065088757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0.073363338469349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314.722495340513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0.132018754371729</v>
      </c>
    </row>
    <row r="22" customFormat="false" ht="15" hidden="false" customHeight="false" outlineLevel="0" collapsed="false">
      <c r="B22" s="3" t="s">
        <v>17</v>
      </c>
    </row>
    <row r="23" customFormat="false" ht="30" hidden="false" customHeight="true" outlineLevel="0" collapsed="false">
      <c r="B23" s="13" t="s">
        <v>18</v>
      </c>
      <c r="C23" s="13"/>
      <c r="D23" s="13"/>
      <c r="E23" s="13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5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5" t="s">
        <v>25</v>
      </c>
      <c r="C32" s="14" t="n">
        <v>1234</v>
      </c>
    </row>
    <row r="33" customFormat="false" ht="15" hidden="false" customHeight="false" outlineLevel="0" collapsed="false">
      <c r="B33" s="5" t="s">
        <v>26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27</v>
      </c>
      <c r="C34" s="16" t="n">
        <f aca="false">Inputs!$C$12</f>
        <v>6760</v>
      </c>
    </row>
    <row r="35" customFormat="false" ht="15" hidden="false" customHeight="false" outlineLevel="0" collapsed="false">
      <c r="B35" s="5" t="s">
        <v>28</v>
      </c>
      <c r="C35" s="17" t="n">
        <f aca="false">Inputs!$C$45</f>
        <v>0.073363338469349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18" t="s">
        <v>30</v>
      </c>
    </row>
    <row r="40" customFormat="false" ht="15" hidden="false" customHeight="false" outlineLevel="0" collapsed="false">
      <c r="B40" s="19" t="s">
        <v>31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33</v>
      </c>
    </row>
    <row r="5" customFormat="false" ht="15" hidden="false" customHeight="false" outlineLevel="0" collapsed="false">
      <c r="B5" s="3" t="s">
        <v>34</v>
      </c>
    </row>
    <row r="6" customFormat="false" ht="15" hidden="false" customHeight="false" outlineLevel="0" collapsed="false">
      <c r="B6" s="5" t="s">
        <v>35</v>
      </c>
      <c r="C6" s="20" t="n">
        <v>278.018799710774</v>
      </c>
      <c r="E6" s="19" t="s">
        <v>36</v>
      </c>
    </row>
    <row r="7" customFormat="false" ht="15" hidden="false" customHeight="false" outlineLevel="0" collapsed="false">
      <c r="B7" s="5" t="s">
        <v>37</v>
      </c>
      <c r="C7" s="21" t="n">
        <v>359.58</v>
      </c>
      <c r="E7" s="19" t="s">
        <v>38</v>
      </c>
    </row>
    <row r="8" customFormat="false" ht="15" hidden="false" customHeight="false" outlineLevel="0" collapsed="false">
      <c r="B8" s="5" t="s">
        <v>39</v>
      </c>
      <c r="C8" s="15" t="n">
        <f aca="false">C6*C7</f>
        <v>99970</v>
      </c>
      <c r="E8" s="19" t="s">
        <v>40</v>
      </c>
    </row>
    <row r="10" customFormat="false" ht="15" hidden="false" customHeight="false" outlineLevel="0" collapsed="false">
      <c r="B10" s="3" t="s">
        <v>41</v>
      </c>
    </row>
    <row r="11" customFormat="false" ht="15" hidden="false" customHeight="false" outlineLevel="0" collapsed="false">
      <c r="B11" s="5" t="s">
        <v>42</v>
      </c>
      <c r="C11" s="14" t="n">
        <v>6760</v>
      </c>
      <c r="E11" s="19" t="s">
        <v>43</v>
      </c>
    </row>
    <row r="12" customFormat="false" ht="15" hidden="false" customHeight="false" outlineLevel="0" collapsed="false">
      <c r="B12" s="5" t="s">
        <v>44</v>
      </c>
      <c r="C12" s="15" t="n">
        <f aca="false">C11</f>
        <v>6760</v>
      </c>
      <c r="E12" s="19" t="s">
        <v>45</v>
      </c>
    </row>
    <row r="13" customFormat="false" ht="15" hidden="false" customHeight="false" outlineLevel="0" collapsed="false">
      <c r="B13" s="5" t="s">
        <v>46</v>
      </c>
      <c r="C13" s="14" t="n">
        <v>4210</v>
      </c>
      <c r="E13" s="19" t="s">
        <v>47</v>
      </c>
    </row>
    <row r="14" customFormat="false" ht="15" hidden="false" customHeight="false" outlineLevel="0" collapsed="false">
      <c r="B14" s="5" t="s">
        <v>48</v>
      </c>
      <c r="C14" s="15" t="n">
        <f aca="false">C13</f>
        <v>4210</v>
      </c>
      <c r="E14" s="19" t="s">
        <v>45</v>
      </c>
    </row>
    <row r="15" customFormat="false" ht="15" hidden="false" customHeight="false" outlineLevel="0" collapsed="false">
      <c r="B15" s="5" t="s">
        <v>49</v>
      </c>
      <c r="C15" s="14" t="n">
        <v>0</v>
      </c>
      <c r="E15" s="19" t="s">
        <v>50</v>
      </c>
    </row>
    <row r="16" customFormat="false" ht="15" hidden="false" customHeight="false" outlineLevel="0" collapsed="false">
      <c r="B16" s="5" t="s">
        <v>51</v>
      </c>
      <c r="C16" s="15" t="n">
        <f aca="false">C14-C15</f>
        <v>4210</v>
      </c>
    </row>
    <row r="17" customFormat="false" ht="15" hidden="false" customHeight="false" outlineLevel="0" collapsed="false">
      <c r="B17" s="5" t="s">
        <v>52</v>
      </c>
      <c r="C17" s="14" t="n">
        <v>4440</v>
      </c>
      <c r="E17" s="19" t="s">
        <v>53</v>
      </c>
    </row>
    <row r="18" customFormat="false" ht="15" hidden="false" customHeight="false" outlineLevel="0" collapsed="false">
      <c r="B18" s="5" t="s">
        <v>54</v>
      </c>
      <c r="C18" s="14" t="n">
        <v>5590</v>
      </c>
      <c r="E18" s="19" t="s">
        <v>53</v>
      </c>
    </row>
    <row r="19" customFormat="false" ht="15" hidden="false" customHeight="false" outlineLevel="0" collapsed="false">
      <c r="B19" s="5" t="s">
        <v>55</v>
      </c>
      <c r="C19" s="15" t="n">
        <f aca="false">MAX(0,C17-C18)</f>
        <v>0</v>
      </c>
      <c r="E19" s="19" t="s">
        <v>56</v>
      </c>
    </row>
    <row r="20" customFormat="false" ht="15" hidden="false" customHeight="false" outlineLevel="0" collapsed="false">
      <c r="B20" s="5" t="s">
        <v>57</v>
      </c>
      <c r="C20" s="22" t="n">
        <v>0.25</v>
      </c>
      <c r="E20" s="19" t="s">
        <v>58</v>
      </c>
    </row>
    <row r="21" customFormat="false" ht="15" hidden="false" customHeight="false" outlineLevel="0" collapsed="false">
      <c r="B21" s="5" t="s">
        <v>59</v>
      </c>
      <c r="C21" s="15" t="n">
        <f aca="false">C19*(1-C20)</f>
        <v>0</v>
      </c>
    </row>
    <row r="22" customFormat="false" ht="15" hidden="false" customHeight="false" outlineLevel="0" collapsed="false">
      <c r="B22" s="5" t="s">
        <v>60</v>
      </c>
      <c r="C22" s="15" t="n">
        <f aca="false">C16+C21</f>
        <v>4210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0.622781065088757</v>
      </c>
      <c r="E23" s="19" t="s">
        <v>61</v>
      </c>
    </row>
    <row r="24" customFormat="false" ht="15" hidden="false" customHeight="false" outlineLevel="0" collapsed="false">
      <c r="B24" s="5" t="s">
        <v>62</v>
      </c>
      <c r="C24" s="14" t="n">
        <v>4770</v>
      </c>
      <c r="E24" s="19" t="s">
        <v>53</v>
      </c>
    </row>
    <row r="26" customFormat="false" ht="15" hidden="false" customHeight="false" outlineLevel="0" collapsed="false">
      <c r="B26" s="3" t="s">
        <v>63</v>
      </c>
    </row>
    <row r="27" customFormat="false" ht="15" hidden="false" customHeight="false" outlineLevel="0" collapsed="false">
      <c r="B27" s="5" t="s">
        <v>64</v>
      </c>
      <c r="C27" s="14" t="n">
        <v>3870</v>
      </c>
      <c r="E27" s="19" t="s">
        <v>65</v>
      </c>
    </row>
    <row r="28" customFormat="false" ht="15" hidden="false" customHeight="false" outlineLevel="0" collapsed="false">
      <c r="B28" s="5" t="s">
        <v>66</v>
      </c>
      <c r="C28" s="14" t="n">
        <v>2280</v>
      </c>
      <c r="E28" s="19" t="s">
        <v>65</v>
      </c>
    </row>
    <row r="29" customFormat="false" ht="15" hidden="false" customHeight="false" outlineLevel="0" collapsed="false">
      <c r="B29" s="5" t="s">
        <v>67</v>
      </c>
      <c r="C29" s="15" t="n">
        <f aca="false">C27-C28</f>
        <v>1590</v>
      </c>
    </row>
    <row r="31" customFormat="false" ht="15" hidden="false" customHeight="false" outlineLevel="0" collapsed="false">
      <c r="B31" s="3" t="s">
        <v>68</v>
      </c>
    </row>
    <row r="32" customFormat="false" ht="15" hidden="false" customHeight="false" outlineLevel="0" collapsed="false">
      <c r="B32" s="5" t="s">
        <v>69</v>
      </c>
      <c r="C32" s="24" t="n">
        <v>0.0521</v>
      </c>
      <c r="E32" s="19" t="s">
        <v>70</v>
      </c>
    </row>
    <row r="33" customFormat="false" ht="15" hidden="false" customHeight="false" outlineLevel="0" collapsed="false">
      <c r="B33" s="5" t="s">
        <v>71</v>
      </c>
      <c r="C33" s="24" t="n">
        <v>0.0288</v>
      </c>
      <c r="E33" s="19" t="s">
        <v>72</v>
      </c>
    </row>
    <row r="34" customFormat="false" ht="15" hidden="false" customHeight="false" outlineLevel="0" collapsed="false">
      <c r="B34" s="5" t="s">
        <v>73</v>
      </c>
      <c r="C34" s="25" t="n">
        <f aca="false">C32-C33</f>
        <v>0.0233</v>
      </c>
      <c r="E34" s="19" t="s">
        <v>74</v>
      </c>
    </row>
    <row r="35" customFormat="false" ht="15" hidden="false" customHeight="false" outlineLevel="0" collapsed="false">
      <c r="B35" s="5" t="s">
        <v>75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76</v>
      </c>
      <c r="C36" s="24" t="n">
        <v>0.005</v>
      </c>
      <c r="E36" s="19" t="s">
        <v>77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78</v>
      </c>
    </row>
    <row r="38" customFormat="false" ht="15" hidden="false" customHeight="false" outlineLevel="0" collapsed="false">
      <c r="B38" s="5" t="s">
        <v>79</v>
      </c>
      <c r="C38" s="24" t="n">
        <v>0.0423</v>
      </c>
      <c r="E38" s="19" t="s">
        <v>80</v>
      </c>
    </row>
    <row r="40" customFormat="false" ht="15" hidden="false" customHeight="false" outlineLevel="0" collapsed="false">
      <c r="B40" s="3" t="s">
        <v>81</v>
      </c>
    </row>
    <row r="41" customFormat="false" ht="15" hidden="false" customHeight="false" outlineLevel="0" collapsed="false">
      <c r="B41" s="5" t="s">
        <v>82</v>
      </c>
      <c r="C41" s="9" t="n">
        <f aca="false">History!$C$12</f>
        <v>0.0845266769386981</v>
      </c>
      <c r="E41" s="19" t="s">
        <v>83</v>
      </c>
    </row>
    <row r="42" customFormat="false" ht="15" hidden="false" customHeight="false" outlineLevel="0" collapsed="false">
      <c r="B42" s="5" t="s">
        <v>84</v>
      </c>
      <c r="C42" s="22" t="n">
        <v>0.0622</v>
      </c>
      <c r="E42" s="19" t="s">
        <v>85</v>
      </c>
    </row>
    <row r="43" customFormat="false" ht="15" hidden="false" customHeight="false" outlineLevel="0" collapsed="false">
      <c r="B43" s="5" t="s">
        <v>86</v>
      </c>
      <c r="C43" s="23" t="n">
        <f aca="false">AVERAGE(C41:C42)</f>
        <v>0.0733633384693491</v>
      </c>
      <c r="E43" s="19" t="s">
        <v>87</v>
      </c>
    </row>
    <row r="44" customFormat="false" ht="15" hidden="false" customHeight="false" outlineLevel="0" collapsed="false">
      <c r="B44" s="5" t="s">
        <v>88</v>
      </c>
      <c r="C44" s="22" t="n">
        <v>0.03</v>
      </c>
      <c r="E44" s="19" t="s">
        <v>89</v>
      </c>
    </row>
    <row r="45" customFormat="false" ht="15" hidden="false" customHeight="false" outlineLevel="0" collapsed="false">
      <c r="B45" s="5" t="s">
        <v>90</v>
      </c>
      <c r="C45" s="26" t="n">
        <v>0.073363338469349</v>
      </c>
      <c r="E45" s="19" t="s">
        <v>91</v>
      </c>
    </row>
    <row r="46" customFormat="false" ht="15" hidden="false" customHeight="false" outlineLevel="0" collapsed="false">
      <c r="B46" s="5" t="s">
        <v>92</v>
      </c>
      <c r="C46" s="27" t="n">
        <v>5</v>
      </c>
      <c r="E46" s="19" t="s">
        <v>93</v>
      </c>
    </row>
    <row r="47" customFormat="false" ht="15" hidden="false" customHeight="false" outlineLevel="0" collapsed="false">
      <c r="B47" s="5" t="s">
        <v>94</v>
      </c>
      <c r="C47" s="27" t="n">
        <v>5</v>
      </c>
      <c r="E47" s="1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96</v>
      </c>
    </row>
    <row r="3" customFormat="false" ht="15" hidden="false" customHeight="false" outlineLevel="0" collapsed="false">
      <c r="B3" s="2" t="s">
        <v>97</v>
      </c>
    </row>
    <row r="5" customFormat="false" ht="15" hidden="false" customHeight="false" outlineLevel="0" collapsed="false">
      <c r="B5" s="28" t="s">
        <v>98</v>
      </c>
      <c r="C5" s="28" t="s">
        <v>99</v>
      </c>
      <c r="D5" s="28" t="s">
        <v>100</v>
      </c>
      <c r="E5" s="28" t="s">
        <v>101</v>
      </c>
      <c r="F5" s="28" t="s">
        <v>102</v>
      </c>
      <c r="G5" s="28" t="s">
        <v>103</v>
      </c>
      <c r="H5" s="28" t="s">
        <v>104</v>
      </c>
    </row>
    <row r="6" customFormat="false" ht="15" hidden="false" customHeight="false" outlineLevel="0" collapsed="false">
      <c r="B6" s="5" t="s">
        <v>105</v>
      </c>
      <c r="C6" s="14" t="n">
        <v>4690</v>
      </c>
      <c r="D6" s="14" t="n">
        <v>5019</v>
      </c>
      <c r="E6" s="14" t="n">
        <v>5579</v>
      </c>
      <c r="F6" s="14" t="n">
        <v>6120</v>
      </c>
      <c r="G6" s="14" t="n">
        <v>6507</v>
      </c>
      <c r="H6" s="14" t="n">
        <v>6757</v>
      </c>
    </row>
    <row r="7" customFormat="false" ht="15" hidden="false" customHeight="false" outlineLevel="0" collapsed="false">
      <c r="B7" s="5" t="s">
        <v>106</v>
      </c>
      <c r="D7" s="23" t="n">
        <f aca="false">D6/C6-1</f>
        <v>0.0701492537313433</v>
      </c>
      <c r="E7" s="23" t="n">
        <f aca="false">E6/D6-1</f>
        <v>0.111576011157601</v>
      </c>
      <c r="F7" s="23" t="n">
        <f aca="false">F6/E6-1</f>
        <v>0.0969707832944973</v>
      </c>
      <c r="G7" s="23" t="n">
        <f aca="false">G6/F6-1</f>
        <v>0.0632352941176471</v>
      </c>
    </row>
    <row r="10" customFormat="false" ht="15" hidden="false" customHeight="false" outlineLevel="0" collapsed="false">
      <c r="B10" s="3" t="s">
        <v>107</v>
      </c>
    </row>
    <row r="11" customFormat="false" ht="15" hidden="false" customHeight="false" outlineLevel="0" collapsed="false">
      <c r="B11" s="5" t="s">
        <v>108</v>
      </c>
      <c r="C11" s="29" t="s">
        <v>99</v>
      </c>
      <c r="E11" s="5" t="s">
        <v>109</v>
      </c>
      <c r="G11" s="30" t="n">
        <v>4.5</v>
      </c>
    </row>
    <row r="12" customFormat="false" ht="15" hidden="false" customHeight="false" outlineLevel="0" collapsed="false">
      <c r="B12" s="5" t="s">
        <v>110</v>
      </c>
      <c r="C12" s="23" t="n">
        <f aca="false">(H6/INDEX(C6:H6,MATCH(C11,C5:H5,0)))^(1/G11)-1</f>
        <v>0.0845266769386981</v>
      </c>
      <c r="I12" s="19" t="s">
        <v>83</v>
      </c>
    </row>
    <row r="15" customFormat="false" ht="15" hidden="false" customHeight="false" outlineLevel="0" collapsed="false">
      <c r="B15" s="3" t="s">
        <v>111</v>
      </c>
    </row>
    <row r="16" customFormat="false" ht="15" hidden="false" customHeight="false" outlineLevel="0" collapsed="false">
      <c r="B16" s="28" t="s">
        <v>98</v>
      </c>
      <c r="C16" s="28" t="s">
        <v>112</v>
      </c>
      <c r="D16" s="28" t="s">
        <v>113</v>
      </c>
      <c r="E16" s="28" t="s">
        <v>114</v>
      </c>
      <c r="F16" s="28" t="s">
        <v>115</v>
      </c>
      <c r="G16" s="28" t="s">
        <v>116</v>
      </c>
    </row>
    <row r="17" customFormat="false" ht="15" hidden="false" customHeight="false" outlineLevel="0" collapsed="false">
      <c r="B17" s="5" t="s">
        <v>117</v>
      </c>
      <c r="C17" s="22" t="n">
        <v>0.4851</v>
      </c>
      <c r="D17" s="22" t="n">
        <v>0.591</v>
      </c>
      <c r="E17" s="22" t="n">
        <v>0.6054</v>
      </c>
      <c r="F17" s="22" t="n">
        <v>0.5867</v>
      </c>
      <c r="G17" s="22" t="n">
        <v>0.6431</v>
      </c>
      <c r="I17" s="19" t="s">
        <v>118</v>
      </c>
    </row>
    <row r="18" customFormat="false" ht="15" hidden="false" customHeight="false" outlineLevel="0" collapsed="false">
      <c r="B18" s="5" t="s">
        <v>119</v>
      </c>
      <c r="C18" s="23" t="n">
        <f aca="false">C17+(Inputs!$C$23-Inputs!$C$16/Inputs!$C$12)</f>
        <v>0.4851</v>
      </c>
      <c r="D18" s="23" t="n">
        <f aca="false">D17+(Inputs!$C$23-Inputs!$C$16/Inputs!$C$12)</f>
        <v>0.591</v>
      </c>
      <c r="E18" s="23" t="n">
        <f aca="false">E17+(Inputs!$C$23-Inputs!$C$16/Inputs!$C$12)</f>
        <v>0.6054</v>
      </c>
      <c r="F18" s="23" t="n">
        <f aca="false">F17+(Inputs!$C$23-Inputs!$C$16/Inputs!$C$12)</f>
        <v>0.5867</v>
      </c>
      <c r="G18" s="23" t="n">
        <f aca="false">G17+(Inputs!$C$23-Inputs!$C$16/Inputs!$C$12)</f>
        <v>0.6431</v>
      </c>
    </row>
    <row r="19" customFormat="false" ht="15" hidden="false" customHeight="false" outlineLevel="0" collapsed="false">
      <c r="B19" s="5" t="s">
        <v>120</v>
      </c>
      <c r="C19" s="23" t="n">
        <f aca="false">MIN(C18:G18)</f>
        <v>0.4851</v>
      </c>
      <c r="D19" s="23" t="n">
        <f aca="false">MAX(C18:G18)</f>
        <v>0.6431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121</v>
      </c>
    </row>
    <row r="3" customFormat="false" ht="15" hidden="false" customHeight="false" outlineLevel="0" collapsed="false">
      <c r="B3" s="2" t="s">
        <v>122</v>
      </c>
    </row>
    <row r="5" customFormat="false" ht="15" hidden="false" customHeight="false" outlineLevel="0" collapsed="false">
      <c r="B5" s="28" t="s">
        <v>123</v>
      </c>
      <c r="C5" s="28" t="s">
        <v>124</v>
      </c>
      <c r="D5" s="28" t="s">
        <v>125</v>
      </c>
      <c r="E5" s="28" t="s">
        <v>126</v>
      </c>
      <c r="F5" s="28" t="s">
        <v>57</v>
      </c>
      <c r="G5" s="28" t="s">
        <v>127</v>
      </c>
    </row>
    <row r="6" customFormat="false" ht="15" hidden="false" customHeight="false" outlineLevel="0" collapsed="false">
      <c r="B6" s="5" t="s">
        <v>128</v>
      </c>
      <c r="C6" s="31" t="n">
        <v>0.937184629651022</v>
      </c>
      <c r="D6" s="14" t="n">
        <v>20530</v>
      </c>
      <c r="E6" s="14" t="n">
        <v>87470</v>
      </c>
      <c r="F6" s="22" t="n">
        <v>0.25</v>
      </c>
      <c r="G6" s="32" t="n">
        <f aca="false">C6/(1+(1-F6)*D6/E6)</f>
        <v>0.796904168523342</v>
      </c>
      <c r="H6" s="19" t="s">
        <v>129</v>
      </c>
    </row>
    <row r="7" customFormat="false" ht="15" hidden="false" customHeight="false" outlineLevel="0" collapsed="false">
      <c r="B7" s="7" t="s">
        <v>130</v>
      </c>
      <c r="C7" s="31" t="n">
        <v>0.239866317804515</v>
      </c>
      <c r="D7" s="14" t="n">
        <v>3870</v>
      </c>
      <c r="E7" s="14" t="n">
        <v>99970</v>
      </c>
      <c r="F7" s="22" t="n">
        <v>0.25</v>
      </c>
      <c r="G7" s="32" t="n">
        <f aca="false">C7/(1+(1-F7)*D7/E7)</f>
        <v>0.233098600606745</v>
      </c>
    </row>
    <row r="8" customFormat="false" ht="15" hidden="false" customHeight="false" outlineLevel="0" collapsed="false">
      <c r="B8" s="5" t="s">
        <v>131</v>
      </c>
      <c r="C8" s="31" t="n">
        <v>0.991894933766176</v>
      </c>
      <c r="D8" s="14" t="n">
        <v>9320</v>
      </c>
      <c r="E8" s="14" t="n">
        <v>52250</v>
      </c>
      <c r="F8" s="22" t="n">
        <v>0.25</v>
      </c>
      <c r="G8" s="32" t="n">
        <f aca="false">C8/(1+(1-F8)*D8/E8)</f>
        <v>0.874856689555751</v>
      </c>
    </row>
    <row r="9" customFormat="false" ht="15" hidden="false" customHeight="false" outlineLevel="0" collapsed="false">
      <c r="B9" s="5" t="s">
        <v>132</v>
      </c>
      <c r="C9" s="31" t="n">
        <v>0.41</v>
      </c>
      <c r="D9" s="14" t="n">
        <v>1580</v>
      </c>
      <c r="E9" s="14" t="n">
        <v>30520</v>
      </c>
      <c r="F9" s="22" t="n">
        <v>0.25</v>
      </c>
      <c r="G9" s="32" t="n">
        <f aca="false">C9/(1+(1-F9)*D9/E9)</f>
        <v>0.394675918624823</v>
      </c>
    </row>
    <row r="10" customFormat="false" ht="15" hidden="false" customHeight="false" outlineLevel="0" collapsed="false">
      <c r="B10" s="5" t="s">
        <v>133</v>
      </c>
      <c r="C10" s="31" t="n">
        <v>0.0712282477450855</v>
      </c>
      <c r="D10" s="14" t="n">
        <v>2070</v>
      </c>
      <c r="E10" s="14" t="n">
        <v>15010</v>
      </c>
      <c r="F10" s="22" t="n">
        <v>0.265</v>
      </c>
      <c r="G10" s="32" t="n">
        <f aca="false">C10/(1+(1-F10)*D10/E10)</f>
        <v>0.0646728507574189</v>
      </c>
    </row>
    <row r="11" customFormat="false" ht="15" hidden="false" customHeight="false" outlineLevel="0" collapsed="false">
      <c r="B11" s="5" t="s">
        <v>134</v>
      </c>
      <c r="C11" s="31" t="n">
        <v>0.611799852675033</v>
      </c>
      <c r="D11" s="14" t="n">
        <v>150.34</v>
      </c>
      <c r="E11" s="14" t="n">
        <v>25740</v>
      </c>
      <c r="F11" s="22" t="n">
        <v>0.25</v>
      </c>
      <c r="G11" s="32" t="n">
        <f aca="false">C11/(1+(1-F11)*D11/E11)</f>
        <v>0.609131529999621</v>
      </c>
    </row>
    <row r="12" customFormat="false" ht="15" hidden="false" customHeight="false" outlineLevel="0" collapsed="false">
      <c r="B12" s="5" t="s">
        <v>135</v>
      </c>
      <c r="C12" s="31" t="n">
        <v>0.798396426820285</v>
      </c>
      <c r="D12" s="14" t="n">
        <v>178.91</v>
      </c>
      <c r="E12" s="14" t="n">
        <v>5790</v>
      </c>
      <c r="F12" s="22" t="n">
        <v>0.25</v>
      </c>
      <c r="G12" s="32" t="n">
        <f aca="false">C12/(1+(1-F12)*D12/E12)</f>
        <v>0.780312779238224</v>
      </c>
    </row>
    <row r="14" customFormat="false" ht="15" hidden="false" customHeight="false" outlineLevel="0" collapsed="false">
      <c r="B14" s="5" t="s">
        <v>136</v>
      </c>
      <c r="C14" s="32" t="n">
        <f aca="false">MEDIAN(G6:G12)</f>
        <v>0.609131529999621</v>
      </c>
    </row>
    <row r="15" customFormat="false" ht="15" hidden="false" customHeight="false" outlineLevel="0" collapsed="false">
      <c r="B15" s="5" t="s">
        <v>125</v>
      </c>
      <c r="C15" s="16" t="n">
        <f aca="false">Inputs!$C$27</f>
        <v>3870</v>
      </c>
    </row>
    <row r="16" customFormat="false" ht="15" hidden="false" customHeight="false" outlineLevel="0" collapsed="false">
      <c r="B16" s="5" t="s">
        <v>39</v>
      </c>
      <c r="C16" s="16" t="n">
        <f aca="false">Inputs!$C$8</f>
        <v>99970</v>
      </c>
    </row>
    <row r="17" customFormat="false" ht="15" hidden="false" customHeight="false" outlineLevel="0" collapsed="false">
      <c r="B17" s="5" t="s">
        <v>57</v>
      </c>
      <c r="C17" s="9" t="n">
        <f aca="false">Inputs!$C$20</f>
        <v>0.25</v>
      </c>
    </row>
    <row r="18" customFormat="false" ht="15" hidden="false" customHeight="false" outlineLevel="0" collapsed="false">
      <c r="B18" s="5" t="s">
        <v>137</v>
      </c>
      <c r="C18" s="32" t="n">
        <f aca="false">WACC!$C$14*(1+(1-WACC!$C$17)*WACC!$C$15/WACC!$C$16)</f>
        <v>0.626816878262339</v>
      </c>
      <c r="H18" s="19" t="s">
        <v>138</v>
      </c>
    </row>
    <row r="19" customFormat="false" ht="15" hidden="false" customHeight="false" outlineLevel="0" collapsed="false">
      <c r="B19" s="5" t="s">
        <v>139</v>
      </c>
      <c r="C19" s="12" t="n">
        <f aca="false">Inputs!$C$35</f>
        <v>0.0521</v>
      </c>
    </row>
    <row r="20" customFormat="false" ht="15" hidden="false" customHeight="false" outlineLevel="0" collapsed="false">
      <c r="B20" s="5" t="s">
        <v>79</v>
      </c>
      <c r="C20" s="12" t="n">
        <f aca="false">Inputs!$C$38</f>
        <v>0.0423</v>
      </c>
    </row>
    <row r="21" customFormat="false" ht="15" hidden="false" customHeight="false" outlineLevel="0" collapsed="false">
      <c r="B21" s="5" t="s">
        <v>140</v>
      </c>
      <c r="C21" s="25" t="n">
        <f aca="false">WACC!$C$19+WACC!$C$18*WACC!$C$20</f>
        <v>0.0786143539504969</v>
      </c>
      <c r="H21" s="19" t="s">
        <v>141</v>
      </c>
    </row>
    <row r="23" customFormat="false" ht="15" hidden="false" customHeight="false" outlineLevel="0" collapsed="false">
      <c r="B23" s="3" t="s">
        <v>142</v>
      </c>
    </row>
    <row r="24" customFormat="false" ht="15" hidden="false" customHeight="false" outlineLevel="0" collapsed="false">
      <c r="B24" s="28" t="s">
        <v>143</v>
      </c>
      <c r="C24" s="28" t="s">
        <v>144</v>
      </c>
    </row>
    <row r="25" customFormat="false" ht="15" hidden="false" customHeight="false" outlineLevel="0" collapsed="false">
      <c r="B25" s="33" t="n">
        <v>1</v>
      </c>
      <c r="C25" s="24" t="n">
        <v>0.01</v>
      </c>
      <c r="H25" s="19" t="s">
        <v>145</v>
      </c>
    </row>
    <row r="26" customFormat="false" ht="15" hidden="false" customHeight="false" outlineLevel="0" collapsed="false">
      <c r="B26" s="33" t="n">
        <v>2</v>
      </c>
      <c r="C26" s="24" t="n">
        <v>0.0125</v>
      </c>
    </row>
    <row r="27" customFormat="false" ht="15" hidden="false" customHeight="false" outlineLevel="0" collapsed="false">
      <c r="B27" s="33" t="n">
        <v>3</v>
      </c>
      <c r="C27" s="24" t="n">
        <v>0.016</v>
      </c>
    </row>
    <row r="28" customFormat="false" ht="15" hidden="false" customHeight="false" outlineLevel="0" collapsed="false">
      <c r="B28" s="33" t="n">
        <v>4</v>
      </c>
      <c r="C28" s="24" t="n">
        <v>0.02</v>
      </c>
    </row>
    <row r="29" customFormat="false" ht="15" hidden="false" customHeight="false" outlineLevel="0" collapsed="false">
      <c r="B29" s="33" t="n">
        <v>99</v>
      </c>
      <c r="C29" s="24" t="n">
        <v>0.0275</v>
      </c>
    </row>
    <row r="31" customFormat="false" ht="15" hidden="false" customHeight="false" outlineLevel="0" collapsed="false">
      <c r="B31" s="5" t="s">
        <v>146</v>
      </c>
      <c r="C31" s="34" t="n">
        <f aca="false">Inputs!$C$27/Inputs!$C$24</f>
        <v>0.811320754716981</v>
      </c>
    </row>
    <row r="32" customFormat="false" ht="15" hidden="false" customHeight="false" outlineLevel="0" collapsed="false">
      <c r="B32" s="5" t="s">
        <v>147</v>
      </c>
      <c r="C32" s="25" t="n">
        <f aca="false">INDEX(C25:C29,COUNTIF(B25:B29,"&lt;="&amp;WACC!$C$31)+1)</f>
        <v>0.01</v>
      </c>
      <c r="H32" s="19" t="s">
        <v>148</v>
      </c>
    </row>
    <row r="33" customFormat="false" ht="15" hidden="false" customHeight="false" outlineLevel="0" collapsed="false">
      <c r="B33" s="5" t="s">
        <v>149</v>
      </c>
      <c r="C33" s="25" t="n">
        <f aca="false">WACC!$C$19+WACC!$C$32</f>
        <v>0.0621</v>
      </c>
    </row>
    <row r="34" customFormat="false" ht="15" hidden="false" customHeight="false" outlineLevel="0" collapsed="false">
      <c r="B34" s="5" t="s">
        <v>150</v>
      </c>
      <c r="C34" s="25" t="n">
        <f aca="false">WACC!$C$33*(1-WACC!$C$17)</f>
        <v>0.046575</v>
      </c>
    </row>
    <row r="35" customFormat="false" ht="15" hidden="false" customHeight="false" outlineLevel="0" collapsed="false">
      <c r="B35" s="5" t="s">
        <v>151</v>
      </c>
      <c r="C35" s="23" t="n">
        <f aca="false">WACC!$C$15/(WACC!$C$15+WACC!$C$16)</f>
        <v>0.037268875192604</v>
      </c>
      <c r="H35" s="19" t="s">
        <v>152</v>
      </c>
    </row>
    <row r="36" customFormat="false" ht="15" hidden="false" customHeight="false" outlineLevel="0" collapsed="false">
      <c r="B36" s="5" t="s">
        <v>153</v>
      </c>
      <c r="C36" s="23" t="n">
        <f aca="false">1-WACC!$C$35</f>
        <v>0.962731124807396</v>
      </c>
    </row>
    <row r="37" customFormat="false" ht="15" hidden="false" customHeight="false" outlineLevel="0" collapsed="false">
      <c r="B37" s="5" t="s">
        <v>11</v>
      </c>
      <c r="C37" s="35" t="n">
        <f aca="false">WACC!$C$36*WACC!$C$21+WACC!$C$35*WACC!$C$34</f>
        <v>0.0774202832668642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154</v>
      </c>
    </row>
    <row r="2" customFormat="false" ht="15" hidden="false" customHeight="false" outlineLevel="0" collapsed="false">
      <c r="B2" s="5" t="s">
        <v>155</v>
      </c>
      <c r="C2" s="16" t="n">
        <f aca="false">Inputs!$C$12</f>
        <v>6760</v>
      </c>
      <c r="D2" s="5" t="s">
        <v>156</v>
      </c>
      <c r="E2" s="9" t="n">
        <f aca="false">Inputs!$C$23</f>
        <v>0.622781065088757</v>
      </c>
      <c r="F2" s="5" t="s">
        <v>157</v>
      </c>
      <c r="G2" s="16" t="n">
        <f aca="false">Inputs!$C$27</f>
        <v>3870</v>
      </c>
      <c r="H2" s="5" t="s">
        <v>158</v>
      </c>
      <c r="I2" s="16" t="n">
        <f aca="false">Inputs!$C$28</f>
        <v>2280</v>
      </c>
      <c r="J2" s="5" t="s">
        <v>159</v>
      </c>
      <c r="K2" s="36" t="n">
        <f aca="false">Inputs!$C$7</f>
        <v>359.58</v>
      </c>
      <c r="L2" s="5" t="s">
        <v>160</v>
      </c>
      <c r="M2" s="6" t="n">
        <f aca="false">Inputs!$C$6</f>
        <v>278.018799710774</v>
      </c>
      <c r="N2" s="5" t="s">
        <v>161</v>
      </c>
      <c r="O2" s="37" t="n">
        <f aca="false">Inputs!$C$46</f>
        <v>5</v>
      </c>
      <c r="P2" s="5" t="s">
        <v>162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163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164</v>
      </c>
    </row>
    <row r="6" customFormat="false" ht="15" hidden="false" customHeight="false" outlineLevel="0" collapsed="false">
      <c r="A6" s="38" t="s">
        <v>165</v>
      </c>
      <c r="E6" s="5" t="s">
        <v>11</v>
      </c>
      <c r="F6" s="12" t="n">
        <f aca="false">WACC!$C$37</f>
        <v>0.0774202832668642</v>
      </c>
      <c r="G6" s="5" t="s">
        <v>12</v>
      </c>
      <c r="I6" s="12" t="n">
        <f aca="false">Inputs!$C$37</f>
        <v>0.0283</v>
      </c>
      <c r="W6" s="38" t="s">
        <v>166</v>
      </c>
    </row>
    <row r="7" customFormat="false" ht="23.85" hidden="false" customHeight="false" outlineLevel="0" collapsed="false">
      <c r="A7" s="38" t="s">
        <v>167</v>
      </c>
      <c r="B7" s="28" t="s">
        <v>168</v>
      </c>
      <c r="C7" s="28" t="s">
        <v>169</v>
      </c>
      <c r="D7" s="28" t="s">
        <v>170</v>
      </c>
      <c r="E7" s="28" t="s">
        <v>171</v>
      </c>
      <c r="F7" s="28" t="s">
        <v>172</v>
      </c>
      <c r="G7" s="28" t="s">
        <v>173</v>
      </c>
      <c r="H7" s="28" t="s">
        <v>174</v>
      </c>
      <c r="I7" s="28" t="s">
        <v>175</v>
      </c>
      <c r="J7" s="28" t="s">
        <v>176</v>
      </c>
      <c r="K7" s="28" t="s">
        <v>177</v>
      </c>
      <c r="L7" s="28" t="s">
        <v>178</v>
      </c>
      <c r="M7" s="28" t="s">
        <v>179</v>
      </c>
      <c r="N7" s="28" t="s">
        <v>180</v>
      </c>
      <c r="O7" s="28" t="s">
        <v>181</v>
      </c>
      <c r="P7" s="28" t="s">
        <v>182</v>
      </c>
      <c r="Q7" s="28" t="s">
        <v>183</v>
      </c>
      <c r="R7" s="28" t="s">
        <v>184</v>
      </c>
      <c r="S7" s="28" t="s">
        <v>185</v>
      </c>
      <c r="T7" s="28" t="s">
        <v>186</v>
      </c>
      <c r="W7" s="40" t="n">
        <f aca="false">$D$47</f>
        <v>0.0524038638045568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8450</v>
      </c>
      <c r="F8" s="15" t="n">
        <f aca="false">E8*(1+IF(F$3&lt;=$O$2,$D8,$D8-($D8-$I$6)*MIN(F$3-$O$2,$Q$2)/$Q$2))</f>
        <v>10562.5</v>
      </c>
      <c r="G8" s="15" t="n">
        <f aca="false">F8*(1+IF(G$3&lt;=$O$2,$D8,$D8-($D8-$I$6)*MIN(G$3-$O$2,$Q$2)/$Q$2))</f>
        <v>13203.125</v>
      </c>
      <c r="H8" s="15" t="n">
        <f aca="false">G8*(1+IF(H$3&lt;=$O$2,$D8,$D8-($D8-$I$6)*MIN(H$3-$O$2,$Q$2)/$Q$2))</f>
        <v>16503.90625</v>
      </c>
      <c r="I8" s="15" t="n">
        <f aca="false">H8*(1+IF(I$3&lt;=$O$2,$D8,$D8-($D8-$I$6)*MIN(I$3-$O$2,$Q$2)/$Q$2))</f>
        <v>20629.8828125</v>
      </c>
      <c r="J8" s="15" t="n">
        <f aca="false">I8*(1+IF(J$3&lt;=$O$2,$D8,$D8-($D8-$I$6)*MIN(J$3-$O$2,$Q$2)/$Q$2))</f>
        <v>24872.6245117188</v>
      </c>
      <c r="K8" s="15" t="n">
        <f aca="false">J8*(1+IF(K$3&lt;=$O$2,$D8,$D8-($D8-$I$6)*MIN(K$3-$O$2,$Q$2)/$Q$2))</f>
        <v>28885.0762979492</v>
      </c>
      <c r="L8" s="15" t="n">
        <f aca="false">K8*(1+IF(L$3&lt;=$O$2,$D8,$D8-($D8-$I$6)*MIN(L$3-$O$2,$Q$2)/$Q$2))</f>
        <v>32264.0525232833</v>
      </c>
      <c r="M8" s="15" t="n">
        <f aca="false">L8*(1+IF(M$3&lt;=$O$2,$D8,$D8-($D8-$I$6)*MIN(M$3-$O$2,$Q$2)/$Q$2))</f>
        <v>34607.7132985746</v>
      </c>
      <c r="N8" s="15" t="n">
        <f aca="false">M8*(1+IF(N$3&lt;=$O$2,$D8,$D8-($D8-$I$6)*MIN(N$3-$O$2,$Q$2)/$Q$2))</f>
        <v>35587.1115849243</v>
      </c>
      <c r="O8" s="15" t="n">
        <f aca="false">SUMPRODUCT(E8:N8,1/(1+$F$6)^$E$3:$N$3)*$E$2</f>
        <v>86774.6185671673</v>
      </c>
      <c r="P8" s="15" t="n">
        <f aca="false">N8*$E$2*(1+$I$6)/($F$6-$I$6)/(1+$F$6)^$N$3</f>
        <v>220107.905417297</v>
      </c>
      <c r="Q8" s="15" t="n">
        <f aca="false">O8+P8</f>
        <v>306882.523984464</v>
      </c>
      <c r="R8" s="15" t="n">
        <f aca="false">Q8-$G$2+$I$2</f>
        <v>305292.523984464</v>
      </c>
      <c r="S8" s="42" t="n">
        <f aca="false">R8/$K$2</f>
        <v>849.025318383848</v>
      </c>
      <c r="T8" s="43" t="n">
        <f aca="false">S8-$M$2</f>
        <v>571.006518673075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5915</v>
      </c>
      <c r="F9" s="15" t="n">
        <f aca="false">E9*(1+IF(F$3&lt;=$O$2,$D9,$D9-($D9-$I$6)*MIN(F$3-$O$2,$Q$2)/$Q$2))</f>
        <v>5175.625</v>
      </c>
      <c r="G9" s="15" t="n">
        <f aca="false">F9*(1+IF(G$3&lt;=$O$2,$D9,$D9-($D9-$I$6)*MIN(G$3-$O$2,$Q$2)/$Q$2))</f>
        <v>4528.671875</v>
      </c>
      <c r="H9" s="15" t="n">
        <f aca="false">G9*(1+IF(H$3&lt;=$O$2,$D9,$D9-($D9-$I$6)*MIN(H$3-$O$2,$Q$2)/$Q$2))</f>
        <v>3962.587890625</v>
      </c>
      <c r="I9" s="15" t="n">
        <f aca="false">H9*(1+IF(I$3&lt;=$O$2,$D9,$D9-($D9-$I$6)*MIN(I$3-$O$2,$Q$2)/$Q$2))</f>
        <v>3467.26440429688</v>
      </c>
      <c r="J9" s="15" t="n">
        <f aca="false">I9*(1+IF(J$3&lt;=$O$2,$D9,$D9-($D9-$I$6)*MIN(J$3-$O$2,$Q$2)/$Q$2))</f>
        <v>3140.16268039551</v>
      </c>
      <c r="K9" s="15" t="n">
        <f aca="false">J9*(1+IF(K$3&lt;=$O$2,$D9,$D9-($D9-$I$6)*MIN(K$3-$O$2,$Q$2)/$Q$2))</f>
        <v>2940.19712090792</v>
      </c>
      <c r="L9" s="15" t="n">
        <f aca="false">K9*(1+IF(L$3&lt;=$O$2,$D9,$D9-($D9-$I$6)*MIN(L$3-$O$2,$Q$2)/$Q$2))</f>
        <v>2843.11181197554</v>
      </c>
      <c r="M9" s="15" t="n">
        <f aca="false">L9*(1+IF(M$3&lt;=$O$2,$D9,$D9-($D9-$I$6)*MIN(M$3-$O$2,$Q$2)/$Q$2))</f>
        <v>2836.40206809928</v>
      </c>
      <c r="N9" s="15" t="n">
        <f aca="false">M9*(1+IF(N$3&lt;=$O$2,$D9,$D9-($D9-$I$6)*MIN(N$3-$O$2,$Q$2)/$Q$2))</f>
        <v>2916.67224662649</v>
      </c>
      <c r="O9" s="15" t="n">
        <f aca="false">SUMPRODUCT(E9:N9,1/(1+$F$6)^$E$3:$N$3)*$E$2</f>
        <v>16845.7948759228</v>
      </c>
      <c r="P9" s="15" t="n">
        <f aca="false">N9*$E$2*(1+$I$6)/($F$6-$I$6)/(1+$F$6)^$N$3</f>
        <v>18039.7506401076</v>
      </c>
      <c r="Q9" s="15" t="n">
        <f aca="false">O9+P9</f>
        <v>34885.5455160304</v>
      </c>
      <c r="R9" s="15" t="n">
        <f aca="false">Q9-$G$2+$I$2</f>
        <v>33295.5455160304</v>
      </c>
      <c r="S9" s="42" t="n">
        <f aca="false">R9/$K$2</f>
        <v>92.5956546972311</v>
      </c>
      <c r="T9" s="43" t="n">
        <f aca="false">S9-$M$2</f>
        <v>-185.423145013543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7182.5</v>
      </c>
      <c r="F10" s="15" t="n">
        <f aca="false">E10*(1+IF(F$3&lt;=$O$2,$D10,$D10-($D10-$I$6)*MIN(F$3-$O$2,$Q$2)/$Q$2))</f>
        <v>7631.40625</v>
      </c>
      <c r="G10" s="15" t="n">
        <f aca="false">F10*(1+IF(G$3&lt;=$O$2,$D10,$D10-($D10-$I$6)*MIN(G$3-$O$2,$Q$2)/$Q$2))</f>
        <v>8108.369140625</v>
      </c>
      <c r="H10" s="15" t="n">
        <f aca="false">G10*(1+IF(H$3&lt;=$O$2,$D10,$D10-($D10-$I$6)*MIN(H$3-$O$2,$Q$2)/$Q$2))</f>
        <v>8615.14221191406</v>
      </c>
      <c r="I10" s="15" t="n">
        <f aca="false">H10*(1+IF(I$3&lt;=$O$2,$D10,$D10-($D10-$I$6)*MIN(I$3-$O$2,$Q$2)/$Q$2))</f>
        <v>9153.58860015869</v>
      </c>
      <c r="J10" s="15" t="n">
        <f aca="false">I10*(1+IF(J$3&lt;=$O$2,$D10,$D10-($D10-$I$6)*MIN(J$3-$O$2,$Q$2)/$Q$2))</f>
        <v>9663.07734164352</v>
      </c>
      <c r="K10" s="15" t="n">
        <f aca="false">J10*(1+IF(K$3&lt;=$O$2,$D10,$D10-($D10-$I$6)*MIN(K$3-$O$2,$Q$2)/$Q$2))</f>
        <v>10134.8287774626</v>
      </c>
      <c r="L10" s="15" t="n">
        <f aca="false">K10*(1+IF(L$3&lt;=$O$2,$D10,$D10-($D10-$I$6)*MIN(L$3-$O$2,$Q$2)/$Q$2))</f>
        <v>10560.2888895404</v>
      </c>
      <c r="M10" s="15" t="n">
        <f aca="false">L10*(1+IF(M$3&lt;=$O$2,$D10,$D10-($D10-$I$6)*MIN(M$3-$O$2,$Q$2)/$Q$2))</f>
        <v>10931.3774411189</v>
      </c>
      <c r="N10" s="15" t="n">
        <f aca="false">M10*(1+IF(N$3&lt;=$O$2,$D10,$D10-($D10-$I$6)*MIN(N$3-$O$2,$Q$2)/$Q$2))</f>
        <v>11240.7354227026</v>
      </c>
      <c r="O10" s="15" t="n">
        <f aca="false">SUMPRODUCT(E10:N10,1/(1+$F$6)^$E$3:$N$3)*$E$2</f>
        <v>38206.2995346819</v>
      </c>
      <c r="P10" s="15" t="n">
        <f aca="false">N10*$E$2*(1+$I$6)/($F$6-$I$6)/(1+$F$6)^$N$3</f>
        <v>69524.4603748398</v>
      </c>
      <c r="Q10" s="15" t="n">
        <f aca="false">O10+P10</f>
        <v>107730.759909522</v>
      </c>
      <c r="R10" s="15" t="n">
        <f aca="false">Q10-$G$2+$I$2</f>
        <v>106140.759909522</v>
      </c>
      <c r="S10" s="42" t="n">
        <f aca="false">R10/$K$2</f>
        <v>295.179820650542</v>
      </c>
      <c r="T10" s="43" t="n">
        <f aca="false">S10-$M$2</f>
        <v>17.1610209397679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6548.75</v>
      </c>
      <c r="F11" s="15" t="n">
        <f aca="false">E11*(1+IF(F$3&lt;=$O$2,$D11,$D11-($D11-$I$6)*MIN(F$3-$O$2,$Q$2)/$Q$2))</f>
        <v>6344.1015625</v>
      </c>
      <c r="G11" s="15" t="n">
        <f aca="false">F11*(1+IF(G$3&lt;=$O$2,$D11,$D11-($D11-$I$6)*MIN(G$3-$O$2,$Q$2)/$Q$2))</f>
        <v>6145.84838867188</v>
      </c>
      <c r="H11" s="15" t="n">
        <f aca="false">G11*(1+IF(H$3&lt;=$O$2,$D11,$D11-($D11-$I$6)*MIN(H$3-$O$2,$Q$2)/$Q$2))</f>
        <v>5953.79062652588</v>
      </c>
      <c r="I11" s="15" t="n">
        <f aca="false">H11*(1+IF(I$3&lt;=$O$2,$D11,$D11-($D11-$I$6)*MIN(I$3-$O$2,$Q$2)/$Q$2))</f>
        <v>5767.73466944695</v>
      </c>
      <c r="J11" s="15" t="n">
        <f aca="false">I11*(1+IF(J$3&lt;=$O$2,$D11,$D11-($D11-$I$6)*MIN(J$3-$O$2,$Q$2)/$Q$2))</f>
        <v>5656.18668093984</v>
      </c>
      <c r="K11" s="15" t="n">
        <f aca="false">J11*(1+IF(K$3&lt;=$O$2,$D11,$D11-($D11-$I$6)*MIN(K$3-$O$2,$Q$2)/$Q$2))</f>
        <v>5614.16121390046</v>
      </c>
      <c r="L11" s="15" t="n">
        <f aca="false">K11*(1+IF(L$3&lt;=$O$2,$D11,$D11-($D11-$I$6)*MIN(L$3-$O$2,$Q$2)/$Q$2))</f>
        <v>5639.31265613873</v>
      </c>
      <c r="M11" s="15" t="n">
        <f aca="false">L11*(1+IF(M$3&lt;=$O$2,$D11,$D11-($D11-$I$6)*MIN(M$3-$O$2,$Q$2)/$Q$2))</f>
        <v>5731.74099057285</v>
      </c>
      <c r="N11" s="15" t="n">
        <f aca="false">M11*(1+IF(N$3&lt;=$O$2,$D11,$D11-($D11-$I$6)*MIN(N$3-$O$2,$Q$2)/$Q$2))</f>
        <v>5893.94926060606</v>
      </c>
      <c r="O11" s="15" t="n">
        <f aca="false">SUMPRODUCT(E11:N11,1/(1+$F$6)^$E$3:$N$3)*$E$2</f>
        <v>25301.4081369077</v>
      </c>
      <c r="P11" s="15" t="n">
        <f aca="false">N11*$E$2*(1+$I$6)/($F$6-$I$6)/(1+$F$6)^$N$3</f>
        <v>36454.3445256007</v>
      </c>
      <c r="Q11" s="15" t="n">
        <f aca="false">O11+P11</f>
        <v>61755.7526625083</v>
      </c>
      <c r="R11" s="15" t="n">
        <f aca="false">Q11-$G$2+$I$2</f>
        <v>60165.7526625083</v>
      </c>
      <c r="S11" s="42" t="n">
        <f aca="false">R11/$K$2</f>
        <v>167.322300079282</v>
      </c>
      <c r="T11" s="43" t="n">
        <f aca="false">S11-$M$2</f>
        <v>-110.696499631491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41" t="n">
        <f aca="false">(B12+C12)/2</f>
        <v>0.015625</v>
      </c>
      <c r="E12" s="15" t="n">
        <f aca="false">$C$2*(1+IF(E$3&lt;=$O$2,$D12,$D12-($D12-$I$6)*MIN(E$3-$O$2,$Q$2)/$Q$2))</f>
        <v>6865.625</v>
      </c>
      <c r="F12" s="15" t="n">
        <f aca="false">E12*(1+IF(F$3&lt;=$O$2,$D12,$D12-($D12-$I$6)*MIN(F$3-$O$2,$Q$2)/$Q$2))</f>
        <v>6972.900390625</v>
      </c>
      <c r="G12" s="15" t="n">
        <f aca="false">F12*(1+IF(G$3&lt;=$O$2,$D12,$D12-($D12-$I$6)*MIN(G$3-$O$2,$Q$2)/$Q$2))</f>
        <v>7081.85195922852</v>
      </c>
      <c r="H12" s="15" t="n">
        <f aca="false">G12*(1+IF(H$3&lt;=$O$2,$D12,$D12-($D12-$I$6)*MIN(H$3-$O$2,$Q$2)/$Q$2))</f>
        <v>7192.50589609146</v>
      </c>
      <c r="I12" s="15" t="n">
        <f aca="false">H12*(1+IF(I$3&lt;=$O$2,$D12,$D12-($D12-$I$6)*MIN(I$3-$O$2,$Q$2)/$Q$2))</f>
        <v>7304.88880071789</v>
      </c>
      <c r="J12" s="15" t="n">
        <f aca="false">I12*(1+IF(J$3&lt;=$O$2,$D12,$D12-($D12-$I$6)*MIN(J$3-$O$2,$Q$2)/$Q$2))</f>
        <v>7437.54558133893</v>
      </c>
      <c r="K12" s="15" t="n">
        <f aca="false">J12*(1+IF(K$3&lt;=$O$2,$D12,$D12-($D12-$I$6)*MIN(K$3-$O$2,$Q$2)/$Q$2))</f>
        <v>7591.46558714474</v>
      </c>
      <c r="L12" s="15" t="n">
        <f aca="false">K12*(1+IF(L$3&lt;=$O$2,$D12,$D12-($D12-$I$6)*MIN(L$3-$O$2,$Q$2)/$Q$2))</f>
        <v>7767.81533273411</v>
      </c>
      <c r="M12" s="15" t="n">
        <f aca="false">L12*(1+IF(M$3&lt;=$O$2,$D12,$D12-($D12-$I$6)*MIN(M$3-$O$2,$Q$2)/$Q$2))</f>
        <v>7967.953094782</v>
      </c>
      <c r="N12" s="15" t="n">
        <f aca="false">M12*(1+IF(N$3&lt;=$O$2,$D12,$D12-($D12-$I$6)*MIN(N$3-$O$2,$Q$2)/$Q$2))</f>
        <v>8193.44616736434</v>
      </c>
      <c r="O12" s="15" t="n">
        <f aca="false">SUMPRODUCT(E12:N12,1/(1+$F$6)^$E$3:$N$3)*$E$2</f>
        <v>31080.9525635203</v>
      </c>
      <c r="P12" s="15" t="n">
        <f aca="false">N12*$E$2*(1+$I$6)/($F$6-$I$6)/(1+$F$6)^$N$3</f>
        <v>50676.8375889189</v>
      </c>
      <c r="Q12" s="15" t="n">
        <f aca="false">O12+P12</f>
        <v>81757.7901524392</v>
      </c>
      <c r="R12" s="15" t="n">
        <f aca="false">Q12-$G$2+$I$2</f>
        <v>80167.7901524392</v>
      </c>
      <c r="S12" s="42" t="n">
        <f aca="false">R12/$K$2</f>
        <v>222.948412460201</v>
      </c>
      <c r="T12" s="43" t="n">
        <f aca="false">S12-$M$2</f>
        <v>-55.0703872505723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0.015625</v>
      </c>
      <c r="C13" s="25" t="n">
        <f aca="false">IF(T12&gt;0,D12,C12)</f>
        <v>0.0625</v>
      </c>
      <c r="D13" s="41" t="n">
        <f aca="false">(B13+C13)/2</f>
        <v>0.0390625</v>
      </c>
      <c r="E13" s="15" t="n">
        <f aca="false">$C$2*(1+IF(E$3&lt;=$O$2,$D13,$D13-($D13-$I$6)*MIN(E$3-$O$2,$Q$2)/$Q$2))</f>
        <v>7024.0625</v>
      </c>
      <c r="F13" s="15" t="n">
        <f aca="false">E13*(1+IF(F$3&lt;=$O$2,$D13,$D13-($D13-$I$6)*MIN(F$3-$O$2,$Q$2)/$Q$2))</f>
        <v>7298.43994140625</v>
      </c>
      <c r="G13" s="15" t="n">
        <f aca="false">F13*(1+IF(G$3&lt;=$O$2,$D13,$D13-($D13-$I$6)*MIN(G$3-$O$2,$Q$2)/$Q$2))</f>
        <v>7583.53525161743</v>
      </c>
      <c r="H13" s="15" t="n">
        <f aca="false">G13*(1+IF(H$3&lt;=$O$2,$D13,$D13-($D13-$I$6)*MIN(H$3-$O$2,$Q$2)/$Q$2))</f>
        <v>7879.76709738374</v>
      </c>
      <c r="I13" s="15" t="n">
        <f aca="false">H13*(1+IF(I$3&lt;=$O$2,$D13,$D13-($D13-$I$6)*MIN(I$3-$O$2,$Q$2)/$Q$2))</f>
        <v>8187.57049962529</v>
      </c>
      <c r="J13" s="15" t="n">
        <f aca="false">I13*(1+IF(J$3&lt;=$O$2,$D13,$D13-($D13-$I$6)*MIN(J$3-$O$2,$Q$2)/$Q$2))</f>
        <v>8489.77372676646</v>
      </c>
      <c r="K13" s="15" t="n">
        <f aca="false">J13*(1+IF(K$3&lt;=$O$2,$D13,$D13-($D13-$I$6)*MIN(K$3-$O$2,$Q$2)/$Q$2))</f>
        <v>8784.85703707455</v>
      </c>
      <c r="L13" s="15" t="n">
        <f aca="false">K13*(1+IF(L$3&lt;=$O$2,$D13,$D13-($D13-$I$6)*MIN(L$3-$O$2,$Q$2)/$Q$2))</f>
        <v>9071.28730076836</v>
      </c>
      <c r="M13" s="15" t="n">
        <f aca="false">L13*(1+IF(M$3&lt;=$O$2,$D13,$D13-($D13-$I$6)*MIN(M$3-$O$2,$Q$2)/$Q$2))</f>
        <v>9347.53067729501</v>
      </c>
      <c r="N13" s="15" t="n">
        <f aca="false">M13*(1+IF(N$3&lt;=$O$2,$D13,$D13-($D13-$I$6)*MIN(N$3-$O$2,$Q$2)/$Q$2))</f>
        <v>9612.06579546246</v>
      </c>
      <c r="O13" s="15" t="n">
        <f aca="false">SUMPRODUCT(E13:N13,1/(1+$F$6)^$E$3:$N$3)*$E$2</f>
        <v>34458.4894329864</v>
      </c>
      <c r="P13" s="15" t="n">
        <f aca="false">N13*$E$2*(1+$I$6)/($F$6-$I$6)/(1+$F$6)^$N$3</f>
        <v>59451.0645777937</v>
      </c>
      <c r="Q13" s="15" t="n">
        <f aca="false">O13+P13</f>
        <v>93909.5540107801</v>
      </c>
      <c r="R13" s="15" t="n">
        <f aca="false">Q13-$G$2+$I$2</f>
        <v>92319.5540107801</v>
      </c>
      <c r="S13" s="42" t="n">
        <f aca="false">R13/$K$2</f>
        <v>256.742738780745</v>
      </c>
      <c r="T13" s="43" t="n">
        <f aca="false">S13-$M$2</f>
        <v>-21.2760609300291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0.0390625</v>
      </c>
      <c r="C14" s="25" t="n">
        <f aca="false">IF(T13&gt;0,D13,C13)</f>
        <v>0.0625</v>
      </c>
      <c r="D14" s="41" t="n">
        <f aca="false">(B14+C14)/2</f>
        <v>0.05078125</v>
      </c>
      <c r="E14" s="15" t="n">
        <f aca="false">$C$2*(1+IF(E$3&lt;=$O$2,$D14,$D14-($D14-$I$6)*MIN(E$3-$O$2,$Q$2)/$Q$2))</f>
        <v>7103.28125</v>
      </c>
      <c r="F14" s="15" t="n">
        <f aca="false">E14*(1+IF(F$3&lt;=$O$2,$D14,$D14-($D14-$I$6)*MIN(F$3-$O$2,$Q$2)/$Q$2))</f>
        <v>7463.99475097656</v>
      </c>
      <c r="G14" s="15" t="n">
        <f aca="false">F14*(1+IF(G$3&lt;=$O$2,$D14,$D14-($D14-$I$6)*MIN(G$3-$O$2,$Q$2)/$Q$2))</f>
        <v>7843.02573442459</v>
      </c>
      <c r="H14" s="15" t="n">
        <f aca="false">G14*(1+IF(H$3&lt;=$O$2,$D14,$D14-($D14-$I$6)*MIN(H$3-$O$2,$Q$2)/$Q$2))</f>
        <v>8241.30438500084</v>
      </c>
      <c r="I14" s="15" t="n">
        <f aca="false">H14*(1+IF(I$3&lt;=$O$2,$D14,$D14-($D14-$I$6)*MIN(I$3-$O$2,$Q$2)/$Q$2))</f>
        <v>8659.80812330166</v>
      </c>
      <c r="J14" s="15" t="n">
        <f aca="false">I14*(1+IF(J$3&lt;=$O$2,$D14,$D14-($D14-$I$6)*MIN(J$3-$O$2,$Q$2)/$Q$2))</f>
        <v>9060.62734228868</v>
      </c>
      <c r="K14" s="15" t="n">
        <f aca="false">J14*(1+IF(K$3&lt;=$O$2,$D14,$D14-($D14-$I$6)*MIN(K$3-$O$2,$Q$2)/$Q$2))</f>
        <v>9439.25963313875</v>
      </c>
      <c r="L14" s="15" t="n">
        <f aca="false">K14*(1+IF(L$3&lt;=$O$2,$D14,$D14-($D14-$I$6)*MIN(L$3-$O$2,$Q$2)/$Q$2))</f>
        <v>9791.27322300757</v>
      </c>
      <c r="M14" s="15" t="n">
        <f aca="false">L14*(1+IF(M$3&lt;=$O$2,$D14,$D14-($D14-$I$6)*MIN(M$3-$O$2,$Q$2)/$Q$2))</f>
        <v>10112.3902674476</v>
      </c>
      <c r="N14" s="15" t="n">
        <f aca="false">M14*(1+IF(N$3&lt;=$O$2,$D14,$D14-($D14-$I$6)*MIN(N$3-$O$2,$Q$2)/$Q$2))</f>
        <v>10398.5709120164</v>
      </c>
      <c r="O14" s="15" t="n">
        <f aca="false">SUMPRODUCT(E14:N14,1/(1+$F$6)^$E$3:$N$3)*$E$2</f>
        <v>36283.835515381</v>
      </c>
      <c r="P14" s="15" t="n">
        <f aca="false">N14*$E$2*(1+$I$6)/($F$6-$I$6)/(1+$F$6)^$N$3</f>
        <v>64315.6345328899</v>
      </c>
      <c r="Q14" s="15" t="n">
        <f aca="false">O14+P14</f>
        <v>100599.470048271</v>
      </c>
      <c r="R14" s="15" t="n">
        <f aca="false">Q14-$G$2+$I$2</f>
        <v>99009.4700482709</v>
      </c>
      <c r="S14" s="42" t="n">
        <f aca="false">R14/$K$2</f>
        <v>275.347544491548</v>
      </c>
      <c r="T14" s="43" t="n">
        <f aca="false">S14-$M$2</f>
        <v>-2.6712552192256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0.05078125</v>
      </c>
      <c r="C15" s="25" t="n">
        <f aca="false">IF(T14&gt;0,D14,C14)</f>
        <v>0.0625</v>
      </c>
      <c r="D15" s="41" t="n">
        <f aca="false">(B15+C15)/2</f>
        <v>0.056640625</v>
      </c>
      <c r="E15" s="15" t="n">
        <f aca="false">$C$2*(1+IF(E$3&lt;=$O$2,$D15,$D15-($D15-$I$6)*MIN(E$3-$O$2,$Q$2)/$Q$2))</f>
        <v>7142.890625</v>
      </c>
      <c r="F15" s="15" t="n">
        <f aca="false">E15*(1+IF(F$3&lt;=$O$2,$D15,$D15-($D15-$I$6)*MIN(F$3-$O$2,$Q$2)/$Q$2))</f>
        <v>7547.46841430664</v>
      </c>
      <c r="G15" s="15" t="n">
        <f aca="false">F15*(1+IF(G$3&lt;=$O$2,$D15,$D15-($D15-$I$6)*MIN(G$3-$O$2,$Q$2)/$Q$2))</f>
        <v>7974.96174246073</v>
      </c>
      <c r="H15" s="15" t="n">
        <f aca="false">G15*(1+IF(H$3&lt;=$O$2,$D15,$D15-($D15-$I$6)*MIN(H$3-$O$2,$Q$2)/$Q$2))</f>
        <v>8426.66855990479</v>
      </c>
      <c r="I15" s="15" t="n">
        <f aca="false">H15*(1+IF(I$3&lt;=$O$2,$D15,$D15-($D15-$I$6)*MIN(I$3-$O$2,$Q$2)/$Q$2))</f>
        <v>8903.96033380565</v>
      </c>
      <c r="J15" s="15" t="n">
        <f aca="false">I15*(1+IF(J$3&lt;=$O$2,$D15,$D15-($D15-$I$6)*MIN(J$3-$O$2,$Q$2)/$Q$2))</f>
        <v>9357.81745192056</v>
      </c>
      <c r="K15" s="15" t="n">
        <f aca="false">J15*(1+IF(K$3&lt;=$O$2,$D15,$D15-($D15-$I$6)*MIN(K$3-$O$2,$Q$2)/$Q$2))</f>
        <v>9781.76752294391</v>
      </c>
      <c r="L15" s="15" t="n">
        <f aca="false">K15*(1+IF(L$3&lt;=$O$2,$D15,$D15-($D15-$I$6)*MIN(L$3-$O$2,$Q$2)/$Q$2))</f>
        <v>10169.4801059252</v>
      </c>
      <c r="M15" s="15" t="n">
        <f aca="false">L15*(1+IF(M$3&lt;=$O$2,$D15,$D15-($D15-$I$6)*MIN(M$3-$O$2,$Q$2)/$Q$2))</f>
        <v>10514.9182773483</v>
      </c>
      <c r="N15" s="15" t="n">
        <f aca="false">M15*(1+IF(N$3&lt;=$O$2,$D15,$D15-($D15-$I$6)*MIN(N$3-$O$2,$Q$2)/$Q$2))</f>
        <v>10812.4904645972</v>
      </c>
      <c r="O15" s="15" t="n">
        <f aca="false">SUMPRODUCT(E15:N15,1/(1+$F$6)^$E$3:$N$3)*$E$2</f>
        <v>37232.6328386779</v>
      </c>
      <c r="P15" s="15" t="n">
        <f aca="false">N15*$E$2*(1+$I$6)/($F$6-$I$6)/(1+$F$6)^$N$3</f>
        <v>66875.7458111658</v>
      </c>
      <c r="Q15" s="15" t="n">
        <f aca="false">O15+P15</f>
        <v>104108.378649844</v>
      </c>
      <c r="R15" s="15" t="n">
        <f aca="false">Q15-$G$2+$I$2</f>
        <v>102518.378649844</v>
      </c>
      <c r="S15" s="42" t="n">
        <f aca="false">R15/$K$2</f>
        <v>285.105897574514</v>
      </c>
      <c r="T15" s="43" t="n">
        <f aca="false">S15-$M$2</f>
        <v>7.08709786374033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0.05078125</v>
      </c>
      <c r="C16" s="25" t="n">
        <f aca="false">IF(T15&gt;0,D15,C15)</f>
        <v>0.056640625</v>
      </c>
      <c r="D16" s="41" t="n">
        <f aca="false">(B16+C16)/2</f>
        <v>0.0537109375</v>
      </c>
      <c r="E16" s="15" t="n">
        <f aca="false">$C$2*(1+IF(E$3&lt;=$O$2,$D16,$D16-($D16-$I$6)*MIN(E$3-$O$2,$Q$2)/$Q$2))</f>
        <v>7123.0859375</v>
      </c>
      <c r="F16" s="15" t="n">
        <f aca="false">E16*(1+IF(F$3&lt;=$O$2,$D16,$D16-($D16-$I$6)*MIN(F$3-$O$2,$Q$2)/$Q$2))</f>
        <v>7505.67356109619</v>
      </c>
      <c r="G16" s="15" t="n">
        <f aca="false">F16*(1+IF(G$3&lt;=$O$2,$D16,$D16-($D16-$I$6)*MIN(G$3-$O$2,$Q$2)/$Q$2))</f>
        <v>7908.81032463163</v>
      </c>
      <c r="H16" s="15" t="n">
        <f aca="false">G16*(1+IF(H$3&lt;=$O$2,$D16,$D16-($D16-$I$6)*MIN(H$3-$O$2,$Q$2)/$Q$2))</f>
        <v>8333.59994167728</v>
      </c>
      <c r="I16" s="15" t="n">
        <f aca="false">H16*(1+IF(I$3&lt;=$O$2,$D16,$D16-($D16-$I$6)*MIN(I$3-$O$2,$Q$2)/$Q$2))</f>
        <v>8781.20540729471</v>
      </c>
      <c r="J16" s="15" t="n">
        <f aca="false">I16*(1+IF(J$3&lt;=$O$2,$D16,$D16-($D16-$I$6)*MIN(J$3-$O$2,$Q$2)/$Q$2))</f>
        <v>9208.22444974469</v>
      </c>
      <c r="K16" s="15" t="n">
        <f aca="false">J16*(1+IF(K$3&lt;=$O$2,$D16,$D16-($D16-$I$6)*MIN(K$3-$O$2,$Q$2)/$Q$2))</f>
        <v>9609.21097125953</v>
      </c>
      <c r="L16" s="15" t="n">
        <f aca="false">K16*(1+IF(L$3&lt;=$O$2,$D16,$D16-($D16-$I$6)*MIN(L$3-$O$2,$Q$2)/$Q$2))</f>
        <v>9978.82326551217</v>
      </c>
      <c r="M16" s="15" t="n">
        <f aca="false">L16*(1+IF(M$3&lt;=$O$2,$D16,$D16-($D16-$I$6)*MIN(M$3-$O$2,$Q$2)/$Q$2))</f>
        <v>10311.9382147909</v>
      </c>
      <c r="N16" s="15" t="n">
        <f aca="false">M16*(1+IF(N$3&lt;=$O$2,$D16,$D16-($D16-$I$6)*MIN(N$3-$O$2,$Q$2)/$Q$2))</f>
        <v>10603.7660662694</v>
      </c>
      <c r="O16" s="15" t="n">
        <f aca="false">SUMPRODUCT(E16:N16,1/(1+$F$6)^$E$3:$N$3)*$E$2</f>
        <v>36755.1628570615</v>
      </c>
      <c r="P16" s="15" t="n">
        <f aca="false">N16*$E$2*(1+$I$6)/($F$6-$I$6)/(1+$F$6)^$N$3</f>
        <v>65584.7759043842</v>
      </c>
      <c r="Q16" s="15" t="n">
        <f aca="false">O16+P16</f>
        <v>102339.938761446</v>
      </c>
      <c r="R16" s="15" t="n">
        <f aca="false">Q16-$G$2+$I$2</f>
        <v>100749.938761446</v>
      </c>
      <c r="S16" s="42" t="n">
        <f aca="false">R16/$K$2</f>
        <v>280.187826801952</v>
      </c>
      <c r="T16" s="43" t="n">
        <f aca="false">S16-$M$2</f>
        <v>2.16902709117784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0.05078125</v>
      </c>
      <c r="C17" s="25" t="n">
        <f aca="false">IF(T16&gt;0,D16,C16)</f>
        <v>0.0537109375</v>
      </c>
      <c r="D17" s="41" t="n">
        <f aca="false">(B17+C17)/2</f>
        <v>0.05224609375</v>
      </c>
      <c r="E17" s="15" t="n">
        <f aca="false">$C$2*(1+IF(E$3&lt;=$O$2,$D17,$D17-($D17-$I$6)*MIN(E$3-$O$2,$Q$2)/$Q$2))</f>
        <v>7113.18359375</v>
      </c>
      <c r="F17" s="15" t="n">
        <f aca="false">E17*(1+IF(F$3&lt;=$O$2,$D17,$D17-($D17-$I$6)*MIN(F$3-$O$2,$Q$2)/$Q$2))</f>
        <v>7484.81965065002</v>
      </c>
      <c r="G17" s="15" t="n">
        <f aca="false">F17*(1+IF(G$3&lt;=$O$2,$D17,$D17-($D17-$I$6)*MIN(G$3-$O$2,$Q$2)/$Q$2))</f>
        <v>7875.87223981973</v>
      </c>
      <c r="H17" s="15" t="n">
        <f aca="false">G17*(1+IF(H$3&lt;=$O$2,$D17,$D17-($D17-$I$6)*MIN(H$3-$O$2,$Q$2)/$Q$2))</f>
        <v>8287.35579922437</v>
      </c>
      <c r="I17" s="15" t="n">
        <f aca="false">H17*(1+IF(I$3&lt;=$O$2,$D17,$D17-($D17-$I$6)*MIN(I$3-$O$2,$Q$2)/$Q$2))</f>
        <v>8720.33776725025</v>
      </c>
      <c r="J17" s="15" t="n">
        <f aca="false">I17*(1+IF(J$3&lt;=$O$2,$D17,$D17-($D17-$I$6)*MIN(J$3-$O$2,$Q$2)/$Q$2))</f>
        <v>9134.17774662843</v>
      </c>
      <c r="K17" s="15" t="n">
        <f aca="false">J17*(1+IF(K$3&lt;=$O$2,$D17,$D17-($D17-$I$6)*MIN(K$3-$O$2,$Q$2)/$Q$2))</f>
        <v>9523.91170284797</v>
      </c>
      <c r="L17" s="15" t="n">
        <f aca="false">K17*(1+IF(L$3&lt;=$O$2,$D17,$D17-($D17-$I$6)*MIN(L$3-$O$2,$Q$2)/$Q$2))</f>
        <v>9884.66259703982</v>
      </c>
      <c r="M17" s="15" t="n">
        <f aca="false">L17*(1+IF(M$3&lt;=$O$2,$D17,$D17-($D17-$I$6)*MIN(M$3-$O$2,$Q$2)/$Q$2))</f>
        <v>10211.7383599832</v>
      </c>
      <c r="N17" s="15" t="n">
        <f aca="false">M17*(1+IF(N$3&lt;=$O$2,$D17,$D17-($D17-$I$6)*MIN(N$3-$O$2,$Q$2)/$Q$2))</f>
        <v>10500.7305555707</v>
      </c>
      <c r="O17" s="15" t="n">
        <f aca="false">SUMPRODUCT(E17:N17,1/(1+$F$6)^$E$3:$N$3)*$E$2</f>
        <v>36518.7359825386</v>
      </c>
      <c r="P17" s="15" t="n">
        <f aca="false">N17*$E$2*(1+$I$6)/($F$6-$I$6)/(1+$F$6)^$N$3</f>
        <v>64947.4965795541</v>
      </c>
      <c r="Q17" s="15" t="n">
        <f aca="false">O17+P17</f>
        <v>101466.232562093</v>
      </c>
      <c r="R17" s="15" t="n">
        <f aca="false">Q17-$G$2+$I$2</f>
        <v>99876.2325620927</v>
      </c>
      <c r="S17" s="42" t="n">
        <f aca="false">R17/$K$2</f>
        <v>277.758030374584</v>
      </c>
      <c r="T17" s="43" t="n">
        <f aca="false">S17-$M$2</f>
        <v>-0.260769336190208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0.05224609375</v>
      </c>
      <c r="C18" s="25" t="n">
        <f aca="false">IF(T17&gt;0,D17,C17)</f>
        <v>0.0537109375</v>
      </c>
      <c r="D18" s="41" t="n">
        <f aca="false">(B18+C18)/2</f>
        <v>0.052978515625</v>
      </c>
      <c r="E18" s="15" t="n">
        <f aca="false">$C$2*(1+IF(E$3&lt;=$O$2,$D18,$D18-($D18-$I$6)*MIN(E$3-$O$2,$Q$2)/$Q$2))</f>
        <v>7118.134765625</v>
      </c>
      <c r="F18" s="15" t="n">
        <f aca="false">E18*(1+IF(F$3&lt;=$O$2,$D18,$D18-($D18-$I$6)*MIN(F$3-$O$2,$Q$2)/$Q$2))</f>
        <v>7495.24297952652</v>
      </c>
      <c r="G18" s="15" t="n">
        <f aca="false">F18*(1+IF(G$3&lt;=$O$2,$D18,$D18-($D18-$I$6)*MIN(G$3-$O$2,$Q$2)/$Q$2))</f>
        <v>7892.32982683054</v>
      </c>
      <c r="H18" s="15" t="n">
        <f aca="false">G18*(1+IF(H$3&lt;=$O$2,$D18,$D18-($D18-$I$6)*MIN(H$3-$O$2,$Q$2)/$Q$2))</f>
        <v>8310.45374587893</v>
      </c>
      <c r="I18" s="15" t="n">
        <f aca="false">H18*(1+IF(I$3&lt;=$O$2,$D18,$D18-($D18-$I$6)*MIN(I$3-$O$2,$Q$2)/$Q$2))</f>
        <v>8750.72924950582</v>
      </c>
      <c r="J18" s="15" t="n">
        <f aca="false">I18*(1+IF(J$3&lt;=$O$2,$D18,$D18-($D18-$I$6)*MIN(J$3-$O$2,$Q$2)/$Q$2))</f>
        <v>9171.13889407809</v>
      </c>
      <c r="K18" s="15" t="n">
        <f aca="false">J18*(1+IF(K$3&lt;=$O$2,$D18,$D18-($D18-$I$6)*MIN(K$3-$O$2,$Q$2)/$Q$2))</f>
        <v>9566.48018147844</v>
      </c>
      <c r="L18" s="15" t="n">
        <f aca="false">K18*(1+IF(L$3&lt;=$O$2,$D18,$D18-($D18-$I$6)*MIN(L$3-$O$2,$Q$2)/$Q$2))</f>
        <v>9931.64618286822</v>
      </c>
      <c r="M18" s="15" t="n">
        <f aca="false">L18*(1+IF(M$3&lt;=$O$2,$D18,$D18-($D18-$I$6)*MIN(M$3-$O$2,$Q$2)/$Q$2))</f>
        <v>10261.7314269446</v>
      </c>
      <c r="N18" s="15" t="n">
        <f aca="false">M18*(1+IF(N$3&lt;=$O$2,$D18,$D18-($D18-$I$6)*MIN(N$3-$O$2,$Q$2)/$Q$2))</f>
        <v>10552.1384263271</v>
      </c>
      <c r="O18" s="15" t="n">
        <f aca="false">SUMPRODUCT(E18:N18,1/(1+$F$6)^$E$3:$N$3)*$E$2</f>
        <v>36636.7580424838</v>
      </c>
      <c r="P18" s="15" t="n">
        <f aca="false">N18*$E$2*(1+$I$6)/($F$6-$I$6)/(1+$F$6)^$N$3</f>
        <v>65265.4566007586</v>
      </c>
      <c r="Q18" s="15" t="n">
        <f aca="false">O18+P18</f>
        <v>101902.214643242</v>
      </c>
      <c r="R18" s="15" t="n">
        <f aca="false">Q18-$G$2+$I$2</f>
        <v>100312.214643242</v>
      </c>
      <c r="S18" s="42" t="n">
        <f aca="false">R18/$K$2</f>
        <v>278.970506266317</v>
      </c>
      <c r="T18" s="43" t="n">
        <f aca="false">S18-$M$2</f>
        <v>0.951706555543467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0.05224609375</v>
      </c>
      <c r="C19" s="25" t="n">
        <f aca="false">IF(T18&gt;0,D18,C18)</f>
        <v>0.052978515625</v>
      </c>
      <c r="D19" s="41" t="n">
        <f aca="false">(B19+C19)/2</f>
        <v>0.0526123046875</v>
      </c>
      <c r="E19" s="15" t="n">
        <f aca="false">$C$2*(1+IF(E$3&lt;=$O$2,$D19,$D19-($D19-$I$6)*MIN(E$3-$O$2,$Q$2)/$Q$2))</f>
        <v>7115.6591796875</v>
      </c>
      <c r="F19" s="15" t="n">
        <f aca="false">E19*(1+IF(F$3&lt;=$O$2,$D19,$D19-($D19-$I$6)*MIN(F$3-$O$2,$Q$2)/$Q$2))</f>
        <v>7490.03040850163</v>
      </c>
      <c r="G19" s="15" t="n">
        <f aca="false">F19*(1+IF(G$3&lt;=$O$2,$D19,$D19-($D19-$I$6)*MIN(G$3-$O$2,$Q$2)/$Q$2))</f>
        <v>7884.09817047235</v>
      </c>
      <c r="H19" s="15" t="n">
        <f aca="false">G19*(1+IF(H$3&lt;=$O$2,$D19,$D19-($D19-$I$6)*MIN(H$3-$O$2,$Q$2)/$Q$2))</f>
        <v>8298.89874560341</v>
      </c>
      <c r="I19" s="15" t="n">
        <f aca="false">H19*(1+IF(I$3&lt;=$O$2,$D19,$D19-($D19-$I$6)*MIN(I$3-$O$2,$Q$2)/$Q$2))</f>
        <v>8735.5229349778</v>
      </c>
      <c r="J19" s="15" t="n">
        <f aca="false">I19*(1+IF(J$3&lt;=$O$2,$D19,$D19-($D19-$I$6)*MIN(J$3-$O$2,$Q$2)/$Q$2))</f>
        <v>9152.64279019753</v>
      </c>
      <c r="K19" s="15" t="n">
        <f aca="false">J19*(1+IF(K$3&lt;=$O$2,$D19,$D19-($D19-$I$6)*MIN(K$3-$O$2,$Q$2)/$Q$2))</f>
        <v>9545.1756852868</v>
      </c>
      <c r="L19" s="15" t="n">
        <f aca="false">K19*(1+IF(L$3&lt;=$O$2,$D19,$D19-($D19-$I$6)*MIN(L$3-$O$2,$Q$2)/$Q$2))</f>
        <v>9908.13024500298</v>
      </c>
      <c r="M19" s="15" t="n">
        <f aca="false">L19*(1+IF(M$3&lt;=$O$2,$D19,$D19-($D19-$I$6)*MIN(M$3-$O$2,$Q$2)/$Q$2))</f>
        <v>10236.7082272166</v>
      </c>
      <c r="N19" s="15" t="n">
        <f aca="false">M19*(1+IF(N$3&lt;=$O$2,$D19,$D19-($D19-$I$6)*MIN(N$3-$O$2,$Q$2)/$Q$2))</f>
        <v>10526.4070700468</v>
      </c>
      <c r="O19" s="15" t="n">
        <f aca="false">SUMPRODUCT(E19:N19,1/(1+$F$6)^$E$3:$N$3)*$E$2</f>
        <v>36577.6992403496</v>
      </c>
      <c r="P19" s="15" t="n">
        <f aca="false">N19*$E$2*(1+$I$6)/($F$6-$I$6)/(1+$F$6)^$N$3</f>
        <v>65106.3069906282</v>
      </c>
      <c r="Q19" s="15" t="n">
        <f aca="false">O19+P19</f>
        <v>101684.006230978</v>
      </c>
      <c r="R19" s="15" t="n">
        <f aca="false">Q19-$G$2+$I$2</f>
        <v>100094.006230978</v>
      </c>
      <c r="S19" s="42" t="n">
        <f aca="false">R19/$K$2</f>
        <v>278.363663804933</v>
      </c>
      <c r="T19" s="43" t="n">
        <f aca="false">S19-$M$2</f>
        <v>0.344864094159277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0.05224609375</v>
      </c>
      <c r="C20" s="25" t="n">
        <f aca="false">IF(T19&gt;0,D19,C19)</f>
        <v>0.0526123046875</v>
      </c>
      <c r="D20" s="41" t="n">
        <f aca="false">(B20+C20)/2</f>
        <v>0.05242919921875</v>
      </c>
      <c r="E20" s="15" t="n">
        <f aca="false">$C$2*(1+IF(E$3&lt;=$O$2,$D20,$D20-($D20-$I$6)*MIN(E$3-$O$2,$Q$2)/$Q$2))</f>
        <v>7114.42138671875</v>
      </c>
      <c r="F20" s="15" t="n">
        <f aca="false">E20*(1+IF(F$3&lt;=$O$2,$D20,$D20-($D20-$I$6)*MIN(F$3-$O$2,$Q$2)/$Q$2))</f>
        <v>7487.42480292916</v>
      </c>
      <c r="G20" s="15" t="n">
        <f aca="false">F20*(1+IF(G$3&lt;=$O$2,$D20,$D20-($D20-$I$6)*MIN(G$3-$O$2,$Q$2)/$Q$2))</f>
        <v>7879.98448955735</v>
      </c>
      <c r="H20" s="15" t="n">
        <f aca="false">G20*(1+IF(H$3&lt;=$O$2,$D20,$D20-($D20-$I$6)*MIN(H$3-$O$2,$Q$2)/$Q$2))</f>
        <v>8293.12576620101</v>
      </c>
      <c r="I20" s="15" t="n">
        <f aca="false">H20*(1+IF(I$3&lt;=$O$2,$D20,$D20-($D20-$I$6)*MIN(I$3-$O$2,$Q$2)/$Q$2))</f>
        <v>8727.92770914331</v>
      </c>
      <c r="J20" s="15" t="n">
        <f aca="false">I20*(1+IF(J$3&lt;=$O$2,$D20,$D20-($D20-$I$6)*MIN(J$3-$O$2,$Q$2)/$Q$2))</f>
        <v>9143.40638848068</v>
      </c>
      <c r="K20" s="15" t="n">
        <f aca="false">J20*(1+IF(K$3&lt;=$O$2,$D20,$D20-($D20-$I$6)*MIN(K$3-$O$2,$Q$2)/$Q$2))</f>
        <v>9534.53863384607</v>
      </c>
      <c r="L20" s="15" t="n">
        <f aca="false">K20*(1+IF(L$3&lt;=$O$2,$D20,$D20-($D20-$I$6)*MIN(L$3-$O$2,$Q$2)/$Q$2))</f>
        <v>9896.39039004589</v>
      </c>
      <c r="M20" s="15" t="n">
        <f aca="false">L20*(1+IF(M$3&lt;=$O$2,$D20,$D20-($D20-$I$6)*MIN(M$3-$O$2,$Q$2)/$Q$2))</f>
        <v>10224.2166331378</v>
      </c>
      <c r="N20" s="15" t="n">
        <f aca="false">M20*(1+IF(N$3&lt;=$O$2,$D20,$D20-($D20-$I$6)*MIN(N$3-$O$2,$Q$2)/$Q$2))</f>
        <v>10513.5619638556</v>
      </c>
      <c r="O20" s="15" t="n">
        <f aca="false">SUMPRODUCT(E20:N20,1/(1+$F$6)^$E$3:$N$3)*$E$2</f>
        <v>36548.2056774143</v>
      </c>
      <c r="P20" s="15" t="n">
        <f aca="false">N20*$E$2*(1+$I$6)/($F$6-$I$6)/(1+$F$6)^$N$3</f>
        <v>65026.8594240039</v>
      </c>
      <c r="Q20" s="15" t="n">
        <f aca="false">O20+P20</f>
        <v>101575.065101418</v>
      </c>
      <c r="R20" s="15" t="n">
        <f aca="false">Q20-$G$2+$I$2</f>
        <v>99985.0651014182</v>
      </c>
      <c r="S20" s="42" t="n">
        <f aca="false">R20/$K$2</f>
        <v>278.060696093827</v>
      </c>
      <c r="T20" s="43" t="n">
        <f aca="false">S20-$M$2</f>
        <v>0.0418963830528583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0.05224609375</v>
      </c>
      <c r="C21" s="25" t="n">
        <f aca="false">IF(T20&gt;0,D20,C20)</f>
        <v>0.05242919921875</v>
      </c>
      <c r="D21" s="41" t="n">
        <f aca="false">(B21+C21)/2</f>
        <v>0.052337646484375</v>
      </c>
      <c r="E21" s="15" t="n">
        <f aca="false">$C$2*(1+IF(E$3&lt;=$O$2,$D21,$D21-($D21-$I$6)*MIN(E$3-$O$2,$Q$2)/$Q$2))</f>
        <v>7113.80249023438</v>
      </c>
      <c r="F21" s="15" t="n">
        <f aca="false">E21*(1+IF(F$3&lt;=$O$2,$D21,$D21-($D21-$I$6)*MIN(F$3-$O$2,$Q$2)/$Q$2))</f>
        <v>7486.12217012793</v>
      </c>
      <c r="G21" s="15" t="n">
        <f aca="false">F21*(1+IF(G$3&lt;=$O$2,$D21,$D21-($D21-$I$6)*MIN(G$3-$O$2,$Q$2)/$Q$2))</f>
        <v>7877.92818580693</v>
      </c>
      <c r="H21" s="15" t="n">
        <f aca="false">G21*(1+IF(H$3&lt;=$O$2,$D21,$D21-($D21-$I$6)*MIN(H$3-$O$2,$Q$2)/$Q$2))</f>
        <v>8290.24040622498</v>
      </c>
      <c r="I21" s="15" t="n">
        <f aca="false">H21*(1+IF(I$3&lt;=$O$2,$D21,$D21-($D21-$I$6)*MIN(I$3-$O$2,$Q$2)/$Q$2))</f>
        <v>8724.13207787647</v>
      </c>
      <c r="J21" s="15" t="n">
        <f aca="false">I21*(1+IF(J$3&lt;=$O$2,$D21,$D21-($D21-$I$6)*MIN(J$3-$O$2,$Q$2)/$Q$2))</f>
        <v>9138.79109789716</v>
      </c>
      <c r="K21" s="15" t="n">
        <f aca="false">J21*(1+IF(K$3&lt;=$O$2,$D21,$D21-($D21-$I$6)*MIN(K$3-$O$2,$Q$2)/$Q$2))</f>
        <v>9529.22390379114</v>
      </c>
      <c r="L21" s="15" t="n">
        <f aca="false">K21*(1+IF(L$3&lt;=$O$2,$D21,$D21-($D21-$I$6)*MIN(L$3-$O$2,$Q$2)/$Q$2))</f>
        <v>9890.52498645634</v>
      </c>
      <c r="M21" s="15" t="n">
        <f aca="false">L21*(1+IF(M$3&lt;=$O$2,$D21,$D21-($D21-$I$6)*MIN(M$3-$O$2,$Q$2)/$Q$2))</f>
        <v>10217.9758322069</v>
      </c>
      <c r="N21" s="15" t="n">
        <f aca="false">M21*(1+IF(N$3&lt;=$O$2,$D21,$D21-($D21-$I$6)*MIN(N$3-$O$2,$Q$2)/$Q$2))</f>
        <v>10507.1445482584</v>
      </c>
      <c r="O21" s="15" t="n">
        <f aca="false">SUMPRODUCT(E21:N21,1/(1+$F$6)^$E$3:$N$3)*$E$2</f>
        <v>36533.4678475947</v>
      </c>
      <c r="P21" s="15" t="n">
        <f aca="false">N21*$E$2*(1+$I$6)/($F$6-$I$6)/(1+$F$6)^$N$3</f>
        <v>64987.1674163533</v>
      </c>
      <c r="Q21" s="15" t="n">
        <f aca="false">O21+P21</f>
        <v>101520.635263948</v>
      </c>
      <c r="R21" s="15" t="n">
        <f aca="false">Q21-$G$2+$I$2</f>
        <v>99930.6352639479</v>
      </c>
      <c r="S21" s="42" t="n">
        <f aca="false">R21/$K$2</f>
        <v>277.90932550183</v>
      </c>
      <c r="T21" s="43" t="n">
        <f aca="false">S21-$M$2</f>
        <v>-0.109474208943936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0.052337646484375</v>
      </c>
      <c r="C22" s="25" t="n">
        <f aca="false">IF(T21&gt;0,D21,C21)</f>
        <v>0.05242919921875</v>
      </c>
      <c r="D22" s="41" t="n">
        <f aca="false">(B22+C22)/2</f>
        <v>0.0523834228515625</v>
      </c>
      <c r="E22" s="15" t="n">
        <f aca="false">$C$2*(1+IF(E$3&lt;=$O$2,$D22,$D22-($D22-$I$6)*MIN(E$3-$O$2,$Q$2)/$Q$2))</f>
        <v>7114.11193847656</v>
      </c>
      <c r="F22" s="15" t="n">
        <f aca="false">E22*(1+IF(F$3&lt;=$O$2,$D22,$D22-($D22-$I$6)*MIN(F$3-$O$2,$Q$2)/$Q$2))</f>
        <v>7486.77347236313</v>
      </c>
      <c r="G22" s="15" t="n">
        <f aca="false">F22*(1+IF(G$3&lt;=$O$2,$D22,$D22-($D22-$I$6)*MIN(G$3-$O$2,$Q$2)/$Q$2))</f>
        <v>7878.95629295979</v>
      </c>
      <c r="H22" s="15" t="n">
        <f aca="false">G22*(1+IF(H$3&lt;=$O$2,$D22,$D22-($D22-$I$6)*MIN(H$3-$O$2,$Q$2)/$Q$2))</f>
        <v>8291.68299208288</v>
      </c>
      <c r="I22" s="15" t="n">
        <f aca="false">H22*(1+IF(I$3&lt;=$O$2,$D22,$D22-($D22-$I$6)*MIN(I$3-$O$2,$Q$2)/$Q$2))</f>
        <v>8726.02972840827</v>
      </c>
      <c r="J22" s="15" t="n">
        <f aca="false">I22*(1+IF(J$3&lt;=$O$2,$D22,$D22-($D22-$I$6)*MIN(J$3-$O$2,$Q$2)/$Q$2))</f>
        <v>9141.09850073387</v>
      </c>
      <c r="K22" s="15" t="n">
        <f aca="false">J22*(1+IF(K$3&lt;=$O$2,$D22,$D22-($D22-$I$6)*MIN(K$3-$O$2,$Q$2)/$Q$2))</f>
        <v>9531.88095261721</v>
      </c>
      <c r="L22" s="15" t="n">
        <f aca="false">K22*(1+IF(L$3&lt;=$O$2,$D22,$D22-($D22-$I$6)*MIN(L$3-$O$2,$Q$2)/$Q$2))</f>
        <v>9893.45731139733</v>
      </c>
      <c r="M22" s="15" t="n">
        <f aca="false">L22*(1+IF(M$3&lt;=$O$2,$D22,$D22-($D22-$I$6)*MIN(M$3-$O$2,$Q$2)/$Q$2))</f>
        <v>10221.0958164887</v>
      </c>
      <c r="N22" s="15" t="n">
        <f aca="false">M22*(1+IF(N$3&lt;=$O$2,$D22,$D22-($D22-$I$6)*MIN(N$3-$O$2,$Q$2)/$Q$2))</f>
        <v>10510.3528280954</v>
      </c>
      <c r="O22" s="15" t="n">
        <f aca="false">SUMPRODUCT(E22:N22,1/(1+$F$6)^$E$3:$N$3)*$E$2</f>
        <v>36540.8360167683</v>
      </c>
      <c r="P22" s="15" t="n">
        <f aca="false">N22*$E$2*(1+$I$6)/($F$6-$I$6)/(1+$F$6)^$N$3</f>
        <v>65007.0107732166</v>
      </c>
      <c r="Q22" s="15" t="n">
        <f aca="false">O22+P22</f>
        <v>101547.846789985</v>
      </c>
      <c r="R22" s="15" t="n">
        <f aca="false">Q22-$G$2+$I$2</f>
        <v>99957.8467899849</v>
      </c>
      <c r="S22" s="42" t="n">
        <f aca="false">R22/$K$2</f>
        <v>277.985001362659</v>
      </c>
      <c r="T22" s="43" t="n">
        <f aca="false">S22-$M$2</f>
        <v>-0.0337983481148285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0.0523834228515625</v>
      </c>
      <c r="C23" s="25" t="n">
        <f aca="false">IF(T22&gt;0,D22,C22)</f>
        <v>0.05242919921875</v>
      </c>
      <c r="D23" s="41" t="n">
        <f aca="false">(B23+C23)/2</f>
        <v>0.0524063110351563</v>
      </c>
      <c r="E23" s="15" t="n">
        <f aca="false">$C$2*(1+IF(E$3&lt;=$O$2,$D23,$D23-($D23-$I$6)*MIN(E$3-$O$2,$Q$2)/$Q$2))</f>
        <v>7114.26666259766</v>
      </c>
      <c r="F23" s="15" t="n">
        <f aca="false">E23*(1+IF(F$3&lt;=$O$2,$D23,$D23-($D23-$I$6)*MIN(F$3-$O$2,$Q$2)/$Q$2))</f>
        <v>7487.09913410479</v>
      </c>
      <c r="G23" s="15" t="n">
        <f aca="false">F23*(1+IF(G$3&lt;=$O$2,$D23,$D23-($D23-$I$6)*MIN(G$3-$O$2,$Q$2)/$Q$2))</f>
        <v>7879.47038007774</v>
      </c>
      <c r="H23" s="15" t="n">
        <f aca="false">G23*(1+IF(H$3&lt;=$O$2,$D23,$D23-($D23-$I$6)*MIN(H$3-$O$2,$Q$2)/$Q$2))</f>
        <v>8292.40435560839</v>
      </c>
      <c r="I23" s="15" t="n">
        <f aca="false">H23*(1+IF(I$3&lt;=$O$2,$D23,$D23-($D23-$I$6)*MIN(I$3-$O$2,$Q$2)/$Q$2))</f>
        <v>8726.97867749769</v>
      </c>
      <c r="J23" s="15" t="n">
        <f aca="false">I23*(1+IF(J$3&lt;=$O$2,$D23,$D23-($D23-$I$6)*MIN(J$3-$O$2,$Q$2)/$Q$2))</f>
        <v>9142.25238398843</v>
      </c>
      <c r="K23" s="15" t="n">
        <f aca="false">J23*(1+IF(K$3&lt;=$O$2,$D23,$D23-($D23-$I$6)*MIN(K$3-$O$2,$Q$2)/$Q$2))</f>
        <v>9533.20971417349</v>
      </c>
      <c r="L23" s="15" t="n">
        <f aca="false">K23*(1+IF(L$3&lt;=$O$2,$D23,$D23-($D23-$I$6)*MIN(L$3-$O$2,$Q$2)/$Q$2))</f>
        <v>9894.9237564979</v>
      </c>
      <c r="M23" s="15" t="n">
        <f aca="false">L23*(1+IF(M$3&lt;=$O$2,$D23,$D23-($D23-$I$6)*MIN(M$3-$O$2,$Q$2)/$Q$2))</f>
        <v>10222.6561207554</v>
      </c>
      <c r="N23" s="15" t="n">
        <f aca="false">M23*(1+IF(N$3&lt;=$O$2,$D23,$D23-($D23-$I$6)*MIN(N$3-$O$2,$Q$2)/$Q$2))</f>
        <v>10511.9572889728</v>
      </c>
      <c r="O23" s="15" t="n">
        <f aca="false">SUMPRODUCT(E23:N23,1/(1+$F$6)^$E$3:$N$3)*$E$2</f>
        <v>36544.5206606397</v>
      </c>
      <c r="P23" s="15" t="n">
        <f aca="false">N23*$E$2*(1+$I$6)/($F$6-$I$6)/(1+$F$6)^$N$3</f>
        <v>65016.934436794</v>
      </c>
      <c r="Q23" s="15" t="n">
        <f aca="false">O23+P23</f>
        <v>101561.455097434</v>
      </c>
      <c r="R23" s="15" t="n">
        <f aca="false">Q23-$G$2+$I$2</f>
        <v>99971.4550974337</v>
      </c>
      <c r="S23" s="42" t="n">
        <f aca="false">R23/$K$2</f>
        <v>278.022846369191</v>
      </c>
      <c r="T23" s="43" t="n">
        <f aca="false">S23-$M$2</f>
        <v>0.00404665841728047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0.0523834228515625</v>
      </c>
      <c r="C24" s="25" t="n">
        <f aca="false">IF(T23&gt;0,D23,C23)</f>
        <v>0.0524063110351563</v>
      </c>
      <c r="D24" s="41" t="n">
        <f aca="false">(B24+C24)/2</f>
        <v>0.0523948669433594</v>
      </c>
      <c r="E24" s="15" t="n">
        <f aca="false">$C$2*(1+IF(E$3&lt;=$O$2,$D24,$D24-($D24-$I$6)*MIN(E$3-$O$2,$Q$2)/$Q$2))</f>
        <v>7114.18930053711</v>
      </c>
      <c r="F24" s="15" t="n">
        <f aca="false">E24*(1+IF(F$3&lt;=$O$2,$D24,$D24-($D24-$I$6)*MIN(F$3-$O$2,$Q$2)/$Q$2))</f>
        <v>7486.93630234862</v>
      </c>
      <c r="G24" s="15" t="n">
        <f aca="false">F24*(1+IF(G$3&lt;=$O$2,$D24,$D24-($D24-$I$6)*MIN(G$3-$O$2,$Q$2)/$Q$2))</f>
        <v>7879.21333372359</v>
      </c>
      <c r="H24" s="15" t="n">
        <f aca="false">G24*(1+IF(H$3&lt;=$O$2,$D24,$D24-($D24-$I$6)*MIN(H$3-$O$2,$Q$2)/$Q$2))</f>
        <v>8292.04366796238</v>
      </c>
      <c r="I24" s="15" t="n">
        <f aca="false">H24*(1+IF(I$3&lt;=$O$2,$D24,$D24-($D24-$I$6)*MIN(I$3-$O$2,$Q$2)/$Q$2))</f>
        <v>8726.50419263379</v>
      </c>
      <c r="J24" s="15" t="n">
        <f aca="false">I24*(1+IF(J$3&lt;=$O$2,$D24,$D24-($D24-$I$6)*MIN(J$3-$O$2,$Q$2)/$Q$2))</f>
        <v>9141.67542720707</v>
      </c>
      <c r="K24" s="15" t="n">
        <f aca="false">J24*(1+IF(K$3&lt;=$O$2,$D24,$D24-($D24-$I$6)*MIN(K$3-$O$2,$Q$2)/$Q$2))</f>
        <v>9532.54531363179</v>
      </c>
      <c r="L24" s="15" t="n">
        <f aca="false">K24*(1+IF(L$3&lt;=$O$2,$D24,$D24-($D24-$I$6)*MIN(L$3-$O$2,$Q$2)/$Q$2))</f>
        <v>9894.19051039297</v>
      </c>
      <c r="M24" s="15" t="n">
        <f aca="false">L24*(1+IF(M$3&lt;=$O$2,$D24,$D24-($D24-$I$6)*MIN(M$3-$O$2,$Q$2)/$Q$2))</f>
        <v>10221.8759426091</v>
      </c>
      <c r="N24" s="15" t="n">
        <f aca="false">M24*(1+IF(N$3&lt;=$O$2,$D24,$D24-($D24-$I$6)*MIN(N$3-$O$2,$Q$2)/$Q$2))</f>
        <v>10511.155031785</v>
      </c>
      <c r="O24" s="15" t="n">
        <f aca="false">SUMPRODUCT(E24:N24,1/(1+$F$6)^$E$3:$N$3)*$E$2</f>
        <v>36542.6782920933</v>
      </c>
      <c r="P24" s="15" t="n">
        <f aca="false">N24*$E$2*(1+$I$6)/($F$6-$I$6)/(1+$F$6)^$N$3</f>
        <v>65011.9724395607</v>
      </c>
      <c r="Q24" s="15" t="n">
        <f aca="false">O24+P24</f>
        <v>101554.650731654</v>
      </c>
      <c r="R24" s="15" t="n">
        <f aca="false">Q24-$G$2+$I$2</f>
        <v>99964.650731654</v>
      </c>
      <c r="S24" s="42" t="n">
        <f aca="false">R24/$K$2</f>
        <v>278.003923276194</v>
      </c>
      <c r="T24" s="43" t="n">
        <f aca="false">S24-$M$2</f>
        <v>-0.0148764345792642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0.0523948669433594</v>
      </c>
      <c r="C25" s="25" t="n">
        <f aca="false">IF(T24&gt;0,D24,C24)</f>
        <v>0.0524063110351563</v>
      </c>
      <c r="D25" s="41" t="n">
        <f aca="false">(B25+C25)/2</f>
        <v>0.0524005889892578</v>
      </c>
      <c r="E25" s="15" t="n">
        <f aca="false">$C$2*(1+IF(E$3&lt;=$O$2,$D25,$D25-($D25-$I$6)*MIN(E$3-$O$2,$Q$2)/$Q$2))</f>
        <v>7114.22798156738</v>
      </c>
      <c r="F25" s="15" t="n">
        <f aca="false">E25*(1+IF(F$3&lt;=$O$2,$D25,$D25-($D25-$I$6)*MIN(F$3-$O$2,$Q$2)/$Q$2))</f>
        <v>7487.01771800537</v>
      </c>
      <c r="G25" s="15" t="n">
        <f aca="false">F25*(1+IF(G$3&lt;=$O$2,$D25,$D25-($D25-$I$6)*MIN(G$3-$O$2,$Q$2)/$Q$2))</f>
        <v>7879.34185620186</v>
      </c>
      <c r="H25" s="15" t="n">
        <f aca="false">G25*(1+IF(H$3&lt;=$O$2,$D25,$D25-($D25-$I$6)*MIN(H$3-$O$2,$Q$2)/$Q$2))</f>
        <v>8292.22401031455</v>
      </c>
      <c r="I25" s="15" t="n">
        <f aca="false">H25*(1+IF(I$3&lt;=$O$2,$D25,$D25-($D25-$I$6)*MIN(I$3-$O$2,$Q$2)/$Q$2))</f>
        <v>8726.7414324859</v>
      </c>
      <c r="J25" s="15" t="n">
        <f aca="false">I25*(1+IF(J$3&lt;=$O$2,$D25,$D25-($D25-$I$6)*MIN(J$3-$O$2,$Q$2)/$Q$2))</f>
        <v>9141.96390180915</v>
      </c>
      <c r="K25" s="15" t="n">
        <f aca="false">J25*(1+IF(K$3&lt;=$O$2,$D25,$D25-($D25-$I$6)*MIN(K$3-$O$2,$Q$2)/$Q$2))</f>
        <v>9532.87750896163</v>
      </c>
      <c r="L25" s="15" t="n">
        <f aca="false">K25*(1+IF(L$3&lt;=$O$2,$D25,$D25-($D25-$I$6)*MIN(L$3-$O$2,$Q$2)/$Q$2))</f>
        <v>9894.55712755661</v>
      </c>
      <c r="M25" s="15" t="n">
        <f aca="false">L25*(1+IF(M$3&lt;=$O$2,$D25,$D25-($D25-$I$6)*MIN(M$3-$O$2,$Q$2)/$Q$2))</f>
        <v>10222.2660251789</v>
      </c>
      <c r="N25" s="15" t="n">
        <f aca="false">M25*(1+IF(N$3&lt;=$O$2,$D25,$D25-($D25-$I$6)*MIN(N$3-$O$2,$Q$2)/$Q$2))</f>
        <v>10511.5561536914</v>
      </c>
      <c r="O25" s="15" t="n">
        <f aca="false">SUMPRODUCT(E25:N25,1/(1+$F$6)^$E$3:$N$3)*$E$2</f>
        <v>36543.5994647135</v>
      </c>
      <c r="P25" s="15" t="n">
        <f aca="false">N25*$E$2*(1+$I$6)/($F$6-$I$6)/(1+$F$6)^$N$3</f>
        <v>65014.453396815</v>
      </c>
      <c r="Q25" s="15" t="n">
        <f aca="false">O25+P25</f>
        <v>101558.052861529</v>
      </c>
      <c r="R25" s="15" t="n">
        <f aca="false">Q25-$G$2+$I$2</f>
        <v>99968.0528615285</v>
      </c>
      <c r="S25" s="42" t="n">
        <f aca="false">R25/$K$2</f>
        <v>278.013384675256</v>
      </c>
      <c r="T25" s="43" t="n">
        <f aca="false">S25-$M$2</f>
        <v>-0.00541503551772848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0.0524005889892578</v>
      </c>
      <c r="C26" s="25" t="n">
        <f aca="false">IF(T25&gt;0,D25,C25)</f>
        <v>0.0524063110351563</v>
      </c>
      <c r="D26" s="41" t="n">
        <f aca="false">(B26+C26)/2</f>
        <v>0.052403450012207</v>
      </c>
      <c r="E26" s="15" t="n">
        <f aca="false">$C$2*(1+IF(E$3&lt;=$O$2,$D26,$D26-($D26-$I$6)*MIN(E$3-$O$2,$Q$2)/$Q$2))</f>
        <v>7114.24732208252</v>
      </c>
      <c r="F26" s="15" t="n">
        <f aca="false">E26*(1+IF(F$3&lt;=$O$2,$D26,$D26-($D26-$I$6)*MIN(F$3-$O$2,$Q$2)/$Q$2))</f>
        <v>7487.05842599975</v>
      </c>
      <c r="G26" s="15" t="n">
        <f aca="false">F26*(1+IF(G$3&lt;=$O$2,$D26,$D26-($D26-$I$6)*MIN(G$3-$O$2,$Q$2)/$Q$2))</f>
        <v>7879.4061179651</v>
      </c>
      <c r="H26" s="15" t="n">
        <f aca="false">G26*(1+IF(H$3&lt;=$O$2,$D26,$D26-($D26-$I$6)*MIN(H$3-$O$2,$Q$2)/$Q$2))</f>
        <v>8292.31418259376</v>
      </c>
      <c r="I26" s="15" t="n">
        <f aca="false">H26*(1+IF(I$3&lt;=$O$2,$D26,$D26-($D26-$I$6)*MIN(I$3-$O$2,$Q$2)/$Q$2))</f>
        <v>8726.86005434683</v>
      </c>
      <c r="J26" s="15" t="n">
        <f aca="false">I26*(1+IF(J$3&lt;=$O$2,$D26,$D26-($D26-$I$6)*MIN(J$3-$O$2,$Q$2)/$Q$2))</f>
        <v>9142.10814195163</v>
      </c>
      <c r="K26" s="15" t="n">
        <f aca="false">J26*(1+IF(K$3&lt;=$O$2,$D26,$D26-($D26-$I$6)*MIN(K$3-$O$2,$Q$2)/$Q$2))</f>
        <v>9533.04361033229</v>
      </c>
      <c r="L26" s="15" t="n">
        <f aca="false">K26*(1+IF(L$3&lt;=$O$2,$D26,$D26-($D26-$I$6)*MIN(L$3-$O$2,$Q$2)/$Q$2))</f>
        <v>9894.74044055503</v>
      </c>
      <c r="M26" s="15" t="n">
        <f aca="false">L26*(1+IF(M$3&lt;=$O$2,$D26,$D26-($D26-$I$6)*MIN(M$3-$O$2,$Q$2)/$Q$2))</f>
        <v>10222.4610713413</v>
      </c>
      <c r="N26" s="15" t="n">
        <f aca="false">M26*(1+IF(N$3&lt;=$O$2,$D26,$D26-($D26-$I$6)*MIN(N$3-$O$2,$Q$2)/$Q$2))</f>
        <v>10511.7567196602</v>
      </c>
      <c r="O26" s="15" t="n">
        <f aca="false">SUMPRODUCT(E26:N26,1/(1+$F$6)^$E$3:$N$3)*$E$2</f>
        <v>36544.0600597633</v>
      </c>
      <c r="P26" s="15" t="n">
        <f aca="false">N26*$E$2*(1+$I$6)/($F$6-$I$6)/(1+$F$6)^$N$3</f>
        <v>65015.6939064638</v>
      </c>
      <c r="Q26" s="15" t="n">
        <f aca="false">O26+P26</f>
        <v>101559.753966227</v>
      </c>
      <c r="R26" s="15" t="n">
        <f aca="false">Q26-$G$2+$I$2</f>
        <v>99969.7539662271</v>
      </c>
      <c r="S26" s="42" t="n">
        <f aca="false">R26/$K$2</f>
        <v>278.018115485364</v>
      </c>
      <c r="T26" s="43" t="n">
        <f aca="false">S26-$M$2</f>
        <v>-0.000684225409941064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0.052403450012207</v>
      </c>
      <c r="C27" s="25" t="n">
        <f aca="false">IF(T26&gt;0,D26,C26)</f>
        <v>0.0524063110351563</v>
      </c>
      <c r="D27" s="41" t="n">
        <f aca="false">(B27+C27)/2</f>
        <v>0.0524048805236816</v>
      </c>
      <c r="E27" s="15" t="n">
        <f aca="false">$C$2*(1+IF(E$3&lt;=$O$2,$D27,$D27-($D27-$I$6)*MIN(E$3-$O$2,$Q$2)/$Q$2))</f>
        <v>7114.25699234009</v>
      </c>
      <c r="F27" s="15" t="n">
        <f aca="false">E27*(1+IF(F$3&lt;=$O$2,$D27,$D27-($D27-$I$6)*MIN(F$3-$O$2,$Q$2)/$Q$2))</f>
        <v>7487.07878003844</v>
      </c>
      <c r="G27" s="15" t="n">
        <f aca="false">F27*(1+IF(G$3&lt;=$O$2,$D27,$D27-($D27-$I$6)*MIN(G$3-$O$2,$Q$2)/$Q$2))</f>
        <v>7879.43824897774</v>
      </c>
      <c r="H27" s="15" t="n">
        <f aca="false">G27*(1+IF(H$3&lt;=$O$2,$D27,$D27-($D27-$I$6)*MIN(H$3-$O$2,$Q$2)/$Q$2))</f>
        <v>8292.35926900915</v>
      </c>
      <c r="I27" s="15" t="n">
        <f aca="false">H27*(1+IF(I$3&lt;=$O$2,$D27,$D27-($D27-$I$6)*MIN(I$3-$O$2,$Q$2)/$Q$2))</f>
        <v>8726.91936576102</v>
      </c>
      <c r="J27" s="15" t="n">
        <f aca="false">I27*(1+IF(J$3&lt;=$O$2,$D27,$D27-($D27-$I$6)*MIN(J$3-$O$2,$Q$2)/$Q$2))</f>
        <v>9142.18026273323</v>
      </c>
      <c r="K27" s="15" t="n">
        <f aca="false">J27*(1+IF(K$3&lt;=$O$2,$D27,$D27-($D27-$I$6)*MIN(K$3-$O$2,$Q$2)/$Q$2))</f>
        <v>9533.12666194407</v>
      </c>
      <c r="L27" s="15" t="n">
        <f aca="false">K27*(1+IF(L$3&lt;=$O$2,$D27,$D27-($D27-$I$6)*MIN(L$3-$O$2,$Q$2)/$Q$2))</f>
        <v>9894.8320981584</v>
      </c>
      <c r="M27" s="15" t="n">
        <f aca="false">L27*(1+IF(M$3&lt;=$O$2,$D27,$D27-($D27-$I$6)*MIN(M$3-$O$2,$Q$2)/$Q$2))</f>
        <v>10222.5585956419</v>
      </c>
      <c r="N27" s="15" t="n">
        <f aca="false">M27*(1+IF(N$3&lt;=$O$2,$D27,$D27-($D27-$I$6)*MIN(N$3-$O$2,$Q$2)/$Q$2))</f>
        <v>10511.8570038986</v>
      </c>
      <c r="O27" s="15" t="n">
        <f aca="false">SUMPRODUCT(E27:N27,1/(1+$F$6)^$E$3:$N$3)*$E$2</f>
        <v>36544.2903594732</v>
      </c>
      <c r="P27" s="15" t="n">
        <f aca="false">N27*$E$2*(1+$I$6)/($F$6-$I$6)/(1+$F$6)^$N$3</f>
        <v>65016.3141690437</v>
      </c>
      <c r="Q27" s="15" t="n">
        <f aca="false">O27+P27</f>
        <v>101560.604528517</v>
      </c>
      <c r="R27" s="15" t="n">
        <f aca="false">Q27-$G$2+$I$2</f>
        <v>99970.6045285169</v>
      </c>
      <c r="S27" s="42" t="n">
        <f aca="false">R27/$K$2</f>
        <v>278.020480918062</v>
      </c>
      <c r="T27" s="43" t="n">
        <f aca="false">S27-$M$2</f>
        <v>0.00168120728875465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0.052403450012207</v>
      </c>
      <c r="C28" s="25" t="n">
        <f aca="false">IF(T27&gt;0,D27,C27)</f>
        <v>0.0524048805236816</v>
      </c>
      <c r="D28" s="41" t="n">
        <f aca="false">(B28+C28)/2</f>
        <v>0.0524041652679443</v>
      </c>
      <c r="E28" s="15" t="n">
        <f aca="false">$C$2*(1+IF(E$3&lt;=$O$2,$D28,$D28-($D28-$I$6)*MIN(E$3-$O$2,$Q$2)/$Q$2))</f>
        <v>7114.2521572113</v>
      </c>
      <c r="F28" s="15" t="n">
        <f aca="false">E28*(1+IF(F$3&lt;=$O$2,$D28,$D28-($D28-$I$6)*MIN(F$3-$O$2,$Q$2)/$Q$2))</f>
        <v>7487.06860301563</v>
      </c>
      <c r="G28" s="15" t="n">
        <f aca="false">F28*(1+IF(G$3&lt;=$O$2,$D28,$D28-($D28-$I$6)*MIN(G$3-$O$2,$Q$2)/$Q$2))</f>
        <v>7879.4221834605</v>
      </c>
      <c r="H28" s="15" t="n">
        <f aca="false">G28*(1+IF(H$3&lt;=$O$2,$D28,$D28-($D28-$I$6)*MIN(H$3-$O$2,$Q$2)/$Q$2))</f>
        <v>8292.33672577847</v>
      </c>
      <c r="I28" s="15" t="n">
        <f aca="false">H28*(1+IF(I$3&lt;=$O$2,$D28,$D28-($D28-$I$6)*MIN(I$3-$O$2,$Q$2)/$Q$2))</f>
        <v>8726.88971001361</v>
      </c>
      <c r="J28" s="15" t="n">
        <f aca="false">I28*(1+IF(J$3&lt;=$O$2,$D28,$D28-($D28-$I$6)*MIN(J$3-$O$2,$Q$2)/$Q$2))</f>
        <v>9142.14420228323</v>
      </c>
      <c r="K28" s="15" t="n">
        <f aca="false">J28*(1+IF(K$3&lt;=$O$2,$D28,$D28-($D28-$I$6)*MIN(K$3-$O$2,$Q$2)/$Q$2))</f>
        <v>9533.08513606098</v>
      </c>
      <c r="L28" s="15" t="n">
        <f aca="false">K28*(1+IF(L$3&lt;=$O$2,$D28,$D28-($D28-$I$6)*MIN(L$3-$O$2,$Q$2)/$Q$2))</f>
        <v>9894.7862692647</v>
      </c>
      <c r="M28" s="15" t="n">
        <f aca="false">L28*(1+IF(M$3&lt;=$O$2,$D28,$D28-($D28-$I$6)*MIN(M$3-$O$2,$Q$2)/$Q$2))</f>
        <v>10222.50983339</v>
      </c>
      <c r="N28" s="15" t="n">
        <f aca="false">M28*(1+IF(N$3&lt;=$O$2,$D28,$D28-($D28-$I$6)*MIN(N$3-$O$2,$Q$2)/$Q$2))</f>
        <v>10511.8068616749</v>
      </c>
      <c r="O28" s="15" t="n">
        <f aca="false">SUMPRODUCT(E28:N28,1/(1+$F$6)^$E$3:$N$3)*$E$2</f>
        <v>36544.1752094362</v>
      </c>
      <c r="P28" s="15" t="n">
        <f aca="false">N28*$E$2*(1+$I$6)/($F$6-$I$6)/(1+$F$6)^$N$3</f>
        <v>65016.0040371074</v>
      </c>
      <c r="Q28" s="15" t="n">
        <f aca="false">O28+P28</f>
        <v>101560.179246544</v>
      </c>
      <c r="R28" s="15" t="n">
        <f aca="false">Q28-$G$2+$I$2</f>
        <v>99970.1792465436</v>
      </c>
      <c r="S28" s="42" t="n">
        <f aca="false">R28/$K$2</f>
        <v>278.019298199409</v>
      </c>
      <c r="T28" s="43" t="n">
        <f aca="false">S28-$M$2</f>
        <v>0.000498488635628291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0.052403450012207</v>
      </c>
      <c r="C29" s="25" t="n">
        <f aca="false">IF(T28&gt;0,D28,C28)</f>
        <v>0.0524041652679443</v>
      </c>
      <c r="D29" s="41" t="n">
        <f aca="false">(B29+C29)/2</f>
        <v>0.0524038076400757</v>
      </c>
      <c r="E29" s="15" t="n">
        <f aca="false">$C$2*(1+IF(E$3&lt;=$O$2,$D29,$D29-($D29-$I$6)*MIN(E$3-$O$2,$Q$2)/$Q$2))</f>
        <v>7114.24973964691</v>
      </c>
      <c r="F29" s="15" t="n">
        <f aca="false">E29*(1+IF(F$3&lt;=$O$2,$D29,$D29-($D29-$I$6)*MIN(F$3-$O$2,$Q$2)/$Q$2))</f>
        <v>7487.06351450683</v>
      </c>
      <c r="G29" s="15" t="n">
        <f aca="false">F29*(1+IF(G$3&lt;=$O$2,$D29,$D29-($D29-$I$6)*MIN(G$3-$O$2,$Q$2)/$Q$2))</f>
        <v>7879.41415071007</v>
      </c>
      <c r="H29" s="15" t="n">
        <f aca="false">G29*(1+IF(H$3&lt;=$O$2,$D29,$D29-($D29-$I$6)*MIN(H$3-$O$2,$Q$2)/$Q$2))</f>
        <v>8292.32545418037</v>
      </c>
      <c r="I29" s="15" t="n">
        <f aca="false">H29*(1+IF(I$3&lt;=$O$2,$D29,$D29-($D29-$I$6)*MIN(I$3-$O$2,$Q$2)/$Q$2))</f>
        <v>8726.87488217015</v>
      </c>
      <c r="J29" s="15" t="n">
        <f aca="false">I29*(1+IF(J$3&lt;=$O$2,$D29,$D29-($D29-$I$6)*MIN(J$3-$O$2,$Q$2)/$Q$2))</f>
        <v>9142.12617210263</v>
      </c>
      <c r="K29" s="15" t="n">
        <f aca="false">J29*(1+IF(K$3&lt;=$O$2,$D29,$D29-($D29-$I$6)*MIN(K$3-$O$2,$Q$2)/$Q$2))</f>
        <v>9533.06437317733</v>
      </c>
      <c r="L29" s="15" t="n">
        <f aca="false">K29*(1+IF(L$3&lt;=$O$2,$D29,$D29-($D29-$I$6)*MIN(L$3-$O$2,$Q$2)/$Q$2))</f>
        <v>9894.76335488686</v>
      </c>
      <c r="M29" s="15" t="n">
        <f aca="false">L29*(1+IF(M$3&lt;=$O$2,$D29,$D29-($D29-$I$6)*MIN(M$3-$O$2,$Q$2)/$Q$2))</f>
        <v>10222.4854523402</v>
      </c>
      <c r="N29" s="15" t="n">
        <f aca="false">M29*(1+IF(N$3&lt;=$O$2,$D29,$D29-($D29-$I$6)*MIN(N$3-$O$2,$Q$2)/$Q$2))</f>
        <v>10511.7817906414</v>
      </c>
      <c r="O29" s="15" t="n">
        <f aca="false">SUMPRODUCT(E29:N29,1/(1+$F$6)^$E$3:$N$3)*$E$2</f>
        <v>36544.1176345543</v>
      </c>
      <c r="P29" s="15" t="n">
        <f aca="false">N29*$E$2*(1+$I$6)/($F$6-$I$6)/(1+$F$6)^$N$3</f>
        <v>65015.848971624</v>
      </c>
      <c r="Q29" s="15" t="n">
        <f aca="false">O29+P29</f>
        <v>101559.966606178</v>
      </c>
      <c r="R29" s="15" t="n">
        <f aca="false">Q29-$G$2+$I$2</f>
        <v>99969.9666061783</v>
      </c>
      <c r="S29" s="42" t="n">
        <f aca="false">R29/$K$2</f>
        <v>278.018706841811</v>
      </c>
      <c r="T29" s="43" t="n">
        <f aca="false">S29-$M$2</f>
        <v>-9.2868963008641E-005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0.0524038076400757</v>
      </c>
      <c r="C30" s="25" t="n">
        <f aca="false">IF(T29&gt;0,D29,C29)</f>
        <v>0.0524041652679443</v>
      </c>
      <c r="D30" s="41" t="n">
        <f aca="false">(B30+C30)/2</f>
        <v>0.05240398645401</v>
      </c>
      <c r="E30" s="15" t="n">
        <f aca="false">$C$2*(1+IF(E$3&lt;=$O$2,$D30,$D30-($D30-$I$6)*MIN(E$3-$O$2,$Q$2)/$Q$2))</f>
        <v>7114.25094842911</v>
      </c>
      <c r="F30" s="15" t="n">
        <f aca="false">E30*(1+IF(F$3&lt;=$O$2,$D30,$D30-($D30-$I$6)*MIN(F$3-$O$2,$Q$2)/$Q$2))</f>
        <v>7487.06605876102</v>
      </c>
      <c r="G30" s="15" t="n">
        <f aca="false">F30*(1+IF(G$3&lt;=$O$2,$D30,$D30-($D30-$I$6)*MIN(G$3-$O$2,$Q$2)/$Q$2))</f>
        <v>7879.41816708461</v>
      </c>
      <c r="H30" s="15" t="n">
        <f aca="false">G30*(1+IF(H$3&lt;=$O$2,$D30,$D30-($D30-$I$6)*MIN(H$3-$O$2,$Q$2)/$Q$2))</f>
        <v>8292.33108997799</v>
      </c>
      <c r="I30" s="15" t="n">
        <f aca="false">H30*(1+IF(I$3&lt;=$O$2,$D30,$D30-($D30-$I$6)*MIN(I$3-$O$2,$Q$2)/$Q$2))</f>
        <v>8726.88229608936</v>
      </c>
      <c r="J30" s="15" t="n">
        <f aca="false">I30*(1+IF(J$3&lt;=$O$2,$D30,$D30-($D30-$I$6)*MIN(J$3-$O$2,$Q$2)/$Q$2))</f>
        <v>9142.13518718923</v>
      </c>
      <c r="K30" s="15" t="n">
        <f aca="false">J30*(1+IF(K$3&lt;=$O$2,$D30,$D30-($D30-$I$6)*MIN(K$3-$O$2,$Q$2)/$Q$2))</f>
        <v>9533.07475461433</v>
      </c>
      <c r="L30" s="15" t="n">
        <f aca="false">K30*(1+IF(L$3&lt;=$O$2,$D30,$D30-($D30-$I$6)*MIN(L$3-$O$2,$Q$2)/$Q$2))</f>
        <v>9894.77481207003</v>
      </c>
      <c r="M30" s="15" t="n">
        <f aca="false">L30*(1+IF(M$3&lt;=$O$2,$D30,$D30-($D30-$I$6)*MIN(M$3-$O$2,$Q$2)/$Q$2))</f>
        <v>10222.4976428587</v>
      </c>
      <c r="N30" s="15" t="n">
        <f aca="false">M30*(1+IF(N$3&lt;=$O$2,$D30,$D30-($D30-$I$6)*MIN(N$3-$O$2,$Q$2)/$Q$2))</f>
        <v>10511.7943261516</v>
      </c>
      <c r="O30" s="15" t="n">
        <f aca="false">SUMPRODUCT(E30:N30,1/(1+$F$6)^$E$3:$N$3)*$E$2</f>
        <v>36544.1464219838</v>
      </c>
      <c r="P30" s="15" t="n">
        <f aca="false">N30*$E$2*(1+$I$6)/($F$6-$I$6)/(1+$F$6)^$N$3</f>
        <v>65015.9265043253</v>
      </c>
      <c r="Q30" s="15" t="n">
        <f aca="false">O30+P30</f>
        <v>101560.072926309</v>
      </c>
      <c r="R30" s="15" t="n">
        <f aca="false">Q30-$G$2+$I$2</f>
        <v>99970.0729263092</v>
      </c>
      <c r="S30" s="42" t="n">
        <f aca="false">R30/$K$2</f>
        <v>278.019002520466</v>
      </c>
      <c r="T30" s="43" t="n">
        <f aca="false">S30-$M$2</f>
        <v>0.000202809692268602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0.0524038076400757</v>
      </c>
      <c r="C31" s="25" t="n">
        <f aca="false">IF(T30&gt;0,D30,C30)</f>
        <v>0.05240398645401</v>
      </c>
      <c r="D31" s="41" t="n">
        <f aca="false">(B31+C31)/2</f>
        <v>0.0524038970470429</v>
      </c>
      <c r="E31" s="15" t="n">
        <f aca="false">$C$2*(1+IF(E$3&lt;=$O$2,$D31,$D31-($D31-$I$6)*MIN(E$3-$O$2,$Q$2)/$Q$2))</f>
        <v>7114.25034403801</v>
      </c>
      <c r="F31" s="15" t="n">
        <f aca="false">E31*(1+IF(F$3&lt;=$O$2,$D31,$D31-($D31-$I$6)*MIN(F$3-$O$2,$Q$2)/$Q$2))</f>
        <v>7487.06478663387</v>
      </c>
      <c r="G31" s="15" t="n">
        <f aca="false">F31*(1+IF(G$3&lt;=$O$2,$D31,$D31-($D31-$I$6)*MIN(G$3-$O$2,$Q$2)/$Q$2))</f>
        <v>7879.41615889717</v>
      </c>
      <c r="H31" s="15" t="n">
        <f aca="false">G31*(1+IF(H$3&lt;=$O$2,$D31,$D31-($D31-$I$6)*MIN(H$3-$O$2,$Q$2)/$Q$2))</f>
        <v>8292.32827207882</v>
      </c>
      <c r="I31" s="15" t="n">
        <f aca="false">H31*(1+IF(I$3&lt;=$O$2,$D31,$D31-($D31-$I$6)*MIN(I$3-$O$2,$Q$2)/$Q$2))</f>
        <v>8726.87858912912</v>
      </c>
      <c r="J31" s="15" t="n">
        <f aca="false">I31*(1+IF(J$3&lt;=$O$2,$D31,$D31-($D31-$I$6)*MIN(J$3-$O$2,$Q$2)/$Q$2))</f>
        <v>9142.130679645</v>
      </c>
      <c r="K31" s="15" t="n">
        <f aca="false">J31*(1+IF(K$3&lt;=$O$2,$D31,$D31-($D31-$I$6)*MIN(K$3-$O$2,$Q$2)/$Q$2))</f>
        <v>9533.06956389462</v>
      </c>
      <c r="L31" s="15" t="n">
        <f aca="false">K31*(1+IF(L$3&lt;=$O$2,$D31,$D31-($D31-$I$6)*MIN(L$3-$O$2,$Q$2)/$Q$2))</f>
        <v>9894.76908347701</v>
      </c>
      <c r="M31" s="15" t="n">
        <f aca="false">L31*(1+IF(M$3&lt;=$O$2,$D31,$D31-($D31-$I$6)*MIN(M$3-$O$2,$Q$2)/$Q$2))</f>
        <v>10222.4915475979</v>
      </c>
      <c r="N31" s="15" t="n">
        <f aca="false">M31*(1+IF(N$3&lt;=$O$2,$D31,$D31-($D31-$I$6)*MIN(N$3-$O$2,$Q$2)/$Q$2))</f>
        <v>10511.7880583949</v>
      </c>
      <c r="O31" s="15" t="n">
        <f aca="false">SUMPRODUCT(E31:N31,1/(1+$F$6)^$E$3:$N$3)*$E$2</f>
        <v>36544.1320282662</v>
      </c>
      <c r="P31" s="15" t="n">
        <f aca="false">N31*$E$2*(1+$I$6)/($F$6-$I$6)/(1+$F$6)^$N$3</f>
        <v>65015.8877379646</v>
      </c>
      <c r="Q31" s="15" t="n">
        <f aca="false">O31+P31</f>
        <v>101560.019766231</v>
      </c>
      <c r="R31" s="15" t="n">
        <f aca="false">Q31-$G$2+$I$2</f>
        <v>99970.0197662308</v>
      </c>
      <c r="S31" s="42" t="n">
        <f aca="false">R31/$K$2</f>
        <v>278.018854681102</v>
      </c>
      <c r="T31" s="43" t="n">
        <f aca="false">S31-$M$2</f>
        <v>5.49703286196746E-005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0.0524038076400757</v>
      </c>
      <c r="C32" s="25" t="n">
        <f aca="false">IF(T31&gt;0,D31,C31)</f>
        <v>0.0524038970470429</v>
      </c>
      <c r="D32" s="41" t="n">
        <f aca="false">(B32+C32)/2</f>
        <v>0.0524038523435593</v>
      </c>
      <c r="E32" s="15" t="n">
        <f aca="false">$C$2*(1+IF(E$3&lt;=$O$2,$D32,$D32-($D32-$I$6)*MIN(E$3-$O$2,$Q$2)/$Q$2))</f>
        <v>7114.25004184246</v>
      </c>
      <c r="F32" s="15" t="n">
        <f aca="false">E32*(1+IF(F$3&lt;=$O$2,$D32,$D32-($D32-$I$6)*MIN(F$3-$O$2,$Q$2)/$Q$2))</f>
        <v>7487.06415057033</v>
      </c>
      <c r="G32" s="15" t="n">
        <f aca="false">F32*(1+IF(G$3&lt;=$O$2,$D32,$D32-($D32-$I$6)*MIN(G$3-$O$2,$Q$2)/$Q$2))</f>
        <v>7879.41515480358</v>
      </c>
      <c r="H32" s="15" t="n">
        <f aca="false">G32*(1+IF(H$3&lt;=$O$2,$D32,$D32-($D32-$I$6)*MIN(H$3-$O$2,$Q$2)/$Q$2))</f>
        <v>8292.32686312951</v>
      </c>
      <c r="I32" s="15" t="n">
        <f aca="false">H32*(1+IF(I$3&lt;=$O$2,$D32,$D32-($D32-$I$6)*MIN(I$3-$O$2,$Q$2)/$Q$2))</f>
        <v>8726.87673564948</v>
      </c>
      <c r="J32" s="15" t="n">
        <f aca="false">I32*(1+IF(J$3&lt;=$O$2,$D32,$D32-($D32-$I$6)*MIN(J$3-$O$2,$Q$2)/$Q$2))</f>
        <v>9142.12842587359</v>
      </c>
      <c r="K32" s="15" t="n">
        <f aca="false">J32*(1+IF(K$3&lt;=$O$2,$D32,$D32-($D32-$I$6)*MIN(K$3-$O$2,$Q$2)/$Q$2))</f>
        <v>9533.06696853568</v>
      </c>
      <c r="L32" s="15" t="n">
        <f aca="false">K32*(1+IF(L$3&lt;=$O$2,$D32,$D32-($D32-$I$6)*MIN(L$3-$O$2,$Q$2)/$Q$2))</f>
        <v>9894.76621918158</v>
      </c>
      <c r="M32" s="15" t="n">
        <f aca="false">L32*(1+IF(M$3&lt;=$O$2,$D32,$D32-($D32-$I$6)*MIN(M$3-$O$2,$Q$2)/$Q$2))</f>
        <v>10222.4884999687</v>
      </c>
      <c r="N32" s="15" t="n">
        <f aca="false">M32*(1+IF(N$3&lt;=$O$2,$D32,$D32-($D32-$I$6)*MIN(N$3-$O$2,$Q$2)/$Q$2))</f>
        <v>10511.7849245178</v>
      </c>
      <c r="O32" s="15" t="n">
        <f aca="false">SUMPRODUCT(E32:N32,1/(1+$F$6)^$E$3:$N$3)*$E$2</f>
        <v>36544.1248314095</v>
      </c>
      <c r="P32" s="15" t="n">
        <f aca="false">N32*$E$2*(1+$I$6)/($F$6-$I$6)/(1+$F$6)^$N$3</f>
        <v>65015.8683547918</v>
      </c>
      <c r="Q32" s="15" t="n">
        <f aca="false">O32+P32</f>
        <v>101559.993186201</v>
      </c>
      <c r="R32" s="15" t="n">
        <f aca="false">Q32-$G$2+$I$2</f>
        <v>99969.9931862013</v>
      </c>
      <c r="S32" s="42" t="n">
        <f aca="false">R32/$K$2</f>
        <v>278.018780761448</v>
      </c>
      <c r="T32" s="43" t="n">
        <f aca="false">S32-$M$2</f>
        <v>-1.89493261473217E-005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0.0524038523435593</v>
      </c>
      <c r="C33" s="25" t="n">
        <f aca="false">IF(T32&gt;0,D32,C32)</f>
        <v>0.0524038970470429</v>
      </c>
      <c r="D33" s="41" t="n">
        <f aca="false">(B33+C33)/2</f>
        <v>0.0524038746953011</v>
      </c>
      <c r="E33" s="15" t="n">
        <f aca="false">$C$2*(1+IF(E$3&lt;=$O$2,$D33,$D33-($D33-$I$6)*MIN(E$3-$O$2,$Q$2)/$Q$2))</f>
        <v>7114.25019294024</v>
      </c>
      <c r="F33" s="15" t="n">
        <f aca="false">E33*(1+IF(F$3&lt;=$O$2,$D33,$D33-($D33-$I$6)*MIN(F$3-$O$2,$Q$2)/$Q$2))</f>
        <v>7487.0644686021</v>
      </c>
      <c r="G33" s="15" t="n">
        <f aca="false">F33*(1+IF(G$3&lt;=$O$2,$D33,$D33-($D33-$I$6)*MIN(G$3-$O$2,$Q$2)/$Q$2))</f>
        <v>7879.41565685036</v>
      </c>
      <c r="H33" s="15" t="n">
        <f aca="false">G33*(1+IF(H$3&lt;=$O$2,$D33,$D33-($D33-$I$6)*MIN(H$3-$O$2,$Q$2)/$Q$2))</f>
        <v>8292.32756760414</v>
      </c>
      <c r="I33" s="15" t="n">
        <f aca="false">H33*(1+IF(I$3&lt;=$O$2,$D33,$D33-($D33-$I$6)*MIN(I$3-$O$2,$Q$2)/$Q$2))</f>
        <v>8726.87766238926</v>
      </c>
      <c r="J33" s="15" t="n">
        <f aca="false">I33*(1+IF(J$3&lt;=$O$2,$D33,$D33-($D33-$I$6)*MIN(J$3-$O$2,$Q$2)/$Q$2))</f>
        <v>9142.12955275924</v>
      </c>
      <c r="K33" s="15" t="n">
        <f aca="false">J33*(1+IF(K$3&lt;=$O$2,$D33,$D33-($D33-$I$6)*MIN(K$3-$O$2,$Q$2)/$Q$2))</f>
        <v>9533.06826621507</v>
      </c>
      <c r="L33" s="15" t="n">
        <f aca="false">K33*(1+IF(L$3&lt;=$O$2,$D33,$D33-($D33-$I$6)*MIN(L$3-$O$2,$Q$2)/$Q$2))</f>
        <v>9894.7676513292</v>
      </c>
      <c r="M33" s="15" t="n">
        <f aca="false">L33*(1+IF(M$3&lt;=$O$2,$D33,$D33-($D33-$I$6)*MIN(M$3-$O$2,$Q$2)/$Q$2))</f>
        <v>10222.4900237832</v>
      </c>
      <c r="N33" s="15" t="n">
        <f aca="false">M33*(1+IF(N$3&lt;=$O$2,$D33,$D33-($D33-$I$6)*MIN(N$3-$O$2,$Q$2)/$Q$2))</f>
        <v>10511.7864914562</v>
      </c>
      <c r="O33" s="15" t="n">
        <f aca="false">SUMPRODUCT(E33:N33,1/(1+$F$6)^$E$3:$N$3)*$E$2</f>
        <v>36544.1284298377</v>
      </c>
      <c r="P33" s="15" t="n">
        <f aca="false">N33*$E$2*(1+$I$6)/($F$6-$I$6)/(1+$F$6)^$N$3</f>
        <v>65015.8780463775</v>
      </c>
      <c r="Q33" s="15" t="n">
        <f aca="false">O33+P33</f>
        <v>101560.006476215</v>
      </c>
      <c r="R33" s="15" t="n">
        <f aca="false">Q33-$G$2+$I$2</f>
        <v>99970.0064762152</v>
      </c>
      <c r="S33" s="42" t="n">
        <f aca="false">R33/$K$2</f>
        <v>278.018817721273</v>
      </c>
      <c r="T33" s="43" t="n">
        <f aca="false">S33-$M$2</f>
        <v>1.8010498934018E-005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0.0524038523435593</v>
      </c>
      <c r="C34" s="25" t="n">
        <f aca="false">IF(T33&gt;0,D33,C33)</f>
        <v>0.0524038746953011</v>
      </c>
      <c r="D34" s="41" t="n">
        <f aca="false">(B34+C34)/2</f>
        <v>0.0524038635194302</v>
      </c>
      <c r="E34" s="15" t="n">
        <f aca="false">$C$2*(1+IF(E$3&lt;=$O$2,$D34,$D34-($D34-$I$6)*MIN(E$3-$O$2,$Q$2)/$Q$2))</f>
        <v>7114.25011739135</v>
      </c>
      <c r="F34" s="15" t="n">
        <f aca="false">E34*(1+IF(F$3&lt;=$O$2,$D34,$D34-($D34-$I$6)*MIN(F$3-$O$2,$Q$2)/$Q$2))</f>
        <v>7487.06430958621</v>
      </c>
      <c r="G34" s="15" t="n">
        <f aca="false">F34*(1+IF(G$3&lt;=$O$2,$D34,$D34-($D34-$I$6)*MIN(G$3-$O$2,$Q$2)/$Q$2))</f>
        <v>7879.41540582697</v>
      </c>
      <c r="H34" s="15" t="n">
        <f aca="false">G34*(1+IF(H$3&lt;=$O$2,$D34,$D34-($D34-$I$6)*MIN(H$3-$O$2,$Q$2)/$Q$2))</f>
        <v>8292.32721536682</v>
      </c>
      <c r="I34" s="15" t="n">
        <f aca="false">H34*(1+IF(I$3&lt;=$O$2,$D34,$D34-($D34-$I$6)*MIN(I$3-$O$2,$Q$2)/$Q$2))</f>
        <v>8726.87719901936</v>
      </c>
      <c r="J34" s="15" t="n">
        <f aca="false">I34*(1+IF(J$3&lt;=$O$2,$D34,$D34-($D34-$I$6)*MIN(J$3-$O$2,$Q$2)/$Q$2))</f>
        <v>9142.1289893164</v>
      </c>
      <c r="K34" s="15" t="n">
        <f aca="false">J34*(1+IF(K$3&lt;=$O$2,$D34,$D34-($D34-$I$6)*MIN(K$3-$O$2,$Q$2)/$Q$2))</f>
        <v>9533.06761737536</v>
      </c>
      <c r="L34" s="15" t="n">
        <f aca="false">K34*(1+IF(L$3&lt;=$O$2,$D34,$D34-($D34-$I$6)*MIN(L$3-$O$2,$Q$2)/$Q$2))</f>
        <v>9894.76693525536</v>
      </c>
      <c r="M34" s="15" t="n">
        <f aca="false">L34*(1+IF(M$3&lt;=$O$2,$D34,$D34-($D34-$I$6)*MIN(M$3-$O$2,$Q$2)/$Q$2))</f>
        <v>10222.4892618759</v>
      </c>
      <c r="N34" s="15" t="n">
        <f aca="false">M34*(1+IF(N$3&lt;=$O$2,$D34,$D34-($D34-$I$6)*MIN(N$3-$O$2,$Q$2)/$Q$2))</f>
        <v>10511.785707987</v>
      </c>
      <c r="O34" s="15" t="n">
        <f aca="false">SUMPRODUCT(E34:N34,1/(1+$F$6)^$E$3:$N$3)*$E$2</f>
        <v>36544.1266306236</v>
      </c>
      <c r="P34" s="15" t="n">
        <f aca="false">N34*$E$2*(1+$I$6)/($F$6-$I$6)/(1+$F$6)^$N$3</f>
        <v>65015.8732005845</v>
      </c>
      <c r="Q34" s="15" t="n">
        <f aca="false">O34+P34</f>
        <v>101559.999831208</v>
      </c>
      <c r="R34" s="15" t="n">
        <f aca="false">Q34-$G$2+$I$2</f>
        <v>99969.999831208</v>
      </c>
      <c r="S34" s="42" t="n">
        <f aca="false">R34/$K$2</f>
        <v>278.01879924136</v>
      </c>
      <c r="T34" s="43" t="n">
        <f aca="false">S34-$M$2</f>
        <v>-4.69414203507768E-007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0.0524038635194302</v>
      </c>
      <c r="C35" s="25" t="n">
        <f aca="false">IF(T34&gt;0,D34,C34)</f>
        <v>0.0524038746953011</v>
      </c>
      <c r="D35" s="41" t="n">
        <f aca="false">(B35+C35)/2</f>
        <v>0.0524038691073656</v>
      </c>
      <c r="E35" s="15" t="n">
        <f aca="false">$C$2*(1+IF(E$3&lt;=$O$2,$D35,$D35-($D35-$I$6)*MIN(E$3-$O$2,$Q$2)/$Q$2))</f>
        <v>7114.25015516579</v>
      </c>
      <c r="F35" s="15" t="n">
        <f aca="false">E35*(1+IF(F$3&lt;=$O$2,$D35,$D35-($D35-$I$6)*MIN(F$3-$O$2,$Q$2)/$Q$2))</f>
        <v>7487.06438909416</v>
      </c>
      <c r="G35" s="15" t="n">
        <f aca="false">F35*(1+IF(G$3&lt;=$O$2,$D35,$D35-($D35-$I$6)*MIN(G$3-$O$2,$Q$2)/$Q$2))</f>
        <v>7879.41553133866</v>
      </c>
      <c r="H35" s="15" t="n">
        <f aca="false">G35*(1+IF(H$3&lt;=$O$2,$D35,$D35-($D35-$I$6)*MIN(H$3-$O$2,$Q$2)/$Q$2))</f>
        <v>8292.32739148548</v>
      </c>
      <c r="I35" s="15" t="n">
        <f aca="false">H35*(1+IF(I$3&lt;=$O$2,$D35,$D35-($D35-$I$6)*MIN(I$3-$O$2,$Q$2)/$Q$2))</f>
        <v>8726.87743070431</v>
      </c>
      <c r="J35" s="15" t="n">
        <f aca="false">I35*(1+IF(J$3&lt;=$O$2,$D35,$D35-($D35-$I$6)*MIN(J$3-$O$2,$Q$2)/$Q$2))</f>
        <v>9142.12927103781</v>
      </c>
      <c r="K35" s="15" t="n">
        <f aca="false">J35*(1+IF(K$3&lt;=$O$2,$D35,$D35-($D35-$I$6)*MIN(K$3-$O$2,$Q$2)/$Q$2))</f>
        <v>9533.06794179521</v>
      </c>
      <c r="L35" s="15" t="n">
        <f aca="false">K35*(1+IF(L$3&lt;=$O$2,$D35,$D35-($D35-$I$6)*MIN(L$3-$O$2,$Q$2)/$Q$2))</f>
        <v>9894.76729329228</v>
      </c>
      <c r="M35" s="15" t="n">
        <f aca="false">L35*(1+IF(M$3&lt;=$O$2,$D35,$D35-($D35-$I$6)*MIN(M$3-$O$2,$Q$2)/$Q$2))</f>
        <v>10222.4896428295</v>
      </c>
      <c r="N35" s="15" t="n">
        <f aca="false">M35*(1+IF(N$3&lt;=$O$2,$D35,$D35-($D35-$I$6)*MIN(N$3-$O$2,$Q$2)/$Q$2))</f>
        <v>10511.7860997216</v>
      </c>
      <c r="O35" s="15" t="n">
        <f aca="false">SUMPRODUCT(E35:N35,1/(1+$F$6)^$E$3:$N$3)*$E$2</f>
        <v>36544.1275302306</v>
      </c>
      <c r="P35" s="15" t="n">
        <f aca="false">N35*$E$2*(1+$I$6)/($F$6-$I$6)/(1+$F$6)^$N$3</f>
        <v>65015.875623481</v>
      </c>
      <c r="Q35" s="15" t="n">
        <f aca="false">O35+P35</f>
        <v>101560.003153712</v>
      </c>
      <c r="R35" s="15" t="n">
        <f aca="false">Q35-$G$2+$I$2</f>
        <v>99970.0031537116</v>
      </c>
      <c r="S35" s="42" t="n">
        <f aca="false">R35/$K$2</f>
        <v>278.018808481316</v>
      </c>
      <c r="T35" s="43" t="n">
        <f aca="false">S35-$M$2</f>
        <v>8.77054225156826E-006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0.0524038635194302</v>
      </c>
      <c r="C36" s="25" t="n">
        <f aca="false">IF(T35&gt;0,D35,C35)</f>
        <v>0.0524038691073656</v>
      </c>
      <c r="D36" s="41" t="n">
        <f aca="false">(B36+C36)/2</f>
        <v>0.0524038663133979</v>
      </c>
      <c r="E36" s="15" t="n">
        <f aca="false">$C$2*(1+IF(E$3&lt;=$O$2,$D36,$D36-($D36-$I$6)*MIN(E$3-$O$2,$Q$2)/$Q$2))</f>
        <v>7114.25013627857</v>
      </c>
      <c r="F36" s="15" t="n">
        <f aca="false">E36*(1+IF(F$3&lt;=$O$2,$D36,$D36-($D36-$I$6)*MIN(F$3-$O$2,$Q$2)/$Q$2))</f>
        <v>7487.06434934019</v>
      </c>
      <c r="G36" s="15" t="n">
        <f aca="false">F36*(1+IF(G$3&lt;=$O$2,$D36,$D36-($D36-$I$6)*MIN(G$3-$O$2,$Q$2)/$Q$2))</f>
        <v>7879.41546858282</v>
      </c>
      <c r="H36" s="15" t="n">
        <f aca="false">G36*(1+IF(H$3&lt;=$O$2,$D36,$D36-($D36-$I$6)*MIN(H$3-$O$2,$Q$2)/$Q$2))</f>
        <v>8292.32730342615</v>
      </c>
      <c r="I36" s="15" t="n">
        <f aca="false">H36*(1+IF(I$3&lt;=$O$2,$D36,$D36-($D36-$I$6)*MIN(I$3-$O$2,$Q$2)/$Q$2))</f>
        <v>8726.87731486183</v>
      </c>
      <c r="J36" s="15" t="n">
        <f aca="false">I36*(1+IF(J$3&lt;=$O$2,$D36,$D36-($D36-$I$6)*MIN(J$3-$O$2,$Q$2)/$Q$2))</f>
        <v>9142.12913017711</v>
      </c>
      <c r="K36" s="15" t="n">
        <f aca="false">J36*(1+IF(K$3&lt;=$O$2,$D36,$D36-($D36-$I$6)*MIN(K$3-$O$2,$Q$2)/$Q$2))</f>
        <v>9533.06777958528</v>
      </c>
      <c r="L36" s="15" t="n">
        <f aca="false">K36*(1+IF(L$3&lt;=$O$2,$D36,$D36-($D36-$I$6)*MIN(L$3-$O$2,$Q$2)/$Q$2))</f>
        <v>9894.76711427382</v>
      </c>
      <c r="M36" s="15" t="n">
        <f aca="false">L36*(1+IF(M$3&lt;=$O$2,$D36,$D36-($D36-$I$6)*MIN(M$3-$O$2,$Q$2)/$Q$2))</f>
        <v>10222.4894523527</v>
      </c>
      <c r="N36" s="15" t="n">
        <f aca="false">M36*(1+IF(N$3&lt;=$O$2,$D36,$D36-($D36-$I$6)*MIN(N$3-$O$2,$Q$2)/$Q$2))</f>
        <v>10511.7859038543</v>
      </c>
      <c r="O36" s="15" t="n">
        <f aca="false">SUMPRODUCT(E36:N36,1/(1+$F$6)^$E$3:$N$3)*$E$2</f>
        <v>36544.1270804271</v>
      </c>
      <c r="P36" s="15" t="n">
        <f aca="false">N36*$E$2*(1+$I$6)/($F$6-$I$6)/(1+$F$6)^$N$3</f>
        <v>65015.8744120327</v>
      </c>
      <c r="Q36" s="15" t="n">
        <f aca="false">O36+P36</f>
        <v>101560.00149246</v>
      </c>
      <c r="R36" s="15" t="n">
        <f aca="false">Q36-$G$2+$I$2</f>
        <v>99970.0014924598</v>
      </c>
      <c r="S36" s="42" t="n">
        <f aca="false">R36/$K$2</f>
        <v>278.018803861338</v>
      </c>
      <c r="T36" s="43" t="n">
        <f aca="false">S36-$M$2</f>
        <v>4.15056399560854E-006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0.0524038635194302</v>
      </c>
      <c r="C37" s="25" t="n">
        <f aca="false">IF(T36&gt;0,D36,C36)</f>
        <v>0.0524038663133979</v>
      </c>
      <c r="D37" s="41" t="n">
        <f aca="false">(B37+C37)/2</f>
        <v>0.052403864916414</v>
      </c>
      <c r="E37" s="15" t="n">
        <f aca="false">$C$2*(1+IF(E$3&lt;=$O$2,$D37,$D37-($D37-$I$6)*MIN(E$3-$O$2,$Q$2)/$Q$2))</f>
        <v>7114.25012683496</v>
      </c>
      <c r="F37" s="15" t="n">
        <f aca="false">E37*(1+IF(F$3&lt;=$O$2,$D37,$D37-($D37-$I$6)*MIN(F$3-$O$2,$Q$2)/$Q$2))</f>
        <v>7487.0643294632</v>
      </c>
      <c r="G37" s="15" t="n">
        <f aca="false">F37*(1+IF(G$3&lt;=$O$2,$D37,$D37-($D37-$I$6)*MIN(G$3-$O$2,$Q$2)/$Q$2))</f>
        <v>7879.41543720489</v>
      </c>
      <c r="H37" s="15" t="n">
        <f aca="false">G37*(1+IF(H$3&lt;=$O$2,$D37,$D37-($D37-$I$6)*MIN(H$3-$O$2,$Q$2)/$Q$2))</f>
        <v>8292.32725939648</v>
      </c>
      <c r="I37" s="15" t="n">
        <f aca="false">H37*(1+IF(I$3&lt;=$O$2,$D37,$D37-($D37-$I$6)*MIN(I$3-$O$2,$Q$2)/$Q$2))</f>
        <v>8726.87725694059</v>
      </c>
      <c r="J37" s="15" t="n">
        <f aca="false">I37*(1+IF(J$3&lt;=$O$2,$D37,$D37-($D37-$I$6)*MIN(J$3-$O$2,$Q$2)/$Q$2))</f>
        <v>9142.12905974675</v>
      </c>
      <c r="K37" s="15" t="n">
        <f aca="false">J37*(1+IF(K$3&lt;=$O$2,$D37,$D37-($D37-$I$6)*MIN(K$3-$O$2,$Q$2)/$Q$2))</f>
        <v>9533.06769848032</v>
      </c>
      <c r="L37" s="15" t="n">
        <f aca="false">K37*(1+IF(L$3&lt;=$O$2,$D37,$D37-($D37-$I$6)*MIN(L$3-$O$2,$Q$2)/$Q$2))</f>
        <v>9894.76702476459</v>
      </c>
      <c r="M37" s="15" t="n">
        <f aca="false">L37*(1+IF(M$3&lt;=$O$2,$D37,$D37-($D37-$I$6)*MIN(M$3-$O$2,$Q$2)/$Q$2))</f>
        <v>10222.4893571143</v>
      </c>
      <c r="N37" s="15" t="n">
        <f aca="false">M37*(1+IF(N$3&lt;=$O$2,$D37,$D37-($D37-$I$6)*MIN(N$3-$O$2,$Q$2)/$Q$2))</f>
        <v>10511.7858059206</v>
      </c>
      <c r="O37" s="15" t="n">
        <f aca="false">SUMPRODUCT(E37:N37,1/(1+$F$6)^$E$3:$N$3)*$E$2</f>
        <v>36544.1268555253</v>
      </c>
      <c r="P37" s="15" t="n">
        <f aca="false">N37*$E$2*(1+$I$6)/($F$6-$I$6)/(1+$F$6)^$N$3</f>
        <v>65015.8738063086</v>
      </c>
      <c r="Q37" s="15" t="n">
        <f aca="false">O37+P37</f>
        <v>101560.000661834</v>
      </c>
      <c r="R37" s="15" t="n">
        <f aca="false">Q37-$G$2+$I$2</f>
        <v>99970.0006618339</v>
      </c>
      <c r="S37" s="42" t="n">
        <f aca="false">R37/$K$2</f>
        <v>278.018801551349</v>
      </c>
      <c r="T37" s="43" t="n">
        <f aca="false">S37-$M$2</f>
        <v>1.84057483920697E-006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0.0524038635194302</v>
      </c>
      <c r="C38" s="25" t="n">
        <f aca="false">IF(T37&gt;0,D37,C37)</f>
        <v>0.052403864916414</v>
      </c>
      <c r="D38" s="41" t="n">
        <f aca="false">(B38+C38)/2</f>
        <v>0.0524038642179221</v>
      </c>
      <c r="E38" s="15" t="n">
        <f aca="false">$C$2*(1+IF(E$3&lt;=$O$2,$D38,$D38-($D38-$I$6)*MIN(E$3-$O$2,$Q$2)/$Q$2))</f>
        <v>7114.25012211315</v>
      </c>
      <c r="F38" s="15" t="n">
        <f aca="false">E38*(1+IF(F$3&lt;=$O$2,$D38,$D38-($D38-$I$6)*MIN(F$3-$O$2,$Q$2)/$Q$2))</f>
        <v>7487.06431952471</v>
      </c>
      <c r="G38" s="15" t="n">
        <f aca="false">F38*(1+IF(G$3&lt;=$O$2,$D38,$D38-($D38-$I$6)*MIN(G$3-$O$2,$Q$2)/$Q$2))</f>
        <v>7879.41542151593</v>
      </c>
      <c r="H38" s="15" t="n">
        <f aca="false">G38*(1+IF(H$3&lt;=$O$2,$D38,$D38-($D38-$I$6)*MIN(H$3-$O$2,$Q$2)/$Q$2))</f>
        <v>8292.32723738165</v>
      </c>
      <c r="I38" s="15" t="n">
        <f aca="false">H38*(1+IF(I$3&lt;=$O$2,$D38,$D38-($D38-$I$6)*MIN(I$3-$O$2,$Q$2)/$Q$2))</f>
        <v>8726.87722797998</v>
      </c>
      <c r="J38" s="15" t="n">
        <f aca="false">I38*(1+IF(J$3&lt;=$O$2,$D38,$D38-($D38-$I$6)*MIN(J$3-$O$2,$Q$2)/$Q$2))</f>
        <v>9142.12902453157</v>
      </c>
      <c r="K38" s="15" t="n">
        <f aca="false">J38*(1+IF(K$3&lt;=$O$2,$D38,$D38-($D38-$I$6)*MIN(K$3-$O$2,$Q$2)/$Q$2))</f>
        <v>9533.06765792784</v>
      </c>
      <c r="L38" s="15" t="n">
        <f aca="false">K38*(1+IF(L$3&lt;=$O$2,$D38,$D38-($D38-$I$6)*MIN(L$3-$O$2,$Q$2)/$Q$2))</f>
        <v>9894.76698000998</v>
      </c>
      <c r="M38" s="15" t="n">
        <f aca="false">L38*(1+IF(M$3&lt;=$O$2,$D38,$D38-($D38-$I$6)*MIN(M$3-$O$2,$Q$2)/$Q$2))</f>
        <v>10222.4893094951</v>
      </c>
      <c r="N38" s="15" t="n">
        <f aca="false">M38*(1+IF(N$3&lt;=$O$2,$D38,$D38-($D38-$I$6)*MIN(N$3-$O$2,$Q$2)/$Q$2))</f>
        <v>10511.7857569538</v>
      </c>
      <c r="O38" s="15" t="n">
        <f aca="false">SUMPRODUCT(E38:N38,1/(1+$F$6)^$E$3:$N$3)*$E$2</f>
        <v>36544.1267430744</v>
      </c>
      <c r="P38" s="15" t="n">
        <f aca="false">N38*$E$2*(1+$I$6)/($F$6-$I$6)/(1+$F$6)^$N$3</f>
        <v>65015.8735034466</v>
      </c>
      <c r="Q38" s="15" t="n">
        <f aca="false">O38+P38</f>
        <v>101560.000246521</v>
      </c>
      <c r="R38" s="15" t="n">
        <f aca="false">Q38-$G$2+$I$2</f>
        <v>99970.000246521</v>
      </c>
      <c r="S38" s="42" t="n">
        <f aca="false">R38/$K$2</f>
        <v>278.018800396354</v>
      </c>
      <c r="T38" s="43" t="n">
        <f aca="false">S38-$M$2</f>
        <v>6.85580403114727E-007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0.0524038635194302</v>
      </c>
      <c r="C39" s="25" t="n">
        <f aca="false">IF(T38&gt;0,D38,C38)</f>
        <v>0.0524038642179221</v>
      </c>
      <c r="D39" s="41" t="n">
        <f aca="false">(B39+C39)/2</f>
        <v>0.0524038638686761</v>
      </c>
      <c r="E39" s="15" t="n">
        <f aca="false">$C$2*(1+IF(E$3&lt;=$O$2,$D39,$D39-($D39-$I$6)*MIN(E$3-$O$2,$Q$2)/$Q$2))</f>
        <v>7114.25011975225</v>
      </c>
      <c r="F39" s="15" t="n">
        <f aca="false">E39*(1+IF(F$3&lt;=$O$2,$D39,$D39-($D39-$I$6)*MIN(F$3-$O$2,$Q$2)/$Q$2))</f>
        <v>7487.06431455546</v>
      </c>
      <c r="G39" s="15" t="n">
        <f aca="false">F39*(1+IF(G$3&lt;=$O$2,$D39,$D39-($D39-$I$6)*MIN(G$3-$O$2,$Q$2)/$Q$2))</f>
        <v>7879.41541367145</v>
      </c>
      <c r="H39" s="15" t="n">
        <f aca="false">G39*(1+IF(H$3&lt;=$O$2,$D39,$D39-($D39-$I$6)*MIN(H$3-$O$2,$Q$2)/$Q$2))</f>
        <v>8292.32722637424</v>
      </c>
      <c r="I39" s="15" t="n">
        <f aca="false">H39*(1+IF(I$3&lt;=$O$2,$D39,$D39-($D39-$I$6)*MIN(I$3-$O$2,$Q$2)/$Q$2))</f>
        <v>8726.87721349967</v>
      </c>
      <c r="J39" s="15" t="n">
        <f aca="false">I39*(1+IF(J$3&lt;=$O$2,$D39,$D39-($D39-$I$6)*MIN(J$3-$O$2,$Q$2)/$Q$2))</f>
        <v>9142.12900692399</v>
      </c>
      <c r="K39" s="15" t="n">
        <f aca="false">J39*(1+IF(K$3&lt;=$O$2,$D39,$D39-($D39-$I$6)*MIN(K$3-$O$2,$Q$2)/$Q$2))</f>
        <v>9533.0676376516</v>
      </c>
      <c r="L39" s="15" t="n">
        <f aca="false">K39*(1+IF(L$3&lt;=$O$2,$D39,$D39-($D39-$I$6)*MIN(L$3-$O$2,$Q$2)/$Q$2))</f>
        <v>9894.76695763267</v>
      </c>
      <c r="M39" s="15" t="n">
        <f aca="false">L39*(1+IF(M$3&lt;=$O$2,$D39,$D39-($D39-$I$6)*MIN(M$3-$O$2,$Q$2)/$Q$2))</f>
        <v>10222.4892856855</v>
      </c>
      <c r="N39" s="15" t="n">
        <f aca="false">M39*(1+IF(N$3&lt;=$O$2,$D39,$D39-($D39-$I$6)*MIN(N$3-$O$2,$Q$2)/$Q$2))</f>
        <v>10511.7857324704</v>
      </c>
      <c r="O39" s="15" t="n">
        <f aca="false">SUMPRODUCT(E39:N39,1/(1+$F$6)^$E$3:$N$3)*$E$2</f>
        <v>36544.126686849</v>
      </c>
      <c r="P39" s="15" t="n">
        <f aca="false">N39*$E$2*(1+$I$6)/($F$6-$I$6)/(1+$F$6)^$N$3</f>
        <v>65015.8733520155</v>
      </c>
      <c r="Q39" s="15" t="n">
        <f aca="false">O39+P39</f>
        <v>101560.000038865</v>
      </c>
      <c r="R39" s="15" t="n">
        <f aca="false">Q39-$G$2+$I$2</f>
        <v>99970.0000388645</v>
      </c>
      <c r="S39" s="42" t="n">
        <f aca="false">R39/$K$2</f>
        <v>278.018799818857</v>
      </c>
      <c r="T39" s="43" t="n">
        <f aca="false">S39-$M$2</f>
        <v>1.0808309980348E-007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0.0524038635194302</v>
      </c>
      <c r="C40" s="25" t="n">
        <f aca="false">IF(T39&gt;0,D39,C39)</f>
        <v>0.0524038638686761</v>
      </c>
      <c r="D40" s="41" t="n">
        <f aca="false">(B40+C40)/2</f>
        <v>0.0524038636940531</v>
      </c>
      <c r="E40" s="15" t="n">
        <f aca="false">$C$2*(1+IF(E$3&lt;=$O$2,$D40,$D40-($D40-$I$6)*MIN(E$3-$O$2,$Q$2)/$Q$2))</f>
        <v>7114.2501185718</v>
      </c>
      <c r="F40" s="15" t="n">
        <f aca="false">E40*(1+IF(F$3&lt;=$O$2,$D40,$D40-($D40-$I$6)*MIN(F$3-$O$2,$Q$2)/$Q$2))</f>
        <v>7487.06431207084</v>
      </c>
      <c r="G40" s="15" t="n">
        <f aca="false">F40*(1+IF(G$3&lt;=$O$2,$D40,$D40-($D40-$I$6)*MIN(G$3-$O$2,$Q$2)/$Q$2))</f>
        <v>7879.41540974921</v>
      </c>
      <c r="H40" s="15" t="n">
        <f aca="false">G40*(1+IF(H$3&lt;=$O$2,$D40,$D40-($D40-$I$6)*MIN(H$3-$O$2,$Q$2)/$Q$2))</f>
        <v>8292.32722087053</v>
      </c>
      <c r="I40" s="15" t="n">
        <f aca="false">H40*(1+IF(I$3&lt;=$O$2,$D40,$D40-($D40-$I$6)*MIN(I$3-$O$2,$Q$2)/$Q$2))</f>
        <v>8726.87720625951</v>
      </c>
      <c r="J40" s="15" t="n">
        <f aca="false">I40*(1+IF(J$3&lt;=$O$2,$D40,$D40-($D40-$I$6)*MIN(J$3-$O$2,$Q$2)/$Q$2))</f>
        <v>9142.12899812019</v>
      </c>
      <c r="K40" s="15" t="n">
        <f aca="false">J40*(1+IF(K$3&lt;=$O$2,$D40,$D40-($D40-$I$6)*MIN(K$3-$O$2,$Q$2)/$Q$2))</f>
        <v>9533.06762751348</v>
      </c>
      <c r="L40" s="15" t="n">
        <f aca="false">K40*(1+IF(L$3&lt;=$O$2,$D40,$D40-($D40-$I$6)*MIN(L$3-$O$2,$Q$2)/$Q$2))</f>
        <v>9894.76694644402</v>
      </c>
      <c r="M40" s="15" t="n">
        <f aca="false">L40*(1+IF(M$3&lt;=$O$2,$D40,$D40-($D40-$I$6)*MIN(M$3-$O$2,$Q$2)/$Q$2))</f>
        <v>10222.4892737807</v>
      </c>
      <c r="N40" s="15" t="n">
        <f aca="false">M40*(1+IF(N$3&lt;=$O$2,$D40,$D40-($D40-$I$6)*MIN(N$3-$O$2,$Q$2)/$Q$2))</f>
        <v>10511.7857202287</v>
      </c>
      <c r="O40" s="15" t="n">
        <f aca="false">SUMPRODUCT(E40:N40,1/(1+$F$6)^$E$3:$N$3)*$E$2</f>
        <v>36544.1266587363</v>
      </c>
      <c r="P40" s="15" t="n">
        <f aca="false">N40*$E$2*(1+$I$6)/($F$6-$I$6)/(1+$F$6)^$N$3</f>
        <v>65015.8732763</v>
      </c>
      <c r="Q40" s="15" t="n">
        <f aca="false">O40+P40</f>
        <v>101559.999935036</v>
      </c>
      <c r="R40" s="15" t="n">
        <f aca="false">Q40-$G$2+$I$2</f>
        <v>99969.9999350363</v>
      </c>
      <c r="S40" s="42" t="n">
        <f aca="false">R40/$K$2</f>
        <v>278.018799530108</v>
      </c>
      <c r="T40" s="43" t="n">
        <f aca="false">S40-$M$2</f>
        <v>-1.80665551852144E-007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0.0524038636940531</v>
      </c>
      <c r="C41" s="25" t="n">
        <f aca="false">IF(T40&gt;0,D40,C40)</f>
        <v>0.0524038638686761</v>
      </c>
      <c r="D41" s="41" t="n">
        <f aca="false">(B41+C41)/2</f>
        <v>0.0524038637813646</v>
      </c>
      <c r="E41" s="15" t="n">
        <f aca="false">$C$2*(1+IF(E$3&lt;=$O$2,$D41,$D41-($D41-$I$6)*MIN(E$3-$O$2,$Q$2)/$Q$2))</f>
        <v>7114.25011916203</v>
      </c>
      <c r="F41" s="15" t="n">
        <f aca="false">E41*(1+IF(F$3&lt;=$O$2,$D41,$D41-($D41-$I$6)*MIN(F$3-$O$2,$Q$2)/$Q$2))</f>
        <v>7487.06431331315</v>
      </c>
      <c r="G41" s="15" t="n">
        <f aca="false">F41*(1+IF(G$3&lt;=$O$2,$D41,$D41-($D41-$I$6)*MIN(G$3-$O$2,$Q$2)/$Q$2))</f>
        <v>7879.41541171033</v>
      </c>
      <c r="H41" s="15" t="n">
        <f aca="false">G41*(1+IF(H$3&lt;=$O$2,$D41,$D41-($D41-$I$6)*MIN(H$3-$O$2,$Q$2)/$Q$2))</f>
        <v>8292.32722362238</v>
      </c>
      <c r="I41" s="15" t="n">
        <f aca="false">H41*(1+IF(I$3&lt;=$O$2,$D41,$D41-($D41-$I$6)*MIN(I$3-$O$2,$Q$2)/$Q$2))</f>
        <v>8726.87720987959</v>
      </c>
      <c r="J41" s="15" t="n">
        <f aca="false">I41*(1+IF(J$3&lt;=$O$2,$D41,$D41-($D41-$I$6)*MIN(J$3-$O$2,$Q$2)/$Q$2))</f>
        <v>9142.12900252209</v>
      </c>
      <c r="K41" s="15" t="n">
        <f aca="false">J41*(1+IF(K$3&lt;=$O$2,$D41,$D41-($D41-$I$6)*MIN(K$3-$O$2,$Q$2)/$Q$2))</f>
        <v>9533.06763258254</v>
      </c>
      <c r="L41" s="15" t="n">
        <f aca="false">K41*(1+IF(L$3&lt;=$O$2,$D41,$D41-($D41-$I$6)*MIN(L$3-$O$2,$Q$2)/$Q$2))</f>
        <v>9894.76695203834</v>
      </c>
      <c r="M41" s="15" t="n">
        <f aca="false">L41*(1+IF(M$3&lt;=$O$2,$D41,$D41-($D41-$I$6)*MIN(M$3-$O$2,$Q$2)/$Q$2))</f>
        <v>10222.4892797331</v>
      </c>
      <c r="N41" s="15" t="n">
        <f aca="false">M41*(1+IF(N$3&lt;=$O$2,$D41,$D41-($D41-$I$6)*MIN(N$3-$O$2,$Q$2)/$Q$2))</f>
        <v>10511.7857263495</v>
      </c>
      <c r="O41" s="15" t="n">
        <f aca="false">SUMPRODUCT(E41:N41,1/(1+$F$6)^$E$3:$N$3)*$E$2</f>
        <v>36544.1266727926</v>
      </c>
      <c r="P41" s="15" t="n">
        <f aca="false">N41*$E$2*(1+$I$6)/($F$6-$I$6)/(1+$F$6)^$N$3</f>
        <v>65015.8733141578</v>
      </c>
      <c r="Q41" s="15" t="n">
        <f aca="false">O41+P41</f>
        <v>101559.99998695</v>
      </c>
      <c r="R41" s="15" t="n">
        <f aca="false">Q41-$G$2+$I$2</f>
        <v>99969.9999869504</v>
      </c>
      <c r="S41" s="42" t="n">
        <f aca="false">R41/$K$2</f>
        <v>278.018799674482</v>
      </c>
      <c r="T41" s="43" t="n">
        <f aca="false">S41-$M$2</f>
        <v>-3.6291226024332E-008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0.0524038637813646</v>
      </c>
      <c r="C42" s="25" t="n">
        <f aca="false">IF(T41&gt;0,D41,C41)</f>
        <v>0.0524038638686761</v>
      </c>
      <c r="D42" s="41" t="n">
        <f aca="false">(B42+C42)/2</f>
        <v>0.0524038638250204</v>
      </c>
      <c r="E42" s="15" t="n">
        <f aca="false">$C$2*(1+IF(E$3&lt;=$O$2,$D42,$D42-($D42-$I$6)*MIN(E$3-$O$2,$Q$2)/$Q$2))</f>
        <v>7114.25011945714</v>
      </c>
      <c r="F42" s="15" t="n">
        <f aca="false">E42*(1+IF(F$3&lt;=$O$2,$D42,$D42-($D42-$I$6)*MIN(F$3-$O$2,$Q$2)/$Q$2))</f>
        <v>7487.06431393431</v>
      </c>
      <c r="G42" s="15" t="n">
        <f aca="false">F42*(1+IF(G$3&lt;=$O$2,$D42,$D42-($D42-$I$6)*MIN(G$3-$O$2,$Q$2)/$Q$2))</f>
        <v>7879.41541269089</v>
      </c>
      <c r="H42" s="15" t="n">
        <f aca="false">G42*(1+IF(H$3&lt;=$O$2,$D42,$D42-($D42-$I$6)*MIN(H$3-$O$2,$Q$2)/$Q$2))</f>
        <v>8292.32722499831</v>
      </c>
      <c r="I42" s="15" t="n">
        <f aca="false">H42*(1+IF(I$3&lt;=$O$2,$D42,$D42-($D42-$I$6)*MIN(I$3-$O$2,$Q$2)/$Q$2))</f>
        <v>8726.87721168963</v>
      </c>
      <c r="J42" s="15" t="n">
        <f aca="false">I42*(1+IF(J$3&lt;=$O$2,$D42,$D42-($D42-$I$6)*MIN(J$3-$O$2,$Q$2)/$Q$2))</f>
        <v>9142.12900472304</v>
      </c>
      <c r="K42" s="15" t="n">
        <f aca="false">J42*(1+IF(K$3&lt;=$O$2,$D42,$D42-($D42-$I$6)*MIN(K$3-$O$2,$Q$2)/$Q$2))</f>
        <v>9533.06763511707</v>
      </c>
      <c r="L42" s="15" t="n">
        <f aca="false">K42*(1+IF(L$3&lt;=$O$2,$D42,$D42-($D42-$I$6)*MIN(L$3-$O$2,$Q$2)/$Q$2))</f>
        <v>9894.76695483551</v>
      </c>
      <c r="M42" s="15" t="n">
        <f aca="false">L42*(1+IF(M$3&lt;=$O$2,$D42,$D42-($D42-$I$6)*MIN(M$3-$O$2,$Q$2)/$Q$2))</f>
        <v>10222.4892827093</v>
      </c>
      <c r="N42" s="15" t="n">
        <f aca="false">M42*(1+IF(N$3&lt;=$O$2,$D42,$D42-($D42-$I$6)*MIN(N$3-$O$2,$Q$2)/$Q$2))</f>
        <v>10511.78572941</v>
      </c>
      <c r="O42" s="15" t="n">
        <f aca="false">SUMPRODUCT(E42:N42,1/(1+$F$6)^$E$3:$N$3)*$E$2</f>
        <v>36544.1266798208</v>
      </c>
      <c r="P42" s="15" t="n">
        <f aca="false">N42*$E$2*(1+$I$6)/($F$6-$I$6)/(1+$F$6)^$N$3</f>
        <v>65015.8733330866</v>
      </c>
      <c r="Q42" s="15" t="n">
        <f aca="false">O42+P42</f>
        <v>101560.000012907</v>
      </c>
      <c r="R42" s="15" t="n">
        <f aca="false">Q42-$G$2+$I$2</f>
        <v>99970.0000129074</v>
      </c>
      <c r="S42" s="42" t="n">
        <f aca="false">R42/$K$2</f>
        <v>278.01879974667</v>
      </c>
      <c r="T42" s="43" t="n">
        <f aca="false">S42-$M$2</f>
        <v>3.58958800461551E-008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0.0524038637813646</v>
      </c>
      <c r="C43" s="25" t="n">
        <f aca="false">IF(T42&gt;0,D42,C42)</f>
        <v>0.0524038638250204</v>
      </c>
      <c r="D43" s="41" t="n">
        <f aca="false">(B43+C43)/2</f>
        <v>0.0524038638031925</v>
      </c>
      <c r="E43" s="15" t="n">
        <f aca="false">$C$2*(1+IF(E$3&lt;=$O$2,$D43,$D43-($D43-$I$6)*MIN(E$3-$O$2,$Q$2)/$Q$2))</f>
        <v>7114.25011930958</v>
      </c>
      <c r="F43" s="15" t="n">
        <f aca="false">E43*(1+IF(F$3&lt;=$O$2,$D43,$D43-($D43-$I$6)*MIN(F$3-$O$2,$Q$2)/$Q$2))</f>
        <v>7487.06431362373</v>
      </c>
      <c r="G43" s="15" t="n">
        <f aca="false">F43*(1+IF(G$3&lt;=$O$2,$D43,$D43-($D43-$I$6)*MIN(G$3-$O$2,$Q$2)/$Q$2))</f>
        <v>7879.41541220061</v>
      </c>
      <c r="H43" s="15" t="n">
        <f aca="false">G43*(1+IF(H$3&lt;=$O$2,$D43,$D43-($D43-$I$6)*MIN(H$3-$O$2,$Q$2)/$Q$2))</f>
        <v>8292.32722431034</v>
      </c>
      <c r="I43" s="15" t="n">
        <f aca="false">H43*(1+IF(I$3&lt;=$O$2,$D43,$D43-($D43-$I$6)*MIN(I$3-$O$2,$Q$2)/$Q$2))</f>
        <v>8726.87721078461</v>
      </c>
      <c r="J43" s="15" t="n">
        <f aca="false">I43*(1+IF(J$3&lt;=$O$2,$D43,$D43-($D43-$I$6)*MIN(J$3-$O$2,$Q$2)/$Q$2))</f>
        <v>9142.12900362256</v>
      </c>
      <c r="K43" s="15" t="n">
        <f aca="false">J43*(1+IF(K$3&lt;=$O$2,$D43,$D43-($D43-$I$6)*MIN(K$3-$O$2,$Q$2)/$Q$2))</f>
        <v>9533.0676338498</v>
      </c>
      <c r="L43" s="15" t="n">
        <f aca="false">K43*(1+IF(L$3&lt;=$O$2,$D43,$D43-($D43-$I$6)*MIN(L$3-$O$2,$Q$2)/$Q$2))</f>
        <v>9894.76695343693</v>
      </c>
      <c r="M43" s="15" t="n">
        <f aca="false">L43*(1+IF(M$3&lt;=$O$2,$D43,$D43-($D43-$I$6)*MIN(M$3-$O$2,$Q$2)/$Q$2))</f>
        <v>10222.4892812212</v>
      </c>
      <c r="N43" s="15" t="n">
        <f aca="false">M43*(1+IF(N$3&lt;=$O$2,$D43,$D43-($D43-$I$6)*MIN(N$3-$O$2,$Q$2)/$Q$2))</f>
        <v>10511.7857278797</v>
      </c>
      <c r="O43" s="15" t="n">
        <f aca="false">SUMPRODUCT(E43:N43,1/(1+$F$6)^$E$3:$N$3)*$E$2</f>
        <v>36544.1266763067</v>
      </c>
      <c r="P43" s="15" t="n">
        <f aca="false">N43*$E$2*(1+$I$6)/($F$6-$I$6)/(1+$F$6)^$N$3</f>
        <v>65015.8733236222</v>
      </c>
      <c r="Q43" s="15" t="n">
        <f aca="false">O43+P43</f>
        <v>101559.999999929</v>
      </c>
      <c r="R43" s="15" t="n">
        <f aca="false">Q43-$G$2+$I$2</f>
        <v>99969.9999999289</v>
      </c>
      <c r="S43" s="42" t="n">
        <f aca="false">R43/$K$2</f>
        <v>278.018799710576</v>
      </c>
      <c r="T43" s="43" t="n">
        <f aca="false">S43-$M$2</f>
        <v>-1.97644567379029E-010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0.0524038638031925</v>
      </c>
      <c r="C44" s="25" t="n">
        <f aca="false">IF(T43&gt;0,D43,C43)</f>
        <v>0.0524038638250204</v>
      </c>
      <c r="D44" s="41" t="n">
        <f aca="false">(B44+C44)/2</f>
        <v>0.0524038638141064</v>
      </c>
      <c r="E44" s="15" t="n">
        <f aca="false">$C$2*(1+IF(E$3&lt;=$O$2,$D44,$D44-($D44-$I$6)*MIN(E$3-$O$2,$Q$2)/$Q$2))</f>
        <v>7114.25011938336</v>
      </c>
      <c r="F44" s="15" t="n">
        <f aca="false">E44*(1+IF(F$3&lt;=$O$2,$D44,$D44-($D44-$I$6)*MIN(F$3-$O$2,$Q$2)/$Q$2))</f>
        <v>7487.06431377902</v>
      </c>
      <c r="G44" s="15" t="n">
        <f aca="false">F44*(1+IF(G$3&lt;=$O$2,$D44,$D44-($D44-$I$6)*MIN(G$3-$O$2,$Q$2)/$Q$2))</f>
        <v>7879.41541244575</v>
      </c>
      <c r="H44" s="15" t="n">
        <f aca="false">G44*(1+IF(H$3&lt;=$O$2,$D44,$D44-($D44-$I$6)*MIN(H$3-$O$2,$Q$2)/$Q$2))</f>
        <v>8292.32722465433</v>
      </c>
      <c r="I44" s="15" t="n">
        <f aca="false">H44*(1+IF(I$3&lt;=$O$2,$D44,$D44-($D44-$I$6)*MIN(I$3-$O$2,$Q$2)/$Q$2))</f>
        <v>8726.87721123712</v>
      </c>
      <c r="J44" s="15" t="n">
        <f aca="false">I44*(1+IF(J$3&lt;=$O$2,$D44,$D44-($D44-$I$6)*MIN(J$3-$O$2,$Q$2)/$Q$2))</f>
        <v>9142.1290041728</v>
      </c>
      <c r="K44" s="15" t="n">
        <f aca="false">J44*(1+IF(K$3&lt;=$O$2,$D44,$D44-($D44-$I$6)*MIN(K$3-$O$2,$Q$2)/$Q$2))</f>
        <v>9533.06763448343</v>
      </c>
      <c r="L44" s="15" t="n">
        <f aca="false">K44*(1+IF(L$3&lt;=$O$2,$D44,$D44-($D44-$I$6)*MIN(L$3-$O$2,$Q$2)/$Q$2))</f>
        <v>9894.76695413622</v>
      </c>
      <c r="M44" s="15" t="n">
        <f aca="false">L44*(1+IF(M$3&lt;=$O$2,$D44,$D44-($D44-$I$6)*MIN(M$3-$O$2,$Q$2)/$Q$2))</f>
        <v>10222.4892819652</v>
      </c>
      <c r="N44" s="15" t="n">
        <f aca="false">M44*(1+IF(N$3&lt;=$O$2,$D44,$D44-($D44-$I$6)*MIN(N$3-$O$2,$Q$2)/$Q$2))</f>
        <v>10511.7857286449</v>
      </c>
      <c r="O44" s="15" t="n">
        <f aca="false">SUMPRODUCT(E44:N44,1/(1+$F$6)^$E$3:$N$3)*$E$2</f>
        <v>36544.1266780638</v>
      </c>
      <c r="P44" s="15" t="n">
        <f aca="false">N44*$E$2*(1+$I$6)/($F$6-$I$6)/(1+$F$6)^$N$3</f>
        <v>65015.8733283544</v>
      </c>
      <c r="Q44" s="15" t="n">
        <f aca="false">O44+P44</f>
        <v>101560.000006418</v>
      </c>
      <c r="R44" s="15" t="n">
        <f aca="false">Q44-$G$2+$I$2</f>
        <v>99970.0000064182</v>
      </c>
      <c r="S44" s="42" t="n">
        <f aca="false">R44/$K$2</f>
        <v>278.018799728623</v>
      </c>
      <c r="T44" s="43" t="n">
        <f aca="false">S44-$M$2</f>
        <v>1.7849117739388E-008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0.0524038638031925</v>
      </c>
      <c r="C45" s="25" t="n">
        <f aca="false">IF(T44&gt;0,D44,C44)</f>
        <v>0.0524038638141064</v>
      </c>
      <c r="D45" s="41" t="n">
        <f aca="false">(B45+C45)/2</f>
        <v>0.0524038638086495</v>
      </c>
      <c r="E45" s="15" t="n">
        <f aca="false">$C$2*(1+IF(E$3&lt;=$O$2,$D45,$D45-($D45-$I$6)*MIN(E$3-$O$2,$Q$2)/$Q$2))</f>
        <v>7114.25011934647</v>
      </c>
      <c r="F45" s="15" t="n">
        <f aca="false">E45*(1+IF(F$3&lt;=$O$2,$D45,$D45-($D45-$I$6)*MIN(F$3-$O$2,$Q$2)/$Q$2))</f>
        <v>7487.06431370137</v>
      </c>
      <c r="G45" s="15" t="n">
        <f aca="false">F45*(1+IF(G$3&lt;=$O$2,$D45,$D45-($D45-$I$6)*MIN(G$3-$O$2,$Q$2)/$Q$2))</f>
        <v>7879.41541232318</v>
      </c>
      <c r="H45" s="15" t="n">
        <f aca="false">G45*(1+IF(H$3&lt;=$O$2,$D45,$D45-($D45-$I$6)*MIN(H$3-$O$2,$Q$2)/$Q$2))</f>
        <v>8292.32722448234</v>
      </c>
      <c r="I45" s="15" t="n">
        <f aca="false">H45*(1+IF(I$3&lt;=$O$2,$D45,$D45-($D45-$I$6)*MIN(I$3-$O$2,$Q$2)/$Q$2))</f>
        <v>8726.87721101086</v>
      </c>
      <c r="J45" s="15" t="n">
        <f aca="false">I45*(1+IF(J$3&lt;=$O$2,$D45,$D45-($D45-$I$6)*MIN(J$3-$O$2,$Q$2)/$Q$2))</f>
        <v>9142.12900389768</v>
      </c>
      <c r="K45" s="15" t="n">
        <f aca="false">J45*(1+IF(K$3&lt;=$O$2,$D45,$D45-($D45-$I$6)*MIN(K$3-$O$2,$Q$2)/$Q$2))</f>
        <v>9533.06763416662</v>
      </c>
      <c r="L45" s="15" t="n">
        <f aca="false">K45*(1+IF(L$3&lt;=$O$2,$D45,$D45-($D45-$I$6)*MIN(L$3-$O$2,$Q$2)/$Q$2))</f>
        <v>9894.76695378657</v>
      </c>
      <c r="M45" s="15" t="n">
        <f aca="false">L45*(1+IF(M$3&lt;=$O$2,$D45,$D45-($D45-$I$6)*MIN(M$3-$O$2,$Q$2)/$Q$2))</f>
        <v>10222.4892815932</v>
      </c>
      <c r="N45" s="15" t="n">
        <f aca="false">M45*(1+IF(N$3&lt;=$O$2,$D45,$D45-($D45-$I$6)*MIN(N$3-$O$2,$Q$2)/$Q$2))</f>
        <v>10511.7857282623</v>
      </c>
      <c r="O45" s="15" t="n">
        <f aca="false">SUMPRODUCT(E45:N45,1/(1+$F$6)^$E$3:$N$3)*$E$2</f>
        <v>36544.1266771852</v>
      </c>
      <c r="P45" s="15" t="n">
        <f aca="false">N45*$E$2*(1+$I$6)/($F$6-$I$6)/(1+$F$6)^$N$3</f>
        <v>65015.8733259883</v>
      </c>
      <c r="Q45" s="15" t="n">
        <f aca="false">O45+P45</f>
        <v>101560.000003174</v>
      </c>
      <c r="R45" s="15" t="n">
        <f aca="false">Q45-$G$2+$I$2</f>
        <v>99970.0000031735</v>
      </c>
      <c r="S45" s="42" t="n">
        <f aca="false">R45/$K$2</f>
        <v>278.018799719599</v>
      </c>
      <c r="T45" s="43" t="n">
        <f aca="false">S45-$M$2</f>
        <v>8.82567974258564E-009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0.0524038638031925</v>
      </c>
      <c r="C46" s="25" t="n">
        <f aca="false">IF(T45&gt;0,D45,C45)</f>
        <v>0.0524038638086495</v>
      </c>
      <c r="D46" s="41" t="n">
        <f aca="false">(B46+C46)/2</f>
        <v>0.052403863805921</v>
      </c>
      <c r="E46" s="15" t="n">
        <f aca="false">$C$2*(1+IF(E$3&lt;=$O$2,$D46,$D46-($D46-$I$6)*MIN(E$3-$O$2,$Q$2)/$Q$2))</f>
        <v>7114.25011932803</v>
      </c>
      <c r="F46" s="15" t="n">
        <f aca="false">E46*(1+IF(F$3&lt;=$O$2,$D46,$D46-($D46-$I$6)*MIN(F$3-$O$2,$Q$2)/$Q$2))</f>
        <v>7487.06431366255</v>
      </c>
      <c r="G46" s="15" t="n">
        <f aca="false">F46*(1+IF(G$3&lt;=$O$2,$D46,$D46-($D46-$I$6)*MIN(G$3-$O$2,$Q$2)/$Q$2))</f>
        <v>7879.41541226189</v>
      </c>
      <c r="H46" s="15" t="n">
        <f aca="false">G46*(1+IF(H$3&lt;=$O$2,$D46,$D46-($D46-$I$6)*MIN(H$3-$O$2,$Q$2)/$Q$2))</f>
        <v>8292.32722439634</v>
      </c>
      <c r="I46" s="15" t="n">
        <f aca="false">H46*(1+IF(I$3&lt;=$O$2,$D46,$D46-($D46-$I$6)*MIN(I$3-$O$2,$Q$2)/$Q$2))</f>
        <v>8726.87721089774</v>
      </c>
      <c r="J46" s="15" t="n">
        <f aca="false">I46*(1+IF(J$3&lt;=$O$2,$D46,$D46-($D46-$I$6)*MIN(J$3-$O$2,$Q$2)/$Q$2))</f>
        <v>9142.12900376012</v>
      </c>
      <c r="K46" s="15" t="n">
        <f aca="false">J46*(1+IF(K$3&lt;=$O$2,$D46,$D46-($D46-$I$6)*MIN(K$3-$O$2,$Q$2)/$Q$2))</f>
        <v>9533.06763400821</v>
      </c>
      <c r="L46" s="15" t="n">
        <f aca="false">K46*(1+IF(L$3&lt;=$O$2,$D46,$D46-($D46-$I$6)*MIN(L$3-$O$2,$Q$2)/$Q$2))</f>
        <v>9894.76695361175</v>
      </c>
      <c r="M46" s="15" t="n">
        <f aca="false">L46*(1+IF(M$3&lt;=$O$2,$D46,$D46-($D46-$I$6)*MIN(M$3-$O$2,$Q$2)/$Q$2))</f>
        <v>10222.4892814072</v>
      </c>
      <c r="N46" s="15" t="n">
        <f aca="false">M46*(1+IF(N$3&lt;=$O$2,$D46,$D46-($D46-$I$6)*MIN(N$3-$O$2,$Q$2)/$Q$2))</f>
        <v>10511.785728071</v>
      </c>
      <c r="O46" s="15" t="n">
        <f aca="false">SUMPRODUCT(E46:N46,1/(1+$F$6)^$E$3:$N$3)*$E$2</f>
        <v>36544.126676746</v>
      </c>
      <c r="P46" s="15" t="n">
        <f aca="false">N46*$E$2*(1+$I$6)/($F$6-$I$6)/(1+$F$6)^$N$3</f>
        <v>65015.8733248053</v>
      </c>
      <c r="Q46" s="15" t="n">
        <f aca="false">O46+P46</f>
        <v>101560.000001551</v>
      </c>
      <c r="R46" s="15" t="n">
        <f aca="false">Q46-$G$2+$I$2</f>
        <v>99970.0000015512</v>
      </c>
      <c r="S46" s="42" t="n">
        <f aca="false">R46/$K$2</f>
        <v>278.018799715088</v>
      </c>
      <c r="T46" s="43" t="n">
        <f aca="false">S46-$M$2</f>
        <v>4.3140175876033E-009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0.0524038638031925</v>
      </c>
      <c r="C47" s="25" t="n">
        <f aca="false">IF(T46&gt;0,D46,C46)</f>
        <v>0.052403863805921</v>
      </c>
      <c r="D47" s="41" t="n">
        <f aca="false">(B47+C47)/2</f>
        <v>0.0524038638045568</v>
      </c>
      <c r="E47" s="15" t="n">
        <f aca="false">$C$2*(1+IF(E$3&lt;=$O$2,$D47,$D47-($D47-$I$6)*MIN(E$3-$O$2,$Q$2)/$Q$2))</f>
        <v>7114.2501193188</v>
      </c>
      <c r="F47" s="15" t="n">
        <f aca="false">E47*(1+IF(F$3&lt;=$O$2,$D47,$D47-($D47-$I$6)*MIN(F$3-$O$2,$Q$2)/$Q$2))</f>
        <v>7487.06431364314</v>
      </c>
      <c r="G47" s="15" t="n">
        <f aca="false">F47*(1+IF(G$3&lt;=$O$2,$D47,$D47-($D47-$I$6)*MIN(G$3-$O$2,$Q$2)/$Q$2))</f>
        <v>7879.41541223125</v>
      </c>
      <c r="H47" s="15" t="n">
        <f aca="false">G47*(1+IF(H$3&lt;=$O$2,$D47,$D47-($D47-$I$6)*MIN(H$3-$O$2,$Q$2)/$Q$2))</f>
        <v>8292.32722435334</v>
      </c>
      <c r="I47" s="15" t="n">
        <f aca="false">H47*(1+IF(I$3&lt;=$O$2,$D47,$D47-($D47-$I$6)*MIN(I$3-$O$2,$Q$2)/$Q$2))</f>
        <v>8726.87721084117</v>
      </c>
      <c r="J47" s="15" t="n">
        <f aca="false">I47*(1+IF(J$3&lt;=$O$2,$D47,$D47-($D47-$I$6)*MIN(J$3-$O$2,$Q$2)/$Q$2))</f>
        <v>9142.12900369134</v>
      </c>
      <c r="K47" s="15" t="n">
        <f aca="false">J47*(1+IF(K$3&lt;=$O$2,$D47,$D47-($D47-$I$6)*MIN(K$3-$O$2,$Q$2)/$Q$2))</f>
        <v>9533.06763392901</v>
      </c>
      <c r="L47" s="15" t="n">
        <f aca="false">K47*(1+IF(L$3&lt;=$O$2,$D47,$D47-($D47-$I$6)*MIN(L$3-$O$2,$Q$2)/$Q$2))</f>
        <v>9894.76695352434</v>
      </c>
      <c r="M47" s="15" t="n">
        <f aca="false">L47*(1+IF(M$3&lt;=$O$2,$D47,$D47-($D47-$I$6)*MIN(M$3-$O$2,$Q$2)/$Q$2))</f>
        <v>10222.4892813142</v>
      </c>
      <c r="N47" s="15" t="n">
        <f aca="false">M47*(1+IF(N$3&lt;=$O$2,$D47,$D47-($D47-$I$6)*MIN(N$3-$O$2,$Q$2)/$Q$2))</f>
        <v>10511.7857279754</v>
      </c>
      <c r="O47" s="15" t="n">
        <f aca="false">SUMPRODUCT(E47:N47,1/(1+$F$6)^$E$3:$N$3)*$E$2</f>
        <v>36544.1266765264</v>
      </c>
      <c r="P47" s="15" t="n">
        <f aca="false">N47*$E$2*(1+$I$6)/($F$6-$I$6)/(1+$F$6)^$N$3</f>
        <v>65015.8733242137</v>
      </c>
      <c r="Q47" s="15" t="n">
        <f aca="false">O47+P47</f>
        <v>101560.00000074</v>
      </c>
      <c r="R47" s="15" t="n">
        <f aca="false">Q47-$G$2+$I$2</f>
        <v>99970.0000007401</v>
      </c>
      <c r="S47" s="42" t="n">
        <f aca="false">R47/$K$2</f>
        <v>278.018799712832</v>
      </c>
      <c r="T47" s="43" t="n">
        <f aca="false">S47-$M$2</f>
        <v>2.05818651011214E-009</v>
      </c>
    </row>
    <row r="49" customFormat="false" ht="15" hidden="false" customHeight="false" outlineLevel="0" collapsed="false">
      <c r="A49" s="38" t="s">
        <v>187</v>
      </c>
      <c r="E49" s="5" t="s">
        <v>11</v>
      </c>
      <c r="F49" s="12" t="n">
        <f aca="false">Sensitivity!$B$10</f>
        <v>0.0674202832668642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167</v>
      </c>
      <c r="B50" s="28" t="s">
        <v>168</v>
      </c>
      <c r="C50" s="28" t="s">
        <v>169</v>
      </c>
      <c r="D50" s="28" t="s">
        <v>170</v>
      </c>
      <c r="E50" s="28" t="s">
        <v>171</v>
      </c>
      <c r="F50" s="28" t="s">
        <v>172</v>
      </c>
      <c r="G50" s="28" t="s">
        <v>173</v>
      </c>
      <c r="H50" s="28" t="s">
        <v>174</v>
      </c>
      <c r="I50" s="28" t="s">
        <v>175</v>
      </c>
      <c r="J50" s="28" t="s">
        <v>176</v>
      </c>
      <c r="K50" s="28" t="s">
        <v>177</v>
      </c>
      <c r="L50" s="28" t="s">
        <v>178</v>
      </c>
      <c r="M50" s="28" t="s">
        <v>179</v>
      </c>
      <c r="N50" s="28" t="s">
        <v>180</v>
      </c>
      <c r="O50" s="28" t="s">
        <v>181</v>
      </c>
      <c r="P50" s="28" t="s">
        <v>182</v>
      </c>
      <c r="Q50" s="28" t="s">
        <v>183</v>
      </c>
      <c r="R50" s="28" t="s">
        <v>184</v>
      </c>
      <c r="S50" s="28" t="s">
        <v>185</v>
      </c>
      <c r="T50" s="28" t="s">
        <v>186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8450</v>
      </c>
      <c r="F51" s="15" t="n">
        <f aca="false">E51*(1+IF(F$3&lt;=$O$2,$D51,$D51-($D51-$I$49)*MIN(F$3-$O$2,$Q$2)/$Q$2))</f>
        <v>10562.5</v>
      </c>
      <c r="G51" s="15" t="n">
        <f aca="false">F51*(1+IF(G$3&lt;=$O$2,$D51,$D51-($D51-$I$49)*MIN(G$3-$O$2,$Q$2)/$Q$2))</f>
        <v>13203.125</v>
      </c>
      <c r="H51" s="15" t="n">
        <f aca="false">G51*(1+IF(H$3&lt;=$O$2,$D51,$D51-($D51-$I$49)*MIN(H$3-$O$2,$Q$2)/$Q$2))</f>
        <v>16503.90625</v>
      </c>
      <c r="I51" s="15" t="n">
        <f aca="false">H51*(1+IF(I$3&lt;=$O$2,$D51,$D51-($D51-$I$49)*MIN(I$3-$O$2,$Q$2)/$Q$2))</f>
        <v>20629.8828125</v>
      </c>
      <c r="J51" s="15" t="n">
        <f aca="false">I51*(1+IF(J$3&lt;=$O$2,$D51,$D51-($D51-$I$49)*MIN(J$3-$O$2,$Q$2)/$Q$2))</f>
        <v>24831.3647460938</v>
      </c>
      <c r="K51" s="15" t="n">
        <f aca="false">J51*(1+IF(K$3&lt;=$O$2,$D51,$D51-($D51-$I$49)*MIN(K$3-$O$2,$Q$2)/$Q$2))</f>
        <v>28737.8350479492</v>
      </c>
      <c r="L51" s="15" t="n">
        <f aca="false">K51*(1+IF(L$3&lt;=$O$2,$D51,$D51-($D51-$I$49)*MIN(L$3-$O$2,$Q$2)/$Q$2))</f>
        <v>31927.1599815706</v>
      </c>
      <c r="M51" s="15" t="n">
        <f aca="false">L51*(1+IF(M$3&lt;=$O$2,$D51,$D51-($D51-$I$49)*MIN(M$3-$O$2,$Q$2)/$Q$2))</f>
        <v>33990.9316027794</v>
      </c>
      <c r="N51" s="15" t="n">
        <f aca="false">M51*(1+IF(N$3&lt;=$O$2,$D51,$D51-($D51-$I$49)*MIN(N$3-$O$2,$Q$2)/$Q$2))</f>
        <v>34612.9656511102</v>
      </c>
      <c r="O51" s="15" t="n">
        <f aca="false">SUMPRODUCT(E51:N51,1/(1+$F$49)^$E$3:$N$3)*$E$2</f>
        <v>91235.218313498</v>
      </c>
      <c r="P51" s="15" t="n">
        <f aca="false">N51*$E$2*(1+$I$49)/($F$49-$I$49)/(1+$F$49)^$N$3</f>
        <v>232720.468067613</v>
      </c>
      <c r="Q51" s="15" t="n">
        <f aca="false">O51+P51</f>
        <v>323955.686381111</v>
      </c>
      <c r="R51" s="15" t="n">
        <f aca="false">Q51-$G$2+$I$2</f>
        <v>322365.686381111</v>
      </c>
      <c r="S51" s="42" t="n">
        <f aca="false">R51/$K$2</f>
        <v>896.506163805304</v>
      </c>
      <c r="T51" s="43" t="n">
        <f aca="false">S51-$M$2</f>
        <v>618.48736409453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5915</v>
      </c>
      <c r="F52" s="15" t="n">
        <f aca="false">E52*(1+IF(F$3&lt;=$O$2,$D52,$D52-($D52-$I$49)*MIN(F$3-$O$2,$Q$2)/$Q$2))</f>
        <v>5175.625</v>
      </c>
      <c r="G52" s="15" t="n">
        <f aca="false">F52*(1+IF(G$3&lt;=$O$2,$D52,$D52-($D52-$I$49)*MIN(G$3-$O$2,$Q$2)/$Q$2))</f>
        <v>4528.671875</v>
      </c>
      <c r="H52" s="15" t="n">
        <f aca="false">G52*(1+IF(H$3&lt;=$O$2,$D52,$D52-($D52-$I$49)*MIN(H$3-$O$2,$Q$2)/$Q$2))</f>
        <v>3962.587890625</v>
      </c>
      <c r="I52" s="15" t="n">
        <f aca="false">H52*(1+IF(I$3&lt;=$O$2,$D52,$D52-($D52-$I$49)*MIN(I$3-$O$2,$Q$2)/$Q$2))</f>
        <v>3467.26440429688</v>
      </c>
      <c r="J52" s="15" t="n">
        <f aca="false">I52*(1+IF(J$3&lt;=$O$2,$D52,$D52-($D52-$I$49)*MIN(J$3-$O$2,$Q$2)/$Q$2))</f>
        <v>3133.22815158691</v>
      </c>
      <c r="K52" s="15" t="n">
        <f aca="false">J52*(1+IF(K$3&lt;=$O$2,$D52,$D52-($D52-$I$49)*MIN(K$3-$O$2,$Q$2)/$Q$2))</f>
        <v>2921.17127028751</v>
      </c>
      <c r="L52" s="15" t="n">
        <f aca="false">K52*(1+IF(L$3&lt;=$O$2,$D52,$D52-($D52-$I$49)*MIN(L$3-$O$2,$Q$2)/$Q$2))</f>
        <v>2807.18716732089</v>
      </c>
      <c r="M52" s="15" t="n">
        <f aca="false">L52*(1+IF(M$3&lt;=$O$2,$D52,$D52-($D52-$I$49)*MIN(M$3-$O$2,$Q$2)/$Q$2))</f>
        <v>2778.10470826745</v>
      </c>
      <c r="N52" s="15" t="n">
        <f aca="false">M52*(1+IF(N$3&lt;=$O$2,$D52,$D52-($D52-$I$49)*MIN(N$3-$O$2,$Q$2)/$Q$2))</f>
        <v>2828.94402442874</v>
      </c>
      <c r="O52" s="15" t="n">
        <f aca="false">SUMPRODUCT(E52:N52,1/(1+$F$49)^$E$3:$N$3)*$E$2</f>
        <v>17446.3276620721</v>
      </c>
      <c r="P52" s="15" t="n">
        <f aca="false">N52*$E$2*(1+$I$49)/($F$49-$I$49)/(1+$F$49)^$N$3</f>
        <v>19020.4209641602</v>
      </c>
      <c r="Q52" s="15" t="n">
        <f aca="false">O52+P52</f>
        <v>36466.7486262323</v>
      </c>
      <c r="R52" s="15" t="n">
        <f aca="false">Q52-$G$2+$I$2</f>
        <v>34876.7486262323</v>
      </c>
      <c r="S52" s="42" t="n">
        <f aca="false">R52/$K$2</f>
        <v>96.9930158135389</v>
      </c>
      <c r="T52" s="43" t="n">
        <f aca="false">S52-$M$2</f>
        <v>-181.025783897235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7182.5</v>
      </c>
      <c r="F53" s="15" t="n">
        <f aca="false">E53*(1+IF(F$3&lt;=$O$2,$D53,$D53-($D53-$I$49)*MIN(F$3-$O$2,$Q$2)/$Q$2))</f>
        <v>7631.40625</v>
      </c>
      <c r="G53" s="15" t="n">
        <f aca="false">F53*(1+IF(G$3&lt;=$O$2,$D53,$D53-($D53-$I$49)*MIN(G$3-$O$2,$Q$2)/$Q$2))</f>
        <v>8108.369140625</v>
      </c>
      <c r="H53" s="15" t="n">
        <f aca="false">G53*(1+IF(H$3&lt;=$O$2,$D53,$D53-($D53-$I$49)*MIN(H$3-$O$2,$Q$2)/$Q$2))</f>
        <v>8615.14221191406</v>
      </c>
      <c r="I53" s="15" t="n">
        <f aca="false">H53*(1+IF(I$3&lt;=$O$2,$D53,$D53-($D53-$I$49)*MIN(I$3-$O$2,$Q$2)/$Q$2))</f>
        <v>9153.58860015869</v>
      </c>
      <c r="J53" s="15" t="n">
        <f aca="false">I53*(1+IF(J$3&lt;=$O$2,$D53,$D53-($D53-$I$49)*MIN(J$3-$O$2,$Q$2)/$Q$2))</f>
        <v>9644.77016444321</v>
      </c>
      <c r="K53" s="15" t="n">
        <f aca="false">J53*(1+IF(K$3&lt;=$O$2,$D53,$D53-($D53-$I$49)*MIN(K$3-$O$2,$Q$2)/$Q$2))</f>
        <v>10077.0487632136</v>
      </c>
      <c r="L53" s="15" t="n">
        <f aca="false">K53*(1+IF(L$3&lt;=$O$2,$D53,$D53-($D53-$I$49)*MIN(L$3-$O$2,$Q$2)/$Q$2))</f>
        <v>10439.620977714</v>
      </c>
      <c r="M53" s="15" t="n">
        <f aca="false">L53*(1+IF(M$3&lt;=$O$2,$D53,$D53-($D53-$I$49)*MIN(M$3-$O$2,$Q$2)/$Q$2))</f>
        <v>10722.9522910491</v>
      </c>
      <c r="N53" s="15" t="n">
        <f aca="false">M53*(1+IF(N$3&lt;=$O$2,$D53,$D53-($D53-$I$49)*MIN(N$3-$O$2,$Q$2)/$Q$2))</f>
        <v>10919.1823179753</v>
      </c>
      <c r="O53" s="15" t="n">
        <f aca="false">SUMPRODUCT(E53:N53,1/(1+$F$49)^$E$3:$N$3)*$E$2</f>
        <v>39907.702614277</v>
      </c>
      <c r="P53" s="15" t="n">
        <f aca="false">N53*$E$2*(1+$I$49)/($F$49-$I$49)/(1+$F$49)^$N$3</f>
        <v>73415.1833613055</v>
      </c>
      <c r="Q53" s="15" t="n">
        <f aca="false">O53+P53</f>
        <v>113322.885975582</v>
      </c>
      <c r="R53" s="15" t="n">
        <f aca="false">Q53-$G$2+$I$2</f>
        <v>111732.885975582</v>
      </c>
      <c r="S53" s="42" t="n">
        <f aca="false">R53/$K$2</f>
        <v>310.731647965912</v>
      </c>
      <c r="T53" s="43" t="n">
        <f aca="false">S53-$M$2</f>
        <v>32.7128482551378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6548.75</v>
      </c>
      <c r="F54" s="15" t="n">
        <f aca="false">E54*(1+IF(F$3&lt;=$O$2,$D54,$D54-($D54-$I$49)*MIN(F$3-$O$2,$Q$2)/$Q$2))</f>
        <v>6344.1015625</v>
      </c>
      <c r="G54" s="15" t="n">
        <f aca="false">F54*(1+IF(G$3&lt;=$O$2,$D54,$D54-($D54-$I$49)*MIN(G$3-$O$2,$Q$2)/$Q$2))</f>
        <v>6145.84838867188</v>
      </c>
      <c r="H54" s="15" t="n">
        <f aca="false">G54*(1+IF(H$3&lt;=$O$2,$D54,$D54-($D54-$I$49)*MIN(H$3-$O$2,$Q$2)/$Q$2))</f>
        <v>5953.79062652588</v>
      </c>
      <c r="I54" s="15" t="n">
        <f aca="false">H54*(1+IF(I$3&lt;=$O$2,$D54,$D54-($D54-$I$49)*MIN(I$3-$O$2,$Q$2)/$Q$2))</f>
        <v>5767.73466944695</v>
      </c>
      <c r="J54" s="15" t="n">
        <f aca="false">I54*(1+IF(J$3&lt;=$O$2,$D54,$D54-($D54-$I$49)*MIN(J$3-$O$2,$Q$2)/$Q$2))</f>
        <v>5644.65121160095</v>
      </c>
      <c r="K54" s="15" t="n">
        <f aca="false">J54*(1+IF(K$3&lt;=$O$2,$D54,$D54-($D54-$I$49)*MIN(K$3-$O$2,$Q$2)/$Q$2))</f>
        <v>5580.13284825235</v>
      </c>
      <c r="L54" s="15" t="n">
        <f aca="false">K54*(1+IF(L$3&lt;=$O$2,$D54,$D54-($D54-$I$49)*MIN(L$3-$O$2,$Q$2)/$Q$2))</f>
        <v>5571.651046323</v>
      </c>
      <c r="M54" s="15" t="n">
        <f aca="false">L54*(1+IF(M$3&lt;=$O$2,$D54,$D54-($D54-$I$49)*MIN(M$3-$O$2,$Q$2)/$Q$2))</f>
        <v>5618.39719860165</v>
      </c>
      <c r="N54" s="15" t="n">
        <f aca="false">M54*(1+IF(N$3&lt;=$O$2,$D54,$D54-($D54-$I$49)*MIN(N$3-$O$2,$Q$2)/$Q$2))</f>
        <v>5721.21386733606</v>
      </c>
      <c r="O54" s="15" t="n">
        <f aca="false">SUMPRODUCT(E54:N54,1/(1+$F$49)^$E$3:$N$3)*$E$2</f>
        <v>26321.1008305613</v>
      </c>
      <c r="P54" s="15" t="n">
        <f aca="false">N54*$E$2*(1+$I$49)/($F$49-$I$49)/(1+$F$49)^$N$3</f>
        <v>38466.6134228999</v>
      </c>
      <c r="Q54" s="15" t="n">
        <f aca="false">O54+P54</f>
        <v>64787.7142534612</v>
      </c>
      <c r="R54" s="15" t="n">
        <f aca="false">Q54-$G$2+$I$2</f>
        <v>63197.7142534612</v>
      </c>
      <c r="S54" s="42" t="n">
        <f aca="false">R54/$K$2</f>
        <v>175.754252887984</v>
      </c>
      <c r="T54" s="43" t="n">
        <f aca="false">S54-$M$2</f>
        <v>-102.26454682279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6865.625</v>
      </c>
      <c r="F55" s="15" t="n">
        <f aca="false">E55*(1+IF(F$3&lt;=$O$2,$D55,$D55-($D55-$I$49)*MIN(F$3-$O$2,$Q$2)/$Q$2))</f>
        <v>6972.900390625</v>
      </c>
      <c r="G55" s="15" t="n">
        <f aca="false">F55*(1+IF(G$3&lt;=$O$2,$D55,$D55-($D55-$I$49)*MIN(G$3-$O$2,$Q$2)/$Q$2))</f>
        <v>7081.85195922852</v>
      </c>
      <c r="H55" s="15" t="n">
        <f aca="false">G55*(1+IF(H$3&lt;=$O$2,$D55,$D55-($D55-$I$49)*MIN(H$3-$O$2,$Q$2)/$Q$2))</f>
        <v>7192.50589609146</v>
      </c>
      <c r="I55" s="15" t="n">
        <f aca="false">H55*(1+IF(I$3&lt;=$O$2,$D55,$D55-($D55-$I$49)*MIN(I$3-$O$2,$Q$2)/$Q$2))</f>
        <v>7304.88880071789</v>
      </c>
      <c r="J55" s="15" t="n">
        <f aca="false">I55*(1+IF(J$3&lt;=$O$2,$D55,$D55-($D55-$I$49)*MIN(J$3-$O$2,$Q$2)/$Q$2))</f>
        <v>7422.93580373749</v>
      </c>
      <c r="K55" s="15" t="n">
        <f aca="false">J55*(1+IF(K$3&lt;=$O$2,$D55,$D55-($D55-$I$49)*MIN(K$3-$O$2,$Q$2)/$Q$2))</f>
        <v>7546.86171698089</v>
      </c>
      <c r="L55" s="15" t="n">
        <f aca="false">K55*(1+IF(L$3&lt;=$O$2,$D55,$D55-($D55-$I$49)*MIN(L$3-$O$2,$Q$2)/$Q$2))</f>
        <v>7676.89414436447</v>
      </c>
      <c r="M55" s="15" t="n">
        <f aca="false">L55*(1+IF(M$3&lt;=$O$2,$D55,$D55-($D55-$I$49)*MIN(M$3-$O$2,$Q$2)/$Q$2))</f>
        <v>7813.2741688391</v>
      </c>
      <c r="N55" s="15" t="n">
        <f aca="false">M55*(1+IF(N$3&lt;=$O$2,$D55,$D55-($D55-$I$49)*MIN(N$3-$O$2,$Q$2)/$Q$2))</f>
        <v>7956.25708612886</v>
      </c>
      <c r="O55" s="15" t="n">
        <f aca="false">SUMPRODUCT(E55:N55,1/(1+$F$49)^$E$3:$N$3)*$E$2</f>
        <v>32401.2363372388</v>
      </c>
      <c r="P55" s="15" t="n">
        <f aca="false">N55*$E$2*(1+$I$49)/($F$49-$I$49)/(1+$F$49)^$N$3</f>
        <v>53493.939000017</v>
      </c>
      <c r="Q55" s="15" t="n">
        <f aca="false">O55+P55</f>
        <v>85895.1753372557</v>
      </c>
      <c r="R55" s="15" t="n">
        <f aca="false">Q55-$G$2+$I$2</f>
        <v>84305.1753372557</v>
      </c>
      <c r="S55" s="42" t="n">
        <f aca="false">R55/$K$2</f>
        <v>234.454572938583</v>
      </c>
      <c r="T55" s="43" t="n">
        <f aca="false">S55-$M$2</f>
        <v>-43.5642267721905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0.015625</v>
      </c>
      <c r="C56" s="25" t="n">
        <f aca="false">IF(T55&gt;0,D55,C55)</f>
        <v>0.0625</v>
      </c>
      <c r="D56" s="41" t="n">
        <f aca="false">(B56+C56)/2</f>
        <v>0.0390625</v>
      </c>
      <c r="E56" s="15" t="n">
        <f aca="false">$C$2*(1+IF(E$3&lt;=$O$2,$D56,$D56-($D56-$I$49)*MIN(E$3-$O$2,$Q$2)/$Q$2))</f>
        <v>7024.0625</v>
      </c>
      <c r="F56" s="15" t="n">
        <f aca="false">E56*(1+IF(F$3&lt;=$O$2,$D56,$D56-($D56-$I$49)*MIN(F$3-$O$2,$Q$2)/$Q$2))</f>
        <v>7298.43994140625</v>
      </c>
      <c r="G56" s="15" t="n">
        <f aca="false">F56*(1+IF(G$3&lt;=$O$2,$D56,$D56-($D56-$I$49)*MIN(G$3-$O$2,$Q$2)/$Q$2))</f>
        <v>7583.53525161743</v>
      </c>
      <c r="H56" s="15" t="n">
        <f aca="false">G56*(1+IF(H$3&lt;=$O$2,$D56,$D56-($D56-$I$49)*MIN(H$3-$O$2,$Q$2)/$Q$2))</f>
        <v>7879.76709738374</v>
      </c>
      <c r="I56" s="15" t="n">
        <f aca="false">H56*(1+IF(I$3&lt;=$O$2,$D56,$D56-($D56-$I$49)*MIN(I$3-$O$2,$Q$2)/$Q$2))</f>
        <v>8187.57049962529</v>
      </c>
      <c r="J56" s="15" t="n">
        <f aca="false">I56*(1+IF(J$3&lt;=$O$2,$D56,$D56-($D56-$I$49)*MIN(J$3-$O$2,$Q$2)/$Q$2))</f>
        <v>8473.39858576721</v>
      </c>
      <c r="K56" s="15" t="n">
        <f aca="false">J56*(1+IF(K$3&lt;=$O$2,$D56,$D56-($D56-$I$49)*MIN(K$3-$O$2,$Q$2)/$Q$2))</f>
        <v>8734.01914276894</v>
      </c>
      <c r="L56" s="15" t="n">
        <f aca="false">K56*(1+IF(L$3&lt;=$O$2,$D56,$D56-($D56-$I$49)*MIN(L$3-$O$2,$Q$2)/$Q$2))</f>
        <v>8966.38772206231</v>
      </c>
      <c r="M56" s="15" t="n">
        <f aca="false">L56*(1+IF(M$3&lt;=$O$2,$D56,$D56-($D56-$I$49)*MIN(M$3-$O$2,$Q$2)/$Q$2))</f>
        <v>9167.70554239192</v>
      </c>
      <c r="N56" s="15" t="n">
        <f aca="false">M56*(1+IF(N$3&lt;=$O$2,$D56,$D56-($D56-$I$49)*MIN(N$3-$O$2,$Q$2)/$Q$2))</f>
        <v>9335.47455381769</v>
      </c>
      <c r="O56" s="15" t="n">
        <f aca="false">SUMPRODUCT(E56:N56,1/(1+$F$49)^$E$3:$N$3)*$E$2</f>
        <v>35958.179838758</v>
      </c>
      <c r="P56" s="15" t="n">
        <f aca="false">N56*$E$2*(1+$I$49)/($F$49-$I$49)/(1+$F$49)^$N$3</f>
        <v>62767.1153548803</v>
      </c>
      <c r="Q56" s="15" t="n">
        <f aca="false">O56+P56</f>
        <v>98725.2951936383</v>
      </c>
      <c r="R56" s="15" t="n">
        <f aca="false">Q56-$G$2+$I$2</f>
        <v>97135.2951936383</v>
      </c>
      <c r="S56" s="42" t="n">
        <f aca="false">R56/$K$2</f>
        <v>270.135422419596</v>
      </c>
      <c r="T56" s="43" t="n">
        <f aca="false">S56-$M$2</f>
        <v>-7.88337729117785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0.0390625</v>
      </c>
      <c r="C57" s="25" t="n">
        <f aca="false">IF(T56&gt;0,D56,C56)</f>
        <v>0.0625</v>
      </c>
      <c r="D57" s="41" t="n">
        <f aca="false">(B57+C57)/2</f>
        <v>0.05078125</v>
      </c>
      <c r="E57" s="15" t="n">
        <f aca="false">$C$2*(1+IF(E$3&lt;=$O$2,$D57,$D57-($D57-$I$49)*MIN(E$3-$O$2,$Q$2)/$Q$2))</f>
        <v>7103.28125</v>
      </c>
      <c r="F57" s="15" t="n">
        <f aca="false">E57*(1+IF(F$3&lt;=$O$2,$D57,$D57-($D57-$I$49)*MIN(F$3-$O$2,$Q$2)/$Q$2))</f>
        <v>7463.99475097656</v>
      </c>
      <c r="G57" s="15" t="n">
        <f aca="false">F57*(1+IF(G$3&lt;=$O$2,$D57,$D57-($D57-$I$49)*MIN(G$3-$O$2,$Q$2)/$Q$2))</f>
        <v>7843.02573442459</v>
      </c>
      <c r="H57" s="15" t="n">
        <f aca="false">G57*(1+IF(H$3&lt;=$O$2,$D57,$D57-($D57-$I$49)*MIN(H$3-$O$2,$Q$2)/$Q$2))</f>
        <v>8241.30438500084</v>
      </c>
      <c r="I57" s="15" t="n">
        <f aca="false">H57*(1+IF(I$3&lt;=$O$2,$D57,$D57-($D57-$I$49)*MIN(I$3-$O$2,$Q$2)/$Q$2))</f>
        <v>8659.80812330166</v>
      </c>
      <c r="J57" s="15" t="n">
        <f aca="false">I57*(1+IF(J$3&lt;=$O$2,$D57,$D57-($D57-$I$49)*MIN(J$3-$O$2,$Q$2)/$Q$2))</f>
        <v>9043.30772604208</v>
      </c>
      <c r="K57" s="15" t="n">
        <f aca="false">J57*(1+IF(K$3&lt;=$O$2,$D57,$D57-($D57-$I$49)*MIN(K$3-$O$2,$Q$2)/$Q$2))</f>
        <v>9385.04302087455</v>
      </c>
      <c r="L57" s="15" t="n">
        <f aca="false">K57*(1+IF(L$3&lt;=$O$2,$D57,$D57-($D57-$I$49)*MIN(L$3-$O$2,$Q$2)/$Q$2))</f>
        <v>9678.72447960527</v>
      </c>
      <c r="M57" s="15" t="n">
        <f aca="false">L57*(1+IF(M$3&lt;=$O$2,$D57,$D57-($D57-$I$49)*MIN(M$3-$O$2,$Q$2)/$Q$2))</f>
        <v>9918.72055148268</v>
      </c>
      <c r="N57" s="15" t="n">
        <f aca="false">M57*(1+IF(N$3&lt;=$O$2,$D57,$D57-($D57-$I$49)*MIN(N$3-$O$2,$Q$2)/$Q$2))</f>
        <v>10100.2331375748</v>
      </c>
      <c r="O57" s="15" t="n">
        <f aca="false">SUMPRODUCT(E57:N57,1/(1+$F$49)^$E$3:$N$3)*$E$2</f>
        <v>37881.4472270981</v>
      </c>
      <c r="P57" s="15" t="n">
        <f aca="false">N57*$E$2*(1+$I$49)/($F$49-$I$49)/(1+$F$49)^$N$3</f>
        <v>67908.973968344</v>
      </c>
      <c r="Q57" s="15" t="n">
        <f aca="false">O57+P57</f>
        <v>105790.421195442</v>
      </c>
      <c r="R57" s="15" t="n">
        <f aca="false">Q57-$G$2+$I$2</f>
        <v>104200.421195442</v>
      </c>
      <c r="S57" s="42" t="n">
        <f aca="false">R57/$K$2</f>
        <v>289.783695409762</v>
      </c>
      <c r="T57" s="43" t="n">
        <f aca="false">S57-$M$2</f>
        <v>11.7648956989878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0.0390625</v>
      </c>
      <c r="C58" s="25" t="n">
        <f aca="false">IF(T57&gt;0,D57,C57)</f>
        <v>0.05078125</v>
      </c>
      <c r="D58" s="41" t="n">
        <f aca="false">(B58+C58)/2</f>
        <v>0.044921875</v>
      </c>
      <c r="E58" s="15" t="n">
        <f aca="false">$C$2*(1+IF(E$3&lt;=$O$2,$D58,$D58-($D58-$I$49)*MIN(E$3-$O$2,$Q$2)/$Q$2))</f>
        <v>7063.671875</v>
      </c>
      <c r="F58" s="15" t="n">
        <f aca="false">E58*(1+IF(F$3&lt;=$O$2,$D58,$D58-($D58-$I$49)*MIN(F$3-$O$2,$Q$2)/$Q$2))</f>
        <v>7380.98526000977</v>
      </c>
      <c r="G58" s="15" t="n">
        <f aca="false">F58*(1+IF(G$3&lt;=$O$2,$D58,$D58-($D58-$I$49)*MIN(G$3-$O$2,$Q$2)/$Q$2))</f>
        <v>7712.55295723677</v>
      </c>
      <c r="H58" s="15" t="n">
        <f aca="false">G58*(1+IF(H$3&lt;=$O$2,$D58,$D58-($D58-$I$49)*MIN(H$3-$O$2,$Q$2)/$Q$2))</f>
        <v>8059.01529711264</v>
      </c>
      <c r="I58" s="15" t="n">
        <f aca="false">H58*(1+IF(I$3&lt;=$O$2,$D58,$D58-($D58-$I$49)*MIN(I$3-$O$2,$Q$2)/$Q$2))</f>
        <v>8421.04137491262</v>
      </c>
      <c r="J58" s="15" t="n">
        <f aca="false">I58*(1+IF(J$3&lt;=$O$2,$D58,$D58-($D58-$I$49)*MIN(J$3-$O$2,$Q$2)/$Q$2))</f>
        <v>8754.49356075572</v>
      </c>
      <c r="K58" s="15" t="n">
        <f aca="false">J58*(1+IF(K$3&lt;=$O$2,$D58,$D58-($D58-$I$49)*MIN(K$3-$O$2,$Q$2)/$Q$2))</f>
        <v>9054.5374128752</v>
      </c>
      <c r="L58" s="15" t="n">
        <f aca="false">K58*(1+IF(L$3&lt;=$O$2,$D58,$D58-($D58-$I$49)*MIN(L$3-$O$2,$Q$2)/$Q$2))</f>
        <v>9316.65495280617</v>
      </c>
      <c r="M58" s="15" t="n">
        <f aca="false">L58*(1+IF(M$3&lt;=$O$2,$D58,$D58-($D58-$I$49)*MIN(M$3-$O$2,$Q$2)/$Q$2))</f>
        <v>9536.75510315687</v>
      </c>
      <c r="N58" s="15" t="n">
        <f aca="false">M58*(1+IF(N$3&lt;=$O$2,$D58,$D58-($D58-$I$49)*MIN(N$3-$O$2,$Q$2)/$Q$2))</f>
        <v>9711.27772154464</v>
      </c>
      <c r="O58" s="15" t="n">
        <f aca="false">SUMPRODUCT(E58:N58,1/(1+$F$49)^$E$3:$N$3)*$E$2</f>
        <v>36907.2507554238</v>
      </c>
      <c r="P58" s="15" t="n">
        <f aca="false">N58*$E$2*(1+$I$49)/($F$49-$I$49)/(1+$F$49)^$N$3</f>
        <v>65293.8300541133</v>
      </c>
      <c r="Q58" s="15" t="n">
        <f aca="false">O58+P58</f>
        <v>102201.080809537</v>
      </c>
      <c r="R58" s="15" t="n">
        <f aca="false">Q58-$G$2+$I$2</f>
        <v>100611.080809537</v>
      </c>
      <c r="S58" s="42" t="n">
        <f aca="false">R58/$K$2</f>
        <v>279.801659740634</v>
      </c>
      <c r="T58" s="43" t="n">
        <f aca="false">S58-$M$2</f>
        <v>1.78286002986016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0.0390625</v>
      </c>
      <c r="C59" s="25" t="n">
        <f aca="false">IF(T58&gt;0,D58,C58)</f>
        <v>0.044921875</v>
      </c>
      <c r="D59" s="41" t="n">
        <f aca="false">(B59+C59)/2</f>
        <v>0.0419921875</v>
      </c>
      <c r="E59" s="15" t="n">
        <f aca="false">$C$2*(1+IF(E$3&lt;=$O$2,$D59,$D59-($D59-$I$49)*MIN(E$3-$O$2,$Q$2)/$Q$2))</f>
        <v>7043.8671875</v>
      </c>
      <c r="F59" s="15" t="n">
        <f aca="false">E59*(1+IF(F$3&lt;=$O$2,$D59,$D59-($D59-$I$49)*MIN(F$3-$O$2,$Q$2)/$Q$2))</f>
        <v>7339.6545791626</v>
      </c>
      <c r="G59" s="15" t="n">
        <f aca="false">F59*(1+IF(G$3&lt;=$O$2,$D59,$D59-($D59-$I$49)*MIN(G$3-$O$2,$Q$2)/$Q$2))</f>
        <v>7647.86273043603</v>
      </c>
      <c r="H59" s="15" t="n">
        <f aca="false">G59*(1+IF(H$3&lt;=$O$2,$D59,$D59-($D59-$I$49)*MIN(H$3-$O$2,$Q$2)/$Q$2))</f>
        <v>7969.01321618676</v>
      </c>
      <c r="I59" s="15" t="n">
        <f aca="false">H59*(1+IF(I$3&lt;=$O$2,$D59,$D59-($D59-$I$49)*MIN(I$3-$O$2,$Q$2)/$Q$2))</f>
        <v>8303.64951335085</v>
      </c>
      <c r="J59" s="15" t="n">
        <f aca="false">I59*(1+IF(J$3&lt;=$O$2,$D59,$D59-($D59-$I$49)*MIN(J$3-$O$2,$Q$2)/$Q$2))</f>
        <v>8612.99159640885</v>
      </c>
      <c r="K59" s="15" t="n">
        <f aca="false">J59*(1+IF(K$3&lt;=$O$2,$D59,$D59-($D59-$I$49)*MIN(K$3-$O$2,$Q$2)/$Q$2))</f>
        <v>8893.04570972595</v>
      </c>
      <c r="L59" s="15" t="n">
        <f aca="false">K59*(1+IF(L$3&lt;=$O$2,$D59,$D59-($D59-$I$49)*MIN(L$3-$O$2,$Q$2)/$Q$2))</f>
        <v>9140.0667287743</v>
      </c>
      <c r="M59" s="15" t="n">
        <f aca="false">L59*(1+IF(M$3&lt;=$O$2,$D59,$D59-($D59-$I$49)*MIN(M$3-$O$2,$Q$2)/$Q$2))</f>
        <v>9350.63958485099</v>
      </c>
      <c r="N59" s="15" t="n">
        <f aca="false">M59*(1+IF(N$3&lt;=$O$2,$D59,$D59-($D59-$I$49)*MIN(N$3-$O$2,$Q$2)/$Q$2))</f>
        <v>9521.75628925376</v>
      </c>
      <c r="O59" s="15" t="n">
        <f aca="false">SUMPRODUCT(E59:N59,1/(1+$F$49)^$E$3:$N$3)*$E$2</f>
        <v>36429.6127299237</v>
      </c>
      <c r="P59" s="15" t="n">
        <f aca="false">N59*$E$2*(1+$I$49)/($F$49-$I$49)/(1+$F$49)^$N$3</f>
        <v>64019.581644539</v>
      </c>
      <c r="Q59" s="15" t="n">
        <f aca="false">O59+P59</f>
        <v>100449.194374463</v>
      </c>
      <c r="R59" s="15" t="n">
        <f aca="false">Q59-$G$2+$I$2</f>
        <v>98859.1943744627</v>
      </c>
      <c r="S59" s="42" t="n">
        <f aca="false">R59/$K$2</f>
        <v>274.929624490969</v>
      </c>
      <c r="T59" s="43" t="n">
        <f aca="false">S59-$M$2</f>
        <v>-3.08917521980447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0.0419921875</v>
      </c>
      <c r="C60" s="25" t="n">
        <f aca="false">IF(T59&gt;0,D59,C59)</f>
        <v>0.044921875</v>
      </c>
      <c r="D60" s="41" t="n">
        <f aca="false">(B60+C60)/2</f>
        <v>0.04345703125</v>
      </c>
      <c r="E60" s="15" t="n">
        <f aca="false">$C$2*(1+IF(E$3&lt;=$O$2,$D60,$D60-($D60-$I$49)*MIN(E$3-$O$2,$Q$2)/$Q$2))</f>
        <v>7053.76953125</v>
      </c>
      <c r="F60" s="15" t="n">
        <f aca="false">E60*(1+IF(F$3&lt;=$O$2,$D60,$D60-($D60-$I$49)*MIN(F$3-$O$2,$Q$2)/$Q$2))</f>
        <v>7360.30541419983</v>
      </c>
      <c r="G60" s="15" t="n">
        <f aca="false">F60*(1+IF(G$3&lt;=$O$2,$D60,$D60-($D60-$I$49)*MIN(G$3-$O$2,$Q$2)/$Q$2))</f>
        <v>7680.16243659426</v>
      </c>
      <c r="H60" s="15" t="n">
        <f aca="false">G60*(1+IF(H$3&lt;=$O$2,$D60,$D60-($D60-$I$49)*MIN(H$3-$O$2,$Q$2)/$Q$2))</f>
        <v>8013.91949560641</v>
      </c>
      <c r="I60" s="15" t="n">
        <f aca="false">H60*(1+IF(I$3&lt;=$O$2,$D60,$D60-($D60-$I$49)*MIN(I$3-$O$2,$Q$2)/$Q$2))</f>
        <v>8362.18064556196</v>
      </c>
      <c r="J60" s="15" t="n">
        <f aca="false">I60*(1+IF(J$3&lt;=$O$2,$D60,$D60-($D60-$I$49)*MIN(J$3-$O$2,$Q$2)/$Q$2))</f>
        <v>8683.50266323058</v>
      </c>
      <c r="K60" s="15" t="n">
        <f aca="false">J60*(1+IF(K$3&lt;=$O$2,$D60,$D60-($D60-$I$49)*MIN(K$3-$O$2,$Q$2)/$Q$2))</f>
        <v>8973.48145068271</v>
      </c>
      <c r="L60" s="15" t="n">
        <f aca="false">K60*(1+IF(L$3&lt;=$O$2,$D60,$D60-($D60-$I$49)*MIN(L$3-$O$2,$Q$2)/$Q$2))</f>
        <v>9227.99462254065</v>
      </c>
      <c r="M60" s="15" t="n">
        <f aca="false">L60*(1+IF(M$3&lt;=$O$2,$D60,$D60-($D60-$I$49)*MIN(M$3-$O$2,$Q$2)/$Q$2))</f>
        <v>9443.29671395196</v>
      </c>
      <c r="N60" s="15" t="n">
        <f aca="false">M60*(1+IF(N$3&lt;=$O$2,$D60,$D60-($D60-$I$49)*MIN(N$3-$O$2,$Q$2)/$Q$2))</f>
        <v>9616.10904381728</v>
      </c>
      <c r="O60" s="15" t="n">
        <f aca="false">SUMPRODUCT(E60:N60,1/(1+$F$49)^$E$3:$N$3)*$E$2</f>
        <v>36667.6513664558</v>
      </c>
      <c r="P60" s="15" t="n">
        <f aca="false">N60*$E$2*(1+$I$49)/($F$49-$I$49)/(1+$F$49)^$N$3</f>
        <v>64653.9629173493</v>
      </c>
      <c r="Q60" s="15" t="n">
        <f aca="false">O60+P60</f>
        <v>101321.614283805</v>
      </c>
      <c r="R60" s="15" t="n">
        <f aca="false">Q60-$G$2+$I$2</f>
        <v>99731.6142838051</v>
      </c>
      <c r="S60" s="42" t="n">
        <f aca="false">R60/$K$2</f>
        <v>277.355843717129</v>
      </c>
      <c r="T60" s="43" t="n">
        <f aca="false">S60-$M$2</f>
        <v>-0.662955993645085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0.04345703125</v>
      </c>
      <c r="C61" s="25" t="n">
        <f aca="false">IF(T60&gt;0,D60,C60)</f>
        <v>0.044921875</v>
      </c>
      <c r="D61" s="41" t="n">
        <f aca="false">(B61+C61)/2</f>
        <v>0.044189453125</v>
      </c>
      <c r="E61" s="15" t="n">
        <f aca="false">$C$2*(1+IF(E$3&lt;=$O$2,$D61,$D61-($D61-$I$49)*MIN(E$3-$O$2,$Q$2)/$Q$2))</f>
        <v>7058.720703125</v>
      </c>
      <c r="F61" s="15" t="n">
        <f aca="false">E61*(1+IF(F$3&lt;=$O$2,$D61,$D61-($D61-$I$49)*MIN(F$3-$O$2,$Q$2)/$Q$2))</f>
        <v>7370.64171075821</v>
      </c>
      <c r="G61" s="15" t="n">
        <f aca="false">F61*(1+IF(G$3&lt;=$O$2,$D61,$D61-($D61-$I$49)*MIN(G$3-$O$2,$Q$2)/$Q$2))</f>
        <v>7696.34633713693</v>
      </c>
      <c r="H61" s="15" t="n">
        <f aca="false">G61*(1+IF(H$3&lt;=$O$2,$D61,$D61-($D61-$I$49)*MIN(H$3-$O$2,$Q$2)/$Q$2))</f>
        <v>8036.44367283561</v>
      </c>
      <c r="I61" s="15" t="n">
        <f aca="false">H61*(1+IF(I$3&lt;=$O$2,$D61,$D61-($D61-$I$49)*MIN(I$3-$O$2,$Q$2)/$Q$2))</f>
        <v>8391.56972380808</v>
      </c>
      <c r="J61" s="15" t="n">
        <f aca="false">I61*(1+IF(J$3&lt;=$O$2,$D61,$D61-($D61-$I$49)*MIN(J$3-$O$2,$Q$2)/$Q$2))</f>
        <v>8718.93797056153</v>
      </c>
      <c r="K61" s="15" t="n">
        <f aca="false">J61*(1+IF(K$3&lt;=$O$2,$D61,$D61-($D61-$I$49)*MIN(K$3-$O$2,$Q$2)/$Q$2))</f>
        <v>9013.93165695599</v>
      </c>
      <c r="L61" s="15" t="n">
        <f aca="false">K61*(1+IF(L$3&lt;=$O$2,$D61,$D61-($D61-$I$49)*MIN(L$3-$O$2,$Q$2)/$Q$2))</f>
        <v>9272.23291072017</v>
      </c>
      <c r="M61" s="15" t="n">
        <f aca="false">L61*(1+IF(M$3&lt;=$O$2,$D61,$D61-($D61-$I$49)*MIN(M$3-$O$2,$Q$2)/$Q$2))</f>
        <v>9489.92538084758</v>
      </c>
      <c r="N61" s="15" t="n">
        <f aca="false">M61*(1+IF(N$3&lt;=$O$2,$D61,$D61-($D61-$I$49)*MIN(N$3-$O$2,$Q$2)/$Q$2))</f>
        <v>9663.59101531709</v>
      </c>
      <c r="O61" s="15" t="n">
        <f aca="false">SUMPRODUCT(E61:N61,1/(1+$F$49)^$E$3:$N$3)*$E$2</f>
        <v>36787.2553723388</v>
      </c>
      <c r="P61" s="15" t="n">
        <f aca="false">N61*$E$2*(1+$I$49)/($F$49-$I$49)/(1+$F$49)^$N$3</f>
        <v>64973.208218188</v>
      </c>
      <c r="Q61" s="15" t="n">
        <f aca="false">O61+P61</f>
        <v>101760.463590527</v>
      </c>
      <c r="R61" s="15" t="n">
        <f aca="false">Q61-$G$2+$I$2</f>
        <v>100170.463590527</v>
      </c>
      <c r="S61" s="42" t="n">
        <f aca="false">R61/$K$2</f>
        <v>278.576293427128</v>
      </c>
      <c r="T61" s="43" t="n">
        <f aca="false">S61-$M$2</f>
        <v>0.557493716354657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0.04345703125</v>
      </c>
      <c r="C62" s="25" t="n">
        <f aca="false">IF(T61&gt;0,D61,C61)</f>
        <v>0.044189453125</v>
      </c>
      <c r="D62" s="41" t="n">
        <f aca="false">(B62+C62)/2</f>
        <v>0.0438232421875</v>
      </c>
      <c r="E62" s="15" t="n">
        <f aca="false">$C$2*(1+IF(E$3&lt;=$O$2,$D62,$D62-($D62-$I$49)*MIN(E$3-$O$2,$Q$2)/$Q$2))</f>
        <v>7056.2451171875</v>
      </c>
      <c r="F62" s="15" t="n">
        <f aca="false">E62*(1+IF(F$3&lt;=$O$2,$D62,$D62-($D62-$I$49)*MIN(F$3-$O$2,$Q$2)/$Q$2))</f>
        <v>7365.47265589237</v>
      </c>
      <c r="G62" s="15" t="n">
        <f aca="false">F62*(1+IF(G$3&lt;=$O$2,$D62,$D62-($D62-$I$49)*MIN(G$3-$O$2,$Q$2)/$Q$2))</f>
        <v>7688.25154791695</v>
      </c>
      <c r="H62" s="15" t="n">
        <f aca="false">G62*(1+IF(H$3&lt;=$O$2,$D62,$D62-($D62-$I$49)*MIN(H$3-$O$2,$Q$2)/$Q$2))</f>
        <v>8025.17565749974</v>
      </c>
      <c r="I62" s="15" t="n">
        <f aca="false">H62*(1+IF(I$3&lt;=$O$2,$D62,$D62-($D62-$I$49)*MIN(I$3-$O$2,$Q$2)/$Q$2))</f>
        <v>8376.86487393558</v>
      </c>
      <c r="J62" s="15" t="n">
        <f aca="false">I62*(1+IF(J$3&lt;=$O$2,$D62,$D62-($D62-$I$49)*MIN(J$3-$O$2,$Q$2)/$Q$2))</f>
        <v>8701.20530188814</v>
      </c>
      <c r="K62" s="15" t="n">
        <f aca="false">J62*(1+IF(K$3&lt;=$O$2,$D62,$D62-($D62-$I$49)*MIN(K$3-$O$2,$Q$2)/$Q$2))</f>
        <v>8993.68714105864</v>
      </c>
      <c r="L62" s="15" t="n">
        <f aca="false">K62*(1+IF(L$3&lt;=$O$2,$D62,$D62-($D62-$I$49)*MIN(L$3-$O$2,$Q$2)/$Q$2))</f>
        <v>9250.09083776395</v>
      </c>
      <c r="M62" s="15" t="n">
        <f aca="false">L62*(1+IF(M$3&lt;=$O$2,$D62,$D62-($D62-$I$49)*MIN(M$3-$O$2,$Q$2)/$Q$2))</f>
        <v>9466.58596183675</v>
      </c>
      <c r="N62" s="15" t="n">
        <f aca="false">M62*(1+IF(N$3&lt;=$O$2,$D62,$D62-($D62-$I$49)*MIN(N$3-$O$2,$Q$2)/$Q$2))</f>
        <v>9639.82448493837</v>
      </c>
      <c r="O62" s="15" t="n">
        <f aca="false">SUMPRODUCT(E62:N62,1/(1+$F$49)^$E$3:$N$3)*$E$2</f>
        <v>36727.4045216882</v>
      </c>
      <c r="P62" s="15" t="n">
        <f aca="false">N62*$E$2*(1+$I$49)/($F$49-$I$49)/(1+$F$49)^$N$3</f>
        <v>64813.413818314</v>
      </c>
      <c r="Q62" s="15" t="n">
        <f aca="false">O62+P62</f>
        <v>101540.818340002</v>
      </c>
      <c r="R62" s="15" t="n">
        <f aca="false">Q62-$G$2+$I$2</f>
        <v>99950.8183400022</v>
      </c>
      <c r="S62" s="42" t="n">
        <f aca="false">R62/$K$2</f>
        <v>277.965455086496</v>
      </c>
      <c r="T62" s="43" t="n">
        <f aca="false">S62-$M$2</f>
        <v>-0.0533446242778837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0.0438232421875</v>
      </c>
      <c r="C63" s="25" t="n">
        <f aca="false">IF(T62&gt;0,D62,C62)</f>
        <v>0.044189453125</v>
      </c>
      <c r="D63" s="41" t="n">
        <f aca="false">(B63+C63)/2</f>
        <v>0.04400634765625</v>
      </c>
      <c r="E63" s="15" t="n">
        <f aca="false">$C$2*(1+IF(E$3&lt;=$O$2,$D63,$D63-($D63-$I$49)*MIN(E$3-$O$2,$Q$2)/$Q$2))</f>
        <v>7057.48291015625</v>
      </c>
      <c r="F63" s="15" t="n">
        <f aca="false">E63*(1+IF(F$3&lt;=$O$2,$D63,$D63-($D63-$I$49)*MIN(F$3-$O$2,$Q$2)/$Q$2))</f>
        <v>7368.05695667863</v>
      </c>
      <c r="G63" s="15" t="n">
        <f aca="false">F63*(1+IF(G$3&lt;=$O$2,$D63,$D63-($D63-$I$49)*MIN(G$3-$O$2,$Q$2)/$Q$2))</f>
        <v>7692.29823266528</v>
      </c>
      <c r="H63" s="15" t="n">
        <f aca="false">G63*(1+IF(H$3&lt;=$O$2,$D63,$D63-($D63-$I$49)*MIN(H$3-$O$2,$Q$2)/$Q$2))</f>
        <v>8030.80818296751</v>
      </c>
      <c r="I63" s="15" t="n">
        <f aca="false">H63*(1+IF(I$3&lt;=$O$2,$D63,$D63-($D63-$I$49)*MIN(I$3-$O$2,$Q$2)/$Q$2))</f>
        <v>8384.21471982783</v>
      </c>
      <c r="J63" s="15" t="n">
        <f aca="false">I63*(1+IF(J$3&lt;=$O$2,$D63,$D63-($D63-$I$49)*MIN(J$3-$O$2,$Q$2)/$Q$2))</f>
        <v>8710.06787993071</v>
      </c>
      <c r="K63" s="15" t="n">
        <f aca="false">J63*(1+IF(K$3&lt;=$O$2,$D63,$D63-($D63-$I$49)*MIN(K$3-$O$2,$Q$2)/$Q$2))</f>
        <v>9003.80454195207</v>
      </c>
      <c r="L63" s="15" t="n">
        <f aca="false">K63*(1+IF(L$3&lt;=$O$2,$D63,$D63-($D63-$I$49)*MIN(L$3-$O$2,$Q$2)/$Q$2))</f>
        <v>9261.15613698353</v>
      </c>
      <c r="M63" s="15" t="n">
        <f aca="false">L63*(1+IF(M$3&lt;=$O$2,$D63,$D63-($D63-$I$49)*MIN(M$3-$O$2,$Q$2)/$Q$2))</f>
        <v>9478.24939416155</v>
      </c>
      <c r="N63" s="15" t="n">
        <f aca="false">M63*(1+IF(N$3&lt;=$O$2,$D63,$D63-($D63-$I$49)*MIN(N$3-$O$2,$Q$2)/$Q$2))</f>
        <v>9651.7013580747</v>
      </c>
      <c r="O63" s="15" t="n">
        <f aca="false">SUMPRODUCT(E63:N63,1/(1+$F$49)^$E$3:$N$3)*$E$2</f>
        <v>36757.3177257887</v>
      </c>
      <c r="P63" s="15" t="n">
        <f aca="false">N63*$E$2*(1+$I$49)/($F$49-$I$49)/(1+$F$49)^$N$3</f>
        <v>64893.2680412468</v>
      </c>
      <c r="Q63" s="15" t="n">
        <f aca="false">O63+P63</f>
        <v>101650.585767035</v>
      </c>
      <c r="R63" s="15" t="n">
        <f aca="false">Q63-$G$2+$I$2</f>
        <v>100060.585767035</v>
      </c>
      <c r="S63" s="42" t="n">
        <f aca="false">R63/$K$2</f>
        <v>278.270720749306</v>
      </c>
      <c r="T63" s="43" t="n">
        <f aca="false">S63-$M$2</f>
        <v>0.25192103853243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0.0438232421875</v>
      </c>
      <c r="C64" s="25" t="n">
        <f aca="false">IF(T63&gt;0,D63,C63)</f>
        <v>0.04400634765625</v>
      </c>
      <c r="D64" s="41" t="n">
        <f aca="false">(B64+C64)/2</f>
        <v>0.043914794921875</v>
      </c>
      <c r="E64" s="15" t="n">
        <f aca="false">$C$2*(1+IF(E$3&lt;=$O$2,$D64,$D64-($D64-$I$49)*MIN(E$3-$O$2,$Q$2)/$Q$2))</f>
        <v>7056.86401367188</v>
      </c>
      <c r="F64" s="15" t="n">
        <f aca="false">E64*(1+IF(F$3&lt;=$O$2,$D64,$D64-($D64-$I$49)*MIN(F$3-$O$2,$Q$2)/$Q$2))</f>
        <v>7366.76474962384</v>
      </c>
      <c r="G64" s="15" t="n">
        <f aca="false">F64*(1+IF(G$3&lt;=$O$2,$D64,$D64-($D64-$I$49)*MIN(G$3-$O$2,$Q$2)/$Q$2))</f>
        <v>7690.27471284126</v>
      </c>
      <c r="H64" s="15" t="n">
        <f aca="false">G64*(1+IF(H$3&lt;=$O$2,$D64,$D64-($D64-$I$49)*MIN(H$3-$O$2,$Q$2)/$Q$2))</f>
        <v>8027.99154974857</v>
      </c>
      <c r="I64" s="15" t="n">
        <f aca="false">H64*(1+IF(I$3&lt;=$O$2,$D64,$D64-($D64-$I$49)*MIN(I$3-$O$2,$Q$2)/$Q$2))</f>
        <v>8380.53915229032</v>
      </c>
      <c r="J64" s="15" t="n">
        <f aca="false">I64*(1+IF(J$3&lt;=$O$2,$D64,$D64-($D64-$I$49)*MIN(J$3-$O$2,$Q$2)/$Q$2))</f>
        <v>8705.63565215376</v>
      </c>
      <c r="K64" s="15" t="n">
        <f aca="false">J64*(1+IF(K$3&lt;=$O$2,$D64,$D64-($D64-$I$49)*MIN(K$3-$O$2,$Q$2)/$Q$2))</f>
        <v>8998.74462772487</v>
      </c>
      <c r="L64" s="15" t="n">
        <f aca="false">K64*(1+IF(L$3&lt;=$O$2,$D64,$D64-($D64-$I$49)*MIN(L$3-$O$2,$Q$2)/$Q$2))</f>
        <v>9255.62205368963</v>
      </c>
      <c r="M64" s="15" t="n">
        <f aca="false">L64*(1+IF(M$3&lt;=$O$2,$D64,$D64-($D64-$I$49)*MIN(M$3-$O$2,$Q$2)/$Q$2))</f>
        <v>9472.41610942808</v>
      </c>
      <c r="N64" s="15" t="n">
        <f aca="false">M64*(1+IF(N$3&lt;=$O$2,$D64,$D64-($D64-$I$49)*MIN(N$3-$O$2,$Q$2)/$Q$2))</f>
        <v>9645.76132423061</v>
      </c>
      <c r="O64" s="15" t="n">
        <f aca="false">SUMPRODUCT(E64:N64,1/(1+$F$49)^$E$3:$N$3)*$E$2</f>
        <v>36742.3580695949</v>
      </c>
      <c r="P64" s="15" t="n">
        <f aca="false">N64*$E$2*(1+$I$49)/($F$49-$I$49)/(1+$F$49)^$N$3</f>
        <v>64853.3301904868</v>
      </c>
      <c r="Q64" s="15" t="n">
        <f aca="false">O64+P64</f>
        <v>101595.688260082</v>
      </c>
      <c r="R64" s="15" t="n">
        <f aca="false">Q64-$G$2+$I$2</f>
        <v>100005.688260082</v>
      </c>
      <c r="S64" s="42" t="n">
        <f aca="false">R64/$K$2</f>
        <v>278.118049558045</v>
      </c>
      <c r="T64" s="43" t="n">
        <f aca="false">S64-$M$2</f>
        <v>0.0992498472710395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0.0438232421875</v>
      </c>
      <c r="C65" s="25" t="n">
        <f aca="false">IF(T64&gt;0,D64,C64)</f>
        <v>0.043914794921875</v>
      </c>
      <c r="D65" s="41" t="n">
        <f aca="false">(B65+C65)/2</f>
        <v>0.0438690185546875</v>
      </c>
      <c r="E65" s="15" t="n">
        <f aca="false">$C$2*(1+IF(E$3&lt;=$O$2,$D65,$D65-($D65-$I$49)*MIN(E$3-$O$2,$Q$2)/$Q$2))</f>
        <v>7056.55456542969</v>
      </c>
      <c r="F65" s="15" t="n">
        <f aca="false">E65*(1+IF(F$3&lt;=$O$2,$D65,$D65-($D65-$I$49)*MIN(F$3-$O$2,$Q$2)/$Q$2))</f>
        <v>7366.11868859269</v>
      </c>
      <c r="G65" s="15" t="n">
        <f aca="false">F65*(1+IF(G$3&lt;=$O$2,$D65,$D65-($D65-$I$49)*MIN(G$3-$O$2,$Q$2)/$Q$2))</f>
        <v>7689.26308601859</v>
      </c>
      <c r="H65" s="15" t="n">
        <f aca="false">G65*(1+IF(H$3&lt;=$O$2,$D65,$D65-($D65-$I$49)*MIN(H$3-$O$2,$Q$2)/$Q$2))</f>
        <v>8026.58351101101</v>
      </c>
      <c r="I65" s="15" t="n">
        <f aca="false">H65*(1+IF(I$3&lt;=$O$2,$D65,$D65-($D65-$I$49)*MIN(I$3-$O$2,$Q$2)/$Q$2))</f>
        <v>8378.7018519863</v>
      </c>
      <c r="J65" s="15" t="n">
        <f aca="false">I65*(1+IF(J$3&lt;=$O$2,$D65,$D65-($D65-$I$49)*MIN(J$3-$O$2,$Q$2)/$Q$2))</f>
        <v>8703.42024237176</v>
      </c>
      <c r="K65" s="15" t="n">
        <f aca="false">J65*(1+IF(K$3&lt;=$O$2,$D65,$D65-($D65-$I$49)*MIN(K$3-$O$2,$Q$2)/$Q$2))</f>
        <v>8996.21558100703</v>
      </c>
      <c r="L65" s="15" t="n">
        <f aca="false">K65*(1+IF(L$3&lt;=$O$2,$D65,$D65-($D65-$I$49)*MIN(L$3-$O$2,$Q$2)/$Q$2))</f>
        <v>9252.85608738455</v>
      </c>
      <c r="M65" s="15" t="n">
        <f aca="false">L65*(1+IF(M$3&lt;=$O$2,$D65,$D65-($D65-$I$49)*MIN(M$3-$O$2,$Q$2)/$Q$2))</f>
        <v>9469.50064358013</v>
      </c>
      <c r="N65" s="15" t="n">
        <f aca="false">M65*(1+IF(N$3&lt;=$O$2,$D65,$D65-($D65-$I$49)*MIN(N$3-$O$2,$Q$2)/$Q$2))</f>
        <v>9642.79250535764</v>
      </c>
      <c r="O65" s="15" t="n">
        <f aca="false">SUMPRODUCT(E65:N65,1/(1+$F$49)^$E$3:$N$3)*$E$2</f>
        <v>36734.8805322509</v>
      </c>
      <c r="P65" s="15" t="n">
        <f aca="false">N65*$E$2*(1+$I$49)/($F$49-$I$49)/(1+$F$49)^$N$3</f>
        <v>64833.3693201965</v>
      </c>
      <c r="Q65" s="15" t="n">
        <f aca="false">O65+P65</f>
        <v>101568.249852447</v>
      </c>
      <c r="R65" s="15" t="n">
        <f aca="false">Q65-$G$2+$I$2</f>
        <v>99978.2498524474</v>
      </c>
      <c r="S65" s="42" t="n">
        <f aca="false">R65/$K$2</f>
        <v>278.041742734433</v>
      </c>
      <c r="T65" s="43" t="n">
        <f aca="false">S65-$M$2</f>
        <v>0.0229430236592521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0.0438232421875</v>
      </c>
      <c r="C66" s="25" t="n">
        <f aca="false">IF(T65&gt;0,D65,C65)</f>
        <v>0.0438690185546875</v>
      </c>
      <c r="D66" s="41" t="n">
        <f aca="false">(B66+C66)/2</f>
        <v>0.0438461303710938</v>
      </c>
      <c r="E66" s="15" t="n">
        <f aca="false">$C$2*(1+IF(E$3&lt;=$O$2,$D66,$D66-($D66-$I$49)*MIN(E$3-$O$2,$Q$2)/$Q$2))</f>
        <v>7056.39984130859</v>
      </c>
      <c r="F66" s="15" t="n">
        <f aca="false">E66*(1+IF(F$3&lt;=$O$2,$D66,$D66-($D66-$I$49)*MIN(F$3-$O$2,$Q$2)/$Q$2))</f>
        <v>7365.79566870118</v>
      </c>
      <c r="G66" s="15" t="n">
        <f aca="false">F66*(1+IF(G$3&lt;=$O$2,$D66,$D66-($D66-$I$49)*MIN(G$3-$O$2,$Q$2)/$Q$2))</f>
        <v>7688.75730587789</v>
      </c>
      <c r="H66" s="15" t="n">
        <f aca="false">G66*(1+IF(H$3&lt;=$O$2,$D66,$D66-($D66-$I$49)*MIN(H$3-$O$2,$Q$2)/$Q$2))</f>
        <v>8025.87956110311</v>
      </c>
      <c r="I66" s="15" t="n">
        <f aca="false">H66*(1+IF(I$3&lt;=$O$2,$D66,$D66-($D66-$I$49)*MIN(I$3-$O$2,$Q$2)/$Q$2))</f>
        <v>8377.78332268193</v>
      </c>
      <c r="J66" s="15" t="n">
        <f aca="false">I66*(1+IF(J$3&lt;=$O$2,$D66,$D66-($D66-$I$49)*MIN(J$3-$O$2,$Q$2)/$Q$2))</f>
        <v>8702.31271347262</v>
      </c>
      <c r="K66" s="15" t="n">
        <f aca="false">J66*(1+IF(K$3&lt;=$O$2,$D66,$D66-($D66-$I$49)*MIN(K$3-$O$2,$Q$2)/$Q$2))</f>
        <v>8994.9512851942</v>
      </c>
      <c r="L66" s="15" t="n">
        <f aca="false">K66*(1+IF(L$3&lt;=$O$2,$D66,$D66-($D66-$I$49)*MIN(L$3-$O$2,$Q$2)/$Q$2))</f>
        <v>9251.47337299854</v>
      </c>
      <c r="M66" s="15" t="n">
        <f aca="false">L66*(1+IF(M$3&lt;=$O$2,$D66,$D66-($D66-$I$49)*MIN(M$3-$O$2,$Q$2)/$Q$2))</f>
        <v>9468.04320470668</v>
      </c>
      <c r="N66" s="15" t="n">
        <f aca="false">M66*(1+IF(N$3&lt;=$O$2,$D66,$D66-($D66-$I$49)*MIN(N$3-$O$2,$Q$2)/$Q$2))</f>
        <v>9641.30839535281</v>
      </c>
      <c r="O66" s="15" t="n">
        <f aca="false">SUMPRODUCT(E66:N66,1/(1+$F$49)^$E$3:$N$3)*$E$2</f>
        <v>36731.1423361401</v>
      </c>
      <c r="P66" s="15" t="n">
        <f aca="false">N66*$E$2*(1+$I$49)/($F$49-$I$49)/(1+$F$49)^$N$3</f>
        <v>64823.3908982817</v>
      </c>
      <c r="Q66" s="15" t="n">
        <f aca="false">O66+P66</f>
        <v>101554.533234422</v>
      </c>
      <c r="R66" s="15" t="n">
        <f aca="false">Q66-$G$2+$I$2</f>
        <v>99964.5332344217</v>
      </c>
      <c r="S66" s="42" t="n">
        <f aca="false">R66/$K$2</f>
        <v>278.003596513771</v>
      </c>
      <c r="T66" s="43" t="n">
        <f aca="false">S66-$M$2</f>
        <v>-0.0152031970027906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0.0438461303710938</v>
      </c>
      <c r="C67" s="25" t="n">
        <f aca="false">IF(T66&gt;0,D66,C66)</f>
        <v>0.0438690185546875</v>
      </c>
      <c r="D67" s="41" t="n">
        <f aca="false">(B67+C67)/2</f>
        <v>0.0438575744628906</v>
      </c>
      <c r="E67" s="15" t="n">
        <f aca="false">$C$2*(1+IF(E$3&lt;=$O$2,$D67,$D67-($D67-$I$49)*MIN(E$3-$O$2,$Q$2)/$Q$2))</f>
        <v>7056.47720336914</v>
      </c>
      <c r="F67" s="15" t="n">
        <f aca="false">E67*(1+IF(F$3&lt;=$O$2,$D67,$D67-($D67-$I$49)*MIN(F$3-$O$2,$Q$2)/$Q$2))</f>
        <v>7365.95717776159</v>
      </c>
      <c r="G67" s="15" t="n">
        <f aca="false">F67*(1+IF(G$3&lt;=$O$2,$D67,$D67-($D67-$I$49)*MIN(G$3-$O$2,$Q$2)/$Q$2))</f>
        <v>7689.01019317574</v>
      </c>
      <c r="H67" s="15" t="n">
        <f aca="false">G67*(1+IF(H$3&lt;=$O$2,$D67,$D67-($D67-$I$49)*MIN(H$3-$O$2,$Q$2)/$Q$2))</f>
        <v>8026.23153026887</v>
      </c>
      <c r="I67" s="15" t="n">
        <f aca="false">H67*(1+IF(I$3&lt;=$O$2,$D67,$D67-($D67-$I$49)*MIN(I$3-$O$2,$Q$2)/$Q$2))</f>
        <v>8378.24257726403</v>
      </c>
      <c r="J67" s="15" t="n">
        <f aca="false">I67*(1+IF(J$3&lt;=$O$2,$D67,$D67-($D67-$I$49)*MIN(J$3-$O$2,$Q$2)/$Q$2))</f>
        <v>8702.86646325723</v>
      </c>
      <c r="K67" s="15" t="n">
        <f aca="false">J67*(1+IF(K$3&lt;=$O$2,$D67,$D67-($D67-$I$49)*MIN(K$3-$O$2,$Q$2)/$Q$2))</f>
        <v>8995.58341414001</v>
      </c>
      <c r="L67" s="15" t="n">
        <f aca="false">K67*(1+IF(L$3&lt;=$O$2,$D67,$D67-($D67-$I$49)*MIN(L$3-$O$2,$Q$2)/$Q$2))</f>
        <v>9252.16470779639</v>
      </c>
      <c r="M67" s="15" t="n">
        <f aca="false">L67*(1+IF(M$3&lt;=$O$2,$D67,$D67-($D67-$I$49)*MIN(M$3-$O$2,$Q$2)/$Q$2))</f>
        <v>9468.77189964155</v>
      </c>
      <c r="N67" s="15" t="n">
        <f aca="false">M67*(1+IF(N$3&lt;=$O$2,$D67,$D67-($D67-$I$49)*MIN(N$3-$O$2,$Q$2)/$Q$2))</f>
        <v>9642.05042540499</v>
      </c>
      <c r="O67" s="15" t="n">
        <f aca="false">SUMPRODUCT(E67:N67,1/(1+$F$49)^$E$3:$N$3)*$E$2</f>
        <v>36733.0113864859</v>
      </c>
      <c r="P67" s="15" t="n">
        <f aca="false">N67*$E$2*(1+$I$49)/($F$49-$I$49)/(1+$F$49)^$N$3</f>
        <v>64828.379941486</v>
      </c>
      <c r="Q67" s="15" t="n">
        <f aca="false">O67+P67</f>
        <v>101561.391327972</v>
      </c>
      <c r="R67" s="15" t="n">
        <f aca="false">Q67-$G$2+$I$2</f>
        <v>99971.3913279719</v>
      </c>
      <c r="S67" s="42" t="n">
        <f aca="false">R67/$K$2</f>
        <v>278.022669024895</v>
      </c>
      <c r="T67" s="43" t="n">
        <f aca="false">S67-$M$2</f>
        <v>0.00386931412162994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0.0438461303710938</v>
      </c>
      <c r="C68" s="25" t="n">
        <f aca="false">IF(T67&gt;0,D67,C67)</f>
        <v>0.0438575744628906</v>
      </c>
      <c r="D68" s="41" t="n">
        <f aca="false">(B68+C68)/2</f>
        <v>0.0438518524169922</v>
      </c>
      <c r="E68" s="15" t="n">
        <f aca="false">$C$2*(1+IF(E$3&lt;=$O$2,$D68,$D68-($D68-$I$49)*MIN(E$3-$O$2,$Q$2)/$Q$2))</f>
        <v>7056.43852233887</v>
      </c>
      <c r="F68" s="15" t="n">
        <f aca="false">E68*(1+IF(F$3&lt;=$O$2,$D68,$D68-($D68-$I$49)*MIN(F$3-$O$2,$Q$2)/$Q$2))</f>
        <v>7365.87642301005</v>
      </c>
      <c r="G68" s="15" t="n">
        <f aca="false">F68*(1+IF(G$3&lt;=$O$2,$D68,$D68-($D68-$I$49)*MIN(G$3-$O$2,$Q$2)/$Q$2))</f>
        <v>7688.88374883369</v>
      </c>
      <c r="H68" s="15" t="n">
        <f aca="false">G68*(1+IF(H$3&lt;=$O$2,$D68,$D68-($D68-$I$49)*MIN(H$3-$O$2,$Q$2)/$Q$2))</f>
        <v>8026.05554423895</v>
      </c>
      <c r="I68" s="15" t="n">
        <f aca="false">H68*(1+IF(I$3&lt;=$O$2,$D68,$D68-($D68-$I$49)*MIN(I$3-$O$2,$Q$2)/$Q$2))</f>
        <v>8378.0129474555</v>
      </c>
      <c r="J68" s="15" t="n">
        <f aca="false">I68*(1+IF(J$3&lt;=$O$2,$D68,$D68-($D68-$I$49)*MIN(J$3-$O$2,$Q$2)/$Q$2))</f>
        <v>8702.58958469876</v>
      </c>
      <c r="K68" s="15" t="n">
        <f aca="false">J68*(1+IF(K$3&lt;=$O$2,$D68,$D68-($D68-$I$49)*MIN(K$3-$O$2,$Q$2)/$Q$2))</f>
        <v>8995.26734492708</v>
      </c>
      <c r="L68" s="15" t="n">
        <f aca="false">K68*(1+IF(L$3&lt;=$O$2,$D68,$D68-($D68-$I$49)*MIN(L$3-$O$2,$Q$2)/$Q$2))</f>
        <v>9251.81903479883</v>
      </c>
      <c r="M68" s="15" t="n">
        <f aca="false">L68*(1+IF(M$3&lt;=$O$2,$D68,$D68-($D68-$I$49)*MIN(M$3-$O$2,$Q$2)/$Q$2))</f>
        <v>9468.40754604883</v>
      </c>
      <c r="N68" s="15" t="n">
        <f aca="false">M68*(1+IF(N$3&lt;=$O$2,$D68,$D68-($D68-$I$49)*MIN(N$3-$O$2,$Q$2)/$Q$2))</f>
        <v>9641.67940414152</v>
      </c>
      <c r="O68" s="15" t="n">
        <f aca="false">SUMPRODUCT(E68:N68,1/(1+$F$49)^$E$3:$N$3)*$E$2</f>
        <v>36732.0768493858</v>
      </c>
      <c r="P68" s="15" t="n">
        <f aca="false">N68*$E$2*(1+$I$49)/($F$49-$I$49)/(1+$F$49)^$N$3</f>
        <v>64825.8853779468</v>
      </c>
      <c r="Q68" s="15" t="n">
        <f aca="false">O68+P68</f>
        <v>101557.962227333</v>
      </c>
      <c r="R68" s="15" t="n">
        <f aca="false">Q68-$G$2+$I$2</f>
        <v>99967.9622273326</v>
      </c>
      <c r="S68" s="42" t="n">
        <f aca="false">R68/$K$2</f>
        <v>278.013132619536</v>
      </c>
      <c r="T68" s="43" t="n">
        <f aca="false">S68-$M$2</f>
        <v>-0.00566709123802411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0.0438518524169922</v>
      </c>
      <c r="C69" s="25" t="n">
        <f aca="false">IF(T68&gt;0,D68,C68)</f>
        <v>0.0438575744628906</v>
      </c>
      <c r="D69" s="41" t="n">
        <f aca="false">(B69+C69)/2</f>
        <v>0.0438547134399414</v>
      </c>
      <c r="E69" s="15" t="n">
        <f aca="false">$C$2*(1+IF(E$3&lt;=$O$2,$D69,$D69-($D69-$I$49)*MIN(E$3-$O$2,$Q$2)/$Q$2))</f>
        <v>7056.457862854</v>
      </c>
      <c r="F69" s="15" t="n">
        <f aca="false">E69*(1+IF(F$3&lt;=$O$2,$D69,$D69-($D69-$I$49)*MIN(F$3-$O$2,$Q$2)/$Q$2))</f>
        <v>7365.91680033049</v>
      </c>
      <c r="G69" s="15" t="n">
        <f aca="false">F69*(1+IF(G$3&lt;=$O$2,$D69,$D69-($D69-$I$49)*MIN(G$3-$O$2,$Q$2)/$Q$2))</f>
        <v>7688.94697083143</v>
      </c>
      <c r="H69" s="15" t="n">
        <f aca="false">G69*(1+IF(H$3&lt;=$O$2,$D69,$D69-($D69-$I$49)*MIN(H$3-$O$2,$Q$2)/$Q$2))</f>
        <v>8026.14353689215</v>
      </c>
      <c r="I69" s="15" t="n">
        <f aca="false">H69*(1+IF(I$3&lt;=$O$2,$D69,$D69-($D69-$I$49)*MIN(I$3-$O$2,$Q$2)/$Q$2))</f>
        <v>8378.12776173039</v>
      </c>
      <c r="J69" s="15" t="n">
        <f aca="false">I69*(1+IF(J$3&lt;=$O$2,$D69,$D69-($D69-$I$49)*MIN(J$3-$O$2,$Q$2)/$Q$2))</f>
        <v>8702.72802306145</v>
      </c>
      <c r="K69" s="15" t="n">
        <f aca="false">J69*(1+IF(K$3&lt;=$O$2,$D69,$D69-($D69-$I$49)*MIN(K$3-$O$2,$Q$2)/$Q$2))</f>
        <v>8995.42537834852</v>
      </c>
      <c r="L69" s="15" t="n">
        <f aca="false">K69*(1+IF(L$3&lt;=$O$2,$D69,$D69-($D69-$I$49)*MIN(L$3-$O$2,$Q$2)/$Q$2))</f>
        <v>9251.99186989793</v>
      </c>
      <c r="M69" s="15" t="n">
        <f aca="false">L69*(1+IF(M$3&lt;=$O$2,$D69,$D69-($D69-$I$49)*MIN(M$3-$O$2,$Q$2)/$Q$2))</f>
        <v>9468.58972131384</v>
      </c>
      <c r="N69" s="15" t="n">
        <f aca="false">M69*(1+IF(N$3&lt;=$O$2,$D69,$D69-($D69-$I$49)*MIN(N$3-$O$2,$Q$2)/$Q$2))</f>
        <v>9641.86491321389</v>
      </c>
      <c r="O69" s="15" t="n">
        <f aca="false">SUMPRODUCT(E69:N69,1/(1+$F$49)^$E$3:$N$3)*$E$2</f>
        <v>36732.544114954</v>
      </c>
      <c r="P69" s="15" t="n">
        <f aca="false">N69*$E$2*(1+$I$49)/($F$49-$I$49)/(1+$F$49)^$N$3</f>
        <v>64827.132649232</v>
      </c>
      <c r="Q69" s="15" t="n">
        <f aca="false">O69+P69</f>
        <v>101559.676764186</v>
      </c>
      <c r="R69" s="15" t="n">
        <f aca="false">Q69-$G$2+$I$2</f>
        <v>99969.676764186</v>
      </c>
      <c r="S69" s="42" t="n">
        <f aca="false">R69/$K$2</f>
        <v>278.017900784766</v>
      </c>
      <c r="T69" s="43" t="n">
        <f aca="false">S69-$M$2</f>
        <v>-0.000898926008119361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0.0438547134399414</v>
      </c>
      <c r="C70" s="25" t="n">
        <f aca="false">IF(T69&gt;0,D69,C69)</f>
        <v>0.0438575744628906</v>
      </c>
      <c r="D70" s="41" t="n">
        <f aca="false">(B70+C70)/2</f>
        <v>0.043856143951416</v>
      </c>
      <c r="E70" s="15" t="n">
        <f aca="false">$C$2*(1+IF(E$3&lt;=$O$2,$D70,$D70-($D70-$I$49)*MIN(E$3-$O$2,$Q$2)/$Q$2))</f>
        <v>7056.46753311157</v>
      </c>
      <c r="F70" s="15" t="n">
        <f aca="false">E70*(1+IF(F$3&lt;=$O$2,$D70,$D70-($D70-$I$49)*MIN(F$3-$O$2,$Q$2)/$Q$2))</f>
        <v>7365.93698903221</v>
      </c>
      <c r="G70" s="15" t="n">
        <f aca="false">F70*(1+IF(G$3&lt;=$O$2,$D70,$D70-($D70-$I$49)*MIN(G$3-$O$2,$Q$2)/$Q$2))</f>
        <v>7688.97858196026</v>
      </c>
      <c r="H70" s="15" t="n">
        <f aca="false">G70*(1+IF(H$3&lt;=$O$2,$D70,$D70-($D70-$I$49)*MIN(H$3-$O$2,$Q$2)/$Q$2))</f>
        <v>8026.18753349007</v>
      </c>
      <c r="I70" s="15" t="n">
        <f aca="false">H70*(1+IF(I$3&lt;=$O$2,$D70,$D70-($D70-$I$49)*MIN(I$3-$O$2,$Q$2)/$Q$2))</f>
        <v>8378.18516933987</v>
      </c>
      <c r="J70" s="15" t="n">
        <f aca="false">I70*(1+IF(J$3&lt;=$O$2,$D70,$D70-($D70-$I$49)*MIN(J$3-$O$2,$Q$2)/$Q$2))</f>
        <v>8702.7972429302</v>
      </c>
      <c r="K70" s="15" t="n">
        <f aca="false">J70*(1+IF(K$3&lt;=$O$2,$D70,$D70-($D70-$I$49)*MIN(K$3-$O$2,$Q$2)/$Q$2))</f>
        <v>8995.50439594801</v>
      </c>
      <c r="L70" s="15" t="n">
        <f aca="false">K70*(1+IF(L$3&lt;=$O$2,$D70,$D70-($D70-$I$49)*MIN(L$3-$O$2,$Q$2)/$Q$2))</f>
        <v>9252.07828849724</v>
      </c>
      <c r="M70" s="15" t="n">
        <f aca="false">L70*(1+IF(M$3&lt;=$O$2,$D70,$D70-($D70-$I$49)*MIN(M$3-$O$2,$Q$2)/$Q$2))</f>
        <v>9468.68081009486</v>
      </c>
      <c r="N70" s="15" t="n">
        <f aca="false">M70*(1+IF(N$3&lt;=$O$2,$D70,$D70-($D70-$I$49)*MIN(N$3-$O$2,$Q$2)/$Q$2))</f>
        <v>9641.95766891959</v>
      </c>
      <c r="O70" s="15" t="n">
        <f aca="false">SUMPRODUCT(E70:N70,1/(1+$F$49)^$E$3:$N$3)*$E$2</f>
        <v>36732.7777499745</v>
      </c>
      <c r="P70" s="15" t="n">
        <f aca="false">N70*$E$2*(1+$I$49)/($F$49-$I$49)/(1+$F$49)^$N$3</f>
        <v>64827.7562927379</v>
      </c>
      <c r="Q70" s="15" t="n">
        <f aca="false">O70+P70</f>
        <v>101560.534042712</v>
      </c>
      <c r="R70" s="15" t="n">
        <f aca="false">Q70-$G$2+$I$2</f>
        <v>99970.5340427123</v>
      </c>
      <c r="S70" s="42" t="n">
        <f aca="false">R70/$K$2</f>
        <v>278.020284895468</v>
      </c>
      <c r="T70" s="43" t="n">
        <f aca="false">S70-$M$2</f>
        <v>0.00148518469421788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0.0438547134399414</v>
      </c>
      <c r="C71" s="25" t="n">
        <f aca="false">IF(T70&gt;0,D70,C70)</f>
        <v>0.043856143951416</v>
      </c>
      <c r="D71" s="41" t="n">
        <f aca="false">(B71+C71)/2</f>
        <v>0.0438554286956787</v>
      </c>
      <c r="E71" s="15" t="n">
        <f aca="false">$C$2*(1+IF(E$3&lt;=$O$2,$D71,$D71-($D71-$I$49)*MIN(E$3-$O$2,$Q$2)/$Q$2))</f>
        <v>7056.46269798279</v>
      </c>
      <c r="F71" s="15" t="n">
        <f aca="false">E71*(1+IF(F$3&lt;=$O$2,$D71,$D71-($D71-$I$49)*MIN(F$3-$O$2,$Q$2)/$Q$2))</f>
        <v>7365.92689467789</v>
      </c>
      <c r="G71" s="15" t="n">
        <f aca="false">F71*(1+IF(G$3&lt;=$O$2,$D71,$D71-($D71-$I$49)*MIN(G$3-$O$2,$Q$2)/$Q$2))</f>
        <v>7688.96277638502</v>
      </c>
      <c r="H71" s="15" t="n">
        <f aca="false">G71*(1+IF(H$3&lt;=$O$2,$D71,$D71-($D71-$I$49)*MIN(H$3-$O$2,$Q$2)/$Q$2))</f>
        <v>8026.1655351685</v>
      </c>
      <c r="I71" s="15" t="n">
        <f aca="false">H71*(1+IF(I$3&lt;=$O$2,$D71,$D71-($D71-$I$49)*MIN(I$3-$O$2,$Q$2)/$Q$2))</f>
        <v>8378.15646549579</v>
      </c>
      <c r="J71" s="15" t="n">
        <f aca="false">I71*(1+IF(J$3&lt;=$O$2,$D71,$D71-($D71-$I$49)*MIN(J$3-$O$2,$Q$2)/$Q$2))</f>
        <v>8702.76263293854</v>
      </c>
      <c r="K71" s="15" t="n">
        <f aca="false">J71*(1+IF(K$3&lt;=$O$2,$D71,$D71-($D71-$I$49)*MIN(K$3-$O$2,$Q$2)/$Q$2))</f>
        <v>8995.4648870742</v>
      </c>
      <c r="L71" s="15" t="n">
        <f aca="false">K71*(1+IF(L$3&lt;=$O$2,$D71,$D71-($D71-$I$49)*MIN(L$3-$O$2,$Q$2)/$Q$2))</f>
        <v>9252.0350791101</v>
      </c>
      <c r="M71" s="15" t="n">
        <f aca="false">L71*(1+IF(M$3&lt;=$O$2,$D71,$D71-($D71-$I$49)*MIN(M$3-$O$2,$Q$2)/$Q$2))</f>
        <v>9468.63526560864</v>
      </c>
      <c r="N71" s="15" t="n">
        <f aca="false">M71*(1+IF(N$3&lt;=$O$2,$D71,$D71-($D71-$I$49)*MIN(N$3-$O$2,$Q$2)/$Q$2))</f>
        <v>9641.91129096928</v>
      </c>
      <c r="O71" s="15" t="n">
        <f aca="false">SUMPRODUCT(E71:N71,1/(1+$F$49)^$E$3:$N$3)*$E$2</f>
        <v>36732.6609322779</v>
      </c>
      <c r="P71" s="15" t="n">
        <f aca="false">N71*$E$2*(1+$I$49)/($F$49-$I$49)/(1+$F$49)^$N$3</f>
        <v>64827.4444703296</v>
      </c>
      <c r="Q71" s="15" t="n">
        <f aca="false">O71+P71</f>
        <v>101560.105402608</v>
      </c>
      <c r="R71" s="15" t="n">
        <f aca="false">Q71-$G$2+$I$2</f>
        <v>99970.1054026075</v>
      </c>
      <c r="S71" s="42" t="n">
        <f aca="false">R71/$K$2</f>
        <v>278.019092837776</v>
      </c>
      <c r="T71" s="43" t="n">
        <f aca="false">S71-$M$2</f>
        <v>0.0002931270024078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0.0438547134399414</v>
      </c>
      <c r="C72" s="25" t="n">
        <f aca="false">IF(T71&gt;0,D71,C71)</f>
        <v>0.0438554286956787</v>
      </c>
      <c r="D72" s="41" t="n">
        <f aca="false">(B72+C72)/2</f>
        <v>0.0438550710678101</v>
      </c>
      <c r="E72" s="15" t="n">
        <f aca="false">$C$2*(1+IF(E$3&lt;=$O$2,$D72,$D72-($D72-$I$49)*MIN(E$3-$O$2,$Q$2)/$Q$2))</f>
        <v>7056.4602804184</v>
      </c>
      <c r="F72" s="15" t="n">
        <f aca="false">E72*(1+IF(F$3&lt;=$O$2,$D72,$D72-($D72-$I$49)*MIN(F$3-$O$2,$Q$2)/$Q$2))</f>
        <v>7365.92184750332</v>
      </c>
      <c r="G72" s="15" t="n">
        <f aca="false">F72*(1+IF(G$3&lt;=$O$2,$D72,$D72-($D72-$I$49)*MIN(G$3-$O$2,$Q$2)/$Q$2))</f>
        <v>7688.95487360552</v>
      </c>
      <c r="H72" s="15" t="n">
        <f aca="false">G72*(1+IF(H$3&lt;=$O$2,$D72,$D72-($D72-$I$49)*MIN(H$3-$O$2,$Q$2)/$Q$2))</f>
        <v>8026.15453602467</v>
      </c>
      <c r="I72" s="15" t="n">
        <f aca="false">H72*(1+IF(I$3&lt;=$O$2,$D72,$D72-($D72-$I$49)*MIN(I$3-$O$2,$Q$2)/$Q$2))</f>
        <v>8378.14211360326</v>
      </c>
      <c r="J72" s="15" t="n">
        <f aca="false">I72*(1+IF(J$3&lt;=$O$2,$D72,$D72-($D72-$I$49)*MIN(J$3-$O$2,$Q$2)/$Q$2))</f>
        <v>8702.74532798567</v>
      </c>
      <c r="K72" s="15" t="n">
        <f aca="false">J72*(1+IF(K$3&lt;=$O$2,$D72,$D72-($D72-$I$49)*MIN(K$3-$O$2,$Q$2)/$Q$2))</f>
        <v>8995.44513269285</v>
      </c>
      <c r="L72" s="15" t="n">
        <f aca="false">K72*(1+IF(L$3&lt;=$O$2,$D72,$D72-($D72-$I$49)*MIN(L$3-$O$2,$Q$2)/$Q$2))</f>
        <v>9252.01347448215</v>
      </c>
      <c r="M72" s="15" t="n">
        <f aca="false">L72*(1+IF(M$3&lt;=$O$2,$D72,$D72-($D72-$I$49)*MIN(M$3-$O$2,$Q$2)/$Q$2))</f>
        <v>9468.61249343732</v>
      </c>
      <c r="N72" s="15" t="n">
        <f aca="false">M72*(1+IF(N$3&lt;=$O$2,$D72,$D72-($D72-$I$49)*MIN(N$3-$O$2,$Q$2)/$Q$2))</f>
        <v>9641.88810206722</v>
      </c>
      <c r="O72" s="15" t="n">
        <f aca="false">SUMPRODUCT(E72:N72,1/(1+$F$49)^$E$3:$N$3)*$E$2</f>
        <v>36732.6025235694</v>
      </c>
      <c r="P72" s="15" t="n">
        <f aca="false">N72*$E$2*(1+$I$49)/($F$49-$I$49)/(1+$F$49)^$N$3</f>
        <v>64827.288559617</v>
      </c>
      <c r="Q72" s="15" t="n">
        <f aca="false">O72+P72</f>
        <v>101559.891083186</v>
      </c>
      <c r="R72" s="15" t="n">
        <f aca="false">Q72-$G$2+$I$2</f>
        <v>99969.8910831864</v>
      </c>
      <c r="S72" s="42" t="n">
        <f aca="false">R72/$K$2</f>
        <v>278.018496810686</v>
      </c>
      <c r="T72" s="43" t="n">
        <f aca="false">S72-$M$2</f>
        <v>-0.000302900088001934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0.0438550710678101</v>
      </c>
      <c r="C73" s="25" t="n">
        <f aca="false">IF(T72&gt;0,D72,C72)</f>
        <v>0.0438554286956787</v>
      </c>
      <c r="D73" s="41" t="n">
        <f aca="false">(B73+C73)/2</f>
        <v>0.0438552498817444</v>
      </c>
      <c r="E73" s="15" t="n">
        <f aca="false">$C$2*(1+IF(E$3&lt;=$O$2,$D73,$D73-($D73-$I$49)*MIN(E$3-$O$2,$Q$2)/$Q$2))</f>
        <v>7056.46148920059</v>
      </c>
      <c r="F73" s="15" t="n">
        <f aca="false">E73*(1+IF(F$3&lt;=$O$2,$D73,$D73-($D73-$I$49)*MIN(F$3-$O$2,$Q$2)/$Q$2))</f>
        <v>7365.92437109039</v>
      </c>
      <c r="G73" s="15" t="n">
        <f aca="false">F73*(1+IF(G$3&lt;=$O$2,$D73,$D73-($D73-$I$49)*MIN(G$3-$O$2,$Q$2)/$Q$2))</f>
        <v>7688.95882499459</v>
      </c>
      <c r="H73" s="15" t="n">
        <f aca="false">G73*(1+IF(H$3&lt;=$O$2,$D73,$D73-($D73-$I$49)*MIN(H$3-$O$2,$Q$2)/$Q$2))</f>
        <v>8026.16003559517</v>
      </c>
      <c r="I73" s="15" t="n">
        <f aca="false">H73*(1+IF(I$3&lt;=$O$2,$D73,$D73-($D73-$I$49)*MIN(I$3-$O$2,$Q$2)/$Q$2))</f>
        <v>8378.14928954707</v>
      </c>
      <c r="J73" s="15" t="n">
        <f aca="false">I73*(1+IF(J$3&lt;=$O$2,$D73,$D73-($D73-$I$49)*MIN(J$3-$O$2,$Q$2)/$Q$2))</f>
        <v>8702.75398045853</v>
      </c>
      <c r="K73" s="15" t="n">
        <f aca="false">J73*(1+IF(K$3&lt;=$O$2,$D73,$D73-($D73-$I$49)*MIN(K$3-$O$2,$Q$2)/$Q$2))</f>
        <v>8995.4550098789</v>
      </c>
      <c r="L73" s="15" t="n">
        <f aca="false">K73*(1+IF(L$3&lt;=$O$2,$D73,$D73-($D73-$I$49)*MIN(L$3-$O$2,$Q$2)/$Q$2))</f>
        <v>9252.02427679066</v>
      </c>
      <c r="M73" s="15" t="n">
        <f aca="false">L73*(1+IF(M$3&lt;=$O$2,$D73,$D73-($D73-$I$49)*MIN(M$3-$O$2,$Q$2)/$Q$2))</f>
        <v>9468.623879517</v>
      </c>
      <c r="N73" s="15" t="n">
        <f aca="false">M73*(1+IF(N$3&lt;=$O$2,$D73,$D73-($D73-$I$49)*MIN(N$3-$O$2,$Q$2)/$Q$2))</f>
        <v>9641.89969651216</v>
      </c>
      <c r="O73" s="15" t="n">
        <f aca="false">SUMPRODUCT(E73:N73,1/(1+$F$49)^$E$3:$N$3)*$E$2</f>
        <v>36732.631727912</v>
      </c>
      <c r="P73" s="15" t="n">
        <f aca="false">N73*$E$2*(1+$I$49)/($F$49-$I$49)/(1+$F$49)^$N$3</f>
        <v>64827.3665149324</v>
      </c>
      <c r="Q73" s="15" t="n">
        <f aca="false">O73+P73</f>
        <v>101559.998242844</v>
      </c>
      <c r="R73" s="15" t="n">
        <f aca="false">Q73-$G$2+$I$2</f>
        <v>99969.9982428444</v>
      </c>
      <c r="S73" s="42" t="n">
        <f aca="false">R73/$K$2</f>
        <v>278.018794824085</v>
      </c>
      <c r="T73" s="43" t="n">
        <f aca="false">S73-$M$2</f>
        <v>-4.88668905518352E-006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0.0438552498817444</v>
      </c>
      <c r="C74" s="25" t="n">
        <f aca="false">IF(T73&gt;0,D73,C73)</f>
        <v>0.0438554286956787</v>
      </c>
      <c r="D74" s="41" t="n">
        <f aca="false">(B74+C74)/2</f>
        <v>0.0438553392887116</v>
      </c>
      <c r="E74" s="15" t="n">
        <f aca="false">$C$2*(1+IF(E$3&lt;=$O$2,$D74,$D74-($D74-$I$49)*MIN(E$3-$O$2,$Q$2)/$Q$2))</f>
        <v>7056.46209359169</v>
      </c>
      <c r="F74" s="15" t="n">
        <f aca="false">E74*(1+IF(F$3&lt;=$O$2,$D74,$D74-($D74-$I$49)*MIN(F$3-$O$2,$Q$2)/$Q$2))</f>
        <v>7365.92563288409</v>
      </c>
      <c r="G74" s="15" t="n">
        <f aca="false">F74*(1+IF(G$3&lt;=$O$2,$D74,$D74-($D74-$I$49)*MIN(G$3-$O$2,$Q$2)/$Q$2))</f>
        <v>7688.96080068963</v>
      </c>
      <c r="H74" s="15" t="n">
        <f aca="false">G74*(1+IF(H$3&lt;=$O$2,$D74,$D74-($D74-$I$49)*MIN(H$3-$O$2,$Q$2)/$Q$2))</f>
        <v>8026.16278538148</v>
      </c>
      <c r="I74" s="15" t="n">
        <f aca="false">H74*(1+IF(I$3&lt;=$O$2,$D74,$D74-($D74-$I$49)*MIN(I$3-$O$2,$Q$2)/$Q$2))</f>
        <v>8378.15287752082</v>
      </c>
      <c r="J74" s="15" t="n">
        <f aca="false">I74*(1+IF(J$3&lt;=$O$2,$D74,$D74-($D74-$I$49)*MIN(J$3-$O$2,$Q$2)/$Q$2))</f>
        <v>8702.75830669764</v>
      </c>
      <c r="K74" s="15" t="n">
        <f aca="false">J74*(1+IF(K$3&lt;=$O$2,$D74,$D74-($D74-$I$49)*MIN(K$3-$O$2,$Q$2)/$Q$2))</f>
        <v>8995.45994847539</v>
      </c>
      <c r="L74" s="15" t="n">
        <f aca="false">K74*(1+IF(L$3&lt;=$O$2,$D74,$D74-($D74-$I$49)*MIN(L$3-$O$2,$Q$2)/$Q$2))</f>
        <v>9252.02967794901</v>
      </c>
      <c r="M74" s="15" t="n">
        <f aca="false">L74*(1+IF(M$3&lt;=$O$2,$D74,$D74-($D74-$I$49)*MIN(M$3-$O$2,$Q$2)/$Q$2))</f>
        <v>9468.62957256132</v>
      </c>
      <c r="N74" s="15" t="n">
        <f aca="false">M74*(1+IF(N$3&lt;=$O$2,$D74,$D74-($D74-$I$49)*MIN(N$3-$O$2,$Q$2)/$Q$2))</f>
        <v>9641.9054937392</v>
      </c>
      <c r="O74" s="15" t="n">
        <f aca="false">SUMPRODUCT(E74:N74,1/(1+$F$49)^$E$3:$N$3)*$E$2</f>
        <v>36732.646330092</v>
      </c>
      <c r="P74" s="15" t="n">
        <f aca="false">N74*$E$2*(1+$I$49)/($F$49-$I$49)/(1+$F$49)^$N$3</f>
        <v>64827.4054926208</v>
      </c>
      <c r="Q74" s="15" t="n">
        <f aca="false">O74+P74</f>
        <v>101560.051822713</v>
      </c>
      <c r="R74" s="15" t="n">
        <f aca="false">Q74-$G$2+$I$2</f>
        <v>99970.0518227128</v>
      </c>
      <c r="S74" s="42" t="n">
        <f aca="false">R74/$K$2</f>
        <v>278.018943830894</v>
      </c>
      <c r="T74" s="43" t="n">
        <f aca="false">S74-$M$2</f>
        <v>0.00014412012012599</v>
      </c>
    </row>
    <row r="76" customFormat="false" ht="15" hidden="false" customHeight="false" outlineLevel="0" collapsed="false">
      <c r="A76" s="38" t="s">
        <v>188</v>
      </c>
      <c r="E76" s="5" t="s">
        <v>11</v>
      </c>
      <c r="F76" s="12" t="n">
        <f aca="false">Sensitivity!$B$10</f>
        <v>0.0674202832668642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167</v>
      </c>
      <c r="B77" s="28" t="s">
        <v>168</v>
      </c>
      <c r="C77" s="28" t="s">
        <v>169</v>
      </c>
      <c r="D77" s="28" t="s">
        <v>170</v>
      </c>
      <c r="E77" s="28" t="s">
        <v>171</v>
      </c>
      <c r="F77" s="28" t="s">
        <v>172</v>
      </c>
      <c r="G77" s="28" t="s">
        <v>173</v>
      </c>
      <c r="H77" s="28" t="s">
        <v>174</v>
      </c>
      <c r="I77" s="28" t="s">
        <v>175</v>
      </c>
      <c r="J77" s="28" t="s">
        <v>176</v>
      </c>
      <c r="K77" s="28" t="s">
        <v>177</v>
      </c>
      <c r="L77" s="28" t="s">
        <v>178</v>
      </c>
      <c r="M77" s="28" t="s">
        <v>179</v>
      </c>
      <c r="N77" s="28" t="s">
        <v>180</v>
      </c>
      <c r="O77" s="28" t="s">
        <v>181</v>
      </c>
      <c r="P77" s="28" t="s">
        <v>182</v>
      </c>
      <c r="Q77" s="28" t="s">
        <v>183</v>
      </c>
      <c r="R77" s="28" t="s">
        <v>184</v>
      </c>
      <c r="S77" s="28" t="s">
        <v>185</v>
      </c>
      <c r="T77" s="28" t="s">
        <v>186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8450</v>
      </c>
      <c r="F78" s="15" t="n">
        <f aca="false">E78*(1+IF(F$3&lt;=$O$2,$D78,$D78-($D78-$I$76)*MIN(F$3-$O$2,$Q$2)/$Q$2))</f>
        <v>10562.5</v>
      </c>
      <c r="G78" s="15" t="n">
        <f aca="false">F78*(1+IF(G$3&lt;=$O$2,$D78,$D78-($D78-$I$76)*MIN(G$3-$O$2,$Q$2)/$Q$2))</f>
        <v>13203.125</v>
      </c>
      <c r="H78" s="15" t="n">
        <f aca="false">G78*(1+IF(H$3&lt;=$O$2,$D78,$D78-($D78-$I$76)*MIN(H$3-$O$2,$Q$2)/$Q$2))</f>
        <v>16503.90625</v>
      </c>
      <c r="I78" s="15" t="n">
        <f aca="false">H78*(1+IF(I$3&lt;=$O$2,$D78,$D78-($D78-$I$76)*MIN(I$3-$O$2,$Q$2)/$Q$2))</f>
        <v>20629.8828125</v>
      </c>
      <c r="J78" s="15" t="n">
        <f aca="false">I78*(1+IF(J$3&lt;=$O$2,$D78,$D78-($D78-$I$76)*MIN(J$3-$O$2,$Q$2)/$Q$2))</f>
        <v>24851.9946289063</v>
      </c>
      <c r="K78" s="15" t="n">
        <f aca="false">J78*(1+IF(K$3&lt;=$O$2,$D78,$D78-($D78-$I$76)*MIN(K$3-$O$2,$Q$2)/$Q$2))</f>
        <v>28811.4144131836</v>
      </c>
      <c r="L78" s="15" t="n">
        <f aca="false">K78*(1+IF(L$3&lt;=$O$2,$D78,$D78-($D78-$I$76)*MIN(L$3-$O$2,$Q$2)/$Q$2))</f>
        <v>32095.3394279983</v>
      </c>
      <c r="M78" s="15" t="n">
        <f aca="false">L78*(1+IF(M$3&lt;=$O$2,$D78,$D78-($D78-$I$76)*MIN(M$3-$O$2,$Q$2)/$Q$2))</f>
        <v>34298.3635263361</v>
      </c>
      <c r="N78" s="15" t="n">
        <f aca="false">M78*(1+IF(N$3&lt;=$O$2,$D78,$D78-($D78-$I$76)*MIN(N$3-$O$2,$Q$2)/$Q$2))</f>
        <v>35097.5153964997</v>
      </c>
      <c r="O78" s="15" t="n">
        <f aca="false">SUMPRODUCT(E78:N78,1/(1+$F$76)^$E$3:$N$3)*$E$2</f>
        <v>91598.6570887444</v>
      </c>
      <c r="P78" s="15" t="n">
        <f aca="false">N78*$E$2*(1+$I$76)/($F$76-$I$76)/(1+$F$76)^$N$3</f>
        <v>264010.952804039</v>
      </c>
      <c r="Q78" s="15" t="n">
        <f aca="false">O78+P78</f>
        <v>355609.609892783</v>
      </c>
      <c r="R78" s="15" t="n">
        <f aca="false">Q78-$G$2+$I$2</f>
        <v>354019.609892783</v>
      </c>
      <c r="S78" s="42" t="n">
        <f aca="false">R78/$K$2</f>
        <v>984.536431094006</v>
      </c>
      <c r="T78" s="43" t="n">
        <f aca="false">S78-$M$2</f>
        <v>706.517631383233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5915</v>
      </c>
      <c r="F79" s="15" t="n">
        <f aca="false">E79*(1+IF(F$3&lt;=$O$2,$D79,$D79-($D79-$I$76)*MIN(F$3-$O$2,$Q$2)/$Q$2))</f>
        <v>5175.625</v>
      </c>
      <c r="G79" s="15" t="n">
        <f aca="false">F79*(1+IF(G$3&lt;=$O$2,$D79,$D79-($D79-$I$76)*MIN(G$3-$O$2,$Q$2)/$Q$2))</f>
        <v>4528.671875</v>
      </c>
      <c r="H79" s="15" t="n">
        <f aca="false">G79*(1+IF(H$3&lt;=$O$2,$D79,$D79-($D79-$I$76)*MIN(H$3-$O$2,$Q$2)/$Q$2))</f>
        <v>3962.587890625</v>
      </c>
      <c r="I79" s="15" t="n">
        <f aca="false">H79*(1+IF(I$3&lt;=$O$2,$D79,$D79-($D79-$I$76)*MIN(I$3-$O$2,$Q$2)/$Q$2))</f>
        <v>3467.26440429688</v>
      </c>
      <c r="J79" s="15" t="n">
        <f aca="false">I79*(1+IF(J$3&lt;=$O$2,$D79,$D79-($D79-$I$76)*MIN(J$3-$O$2,$Q$2)/$Q$2))</f>
        <v>3136.69541599121</v>
      </c>
      <c r="K79" s="15" t="n">
        <f aca="false">J79*(1+IF(K$3&lt;=$O$2,$D79,$D79-($D79-$I$76)*MIN(K$3-$O$2,$Q$2)/$Q$2))</f>
        <v>2930.67726106891</v>
      </c>
      <c r="L79" s="15" t="n">
        <f aca="false">K79*(1+IF(L$3&lt;=$O$2,$D79,$D79-($D79-$I$76)*MIN(L$3-$O$2,$Q$2)/$Q$2))</f>
        <v>2825.11426612521</v>
      </c>
      <c r="M79" s="15" t="n">
        <f aca="false">L79*(1+IF(M$3&lt;=$O$2,$D79,$D79-($D79-$I$76)*MIN(M$3-$O$2,$Q$2)/$Q$2))</f>
        <v>2807.14653939265</v>
      </c>
      <c r="N79" s="15" t="n">
        <f aca="false">M79*(1+IF(N$3&lt;=$O$2,$D79,$D79-($D79-$I$76)*MIN(N$3-$O$2,$Q$2)/$Q$2))</f>
        <v>2872.5530537605</v>
      </c>
      <c r="O79" s="15" t="n">
        <f aca="false">SUMPRODUCT(E79:N79,1/(1+$F$76)^$E$3:$N$3)*$E$2</f>
        <v>17482.3592940512</v>
      </c>
      <c r="P79" s="15" t="n">
        <f aca="false">N79*$E$2*(1+$I$76)/($F$76-$I$76)/(1+$F$76)^$N$3</f>
        <v>21607.9531595303</v>
      </c>
      <c r="Q79" s="15" t="n">
        <f aca="false">O79+P79</f>
        <v>39090.3124535815</v>
      </c>
      <c r="R79" s="15" t="n">
        <f aca="false">Q79-$G$2+$I$2</f>
        <v>37500.3124535815</v>
      </c>
      <c r="S79" s="42" t="n">
        <f aca="false">R79/$K$2</f>
        <v>104.289205332837</v>
      </c>
      <c r="T79" s="43" t="n">
        <f aca="false">S79-$M$2</f>
        <v>-173.729594377937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7182.5</v>
      </c>
      <c r="F80" s="15" t="n">
        <f aca="false">E80*(1+IF(F$3&lt;=$O$2,$D80,$D80-($D80-$I$76)*MIN(F$3-$O$2,$Q$2)/$Q$2))</f>
        <v>7631.40625</v>
      </c>
      <c r="G80" s="15" t="n">
        <f aca="false">F80*(1+IF(G$3&lt;=$O$2,$D80,$D80-($D80-$I$76)*MIN(G$3-$O$2,$Q$2)/$Q$2))</f>
        <v>8108.369140625</v>
      </c>
      <c r="H80" s="15" t="n">
        <f aca="false">G80*(1+IF(H$3&lt;=$O$2,$D80,$D80-($D80-$I$76)*MIN(H$3-$O$2,$Q$2)/$Q$2))</f>
        <v>8615.14221191406</v>
      </c>
      <c r="I80" s="15" t="n">
        <f aca="false">H80*(1+IF(I$3&lt;=$O$2,$D80,$D80-($D80-$I$76)*MIN(I$3-$O$2,$Q$2)/$Q$2))</f>
        <v>9153.58860015869</v>
      </c>
      <c r="J80" s="15" t="n">
        <f aca="false">I80*(1+IF(J$3&lt;=$O$2,$D80,$D80-($D80-$I$76)*MIN(J$3-$O$2,$Q$2)/$Q$2))</f>
        <v>9653.92375304337</v>
      </c>
      <c r="K80" s="15" t="n">
        <f aca="false">J80*(1+IF(K$3&lt;=$O$2,$D80,$D80-($D80-$I$76)*MIN(K$3-$O$2,$Q$2)/$Q$2))</f>
        <v>10105.9204631609</v>
      </c>
      <c r="L80" s="15" t="n">
        <f aca="false">K80*(1+IF(L$3&lt;=$O$2,$D80,$D80-($D80-$I$76)*MIN(L$3-$O$2,$Q$2)/$Q$2))</f>
        <v>10499.8492428149</v>
      </c>
      <c r="M80" s="15" t="n">
        <f aca="false">L80*(1+IF(M$3&lt;=$O$2,$D80,$D80-($D80-$I$76)*MIN(M$3-$O$2,$Q$2)/$Q$2))</f>
        <v>10826.8145482361</v>
      </c>
      <c r="N80" s="15" t="n">
        <f aca="false">M80*(1+IF(N$3&lt;=$O$2,$D80,$D80-($D80-$I$76)*MIN(N$3-$O$2,$Q$2)/$Q$2))</f>
        <v>11079.07932721</v>
      </c>
      <c r="O80" s="15" t="n">
        <f aca="false">SUMPRODUCT(E80:N80,1/(1+$F$76)^$E$3:$N$3)*$E$2</f>
        <v>40033.0160898954</v>
      </c>
      <c r="P80" s="15" t="n">
        <f aca="false">N80*$E$2*(1+$I$76)/($F$76-$I$76)/(1+$F$76)^$N$3</f>
        <v>83339.1838802344</v>
      </c>
      <c r="Q80" s="15" t="n">
        <f aca="false">O80+P80</f>
        <v>123372.19997013</v>
      </c>
      <c r="R80" s="15" t="n">
        <f aca="false">Q80-$G$2+$I$2</f>
        <v>121782.19997013</v>
      </c>
      <c r="S80" s="42" t="n">
        <f aca="false">R80/$K$2</f>
        <v>338.679014322626</v>
      </c>
      <c r="T80" s="43" t="n">
        <f aca="false">S80-$M$2</f>
        <v>60.6602146118522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6548.75</v>
      </c>
      <c r="F81" s="15" t="n">
        <f aca="false">E81*(1+IF(F$3&lt;=$O$2,$D81,$D81-($D81-$I$76)*MIN(F$3-$O$2,$Q$2)/$Q$2))</f>
        <v>6344.1015625</v>
      </c>
      <c r="G81" s="15" t="n">
        <f aca="false">F81*(1+IF(G$3&lt;=$O$2,$D81,$D81-($D81-$I$76)*MIN(G$3-$O$2,$Q$2)/$Q$2))</f>
        <v>6145.84838867188</v>
      </c>
      <c r="H81" s="15" t="n">
        <f aca="false">G81*(1+IF(H$3&lt;=$O$2,$D81,$D81-($D81-$I$76)*MIN(H$3-$O$2,$Q$2)/$Q$2))</f>
        <v>5953.79062652588</v>
      </c>
      <c r="I81" s="15" t="n">
        <f aca="false">H81*(1+IF(I$3&lt;=$O$2,$D81,$D81-($D81-$I$76)*MIN(I$3-$O$2,$Q$2)/$Q$2))</f>
        <v>5767.73466944695</v>
      </c>
      <c r="J81" s="15" t="n">
        <f aca="false">I81*(1+IF(J$3&lt;=$O$2,$D81,$D81-($D81-$I$76)*MIN(J$3-$O$2,$Q$2)/$Q$2))</f>
        <v>5650.41894627039</v>
      </c>
      <c r="K81" s="15" t="n">
        <f aca="false">J81*(1+IF(K$3&lt;=$O$2,$D81,$D81-($D81-$I$76)*MIN(K$3-$O$2,$Q$2)/$Q$2))</f>
        <v>5597.13549560706</v>
      </c>
      <c r="L81" s="15" t="n">
        <f aca="false">K81*(1+IF(L$3&lt;=$O$2,$D81,$D81-($D81-$I$76)*MIN(L$3-$O$2,$Q$2)/$Q$2))</f>
        <v>5605.41925614056</v>
      </c>
      <c r="M81" s="15" t="n">
        <f aca="false">L81*(1+IF(M$3&lt;=$O$2,$D81,$D81-($D81-$I$76)*MIN(M$3-$O$2,$Q$2)/$Q$2))</f>
        <v>5674.87040072414</v>
      </c>
      <c r="N81" s="15" t="n">
        <f aca="false">M81*(1+IF(N$3&lt;=$O$2,$D81,$D81-($D81-$I$76)*MIN(N$3-$O$2,$Q$2)/$Q$2))</f>
        <v>5807.09488106102</v>
      </c>
      <c r="O81" s="15" t="n">
        <f aca="false">SUMPRODUCT(E81:N81,1/(1+$F$76)^$E$3:$N$3)*$E$2</f>
        <v>26390.1182511292</v>
      </c>
      <c r="P81" s="15" t="n">
        <f aca="false">N81*$E$2*(1+$I$76)/($F$76-$I$76)/(1+$F$76)^$N$3</f>
        <v>43682.1990175771</v>
      </c>
      <c r="Q81" s="15" t="n">
        <f aca="false">O81+P81</f>
        <v>70072.3172687063</v>
      </c>
      <c r="R81" s="15" t="n">
        <f aca="false">Q81-$G$2+$I$2</f>
        <v>68482.3172687063</v>
      </c>
      <c r="S81" s="42" t="n">
        <f aca="false">R81/$K$2</f>
        <v>190.450851740103</v>
      </c>
      <c r="T81" s="43" t="n">
        <f aca="false">S81-$M$2</f>
        <v>-87.5679479706706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6865.625</v>
      </c>
      <c r="F82" s="15" t="n">
        <f aca="false">E82*(1+IF(F$3&lt;=$O$2,$D82,$D82-($D82-$I$76)*MIN(F$3-$O$2,$Q$2)/$Q$2))</f>
        <v>6972.900390625</v>
      </c>
      <c r="G82" s="15" t="n">
        <f aca="false">F82*(1+IF(G$3&lt;=$O$2,$D82,$D82-($D82-$I$76)*MIN(G$3-$O$2,$Q$2)/$Q$2))</f>
        <v>7081.85195922852</v>
      </c>
      <c r="H82" s="15" t="n">
        <f aca="false">G82*(1+IF(H$3&lt;=$O$2,$D82,$D82-($D82-$I$76)*MIN(H$3-$O$2,$Q$2)/$Q$2))</f>
        <v>7192.50589609146</v>
      </c>
      <c r="I82" s="15" t="n">
        <f aca="false">H82*(1+IF(I$3&lt;=$O$2,$D82,$D82-($D82-$I$76)*MIN(I$3-$O$2,$Q$2)/$Q$2))</f>
        <v>7304.88880071789</v>
      </c>
      <c r="J82" s="15" t="n">
        <f aca="false">I82*(1+IF(J$3&lt;=$O$2,$D82,$D82-($D82-$I$76)*MIN(J$3-$O$2,$Q$2)/$Q$2))</f>
        <v>7430.24069253821</v>
      </c>
      <c r="K82" s="15" t="n">
        <f aca="false">J82*(1+IF(K$3&lt;=$O$2,$D82,$D82-($D82-$I$76)*MIN(K$3-$O$2,$Q$2)/$Q$2))</f>
        <v>7569.14904228521</v>
      </c>
      <c r="L82" s="15" t="n">
        <f aca="false">K82*(1+IF(L$3&lt;=$O$2,$D82,$D82-($D82-$I$76)*MIN(L$3-$O$2,$Q$2)/$Q$2))</f>
        <v>7722.27292741064</v>
      </c>
      <c r="M82" s="15" t="n">
        <f aca="false">L82*(1+IF(M$3&lt;=$O$2,$D82,$D82-($D82-$I$76)*MIN(M$3-$O$2,$Q$2)/$Q$2))</f>
        <v>7890.34819767573</v>
      </c>
      <c r="N82" s="15" t="n">
        <f aca="false">M82*(1+IF(N$3&lt;=$O$2,$D82,$D82-($D82-$I$76)*MIN(N$3-$O$2,$Q$2)/$Q$2))</f>
        <v>8074.19331068158</v>
      </c>
      <c r="O82" s="15" t="n">
        <f aca="false">SUMPRODUCT(E82:N82,1/(1+$F$76)^$E$3:$N$3)*$E$2</f>
        <v>32494.8041019653</v>
      </c>
      <c r="P82" s="15" t="n">
        <f aca="false">N82*$E$2*(1+$I$76)/($F$76-$I$76)/(1+$F$76)^$N$3</f>
        <v>60735.7941152049</v>
      </c>
      <c r="Q82" s="15" t="n">
        <f aca="false">O82+P82</f>
        <v>93230.5982171702</v>
      </c>
      <c r="R82" s="15" t="n">
        <f aca="false">Q82-$G$2+$I$2</f>
        <v>91640.5982171702</v>
      </c>
      <c r="S82" s="42" t="n">
        <f aca="false">R82/$K$2</f>
        <v>254.854547575422</v>
      </c>
      <c r="T82" s="43" t="n">
        <f aca="false">S82-$M$2</f>
        <v>-23.1642521353517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0.015625</v>
      </c>
      <c r="C83" s="25" t="n">
        <f aca="false">IF(T82&gt;0,D82,C82)</f>
        <v>0.0625</v>
      </c>
      <c r="D83" s="41" t="n">
        <f aca="false">(B83+C83)/2</f>
        <v>0.0390625</v>
      </c>
      <c r="E83" s="15" t="n">
        <f aca="false">$C$2*(1+IF(E$3&lt;=$O$2,$D83,$D83-($D83-$I$76)*MIN(E$3-$O$2,$Q$2)/$Q$2))</f>
        <v>7024.0625</v>
      </c>
      <c r="F83" s="15" t="n">
        <f aca="false">E83*(1+IF(F$3&lt;=$O$2,$D83,$D83-($D83-$I$76)*MIN(F$3-$O$2,$Q$2)/$Q$2))</f>
        <v>7298.43994140625</v>
      </c>
      <c r="G83" s="15" t="n">
        <f aca="false">F83*(1+IF(G$3&lt;=$O$2,$D83,$D83-($D83-$I$76)*MIN(G$3-$O$2,$Q$2)/$Q$2))</f>
        <v>7583.53525161743</v>
      </c>
      <c r="H83" s="15" t="n">
        <f aca="false">G83*(1+IF(H$3&lt;=$O$2,$D83,$D83-($D83-$I$76)*MIN(H$3-$O$2,$Q$2)/$Q$2))</f>
        <v>7879.76709738374</v>
      </c>
      <c r="I83" s="15" t="n">
        <f aca="false">H83*(1+IF(I$3&lt;=$O$2,$D83,$D83-($D83-$I$76)*MIN(I$3-$O$2,$Q$2)/$Q$2))</f>
        <v>8187.57049962529</v>
      </c>
      <c r="J83" s="15" t="n">
        <f aca="false">I83*(1+IF(J$3&lt;=$O$2,$D83,$D83-($D83-$I$76)*MIN(J$3-$O$2,$Q$2)/$Q$2))</f>
        <v>8481.58615626683</v>
      </c>
      <c r="K83" s="15" t="n">
        <f aca="false">J83*(1+IF(K$3&lt;=$O$2,$D83,$D83-($D83-$I$76)*MIN(K$3-$O$2,$Q$2)/$Q$2))</f>
        <v>8759.42171478074</v>
      </c>
      <c r="L83" s="15" t="n">
        <f aca="false">K83*(1+IF(L$3&lt;=$O$2,$D83,$D83-($D83-$I$76)*MIN(L$3-$O$2,$Q$2)/$Q$2))</f>
        <v>9018.74439464683</v>
      </c>
      <c r="M83" s="15" t="n">
        <f aca="false">L83*(1+IF(M$3&lt;=$O$2,$D83,$D83-($D83-$I$76)*MIN(M$3-$O$2,$Q$2)/$Q$2))</f>
        <v>9257.31273074622</v>
      </c>
      <c r="N83" s="15" t="n">
        <f aca="false">M83*(1+IF(N$3&lt;=$O$2,$D83,$D83-($D83-$I$76)*MIN(N$3-$O$2,$Q$2)/$Q$2))</f>
        <v>9473.00811737261</v>
      </c>
      <c r="O83" s="15" t="n">
        <f aca="false">SUMPRODUCT(E83:N83,1/(1+$F$76)^$E$3:$N$3)*$E$2</f>
        <v>36066.6213812911</v>
      </c>
      <c r="P83" s="15" t="n">
        <f aca="false">N83*$E$2*(1+$I$76)/($F$76-$I$76)/(1+$F$76)^$N$3</f>
        <v>71257.975692415</v>
      </c>
      <c r="Q83" s="15" t="n">
        <f aca="false">O83+P83</f>
        <v>107324.597073706</v>
      </c>
      <c r="R83" s="15" t="n">
        <f aca="false">Q83-$G$2+$I$2</f>
        <v>105734.597073706</v>
      </c>
      <c r="S83" s="42" t="n">
        <f aca="false">R83/$K$2</f>
        <v>294.050272745164</v>
      </c>
      <c r="T83" s="43" t="n">
        <f aca="false">S83-$M$2</f>
        <v>16.0314730343904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0.015625</v>
      </c>
      <c r="C84" s="25" t="n">
        <f aca="false">IF(T83&gt;0,D83,C83)</f>
        <v>0.0390625</v>
      </c>
      <c r="D84" s="41" t="n">
        <f aca="false">(B84+C84)/2</f>
        <v>0.02734375</v>
      </c>
      <c r="E84" s="15" t="n">
        <f aca="false">$C$2*(1+IF(E$3&lt;=$O$2,$D84,$D84-($D84-$I$76)*MIN(E$3-$O$2,$Q$2)/$Q$2))</f>
        <v>6944.84375</v>
      </c>
      <c r="F84" s="15" t="n">
        <f aca="false">E84*(1+IF(F$3&lt;=$O$2,$D84,$D84-($D84-$I$76)*MIN(F$3-$O$2,$Q$2)/$Q$2))</f>
        <v>7134.74182128906</v>
      </c>
      <c r="G84" s="15" t="n">
        <f aca="false">F84*(1+IF(G$3&lt;=$O$2,$D84,$D84-($D84-$I$76)*MIN(G$3-$O$2,$Q$2)/$Q$2))</f>
        <v>7329.83241796494</v>
      </c>
      <c r="H84" s="15" t="n">
        <f aca="false">G84*(1+IF(H$3&lt;=$O$2,$D84,$D84-($D84-$I$76)*MIN(H$3-$O$2,$Q$2)/$Q$2))</f>
        <v>7530.25752314366</v>
      </c>
      <c r="I84" s="15" t="n">
        <f aca="false">H84*(1+IF(I$3&lt;=$O$2,$D84,$D84-($D84-$I$76)*MIN(I$3-$O$2,$Q$2)/$Q$2))</f>
        <v>7736.16300229212</v>
      </c>
      <c r="J84" s="15" t="n">
        <f aca="false">I84*(1+IF(J$3&lt;=$O$2,$D84,$D84-($D84-$I$76)*MIN(J$3-$O$2,$Q$2)/$Q$2))</f>
        <v>7941.44208755794</v>
      </c>
      <c r="K84" s="15" t="n">
        <f aca="false">J84*(1+IF(K$3&lt;=$O$2,$D84,$D84-($D84-$I$76)*MIN(K$3-$O$2,$Q$2)/$Q$2))</f>
        <v>8145.74561206298</v>
      </c>
      <c r="L84" s="15" t="n">
        <f aca="false">K84*(1+IF(L$3&lt;=$O$2,$D84,$D84-($D84-$I$76)*MIN(L$3-$O$2,$Q$2)/$Q$2))</f>
        <v>8348.71722835156</v>
      </c>
      <c r="M84" s="15" t="n">
        <f aca="false">L84*(1+IF(M$3&lt;=$O$2,$D84,$D84-($D84-$I$76)*MIN(M$3-$O$2,$Q$2)/$Q$2))</f>
        <v>8549.99436483058</v>
      </c>
      <c r="N84" s="15" t="n">
        <f aca="false">M84*(1+IF(N$3&lt;=$O$2,$D84,$D84-($D84-$I$76)*MIN(N$3-$O$2,$Q$2)/$Q$2))</f>
        <v>8749.20923353113</v>
      </c>
      <c r="O84" s="15" t="n">
        <f aca="false">SUMPRODUCT(E84:N84,1/(1+$F$76)^$E$3:$N$3)*$E$2</f>
        <v>34233.7744857898</v>
      </c>
      <c r="P84" s="15" t="n">
        <f aca="false">N84*$E$2*(1+$I$76)/($F$76-$I$76)/(1+$F$76)^$N$3</f>
        <v>65813.4070156093</v>
      </c>
      <c r="Q84" s="15" t="n">
        <f aca="false">O84+P84</f>
        <v>100047.181501399</v>
      </c>
      <c r="R84" s="15" t="n">
        <f aca="false">Q84-$G$2+$I$2</f>
        <v>98457.1815013991</v>
      </c>
      <c r="S84" s="42" t="n">
        <f aca="false">R84/$K$2</f>
        <v>273.811617724565</v>
      </c>
      <c r="T84" s="43" t="n">
        <f aca="false">S84-$M$2</f>
        <v>-4.20718198620864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0.02734375</v>
      </c>
      <c r="C85" s="25" t="n">
        <f aca="false">IF(T84&gt;0,D84,C84)</f>
        <v>0.0390625</v>
      </c>
      <c r="D85" s="41" t="n">
        <f aca="false">(B85+C85)/2</f>
        <v>0.033203125</v>
      </c>
      <c r="E85" s="15" t="n">
        <f aca="false">$C$2*(1+IF(E$3&lt;=$O$2,$D85,$D85-($D85-$I$76)*MIN(E$3-$O$2,$Q$2)/$Q$2))</f>
        <v>6984.453125</v>
      </c>
      <c r="F85" s="15" t="n">
        <f aca="false">E85*(1+IF(F$3&lt;=$O$2,$D85,$D85-($D85-$I$76)*MIN(F$3-$O$2,$Q$2)/$Q$2))</f>
        <v>7216.35879516602</v>
      </c>
      <c r="G85" s="15" t="n">
        <f aca="false">F85*(1+IF(G$3&lt;=$O$2,$D85,$D85-($D85-$I$76)*MIN(G$3-$O$2,$Q$2)/$Q$2))</f>
        <v>7455.96445828676</v>
      </c>
      <c r="H85" s="15" t="n">
        <f aca="false">G85*(1+IF(H$3&lt;=$O$2,$D85,$D85-($D85-$I$76)*MIN(H$3-$O$2,$Q$2)/$Q$2))</f>
        <v>7703.52577819082</v>
      </c>
      <c r="I85" s="15" t="n">
        <f aca="false">H85*(1+IF(I$3&lt;=$O$2,$D85,$D85-($D85-$I$76)*MIN(I$3-$O$2,$Q$2)/$Q$2))</f>
        <v>7959.30690754481</v>
      </c>
      <c r="J85" s="15" t="n">
        <f aca="false">I85*(1+IF(J$3&lt;=$O$2,$D85,$D85-($D85-$I$76)*MIN(J$3-$O$2,$Q$2)/$Q$2))</f>
        <v>8207.81636746562</v>
      </c>
      <c r="K85" s="15" t="n">
        <f aca="false">J85*(1+IF(K$3&lt;=$O$2,$D85,$D85-($D85-$I$76)*MIN(K$3-$O$2,$Q$2)/$Q$2))</f>
        <v>8447.82830770601</v>
      </c>
      <c r="L85" s="15" t="n">
        <f aca="false">K85*(1+IF(L$3&lt;=$O$2,$D85,$D85-($D85-$I$76)*MIN(L$3-$O$2,$Q$2)/$Q$2))</f>
        <v>8678.12666715946</v>
      </c>
      <c r="M85" s="15" t="n">
        <f aca="false">L85*(1+IF(M$3&lt;=$O$2,$D85,$D85-($D85-$I$76)*MIN(M$3-$O$2,$Q$2)/$Q$2))</f>
        <v>8897.51513313442</v>
      </c>
      <c r="N85" s="15" t="n">
        <f aca="false">M85*(1+IF(N$3&lt;=$O$2,$D85,$D85-($D85-$I$76)*MIN(N$3-$O$2,$Q$2)/$Q$2))</f>
        <v>9104.82723573645</v>
      </c>
      <c r="O85" s="15" t="n">
        <f aca="false">SUMPRODUCT(E85:N85,1/(1+$F$76)^$E$3:$N$3)*$E$2</f>
        <v>35138.173281104</v>
      </c>
      <c r="P85" s="15" t="n">
        <f aca="false">N85*$E$2*(1+$I$76)/($F$76-$I$76)/(1+$F$76)^$N$3</f>
        <v>68488.4410325715</v>
      </c>
      <c r="Q85" s="15" t="n">
        <f aca="false">O85+P85</f>
        <v>103626.614313676</v>
      </c>
      <c r="R85" s="15" t="n">
        <f aca="false">Q85-$G$2+$I$2</f>
        <v>102036.614313676</v>
      </c>
      <c r="S85" s="42" t="n">
        <f aca="false">R85/$K$2</f>
        <v>283.766100210455</v>
      </c>
      <c r="T85" s="43" t="n">
        <f aca="false">S85-$M$2</f>
        <v>5.74730049968173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0.02734375</v>
      </c>
      <c r="C86" s="25" t="n">
        <f aca="false">IF(T85&gt;0,D85,C85)</f>
        <v>0.033203125</v>
      </c>
      <c r="D86" s="41" t="n">
        <f aca="false">(B86+C86)/2</f>
        <v>0.0302734375</v>
      </c>
      <c r="E86" s="15" t="n">
        <f aca="false">$C$2*(1+IF(E$3&lt;=$O$2,$D86,$D86-($D86-$I$76)*MIN(E$3-$O$2,$Q$2)/$Q$2))</f>
        <v>6964.6484375</v>
      </c>
      <c r="F86" s="15" t="n">
        <f aca="false">E86*(1+IF(F$3&lt;=$O$2,$D86,$D86-($D86-$I$76)*MIN(F$3-$O$2,$Q$2)/$Q$2))</f>
        <v>7175.49228668213</v>
      </c>
      <c r="G86" s="15" t="n">
        <f aca="false">F86*(1+IF(G$3&lt;=$O$2,$D86,$D86-($D86-$I$76)*MIN(G$3-$O$2,$Q$2)/$Q$2))</f>
        <v>7392.71910395473</v>
      </c>
      <c r="H86" s="15" t="n">
        <f aca="false">G86*(1+IF(H$3&lt;=$O$2,$D86,$D86-($D86-$I$76)*MIN(H$3-$O$2,$Q$2)/$Q$2))</f>
        <v>7616.52212370336</v>
      </c>
      <c r="I86" s="15" t="n">
        <f aca="false">H86*(1+IF(I$3&lt;=$O$2,$D86,$D86-($D86-$I$76)*MIN(I$3-$O$2,$Q$2)/$Q$2))</f>
        <v>7847.10043018266</v>
      </c>
      <c r="J86" s="15" t="n">
        <f aca="false">I86*(1+IF(J$3&lt;=$O$2,$D86,$D86-($D86-$I$76)*MIN(J$3-$O$2,$Q$2)/$Q$2))</f>
        <v>8073.7148817308</v>
      </c>
      <c r="K86" s="15" t="n">
        <f aca="false">J86*(1+IF(K$3&lt;=$O$2,$D86,$D86-($D86-$I$76)*MIN(K$3-$O$2,$Q$2)/$Q$2))</f>
        <v>8295.61336614747</v>
      </c>
      <c r="L86" s="15" t="n">
        <f aca="false">K86*(1+IF(L$3&lt;=$O$2,$D86,$D86-($D86-$I$76)*MIN(L$3-$O$2,$Q$2)/$Q$2))</f>
        <v>8512.0407341119</v>
      </c>
      <c r="M86" s="15" t="n">
        <f aca="false">L86*(1+IF(M$3&lt;=$O$2,$D86,$D86-($D86-$I$76)*MIN(M$3-$O$2,$Q$2)/$Q$2))</f>
        <v>8722.24292002807</v>
      </c>
      <c r="N86" s="15" t="n">
        <f aca="false">M86*(1+IF(N$3&lt;=$O$2,$D86,$D86-($D86-$I$76)*MIN(N$3-$O$2,$Q$2)/$Q$2))</f>
        <v>8925.47118006472</v>
      </c>
      <c r="O86" s="15" t="n">
        <f aca="false">SUMPRODUCT(E86:N86,1/(1+$F$76)^$E$3:$N$3)*$E$2</f>
        <v>34683.0044657625</v>
      </c>
      <c r="P86" s="15" t="n">
        <f aca="false">N86*$E$2*(1+$I$76)/($F$76-$I$76)/(1+$F$76)^$N$3</f>
        <v>67139.2867515882</v>
      </c>
      <c r="Q86" s="15" t="n">
        <f aca="false">O86+P86</f>
        <v>101822.291217351</v>
      </c>
      <c r="R86" s="15" t="n">
        <f aca="false">Q86-$G$2+$I$2</f>
        <v>100232.291217351</v>
      </c>
      <c r="S86" s="42" t="n">
        <f aca="false">R86/$K$2</f>
        <v>278.748237436316</v>
      </c>
      <c r="T86" s="43" t="n">
        <f aca="false">S86-$M$2</f>
        <v>0.729437725542766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0.02734375</v>
      </c>
      <c r="C87" s="25" t="n">
        <f aca="false">IF(T86&gt;0,D86,C86)</f>
        <v>0.0302734375</v>
      </c>
      <c r="D87" s="41" t="n">
        <f aca="false">(B87+C87)/2</f>
        <v>0.02880859375</v>
      </c>
      <c r="E87" s="15" t="n">
        <f aca="false">$C$2*(1+IF(E$3&lt;=$O$2,$D87,$D87-($D87-$I$76)*MIN(E$3-$O$2,$Q$2)/$Q$2))</f>
        <v>6954.74609375</v>
      </c>
      <c r="F87" s="15" t="n">
        <f aca="false">E87*(1+IF(F$3&lt;=$O$2,$D87,$D87-($D87-$I$76)*MIN(F$3-$O$2,$Q$2)/$Q$2))</f>
        <v>7155.10254859924</v>
      </c>
      <c r="G87" s="15" t="n">
        <f aca="false">F87*(1+IF(G$3&lt;=$O$2,$D87,$D87-($D87-$I$76)*MIN(G$3-$O$2,$Q$2)/$Q$2))</f>
        <v>7361.23099116143</v>
      </c>
      <c r="H87" s="15" t="n">
        <f aca="false">G87*(1+IF(H$3&lt;=$O$2,$D87,$D87-($D87-$I$76)*MIN(H$3-$O$2,$Q$2)/$Q$2))</f>
        <v>7573.29770428571</v>
      </c>
      <c r="I87" s="15" t="n">
        <f aca="false">H87*(1+IF(I$3&lt;=$O$2,$D87,$D87-($D87-$I$76)*MIN(I$3-$O$2,$Q$2)/$Q$2))</f>
        <v>7791.47376119628</v>
      </c>
      <c r="J87" s="15" t="n">
        <f aca="false">I87*(1+IF(J$3&lt;=$O$2,$D87,$D87-($D87-$I$76)*MIN(J$3-$O$2,$Q$2)/$Q$2))</f>
        <v>8007.35115076353</v>
      </c>
      <c r="K87" s="15" t="n">
        <f aca="false">J87*(1+IF(K$3&lt;=$O$2,$D87,$D87-($D87-$I$76)*MIN(K$3-$O$2,$Q$2)/$Q$2))</f>
        <v>8220.38797927821</v>
      </c>
      <c r="L87" s="15" t="n">
        <f aca="false">K87*(1+IF(L$3&lt;=$O$2,$D87,$D87-($D87-$I$76)*MIN(L$3-$O$2,$Q$2)/$Q$2))</f>
        <v>8430.03613033348</v>
      </c>
      <c r="M87" s="15" t="n">
        <f aca="false">L87*(1+IF(M$3&lt;=$O$2,$D87,$D87-($D87-$I$76)*MIN(M$3-$O$2,$Q$2)/$Q$2))</f>
        <v>8635.74350103822</v>
      </c>
      <c r="N87" s="15" t="n">
        <f aca="false">M87*(1+IF(N$3&lt;=$O$2,$D87,$D87-($D87-$I$76)*MIN(N$3-$O$2,$Q$2)/$Q$2))</f>
        <v>8836.95632461241</v>
      </c>
      <c r="O87" s="15" t="n">
        <f aca="false">SUMPRODUCT(E87:N87,1/(1+$F$76)^$E$3:$N$3)*$E$2</f>
        <v>34457.6516718155</v>
      </c>
      <c r="P87" s="15" t="n">
        <f aca="false">N87*$E$2*(1+$I$76)/($F$76-$I$76)/(1+$F$76)^$N$3</f>
        <v>66473.4592404018</v>
      </c>
      <c r="Q87" s="15" t="n">
        <f aca="false">O87+P87</f>
        <v>100931.110912217</v>
      </c>
      <c r="R87" s="15" t="n">
        <f aca="false">Q87-$G$2+$I$2</f>
        <v>99341.1109122173</v>
      </c>
      <c r="S87" s="42" t="n">
        <f aca="false">R87/$K$2</f>
        <v>276.269845131034</v>
      </c>
      <c r="T87" s="43" t="n">
        <f aca="false">S87-$M$2</f>
        <v>-1.74895457973946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0.02880859375</v>
      </c>
      <c r="C88" s="25" t="n">
        <f aca="false">IF(T87&gt;0,D87,C87)</f>
        <v>0.0302734375</v>
      </c>
      <c r="D88" s="41" t="n">
        <f aca="false">(B88+C88)/2</f>
        <v>0.029541015625</v>
      </c>
      <c r="E88" s="15" t="n">
        <f aca="false">$C$2*(1+IF(E$3&lt;=$O$2,$D88,$D88-($D88-$I$76)*MIN(E$3-$O$2,$Q$2)/$Q$2))</f>
        <v>6959.697265625</v>
      </c>
      <c r="F88" s="15" t="n">
        <f aca="false">E88*(1+IF(F$3&lt;=$O$2,$D88,$D88-($D88-$I$76)*MIN(F$3-$O$2,$Q$2)/$Q$2))</f>
        <v>7165.2937912941</v>
      </c>
      <c r="G88" s="15" t="n">
        <f aca="false">F88*(1+IF(G$3&lt;=$O$2,$D88,$D88-($D88-$I$76)*MIN(G$3-$O$2,$Q$2)/$Q$2))</f>
        <v>7376.96384714043</v>
      </c>
      <c r="H88" s="15" t="n">
        <f aca="false">G88*(1+IF(H$3&lt;=$O$2,$D88,$D88-($D88-$I$76)*MIN(H$3-$O$2,$Q$2)/$Q$2))</f>
        <v>7594.88685141387</v>
      </c>
      <c r="I88" s="15" t="n">
        <f aca="false">H88*(1+IF(I$3&lt;=$O$2,$D88,$D88-($D88-$I$76)*MIN(I$3-$O$2,$Q$2)/$Q$2))</f>
        <v>7819.24752256159</v>
      </c>
      <c r="J88" s="15" t="n">
        <f aca="false">I88*(1+IF(J$3&lt;=$O$2,$D88,$D88-($D88-$I$76)*MIN(J$3-$O$2,$Q$2)/$Q$2))</f>
        <v>8040.47602660852</v>
      </c>
      <c r="K88" s="15" t="n">
        <f aca="false">J88*(1+IF(K$3&lt;=$O$2,$D88,$D88-($D88-$I$76)*MIN(K$3-$O$2,$Q$2)/$Q$2))</f>
        <v>8257.9275599372</v>
      </c>
      <c r="L88" s="15" t="n">
        <f aca="false">K88*(1+IF(L$3&lt;=$O$2,$D88,$D88-($D88-$I$76)*MIN(L$3-$O$2,$Q$2)/$Q$2))</f>
        <v>8470.95241405641</v>
      </c>
      <c r="M88" s="15" t="n">
        <f aca="false">L88*(1+IF(M$3&lt;=$O$2,$D88,$D88-($D88-$I$76)*MIN(M$3-$O$2,$Q$2)/$Q$2))</f>
        <v>8678.89907457887</v>
      </c>
      <c r="N88" s="15" t="n">
        <f aca="false">M88*(1+IF(N$3&lt;=$O$2,$D88,$D88-($D88-$I$76)*MIN(N$3-$O$2,$Q$2)/$Q$2))</f>
        <v>8881.11742301656</v>
      </c>
      <c r="O88" s="15" t="n">
        <f aca="false">SUMPRODUCT(E88:N88,1/(1+$F$76)^$E$3:$N$3)*$E$2</f>
        <v>34570.1430508874</v>
      </c>
      <c r="P88" s="15" t="n">
        <f aca="false">N88*$E$2*(1+$I$76)/($F$76-$I$76)/(1+$F$76)^$N$3</f>
        <v>66805.6483864095</v>
      </c>
      <c r="Q88" s="15" t="n">
        <f aca="false">O88+P88</f>
        <v>101375.791437297</v>
      </c>
      <c r="R88" s="15" t="n">
        <f aca="false">Q88-$G$2+$I$2</f>
        <v>99785.7914372969</v>
      </c>
      <c r="S88" s="42" t="n">
        <f aca="false">R88/$K$2</f>
        <v>277.506511589346</v>
      </c>
      <c r="T88" s="43" t="n">
        <f aca="false">S88-$M$2</f>
        <v>-0.512288121428128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0.029541015625</v>
      </c>
      <c r="C89" s="25" t="n">
        <f aca="false">IF(T88&gt;0,D88,C88)</f>
        <v>0.0302734375</v>
      </c>
      <c r="D89" s="41" t="n">
        <f aca="false">(B89+C89)/2</f>
        <v>0.0299072265625</v>
      </c>
      <c r="E89" s="15" t="n">
        <f aca="false">$C$2*(1+IF(E$3&lt;=$O$2,$D89,$D89-($D89-$I$76)*MIN(E$3-$O$2,$Q$2)/$Q$2))</f>
        <v>6962.1728515625</v>
      </c>
      <c r="F89" s="15" t="n">
        <f aca="false">E89*(1+IF(F$3&lt;=$O$2,$D89,$D89-($D89-$I$76)*MIN(F$3-$O$2,$Q$2)/$Q$2))</f>
        <v>7170.39213240147</v>
      </c>
      <c r="G89" s="15" t="n">
        <f aca="false">F89*(1+IF(G$3&lt;=$O$2,$D89,$D89-($D89-$I$76)*MIN(G$3-$O$2,$Q$2)/$Q$2))</f>
        <v>7384.83867444716</v>
      </c>
      <c r="H89" s="15" t="n">
        <f aca="false">G89*(1+IF(H$3&lt;=$O$2,$D89,$D89-($D89-$I$76)*MIN(H$3-$O$2,$Q$2)/$Q$2))</f>
        <v>7605.69871781137</v>
      </c>
      <c r="I89" s="15" t="n">
        <f aca="false">H89*(1+IF(I$3&lt;=$O$2,$D89,$D89-($D89-$I$76)*MIN(I$3-$O$2,$Q$2)/$Q$2))</f>
        <v>7833.16407253107</v>
      </c>
      <c r="J89" s="15" t="n">
        <f aca="false">I89*(1+IF(J$3&lt;=$O$2,$D89,$D89-($D89-$I$76)*MIN(J$3-$O$2,$Q$2)/$Q$2))</f>
        <v>8057.0811872038</v>
      </c>
      <c r="K89" s="15" t="n">
        <f aca="false">J89*(1+IF(K$3&lt;=$O$2,$D89,$D89-($D89-$I$76)*MIN(K$3-$O$2,$Q$2)/$Q$2))</f>
        <v>8276.75215536744</v>
      </c>
      <c r="L89" s="15" t="n">
        <f aca="false">K89*(1+IF(L$3&lt;=$O$2,$D89,$D89-($D89-$I$76)*MIN(L$3-$O$2,$Q$2)/$Q$2))</f>
        <v>8491.47503126437</v>
      </c>
      <c r="M89" s="15" t="n">
        <f aca="false">L89*(1+IF(M$3&lt;=$O$2,$D89,$D89-($D89-$I$76)*MIN(M$3-$O$2,$Q$2)/$Q$2))</f>
        <v>8700.5474193691</v>
      </c>
      <c r="N89" s="15" t="n">
        <f aca="false">M89*(1+IF(N$3&lt;=$O$2,$D89,$D89-($D89-$I$76)*MIN(N$3-$O$2,$Q$2)/$Q$2))</f>
        <v>8903.2701742404</v>
      </c>
      <c r="O89" s="15" t="n">
        <f aca="false">SUMPRODUCT(E89:N89,1/(1+$F$76)^$E$3:$N$3)*$E$2</f>
        <v>34626.5274328201</v>
      </c>
      <c r="P89" s="15" t="n">
        <f aca="false">N89*$E$2*(1+$I$76)/($F$76-$I$76)/(1+$F$76)^$N$3</f>
        <v>66972.2860783305</v>
      </c>
      <c r="Q89" s="15" t="n">
        <f aca="false">O89+P89</f>
        <v>101598.813511151</v>
      </c>
      <c r="R89" s="15" t="n">
        <f aca="false">Q89-$G$2+$I$2</f>
        <v>100008.813511151</v>
      </c>
      <c r="S89" s="42" t="n">
        <f aca="false">R89/$K$2</f>
        <v>278.126740950972</v>
      </c>
      <c r="T89" s="43" t="n">
        <f aca="false">S89-$M$2</f>
        <v>0.1079412401985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0.029541015625</v>
      </c>
      <c r="C90" s="25" t="n">
        <f aca="false">IF(T89&gt;0,D89,C89)</f>
        <v>0.0299072265625</v>
      </c>
      <c r="D90" s="41" t="n">
        <f aca="false">(B90+C90)/2</f>
        <v>0.02972412109375</v>
      </c>
      <c r="E90" s="15" t="n">
        <f aca="false">$C$2*(1+IF(E$3&lt;=$O$2,$D90,$D90-($D90-$I$76)*MIN(E$3-$O$2,$Q$2)/$Q$2))</f>
        <v>6960.93505859375</v>
      </c>
      <c r="F90" s="15" t="n">
        <f aca="false">E90*(1+IF(F$3&lt;=$O$2,$D90,$D90-($D90-$I$76)*MIN(F$3-$O$2,$Q$2)/$Q$2))</f>
        <v>7167.84273520112</v>
      </c>
      <c r="G90" s="15" t="n">
        <f aca="false">F90*(1+IF(G$3&lt;=$O$2,$D90,$D90-($D90-$I$76)*MIN(G$3-$O$2,$Q$2)/$Q$2))</f>
        <v>7380.9005606432</v>
      </c>
      <c r="H90" s="15" t="n">
        <f aca="false">G90*(1+IF(H$3&lt;=$O$2,$D90,$D90-($D90-$I$76)*MIN(H$3-$O$2,$Q$2)/$Q$2))</f>
        <v>7600.29134268868</v>
      </c>
      <c r="I90" s="15" t="n">
        <f aca="false">H90*(1+IF(I$3&lt;=$O$2,$D90,$D90-($D90-$I$76)*MIN(I$3-$O$2,$Q$2)/$Q$2))</f>
        <v>7826.20332290654</v>
      </c>
      <c r="J90" s="15" t="n">
        <f aca="false">I90*(1+IF(J$3&lt;=$O$2,$D90,$D90-($D90-$I$76)*MIN(J$3-$O$2,$Q$2)/$Q$2))</f>
        <v>8048.77504261079</v>
      </c>
      <c r="K90" s="15" t="n">
        <f aca="false">J90*(1+IF(K$3&lt;=$O$2,$D90,$D90-($D90-$I$76)*MIN(K$3-$O$2,$Q$2)/$Q$2))</f>
        <v>8267.33528442167</v>
      </c>
      <c r="L90" s="15" t="n">
        <f aca="false">K90*(1+IF(L$3&lt;=$O$2,$D90,$D90-($D90-$I$76)*MIN(L$3-$O$2,$Q$2)/$Q$2))</f>
        <v>8481.2083417446</v>
      </c>
      <c r="M90" s="15" t="n">
        <f aca="false">L90*(1+IF(M$3&lt;=$O$2,$D90,$D90-($D90-$I$76)*MIN(M$3-$O$2,$Q$2)/$Q$2))</f>
        <v>8689.71735798899</v>
      </c>
      <c r="N90" s="15" t="n">
        <f aca="false">M90*(1+IF(N$3&lt;=$O$2,$D90,$D90-($D90-$I$76)*MIN(N$3-$O$2,$Q$2)/$Q$2))</f>
        <v>8892.18777243013</v>
      </c>
      <c r="O90" s="15" t="n">
        <f aca="false">SUMPRODUCT(E90:N90,1/(1+$F$76)^$E$3:$N$3)*$E$2</f>
        <v>34598.3236693636</v>
      </c>
      <c r="P90" s="15" t="n">
        <f aca="false">N90*$E$2*(1+$I$76)/($F$76-$I$76)/(1+$F$76)^$N$3</f>
        <v>66888.9219020282</v>
      </c>
      <c r="Q90" s="15" t="n">
        <f aca="false">O90+P90</f>
        <v>101487.245571392</v>
      </c>
      <c r="R90" s="15" t="n">
        <f aca="false">Q90-$G$2+$I$2</f>
        <v>99897.2455713918</v>
      </c>
      <c r="S90" s="42" t="n">
        <f aca="false">R90/$K$2</f>
        <v>277.816468022114</v>
      </c>
      <c r="T90" s="43" t="n">
        <f aca="false">S90-$M$2</f>
        <v>-0.202331688659513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0.02972412109375</v>
      </c>
      <c r="C91" s="25" t="n">
        <f aca="false">IF(T90&gt;0,D90,C90)</f>
        <v>0.0299072265625</v>
      </c>
      <c r="D91" s="41" t="n">
        <f aca="false">(B91+C91)/2</f>
        <v>0.029815673828125</v>
      </c>
      <c r="E91" s="15" t="n">
        <f aca="false">$C$2*(1+IF(E$3&lt;=$O$2,$D91,$D91-($D91-$I$76)*MIN(E$3-$O$2,$Q$2)/$Q$2))</f>
        <v>6961.55395507813</v>
      </c>
      <c r="F91" s="15" t="n">
        <f aca="false">E91*(1+IF(F$3&lt;=$O$2,$D91,$D91-($D91-$I$76)*MIN(F$3-$O$2,$Q$2)/$Q$2))</f>
        <v>7169.11737713963</v>
      </c>
      <c r="G91" s="15" t="n">
        <f aca="false">F91*(1+IF(G$3&lt;=$O$2,$D91,$D91-($D91-$I$76)*MIN(G$3-$O$2,$Q$2)/$Q$2))</f>
        <v>7382.86944249197</v>
      </c>
      <c r="H91" s="15" t="n">
        <f aca="false">G91*(1+IF(H$3&lt;=$O$2,$D91,$D91-($D91-$I$76)*MIN(H$3-$O$2,$Q$2)/$Q$2))</f>
        <v>7602.99466970494</v>
      </c>
      <c r="I91" s="15" t="n">
        <f aca="false">H91*(1+IF(I$3&lt;=$O$2,$D91,$D91-($D91-$I$76)*MIN(I$3-$O$2,$Q$2)/$Q$2))</f>
        <v>7829.68307889383</v>
      </c>
      <c r="J91" s="15" t="n">
        <f aca="false">I91*(1+IF(J$3&lt;=$O$2,$D91,$D91-($D91-$I$76)*MIN(J$3-$O$2,$Q$2)/$Q$2))</f>
        <v>8052.92722352779</v>
      </c>
      <c r="K91" s="15" t="n">
        <f aca="false">J91*(1+IF(K$3&lt;=$O$2,$D91,$D91-($D91-$I$76)*MIN(K$3-$O$2,$Q$2)/$Q$2))</f>
        <v>8272.04257612607</v>
      </c>
      <c r="L91" s="15" t="n">
        <f aca="false">K91*(1+IF(L$3&lt;=$O$2,$D91,$D91-($D91-$I$76)*MIN(L$3-$O$2,$Q$2)/$Q$2))</f>
        <v>8486.34034067716</v>
      </c>
      <c r="M91" s="15" t="n">
        <f aca="false">L91*(1+IF(M$3&lt;=$O$2,$D91,$D91-($D91-$I$76)*MIN(M$3-$O$2,$Q$2)/$Q$2))</f>
        <v>8695.1309157458</v>
      </c>
      <c r="N91" s="15" t="n">
        <f aca="false">M91*(1+IF(N$3&lt;=$O$2,$D91,$D91-($D91-$I$76)*MIN(N$3-$O$2,$Q$2)/$Q$2))</f>
        <v>8897.72746608268</v>
      </c>
      <c r="O91" s="15" t="n">
        <f aca="false">SUMPRODUCT(E91:N91,1/(1+$F$76)^$E$3:$N$3)*$E$2</f>
        <v>34612.422656859</v>
      </c>
      <c r="P91" s="15" t="n">
        <f aca="false">N91*$E$2*(1+$I$76)/($F$76-$I$76)/(1+$F$76)^$N$3</f>
        <v>66930.5926523058</v>
      </c>
      <c r="Q91" s="15" t="n">
        <f aca="false">O91+P91</f>
        <v>101543.015309165</v>
      </c>
      <c r="R91" s="15" t="n">
        <f aca="false">Q91-$G$2+$I$2</f>
        <v>99953.0153091648</v>
      </c>
      <c r="S91" s="42" t="n">
        <f aca="false">R91/$K$2</f>
        <v>277.971564906738</v>
      </c>
      <c r="T91" s="43" t="n">
        <f aca="false">S91-$M$2</f>
        <v>-0.0472348040357247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0.029815673828125</v>
      </c>
      <c r="C92" s="25" t="n">
        <f aca="false">IF(T91&gt;0,D91,C91)</f>
        <v>0.0299072265625</v>
      </c>
      <c r="D92" s="41" t="n">
        <f aca="false">(B92+C92)/2</f>
        <v>0.0298614501953125</v>
      </c>
      <c r="E92" s="15" t="n">
        <f aca="false">$C$2*(1+IF(E$3&lt;=$O$2,$D92,$D92-($D92-$I$76)*MIN(E$3-$O$2,$Q$2)/$Q$2))</f>
        <v>6961.86340332031</v>
      </c>
      <c r="F92" s="15" t="n">
        <f aca="false">E92*(1+IF(F$3&lt;=$O$2,$D92,$D92-($D92-$I$76)*MIN(F$3-$O$2,$Q$2)/$Q$2))</f>
        <v>7169.75474060513</v>
      </c>
      <c r="G92" s="15" t="n">
        <f aca="false">F92*(1+IF(G$3&lt;=$O$2,$D92,$D92-($D92-$I$76)*MIN(G$3-$O$2,$Q$2)/$Q$2))</f>
        <v>7383.85401470432</v>
      </c>
      <c r="H92" s="15" t="n">
        <f aca="false">G92*(1+IF(H$3&lt;=$O$2,$D92,$D92-($D92-$I$76)*MIN(H$3-$O$2,$Q$2)/$Q$2))</f>
        <v>7604.34660361387</v>
      </c>
      <c r="I92" s="15" t="n">
        <f aca="false">H92*(1+IF(I$3&lt;=$O$2,$D92,$D92-($D92-$I$76)*MIN(I$3-$O$2,$Q$2)/$Q$2))</f>
        <v>7831.42342098558</v>
      </c>
      <c r="J92" s="15" t="n">
        <f aca="false">I92*(1+IF(J$3&lt;=$O$2,$D92,$D92-($D92-$I$76)*MIN(J$3-$O$2,$Q$2)/$Q$2))</f>
        <v>8055.0039824827</v>
      </c>
      <c r="K92" s="15" t="n">
        <f aca="false">J92*(1+IF(K$3&lt;=$O$2,$D92,$D92-($D92-$I$76)*MIN(K$3-$O$2,$Q$2)/$Q$2))</f>
        <v>8274.39707974701</v>
      </c>
      <c r="L92" s="15" t="n">
        <f aca="false">K92*(1+IF(L$3&lt;=$O$2,$D92,$D92-($D92-$I$76)*MIN(L$3-$O$2,$Q$2)/$Q$2))</f>
        <v>8488.90734943911</v>
      </c>
      <c r="M92" s="15" t="n">
        <f aca="false">L92*(1+IF(M$3&lt;=$O$2,$D92,$D92-($D92-$I$76)*MIN(M$3-$O$2,$Q$2)/$Q$2))</f>
        <v>8697.83879923824</v>
      </c>
      <c r="N92" s="15" t="n">
        <f aca="false">M92*(1+IF(N$3&lt;=$O$2,$D92,$D92-($D92-$I$76)*MIN(N$3-$O$2,$Q$2)/$Q$2))</f>
        <v>8900.49844326049</v>
      </c>
      <c r="O92" s="15" t="n">
        <f aca="false">SUMPRODUCT(E92:N92,1/(1+$F$76)^$E$3:$N$3)*$E$2</f>
        <v>34619.4743211425</v>
      </c>
      <c r="P92" s="15" t="n">
        <f aca="false">N92*$E$2*(1+$I$76)/($F$76-$I$76)/(1+$F$76)^$N$3</f>
        <v>66951.4365301885</v>
      </c>
      <c r="Q92" s="15" t="n">
        <f aca="false">O92+P92</f>
        <v>101570.910851331</v>
      </c>
      <c r="R92" s="15" t="n">
        <f aca="false">Q92-$G$2+$I$2</f>
        <v>99980.910851331</v>
      </c>
      <c r="S92" s="42" t="n">
        <f aca="false">R92/$K$2</f>
        <v>278.049143031679</v>
      </c>
      <c r="T92" s="43" t="n">
        <f aca="false">S92-$M$2</f>
        <v>0.0303433209049899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0.029815673828125</v>
      </c>
      <c r="C93" s="25" t="n">
        <f aca="false">IF(T92&gt;0,D92,C92)</f>
        <v>0.0298614501953125</v>
      </c>
      <c r="D93" s="41" t="n">
        <f aca="false">(B93+C93)/2</f>
        <v>0.0298385620117188</v>
      </c>
      <c r="E93" s="15" t="n">
        <f aca="false">$C$2*(1+IF(E$3&lt;=$O$2,$D93,$D93-($D93-$I$76)*MIN(E$3-$O$2,$Q$2)/$Q$2))</f>
        <v>6961.70867919922</v>
      </c>
      <c r="F93" s="15" t="n">
        <f aca="false">E93*(1+IF(F$3&lt;=$O$2,$D93,$D93-($D93-$I$76)*MIN(F$3-$O$2,$Q$2)/$Q$2))</f>
        <v>7169.43605533103</v>
      </c>
      <c r="G93" s="15" t="n">
        <f aca="false">F93*(1+IF(G$3&lt;=$O$2,$D93,$D93-($D93-$I$76)*MIN(G$3-$O$2,$Q$2)/$Q$2))</f>
        <v>7383.36171765707</v>
      </c>
      <c r="H93" s="15" t="n">
        <f aca="false">G93*(1+IF(H$3&lt;=$O$2,$D93,$D93-($D93-$I$76)*MIN(H$3-$O$2,$Q$2)/$Q$2))</f>
        <v>7603.67061412433</v>
      </c>
      <c r="I93" s="15" t="n">
        <f aca="false">H93*(1+IF(I$3&lt;=$O$2,$D93,$D93-($D93-$I$76)*MIN(I$3-$O$2,$Q$2)/$Q$2))</f>
        <v>7830.55321126057</v>
      </c>
      <c r="J93" s="15" t="n">
        <f aca="false">I93*(1+IF(J$3&lt;=$O$2,$D93,$D93-($D93-$I$76)*MIN(J$3-$O$2,$Q$2)/$Q$2))</f>
        <v>8053.96554728925</v>
      </c>
      <c r="K93" s="15" t="n">
        <f aca="false">J93*(1+IF(K$3&lt;=$O$2,$D93,$D93-($D93-$I$76)*MIN(K$3-$O$2,$Q$2)/$Q$2))</f>
        <v>8273.21975644381</v>
      </c>
      <c r="L93" s="15" t="n">
        <f aca="false">K93*(1+IF(L$3&lt;=$O$2,$D93,$D93-($D93-$I$76)*MIN(L$3-$O$2,$Q$2)/$Q$2))</f>
        <v>8487.62376093458</v>
      </c>
      <c r="M93" s="15" t="n">
        <f aca="false">L93*(1+IF(M$3&lt;=$O$2,$D93,$D93-($D93-$I$76)*MIN(M$3-$O$2,$Q$2)/$Q$2))</f>
        <v>8696.48476542296</v>
      </c>
      <c r="N93" s="15" t="n">
        <f aca="false">M93*(1+IF(N$3&lt;=$O$2,$D93,$D93-($D93-$I$76)*MIN(N$3-$O$2,$Q$2)/$Q$2))</f>
        <v>8899.11286045731</v>
      </c>
      <c r="O93" s="15" t="n">
        <f aca="false">SUMPRODUCT(E93:N93,1/(1+$F$76)^$E$3:$N$3)*$E$2</f>
        <v>34615.9483080938</v>
      </c>
      <c r="P93" s="15" t="n">
        <f aca="false">N93*$E$2*(1+$I$76)/($F$76-$I$76)/(1+$F$76)^$N$3</f>
        <v>66941.0138825474</v>
      </c>
      <c r="Q93" s="15" t="n">
        <f aca="false">O93+P93</f>
        <v>101556.962190641</v>
      </c>
      <c r="R93" s="15" t="n">
        <f aca="false">Q93-$G$2+$I$2</f>
        <v>99966.9621906413</v>
      </c>
      <c r="S93" s="42" t="n">
        <f aca="false">R93/$K$2</f>
        <v>278.010351495192</v>
      </c>
      <c r="T93" s="43" t="n">
        <f aca="false">S93-$M$2</f>
        <v>-0.0084482155813248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0.0298385620117188</v>
      </c>
      <c r="C94" s="25" t="n">
        <f aca="false">IF(T93&gt;0,D93,C93)</f>
        <v>0.0298614501953125</v>
      </c>
      <c r="D94" s="41" t="n">
        <f aca="false">(B94+C94)/2</f>
        <v>0.0298500061035156</v>
      </c>
      <c r="E94" s="15" t="n">
        <f aca="false">$C$2*(1+IF(E$3&lt;=$O$2,$D94,$D94-($D94-$I$76)*MIN(E$3-$O$2,$Q$2)/$Q$2))</f>
        <v>6961.78604125977</v>
      </c>
      <c r="F94" s="15" t="n">
        <f aca="false">E94*(1+IF(F$3&lt;=$O$2,$D94,$D94-($D94-$I$76)*MIN(F$3-$O$2,$Q$2)/$Q$2))</f>
        <v>7169.59539708274</v>
      </c>
      <c r="G94" s="15" t="n">
        <f aca="false">F94*(1+IF(G$3&lt;=$O$2,$D94,$D94-($D94-$I$76)*MIN(G$3-$O$2,$Q$2)/$Q$2))</f>
        <v>7383.6078634454</v>
      </c>
      <c r="H94" s="15" t="n">
        <f aca="false">G94*(1+IF(H$3&lt;=$O$2,$D94,$D94-($D94-$I$76)*MIN(H$3-$O$2,$Q$2)/$Q$2))</f>
        <v>7604.00860323521</v>
      </c>
      <c r="I94" s="15" t="n">
        <f aca="false">H94*(1+IF(I$3&lt;=$O$2,$D94,$D94-($D94-$I$76)*MIN(I$3-$O$2,$Q$2)/$Q$2))</f>
        <v>7830.98830645297</v>
      </c>
      <c r="J94" s="15" t="n">
        <f aca="false">I94*(1+IF(J$3&lt;=$O$2,$D94,$D94-($D94-$I$76)*MIN(J$3-$O$2,$Q$2)/$Q$2))</f>
        <v>8054.48475095638</v>
      </c>
      <c r="K94" s="15" t="n">
        <f aca="false">J94*(1+IF(K$3&lt;=$O$2,$D94,$D94-($D94-$I$76)*MIN(K$3-$O$2,$Q$2)/$Q$2))</f>
        <v>8273.80840022133</v>
      </c>
      <c r="L94" s="15" t="n">
        <f aca="false">K94*(1+IF(L$3&lt;=$O$2,$D94,$D94-($D94-$I$76)*MIN(L$3-$O$2,$Q$2)/$Q$2))</f>
        <v>8488.26553415479</v>
      </c>
      <c r="M94" s="15" t="n">
        <f aca="false">L94*(1+IF(M$3&lt;=$O$2,$D94,$D94-($D94-$I$76)*MIN(M$3-$O$2,$Q$2)/$Q$2))</f>
        <v>8697.16175931199</v>
      </c>
      <c r="N94" s="15" t="n">
        <f aca="false">M94*(1+IF(N$3&lt;=$O$2,$D94,$D94-($D94-$I$76)*MIN(N$3-$O$2,$Q$2)/$Q$2))</f>
        <v>8899.80562830396</v>
      </c>
      <c r="O94" s="15" t="n">
        <f aca="false">SUMPRODUCT(E94:N94,1/(1+$F$76)^$E$3:$N$3)*$E$2</f>
        <v>34617.7112693893</v>
      </c>
      <c r="P94" s="15" t="n">
        <f aca="false">N94*$E$2*(1+$I$76)/($F$76-$I$76)/(1+$F$76)^$N$3</f>
        <v>66946.2250291828</v>
      </c>
      <c r="Q94" s="15" t="n">
        <f aca="false">O94+P94</f>
        <v>101563.936298572</v>
      </c>
      <c r="R94" s="15" t="n">
        <f aca="false">Q94-$G$2+$I$2</f>
        <v>99973.936298572</v>
      </c>
      <c r="S94" s="42" t="n">
        <f aca="false">R94/$K$2</f>
        <v>278.029746644897</v>
      </c>
      <c r="T94" s="43" t="n">
        <f aca="false">S94-$M$2</f>
        <v>0.0109469341231829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0.0298385620117188</v>
      </c>
      <c r="C95" s="25" t="n">
        <f aca="false">IF(T94&gt;0,D94,C94)</f>
        <v>0.0298500061035156</v>
      </c>
      <c r="D95" s="41" t="n">
        <f aca="false">(B95+C95)/2</f>
        <v>0.0298442840576172</v>
      </c>
      <c r="E95" s="15" t="n">
        <f aca="false">$C$2*(1+IF(E$3&lt;=$O$2,$D95,$D95-($D95-$I$76)*MIN(E$3-$O$2,$Q$2)/$Q$2))</f>
        <v>6961.74736022949</v>
      </c>
      <c r="F95" s="15" t="n">
        <f aca="false">E95*(1+IF(F$3&lt;=$O$2,$D95,$D95-($D95-$I$76)*MIN(F$3-$O$2,$Q$2)/$Q$2))</f>
        <v>7169.51572598555</v>
      </c>
      <c r="G95" s="15" t="n">
        <f aca="false">F95*(1+IF(G$3&lt;=$O$2,$D95,$D95-($D95-$I$76)*MIN(G$3-$O$2,$Q$2)/$Q$2))</f>
        <v>7383.48478986741</v>
      </c>
      <c r="H95" s="15" t="n">
        <f aca="false">G95*(1+IF(H$3&lt;=$O$2,$D95,$D95-($D95-$I$76)*MIN(H$3-$O$2,$Q$2)/$Q$2))</f>
        <v>7603.83960727131</v>
      </c>
      <c r="I95" s="15" t="n">
        <f aca="false">H95*(1+IF(I$3&lt;=$O$2,$D95,$D95-($D95-$I$76)*MIN(I$3-$O$2,$Q$2)/$Q$2))</f>
        <v>7830.77075643928</v>
      </c>
      <c r="J95" s="15" t="n">
        <f aca="false">I95*(1+IF(J$3&lt;=$O$2,$D95,$D95-($D95-$I$76)*MIN(J$3-$O$2,$Q$2)/$Q$2))</f>
        <v>8054.22514564049</v>
      </c>
      <c r="K95" s="15" t="n">
        <f aca="false">J95*(1+IF(K$3&lt;=$O$2,$D95,$D95-($D95-$I$76)*MIN(K$3-$O$2,$Q$2)/$Q$2))</f>
        <v>8273.51407386416</v>
      </c>
      <c r="L95" s="15" t="n">
        <f aca="false">K95*(1+IF(L$3&lt;=$O$2,$D95,$D95-($D95-$I$76)*MIN(L$3-$O$2,$Q$2)/$Q$2))</f>
        <v>8487.94464228682</v>
      </c>
      <c r="M95" s="15" t="n">
        <f aca="false">L95*(1+IF(M$3&lt;=$O$2,$D95,$D95-($D95-$I$76)*MIN(M$3-$O$2,$Q$2)/$Q$2))</f>
        <v>8696.82325661299</v>
      </c>
      <c r="N95" s="15" t="n">
        <f aca="false">M95*(1+IF(N$3&lt;=$O$2,$D95,$D95-($D95-$I$76)*MIN(N$3-$O$2,$Q$2)/$Q$2))</f>
        <v>8899.45923849207</v>
      </c>
      <c r="O95" s="15" t="n">
        <f aca="false">SUMPRODUCT(E95:N95,1/(1+$F$76)^$E$3:$N$3)*$E$2</f>
        <v>34616.8297774346</v>
      </c>
      <c r="P95" s="15" t="n">
        <f aca="false">N95*$E$2*(1+$I$76)/($F$76-$I$76)/(1+$F$76)^$N$3</f>
        <v>66943.6194115701</v>
      </c>
      <c r="Q95" s="15" t="n">
        <f aca="false">O95+P95</f>
        <v>101560.449189005</v>
      </c>
      <c r="R95" s="15" t="n">
        <f aca="false">Q95-$G$2+$I$2</f>
        <v>99970.4491890047</v>
      </c>
      <c r="S95" s="42" t="n">
        <f aca="false">R95/$K$2</f>
        <v>278.020048915414</v>
      </c>
      <c r="T95" s="43" t="n">
        <f aca="false">S95-$M$2</f>
        <v>0.00124920464060097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0.0298385620117188</v>
      </c>
      <c r="C96" s="25" t="n">
        <f aca="false">IF(T95&gt;0,D95,C95)</f>
        <v>0.0298442840576172</v>
      </c>
      <c r="D96" s="41" t="n">
        <f aca="false">(B96+C96)/2</f>
        <v>0.029841423034668</v>
      </c>
      <c r="E96" s="15" t="n">
        <f aca="false">$C$2*(1+IF(E$3&lt;=$O$2,$D96,$D96-($D96-$I$76)*MIN(E$3-$O$2,$Q$2)/$Q$2))</f>
        <v>6961.72801971436</v>
      </c>
      <c r="F96" s="15" t="n">
        <f aca="false">E96*(1+IF(F$3&lt;=$O$2,$D96,$D96-($D96-$I$76)*MIN(F$3-$O$2,$Q$2)/$Q$2))</f>
        <v>7169.47589060295</v>
      </c>
      <c r="G96" s="15" t="n">
        <f aca="false">F96*(1+IF(G$3&lt;=$O$2,$D96,$D96-($D96-$I$76)*MIN(G$3-$O$2,$Q$2)/$Q$2))</f>
        <v>7383.42325359129</v>
      </c>
      <c r="H96" s="15" t="n">
        <f aca="false">G96*(1+IF(H$3&lt;=$O$2,$D96,$D96-($D96-$I$76)*MIN(H$3-$O$2,$Q$2)/$Q$2))</f>
        <v>7603.75511034571</v>
      </c>
      <c r="I96" s="15" t="n">
        <f aca="false">H96*(1+IF(I$3&lt;=$O$2,$D96,$D96-($D96-$I$76)*MIN(I$3-$O$2,$Q$2)/$Q$2))</f>
        <v>7830.66198324556</v>
      </c>
      <c r="J96" s="15" t="n">
        <f aca="false">I96*(1+IF(J$3&lt;=$O$2,$D96,$D96-($D96-$I$76)*MIN(J$3-$O$2,$Q$2)/$Q$2))</f>
        <v>8054.0953455943</v>
      </c>
      <c r="K96" s="15" t="n">
        <f aca="false">J96*(1+IF(K$3&lt;=$O$2,$D96,$D96-($D96-$I$76)*MIN(K$3-$O$2,$Q$2)/$Q$2))</f>
        <v>8273.3669140369</v>
      </c>
      <c r="L96" s="15" t="n">
        <f aca="false">K96*(1+IF(L$3&lt;=$O$2,$D96,$D96-($D96-$I$76)*MIN(L$3-$O$2,$Q$2)/$Q$2))</f>
        <v>8487.78420029625</v>
      </c>
      <c r="M96" s="15" t="n">
        <f aca="false">L96*(1+IF(M$3&lt;=$O$2,$D96,$D96-($D96-$I$76)*MIN(M$3-$O$2,$Q$2)/$Q$2))</f>
        <v>8696.65400957938</v>
      </c>
      <c r="N96" s="15" t="n">
        <f aca="false">M96*(1+IF(N$3&lt;=$O$2,$D96,$D96-($D96-$I$76)*MIN(N$3-$O$2,$Q$2)/$Q$2))</f>
        <v>8899.28604800258</v>
      </c>
      <c r="O96" s="15" t="n">
        <f aca="false">SUMPRODUCT(E96:N96,1/(1+$F$76)^$E$3:$N$3)*$E$2</f>
        <v>34616.3890399375</v>
      </c>
      <c r="P96" s="15" t="n">
        <f aca="false">N96*$E$2*(1+$I$76)/($F$76-$I$76)/(1+$F$76)^$N$3</f>
        <v>66942.3166359852</v>
      </c>
      <c r="Q96" s="15" t="n">
        <f aca="false">O96+P96</f>
        <v>101558.705675923</v>
      </c>
      <c r="R96" s="15" t="n">
        <f aca="false">Q96-$G$2+$I$2</f>
        <v>99968.7056759227</v>
      </c>
      <c r="S96" s="42" t="n">
        <f aca="false">R96/$K$2</f>
        <v>278.015200166646</v>
      </c>
      <c r="T96" s="43" t="n">
        <f aca="false">S96-$M$2</f>
        <v>-0.00359954412738261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0.029841423034668</v>
      </c>
      <c r="C97" s="25" t="n">
        <f aca="false">IF(T96&gt;0,D96,C96)</f>
        <v>0.0298442840576172</v>
      </c>
      <c r="D97" s="41" t="n">
        <f aca="false">(B97+C97)/2</f>
        <v>0.0298428535461426</v>
      </c>
      <c r="E97" s="15" t="n">
        <f aca="false">$C$2*(1+IF(E$3&lt;=$O$2,$D97,$D97-($D97-$I$76)*MIN(E$3-$O$2,$Q$2)/$Q$2))</f>
        <v>6961.73768997192</v>
      </c>
      <c r="F97" s="15" t="n">
        <f aca="false">E97*(1+IF(F$3&lt;=$O$2,$D97,$D97-($D97-$I$76)*MIN(F$3-$O$2,$Q$2)/$Q$2))</f>
        <v>7169.49580828042</v>
      </c>
      <c r="G97" s="15" t="n">
        <f aca="false">F97*(1+IF(G$3&lt;=$O$2,$D97,$D97-($D97-$I$76)*MIN(G$3-$O$2,$Q$2)/$Q$2))</f>
        <v>7383.45402168661</v>
      </c>
      <c r="H97" s="15" t="n">
        <f aca="false">G97*(1+IF(H$3&lt;=$O$2,$D97,$D97-($D97-$I$76)*MIN(H$3-$O$2,$Q$2)/$Q$2))</f>
        <v>7603.79735872048</v>
      </c>
      <c r="I97" s="15" t="n">
        <f aca="false">H97*(1+IF(I$3&lt;=$O$2,$D97,$D97-($D97-$I$76)*MIN(I$3-$O$2,$Q$2)/$Q$2))</f>
        <v>7830.71636969133</v>
      </c>
      <c r="J97" s="15" t="n">
        <f aca="false">I97*(1+IF(J$3&lt;=$O$2,$D97,$D97-($D97-$I$76)*MIN(J$3-$O$2,$Q$2)/$Q$2))</f>
        <v>8054.16024539975</v>
      </c>
      <c r="K97" s="15" t="n">
        <f aca="false">J97*(1+IF(K$3&lt;=$O$2,$D97,$D97-($D97-$I$76)*MIN(K$3-$O$2,$Q$2)/$Q$2))</f>
        <v>8273.44049367125</v>
      </c>
      <c r="L97" s="15" t="n">
        <f aca="false">K97*(1+IF(L$3&lt;=$O$2,$D97,$D97-($D97-$I$76)*MIN(L$3-$O$2,$Q$2)/$Q$2))</f>
        <v>8487.86442096292</v>
      </c>
      <c r="M97" s="15" t="n">
        <f aca="false">L97*(1+IF(M$3&lt;=$O$2,$D97,$D97-($D97-$I$76)*MIN(M$3-$O$2,$Q$2)/$Q$2))</f>
        <v>8696.73863273653</v>
      </c>
      <c r="N97" s="15" t="n">
        <f aca="false">M97*(1+IF(N$3&lt;=$O$2,$D97,$D97-($D97-$I$76)*MIN(N$3-$O$2,$Q$2)/$Q$2))</f>
        <v>8899.37264287929</v>
      </c>
      <c r="O97" s="15" t="n">
        <f aca="false">SUMPRODUCT(E97:N97,1/(1+$F$76)^$E$3:$N$3)*$E$2</f>
        <v>34616.6094079794</v>
      </c>
      <c r="P97" s="15" t="n">
        <f aca="false">N97*$E$2*(1+$I$76)/($F$76-$I$76)/(1+$F$76)^$N$3</f>
        <v>66942.9680210092</v>
      </c>
      <c r="Q97" s="15" t="n">
        <f aca="false">O97+P97</f>
        <v>101559.577428989</v>
      </c>
      <c r="R97" s="15" t="n">
        <f aca="false">Q97-$G$2+$I$2</f>
        <v>99969.5774289886</v>
      </c>
      <c r="S97" s="42" t="n">
        <f aca="false">R97/$K$2</f>
        <v>278.017624531366</v>
      </c>
      <c r="T97" s="43" t="n">
        <f aca="false">S97-$M$2</f>
        <v>-0.00117517940759626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0.0298428535461426</v>
      </c>
      <c r="C98" s="25" t="n">
        <f aca="false">IF(T97&gt;0,D97,C97)</f>
        <v>0.0298442840576172</v>
      </c>
      <c r="D98" s="41" t="n">
        <f aca="false">(B98+C98)/2</f>
        <v>0.0298435688018799</v>
      </c>
      <c r="E98" s="15" t="n">
        <f aca="false">$C$2*(1+IF(E$3&lt;=$O$2,$D98,$D98-($D98-$I$76)*MIN(E$3-$O$2,$Q$2)/$Q$2))</f>
        <v>6961.74252510071</v>
      </c>
      <c r="F98" s="15" t="n">
        <f aca="false">E98*(1+IF(F$3&lt;=$O$2,$D98,$D98-($D98-$I$76)*MIN(F$3-$O$2,$Q$2)/$Q$2))</f>
        <v>7169.50576712952</v>
      </c>
      <c r="G98" s="15" t="n">
        <f aca="false">F98*(1+IF(G$3&lt;=$O$2,$D98,$D98-($D98-$I$76)*MIN(G$3-$O$2,$Q$2)/$Q$2))</f>
        <v>7383.46940576633</v>
      </c>
      <c r="H98" s="15" t="n">
        <f aca="false">G98*(1+IF(H$3&lt;=$O$2,$D98,$D98-($D98-$I$76)*MIN(H$3-$O$2,$Q$2)/$Q$2))</f>
        <v>7603.81848297389</v>
      </c>
      <c r="I98" s="15" t="n">
        <f aca="false">H98*(1+IF(I$3&lt;=$O$2,$D98,$D98-($D98-$I$76)*MIN(I$3-$O$2,$Q$2)/$Q$2))</f>
        <v>7830.74356302753</v>
      </c>
      <c r="J98" s="15" t="n">
        <f aca="false">I98*(1+IF(J$3&lt;=$O$2,$D98,$D98-($D98-$I$76)*MIN(J$3-$O$2,$Q$2)/$Q$2))</f>
        <v>8054.19269546571</v>
      </c>
      <c r="K98" s="15" t="n">
        <f aca="false">J98*(1+IF(K$3&lt;=$O$2,$D98,$D98-($D98-$I$76)*MIN(K$3-$O$2,$Q$2)/$Q$2))</f>
        <v>8273.47728369789</v>
      </c>
      <c r="L98" s="15" t="n">
        <f aca="false">K98*(1+IF(L$3&lt;=$O$2,$D98,$D98-($D98-$I$76)*MIN(L$3-$O$2,$Q$2)/$Q$2))</f>
        <v>8487.90453154271</v>
      </c>
      <c r="M98" s="15" t="n">
        <f aca="false">L98*(1+IF(M$3&lt;=$O$2,$D98,$D98-($D98-$I$76)*MIN(M$3-$O$2,$Q$2)/$Q$2))</f>
        <v>8696.78094458485</v>
      </c>
      <c r="N98" s="15" t="n">
        <f aca="false">M98*(1+IF(N$3&lt;=$O$2,$D98,$D98-($D98-$I$76)*MIN(N$3-$O$2,$Q$2)/$Q$2))</f>
        <v>8899.41594059367</v>
      </c>
      <c r="O98" s="15" t="n">
        <f aca="false">SUMPRODUCT(E98:N98,1/(1+$F$76)^$E$3:$N$3)*$E$2</f>
        <v>34616.7195925303</v>
      </c>
      <c r="P98" s="15" t="n">
        <f aca="false">N98*$E$2*(1+$I$76)/($F$76-$I$76)/(1+$F$76)^$N$3</f>
        <v>66943.2937155975</v>
      </c>
      <c r="Q98" s="15" t="n">
        <f aca="false">O98+P98</f>
        <v>101560.013308128</v>
      </c>
      <c r="R98" s="15" t="n">
        <f aca="false">Q98-$G$2+$I$2</f>
        <v>99970.0133081278</v>
      </c>
      <c r="S98" s="42" t="n">
        <f aca="false">R98/$K$2</f>
        <v>278.018836720974</v>
      </c>
      <c r="T98" s="43" t="n">
        <f aca="false">S98-$M$2</f>
        <v>3.70102003444117E-005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0.0298428535461426</v>
      </c>
      <c r="C99" s="25" t="n">
        <f aca="false">IF(T98&gt;0,D98,C98)</f>
        <v>0.0298435688018799</v>
      </c>
      <c r="D99" s="41" t="n">
        <f aca="false">(B99+C99)/2</f>
        <v>0.0298432111740112</v>
      </c>
      <c r="E99" s="15" t="n">
        <f aca="false">$C$2*(1+IF(E$3&lt;=$O$2,$D99,$D99-($D99-$I$76)*MIN(E$3-$O$2,$Q$2)/$Q$2))</f>
        <v>6961.74010753632</v>
      </c>
      <c r="F99" s="15" t="n">
        <f aca="false">E99*(1+IF(F$3&lt;=$O$2,$D99,$D99-($D99-$I$76)*MIN(F$3-$O$2,$Q$2)/$Q$2))</f>
        <v>7169.50078770411</v>
      </c>
      <c r="G99" s="15" t="n">
        <f aca="false">F99*(1+IF(G$3&lt;=$O$2,$D99,$D99-($D99-$I$76)*MIN(G$3-$O$2,$Q$2)/$Q$2))</f>
        <v>7383.4617137238</v>
      </c>
      <c r="H99" s="15" t="n">
        <f aca="false">G99*(1+IF(H$3&lt;=$O$2,$D99,$D99-($D99-$I$76)*MIN(H$3-$O$2,$Q$2)/$Q$2))</f>
        <v>7603.80792084169</v>
      </c>
      <c r="I99" s="15" t="n">
        <f aca="false">H99*(1+IF(I$3&lt;=$O$2,$D99,$D99-($D99-$I$76)*MIN(I$3-$O$2,$Q$2)/$Q$2))</f>
        <v>7830.72996634998</v>
      </c>
      <c r="J99" s="15" t="n">
        <f aca="false">I99*(1+IF(J$3&lt;=$O$2,$D99,$D99-($D99-$I$76)*MIN(J$3-$O$2,$Q$2)/$Q$2))</f>
        <v>8054.17647041913</v>
      </c>
      <c r="K99" s="15" t="n">
        <f aca="false">J99*(1+IF(K$3&lt;=$O$2,$D99,$D99-($D99-$I$76)*MIN(K$3-$O$2,$Q$2)/$Q$2))</f>
        <v>8273.45888866712</v>
      </c>
      <c r="L99" s="15" t="n">
        <f aca="false">K99*(1+IF(L$3&lt;=$O$2,$D99,$D99-($D99-$I$76)*MIN(L$3-$O$2,$Q$2)/$Q$2))</f>
        <v>8487.88447623228</v>
      </c>
      <c r="M99" s="15" t="n">
        <f aca="false">L99*(1+IF(M$3&lt;=$O$2,$D99,$D99-($D99-$I$76)*MIN(M$3-$O$2,$Q$2)/$Q$2))</f>
        <v>8696.75978863821</v>
      </c>
      <c r="N99" s="15" t="n">
        <f aca="false">M99*(1+IF(N$3&lt;=$O$2,$D99,$D99-($D99-$I$76)*MIN(N$3-$O$2,$Q$2)/$Q$2))</f>
        <v>8899.39429171348</v>
      </c>
      <c r="O99" s="15" t="n">
        <f aca="false">SUMPRODUCT(E99:N99,1/(1+$F$76)^$E$3:$N$3)*$E$2</f>
        <v>34616.6645002107</v>
      </c>
      <c r="P99" s="15" t="n">
        <f aca="false">N99*$E$2*(1+$I$76)/($F$76-$I$76)/(1+$F$76)^$N$3</f>
        <v>66943.1308681304</v>
      </c>
      <c r="Q99" s="15" t="n">
        <f aca="false">O99+P99</f>
        <v>101559.795368341</v>
      </c>
      <c r="R99" s="15" t="n">
        <f aca="false">Q99-$G$2+$I$2</f>
        <v>99969.795368341</v>
      </c>
      <c r="S99" s="42" t="n">
        <f aca="false">R99/$K$2</f>
        <v>278.018230625566</v>
      </c>
      <c r="T99" s="43" t="n">
        <f aca="false">S99-$M$2</f>
        <v>-0.000569085207644093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0.0298432111740112</v>
      </c>
      <c r="C100" s="25" t="n">
        <f aca="false">IF(T99&gt;0,D99,C99)</f>
        <v>0.0298435688018799</v>
      </c>
      <c r="D100" s="41" t="n">
        <f aca="false">(B100+C100)/2</f>
        <v>0.0298433899879456</v>
      </c>
      <c r="E100" s="15" t="n">
        <f aca="false">$C$2*(1+IF(E$3&lt;=$O$2,$D100,$D100-($D100-$I$76)*MIN(E$3-$O$2,$Q$2)/$Q$2))</f>
        <v>6961.74131631851</v>
      </c>
      <c r="F100" s="15" t="n">
        <f aca="false">E100*(1+IF(F$3&lt;=$O$2,$D100,$D100-($D100-$I$76)*MIN(F$3-$O$2,$Q$2)/$Q$2))</f>
        <v>7169.5032774166</v>
      </c>
      <c r="G100" s="15" t="n">
        <f aca="false">F100*(1+IF(G$3&lt;=$O$2,$D100,$D100-($D100-$I$76)*MIN(G$3-$O$2,$Q$2)/$Q$2))</f>
        <v>7383.4655597444</v>
      </c>
      <c r="H100" s="15" t="n">
        <f aca="false">G100*(1+IF(H$3&lt;=$O$2,$D100,$D100-($D100-$I$76)*MIN(H$3-$O$2,$Q$2)/$Q$2))</f>
        <v>7603.81320190641</v>
      </c>
      <c r="I100" s="15" t="n">
        <f aca="false">H100*(1+IF(I$3&lt;=$O$2,$D100,$D100-($D100-$I$76)*MIN(I$3-$O$2,$Q$2)/$Q$2))</f>
        <v>7830.7367646864</v>
      </c>
      <c r="J100" s="15" t="n">
        <f aca="false">I100*(1+IF(J$3&lt;=$O$2,$D100,$D100-($D100-$I$76)*MIN(J$3-$O$2,$Q$2)/$Q$2))</f>
        <v>8054.18458293902</v>
      </c>
      <c r="K100" s="15" t="n">
        <f aca="false">J100*(1+IF(K$3&lt;=$O$2,$D100,$D100-($D100-$I$76)*MIN(K$3-$O$2,$Q$2)/$Q$2))</f>
        <v>8273.46808617814</v>
      </c>
      <c r="L100" s="15" t="n">
        <f aca="false">K100*(1+IF(L$3&lt;=$O$2,$D100,$D100-($D100-$I$76)*MIN(L$3-$O$2,$Q$2)/$Q$2))</f>
        <v>8487.89450388236</v>
      </c>
      <c r="M100" s="15" t="n">
        <f aca="false">L100*(1+IF(M$3&lt;=$O$2,$D100,$D100-($D100-$I$76)*MIN(M$3-$O$2,$Q$2)/$Q$2))</f>
        <v>8696.77036660591</v>
      </c>
      <c r="N100" s="15" t="n">
        <f aca="false">M100*(1+IF(N$3&lt;=$O$2,$D100,$D100-($D100-$I$76)*MIN(N$3-$O$2,$Q$2)/$Q$2))</f>
        <v>8899.40511614783</v>
      </c>
      <c r="O100" s="15" t="n">
        <f aca="false">SUMPRODUCT(E100:N100,1/(1+$F$76)^$E$3:$N$3)*$E$2</f>
        <v>34616.6920463595</v>
      </c>
      <c r="P100" s="15" t="n">
        <f aca="false">N100*$E$2*(1+$I$76)/($F$76-$I$76)/(1+$F$76)^$N$3</f>
        <v>66943.2122918207</v>
      </c>
      <c r="Q100" s="15" t="n">
        <f aca="false">O100+P100</f>
        <v>101559.90433818</v>
      </c>
      <c r="R100" s="15" t="n">
        <f aca="false">Q100-$G$2+$I$2</f>
        <v>99969.9043381801</v>
      </c>
      <c r="S100" s="42" t="n">
        <f aca="false">R100/$K$2</f>
        <v>278.018533673119</v>
      </c>
      <c r="T100" s="43" t="n">
        <f aca="false">S100-$M$2</f>
        <v>-0.000266037654739648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0.0298433899879456</v>
      </c>
      <c r="C101" s="25" t="n">
        <f aca="false">IF(T100&gt;0,D100,C100)</f>
        <v>0.0298435688018799</v>
      </c>
      <c r="D101" s="41" t="n">
        <f aca="false">(B101+C101)/2</f>
        <v>0.0298434793949127</v>
      </c>
      <c r="E101" s="15" t="n">
        <f aca="false">$C$2*(1+IF(E$3&lt;=$O$2,$D101,$D101-($D101-$I$76)*MIN(E$3-$O$2,$Q$2)/$Q$2))</f>
        <v>6961.74192070961</v>
      </c>
      <c r="F101" s="15" t="n">
        <f aca="false">E101*(1+IF(F$3&lt;=$O$2,$D101,$D101-($D101-$I$76)*MIN(F$3-$O$2,$Q$2)/$Q$2))</f>
        <v>7169.50452227301</v>
      </c>
      <c r="G101" s="15" t="n">
        <f aca="false">F101*(1+IF(G$3&lt;=$O$2,$D101,$D101-($D101-$I$76)*MIN(G$3-$O$2,$Q$2)/$Q$2))</f>
        <v>7383.4674827552</v>
      </c>
      <c r="H101" s="15" t="n">
        <f aca="false">G101*(1+IF(H$3&lt;=$O$2,$D101,$D101-($D101-$I$76)*MIN(H$3-$O$2,$Q$2)/$Q$2))</f>
        <v>7603.81584243981</v>
      </c>
      <c r="I101" s="15" t="n">
        <f aca="false">H101*(1+IF(I$3&lt;=$O$2,$D101,$D101-($D101-$I$76)*MIN(I$3-$O$2,$Q$2)/$Q$2))</f>
        <v>7830.74016385637</v>
      </c>
      <c r="J101" s="15" t="n">
        <f aca="false">I101*(1+IF(J$3&lt;=$O$2,$D101,$D101-($D101-$I$76)*MIN(J$3-$O$2,$Q$2)/$Q$2))</f>
        <v>8054.18863920151</v>
      </c>
      <c r="K101" s="15" t="n">
        <f aca="false">J101*(1+IF(K$3&lt;=$O$2,$D101,$D101-($D101-$I$76)*MIN(K$3-$O$2,$Q$2)/$Q$2))</f>
        <v>8273.47268493692</v>
      </c>
      <c r="L101" s="15" t="n">
        <f aca="false">K101*(1+IF(L$3&lt;=$O$2,$D101,$D101-($D101-$I$76)*MIN(L$3-$O$2,$Q$2)/$Q$2))</f>
        <v>8487.89951771126</v>
      </c>
      <c r="M101" s="15" t="n">
        <f aca="false">L101*(1+IF(M$3&lt;=$O$2,$D101,$D101-($D101-$I$76)*MIN(M$3-$O$2,$Q$2)/$Q$2))</f>
        <v>8696.77565559398</v>
      </c>
      <c r="N101" s="15" t="n">
        <f aca="false">M101*(1+IF(N$3&lt;=$O$2,$D101,$D101-($D101-$I$76)*MIN(N$3-$O$2,$Q$2)/$Q$2))</f>
        <v>8899.41052836932</v>
      </c>
      <c r="O101" s="15" t="n">
        <f aca="false">SUMPRODUCT(E101:N101,1/(1+$F$76)^$E$3:$N$3)*$E$2</f>
        <v>34616.7058194421</v>
      </c>
      <c r="P101" s="15" t="n">
        <f aca="false">N101*$E$2*(1+$I$76)/($F$76-$I$76)/(1+$F$76)^$N$3</f>
        <v>66943.2530036983</v>
      </c>
      <c r="Q101" s="15" t="n">
        <f aca="false">O101+P101</f>
        <v>101559.95882314</v>
      </c>
      <c r="R101" s="15" t="n">
        <f aca="false">Q101-$G$2+$I$2</f>
        <v>99969.9588231405</v>
      </c>
      <c r="S101" s="42" t="n">
        <f aca="false">R101/$K$2</f>
        <v>278.018685197009</v>
      </c>
      <c r="T101" s="43" t="n">
        <f aca="false">S101-$M$2</f>
        <v>-0.00011451376479954</v>
      </c>
    </row>
    <row r="103" customFormat="false" ht="15" hidden="false" customHeight="false" outlineLevel="0" collapsed="false">
      <c r="A103" s="38" t="s">
        <v>189</v>
      </c>
      <c r="E103" s="5" t="s">
        <v>11</v>
      </c>
      <c r="F103" s="12" t="n">
        <f aca="false">Sensitivity!$B$10</f>
        <v>0.0674202832668642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167</v>
      </c>
      <c r="B104" s="28" t="s">
        <v>168</v>
      </c>
      <c r="C104" s="28" t="s">
        <v>169</v>
      </c>
      <c r="D104" s="28" t="s">
        <v>170</v>
      </c>
      <c r="E104" s="28" t="s">
        <v>171</v>
      </c>
      <c r="F104" s="28" t="s">
        <v>172</v>
      </c>
      <c r="G104" s="28" t="s">
        <v>173</v>
      </c>
      <c r="H104" s="28" t="s">
        <v>174</v>
      </c>
      <c r="I104" s="28" t="s">
        <v>175</v>
      </c>
      <c r="J104" s="28" t="s">
        <v>176</v>
      </c>
      <c r="K104" s="28" t="s">
        <v>177</v>
      </c>
      <c r="L104" s="28" t="s">
        <v>178</v>
      </c>
      <c r="M104" s="28" t="s">
        <v>179</v>
      </c>
      <c r="N104" s="28" t="s">
        <v>180</v>
      </c>
      <c r="O104" s="28" t="s">
        <v>181</v>
      </c>
      <c r="P104" s="28" t="s">
        <v>182</v>
      </c>
      <c r="Q104" s="28" t="s">
        <v>183</v>
      </c>
      <c r="R104" s="28" t="s">
        <v>184</v>
      </c>
      <c r="S104" s="28" t="s">
        <v>185</v>
      </c>
      <c r="T104" s="28" t="s">
        <v>186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8450</v>
      </c>
      <c r="F105" s="15" t="n">
        <f aca="false">E105*(1+IF(F$3&lt;=$O$2,$D105,$D105-($D105-$I$103)*MIN(F$3-$O$2,$Q$2)/$Q$2))</f>
        <v>10562.5</v>
      </c>
      <c r="G105" s="15" t="n">
        <f aca="false">F105*(1+IF(G$3&lt;=$O$2,$D105,$D105-($D105-$I$103)*MIN(G$3-$O$2,$Q$2)/$Q$2))</f>
        <v>13203.125</v>
      </c>
      <c r="H105" s="15" t="n">
        <f aca="false">G105*(1+IF(H$3&lt;=$O$2,$D105,$D105-($D105-$I$103)*MIN(H$3-$O$2,$Q$2)/$Q$2))</f>
        <v>16503.90625</v>
      </c>
      <c r="I105" s="15" t="n">
        <f aca="false">H105*(1+IF(I$3&lt;=$O$2,$D105,$D105-($D105-$I$103)*MIN(I$3-$O$2,$Q$2)/$Q$2))</f>
        <v>20629.8828125</v>
      </c>
      <c r="J105" s="15" t="n">
        <f aca="false">I105*(1+IF(J$3&lt;=$O$2,$D105,$D105-($D105-$I$103)*MIN(J$3-$O$2,$Q$2)/$Q$2))</f>
        <v>24872.6245117188</v>
      </c>
      <c r="K105" s="15" t="n">
        <f aca="false">J105*(1+IF(K$3&lt;=$O$2,$D105,$D105-($D105-$I$103)*MIN(K$3-$O$2,$Q$2)/$Q$2))</f>
        <v>28885.0762979492</v>
      </c>
      <c r="L105" s="15" t="n">
        <f aca="false">K105*(1+IF(L$3&lt;=$O$2,$D105,$D105-($D105-$I$103)*MIN(L$3-$O$2,$Q$2)/$Q$2))</f>
        <v>32264.0525232833</v>
      </c>
      <c r="M105" s="15" t="n">
        <f aca="false">L105*(1+IF(M$3&lt;=$O$2,$D105,$D105-($D105-$I$103)*MIN(M$3-$O$2,$Q$2)/$Q$2))</f>
        <v>34607.7132985746</v>
      </c>
      <c r="N105" s="15" t="n">
        <f aca="false">M105*(1+IF(N$3&lt;=$O$2,$D105,$D105-($D105-$I$103)*MIN(N$3-$O$2,$Q$2)/$Q$2))</f>
        <v>35587.1115849243</v>
      </c>
      <c r="O105" s="15" t="n">
        <f aca="false">SUMPRODUCT(E105:N105,1/(1+$F$103)^$E$3:$N$3)*$E$2</f>
        <v>91964.6262458772</v>
      </c>
      <c r="P105" s="15" t="n">
        <f aca="false">N105*$E$2*(1+$I$103)/($F$103-$I$103)/(1+$F$103)^$N$3</f>
        <v>303383.162576354</v>
      </c>
      <c r="Q105" s="15" t="n">
        <f aca="false">O105+P105</f>
        <v>395347.788822231</v>
      </c>
      <c r="R105" s="15" t="n">
        <f aca="false">Q105-$G$2+$I$2</f>
        <v>393757.788822231</v>
      </c>
      <c r="S105" s="42" t="n">
        <f aca="false">R105/$K$2</f>
        <v>1095.04919300915</v>
      </c>
      <c r="T105" s="43" t="n">
        <f aca="false">S105-$M$2</f>
        <v>817.03039329838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5915</v>
      </c>
      <c r="F106" s="15" t="n">
        <f aca="false">E106*(1+IF(F$3&lt;=$O$2,$D106,$D106-($D106-$I$103)*MIN(F$3-$O$2,$Q$2)/$Q$2))</f>
        <v>5175.625</v>
      </c>
      <c r="G106" s="15" t="n">
        <f aca="false">F106*(1+IF(G$3&lt;=$O$2,$D106,$D106-($D106-$I$103)*MIN(G$3-$O$2,$Q$2)/$Q$2))</f>
        <v>4528.671875</v>
      </c>
      <c r="H106" s="15" t="n">
        <f aca="false">G106*(1+IF(H$3&lt;=$O$2,$D106,$D106-($D106-$I$103)*MIN(H$3-$O$2,$Q$2)/$Q$2))</f>
        <v>3962.587890625</v>
      </c>
      <c r="I106" s="15" t="n">
        <f aca="false">H106*(1+IF(I$3&lt;=$O$2,$D106,$D106-($D106-$I$103)*MIN(I$3-$O$2,$Q$2)/$Q$2))</f>
        <v>3467.26440429688</v>
      </c>
      <c r="J106" s="15" t="n">
        <f aca="false">I106*(1+IF(J$3&lt;=$O$2,$D106,$D106-($D106-$I$103)*MIN(J$3-$O$2,$Q$2)/$Q$2))</f>
        <v>3140.16268039551</v>
      </c>
      <c r="K106" s="15" t="n">
        <f aca="false">J106*(1+IF(K$3&lt;=$O$2,$D106,$D106-($D106-$I$103)*MIN(K$3-$O$2,$Q$2)/$Q$2))</f>
        <v>2940.19712090792</v>
      </c>
      <c r="L106" s="15" t="n">
        <f aca="false">K106*(1+IF(L$3&lt;=$O$2,$D106,$D106-($D106-$I$103)*MIN(L$3-$O$2,$Q$2)/$Q$2))</f>
        <v>2843.11181197554</v>
      </c>
      <c r="M106" s="15" t="n">
        <f aca="false">L106*(1+IF(M$3&lt;=$O$2,$D106,$D106-($D106-$I$103)*MIN(M$3-$O$2,$Q$2)/$Q$2))</f>
        <v>2836.40206809928</v>
      </c>
      <c r="N106" s="15" t="n">
        <f aca="false">M106*(1+IF(N$3&lt;=$O$2,$D106,$D106-($D106-$I$103)*MIN(N$3-$O$2,$Q$2)/$Q$2))</f>
        <v>2916.67224662649</v>
      </c>
      <c r="O106" s="15" t="n">
        <f aca="false">SUMPRODUCT(E106:N106,1/(1+$F$103)^$E$3:$N$3)*$E$2</f>
        <v>17518.6618682832</v>
      </c>
      <c r="P106" s="15" t="n">
        <f aca="false">N106*$E$2*(1+$I$103)/($F$103-$I$103)/(1+$F$103)^$N$3</f>
        <v>24864.8797548121</v>
      </c>
      <c r="Q106" s="15" t="n">
        <f aca="false">O106+P106</f>
        <v>42383.5416230953</v>
      </c>
      <c r="R106" s="15" t="n">
        <f aca="false">Q106-$G$2+$I$2</f>
        <v>40793.5416230953</v>
      </c>
      <c r="S106" s="42" t="n">
        <f aca="false">R106/$K$2</f>
        <v>113.447749104776</v>
      </c>
      <c r="T106" s="43" t="n">
        <f aca="false">S106-$M$2</f>
        <v>-164.571050605998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7182.5</v>
      </c>
      <c r="F107" s="15" t="n">
        <f aca="false">E107*(1+IF(F$3&lt;=$O$2,$D107,$D107-($D107-$I$103)*MIN(F$3-$O$2,$Q$2)/$Q$2))</f>
        <v>7631.40625</v>
      </c>
      <c r="G107" s="15" t="n">
        <f aca="false">F107*(1+IF(G$3&lt;=$O$2,$D107,$D107-($D107-$I$103)*MIN(G$3-$O$2,$Q$2)/$Q$2))</f>
        <v>8108.369140625</v>
      </c>
      <c r="H107" s="15" t="n">
        <f aca="false">G107*(1+IF(H$3&lt;=$O$2,$D107,$D107-($D107-$I$103)*MIN(H$3-$O$2,$Q$2)/$Q$2))</f>
        <v>8615.14221191406</v>
      </c>
      <c r="I107" s="15" t="n">
        <f aca="false">H107*(1+IF(I$3&lt;=$O$2,$D107,$D107-($D107-$I$103)*MIN(I$3-$O$2,$Q$2)/$Q$2))</f>
        <v>9153.58860015869</v>
      </c>
      <c r="J107" s="15" t="n">
        <f aca="false">I107*(1+IF(J$3&lt;=$O$2,$D107,$D107-($D107-$I$103)*MIN(J$3-$O$2,$Q$2)/$Q$2))</f>
        <v>9663.07734164352</v>
      </c>
      <c r="K107" s="15" t="n">
        <f aca="false">J107*(1+IF(K$3&lt;=$O$2,$D107,$D107-($D107-$I$103)*MIN(K$3-$O$2,$Q$2)/$Q$2))</f>
        <v>10134.8287774626</v>
      </c>
      <c r="L107" s="15" t="n">
        <f aca="false">K107*(1+IF(L$3&lt;=$O$2,$D107,$D107-($D107-$I$103)*MIN(L$3-$O$2,$Q$2)/$Q$2))</f>
        <v>10560.2888895404</v>
      </c>
      <c r="M107" s="15" t="n">
        <f aca="false">L107*(1+IF(M$3&lt;=$O$2,$D107,$D107-($D107-$I$103)*MIN(M$3-$O$2,$Q$2)/$Q$2))</f>
        <v>10931.3774411189</v>
      </c>
      <c r="N107" s="15" t="n">
        <f aca="false">M107*(1+IF(N$3&lt;=$O$2,$D107,$D107-($D107-$I$103)*MIN(N$3-$O$2,$Q$2)/$Q$2))</f>
        <v>11240.7354227026</v>
      </c>
      <c r="O107" s="15" t="n">
        <f aca="false">SUMPRODUCT(E107:N107,1/(1+$F$103)^$E$3:$N$3)*$E$2</f>
        <v>40159.2351904635</v>
      </c>
      <c r="P107" s="15" t="n">
        <f aca="false">N107*$E$2*(1+$I$103)/($F$103-$I$103)/(1+$F$103)^$N$3</f>
        <v>95828.228545197</v>
      </c>
      <c r="Q107" s="15" t="n">
        <f aca="false">O107+P107</f>
        <v>135987.463735661</v>
      </c>
      <c r="R107" s="15" t="n">
        <f aca="false">Q107-$G$2+$I$2</f>
        <v>134397.463735661</v>
      </c>
      <c r="S107" s="42" t="n">
        <f aca="false">R107/$K$2</f>
        <v>373.762344222873</v>
      </c>
      <c r="T107" s="43" t="n">
        <f aca="false">S107-$M$2</f>
        <v>95.7435445120989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6548.75</v>
      </c>
      <c r="F108" s="15" t="n">
        <f aca="false">E108*(1+IF(F$3&lt;=$O$2,$D108,$D108-($D108-$I$103)*MIN(F$3-$O$2,$Q$2)/$Q$2))</f>
        <v>6344.1015625</v>
      </c>
      <c r="G108" s="15" t="n">
        <f aca="false">F108*(1+IF(G$3&lt;=$O$2,$D108,$D108-($D108-$I$103)*MIN(G$3-$O$2,$Q$2)/$Q$2))</f>
        <v>6145.84838867188</v>
      </c>
      <c r="H108" s="15" t="n">
        <f aca="false">G108*(1+IF(H$3&lt;=$O$2,$D108,$D108-($D108-$I$103)*MIN(H$3-$O$2,$Q$2)/$Q$2))</f>
        <v>5953.79062652588</v>
      </c>
      <c r="I108" s="15" t="n">
        <f aca="false">H108*(1+IF(I$3&lt;=$O$2,$D108,$D108-($D108-$I$103)*MIN(I$3-$O$2,$Q$2)/$Q$2))</f>
        <v>5767.73466944695</v>
      </c>
      <c r="J108" s="15" t="n">
        <f aca="false">I108*(1+IF(J$3&lt;=$O$2,$D108,$D108-($D108-$I$103)*MIN(J$3-$O$2,$Q$2)/$Q$2))</f>
        <v>5656.18668093984</v>
      </c>
      <c r="K108" s="15" t="n">
        <f aca="false">J108*(1+IF(K$3&lt;=$O$2,$D108,$D108-($D108-$I$103)*MIN(K$3-$O$2,$Q$2)/$Q$2))</f>
        <v>5614.16121390046</v>
      </c>
      <c r="L108" s="15" t="n">
        <f aca="false">K108*(1+IF(L$3&lt;=$O$2,$D108,$D108-($D108-$I$103)*MIN(L$3-$O$2,$Q$2)/$Q$2))</f>
        <v>5639.31265613873</v>
      </c>
      <c r="M108" s="15" t="n">
        <f aca="false">L108*(1+IF(M$3&lt;=$O$2,$D108,$D108-($D108-$I$103)*MIN(M$3-$O$2,$Q$2)/$Q$2))</f>
        <v>5731.74099057285</v>
      </c>
      <c r="N108" s="15" t="n">
        <f aca="false">M108*(1+IF(N$3&lt;=$O$2,$D108,$D108-($D108-$I$103)*MIN(N$3-$O$2,$Q$2)/$Q$2))</f>
        <v>5893.94926060606</v>
      </c>
      <c r="O108" s="15" t="n">
        <f aca="false">SUMPRODUCT(E108:N108,1/(1+$F$103)^$E$3:$N$3)*$E$2</f>
        <v>26459.6442931197</v>
      </c>
      <c r="P108" s="15" t="n">
        <f aca="false">N108*$E$2*(1+$I$103)/($F$103-$I$103)/(1+$F$103)^$N$3</f>
        <v>50246.4203221464</v>
      </c>
      <c r="Q108" s="15" t="n">
        <f aca="false">O108+P108</f>
        <v>76706.0646152661</v>
      </c>
      <c r="R108" s="15" t="n">
        <f aca="false">Q108-$G$2+$I$2</f>
        <v>75116.0646152661</v>
      </c>
      <c r="S108" s="42" t="n">
        <f aca="false">R108/$K$2</f>
        <v>208.899451068653</v>
      </c>
      <c r="T108" s="43" t="n">
        <f aca="false">S108-$M$2</f>
        <v>-69.1193486421211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41" t="n">
        <f aca="false">(B109+C109)/2</f>
        <v>0.015625</v>
      </c>
      <c r="E109" s="15" t="n">
        <f aca="false">$C$2*(1+IF(E$3&lt;=$O$2,$D109,$D109-($D109-$I$103)*MIN(E$3-$O$2,$Q$2)/$Q$2))</f>
        <v>6865.625</v>
      </c>
      <c r="F109" s="15" t="n">
        <f aca="false">E109*(1+IF(F$3&lt;=$O$2,$D109,$D109-($D109-$I$103)*MIN(F$3-$O$2,$Q$2)/$Q$2))</f>
        <v>6972.900390625</v>
      </c>
      <c r="G109" s="15" t="n">
        <f aca="false">F109*(1+IF(G$3&lt;=$O$2,$D109,$D109-($D109-$I$103)*MIN(G$3-$O$2,$Q$2)/$Q$2))</f>
        <v>7081.85195922852</v>
      </c>
      <c r="H109" s="15" t="n">
        <f aca="false">G109*(1+IF(H$3&lt;=$O$2,$D109,$D109-($D109-$I$103)*MIN(H$3-$O$2,$Q$2)/$Q$2))</f>
        <v>7192.50589609146</v>
      </c>
      <c r="I109" s="15" t="n">
        <f aca="false">H109*(1+IF(I$3&lt;=$O$2,$D109,$D109-($D109-$I$103)*MIN(I$3-$O$2,$Q$2)/$Q$2))</f>
        <v>7304.88880071789</v>
      </c>
      <c r="J109" s="15" t="n">
        <f aca="false">I109*(1+IF(J$3&lt;=$O$2,$D109,$D109-($D109-$I$103)*MIN(J$3-$O$2,$Q$2)/$Q$2))</f>
        <v>7437.54558133893</v>
      </c>
      <c r="K109" s="15" t="n">
        <f aca="false">J109*(1+IF(K$3&lt;=$O$2,$D109,$D109-($D109-$I$103)*MIN(K$3-$O$2,$Q$2)/$Q$2))</f>
        <v>7591.46558714474</v>
      </c>
      <c r="L109" s="15" t="n">
        <f aca="false">K109*(1+IF(L$3&lt;=$O$2,$D109,$D109-($D109-$I$103)*MIN(L$3-$O$2,$Q$2)/$Q$2))</f>
        <v>7767.81533273411</v>
      </c>
      <c r="M109" s="15" t="n">
        <f aca="false">L109*(1+IF(M$3&lt;=$O$2,$D109,$D109-($D109-$I$103)*MIN(M$3-$O$2,$Q$2)/$Q$2))</f>
        <v>7967.953094782</v>
      </c>
      <c r="N109" s="15" t="n">
        <f aca="false">M109*(1+IF(N$3&lt;=$O$2,$D109,$D109-($D109-$I$103)*MIN(N$3-$O$2,$Q$2)/$Q$2))</f>
        <v>8193.44616736434</v>
      </c>
      <c r="O109" s="15" t="n">
        <f aca="false">SUMPRODUCT(E109:N109,1/(1+$F$103)^$E$3:$N$3)*$E$2</f>
        <v>32589.0546550786</v>
      </c>
      <c r="P109" s="15" t="n">
        <f aca="false">N109*$E$2*(1+$I$103)/($F$103-$I$103)/(1+$F$103)^$N$3</f>
        <v>69849.8276467916</v>
      </c>
      <c r="Q109" s="15" t="n">
        <f aca="false">O109+P109</f>
        <v>102438.88230187</v>
      </c>
      <c r="R109" s="15" t="n">
        <f aca="false">Q109-$G$2+$I$2</f>
        <v>100848.88230187</v>
      </c>
      <c r="S109" s="42" t="n">
        <f aca="false">R109/$K$2</f>
        <v>280.462990994689</v>
      </c>
      <c r="T109" s="43" t="n">
        <f aca="false">S109-$M$2</f>
        <v>2.44419128391496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-0.03125</v>
      </c>
      <c r="C110" s="25" t="n">
        <f aca="false">IF(T109&gt;0,D109,C109)</f>
        <v>0.015625</v>
      </c>
      <c r="D110" s="41" t="n">
        <f aca="false">(B110+C110)/2</f>
        <v>-0.0078125</v>
      </c>
      <c r="E110" s="15" t="n">
        <f aca="false">$C$2*(1+IF(E$3&lt;=$O$2,$D110,$D110-($D110-$I$103)*MIN(E$3-$O$2,$Q$2)/$Q$2))</f>
        <v>6707.1875</v>
      </c>
      <c r="F110" s="15" t="n">
        <f aca="false">E110*(1+IF(F$3&lt;=$O$2,$D110,$D110-($D110-$I$103)*MIN(F$3-$O$2,$Q$2)/$Q$2))</f>
        <v>6654.78759765625</v>
      </c>
      <c r="G110" s="15" t="n">
        <f aca="false">F110*(1+IF(G$3&lt;=$O$2,$D110,$D110-($D110-$I$103)*MIN(G$3-$O$2,$Q$2)/$Q$2))</f>
        <v>6602.79706954956</v>
      </c>
      <c r="H110" s="15" t="n">
        <f aca="false">G110*(1+IF(H$3&lt;=$O$2,$D110,$D110-($D110-$I$103)*MIN(H$3-$O$2,$Q$2)/$Q$2))</f>
        <v>6551.21271744371</v>
      </c>
      <c r="I110" s="15" t="n">
        <f aca="false">H110*(1+IF(I$3&lt;=$O$2,$D110,$D110-($D110-$I$103)*MIN(I$3-$O$2,$Q$2)/$Q$2))</f>
        <v>6500.03136808868</v>
      </c>
      <c r="J110" s="15" t="n">
        <f aca="false">I110*(1+IF(J$3&lt;=$O$2,$D110,$D110-($D110-$I$103)*MIN(J$3-$O$2,$Q$2)/$Q$2))</f>
        <v>6496.1963495815</v>
      </c>
      <c r="K110" s="15" t="n">
        <f aca="false">J110*(1+IF(K$3&lt;=$O$2,$D110,$D110-($D110-$I$103)*MIN(K$3-$O$2,$Q$2)/$Q$2))</f>
        <v>6539.2823718701</v>
      </c>
      <c r="L110" s="15" t="n">
        <f aca="false">K110*(1+IF(L$3&lt;=$O$2,$D110,$D110-($D110-$I$103)*MIN(L$3-$O$2,$Q$2)/$Q$2))</f>
        <v>6629.88412913236</v>
      </c>
      <c r="M110" s="15" t="n">
        <f aca="false">L110*(1+IF(M$3&lt;=$O$2,$D110,$D110-($D110-$I$103)*MIN(M$3-$O$2,$Q$2)/$Q$2))</f>
        <v>6769.62551186415</v>
      </c>
      <c r="N110" s="15" t="n">
        <f aca="false">M110*(1+IF(N$3&lt;=$O$2,$D110,$D110-($D110-$I$103)*MIN(N$3-$O$2,$Q$2)/$Q$2))</f>
        <v>6961.20591384991</v>
      </c>
      <c r="O110" s="15" t="n">
        <f aca="false">SUMPRODUCT(E110:N110,1/(1+$F$103)^$E$3:$N$3)*$E$2</f>
        <v>29361.6846527607</v>
      </c>
      <c r="P110" s="15" t="n">
        <f aca="false">N110*$E$2*(1+$I$103)/($F$103-$I$103)/(1+$F$103)^$N$3</f>
        <v>59344.874350063</v>
      </c>
      <c r="Q110" s="15" t="n">
        <f aca="false">O110+P110</f>
        <v>88706.5590028237</v>
      </c>
      <c r="R110" s="15" t="n">
        <f aca="false">Q110-$G$2+$I$2</f>
        <v>87116.5590028237</v>
      </c>
      <c r="S110" s="42" t="n">
        <f aca="false">R110/$K$2</f>
        <v>242.273093617064</v>
      </c>
      <c r="T110" s="43" t="n">
        <f aca="false">S110-$M$2</f>
        <v>-35.7457060937101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-0.0078125</v>
      </c>
      <c r="C111" s="25" t="n">
        <f aca="false">IF(T110&gt;0,D110,C110)</f>
        <v>0.015625</v>
      </c>
      <c r="D111" s="41" t="n">
        <f aca="false">(B111+C111)/2</f>
        <v>0.00390625</v>
      </c>
      <c r="E111" s="15" t="n">
        <f aca="false">$C$2*(1+IF(E$3&lt;=$O$2,$D111,$D111-($D111-$I$103)*MIN(E$3-$O$2,$Q$2)/$Q$2))</f>
        <v>6786.40625</v>
      </c>
      <c r="F111" s="15" t="n">
        <f aca="false">E111*(1+IF(F$3&lt;=$O$2,$D111,$D111-($D111-$I$103)*MIN(F$3-$O$2,$Q$2)/$Q$2))</f>
        <v>6812.91564941406</v>
      </c>
      <c r="G111" s="15" t="n">
        <f aca="false">F111*(1+IF(G$3&lt;=$O$2,$D111,$D111-($D111-$I$103)*MIN(G$3-$O$2,$Q$2)/$Q$2))</f>
        <v>6839.52860116959</v>
      </c>
      <c r="H111" s="15" t="n">
        <f aca="false">G111*(1+IF(H$3&lt;=$O$2,$D111,$D111-($D111-$I$103)*MIN(H$3-$O$2,$Q$2)/$Q$2))</f>
        <v>6866.24550976791</v>
      </c>
      <c r="I111" s="15" t="n">
        <f aca="false">H111*(1+IF(I$3&lt;=$O$2,$D111,$D111-($D111-$I$103)*MIN(I$3-$O$2,$Q$2)/$Q$2))</f>
        <v>6893.06678129044</v>
      </c>
      <c r="J111" s="15" t="n">
        <f aca="false">I111*(1+IF(J$3&lt;=$O$2,$D111,$D111-($D111-$I$103)*MIN(J$3-$O$2,$Q$2)/$Q$2))</f>
        <v>6953.62237296407</v>
      </c>
      <c r="K111" s="15" t="n">
        <f aca="false">J111*(1+IF(K$3&lt;=$O$2,$D111,$D111-($D111-$I$103)*MIN(K$3-$O$2,$Q$2)/$Q$2))</f>
        <v>7048.63493066266</v>
      </c>
      <c r="L111" s="15" t="n">
        <f aca="false">K111*(1+IF(L$3&lt;=$O$2,$D111,$D111-($D111-$I$103)*MIN(L$3-$O$2,$Q$2)/$Q$2))</f>
        <v>7179.33424386447</v>
      </c>
      <c r="M111" s="15" t="n">
        <f aca="false">L111*(1+IF(M$3&lt;=$O$2,$D111,$D111-($D111-$I$103)*MIN(M$3-$O$2,$Q$2)/$Q$2))</f>
        <v>7347.48322602358</v>
      </c>
      <c r="N111" s="15" t="n">
        <f aca="false">M111*(1+IF(N$3&lt;=$O$2,$D111,$D111-($D111-$I$103)*MIN(N$3-$O$2,$Q$2)/$Q$2))</f>
        <v>7555.41700132005</v>
      </c>
      <c r="O111" s="15" t="n">
        <f aca="false">SUMPRODUCT(E111:N111,1/(1+$F$103)^$E$3:$N$3)*$E$2</f>
        <v>30932.6417875475</v>
      </c>
      <c r="P111" s="15" t="n">
        <f aca="false">N111*$E$2*(1+$I$103)/($F$103-$I$103)/(1+$F$103)^$N$3</f>
        <v>64410.5745692119</v>
      </c>
      <c r="Q111" s="15" t="n">
        <f aca="false">O111+P111</f>
        <v>95343.2163567594</v>
      </c>
      <c r="R111" s="15" t="n">
        <f aca="false">Q111-$G$2+$I$2</f>
        <v>93753.2163567594</v>
      </c>
      <c r="S111" s="42" t="n">
        <f aca="false">R111/$K$2</f>
        <v>260.72978574103</v>
      </c>
      <c r="T111" s="43" t="n">
        <f aca="false">S111-$M$2</f>
        <v>-17.2890139697441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0.00390625</v>
      </c>
      <c r="C112" s="25" t="n">
        <f aca="false">IF(T111&gt;0,D111,C111)</f>
        <v>0.015625</v>
      </c>
      <c r="D112" s="41" t="n">
        <f aca="false">(B112+C112)/2</f>
        <v>0.009765625</v>
      </c>
      <c r="E112" s="15" t="n">
        <f aca="false">$C$2*(1+IF(E$3&lt;=$O$2,$D112,$D112-($D112-$I$103)*MIN(E$3-$O$2,$Q$2)/$Q$2))</f>
        <v>6826.015625</v>
      </c>
      <c r="F112" s="15" t="n">
        <f aca="false">E112*(1+IF(F$3&lt;=$O$2,$D112,$D112-($D112-$I$103)*MIN(F$3-$O$2,$Q$2)/$Q$2))</f>
        <v>6892.67593383789</v>
      </c>
      <c r="G112" s="15" t="n">
        <f aca="false">F112*(1+IF(G$3&lt;=$O$2,$D112,$D112-($D112-$I$103)*MIN(G$3-$O$2,$Q$2)/$Q$2))</f>
        <v>6959.98722225428</v>
      </c>
      <c r="H112" s="15" t="n">
        <f aca="false">G112*(1+IF(H$3&lt;=$O$2,$D112,$D112-($D112-$I$103)*MIN(H$3-$O$2,$Q$2)/$Q$2))</f>
        <v>7027.9558474716</v>
      </c>
      <c r="I112" s="15" t="n">
        <f aca="false">H112*(1+IF(I$3&lt;=$O$2,$D112,$D112-($D112-$I$103)*MIN(I$3-$O$2,$Q$2)/$Q$2))</f>
        <v>7096.58822879457</v>
      </c>
      <c r="J112" s="15" t="n">
        <f aca="false">I112*(1+IF(J$3&lt;=$O$2,$D112,$D112-($D112-$I$103)*MIN(J$3-$O$2,$Q$2)/$Q$2))</f>
        <v>7192.197013707</v>
      </c>
      <c r="K112" s="15" t="n">
        <f aca="false">J112*(1+IF(K$3&lt;=$O$2,$D112,$D112-($D112-$I$103)*MIN(K$3-$O$2,$Q$2)/$Q$2))</f>
        <v>7315.75446327936</v>
      </c>
      <c r="L112" s="15" t="n">
        <f aca="false">K112*(1+IF(L$3&lt;=$O$2,$D112,$D112-($D112-$I$103)*MIN(L$3-$O$2,$Q$2)/$Q$2))</f>
        <v>7468.55313993802</v>
      </c>
      <c r="M112" s="15" t="n">
        <f aca="false">L112*(1+IF(M$3&lt;=$O$2,$D112,$D112-($D112-$I$103)*MIN(M$3-$O$2,$Q$2)/$Q$2))</f>
        <v>7652.22820087766</v>
      </c>
      <c r="N112" s="15" t="n">
        <f aca="false">M112*(1+IF(N$3&lt;=$O$2,$D112,$D112-($D112-$I$103)*MIN(N$3-$O$2,$Q$2)/$Q$2))</f>
        <v>7868.7862589625</v>
      </c>
      <c r="O112" s="15" t="n">
        <f aca="false">SUMPRODUCT(E112:N112,1/(1+$F$103)^$E$3:$N$3)*$E$2</f>
        <v>31749.8986155897</v>
      </c>
      <c r="P112" s="15" t="n">
        <f aca="false">N112*$E$2*(1+$I$103)/($F$103-$I$103)/(1+$F$103)^$N$3</f>
        <v>67082.0742274772</v>
      </c>
      <c r="Q112" s="15" t="n">
        <f aca="false">O112+P112</f>
        <v>98831.9728430668</v>
      </c>
      <c r="R112" s="15" t="n">
        <f aca="false">Q112-$G$2+$I$2</f>
        <v>97241.9728430668</v>
      </c>
      <c r="S112" s="42" t="n">
        <f aca="false">R112/$K$2</f>
        <v>270.432095341973</v>
      </c>
      <c r="T112" s="43" t="n">
        <f aca="false">S112-$M$2</f>
        <v>-7.58670436880027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0.009765625</v>
      </c>
      <c r="C113" s="25" t="n">
        <f aca="false">IF(T112&gt;0,D112,C112)</f>
        <v>0.015625</v>
      </c>
      <c r="D113" s="41" t="n">
        <f aca="false">(B113+C113)/2</f>
        <v>0.0126953125</v>
      </c>
      <c r="E113" s="15" t="n">
        <f aca="false">$C$2*(1+IF(E$3&lt;=$O$2,$D113,$D113-($D113-$I$103)*MIN(E$3-$O$2,$Q$2)/$Q$2))</f>
        <v>6845.8203125</v>
      </c>
      <c r="F113" s="15" t="n">
        <f aca="false">E113*(1+IF(F$3&lt;=$O$2,$D113,$D113-($D113-$I$103)*MIN(F$3-$O$2,$Q$2)/$Q$2))</f>
        <v>6932.73014068604</v>
      </c>
      <c r="G113" s="15" t="n">
        <f aca="false">F113*(1+IF(G$3&lt;=$O$2,$D113,$D113-($D113-$I$103)*MIN(G$3-$O$2,$Q$2)/$Q$2))</f>
        <v>7020.74331630021</v>
      </c>
      <c r="H113" s="15" t="n">
        <f aca="false">G113*(1+IF(H$3&lt;=$O$2,$D113,$D113-($D113-$I$103)*MIN(H$3-$O$2,$Q$2)/$Q$2))</f>
        <v>7109.87384668293</v>
      </c>
      <c r="I113" s="15" t="n">
        <f aca="false">H113*(1+IF(I$3&lt;=$O$2,$D113,$D113-($D113-$I$103)*MIN(I$3-$O$2,$Q$2)/$Q$2))</f>
        <v>7200.13591700215</v>
      </c>
      <c r="J113" s="15" t="n">
        <f aca="false">I113*(1+IF(J$3&lt;=$O$2,$D113,$D113-($D113-$I$103)*MIN(J$3-$O$2,$Q$2)/$Q$2))</f>
        <v>7314.01506669943</v>
      </c>
      <c r="K113" s="15" t="n">
        <f aca="false">J113*(1+IF(K$3&lt;=$O$2,$D113,$D113-($D113-$I$103)*MIN(K$3-$O$2,$Q$2)/$Q$2))</f>
        <v>7452.52194139535</v>
      </c>
      <c r="L113" s="15" t="n">
        <f aca="false">K113*(1+IF(L$3&lt;=$O$2,$D113,$D113-($D113-$I$103)*MIN(L$3-$O$2,$Q$2)/$Q$2))</f>
        <v>7616.91060194389</v>
      </c>
      <c r="M113" s="15" t="n">
        <f aca="false">L113*(1+IF(M$3&lt;=$O$2,$D113,$D113-($D113-$I$103)*MIN(M$3-$O$2,$Q$2)/$Q$2))</f>
        <v>7808.69727004714</v>
      </c>
      <c r="N113" s="15" t="n">
        <f aca="false">M113*(1+IF(N$3&lt;=$O$2,$D113,$D113-($D113-$I$103)*MIN(N$3-$O$2,$Q$2)/$Q$2))</f>
        <v>8029.68340278948</v>
      </c>
      <c r="O113" s="15" t="n">
        <f aca="false">SUMPRODUCT(E113:N113,1/(1+$F$103)^$E$3:$N$3)*$E$2</f>
        <v>32166.7051414623</v>
      </c>
      <c r="P113" s="15" t="n">
        <f aca="false">N113*$E$2*(1+$I$103)/($F$103-$I$103)/(1+$F$103)^$N$3</f>
        <v>68453.7361064482</v>
      </c>
      <c r="Q113" s="15" t="n">
        <f aca="false">O113+P113</f>
        <v>100620.441247911</v>
      </c>
      <c r="R113" s="15" t="n">
        <f aca="false">Q113-$G$2+$I$2</f>
        <v>99030.4412479105</v>
      </c>
      <c r="S113" s="42" t="n">
        <f aca="false">R113/$K$2</f>
        <v>275.405865865483</v>
      </c>
      <c r="T113" s="43" t="n">
        <f aca="false">S113-$M$2</f>
        <v>-2.61293384529034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0.0126953125</v>
      </c>
      <c r="C114" s="25" t="n">
        <f aca="false">IF(T113&gt;0,D113,C113)</f>
        <v>0.015625</v>
      </c>
      <c r="D114" s="41" t="n">
        <f aca="false">(B114+C114)/2</f>
        <v>0.01416015625</v>
      </c>
      <c r="E114" s="15" t="n">
        <f aca="false">$C$2*(1+IF(E$3&lt;=$O$2,$D114,$D114-($D114-$I$103)*MIN(E$3-$O$2,$Q$2)/$Q$2))</f>
        <v>6855.72265625</v>
      </c>
      <c r="F114" s="15" t="n">
        <f aca="false">E114*(1+IF(F$3&lt;=$O$2,$D114,$D114-($D114-$I$103)*MIN(F$3-$O$2,$Q$2)/$Q$2))</f>
        <v>6952.80076026917</v>
      </c>
      <c r="G114" s="15" t="n">
        <f aca="false">F114*(1+IF(G$3&lt;=$O$2,$D114,$D114-($D114-$I$103)*MIN(G$3-$O$2,$Q$2)/$Q$2))</f>
        <v>7051.2535054097</v>
      </c>
      <c r="H114" s="15" t="n">
        <f aca="false">G114*(1+IF(H$3&lt;=$O$2,$D114,$D114-($D114-$I$103)*MIN(H$3-$O$2,$Q$2)/$Q$2))</f>
        <v>7151.10035680466</v>
      </c>
      <c r="I114" s="15" t="n">
        <f aca="false">H114*(1+IF(I$3&lt;=$O$2,$D114,$D114-($D114-$I$103)*MIN(I$3-$O$2,$Q$2)/$Q$2))</f>
        <v>7252.36105521644</v>
      </c>
      <c r="J114" s="15" t="n">
        <f aca="false">I114*(1+IF(J$3&lt;=$O$2,$D114,$D114-($D114-$I$103)*MIN(J$3-$O$2,$Q$2)/$Q$2))</f>
        <v>7375.56507136759</v>
      </c>
      <c r="K114" s="15" t="n">
        <f aca="false">J114*(1+IF(K$3&lt;=$O$2,$D114,$D114-($D114-$I$103)*MIN(K$3-$O$2,$Q$2)/$Q$2))</f>
        <v>7521.71996028103</v>
      </c>
      <c r="L114" s="15" t="n">
        <f aca="false">K114*(1+IF(L$3&lt;=$O$2,$D114,$D114-($D114-$I$103)*MIN(L$3-$O$2,$Q$2)/$Q$2))</f>
        <v>7692.04225716914</v>
      </c>
      <c r="M114" s="15" t="n">
        <f aca="false">L114*(1+IF(M$3&lt;=$O$2,$D114,$D114-($D114-$I$103)*MIN(M$3-$O$2,$Q$2)/$Q$2))</f>
        <v>7887.97419792007</v>
      </c>
      <c r="N114" s="15" t="n">
        <f aca="false">M114*(1+IF(N$3&lt;=$O$2,$D114,$D114-($D114-$I$103)*MIN(N$3-$O$2,$Q$2)/$Q$2))</f>
        <v>8111.20386772121</v>
      </c>
      <c r="O114" s="15" t="n">
        <f aca="false">SUMPRODUCT(E114:N114,1/(1+$F$103)^$E$3:$N$3)*$E$2</f>
        <v>32377.182722865</v>
      </c>
      <c r="P114" s="15" t="n">
        <f aca="false">N114*$E$2*(1+$I$103)/($F$103-$I$103)/(1+$F$103)^$N$3</f>
        <v>69148.7050253689</v>
      </c>
      <c r="Q114" s="15" t="n">
        <f aca="false">O114+P114</f>
        <v>101525.887748234</v>
      </c>
      <c r="R114" s="15" t="n">
        <f aca="false">Q114-$G$2+$I$2</f>
        <v>99935.8877482339</v>
      </c>
      <c r="S114" s="42" t="n">
        <f aca="false">R114/$K$2</f>
        <v>277.923932777779</v>
      </c>
      <c r="T114" s="43" t="n">
        <f aca="false">S114-$M$2</f>
        <v>-0.094866932994421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0.01416015625</v>
      </c>
      <c r="C115" s="25" t="n">
        <f aca="false">IF(T114&gt;0,D114,C114)</f>
        <v>0.015625</v>
      </c>
      <c r="D115" s="41" t="n">
        <f aca="false">(B115+C115)/2</f>
        <v>0.014892578125</v>
      </c>
      <c r="E115" s="15" t="n">
        <f aca="false">$C$2*(1+IF(E$3&lt;=$O$2,$D115,$D115-($D115-$I$103)*MIN(E$3-$O$2,$Q$2)/$Q$2))</f>
        <v>6860.673828125</v>
      </c>
      <c r="F115" s="15" t="n">
        <f aca="false">E115*(1+IF(F$3&lt;=$O$2,$D115,$D115-($D115-$I$103)*MIN(F$3-$O$2,$Q$2)/$Q$2))</f>
        <v>6962.84694910049</v>
      </c>
      <c r="G115" s="15" t="n">
        <f aca="false">F115*(1+IF(G$3&lt;=$O$2,$D115,$D115-($D115-$I$103)*MIN(G$3-$O$2,$Q$2)/$Q$2))</f>
        <v>7066.54169126239</v>
      </c>
      <c r="H115" s="15" t="n">
        <f aca="false">G115*(1+IF(H$3&lt;=$O$2,$D115,$D115-($D115-$I$103)*MIN(H$3-$O$2,$Q$2)/$Q$2))</f>
        <v>7171.78071547309</v>
      </c>
      <c r="I115" s="15" t="n">
        <f aca="false">H115*(1+IF(I$3&lt;=$O$2,$D115,$D115-($D115-$I$103)*MIN(I$3-$O$2,$Q$2)/$Q$2))</f>
        <v>7278.58702007364</v>
      </c>
      <c r="J115" s="15" t="n">
        <f aca="false">I115*(1+IF(J$3&lt;=$O$2,$D115,$D115-($D115-$I$103)*MIN(J$3-$O$2,$Q$2)/$Q$2))</f>
        <v>7406.5013632761</v>
      </c>
      <c r="K115" s="15" t="n">
        <f aca="false">J115*(1+IF(K$3&lt;=$O$2,$D115,$D115-($D115-$I$103)*MIN(K$3-$O$2,$Q$2)/$Q$2))</f>
        <v>7556.52409881969</v>
      </c>
      <c r="L115" s="15" t="n">
        <f aca="false">K115*(1+IF(L$3&lt;=$O$2,$D115,$D115-($D115-$I$103)*MIN(L$3-$O$2,$Q$2)/$Q$2))</f>
        <v>7729.8483282157</v>
      </c>
      <c r="M115" s="15" t="n">
        <f aca="false">L115*(1+IF(M$3&lt;=$O$2,$D115,$D115-($D115-$I$103)*MIN(M$3-$O$2,$Q$2)/$Q$2))</f>
        <v>7927.87556839097</v>
      </c>
      <c r="N115" s="15" t="n">
        <f aca="false">M115*(1+IF(N$3&lt;=$O$2,$D115,$D115-($D115-$I$103)*MIN(N$3-$O$2,$Q$2)/$Q$2))</f>
        <v>8152.23444697643</v>
      </c>
      <c r="O115" s="15" t="n">
        <f aca="false">SUMPRODUCT(E115:N115,1/(1+$F$103)^$E$3:$N$3)*$E$2</f>
        <v>32482.9438548375</v>
      </c>
      <c r="P115" s="15" t="n">
        <f aca="false">N115*$E$2*(1+$I$103)/($F$103-$I$103)/(1+$F$103)^$N$3</f>
        <v>69498.4942142747</v>
      </c>
      <c r="Q115" s="15" t="n">
        <f aca="false">O115+P115</f>
        <v>101981.438069112</v>
      </c>
      <c r="R115" s="15" t="n">
        <f aca="false">Q115-$G$2+$I$2</f>
        <v>100391.438069112</v>
      </c>
      <c r="S115" s="42" t="n">
        <f aca="false">R115/$K$2</f>
        <v>279.190828380644</v>
      </c>
      <c r="T115" s="43" t="n">
        <f aca="false">S115-$M$2</f>
        <v>1.17202866987077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0.01416015625</v>
      </c>
      <c r="C116" s="25" t="n">
        <f aca="false">IF(T115&gt;0,D115,C115)</f>
        <v>0.014892578125</v>
      </c>
      <c r="D116" s="41" t="n">
        <f aca="false">(B116+C116)/2</f>
        <v>0.0145263671875</v>
      </c>
      <c r="E116" s="15" t="n">
        <f aca="false">$C$2*(1+IF(E$3&lt;=$O$2,$D116,$D116-($D116-$I$103)*MIN(E$3-$O$2,$Q$2)/$Q$2))</f>
        <v>6858.1982421875</v>
      </c>
      <c r="F116" s="15" t="n">
        <f aca="false">E116*(1+IF(F$3&lt;=$O$2,$D116,$D116-($D116-$I$103)*MIN(F$3-$O$2,$Q$2)/$Q$2))</f>
        <v>6957.82294809818</v>
      </c>
      <c r="G116" s="15" t="n">
        <f aca="false">F116*(1+IF(G$3&lt;=$O$2,$D116,$D116-($D116-$I$103)*MIN(G$3-$O$2,$Q$2)/$Q$2))</f>
        <v>7058.89483906787</v>
      </c>
      <c r="H116" s="15" t="n">
        <f aca="false">G116*(1+IF(H$3&lt;=$O$2,$D116,$D116-($D116-$I$103)*MIN(H$3-$O$2,$Q$2)/$Q$2))</f>
        <v>7161.43493743812</v>
      </c>
      <c r="I116" s="15" t="n">
        <f aca="false">H116*(1+IF(I$3&lt;=$O$2,$D116,$D116-($D116-$I$103)*MIN(I$3-$O$2,$Q$2)/$Q$2))</f>
        <v>7265.46457092874</v>
      </c>
      <c r="J116" s="15" t="n">
        <f aca="false">I116*(1+IF(J$3&lt;=$O$2,$D116,$D116-($D116-$I$103)*MIN(J$3-$O$2,$Q$2)/$Q$2))</f>
        <v>7391.01974531626</v>
      </c>
      <c r="K116" s="15" t="n">
        <f aca="false">J116*(1+IF(K$3&lt;=$O$2,$D116,$D116-($D116-$I$103)*MIN(K$3-$O$2,$Q$2)/$Q$2))</f>
        <v>7539.10488885956</v>
      </c>
      <c r="L116" s="15" t="n">
        <f aca="false">K116*(1+IF(L$3&lt;=$O$2,$D116,$D116-($D116-$I$103)*MIN(L$3-$O$2,$Q$2)/$Q$2))</f>
        <v>7710.92521222465</v>
      </c>
      <c r="M116" s="15" t="n">
        <f aca="false">L116*(1+IF(M$3&lt;=$O$2,$D116,$D116-($D116-$I$103)*MIN(M$3-$O$2,$Q$2)/$Q$2))</f>
        <v>7907.90290522704</v>
      </c>
      <c r="N116" s="15" t="n">
        <f aca="false">M116*(1+IF(N$3&lt;=$O$2,$D116,$D116-($D116-$I$103)*MIN(N$3-$O$2,$Q$2)/$Q$2))</f>
        <v>8131.69655744497</v>
      </c>
      <c r="O116" s="15" t="n">
        <f aca="false">SUMPRODUCT(E116:N116,1/(1+$F$103)^$E$3:$N$3)*$E$2</f>
        <v>32430.0196479668</v>
      </c>
      <c r="P116" s="15" t="n">
        <f aca="false">N116*$E$2*(1+$I$103)/($F$103-$I$103)/(1+$F$103)^$N$3</f>
        <v>69323.4069537132</v>
      </c>
      <c r="Q116" s="15" t="n">
        <f aca="false">O116+P116</f>
        <v>101753.42660168</v>
      </c>
      <c r="R116" s="15" t="n">
        <f aca="false">Q116-$G$2+$I$2</f>
        <v>100163.42660168</v>
      </c>
      <c r="S116" s="42" t="n">
        <f aca="false">R116/$K$2</f>
        <v>278.556723404194</v>
      </c>
      <c r="T116" s="43" t="n">
        <f aca="false">S116-$M$2</f>
        <v>0.537923693419941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0.01416015625</v>
      </c>
      <c r="C117" s="25" t="n">
        <f aca="false">IF(T116&gt;0,D116,C116)</f>
        <v>0.0145263671875</v>
      </c>
      <c r="D117" s="41" t="n">
        <f aca="false">(B117+C117)/2</f>
        <v>0.01434326171875</v>
      </c>
      <c r="E117" s="15" t="n">
        <f aca="false">$C$2*(1+IF(E$3&lt;=$O$2,$D117,$D117-($D117-$I$103)*MIN(E$3-$O$2,$Q$2)/$Q$2))</f>
        <v>6856.96044921875</v>
      </c>
      <c r="F117" s="15" t="n">
        <f aca="false">E117*(1+IF(F$3&lt;=$O$2,$D117,$D117-($D117-$I$103)*MIN(F$3-$O$2,$Q$2)/$Q$2))</f>
        <v>6955.31162753701</v>
      </c>
      <c r="G117" s="15" t="n">
        <f aca="false">F117*(1+IF(G$3&lt;=$O$2,$D117,$D117-($D117-$I$103)*MIN(G$3-$O$2,$Q$2)/$Q$2))</f>
        <v>7055.07348254624</v>
      </c>
      <c r="H117" s="15" t="n">
        <f aca="false">G117*(1+IF(H$3&lt;=$O$2,$D117,$D117-($D117-$I$103)*MIN(H$3-$O$2,$Q$2)/$Q$2))</f>
        <v>7156.26624795141</v>
      </c>
      <c r="I117" s="15" t="n">
        <f aca="false">H117*(1+IF(I$3&lt;=$O$2,$D117,$D117-($D117-$I$103)*MIN(I$3-$O$2,$Q$2)/$Q$2))</f>
        <v>7258.91044767484</v>
      </c>
      <c r="J117" s="15" t="n">
        <f aca="false">I117*(1+IF(J$3&lt;=$O$2,$D117,$D117-($D117-$I$103)*MIN(J$3-$O$2,$Q$2)/$Q$2))</f>
        <v>7383.28904268385</v>
      </c>
      <c r="K117" s="15" t="n">
        <f aca="false">J117*(1+IF(K$3&lt;=$O$2,$D117,$D117-($D117-$I$103)*MIN(K$3-$O$2,$Q$2)/$Q$2))</f>
        <v>7530.40814289767</v>
      </c>
      <c r="L117" s="15" t="n">
        <f aca="false">K117*(1+IF(L$3&lt;=$O$2,$D117,$D117-($D117-$I$103)*MIN(L$3-$O$2,$Q$2)/$Q$2))</f>
        <v>7701.47871910111</v>
      </c>
      <c r="M117" s="15" t="n">
        <f aca="false">L117*(1+IF(M$3&lt;=$O$2,$D117,$D117-($D117-$I$103)*MIN(M$3-$O$2,$Q$2)/$Q$2))</f>
        <v>7897.93306227945</v>
      </c>
      <c r="N117" s="15" t="n">
        <f aca="false">M117*(1+IF(N$3&lt;=$O$2,$D117,$D117-($D117-$I$103)*MIN(N$3-$O$2,$Q$2)/$Q$2))</f>
        <v>8121.44456794196</v>
      </c>
      <c r="O117" s="15" t="n">
        <f aca="false">SUMPRODUCT(E117:N117,1/(1+$F$103)^$E$3:$N$3)*$E$2</f>
        <v>32403.590283641</v>
      </c>
      <c r="P117" s="15" t="n">
        <f aca="false">N117*$E$2*(1+$I$103)/($F$103-$I$103)/(1+$F$103)^$N$3</f>
        <v>69236.0078684938</v>
      </c>
      <c r="Q117" s="15" t="n">
        <f aca="false">O117+P117</f>
        <v>101639.598152135</v>
      </c>
      <c r="R117" s="15" t="n">
        <f aca="false">Q117-$G$2+$I$2</f>
        <v>100049.598152135</v>
      </c>
      <c r="S117" s="42" t="n">
        <f aca="false">R117/$K$2</f>
        <v>278.240163947202</v>
      </c>
      <c r="T117" s="43" t="n">
        <f aca="false">S117-$M$2</f>
        <v>0.221364236427803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0.01416015625</v>
      </c>
      <c r="C118" s="25" t="n">
        <f aca="false">IF(T117&gt;0,D117,C117)</f>
        <v>0.01434326171875</v>
      </c>
      <c r="D118" s="41" t="n">
        <f aca="false">(B118+C118)/2</f>
        <v>0.014251708984375</v>
      </c>
      <c r="E118" s="15" t="n">
        <f aca="false">$C$2*(1+IF(E$3&lt;=$O$2,$D118,$D118-($D118-$I$103)*MIN(E$3-$O$2,$Q$2)/$Q$2))</f>
        <v>6856.34155273438</v>
      </c>
      <c r="F118" s="15" t="n">
        <f aca="false">E118*(1+IF(F$3&lt;=$O$2,$D118,$D118-($D118-$I$103)*MIN(F$3-$O$2,$Q$2)/$Q$2))</f>
        <v>6954.05613724142</v>
      </c>
      <c r="G118" s="15" t="n">
        <f aca="false">F118*(1+IF(G$3&lt;=$O$2,$D118,$D118-($D118-$I$103)*MIN(G$3-$O$2,$Q$2)/$Q$2))</f>
        <v>7053.1633215704</v>
      </c>
      <c r="H118" s="15" t="n">
        <f aca="false">G118*(1+IF(H$3&lt;=$O$2,$D118,$D118-($D118-$I$103)*MIN(H$3-$O$2,$Q$2)/$Q$2))</f>
        <v>7153.68295264868</v>
      </c>
      <c r="I118" s="15" t="n">
        <f aca="false">H118*(1+IF(I$3&lt;=$O$2,$D118,$D118-($D118-$I$103)*MIN(I$3-$O$2,$Q$2)/$Q$2))</f>
        <v>7255.63516025632</v>
      </c>
      <c r="J118" s="15" t="n">
        <f aca="false">I118*(1+IF(J$3&lt;=$O$2,$D118,$D118-($D118-$I$103)*MIN(J$3-$O$2,$Q$2)/$Q$2))</f>
        <v>7379.42621590399</v>
      </c>
      <c r="K118" s="15" t="n">
        <f aca="false">J118*(1+IF(K$3&lt;=$O$2,$D118,$D118-($D118-$I$103)*MIN(K$3-$O$2,$Q$2)/$Q$2))</f>
        <v>7526.06298160846</v>
      </c>
      <c r="L118" s="15" t="n">
        <f aca="false">K118*(1+IF(L$3&lt;=$O$2,$D118,$D118-($D118-$I$103)*MIN(L$3-$O$2,$Q$2)/$Q$2))</f>
        <v>7696.75923480095</v>
      </c>
      <c r="M118" s="15" t="n">
        <f aca="false">L118*(1+IF(M$3&lt;=$O$2,$D118,$D118-($D118-$I$103)*MIN(M$3-$O$2,$Q$2)/$Q$2))</f>
        <v>7892.95225842429</v>
      </c>
      <c r="N118" s="15" t="n">
        <f aca="false">M118*(1+IF(N$3&lt;=$O$2,$D118,$D118-($D118-$I$103)*MIN(N$3-$O$2,$Q$2)/$Q$2))</f>
        <v>8116.32280733769</v>
      </c>
      <c r="O118" s="15" t="n">
        <f aca="false">SUMPRODUCT(E118:N118,1/(1+$F$103)^$E$3:$N$3)*$E$2</f>
        <v>32390.3837788644</v>
      </c>
      <c r="P118" s="15" t="n">
        <f aca="false">N118*$E$2*(1+$I$103)/($F$103-$I$103)/(1+$F$103)^$N$3</f>
        <v>69192.3444223506</v>
      </c>
      <c r="Q118" s="15" t="n">
        <f aca="false">O118+P118</f>
        <v>101582.728201215</v>
      </c>
      <c r="R118" s="15" t="n">
        <f aca="false">Q118-$G$2+$I$2</f>
        <v>99992.728201215</v>
      </c>
      <c r="S118" s="42" t="n">
        <f aca="false">R118/$K$2</f>
        <v>278.082007345278</v>
      </c>
      <c r="T118" s="43" t="n">
        <f aca="false">S118-$M$2</f>
        <v>0.0632076345040673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0.01416015625</v>
      </c>
      <c r="C119" s="25" t="n">
        <f aca="false">IF(T118&gt;0,D118,C118)</f>
        <v>0.014251708984375</v>
      </c>
      <c r="D119" s="41" t="n">
        <f aca="false">(B119+C119)/2</f>
        <v>0.0142059326171875</v>
      </c>
      <c r="E119" s="15" t="n">
        <f aca="false">$C$2*(1+IF(E$3&lt;=$O$2,$D119,$D119-($D119-$I$103)*MIN(E$3-$O$2,$Q$2)/$Q$2))</f>
        <v>6856.03210449219</v>
      </c>
      <c r="F119" s="15" t="n">
        <f aca="false">E119*(1+IF(F$3&lt;=$O$2,$D119,$D119-($D119-$I$103)*MIN(F$3-$O$2,$Q$2)/$Q$2))</f>
        <v>6953.42843458988</v>
      </c>
      <c r="G119" s="15" t="n">
        <f aca="false">F119*(1+IF(G$3&lt;=$O$2,$D119,$D119-($D119-$I$103)*MIN(G$3-$O$2,$Q$2)/$Q$2))</f>
        <v>7052.2083703901</v>
      </c>
      <c r="H119" s="15" t="n">
        <f aca="false">G119*(1+IF(H$3&lt;=$O$2,$D119,$D119-($D119-$I$103)*MIN(H$3-$O$2,$Q$2)/$Q$2))</f>
        <v>7152.39156730223</v>
      </c>
      <c r="I119" s="15" t="n">
        <f aca="false">H119*(1+IF(I$3&lt;=$O$2,$D119,$D119-($D119-$I$103)*MIN(I$3-$O$2,$Q$2)/$Q$2))</f>
        <v>7253.99795995906</v>
      </c>
      <c r="J119" s="15" t="n">
        <f aca="false">I119*(1+IF(J$3&lt;=$O$2,$D119,$D119-($D119-$I$103)*MIN(J$3-$O$2,$Q$2)/$Q$2))</f>
        <v>7377.49543339194</v>
      </c>
      <c r="K119" s="15" t="n">
        <f aca="false">J119*(1+IF(K$3&lt;=$O$2,$D119,$D119-($D119-$I$103)*MIN(K$3-$O$2,$Q$2)/$Q$2))</f>
        <v>7523.89120350417</v>
      </c>
      <c r="L119" s="15" t="n">
        <f aca="false">K119*(1+IF(L$3&lt;=$O$2,$D119,$D119-($D119-$I$103)*MIN(L$3-$O$2,$Q$2)/$Q$2))</f>
        <v>7694.40043272208</v>
      </c>
      <c r="M119" s="15" t="n">
        <f aca="false">L119*(1+IF(M$3&lt;=$O$2,$D119,$D119-($D119-$I$103)*MIN(M$3-$O$2,$Q$2)/$Q$2))</f>
        <v>7890.46288533429</v>
      </c>
      <c r="N119" s="15" t="n">
        <f aca="false">M119*(1+IF(N$3&lt;=$O$2,$D119,$D119-($D119-$I$103)*MIN(N$3-$O$2,$Q$2)/$Q$2))</f>
        <v>8113.76298498925</v>
      </c>
      <c r="O119" s="15" t="n">
        <f aca="false">SUMPRODUCT(E119:N119,1/(1+$F$103)^$E$3:$N$3)*$E$2</f>
        <v>32383.7825698994</v>
      </c>
      <c r="P119" s="15" t="n">
        <f aca="false">N119*$E$2*(1+$I$103)/($F$103-$I$103)/(1+$F$103)^$N$3</f>
        <v>69170.5217184244</v>
      </c>
      <c r="Q119" s="15" t="n">
        <f aca="false">O119+P119</f>
        <v>101554.304288324</v>
      </c>
      <c r="R119" s="15" t="n">
        <f aca="false">Q119-$G$2+$I$2</f>
        <v>99964.3042883238</v>
      </c>
      <c r="S119" s="42" t="n">
        <f aca="false">R119/$K$2</f>
        <v>278.002959809566</v>
      </c>
      <c r="T119" s="43" t="n">
        <f aca="false">S119-$M$2</f>
        <v>-0.015839901207471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0.0142059326171875</v>
      </c>
      <c r="C120" s="25" t="n">
        <f aca="false">IF(T119&gt;0,D119,C119)</f>
        <v>0.014251708984375</v>
      </c>
      <c r="D120" s="41" t="n">
        <f aca="false">(B120+C120)/2</f>
        <v>0.0142288208007813</v>
      </c>
      <c r="E120" s="15" t="n">
        <f aca="false">$C$2*(1+IF(E$3&lt;=$O$2,$D120,$D120-($D120-$I$103)*MIN(E$3-$O$2,$Q$2)/$Q$2))</f>
        <v>6856.18682861328</v>
      </c>
      <c r="F120" s="15" t="n">
        <f aca="false">E120*(1+IF(F$3&lt;=$O$2,$D120,$D120-($D120-$I$103)*MIN(F$3-$O$2,$Q$2)/$Q$2))</f>
        <v>6953.7422823743</v>
      </c>
      <c r="G120" s="15" t="n">
        <f aca="false">F120*(1+IF(G$3&lt;=$O$2,$D120,$D120-($D120-$I$103)*MIN(G$3-$O$2,$Q$2)/$Q$2))</f>
        <v>7052.68583520502</v>
      </c>
      <c r="H120" s="15" t="n">
        <f aca="false">G120*(1+IF(H$3&lt;=$O$2,$D120,$D120-($D120-$I$103)*MIN(H$3-$O$2,$Q$2)/$Q$2))</f>
        <v>7153.03723811836</v>
      </c>
      <c r="I120" s="15" t="n">
        <f aca="false">H120*(1+IF(I$3&lt;=$O$2,$D120,$D120-($D120-$I$103)*MIN(I$3-$O$2,$Q$2)/$Q$2))</f>
        <v>7254.81652316086</v>
      </c>
      <c r="J120" s="15" t="n">
        <f aca="false">I120*(1+IF(J$3&lt;=$O$2,$D120,$D120-($D120-$I$103)*MIN(J$3-$O$2,$Q$2)/$Q$2))</f>
        <v>7378.46077208243</v>
      </c>
      <c r="K120" s="15" t="n">
        <f aca="false">J120*(1+IF(K$3&lt;=$O$2,$D120,$D120-($D120-$I$103)*MIN(K$3-$O$2,$Q$2)/$Q$2))</f>
        <v>7524.97702568934</v>
      </c>
      <c r="L120" s="15" t="n">
        <f aca="false">K120*(1+IF(L$3&lt;=$O$2,$D120,$D120-($D120-$I$103)*MIN(L$3-$O$2,$Q$2)/$Q$2))</f>
        <v>7695.57975543695</v>
      </c>
      <c r="M120" s="15" t="n">
        <f aca="false">L120*(1+IF(M$3&lt;=$O$2,$D120,$D120-($D120-$I$103)*MIN(M$3-$O$2,$Q$2)/$Q$2))</f>
        <v>7891.70748615969</v>
      </c>
      <c r="N120" s="15" t="n">
        <f aca="false">M120*(1+IF(N$3&lt;=$O$2,$D120,$D120-($D120-$I$103)*MIN(N$3-$O$2,$Q$2)/$Q$2))</f>
        <v>8115.04280801801</v>
      </c>
      <c r="O120" s="15" t="n">
        <f aca="false">SUMPRODUCT(E120:N120,1/(1+$F$103)^$E$3:$N$3)*$E$2</f>
        <v>32387.0830041241</v>
      </c>
      <c r="P120" s="15" t="n">
        <f aca="false">N120*$E$2*(1+$I$103)/($F$103-$I$103)/(1+$F$103)^$N$3</f>
        <v>69181.4323189399</v>
      </c>
      <c r="Q120" s="15" t="n">
        <f aca="false">O120+P120</f>
        <v>101568.515323064</v>
      </c>
      <c r="R120" s="15" t="n">
        <f aca="false">Q120-$G$2+$I$2</f>
        <v>99978.515323064</v>
      </c>
      <c r="S120" s="42" t="n">
        <f aca="false">R120/$K$2</f>
        <v>278.042481014139</v>
      </c>
      <c r="T120" s="43" t="n">
        <f aca="false">S120-$M$2</f>
        <v>0.0236813033650947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0.0142059326171875</v>
      </c>
      <c r="C121" s="25" t="n">
        <f aca="false">IF(T120&gt;0,D120,C120)</f>
        <v>0.0142288208007813</v>
      </c>
      <c r="D121" s="41" t="n">
        <f aca="false">(B121+C121)/2</f>
        <v>0.0142173767089844</v>
      </c>
      <c r="E121" s="15" t="n">
        <f aca="false">$C$2*(1+IF(E$3&lt;=$O$2,$D121,$D121-($D121-$I$103)*MIN(E$3-$O$2,$Q$2)/$Q$2))</f>
        <v>6856.10946655273</v>
      </c>
      <c r="F121" s="15" t="n">
        <f aca="false">E121*(1+IF(F$3&lt;=$O$2,$D121,$D121-($D121-$I$103)*MIN(F$3-$O$2,$Q$2)/$Q$2))</f>
        <v>6953.58535759675</v>
      </c>
      <c r="G121" s="15" t="n">
        <f aca="false">F121*(1+IF(G$3&lt;=$O$2,$D121,$D121-($D121-$I$103)*MIN(G$3-$O$2,$Q$2)/$Q$2))</f>
        <v>7052.44710010378</v>
      </c>
      <c r="H121" s="15" t="n">
        <f aca="false">G121*(1+IF(H$3&lt;=$O$2,$D121,$D121-($D121-$I$103)*MIN(H$3-$O$2,$Q$2)/$Q$2))</f>
        <v>7152.71439724614</v>
      </c>
      <c r="I121" s="15" t="n">
        <f aca="false">H121*(1+IF(I$3&lt;=$O$2,$D121,$D121-($D121-$I$103)*MIN(I$3-$O$2,$Q$2)/$Q$2))</f>
        <v>7254.40723232356</v>
      </c>
      <c r="J121" s="15" t="n">
        <f aca="false">I121*(1+IF(J$3&lt;=$O$2,$D121,$D121-($D121-$I$103)*MIN(J$3-$O$2,$Q$2)/$Q$2))</f>
        <v>7377.97808959637</v>
      </c>
      <c r="K121" s="15" t="n">
        <f aca="false">J121*(1+IF(K$3&lt;=$O$2,$D121,$D121-($D121-$I$103)*MIN(K$3-$O$2,$Q$2)/$Q$2))</f>
        <v>7524.43409788086</v>
      </c>
      <c r="L121" s="15" t="n">
        <f aca="false">K121*(1+IF(L$3&lt;=$O$2,$D121,$D121-($D121-$I$103)*MIN(L$3-$O$2,$Q$2)/$Q$2))</f>
        <v>7694.99007449948</v>
      </c>
      <c r="M121" s="15" t="n">
        <f aca="false">L121*(1+IF(M$3&lt;=$O$2,$D121,$D121-($D121-$I$103)*MIN(M$3-$O$2,$Q$2)/$Q$2))</f>
        <v>7891.08516431836</v>
      </c>
      <c r="N121" s="15" t="n">
        <f aca="false">M121*(1+IF(N$3&lt;=$O$2,$D121,$D121-($D121-$I$103)*MIN(N$3-$O$2,$Q$2)/$Q$2))</f>
        <v>8114.40287446857</v>
      </c>
      <c r="O121" s="15" t="n">
        <f aca="false">SUMPRODUCT(E121:N121,1/(1+$F$103)^$E$3:$N$3)*$E$2</f>
        <v>32385.4327444494</v>
      </c>
      <c r="P121" s="15" t="n">
        <f aca="false">N121*$E$2*(1+$I$103)/($F$103-$I$103)/(1+$F$103)^$N$3</f>
        <v>69175.9768308314</v>
      </c>
      <c r="Q121" s="15" t="n">
        <f aca="false">O121+P121</f>
        <v>101561.409575281</v>
      </c>
      <c r="R121" s="15" t="n">
        <f aca="false">Q121-$G$2+$I$2</f>
        <v>99971.4095752807</v>
      </c>
      <c r="S121" s="42" t="n">
        <f aca="false">R121/$K$2</f>
        <v>278.022719771068</v>
      </c>
      <c r="T121" s="43" t="n">
        <f aca="false">S121-$M$2</f>
        <v>0.0039200602946039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0.0142059326171875</v>
      </c>
      <c r="C122" s="25" t="n">
        <f aca="false">IF(T121&gt;0,D121,C121)</f>
        <v>0.0142173767089844</v>
      </c>
      <c r="D122" s="41" t="n">
        <f aca="false">(B122+C122)/2</f>
        <v>0.0142116546630859</v>
      </c>
      <c r="E122" s="15" t="n">
        <f aca="false">$C$2*(1+IF(E$3&lt;=$O$2,$D122,$D122-($D122-$I$103)*MIN(E$3-$O$2,$Q$2)/$Q$2))</f>
        <v>6856.07078552246</v>
      </c>
      <c r="F122" s="15" t="n">
        <f aca="false">E122*(1+IF(F$3&lt;=$O$2,$D122,$D122-($D122-$I$103)*MIN(F$3-$O$2,$Q$2)/$Q$2))</f>
        <v>6953.50689587198</v>
      </c>
      <c r="G122" s="15" t="n">
        <f aca="false">F122*(1+IF(G$3&lt;=$O$2,$D122,$D122-($D122-$I$103)*MIN(G$3-$O$2,$Q$2)/$Q$2))</f>
        <v>7052.3277345735</v>
      </c>
      <c r="H122" s="15" t="n">
        <f aca="false">G122*(1+IF(H$3&lt;=$O$2,$D122,$D122-($D122-$I$103)*MIN(H$3-$O$2,$Q$2)/$Q$2))</f>
        <v>7152.55298090816</v>
      </c>
      <c r="I122" s="15" t="n">
        <f aca="false">H122*(1+IF(I$3&lt;=$O$2,$D122,$D122-($D122-$I$103)*MIN(I$3-$O$2,$Q$2)/$Q$2))</f>
        <v>7254.20259383225</v>
      </c>
      <c r="J122" s="15" t="n">
        <f aca="false">I122*(1+IF(J$3&lt;=$O$2,$D122,$D122-($D122-$I$103)*MIN(J$3-$O$2,$Q$2)/$Q$2))</f>
        <v>7377.73675820903</v>
      </c>
      <c r="K122" s="15" t="n">
        <f aca="false">J122*(1+IF(K$3&lt;=$O$2,$D122,$D122-($D122-$I$103)*MIN(K$3-$O$2,$Q$2)/$Q$2))</f>
        <v>7524.16264651365</v>
      </c>
      <c r="L122" s="15" t="n">
        <f aca="false">K122*(1+IF(L$3&lt;=$O$2,$D122,$D122-($D122-$I$103)*MIN(L$3-$O$2,$Q$2)/$Q$2))</f>
        <v>7694.69524871591</v>
      </c>
      <c r="M122" s="15" t="n">
        <f aca="false">L122*(1+IF(M$3&lt;=$O$2,$D122,$D122-($D122-$I$103)*MIN(M$3-$O$2,$Q$2)/$Q$2))</f>
        <v>7890.77401946932</v>
      </c>
      <c r="N122" s="15" t="n">
        <f aca="false">M122*(1+IF(N$3&lt;=$O$2,$D122,$D122-($D122-$I$103)*MIN(N$3-$O$2,$Q$2)/$Q$2))</f>
        <v>8114.0829242203</v>
      </c>
      <c r="O122" s="15" t="n">
        <f aca="false">SUMPRODUCT(E122:N122,1/(1+$F$103)^$E$3:$N$3)*$E$2</f>
        <v>32384.6076465341</v>
      </c>
      <c r="P122" s="15" t="n">
        <f aca="false">N122*$E$2*(1+$I$103)/($F$103-$I$103)/(1+$F$103)^$N$3</f>
        <v>69173.2492276666</v>
      </c>
      <c r="Q122" s="15" t="n">
        <f aca="false">O122+P122</f>
        <v>101557.856874201</v>
      </c>
      <c r="R122" s="15" t="n">
        <f aca="false">Q122-$G$2+$I$2</f>
        <v>99967.8568742006</v>
      </c>
      <c r="S122" s="42" t="n">
        <f aca="false">R122/$K$2</f>
        <v>278.012839630126</v>
      </c>
      <c r="T122" s="43" t="n">
        <f aca="false">S122-$M$2</f>
        <v>-0.00596008064792386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0.0142116546630859</v>
      </c>
      <c r="C123" s="25" t="n">
        <f aca="false">IF(T122&gt;0,D122,C122)</f>
        <v>0.0142173767089844</v>
      </c>
      <c r="D123" s="41" t="n">
        <f aca="false">(B123+C123)/2</f>
        <v>0.0142145156860352</v>
      </c>
      <c r="E123" s="15" t="n">
        <f aca="false">$C$2*(1+IF(E$3&lt;=$O$2,$D123,$D123-($D123-$I$103)*MIN(E$3-$O$2,$Q$2)/$Q$2))</f>
        <v>6856.0901260376</v>
      </c>
      <c r="F123" s="15" t="n">
        <f aca="false">E123*(1+IF(F$3&lt;=$O$2,$D123,$D123-($D123-$I$103)*MIN(F$3-$O$2,$Q$2)/$Q$2))</f>
        <v>6953.54612667903</v>
      </c>
      <c r="G123" s="15" t="n">
        <f aca="false">F123*(1+IF(G$3&lt;=$O$2,$D123,$D123-($D123-$I$103)*MIN(G$3-$O$2,$Q$2)/$Q$2))</f>
        <v>7052.38741717028</v>
      </c>
      <c r="H123" s="15" t="n">
        <f aca="false">G123*(1+IF(H$3&lt;=$O$2,$D123,$D123-($D123-$I$103)*MIN(H$3-$O$2,$Q$2)/$Q$2))</f>
        <v>7152.63368873564</v>
      </c>
      <c r="I123" s="15" t="n">
        <f aca="false">H123*(1+IF(I$3&lt;=$O$2,$D123,$D123-($D123-$I$103)*MIN(I$3-$O$2,$Q$2)/$Q$2))</f>
        <v>7254.30491250064</v>
      </c>
      <c r="J123" s="15" t="n">
        <f aca="false">I123*(1+IF(J$3&lt;=$O$2,$D123,$D123-($D123-$I$103)*MIN(J$3-$O$2,$Q$2)/$Q$2))</f>
        <v>7377.85742308141</v>
      </c>
      <c r="K123" s="15" t="n">
        <f aca="false">J123*(1+IF(K$3&lt;=$O$2,$D123,$D123-($D123-$I$103)*MIN(K$3-$O$2,$Q$2)/$Q$2))</f>
        <v>7524.29837115252</v>
      </c>
      <c r="L123" s="15" t="n">
        <f aca="false">K123*(1+IF(L$3&lt;=$O$2,$D123,$D123-($D123-$I$103)*MIN(L$3-$O$2,$Q$2)/$Q$2))</f>
        <v>7694.84266038396</v>
      </c>
      <c r="M123" s="15" t="n">
        <f aca="false">L123*(1+IF(M$3&lt;=$O$2,$D123,$D123-($D123-$I$103)*MIN(M$3-$O$2,$Q$2)/$Q$2))</f>
        <v>7890.92959055457</v>
      </c>
      <c r="N123" s="15" t="n">
        <f aca="false">M123*(1+IF(N$3&lt;=$O$2,$D123,$D123-($D123-$I$103)*MIN(N$3-$O$2,$Q$2)/$Q$2))</f>
        <v>8114.24289796726</v>
      </c>
      <c r="O123" s="15" t="n">
        <f aca="false">SUMPRODUCT(E123:N123,1/(1+$F$103)^$E$3:$N$3)*$E$2</f>
        <v>32385.0201928316</v>
      </c>
      <c r="P123" s="15" t="n">
        <f aca="false">N123*$E$2*(1+$I$103)/($F$103-$I$103)/(1+$F$103)^$N$3</f>
        <v>69174.6130175085</v>
      </c>
      <c r="Q123" s="15" t="n">
        <f aca="false">O123+P123</f>
        <v>101559.63321034</v>
      </c>
      <c r="R123" s="15" t="n">
        <f aca="false">Q123-$G$2+$I$2</f>
        <v>99969.6332103401</v>
      </c>
      <c r="S123" s="42" t="n">
        <f aca="false">R123/$K$2</f>
        <v>278.017779660549</v>
      </c>
      <c r="T123" s="43" t="n">
        <f aca="false">S123-$M$2</f>
        <v>-0.0010200502251223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0.0142145156860352</v>
      </c>
      <c r="C124" s="25" t="n">
        <f aca="false">IF(T123&gt;0,D123,C123)</f>
        <v>0.0142173767089844</v>
      </c>
      <c r="D124" s="41" t="n">
        <f aca="false">(B124+C124)/2</f>
        <v>0.0142159461975098</v>
      </c>
      <c r="E124" s="15" t="n">
        <f aca="false">$C$2*(1+IF(E$3&lt;=$O$2,$D124,$D124-($D124-$I$103)*MIN(E$3-$O$2,$Q$2)/$Q$2))</f>
        <v>6856.09979629517</v>
      </c>
      <c r="F124" s="15" t="n">
        <f aca="false">E124*(1+IF(F$3&lt;=$O$2,$D124,$D124-($D124-$I$103)*MIN(F$3-$O$2,$Q$2)/$Q$2))</f>
        <v>6953.56574212406</v>
      </c>
      <c r="G124" s="15" t="n">
        <f aca="false">F124*(1+IF(G$3&lt;=$O$2,$D124,$D124-($D124-$I$103)*MIN(G$3-$O$2,$Q$2)/$Q$2))</f>
        <v>7052.41725859494</v>
      </c>
      <c r="H124" s="15" t="n">
        <f aca="false">G124*(1+IF(H$3&lt;=$O$2,$D124,$D124-($D124-$I$103)*MIN(H$3-$O$2,$Q$2)/$Q$2))</f>
        <v>7152.67404290551</v>
      </c>
      <c r="I124" s="15" t="n">
        <f aca="false">H124*(1+IF(I$3&lt;=$O$2,$D124,$D124-($D124-$I$103)*MIN(I$3-$O$2,$Q$2)/$Q$2))</f>
        <v>7254.35607226778</v>
      </c>
      <c r="J124" s="15" t="n">
        <f aca="false">I124*(1+IF(J$3&lt;=$O$2,$D124,$D124-($D124-$I$103)*MIN(J$3-$O$2,$Q$2)/$Q$2))</f>
        <v>7377.91775613357</v>
      </c>
      <c r="K124" s="15" t="n">
        <f aca="false">J124*(1+IF(K$3&lt;=$O$2,$D124,$D124-($D124-$I$103)*MIN(K$3-$O$2,$Q$2)/$Q$2))</f>
        <v>7524.36623425551</v>
      </c>
      <c r="L124" s="15" t="n">
        <f aca="false">K124*(1+IF(L$3&lt;=$O$2,$D124,$D124-($D124-$I$103)*MIN(L$3-$O$2,$Q$2)/$Q$2))</f>
        <v>7694.91636713578</v>
      </c>
      <c r="M124" s="15" t="n">
        <f aca="false">L124*(1+IF(M$3&lt;=$O$2,$D124,$D124-($D124-$I$103)*MIN(M$3-$O$2,$Q$2)/$Q$2))</f>
        <v>7891.00737710164</v>
      </c>
      <c r="N124" s="15" t="n">
        <f aca="false">M124*(1+IF(N$3&lt;=$O$2,$D124,$D124-($D124-$I$103)*MIN(N$3-$O$2,$Q$2)/$Q$2))</f>
        <v>8114.32288587362</v>
      </c>
      <c r="O124" s="15" t="n">
        <f aca="false">SUMPRODUCT(E124:N124,1/(1+$F$103)^$E$3:$N$3)*$E$2</f>
        <v>32385.2264679754</v>
      </c>
      <c r="P124" s="15" t="n">
        <f aca="false">N124*$E$2*(1+$I$103)/($F$103-$I$103)/(1+$F$103)^$N$3</f>
        <v>69175.2949212348</v>
      </c>
      <c r="Q124" s="15" t="n">
        <f aca="false">O124+P124</f>
        <v>101560.52138921</v>
      </c>
      <c r="R124" s="15" t="n">
        <f aca="false">Q124-$G$2+$I$2</f>
        <v>99970.5213892102</v>
      </c>
      <c r="S124" s="42" t="n">
        <f aca="false">R124/$K$2</f>
        <v>278.020249705796</v>
      </c>
      <c r="T124" s="43" t="n">
        <f aca="false">S124-$M$2</f>
        <v>0.00144999502253995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0.0142145156860352</v>
      </c>
      <c r="C125" s="25" t="n">
        <f aca="false">IF(T124&gt;0,D124,C124)</f>
        <v>0.0142159461975098</v>
      </c>
      <c r="D125" s="41" t="n">
        <f aca="false">(B125+C125)/2</f>
        <v>0.0142152309417725</v>
      </c>
      <c r="E125" s="15" t="n">
        <f aca="false">$C$2*(1+IF(E$3&lt;=$O$2,$D125,$D125-($D125-$I$103)*MIN(E$3-$O$2,$Q$2)/$Q$2))</f>
        <v>6856.09496116638</v>
      </c>
      <c r="F125" s="15" t="n">
        <f aca="false">E125*(1+IF(F$3&lt;=$O$2,$D125,$D125-($D125-$I$103)*MIN(F$3-$O$2,$Q$2)/$Q$2))</f>
        <v>6953.55593439808</v>
      </c>
      <c r="G125" s="15" t="n">
        <f aca="false">F125*(1+IF(G$3&lt;=$O$2,$D125,$D125-($D125-$I$103)*MIN(G$3-$O$2,$Q$2)/$Q$2))</f>
        <v>7052.40233787209</v>
      </c>
      <c r="H125" s="15" t="n">
        <f aca="false">G125*(1+IF(H$3&lt;=$O$2,$D125,$D125-($D125-$I$103)*MIN(H$3-$O$2,$Q$2)/$Q$2))</f>
        <v>7152.65386579923</v>
      </c>
      <c r="I125" s="15" t="n">
        <f aca="false">H125*(1+IF(I$3&lt;=$O$2,$D125,$D125-($D125-$I$103)*MIN(I$3-$O$2,$Q$2)/$Q$2))</f>
        <v>7254.33049234813</v>
      </c>
      <c r="J125" s="15" t="n">
        <f aca="false">I125*(1+IF(J$3&lt;=$O$2,$D125,$D125-($D125-$I$103)*MIN(J$3-$O$2,$Q$2)/$Q$2))</f>
        <v>7377.88758955616</v>
      </c>
      <c r="K125" s="15" t="n">
        <f aca="false">J125*(1+IF(K$3&lt;=$O$2,$D125,$D125-($D125-$I$103)*MIN(K$3-$O$2,$Q$2)/$Q$2))</f>
        <v>7524.33230263872</v>
      </c>
      <c r="L125" s="15" t="n">
        <f aca="false">K125*(1+IF(L$3&lt;=$O$2,$D125,$D125-($D125-$I$103)*MIN(L$3-$O$2,$Q$2)/$Q$2))</f>
        <v>7694.87951368339</v>
      </c>
      <c r="M125" s="15" t="n">
        <f aca="false">L125*(1+IF(M$3&lt;=$O$2,$D125,$D125-($D125-$I$103)*MIN(M$3-$O$2,$Q$2)/$Q$2))</f>
        <v>7890.9684837444</v>
      </c>
      <c r="N125" s="15" t="n">
        <f aca="false">M125*(1+IF(N$3&lt;=$O$2,$D125,$D125-($D125-$I$103)*MIN(N$3-$O$2,$Q$2)/$Q$2))</f>
        <v>8114.28289183437</v>
      </c>
      <c r="O125" s="15" t="n">
        <f aca="false">SUMPRODUCT(E125:N125,1/(1+$F$103)^$E$3:$N$3)*$E$2</f>
        <v>32385.1233302373</v>
      </c>
      <c r="P125" s="15" t="n">
        <f aca="false">N125*$E$2*(1+$I$103)/($F$103-$I$103)/(1+$F$103)^$N$3</f>
        <v>69174.9539686378</v>
      </c>
      <c r="Q125" s="15" t="n">
        <f aca="false">O125+P125</f>
        <v>101560.077298875</v>
      </c>
      <c r="R125" s="15" t="n">
        <f aca="false">Q125-$G$2+$I$2</f>
        <v>99970.0772988751</v>
      </c>
      <c r="S125" s="42" t="n">
        <f aca="false">R125/$K$2</f>
        <v>278.019014680669</v>
      </c>
      <c r="T125" s="43" t="n">
        <f aca="false">S125-$M$2</f>
        <v>0.000214969895694139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0.0142145156860352</v>
      </c>
      <c r="C126" s="25" t="n">
        <f aca="false">IF(T125&gt;0,D125,C125)</f>
        <v>0.0142152309417725</v>
      </c>
      <c r="D126" s="41" t="n">
        <f aca="false">(B126+C126)/2</f>
        <v>0.0142148733139038</v>
      </c>
      <c r="E126" s="15" t="n">
        <f aca="false">$C$2*(1+IF(E$3&lt;=$O$2,$D126,$D126-($D126-$I$103)*MIN(E$3-$O$2,$Q$2)/$Q$2))</f>
        <v>6856.09254360199</v>
      </c>
      <c r="F126" s="15" t="n">
        <f aca="false">E126*(1+IF(F$3&lt;=$O$2,$D126,$D126-($D126-$I$103)*MIN(F$3-$O$2,$Q$2)/$Q$2))</f>
        <v>6953.55103053769</v>
      </c>
      <c r="G126" s="15" t="n">
        <f aca="false">F126*(1+IF(G$3&lt;=$O$2,$D126,$D126-($D126-$I$103)*MIN(G$3-$O$2,$Q$2)/$Q$2))</f>
        <v>7052.39487751855</v>
      </c>
      <c r="H126" s="15" t="n">
        <f aca="false">G126*(1+IF(H$3&lt;=$O$2,$D126,$D126-($D126-$I$103)*MIN(H$3-$O$2,$Q$2)/$Q$2))</f>
        <v>7152.6437772621</v>
      </c>
      <c r="I126" s="15" t="n">
        <f aca="false">H126*(1+IF(I$3&lt;=$O$2,$D126,$D126-($D126-$I$103)*MIN(I$3-$O$2,$Q$2)/$Q$2))</f>
        <v>7254.31770241537</v>
      </c>
      <c r="J126" s="15" t="n">
        <f aca="false">I126*(1+IF(J$3&lt;=$O$2,$D126,$D126-($D126-$I$103)*MIN(J$3-$O$2,$Q$2)/$Q$2))</f>
        <v>7377.87250630595</v>
      </c>
      <c r="K126" s="15" t="n">
        <f aca="false">J126*(1+IF(K$3&lt;=$O$2,$D126,$D126-($D126-$I$103)*MIN(K$3-$O$2,$Q$2)/$Q$2))</f>
        <v>7524.3153368793</v>
      </c>
      <c r="L126" s="15" t="n">
        <f aca="false">K126*(1+IF(L$3&lt;=$O$2,$D126,$D126-($D126-$I$103)*MIN(L$3-$O$2,$Q$2)/$Q$2))</f>
        <v>7694.86108701455</v>
      </c>
      <c r="M126" s="15" t="n">
        <f aca="false">L126*(1+IF(M$3&lt;=$O$2,$D126,$D126-($D126-$I$103)*MIN(M$3-$O$2,$Q$2)/$Q$2))</f>
        <v>7890.94903712856</v>
      </c>
      <c r="N126" s="15" t="n">
        <f aca="false">M126*(1+IF(N$3&lt;=$O$2,$D126,$D126-($D126-$I$103)*MIN(N$3-$O$2,$Q$2)/$Q$2))</f>
        <v>8114.2628948793</v>
      </c>
      <c r="O126" s="15" t="n">
        <f aca="false">SUMPRODUCT(E126:N126,1/(1+$F$103)^$E$3:$N$3)*$E$2</f>
        <v>32385.0717614929</v>
      </c>
      <c r="P126" s="15" t="n">
        <f aca="false">N126*$E$2*(1+$I$103)/($F$103-$I$103)/(1+$F$103)^$N$3</f>
        <v>69174.7834928897</v>
      </c>
      <c r="Q126" s="15" t="n">
        <f aca="false">O126+P126</f>
        <v>101559.855254383</v>
      </c>
      <c r="R126" s="15" t="n">
        <f aca="false">Q126-$G$2+$I$2</f>
        <v>99969.8552543826</v>
      </c>
      <c r="S126" s="42" t="n">
        <f aca="false">R126/$K$2</f>
        <v>278.018397169983</v>
      </c>
      <c r="T126" s="43" t="n">
        <f aca="false">S126-$M$2</f>
        <v>-0.000402540790446437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0.0142148733139038</v>
      </c>
      <c r="C127" s="25" t="n">
        <f aca="false">IF(T126&gt;0,D126,C126)</f>
        <v>0.0142152309417725</v>
      </c>
      <c r="D127" s="41" t="n">
        <f aca="false">(B127+C127)/2</f>
        <v>0.0142150521278381</v>
      </c>
      <c r="E127" s="15" t="n">
        <f aca="false">$C$2*(1+IF(E$3&lt;=$O$2,$D127,$D127-($D127-$I$103)*MIN(E$3-$O$2,$Q$2)/$Q$2))</f>
        <v>6856.09375238419</v>
      </c>
      <c r="F127" s="15" t="n">
        <f aca="false">E127*(1+IF(F$3&lt;=$O$2,$D127,$D127-($D127-$I$103)*MIN(F$3-$O$2,$Q$2)/$Q$2))</f>
        <v>6953.55348246767</v>
      </c>
      <c r="G127" s="15" t="n">
        <f aca="false">F127*(1+IF(G$3&lt;=$O$2,$D127,$D127-($D127-$I$103)*MIN(G$3-$O$2,$Q$2)/$Q$2))</f>
        <v>7052.39860769466</v>
      </c>
      <c r="H127" s="15" t="n">
        <f aca="false">G127*(1+IF(H$3&lt;=$O$2,$D127,$D127-($D127-$I$103)*MIN(H$3-$O$2,$Q$2)/$Q$2))</f>
        <v>7152.64882152933</v>
      </c>
      <c r="I127" s="15" t="n">
        <f aca="false">H127*(1+IF(I$3&lt;=$O$2,$D127,$D127-($D127-$I$103)*MIN(I$3-$O$2,$Q$2)/$Q$2))</f>
        <v>7254.32409737949</v>
      </c>
      <c r="J127" s="15" t="n">
        <f aca="false">I127*(1+IF(J$3&lt;=$O$2,$D127,$D127-($D127-$I$103)*MIN(J$3-$O$2,$Q$2)/$Q$2))</f>
        <v>7377.88004792785</v>
      </c>
      <c r="K127" s="15" t="n">
        <f aca="false">J127*(1+IF(K$3&lt;=$O$2,$D127,$D127-($D127-$I$103)*MIN(K$3-$O$2,$Q$2)/$Q$2))</f>
        <v>7524.32381975493</v>
      </c>
      <c r="L127" s="15" t="n">
        <f aca="false">K127*(1+IF(L$3&lt;=$O$2,$D127,$D127-($D127-$I$103)*MIN(L$3-$O$2,$Q$2)/$Q$2))</f>
        <v>7694.87030034419</v>
      </c>
      <c r="M127" s="15" t="n">
        <f aca="false">L127*(1+IF(M$3&lt;=$O$2,$D127,$D127-($D127-$I$103)*MIN(M$3-$O$2,$Q$2)/$Q$2))</f>
        <v>7890.95876043125</v>
      </c>
      <c r="N127" s="15" t="n">
        <f aca="false">M127*(1+IF(N$3&lt;=$O$2,$D127,$D127-($D127-$I$103)*MIN(N$3-$O$2,$Q$2)/$Q$2))</f>
        <v>8114.27289335145</v>
      </c>
      <c r="O127" s="15" t="n">
        <f aca="false">SUMPRODUCT(E127:N127,1/(1+$F$103)^$E$3:$N$3)*$E$2</f>
        <v>32385.0975458547</v>
      </c>
      <c r="P127" s="15" t="n">
        <f aca="false">N127*$E$2*(1+$I$103)/($F$103-$I$103)/(1+$F$103)^$N$3</f>
        <v>69174.8687307179</v>
      </c>
      <c r="Q127" s="15" t="n">
        <f aca="false">O127+P127</f>
        <v>101559.966276573</v>
      </c>
      <c r="R127" s="15" t="n">
        <f aca="false">Q127-$G$2+$I$2</f>
        <v>99969.9662765726</v>
      </c>
      <c r="S127" s="42" t="n">
        <f aca="false">R127/$K$2</f>
        <v>278.01870592517</v>
      </c>
      <c r="T127" s="43" t="n">
        <f aca="false">S127-$M$2</f>
        <v>-9.3785603780816E-005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0.0142150521278381</v>
      </c>
      <c r="C128" s="25" t="n">
        <f aca="false">IF(T127&gt;0,D127,C127)</f>
        <v>0.0142152309417725</v>
      </c>
      <c r="D128" s="41" t="n">
        <f aca="false">(B128+C128)/2</f>
        <v>0.0142151415348053</v>
      </c>
      <c r="E128" s="15" t="n">
        <f aca="false">$C$2*(1+IF(E$3&lt;=$O$2,$D128,$D128-($D128-$I$103)*MIN(E$3-$O$2,$Q$2)/$Q$2))</f>
        <v>6856.09435677528</v>
      </c>
      <c r="F128" s="15" t="n">
        <f aca="false">E128*(1+IF(F$3&lt;=$O$2,$D128,$D128-($D128-$I$103)*MIN(F$3-$O$2,$Q$2)/$Q$2))</f>
        <v>6953.55470843283</v>
      </c>
      <c r="G128" s="15" t="n">
        <f aca="false">F128*(1+IF(G$3&lt;=$O$2,$D128,$D128-($D128-$I$103)*MIN(G$3-$O$2,$Q$2)/$Q$2))</f>
        <v>7052.40047278321</v>
      </c>
      <c r="H128" s="15" t="n">
        <f aca="false">G128*(1+IF(H$3&lt;=$O$2,$D128,$D128-($D128-$I$103)*MIN(H$3-$O$2,$Q$2)/$Q$2))</f>
        <v>7152.65134366395</v>
      </c>
      <c r="I128" s="15" t="n">
        <f aca="false">H128*(1+IF(I$3&lt;=$O$2,$D128,$D128-($D128-$I$103)*MIN(I$3-$O$2,$Q$2)/$Q$2))</f>
        <v>7254.32729486325</v>
      </c>
      <c r="J128" s="15" t="n">
        <f aca="false">I128*(1+IF(J$3&lt;=$O$2,$D128,$D128-($D128-$I$103)*MIN(J$3-$O$2,$Q$2)/$Q$2))</f>
        <v>7377.8838187412</v>
      </c>
      <c r="K128" s="15" t="n">
        <f aca="false">J128*(1+IF(K$3&lt;=$O$2,$D128,$D128-($D128-$I$103)*MIN(K$3-$O$2,$Q$2)/$Q$2))</f>
        <v>7524.3280611958</v>
      </c>
      <c r="L128" s="15" t="n">
        <f aca="false">K128*(1+IF(L$3&lt;=$O$2,$D128,$D128-($D128-$I$103)*MIN(L$3-$O$2,$Q$2)/$Q$2))</f>
        <v>7694.87490701259</v>
      </c>
      <c r="M128" s="15" t="n">
        <f aca="false">L128*(1+IF(M$3&lt;=$O$2,$D128,$D128-($D128-$I$103)*MIN(M$3-$O$2,$Q$2)/$Q$2))</f>
        <v>7890.96362208652</v>
      </c>
      <c r="N128" s="15" t="n">
        <f aca="false">M128*(1+IF(N$3&lt;=$O$2,$D128,$D128-($D128-$I$103)*MIN(N$3-$O$2,$Q$2)/$Q$2))</f>
        <v>8114.27789259157</v>
      </c>
      <c r="O128" s="15" t="n">
        <f aca="false">SUMPRODUCT(E128:N128,1/(1+$F$103)^$E$3:$N$3)*$E$2</f>
        <v>32385.1104380434</v>
      </c>
      <c r="P128" s="15" t="n">
        <f aca="false">N128*$E$2*(1+$I$103)/($F$103-$I$103)/(1+$F$103)^$N$3</f>
        <v>69174.9113496664</v>
      </c>
      <c r="Q128" s="15" t="n">
        <f aca="false">O128+P128</f>
        <v>101560.02178771</v>
      </c>
      <c r="R128" s="15" t="n">
        <f aca="false">Q128-$G$2+$I$2</f>
        <v>99970.0217877098</v>
      </c>
      <c r="S128" s="42" t="n">
        <f aca="false">R128/$K$2</f>
        <v>278.018860302881</v>
      </c>
      <c r="T128" s="43" t="n">
        <f aca="false">S128-$M$2</f>
        <v>6.05921068199677E-005</v>
      </c>
    </row>
    <row r="130" customFormat="false" ht="15" hidden="false" customHeight="false" outlineLevel="0" collapsed="false">
      <c r="A130" s="38" t="s">
        <v>190</v>
      </c>
      <c r="E130" s="5" t="s">
        <v>11</v>
      </c>
      <c r="F130" s="12" t="n">
        <f aca="false">Sensitivity!$B$10</f>
        <v>0.0674202832668642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167</v>
      </c>
      <c r="B131" s="28" t="s">
        <v>168</v>
      </c>
      <c r="C131" s="28" t="s">
        <v>169</v>
      </c>
      <c r="D131" s="28" t="s">
        <v>170</v>
      </c>
      <c r="E131" s="28" t="s">
        <v>171</v>
      </c>
      <c r="F131" s="28" t="s">
        <v>172</v>
      </c>
      <c r="G131" s="28" t="s">
        <v>173</v>
      </c>
      <c r="H131" s="28" t="s">
        <v>174</v>
      </c>
      <c r="I131" s="28" t="s">
        <v>175</v>
      </c>
      <c r="J131" s="28" t="s">
        <v>176</v>
      </c>
      <c r="K131" s="28" t="s">
        <v>177</v>
      </c>
      <c r="L131" s="28" t="s">
        <v>178</v>
      </c>
      <c r="M131" s="28" t="s">
        <v>179</v>
      </c>
      <c r="N131" s="28" t="s">
        <v>180</v>
      </c>
      <c r="O131" s="28" t="s">
        <v>181</v>
      </c>
      <c r="P131" s="28" t="s">
        <v>182</v>
      </c>
      <c r="Q131" s="28" t="s">
        <v>183</v>
      </c>
      <c r="R131" s="28" t="s">
        <v>184</v>
      </c>
      <c r="S131" s="28" t="s">
        <v>185</v>
      </c>
      <c r="T131" s="28" t="s">
        <v>186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8450</v>
      </c>
      <c r="F132" s="15" t="n">
        <f aca="false">E132*(1+IF(F$3&lt;=$O$2,$D132,$D132-($D132-$I$130)*MIN(F$3-$O$2,$Q$2)/$Q$2))</f>
        <v>10562.5</v>
      </c>
      <c r="G132" s="15" t="n">
        <f aca="false">F132*(1+IF(G$3&lt;=$O$2,$D132,$D132-($D132-$I$130)*MIN(G$3-$O$2,$Q$2)/$Q$2))</f>
        <v>13203.125</v>
      </c>
      <c r="H132" s="15" t="n">
        <f aca="false">G132*(1+IF(H$3&lt;=$O$2,$D132,$D132-($D132-$I$130)*MIN(H$3-$O$2,$Q$2)/$Q$2))</f>
        <v>16503.90625</v>
      </c>
      <c r="I132" s="15" t="n">
        <f aca="false">H132*(1+IF(I$3&lt;=$O$2,$D132,$D132-($D132-$I$130)*MIN(I$3-$O$2,$Q$2)/$Q$2))</f>
        <v>20629.8828125</v>
      </c>
      <c r="J132" s="15" t="n">
        <f aca="false">I132*(1+IF(J$3&lt;=$O$2,$D132,$D132-($D132-$I$130)*MIN(J$3-$O$2,$Q$2)/$Q$2))</f>
        <v>24893.2543945313</v>
      </c>
      <c r="K132" s="15" t="n">
        <f aca="false">J132*(1+IF(K$3&lt;=$O$2,$D132,$D132-($D132-$I$130)*MIN(K$3-$O$2,$Q$2)/$Q$2))</f>
        <v>28958.8207022461</v>
      </c>
      <c r="L132" s="15" t="n">
        <f aca="false">K132*(1+IF(L$3&lt;=$O$2,$D132,$D132-($D132-$I$130)*MIN(L$3-$O$2,$Q$2)/$Q$2))</f>
        <v>32433.3000101016</v>
      </c>
      <c r="M132" s="15" t="n">
        <f aca="false">L132*(1+IF(M$3&lt;=$O$2,$D132,$D132-($D132-$I$130)*MIN(M$3-$O$2,$Q$2)/$Q$2))</f>
        <v>34918.9881228758</v>
      </c>
      <c r="N132" s="15" t="n">
        <f aca="false">M132*(1+IF(N$3&lt;=$O$2,$D132,$D132-($D132-$I$130)*MIN(N$3-$O$2,$Q$2)/$Q$2))</f>
        <v>36081.7904273675</v>
      </c>
      <c r="O132" s="15" t="n">
        <f aca="false">SUMPRODUCT(E132:N132,1/(1+$F$130)^$E$3:$N$3)*$E$2</f>
        <v>92333.1402972274</v>
      </c>
      <c r="P132" s="15" t="n">
        <f aca="false">N132*$E$2*(1+$I$130)/($F$130-$I$130)/(1+$F$130)^$N$3</f>
        <v>354391.07025607</v>
      </c>
      <c r="Q132" s="15" t="n">
        <f aca="false">O132+P132</f>
        <v>446724.210553297</v>
      </c>
      <c r="R132" s="15" t="n">
        <f aca="false">Q132-$G$2+$I$2</f>
        <v>445134.210553297</v>
      </c>
      <c r="S132" s="42" t="n">
        <f aca="false">R132/$K$2</f>
        <v>1237.92816773262</v>
      </c>
      <c r="T132" s="43" t="n">
        <f aca="false">S132-$M$2</f>
        <v>959.90936802185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5915</v>
      </c>
      <c r="F133" s="15" t="n">
        <f aca="false">E133*(1+IF(F$3&lt;=$O$2,$D133,$D133-($D133-$I$130)*MIN(F$3-$O$2,$Q$2)/$Q$2))</f>
        <v>5175.625</v>
      </c>
      <c r="G133" s="15" t="n">
        <f aca="false">F133*(1+IF(G$3&lt;=$O$2,$D133,$D133-($D133-$I$130)*MIN(G$3-$O$2,$Q$2)/$Q$2))</f>
        <v>4528.671875</v>
      </c>
      <c r="H133" s="15" t="n">
        <f aca="false">G133*(1+IF(H$3&lt;=$O$2,$D133,$D133-($D133-$I$130)*MIN(H$3-$O$2,$Q$2)/$Q$2))</f>
        <v>3962.587890625</v>
      </c>
      <c r="I133" s="15" t="n">
        <f aca="false">H133*(1+IF(I$3&lt;=$O$2,$D133,$D133-($D133-$I$130)*MIN(I$3-$O$2,$Q$2)/$Q$2))</f>
        <v>3467.26440429688</v>
      </c>
      <c r="J133" s="15" t="n">
        <f aca="false">I133*(1+IF(J$3&lt;=$O$2,$D133,$D133-($D133-$I$130)*MIN(J$3-$O$2,$Q$2)/$Q$2))</f>
        <v>3143.62994479981</v>
      </c>
      <c r="K133" s="15" t="n">
        <f aca="false">J133*(1+IF(K$3&lt;=$O$2,$D133,$D133-($D133-$I$130)*MIN(K$3-$O$2,$Q$2)/$Q$2))</f>
        <v>2949.73084980455</v>
      </c>
      <c r="L133" s="15" t="n">
        <f aca="false">K133*(1+IF(L$3&lt;=$O$2,$D133,$D133-($D133-$I$130)*MIN(L$3-$O$2,$Q$2)/$Q$2))</f>
        <v>2861.17992969342</v>
      </c>
      <c r="M133" s="15" t="n">
        <f aca="false">L133*(1+IF(M$3&lt;=$O$2,$D133,$D133-($D133-$I$130)*MIN(M$3-$O$2,$Q$2)/$Q$2))</f>
        <v>2865.87226477812</v>
      </c>
      <c r="N133" s="15" t="n">
        <f aca="false">M133*(1+IF(N$3&lt;=$O$2,$D133,$D133-($D133-$I$130)*MIN(N$3-$O$2,$Q$2)/$Q$2))</f>
        <v>2961.30581119523</v>
      </c>
      <c r="O133" s="15" t="n">
        <f aca="false">SUMPRODUCT(E133:N133,1/(1+$F$130)^$E$3:$N$3)*$E$2</f>
        <v>17555.2371316503</v>
      </c>
      <c r="P133" s="15" t="n">
        <f aca="false">N133*$E$2*(1+$I$130)/($F$130-$I$130)/(1+$F$130)^$N$3</f>
        <v>29085.5947932394</v>
      </c>
      <c r="Q133" s="15" t="n">
        <f aca="false">O133+P133</f>
        <v>46640.8319248897</v>
      </c>
      <c r="R133" s="15" t="n">
        <f aca="false">Q133-$G$2+$I$2</f>
        <v>45050.8319248897</v>
      </c>
      <c r="S133" s="42" t="n">
        <f aca="false">R133/$K$2</f>
        <v>125.287368387813</v>
      </c>
      <c r="T133" s="43" t="n">
        <f aca="false">S133-$M$2</f>
        <v>-152.731431322961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7182.5</v>
      </c>
      <c r="F134" s="15" t="n">
        <f aca="false">E134*(1+IF(F$3&lt;=$O$2,$D134,$D134-($D134-$I$130)*MIN(F$3-$O$2,$Q$2)/$Q$2))</f>
        <v>7631.40625</v>
      </c>
      <c r="G134" s="15" t="n">
        <f aca="false">F134*(1+IF(G$3&lt;=$O$2,$D134,$D134-($D134-$I$130)*MIN(G$3-$O$2,$Q$2)/$Q$2))</f>
        <v>8108.369140625</v>
      </c>
      <c r="H134" s="15" t="n">
        <f aca="false">G134*(1+IF(H$3&lt;=$O$2,$D134,$D134-($D134-$I$130)*MIN(H$3-$O$2,$Q$2)/$Q$2))</f>
        <v>8615.14221191406</v>
      </c>
      <c r="I134" s="15" t="n">
        <f aca="false">H134*(1+IF(I$3&lt;=$O$2,$D134,$D134-($D134-$I$130)*MIN(I$3-$O$2,$Q$2)/$Q$2))</f>
        <v>9153.58860015869</v>
      </c>
      <c r="J134" s="15" t="n">
        <f aca="false">I134*(1+IF(J$3&lt;=$O$2,$D134,$D134-($D134-$I$130)*MIN(J$3-$O$2,$Q$2)/$Q$2))</f>
        <v>9672.23093024368</v>
      </c>
      <c r="K134" s="15" t="n">
        <f aca="false">J134*(1+IF(K$3&lt;=$O$2,$D134,$D134-($D134-$I$130)*MIN(K$3-$O$2,$Q$2)/$Q$2))</f>
        <v>10163.7737061187</v>
      </c>
      <c r="L134" s="15" t="n">
        <f aca="false">K134*(1+IF(L$3&lt;=$O$2,$D134,$D134-($D134-$I$130)*MIN(L$3-$O$2,$Q$2)/$Q$2))</f>
        <v>10620.9402474199</v>
      </c>
      <c r="M134" s="15" t="n">
        <f aca="false">L134*(1+IF(M$3&lt;=$O$2,$D134,$D134-($D134-$I$130)*MIN(M$3-$O$2,$Q$2)/$Q$2))</f>
        <v>11036.6438487039</v>
      </c>
      <c r="N134" s="15" t="n">
        <f aca="false">M134*(1+IF(N$3&lt;=$O$2,$D134,$D134-($D134-$I$130)*MIN(N$3-$O$2,$Q$2)/$Q$2))</f>
        <v>11404.1640888657</v>
      </c>
      <c r="O134" s="15" t="n">
        <f aca="false">SUMPRODUCT(E134:N134,1/(1+$F$130)^$E$3:$N$3)*$E$2</f>
        <v>40286.365407777</v>
      </c>
      <c r="P134" s="15" t="n">
        <f aca="false">N134*$E$2*(1+$I$130)/($F$130-$I$130)/(1+$F$130)^$N$3</f>
        <v>112010.348404538</v>
      </c>
      <c r="Q134" s="15" t="n">
        <f aca="false">O134+P134</f>
        <v>152296.713812315</v>
      </c>
      <c r="R134" s="15" t="n">
        <f aca="false">Q134-$G$2+$I$2</f>
        <v>150706.713812315</v>
      </c>
      <c r="S134" s="42" t="n">
        <f aca="false">R134/$K$2</f>
        <v>419.118732444282</v>
      </c>
      <c r="T134" s="43" t="n">
        <f aca="false">S134-$M$2</f>
        <v>141.099932733509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6548.75</v>
      </c>
      <c r="F135" s="15" t="n">
        <f aca="false">E135*(1+IF(F$3&lt;=$O$2,$D135,$D135-($D135-$I$130)*MIN(F$3-$O$2,$Q$2)/$Q$2))</f>
        <v>6344.1015625</v>
      </c>
      <c r="G135" s="15" t="n">
        <f aca="false">F135*(1+IF(G$3&lt;=$O$2,$D135,$D135-($D135-$I$130)*MIN(G$3-$O$2,$Q$2)/$Q$2))</f>
        <v>6145.84838867188</v>
      </c>
      <c r="H135" s="15" t="n">
        <f aca="false">G135*(1+IF(H$3&lt;=$O$2,$D135,$D135-($D135-$I$130)*MIN(H$3-$O$2,$Q$2)/$Q$2))</f>
        <v>5953.79062652588</v>
      </c>
      <c r="I135" s="15" t="n">
        <f aca="false">H135*(1+IF(I$3&lt;=$O$2,$D135,$D135-($D135-$I$130)*MIN(I$3-$O$2,$Q$2)/$Q$2))</f>
        <v>5767.73466944695</v>
      </c>
      <c r="J135" s="15" t="n">
        <f aca="false">I135*(1+IF(J$3&lt;=$O$2,$D135,$D135-($D135-$I$130)*MIN(J$3-$O$2,$Q$2)/$Q$2))</f>
        <v>5661.95441560929</v>
      </c>
      <c r="K135" s="15" t="n">
        <f aca="false">J135*(1+IF(K$3&lt;=$O$2,$D135,$D135-($D135-$I$130)*MIN(K$3-$O$2,$Q$2)/$Q$2))</f>
        <v>5631.21000313253</v>
      </c>
      <c r="L135" s="15" t="n">
        <f aca="false">K135*(1+IF(L$3&lt;=$O$2,$D135,$D135-($D135-$I$130)*MIN(L$3-$O$2,$Q$2)/$Q$2))</f>
        <v>5673.33145395596</v>
      </c>
      <c r="M135" s="15" t="n">
        <f aca="false">L135*(1+IF(M$3&lt;=$O$2,$D135,$D135-($D135-$I$130)*MIN(M$3-$O$2,$Q$2)/$Q$2))</f>
        <v>5789.01068230212</v>
      </c>
      <c r="N135" s="15" t="n">
        <f aca="false">M135*(1+IF(N$3&lt;=$O$2,$D135,$D135-($D135-$I$130)*MIN(N$3-$O$2,$Q$2)/$Q$2))</f>
        <v>5981.78473802278</v>
      </c>
      <c r="O135" s="15" t="n">
        <f aca="false">SUMPRODUCT(E135:N135,1/(1+$F$130)^$E$3:$N$3)*$E$2</f>
        <v>26529.6821343877</v>
      </c>
      <c r="P135" s="15" t="n">
        <f aca="false">N135*$E$2*(1+$I$130)/($F$130-$I$130)/(1+$F$130)^$N$3</f>
        <v>58752.3809168131</v>
      </c>
      <c r="Q135" s="15" t="n">
        <f aca="false">O135+P135</f>
        <v>85282.0630512008</v>
      </c>
      <c r="R135" s="15" t="n">
        <f aca="false">Q135-$G$2+$I$2</f>
        <v>83692.0630512008</v>
      </c>
      <c r="S135" s="42" t="n">
        <f aca="false">R135/$K$2</f>
        <v>232.749493996331</v>
      </c>
      <c r="T135" s="43" t="n">
        <f aca="false">S135-$M$2</f>
        <v>-45.2693057144425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41" t="n">
        <f aca="false">(B136+C136)/2</f>
        <v>0.015625</v>
      </c>
      <c r="E136" s="15" t="n">
        <f aca="false">$C$2*(1+IF(E$3&lt;=$O$2,$D136,$D136-($D136-$I$130)*MIN(E$3-$O$2,$Q$2)/$Q$2))</f>
        <v>6865.625</v>
      </c>
      <c r="F136" s="15" t="n">
        <f aca="false">E136*(1+IF(F$3&lt;=$O$2,$D136,$D136-($D136-$I$130)*MIN(F$3-$O$2,$Q$2)/$Q$2))</f>
        <v>6972.900390625</v>
      </c>
      <c r="G136" s="15" t="n">
        <f aca="false">F136*(1+IF(G$3&lt;=$O$2,$D136,$D136-($D136-$I$130)*MIN(G$3-$O$2,$Q$2)/$Q$2))</f>
        <v>7081.85195922852</v>
      </c>
      <c r="H136" s="15" t="n">
        <f aca="false">G136*(1+IF(H$3&lt;=$O$2,$D136,$D136-($D136-$I$130)*MIN(H$3-$O$2,$Q$2)/$Q$2))</f>
        <v>7192.50589609146</v>
      </c>
      <c r="I136" s="15" t="n">
        <f aca="false">H136*(1+IF(I$3&lt;=$O$2,$D136,$D136-($D136-$I$130)*MIN(I$3-$O$2,$Q$2)/$Q$2))</f>
        <v>7304.88880071789</v>
      </c>
      <c r="J136" s="15" t="n">
        <f aca="false">I136*(1+IF(J$3&lt;=$O$2,$D136,$D136-($D136-$I$130)*MIN(J$3-$O$2,$Q$2)/$Q$2))</f>
        <v>7444.85047013965</v>
      </c>
      <c r="K136" s="15" t="n">
        <f aca="false">J136*(1+IF(K$3&lt;=$O$2,$D136,$D136-($D136-$I$130)*MIN(K$3-$O$2,$Q$2)/$Q$2))</f>
        <v>7613.81135155946</v>
      </c>
      <c r="L136" s="15" t="n">
        <f aca="false">K136*(1+IF(L$3&lt;=$O$2,$D136,$D136-($D136-$I$130)*MIN(L$3-$O$2,$Q$2)/$Q$2))</f>
        <v>7813.52162331087</v>
      </c>
      <c r="M136" s="15" t="n">
        <f aca="false">L136*(1+IF(M$3&lt;=$O$2,$D136,$D136-($D136-$I$130)*MIN(M$3-$O$2,$Q$2)/$Q$2))</f>
        <v>8046.09109442872</v>
      </c>
      <c r="N136" s="15" t="n">
        <f aca="false">M136*(1+IF(N$3&lt;=$O$2,$D136,$D136-($D136-$I$130)*MIN(N$3-$O$2,$Q$2)/$Q$2))</f>
        <v>8314.02592787319</v>
      </c>
      <c r="O136" s="15" t="n">
        <f aca="false">SUMPRODUCT(E136:N136,1/(1+$F$130)^$E$3:$N$3)*$E$2</f>
        <v>32683.9921986134</v>
      </c>
      <c r="P136" s="15" t="n">
        <f aca="false">N136*$E$2*(1+$I$130)/($F$130-$I$130)/(1+$F$130)^$N$3</f>
        <v>81659.3775368995</v>
      </c>
      <c r="Q136" s="15" t="n">
        <f aca="false">O136+P136</f>
        <v>114343.369735513</v>
      </c>
      <c r="R136" s="15" t="n">
        <f aca="false">Q136-$G$2+$I$2</f>
        <v>112753.369735513</v>
      </c>
      <c r="S136" s="42" t="n">
        <f aca="false">R136/$K$2</f>
        <v>313.569636062943</v>
      </c>
      <c r="T136" s="43" t="n">
        <f aca="false">S136-$M$2</f>
        <v>35.5508363521688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-0.03125</v>
      </c>
      <c r="C137" s="25" t="n">
        <f aca="false">IF(T136&gt;0,D136,C136)</f>
        <v>0.015625</v>
      </c>
      <c r="D137" s="41" t="n">
        <f aca="false">(B137+C137)/2</f>
        <v>-0.0078125</v>
      </c>
      <c r="E137" s="15" t="n">
        <f aca="false">$C$2*(1+IF(E$3&lt;=$O$2,$D137,$D137-($D137-$I$130)*MIN(E$3-$O$2,$Q$2)/$Q$2))</f>
        <v>6707.1875</v>
      </c>
      <c r="F137" s="15" t="n">
        <f aca="false">E137*(1+IF(F$3&lt;=$O$2,$D137,$D137-($D137-$I$130)*MIN(F$3-$O$2,$Q$2)/$Q$2))</f>
        <v>6654.78759765625</v>
      </c>
      <c r="G137" s="15" t="n">
        <f aca="false">F137*(1+IF(G$3&lt;=$O$2,$D137,$D137-($D137-$I$130)*MIN(G$3-$O$2,$Q$2)/$Q$2))</f>
        <v>6602.79706954956</v>
      </c>
      <c r="H137" s="15" t="n">
        <f aca="false">G137*(1+IF(H$3&lt;=$O$2,$D137,$D137-($D137-$I$130)*MIN(H$3-$O$2,$Q$2)/$Q$2))</f>
        <v>6551.21271744371</v>
      </c>
      <c r="I137" s="15" t="n">
        <f aca="false">H137*(1+IF(I$3&lt;=$O$2,$D137,$D137-($D137-$I$130)*MIN(I$3-$O$2,$Q$2)/$Q$2))</f>
        <v>6500.03136808868</v>
      </c>
      <c r="J137" s="15" t="n">
        <f aca="false">I137*(1+IF(J$3&lt;=$O$2,$D137,$D137-($D137-$I$130)*MIN(J$3-$O$2,$Q$2)/$Q$2))</f>
        <v>6502.69638094959</v>
      </c>
      <c r="K137" s="15" t="n">
        <f aca="false">J137*(1+IF(K$3&lt;=$O$2,$D137,$D137-($D137-$I$130)*MIN(K$3-$O$2,$Q$2)/$Q$2))</f>
        <v>6558.83090745814</v>
      </c>
      <c r="L137" s="15" t="n">
        <f aca="false">K137*(1+IF(L$3&lt;=$O$2,$D137,$D137-($D137-$I$130)*MIN(L$3-$O$2,$Q$2)/$Q$2))</f>
        <v>6669.38000240335</v>
      </c>
      <c r="M137" s="15" t="n">
        <f aca="false">L137*(1+IF(M$3&lt;=$O$2,$D137,$D137-($D137-$I$130)*MIN(M$3-$O$2,$Q$2)/$Q$2))</f>
        <v>6836.63137941362</v>
      </c>
      <c r="N137" s="15" t="n">
        <f aca="false">M137*(1+IF(N$3&lt;=$O$2,$D137,$D137-($D137-$I$130)*MIN(N$3-$O$2,$Q$2)/$Q$2))</f>
        <v>7064.29120434809</v>
      </c>
      <c r="O137" s="15" t="n">
        <f aca="false">SUMPRODUCT(E137:N137,1/(1+$F$130)^$E$3:$N$3)*$E$2</f>
        <v>29443.3572691655</v>
      </c>
      <c r="P137" s="15" t="n">
        <f aca="false">N137*$E$2*(1+$I$130)/($F$130-$I$130)/(1+$F$130)^$N$3</f>
        <v>69384.6311631635</v>
      </c>
      <c r="Q137" s="15" t="n">
        <f aca="false">O137+P137</f>
        <v>98827.988432329</v>
      </c>
      <c r="R137" s="15" t="n">
        <f aca="false">Q137-$G$2+$I$2</f>
        <v>97237.988432329</v>
      </c>
      <c r="S137" s="42" t="n">
        <f aca="false">R137/$K$2</f>
        <v>270.421014606844</v>
      </c>
      <c r="T137" s="43" t="n">
        <f aca="false">S137-$M$2</f>
        <v>-7.59778510392965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-0.0078125</v>
      </c>
      <c r="C138" s="25" t="n">
        <f aca="false">IF(T137&gt;0,D137,C137)</f>
        <v>0.015625</v>
      </c>
      <c r="D138" s="41" t="n">
        <f aca="false">(B138+C138)/2</f>
        <v>0.00390625</v>
      </c>
      <c r="E138" s="15" t="n">
        <f aca="false">$C$2*(1+IF(E$3&lt;=$O$2,$D138,$D138-($D138-$I$130)*MIN(E$3-$O$2,$Q$2)/$Q$2))</f>
        <v>6786.40625</v>
      </c>
      <c r="F138" s="15" t="n">
        <f aca="false">E138*(1+IF(F$3&lt;=$O$2,$D138,$D138-($D138-$I$130)*MIN(F$3-$O$2,$Q$2)/$Q$2))</f>
        <v>6812.91564941406</v>
      </c>
      <c r="G138" s="15" t="n">
        <f aca="false">F138*(1+IF(G$3&lt;=$O$2,$D138,$D138-($D138-$I$130)*MIN(G$3-$O$2,$Q$2)/$Q$2))</f>
        <v>6839.52860116959</v>
      </c>
      <c r="H138" s="15" t="n">
        <f aca="false">G138*(1+IF(H$3&lt;=$O$2,$D138,$D138-($D138-$I$130)*MIN(H$3-$O$2,$Q$2)/$Q$2))</f>
        <v>6866.24550976791</v>
      </c>
      <c r="I138" s="15" t="n">
        <f aca="false">H138*(1+IF(I$3&lt;=$O$2,$D138,$D138-($D138-$I$130)*MIN(I$3-$O$2,$Q$2)/$Q$2))</f>
        <v>6893.06678129044</v>
      </c>
      <c r="J138" s="15" t="n">
        <f aca="false">I138*(1+IF(J$3&lt;=$O$2,$D138,$D138-($D138-$I$130)*MIN(J$3-$O$2,$Q$2)/$Q$2))</f>
        <v>6960.51543974536</v>
      </c>
      <c r="K138" s="15" t="n">
        <f aca="false">J138*(1+IF(K$3&lt;=$O$2,$D138,$D138-($D138-$I$130)*MIN(K$3-$O$2,$Q$2)/$Q$2))</f>
        <v>7069.54321346467</v>
      </c>
      <c r="L138" s="15" t="n">
        <f aca="false">K138*(1+IF(L$3&lt;=$O$2,$D138,$D138-($D138-$I$130)*MIN(L$3-$O$2,$Q$2)/$Q$2))</f>
        <v>7221.83884814074</v>
      </c>
      <c r="M138" s="15" t="n">
        <f aca="false">L138*(1+IF(M$3&lt;=$O$2,$D138,$D138-($D138-$I$130)*MIN(M$3-$O$2,$Q$2)/$Q$2))</f>
        <v>7419.87069665532</v>
      </c>
      <c r="N138" s="15" t="n">
        <f aca="false">M138*(1+IF(N$3&lt;=$O$2,$D138,$D138-($D138-$I$130)*MIN(N$3-$O$2,$Q$2)/$Q$2))</f>
        <v>7666.95239085394</v>
      </c>
      <c r="O138" s="15" t="n">
        <f aca="false">SUMPRODUCT(E138:N138,1/(1+$F$130)^$E$3:$N$3)*$E$2</f>
        <v>31020.731701782</v>
      </c>
      <c r="P138" s="15" t="n">
        <f aca="false">N138*$E$2*(1+$I$130)/($F$130-$I$130)/(1+$F$130)^$N$3</f>
        <v>75303.8979278638</v>
      </c>
      <c r="Q138" s="15" t="n">
        <f aca="false">O138+P138</f>
        <v>106324.629629646</v>
      </c>
      <c r="R138" s="15" t="n">
        <f aca="false">Q138-$G$2+$I$2</f>
        <v>104734.629629646</v>
      </c>
      <c r="S138" s="42" t="n">
        <f aca="false">R138/$K$2</f>
        <v>291.26934098016</v>
      </c>
      <c r="T138" s="43" t="n">
        <f aca="false">S138-$M$2</f>
        <v>13.2505412693858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-0.0078125</v>
      </c>
      <c r="C139" s="25" t="n">
        <f aca="false">IF(T138&gt;0,D138,C138)</f>
        <v>0.00390625</v>
      </c>
      <c r="D139" s="41" t="n">
        <f aca="false">(B139+C139)/2</f>
        <v>-0.001953125</v>
      </c>
      <c r="E139" s="15" t="n">
        <f aca="false">$C$2*(1+IF(E$3&lt;=$O$2,$D139,$D139-($D139-$I$130)*MIN(E$3-$O$2,$Q$2)/$Q$2))</f>
        <v>6746.796875</v>
      </c>
      <c r="F139" s="15" t="n">
        <f aca="false">E139*(1+IF(F$3&lt;=$O$2,$D139,$D139-($D139-$I$130)*MIN(F$3-$O$2,$Q$2)/$Q$2))</f>
        <v>6733.61953735352</v>
      </c>
      <c r="G139" s="15" t="n">
        <f aca="false">F139*(1+IF(G$3&lt;=$O$2,$D139,$D139-($D139-$I$130)*MIN(G$3-$O$2,$Q$2)/$Q$2))</f>
        <v>6720.46793669462</v>
      </c>
      <c r="H139" s="15" t="n">
        <f aca="false">G139*(1+IF(H$3&lt;=$O$2,$D139,$D139-($D139-$I$130)*MIN(H$3-$O$2,$Q$2)/$Q$2))</f>
        <v>6707.34202275577</v>
      </c>
      <c r="I139" s="15" t="n">
        <f aca="false">H139*(1+IF(I$3&lt;=$O$2,$D139,$D139-($D139-$I$130)*MIN(I$3-$O$2,$Q$2)/$Q$2))</f>
        <v>6694.24174536757</v>
      </c>
      <c r="J139" s="15" t="n">
        <f aca="false">I139*(1+IF(J$3&lt;=$O$2,$D139,$D139-($D139-$I$130)*MIN(J$3-$O$2,$Q$2)/$Q$2))</f>
        <v>6728.36564266458</v>
      </c>
      <c r="K139" s="15" t="n">
        <f aca="false">J139*(1+IF(K$3&lt;=$O$2,$D139,$D139-($D139-$I$130)*MIN(K$3-$O$2,$Q$2)/$Q$2))</f>
        <v>6810.10266953738</v>
      </c>
      <c r="L139" s="15" t="n">
        <f aca="false">K139*(1+IF(L$3&lt;=$O$2,$D139,$D139-($D139-$I$130)*MIN(L$3-$O$2,$Q$2)/$Q$2))</f>
        <v>6940.84812816416</v>
      </c>
      <c r="M139" s="15" t="n">
        <f aca="false">L139*(1+IF(M$3&lt;=$O$2,$D139,$D139-($D139-$I$130)*MIN(M$3-$O$2,$Q$2)/$Q$2))</f>
        <v>7123.04105349839</v>
      </c>
      <c r="N139" s="15" t="n">
        <f aca="false">M139*(1+IF(N$3&lt;=$O$2,$D139,$D139-($D139-$I$130)*MIN(N$3-$O$2,$Q$2)/$Q$2))</f>
        <v>7360.23832057988</v>
      </c>
      <c r="O139" s="15" t="n">
        <f aca="false">SUMPRODUCT(E139:N139,1/(1+$F$130)^$E$3:$N$3)*$E$2</f>
        <v>30221.5749429463</v>
      </c>
      <c r="P139" s="15" t="n">
        <f aca="false">N139*$E$2*(1+$I$130)/($F$130-$I$130)/(1+$F$130)^$N$3</f>
        <v>72291.3886720988</v>
      </c>
      <c r="Q139" s="15" t="n">
        <f aca="false">O139+P139</f>
        <v>102512.963615045</v>
      </c>
      <c r="R139" s="15" t="n">
        <f aca="false">Q139-$G$2+$I$2</f>
        <v>100922.963615045</v>
      </c>
      <c r="S139" s="42" t="n">
        <f aca="false">R139/$K$2</f>
        <v>280.669012778923</v>
      </c>
      <c r="T139" s="43" t="n">
        <f aca="false">S139-$M$2</f>
        <v>2.65021306814924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-0.0078125</v>
      </c>
      <c r="C140" s="25" t="n">
        <f aca="false">IF(T139&gt;0,D139,C139)</f>
        <v>-0.001953125</v>
      </c>
      <c r="D140" s="41" t="n">
        <f aca="false">(B140+C140)/2</f>
        <v>-0.0048828125</v>
      </c>
      <c r="E140" s="15" t="n">
        <f aca="false">$C$2*(1+IF(E$3&lt;=$O$2,$D140,$D140-($D140-$I$130)*MIN(E$3-$O$2,$Q$2)/$Q$2))</f>
        <v>6726.9921875</v>
      </c>
      <c r="F140" s="15" t="n">
        <f aca="false">E140*(1+IF(F$3&lt;=$O$2,$D140,$D140-($D140-$I$130)*MIN(F$3-$O$2,$Q$2)/$Q$2))</f>
        <v>6694.14554595947</v>
      </c>
      <c r="G140" s="15" t="n">
        <f aca="false">F140*(1+IF(G$3&lt;=$O$2,$D140,$D140-($D140-$I$130)*MIN(G$3-$O$2,$Q$2)/$Q$2))</f>
        <v>6661.45928841084</v>
      </c>
      <c r="H140" s="15" t="n">
        <f aca="false">G140*(1+IF(H$3&lt;=$O$2,$D140,$D140-($D140-$I$130)*MIN(H$3-$O$2,$Q$2)/$Q$2))</f>
        <v>6628.93263172915</v>
      </c>
      <c r="I140" s="15" t="n">
        <f aca="false">H140*(1+IF(I$3&lt;=$O$2,$D140,$D140-($D140-$I$130)*MIN(I$3-$O$2,$Q$2)/$Q$2))</f>
        <v>6596.56479661328</v>
      </c>
      <c r="J140" s="15" t="n">
        <f aca="false">I140*(1+IF(J$3&lt;=$O$2,$D140,$D140-($D140-$I$130)*MIN(J$3-$O$2,$Q$2)/$Q$2))</f>
        <v>6614.73008692196</v>
      </c>
      <c r="K140" s="15" t="n">
        <f aca="false">J140*(1+IF(K$3&lt;=$O$2,$D140,$D140-($D140-$I$130)*MIN(K$3-$O$2,$Q$2)/$Q$2))</f>
        <v>6683.45919962823</v>
      </c>
      <c r="L140" s="15" t="n">
        <f aca="false">K140*(1+IF(L$3&lt;=$O$2,$D140,$D140-($D140-$I$130)*MIN(L$3-$O$2,$Q$2)/$Q$2))</f>
        <v>6803.94108318753</v>
      </c>
      <c r="M140" s="15" t="n">
        <f aca="false">L140*(1+IF(M$3&lt;=$O$2,$D140,$D140-($D140-$I$130)*MIN(M$3-$O$2,$Q$2)/$Q$2))</f>
        <v>6978.55359992959</v>
      </c>
      <c r="N140" s="15" t="n">
        <f aca="false">M140*(1+IF(N$3&lt;=$O$2,$D140,$D140-($D140-$I$130)*MIN(N$3-$O$2,$Q$2)/$Q$2))</f>
        <v>7210.93943480725</v>
      </c>
      <c r="O140" s="15" t="n">
        <f aca="false">SUMPRODUCT(E140:N140,1/(1+$F$130)^$E$3:$N$3)*$E$2</f>
        <v>29829.8813675368</v>
      </c>
      <c r="P140" s="15" t="n">
        <f aca="false">N140*$E$2*(1+$I$130)/($F$130-$I$130)/(1+$F$130)^$N$3</f>
        <v>70824.9927064244</v>
      </c>
      <c r="Q140" s="15" t="n">
        <f aca="false">O140+P140</f>
        <v>100654.874073961</v>
      </c>
      <c r="R140" s="15" t="n">
        <f aca="false">Q140-$G$2+$I$2</f>
        <v>99064.8740739612</v>
      </c>
      <c r="S140" s="42" t="n">
        <f aca="false">R140/$K$2</f>
        <v>275.501624322713</v>
      </c>
      <c r="T140" s="43" t="n">
        <f aca="false">S140-$M$2</f>
        <v>-2.51717538806059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-0.0048828125</v>
      </c>
      <c r="C141" s="25" t="n">
        <f aca="false">IF(T140&gt;0,D140,C140)</f>
        <v>-0.001953125</v>
      </c>
      <c r="D141" s="41" t="n">
        <f aca="false">(B141+C141)/2</f>
        <v>-0.00341796875</v>
      </c>
      <c r="E141" s="15" t="n">
        <f aca="false">$C$2*(1+IF(E$3&lt;=$O$2,$D141,$D141-($D141-$I$130)*MIN(E$3-$O$2,$Q$2)/$Q$2))</f>
        <v>6736.89453125</v>
      </c>
      <c r="F141" s="15" t="n">
        <f aca="false">E141*(1+IF(F$3&lt;=$O$2,$D141,$D141-($D141-$I$130)*MIN(F$3-$O$2,$Q$2)/$Q$2))</f>
        <v>6713.86803627014</v>
      </c>
      <c r="G141" s="15" t="n">
        <f aca="false">F141*(1+IF(G$3&lt;=$O$2,$D141,$D141-($D141-$I$130)*MIN(G$3-$O$2,$Q$2)/$Q$2))</f>
        <v>6690.92024513055</v>
      </c>
      <c r="H141" s="15" t="n">
        <f aca="false">G141*(1+IF(H$3&lt;=$O$2,$D141,$D141-($D141-$I$130)*MIN(H$3-$O$2,$Q$2)/$Q$2))</f>
        <v>6668.05088882395</v>
      </c>
      <c r="I141" s="15" t="n">
        <f aca="false">H141*(1+IF(I$3&lt;=$O$2,$D141,$D141-($D141-$I$130)*MIN(I$3-$O$2,$Q$2)/$Q$2))</f>
        <v>6645.25969926254</v>
      </c>
      <c r="J141" s="15" t="n">
        <f aca="false">I141*(1+IF(J$3&lt;=$O$2,$D141,$D141-($D141-$I$130)*MIN(J$3-$O$2,$Q$2)/$Q$2))</f>
        <v>6671.34649686945</v>
      </c>
      <c r="K141" s="15" t="n">
        <f aca="false">J141*(1+IF(K$3&lt;=$O$2,$D141,$D141-($D141-$I$130)*MIN(K$3-$O$2,$Q$2)/$Q$2))</f>
        <v>6746.52735989972</v>
      </c>
      <c r="L141" s="15" t="n">
        <f aca="false">K141*(1+IF(L$3&lt;=$O$2,$D141,$D141-($D141-$I$130)*MIN(L$3-$O$2,$Q$2)/$Q$2))</f>
        <v>6872.09920867566</v>
      </c>
      <c r="M141" s="15" t="n">
        <f aca="false">L141*(1+IF(M$3&lt;=$O$2,$D141,$D141-($D141-$I$130)*MIN(M$3-$O$2,$Q$2)/$Q$2))</f>
        <v>7050.47420752635</v>
      </c>
      <c r="N141" s="15" t="n">
        <f aca="false">M141*(1+IF(N$3&lt;=$O$2,$D141,$D141-($D141-$I$130)*MIN(N$3-$O$2,$Q$2)/$Q$2))</f>
        <v>7285.25499863697</v>
      </c>
      <c r="O141" s="15" t="n">
        <f aca="false">SUMPRODUCT(E141:N141,1/(1+$F$130)^$E$3:$N$3)*$E$2</f>
        <v>30025.0779175126</v>
      </c>
      <c r="P141" s="15" t="n">
        <f aca="false">N141*$E$2*(1+$I$130)/($F$130-$I$130)/(1+$F$130)^$N$3</f>
        <v>71554.911368729</v>
      </c>
      <c r="Q141" s="15" t="n">
        <f aca="false">O141+P141</f>
        <v>101579.989286242</v>
      </c>
      <c r="R141" s="15" t="n">
        <f aca="false">Q141-$G$2+$I$2</f>
        <v>99989.9892862416</v>
      </c>
      <c r="S141" s="42" t="n">
        <f aca="false">R141/$K$2</f>
        <v>278.074390361649</v>
      </c>
      <c r="T141" s="43" t="n">
        <f aca="false">S141-$M$2</f>
        <v>0.0555906508748194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-0.0048828125</v>
      </c>
      <c r="C142" s="25" t="n">
        <f aca="false">IF(T141&gt;0,D141,C141)</f>
        <v>-0.00341796875</v>
      </c>
      <c r="D142" s="41" t="n">
        <f aca="false">(B142+C142)/2</f>
        <v>-0.004150390625</v>
      </c>
      <c r="E142" s="15" t="n">
        <f aca="false">$C$2*(1+IF(E$3&lt;=$O$2,$D142,$D142-($D142-$I$130)*MIN(E$3-$O$2,$Q$2)/$Q$2))</f>
        <v>6731.943359375</v>
      </c>
      <c r="F142" s="15" t="n">
        <f aca="false">E142*(1+IF(F$3&lt;=$O$2,$D142,$D142-($D142-$I$130)*MIN(F$3-$O$2,$Q$2)/$Q$2))</f>
        <v>6704.00316476822</v>
      </c>
      <c r="G142" s="15" t="n">
        <f aca="false">F142*(1+IF(G$3&lt;=$O$2,$D142,$D142-($D142-$I$130)*MIN(G$3-$O$2,$Q$2)/$Q$2))</f>
        <v>6676.1789328832</v>
      </c>
      <c r="H142" s="15" t="n">
        <f aca="false">G142*(1+IF(H$3&lt;=$O$2,$D142,$D142-($D142-$I$130)*MIN(H$3-$O$2,$Q$2)/$Q$2))</f>
        <v>6648.47018242933</v>
      </c>
      <c r="I142" s="15" t="n">
        <f aca="false">H142*(1+IF(I$3&lt;=$O$2,$D142,$D142-($D142-$I$130)*MIN(I$3-$O$2,$Q$2)/$Q$2))</f>
        <v>6620.87643411359</v>
      </c>
      <c r="J142" s="15" t="n">
        <f aca="false">I142*(1+IF(J$3&lt;=$O$2,$D142,$D142-($D142-$I$130)*MIN(J$3-$O$2,$Q$2)/$Q$2))</f>
        <v>6642.98809237964</v>
      </c>
      <c r="K142" s="15" t="n">
        <f aca="false">J142*(1+IF(K$3&lt;=$O$2,$D142,$D142-($D142-$I$130)*MIN(K$3-$O$2,$Q$2)/$Q$2))</f>
        <v>6714.93009646978</v>
      </c>
      <c r="L142" s="15" t="n">
        <f aca="false">K142*(1+IF(L$3&lt;=$O$2,$D142,$D142-($D142-$I$130)*MIN(L$3-$O$2,$Q$2)/$Q$2))</f>
        <v>6837.94656662928</v>
      </c>
      <c r="M142" s="15" t="n">
        <f aca="false">L142*(1+IF(M$3&lt;=$O$2,$D142,$D142-($D142-$I$130)*MIN(M$3-$O$2,$Q$2)/$Q$2))</f>
        <v>7014.43343329941</v>
      </c>
      <c r="N142" s="15" t="n">
        <f aca="false">M142*(1+IF(N$3&lt;=$O$2,$D142,$D142-($D142-$I$130)*MIN(N$3-$O$2,$Q$2)/$Q$2))</f>
        <v>7248.01406662828</v>
      </c>
      <c r="O142" s="15" t="n">
        <f aca="false">SUMPRODUCT(E142:N142,1/(1+$F$130)^$E$3:$N$3)*$E$2</f>
        <v>29927.3175914581</v>
      </c>
      <c r="P142" s="15" t="n">
        <f aca="false">N142*$E$2*(1+$I$130)/($F$130-$I$130)/(1+$F$130)^$N$3</f>
        <v>71189.1353472074</v>
      </c>
      <c r="Q142" s="15" t="n">
        <f aca="false">O142+P142</f>
        <v>101116.452938666</v>
      </c>
      <c r="R142" s="15" t="n">
        <f aca="false">Q142-$G$2+$I$2</f>
        <v>99526.4529386656</v>
      </c>
      <c r="S142" s="42" t="n">
        <f aca="false">R142/$K$2</f>
        <v>276.785285440418</v>
      </c>
      <c r="T142" s="43" t="n">
        <f aca="false">S142-$M$2</f>
        <v>-1.23351427035544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-0.004150390625</v>
      </c>
      <c r="C143" s="25" t="n">
        <f aca="false">IF(T142&gt;0,D142,C142)</f>
        <v>-0.00341796875</v>
      </c>
      <c r="D143" s="41" t="n">
        <f aca="false">(B143+C143)/2</f>
        <v>-0.0037841796875</v>
      </c>
      <c r="E143" s="15" t="n">
        <f aca="false">$C$2*(1+IF(E$3&lt;=$O$2,$D143,$D143-($D143-$I$130)*MIN(E$3-$O$2,$Q$2)/$Q$2))</f>
        <v>6734.4189453125</v>
      </c>
      <c r="F143" s="15" t="n">
        <f aca="false">E143*(1+IF(F$3&lt;=$O$2,$D143,$D143-($D143-$I$130)*MIN(F$3-$O$2,$Q$2)/$Q$2))</f>
        <v>6708.93469393253</v>
      </c>
      <c r="G143" s="15" t="n">
        <f aca="false">F143*(1+IF(G$3&lt;=$O$2,$D143,$D143-($D143-$I$130)*MIN(G$3-$O$2,$Q$2)/$Q$2))</f>
        <v>6683.54687953899</v>
      </c>
      <c r="H143" s="15" t="n">
        <f aca="false">G143*(1+IF(H$3&lt;=$O$2,$D143,$D143-($D143-$I$130)*MIN(H$3-$O$2,$Q$2)/$Q$2))</f>
        <v>6658.25513719698</v>
      </c>
      <c r="I143" s="15" t="n">
        <f aca="false">H143*(1+IF(I$3&lt;=$O$2,$D143,$D143-($D143-$I$130)*MIN(I$3-$O$2,$Q$2)/$Q$2))</f>
        <v>6633.05910335261</v>
      </c>
      <c r="J143" s="15" t="n">
        <f aca="false">I143*(1+IF(J$3&lt;=$O$2,$D143,$D143-($D143-$I$130)*MIN(J$3-$O$2,$Q$2)/$Q$2))</f>
        <v>6657.15472696102</v>
      </c>
      <c r="K143" s="15" t="n">
        <f aca="false">J143*(1+IF(K$3&lt;=$O$2,$D143,$D143-($D143-$I$130)*MIN(K$3-$O$2,$Q$2)/$Q$2))</f>
        <v>6730.71290610756</v>
      </c>
      <c r="L143" s="15" t="n">
        <f aca="false">K143*(1+IF(L$3&lt;=$O$2,$D143,$D143-($D143-$I$130)*MIN(L$3-$O$2,$Q$2)/$Q$2))</f>
        <v>6855.00445914691</v>
      </c>
      <c r="M143" s="15" t="n">
        <f aca="false">L143*(1+IF(M$3&lt;=$O$2,$D143,$D143-($D143-$I$130)*MIN(M$3-$O$2,$Q$2)/$Q$2))</f>
        <v>7032.43366421218</v>
      </c>
      <c r="N143" s="15" t="n">
        <f aca="false">M143*(1+IF(N$3&lt;=$O$2,$D143,$D143-($D143-$I$130)*MIN(N$3-$O$2,$Q$2)/$Q$2))</f>
        <v>7266.61370523045</v>
      </c>
      <c r="O143" s="15" t="n">
        <f aca="false">SUMPRODUCT(E143:N143,1/(1+$F$130)^$E$3:$N$3)*$E$2</f>
        <v>29976.1571782813</v>
      </c>
      <c r="P143" s="15" t="n">
        <f aca="false">N143*$E$2*(1+$I$130)/($F$130-$I$130)/(1+$F$130)^$N$3</f>
        <v>71371.8187936918</v>
      </c>
      <c r="Q143" s="15" t="n">
        <f aca="false">O143+P143</f>
        <v>101347.975971973</v>
      </c>
      <c r="R143" s="15" t="n">
        <f aca="false">Q143-$G$2+$I$2</f>
        <v>99757.9759719731</v>
      </c>
      <c r="S143" s="42" t="n">
        <f aca="false">R143/$K$2</f>
        <v>277.42915615989</v>
      </c>
      <c r="T143" s="43" t="n">
        <f aca="false">S143-$M$2</f>
        <v>-0.589643550883977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-0.0037841796875</v>
      </c>
      <c r="C144" s="25" t="n">
        <f aca="false">IF(T143&gt;0,D143,C143)</f>
        <v>-0.00341796875</v>
      </c>
      <c r="D144" s="41" t="n">
        <f aca="false">(B144+C144)/2</f>
        <v>-0.00360107421875</v>
      </c>
      <c r="E144" s="15" t="n">
        <f aca="false">$C$2*(1+IF(E$3&lt;=$O$2,$D144,$D144-($D144-$I$130)*MIN(E$3-$O$2,$Q$2)/$Q$2))</f>
        <v>6735.65673828125</v>
      </c>
      <c r="F144" s="15" t="n">
        <f aca="false">E144*(1+IF(F$3&lt;=$O$2,$D144,$D144-($D144-$I$130)*MIN(F$3-$O$2,$Q$2)/$Q$2))</f>
        <v>6711.40113845468</v>
      </c>
      <c r="G144" s="15" t="n">
        <f aca="false">F144*(1+IF(G$3&lt;=$O$2,$D144,$D144-($D144-$I$130)*MIN(G$3-$O$2,$Q$2)/$Q$2))</f>
        <v>6687.2328848433</v>
      </c>
      <c r="H144" s="15" t="n">
        <f aca="false">G144*(1+IF(H$3&lt;=$O$2,$D144,$D144-($D144-$I$130)*MIN(H$3-$O$2,$Q$2)/$Q$2))</f>
        <v>6663.15166290691</v>
      </c>
      <c r="I144" s="15" t="n">
        <f aca="false">H144*(1+IF(I$3&lt;=$O$2,$D144,$D144-($D144-$I$130)*MIN(I$3-$O$2,$Q$2)/$Q$2))</f>
        <v>6639.157159238</v>
      </c>
      <c r="J144" s="15" t="n">
        <f aca="false">I144*(1+IF(J$3&lt;=$O$2,$D144,$D144-($D144-$I$130)*MIN(J$3-$O$2,$Q$2)/$Q$2))</f>
        <v>6664.24746777423</v>
      </c>
      <c r="K144" s="15" t="n">
        <f aca="false">J144*(1+IF(K$3&lt;=$O$2,$D144,$D144-($D144-$I$130)*MIN(K$3-$O$2,$Q$2)/$Q$2))</f>
        <v>6738.61617419884</v>
      </c>
      <c r="L144" s="15" t="n">
        <f aca="false">K144*(1+IF(L$3&lt;=$O$2,$D144,$D144-($D144-$I$130)*MIN(L$3-$O$2,$Q$2)/$Q$2))</f>
        <v>6863.54722256935</v>
      </c>
      <c r="M144" s="15" t="n">
        <f aca="false">L144*(1+IF(M$3&lt;=$O$2,$D144,$D144-($D144-$I$130)*MIN(M$3-$O$2,$Q$2)/$Q$2))</f>
        <v>7041.44889198812</v>
      </c>
      <c r="N144" s="15" t="n">
        <f aca="false">M144*(1+IF(N$3&lt;=$O$2,$D144,$D144-($D144-$I$130)*MIN(N$3-$O$2,$Q$2)/$Q$2))</f>
        <v>7275.92914009133</v>
      </c>
      <c r="O144" s="15" t="n">
        <f aca="false">SUMPRODUCT(E144:N144,1/(1+$F$130)^$E$3:$N$3)*$E$2</f>
        <v>30000.6073959068</v>
      </c>
      <c r="P144" s="15" t="n">
        <f aca="false">N144*$E$2*(1+$I$130)/($F$130-$I$130)/(1+$F$130)^$N$3</f>
        <v>71463.3138911121</v>
      </c>
      <c r="Q144" s="15" t="n">
        <f aca="false">O144+P144</f>
        <v>101463.921287019</v>
      </c>
      <c r="R144" s="15" t="n">
        <f aca="false">Q144-$G$2+$I$2</f>
        <v>99873.9212870189</v>
      </c>
      <c r="S144" s="42" t="n">
        <f aca="false">R144/$K$2</f>
        <v>277.751602667053</v>
      </c>
      <c r="T144" s="43" t="n">
        <f aca="false">S144-$M$2</f>
        <v>-0.267197043720728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-0.00360107421875</v>
      </c>
      <c r="C145" s="25" t="n">
        <f aca="false">IF(T144&gt;0,D144,C144)</f>
        <v>-0.00341796875</v>
      </c>
      <c r="D145" s="41" t="n">
        <f aca="false">(B145+C145)/2</f>
        <v>-0.003509521484375</v>
      </c>
      <c r="E145" s="15" t="n">
        <f aca="false">$C$2*(1+IF(E$3&lt;=$O$2,$D145,$D145-($D145-$I$130)*MIN(E$3-$O$2,$Q$2)/$Q$2))</f>
        <v>6736.27563476563</v>
      </c>
      <c r="F145" s="15" t="n">
        <f aca="false">E145*(1+IF(F$3&lt;=$O$2,$D145,$D145-($D145-$I$130)*MIN(F$3-$O$2,$Q$2)/$Q$2))</f>
        <v>6712.63453070074</v>
      </c>
      <c r="G145" s="15" t="n">
        <f aca="false">F145*(1+IF(G$3&lt;=$O$2,$D145,$D145-($D145-$I$130)*MIN(G$3-$O$2,$Q$2)/$Q$2))</f>
        <v>6689.07639559849</v>
      </c>
      <c r="H145" s="15" t="n">
        <f aca="false">G145*(1+IF(H$3&lt;=$O$2,$D145,$D145-($D145-$I$130)*MIN(H$3-$O$2,$Q$2)/$Q$2))</f>
        <v>6665.60093827751</v>
      </c>
      <c r="I145" s="15" t="n">
        <f aca="false">H145*(1+IF(I$3&lt;=$O$2,$D145,$D145-($D145-$I$130)*MIN(I$3-$O$2,$Q$2)/$Q$2))</f>
        <v>6642.20786857836</v>
      </c>
      <c r="J145" s="15" t="n">
        <f aca="false">I145*(1+IF(J$3&lt;=$O$2,$D145,$D145-($D145-$I$130)*MIN(J$3-$O$2,$Q$2)/$Q$2))</f>
        <v>6667.79619600832</v>
      </c>
      <c r="K145" s="15" t="n">
        <f aca="false">J145*(1+IF(K$3&lt;=$O$2,$D145,$D145-($D145-$I$130)*MIN(K$3-$O$2,$Q$2)/$Q$2))</f>
        <v>6742.57077693716</v>
      </c>
      <c r="L145" s="15" t="n">
        <f aca="false">K145*(1+IF(L$3&lt;=$O$2,$D145,$D145-($D145-$I$130)*MIN(L$3-$O$2,$Q$2)/$Q$2))</f>
        <v>6867.82206225973</v>
      </c>
      <c r="M145" s="15" t="n">
        <f aca="false">L145*(1+IF(M$3&lt;=$O$2,$D145,$D145-($D145-$I$130)*MIN(M$3-$O$2,$Q$2)/$Q$2))</f>
        <v>7045.96028818266</v>
      </c>
      <c r="N145" s="15" t="n">
        <f aca="false">M145*(1+IF(N$3&lt;=$O$2,$D145,$D145-($D145-$I$130)*MIN(N$3-$O$2,$Q$2)/$Q$2))</f>
        <v>7280.59076577914</v>
      </c>
      <c r="O145" s="15" t="n">
        <f aca="false">SUMPRODUCT(E145:N145,1/(1+$F$130)^$E$3:$N$3)*$E$2</f>
        <v>30012.8401177192</v>
      </c>
      <c r="P145" s="15" t="n">
        <f aca="false">N145*$E$2*(1+$I$130)/($F$130-$I$130)/(1+$F$130)^$N$3</f>
        <v>71509.099826263</v>
      </c>
      <c r="Q145" s="15" t="n">
        <f aca="false">O145+P145</f>
        <v>101521.939943982</v>
      </c>
      <c r="R145" s="15" t="n">
        <f aca="false">Q145-$G$2+$I$2</f>
        <v>99931.9399439822</v>
      </c>
      <c r="S145" s="42" t="n">
        <f aca="false">R145/$K$2</f>
        <v>277.912953846104</v>
      </c>
      <c r="T145" s="43" t="n">
        <f aca="false">S145-$M$2</f>
        <v>-0.105845864669334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-0.003509521484375</v>
      </c>
      <c r="C146" s="25" t="n">
        <f aca="false">IF(T145&gt;0,D145,C145)</f>
        <v>-0.00341796875</v>
      </c>
      <c r="D146" s="41" t="n">
        <f aca="false">(B146+C146)/2</f>
        <v>-0.0034637451171875</v>
      </c>
      <c r="E146" s="15" t="n">
        <f aca="false">$C$2*(1+IF(E$3&lt;=$O$2,$D146,$D146-($D146-$I$130)*MIN(E$3-$O$2,$Q$2)/$Q$2))</f>
        <v>6736.58508300781</v>
      </c>
      <c r="F146" s="15" t="n">
        <f aca="false">E146*(1+IF(F$3&lt;=$O$2,$D146,$D146-($D146-$I$130)*MIN(F$3-$O$2,$Q$2)/$Q$2))</f>
        <v>6713.25126932003</v>
      </c>
      <c r="G146" s="15" t="n">
        <f aca="false">F146*(1+IF(G$3&lt;=$O$2,$D146,$D146-($D146-$I$130)*MIN(G$3-$O$2,$Q$2)/$Q$2))</f>
        <v>6689.99827801547</v>
      </c>
      <c r="H146" s="15" t="n">
        <f aca="false">G146*(1+IF(H$3&lt;=$O$2,$D146,$D146-($D146-$I$130)*MIN(H$3-$O$2,$Q$2)/$Q$2))</f>
        <v>6666.825829146</v>
      </c>
      <c r="I146" s="15" t="n">
        <f aca="false">H146*(1+IF(I$3&lt;=$O$2,$D146,$D146-($D146-$I$130)*MIN(I$3-$O$2,$Q$2)/$Q$2))</f>
        <v>6643.73364373315</v>
      </c>
      <c r="J146" s="15" t="n">
        <f aca="false">I146*(1+IF(J$3&lt;=$O$2,$D146,$D146-($D146-$I$130)*MIN(J$3-$O$2,$Q$2)/$Q$2))</f>
        <v>6669.57114982572</v>
      </c>
      <c r="K146" s="15" t="n">
        <f aca="false">J146*(1+IF(K$3&lt;=$O$2,$D146,$D146-($D146-$I$130)*MIN(K$3-$O$2,$Q$2)/$Q$2))</f>
        <v>6744.54882083903</v>
      </c>
      <c r="L146" s="15" t="n">
        <f aca="false">K146*(1+IF(L$3&lt;=$O$2,$D146,$D146-($D146-$I$130)*MIN(L$3-$O$2,$Q$2)/$Q$2))</f>
        <v>6869.96034706107</v>
      </c>
      <c r="M146" s="15" t="n">
        <f aca="false">L146*(1+IF(M$3&lt;=$O$2,$D146,$D146-($D146-$I$130)*MIN(M$3-$O$2,$Q$2)/$Q$2))</f>
        <v>7048.21693238529</v>
      </c>
      <c r="N146" s="15" t="n">
        <f aca="false">M146*(1+IF(N$3&lt;=$O$2,$D146,$D146-($D146-$I$130)*MIN(N$3-$O$2,$Q$2)/$Q$2))</f>
        <v>7282.92255623373</v>
      </c>
      <c r="O146" s="15" t="n">
        <f aca="false">SUMPRODUCT(E146:N146,1/(1+$F$130)^$E$3:$N$3)*$E$2</f>
        <v>30018.9583827441</v>
      </c>
      <c r="P146" s="15" t="n">
        <f aca="false">N146*$E$2*(1+$I$130)/($F$130-$I$130)/(1+$F$130)^$N$3</f>
        <v>71532.0023958147</v>
      </c>
      <c r="Q146" s="15" t="n">
        <f aca="false">O146+P146</f>
        <v>101550.960778559</v>
      </c>
      <c r="R146" s="15" t="n">
        <f aca="false">Q146-$G$2+$I$2</f>
        <v>99960.9607785588</v>
      </c>
      <c r="S146" s="42" t="n">
        <f aca="false">R146/$K$2</f>
        <v>277.993661434337</v>
      </c>
      <c r="T146" s="43" t="n">
        <f aca="false">S146-$M$2</f>
        <v>-0.0251382764369623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-0.0034637451171875</v>
      </c>
      <c r="C147" s="25" t="n">
        <f aca="false">IF(T146&gt;0,D146,C146)</f>
        <v>-0.00341796875</v>
      </c>
      <c r="D147" s="41" t="n">
        <f aca="false">(B147+C147)/2</f>
        <v>-0.00344085693359375</v>
      </c>
      <c r="E147" s="15" t="n">
        <f aca="false">$C$2*(1+IF(E$3&lt;=$O$2,$D147,$D147-($D147-$I$130)*MIN(E$3-$O$2,$Q$2)/$Q$2))</f>
        <v>6736.73980712891</v>
      </c>
      <c r="F147" s="15" t="n">
        <f aca="false">E147*(1+IF(F$3&lt;=$O$2,$D147,$D147-($D147-$I$130)*MIN(F$3-$O$2,$Q$2)/$Q$2))</f>
        <v>6713.55964925373</v>
      </c>
      <c r="G147" s="15" t="n">
        <f aca="false">F147*(1+IF(G$3&lt;=$O$2,$D147,$D147-($D147-$I$130)*MIN(G$3-$O$2,$Q$2)/$Q$2))</f>
        <v>6690.4592509855</v>
      </c>
      <c r="H147" s="15" t="n">
        <f aca="false">G147*(1+IF(H$3&lt;=$O$2,$D147,$D147-($D147-$I$130)*MIN(H$3-$O$2,$Q$2)/$Q$2))</f>
        <v>6667.43833788282</v>
      </c>
      <c r="I147" s="15" t="n">
        <f aca="false">H147*(1+IF(I$3&lt;=$O$2,$D147,$D147-($D147-$I$130)*MIN(I$3-$O$2,$Q$2)/$Q$2))</f>
        <v>6644.49663644861</v>
      </c>
      <c r="J147" s="15" t="n">
        <f aca="false">I147*(1+IF(J$3&lt;=$O$2,$D147,$D147-($D147-$I$130)*MIN(J$3-$O$2,$Q$2)/$Q$2))</f>
        <v>6670.45877418994</v>
      </c>
      <c r="K147" s="15" t="n">
        <f aca="false">J147*(1+IF(K$3&lt;=$O$2,$D147,$D147-($D147-$I$130)*MIN(K$3-$O$2,$Q$2)/$Q$2))</f>
        <v>6745.5380284681</v>
      </c>
      <c r="L147" s="15" t="n">
        <f aca="false">K147*(1+IF(L$3&lt;=$O$2,$D147,$D147-($D147-$I$130)*MIN(L$3-$O$2,$Q$2)/$Q$2))</f>
        <v>6871.02970575846</v>
      </c>
      <c r="M147" s="15" t="n">
        <f aca="false">L147*(1+IF(M$3&lt;=$O$2,$D147,$D147-($D147-$I$130)*MIN(M$3-$O$2,$Q$2)/$Q$2))</f>
        <v>7049.34549107907</v>
      </c>
      <c r="N147" s="15" t="n">
        <f aca="false">M147*(1+IF(N$3&lt;=$O$2,$D147,$D147-($D147-$I$130)*MIN(N$3-$O$2,$Q$2)/$Q$2))</f>
        <v>7284.088695932</v>
      </c>
      <c r="O147" s="15" t="n">
        <f aca="false">SUMPRODUCT(E147:N147,1/(1+$F$130)^$E$3:$N$3)*$E$2</f>
        <v>30022.0179913949</v>
      </c>
      <c r="P147" s="15" t="n">
        <f aca="false">N147*$E$2*(1+$I$130)/($F$130-$I$130)/(1+$F$130)^$N$3</f>
        <v>71543.4560817556</v>
      </c>
      <c r="Q147" s="15" t="n">
        <f aca="false">O147+P147</f>
        <v>101565.474073151</v>
      </c>
      <c r="R147" s="15" t="n">
        <f aca="false">Q147-$G$2+$I$2</f>
        <v>99975.4740731505</v>
      </c>
      <c r="S147" s="42" t="n">
        <f aca="false">R147/$K$2</f>
        <v>278.034023230298</v>
      </c>
      <c r="T147" s="43" t="n">
        <f aca="false">S147-$M$2</f>
        <v>0.015223519524227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-0.0034637451171875</v>
      </c>
      <c r="C148" s="25" t="n">
        <f aca="false">IF(T147&gt;0,D147,C147)</f>
        <v>-0.00344085693359375</v>
      </c>
      <c r="D148" s="41" t="n">
        <f aca="false">(B148+C148)/2</f>
        <v>-0.00345230102539063</v>
      </c>
      <c r="E148" s="15" t="n">
        <f aca="false">$C$2*(1+IF(E$3&lt;=$O$2,$D148,$D148-($D148-$I$130)*MIN(E$3-$O$2,$Q$2)/$Q$2))</f>
        <v>6736.66244506836</v>
      </c>
      <c r="F148" s="15" t="n">
        <f aca="false">E148*(1+IF(F$3&lt;=$O$2,$D148,$D148-($D148-$I$130)*MIN(F$3-$O$2,$Q$2)/$Q$2))</f>
        <v>6713.40545840154</v>
      </c>
      <c r="G148" s="15" t="n">
        <f aca="false">F148*(1+IF(G$3&lt;=$O$2,$D148,$D148-($D148-$I$130)*MIN(G$3-$O$2,$Q$2)/$Q$2))</f>
        <v>6690.22876185364</v>
      </c>
      <c r="H148" s="15" t="n">
        <f aca="false">G148*(1+IF(H$3&lt;=$O$2,$D148,$D148-($D148-$I$130)*MIN(H$3-$O$2,$Q$2)/$Q$2))</f>
        <v>6667.13207823899</v>
      </c>
      <c r="I148" s="15" t="n">
        <f aca="false">H148*(1+IF(I$3&lt;=$O$2,$D148,$D148-($D148-$I$130)*MIN(I$3-$O$2,$Q$2)/$Q$2))</f>
        <v>6644.11513132887</v>
      </c>
      <c r="J148" s="15" t="n">
        <f aca="false">I148*(1+IF(J$3&lt;=$O$2,$D148,$D148-($D148-$I$130)*MIN(J$3-$O$2,$Q$2)/$Q$2))</f>
        <v>6670.01494971896</v>
      </c>
      <c r="K148" s="15" t="n">
        <f aca="false">J148*(1+IF(K$3&lt;=$O$2,$D148,$D148-($D148-$I$130)*MIN(K$3-$O$2,$Q$2)/$Q$2))</f>
        <v>6745.04340917905</v>
      </c>
      <c r="L148" s="15" t="n">
        <f aca="false">K148*(1+IF(L$3&lt;=$O$2,$D148,$D148-($D148-$I$130)*MIN(L$3-$O$2,$Q$2)/$Q$2))</f>
        <v>6870.49500838332</v>
      </c>
      <c r="M148" s="15" t="n">
        <f aca="false">L148*(1+IF(M$3&lt;=$O$2,$D148,$D148-($D148-$I$130)*MIN(M$3-$O$2,$Q$2)/$Q$2))</f>
        <v>7048.78119201418</v>
      </c>
      <c r="N148" s="15" t="n">
        <f aca="false">M148*(1+IF(N$3&lt;=$O$2,$D148,$D148-($D148-$I$130)*MIN(N$3-$O$2,$Q$2)/$Q$2))</f>
        <v>7283.50560570825</v>
      </c>
      <c r="O148" s="15" t="n">
        <f aca="false">SUMPRODUCT(E148:N148,1/(1+$F$130)^$E$3:$N$3)*$E$2</f>
        <v>30020.4881473881</v>
      </c>
      <c r="P148" s="15" t="n">
        <f aca="false">N148*$E$2*(1+$I$130)/($F$130-$I$130)/(1+$F$130)^$N$3</f>
        <v>71537.7290386681</v>
      </c>
      <c r="Q148" s="15" t="n">
        <f aca="false">O148+P148</f>
        <v>101558.217186056</v>
      </c>
      <c r="R148" s="15" t="n">
        <f aca="false">Q148-$G$2+$I$2</f>
        <v>99968.2171860562</v>
      </c>
      <c r="S148" s="42" t="n">
        <f aca="false">R148/$K$2</f>
        <v>278.013841665432</v>
      </c>
      <c r="T148" s="43" t="n">
        <f aca="false">S148-$M$2</f>
        <v>-0.00495804534131139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-0.00345230102539063</v>
      </c>
      <c r="C149" s="25" t="n">
        <f aca="false">IF(T148&gt;0,D148,C148)</f>
        <v>-0.00344085693359375</v>
      </c>
      <c r="D149" s="41" t="n">
        <f aca="false">(B149+C149)/2</f>
        <v>-0.00344657897949219</v>
      </c>
      <c r="E149" s="15" t="n">
        <f aca="false">$C$2*(1+IF(E$3&lt;=$O$2,$D149,$D149-($D149-$I$130)*MIN(E$3-$O$2,$Q$2)/$Q$2))</f>
        <v>6736.70112609863</v>
      </c>
      <c r="F149" s="15" t="n">
        <f aca="false">E149*(1+IF(F$3&lt;=$O$2,$D149,$D149-($D149-$I$130)*MIN(F$3-$O$2,$Q$2)/$Q$2))</f>
        <v>6713.4825536063</v>
      </c>
      <c r="G149" s="15" t="n">
        <f aca="false">F149*(1+IF(G$3&lt;=$O$2,$D149,$D149-($D149-$I$130)*MIN(G$3-$O$2,$Q$2)/$Q$2))</f>
        <v>6690.34400575785</v>
      </c>
      <c r="H149" s="15" t="n">
        <f aca="false">G149*(1+IF(H$3&lt;=$O$2,$D149,$D149-($D149-$I$130)*MIN(H$3-$O$2,$Q$2)/$Q$2))</f>
        <v>6667.28520674204</v>
      </c>
      <c r="I149" s="15" t="n">
        <f aca="false">H149*(1+IF(I$3&lt;=$O$2,$D149,$D149-($D149-$I$130)*MIN(I$3-$O$2,$Q$2)/$Q$2))</f>
        <v>6644.3058816982</v>
      </c>
      <c r="J149" s="15" t="n">
        <f aca="false">I149*(1+IF(J$3&lt;=$O$2,$D149,$D149-($D149-$I$130)*MIN(J$3-$O$2,$Q$2)/$Q$2))</f>
        <v>6670.23685888217</v>
      </c>
      <c r="K149" s="15" t="n">
        <f aca="false">J149*(1+IF(K$3&lt;=$O$2,$D149,$D149-($D149-$I$130)*MIN(K$3-$O$2,$Q$2)/$Q$2))</f>
        <v>6745.29071495485</v>
      </c>
      <c r="L149" s="15" t="n">
        <f aca="false">K149*(1+IF(L$3&lt;=$O$2,$D149,$D149-($D149-$I$130)*MIN(L$3-$O$2,$Q$2)/$Q$2))</f>
        <v>6870.76235256415</v>
      </c>
      <c r="M149" s="15" t="n">
        <f aca="false">L149*(1+IF(M$3&lt;=$O$2,$D149,$D149-($D149-$I$130)*MIN(M$3-$O$2,$Q$2)/$Q$2))</f>
        <v>7049.06333661697</v>
      </c>
      <c r="N149" s="15" t="n">
        <f aca="false">M149*(1+IF(N$3&lt;=$O$2,$D149,$D149-($D149-$I$130)*MIN(N$3-$O$2,$Q$2)/$Q$2))</f>
        <v>7283.79714572632</v>
      </c>
      <c r="O149" s="15" t="n">
        <f aca="false">SUMPRODUCT(E149:N149,1/(1+$F$130)^$E$3:$N$3)*$E$2</f>
        <v>30021.2530594709</v>
      </c>
      <c r="P149" s="15" t="n">
        <f aca="false">N149*$E$2*(1+$I$130)/($F$130-$I$130)/(1+$F$130)^$N$3</f>
        <v>71540.5925101811</v>
      </c>
      <c r="Q149" s="15" t="n">
        <f aca="false">O149+P149</f>
        <v>101561.845569652</v>
      </c>
      <c r="R149" s="15" t="n">
        <f aca="false">Q149-$G$2+$I$2</f>
        <v>99971.845569652</v>
      </c>
      <c r="S149" s="42" t="n">
        <f aca="false">R149/$K$2</f>
        <v>278.023932281139</v>
      </c>
      <c r="T149" s="43" t="n">
        <f aca="false">S149-$M$2</f>
        <v>0.00513257036544701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-0.00345230102539063</v>
      </c>
      <c r="C150" s="25" t="n">
        <f aca="false">IF(T149&gt;0,D149,C149)</f>
        <v>-0.00344657897949219</v>
      </c>
      <c r="D150" s="41" t="n">
        <f aca="false">(B150+C150)/2</f>
        <v>-0.00344944000244141</v>
      </c>
      <c r="E150" s="15" t="n">
        <f aca="false">$C$2*(1+IF(E$3&lt;=$O$2,$D150,$D150-($D150-$I$130)*MIN(E$3-$O$2,$Q$2)/$Q$2))</f>
        <v>6736.6817855835</v>
      </c>
      <c r="F150" s="15" t="n">
        <f aca="false">E150*(1+IF(F$3&lt;=$O$2,$D150,$D150-($D150-$I$130)*MIN(F$3-$O$2,$Q$2)/$Q$2))</f>
        <v>6713.44400594859</v>
      </c>
      <c r="G150" s="15" t="n">
        <f aca="false">F150*(1+IF(G$3&lt;=$O$2,$D150,$D150-($D150-$I$130)*MIN(G$3-$O$2,$Q$2)/$Q$2))</f>
        <v>6690.28638364032</v>
      </c>
      <c r="H150" s="15" t="n">
        <f aca="false">G150*(1+IF(H$3&lt;=$O$2,$D150,$D150-($D150-$I$130)*MIN(H$3-$O$2,$Q$2)/$Q$2))</f>
        <v>6667.2086421608</v>
      </c>
      <c r="I150" s="15" t="n">
        <f aca="false">H150*(1+IF(I$3&lt;=$O$2,$D150,$D150-($D150-$I$130)*MIN(I$3-$O$2,$Q$2)/$Q$2))</f>
        <v>6644.21050596591</v>
      </c>
      <c r="J150" s="15" t="n">
        <f aca="false">I150*(1+IF(J$3&lt;=$O$2,$D150,$D150-($D150-$I$130)*MIN(J$3-$O$2,$Q$2)/$Q$2))</f>
        <v>6670.1259035325</v>
      </c>
      <c r="K150" s="15" t="n">
        <f aca="false">J150*(1+IF(K$3&lt;=$O$2,$D150,$D150-($D150-$I$130)*MIN(K$3-$O$2,$Q$2)/$Q$2))</f>
        <v>6745.16706109978</v>
      </c>
      <c r="L150" s="15" t="n">
        <f aca="false">K150*(1+IF(L$3&lt;=$O$2,$D150,$D150-($D150-$I$130)*MIN(L$3-$O$2,$Q$2)/$Q$2))</f>
        <v>6870.62867934707</v>
      </c>
      <c r="M150" s="15" t="n">
        <f aca="false">L150*(1+IF(M$3&lt;=$O$2,$D150,$D150-($D150-$I$130)*MIN(M$3-$O$2,$Q$2)/$Q$2))</f>
        <v>7048.92226308318</v>
      </c>
      <c r="N150" s="15" t="n">
        <f aca="false">M150*(1+IF(N$3&lt;=$O$2,$D150,$D150-($D150-$I$130)*MIN(N$3-$O$2,$Q$2)/$Q$2))</f>
        <v>7283.65137444385</v>
      </c>
      <c r="O150" s="15" t="n">
        <f aca="false">SUMPRODUCT(E150:N150,1/(1+$F$130)^$E$3:$N$3)*$E$2</f>
        <v>30020.8706009494</v>
      </c>
      <c r="P150" s="15" t="n">
        <f aca="false">N150*$E$2*(1+$I$130)/($F$130-$I$130)/(1+$F$130)^$N$3</f>
        <v>71539.1607619171</v>
      </c>
      <c r="Q150" s="15" t="n">
        <f aca="false">O150+P150</f>
        <v>101560.031362866</v>
      </c>
      <c r="R150" s="15" t="n">
        <f aca="false">Q150-$G$2+$I$2</f>
        <v>99970.0313628665</v>
      </c>
      <c r="S150" s="42" t="n">
        <f aca="false">R150/$K$2</f>
        <v>278.018886931605</v>
      </c>
      <c r="T150" s="43" t="n">
        <f aca="false">S150-$M$2</f>
        <v>8.72208312330258E-005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-0.00345230102539063</v>
      </c>
      <c r="C151" s="25" t="n">
        <f aca="false">IF(T150&gt;0,D150,C150)</f>
        <v>-0.00344944000244141</v>
      </c>
      <c r="D151" s="41" t="n">
        <f aca="false">(B151+C151)/2</f>
        <v>-0.00345087051391602</v>
      </c>
      <c r="E151" s="15" t="n">
        <f aca="false">$C$2*(1+IF(E$3&lt;=$O$2,$D151,$D151-($D151-$I$130)*MIN(E$3-$O$2,$Q$2)/$Q$2))</f>
        <v>6736.67211532593</v>
      </c>
      <c r="F151" s="15" t="n">
        <f aca="false">E151*(1+IF(F$3&lt;=$O$2,$D151,$D151-($D151-$I$130)*MIN(F$3-$O$2,$Q$2)/$Q$2))</f>
        <v>6713.42473216123</v>
      </c>
      <c r="G151" s="15" t="n">
        <f aca="false">F151*(1+IF(G$3&lt;=$O$2,$D151,$D151-($D151-$I$130)*MIN(G$3-$O$2,$Q$2)/$Q$2))</f>
        <v>6690.25757270562</v>
      </c>
      <c r="H151" s="15" t="n">
        <f aca="false">G151*(1+IF(H$3&lt;=$O$2,$D151,$D151-($D151-$I$130)*MIN(H$3-$O$2,$Q$2)/$Q$2))</f>
        <v>6667.17036011747</v>
      </c>
      <c r="I151" s="15" t="n">
        <f aca="false">H151*(1+IF(I$3&lt;=$O$2,$D151,$D151-($D151-$I$130)*MIN(I$3-$O$2,$Q$2)/$Q$2))</f>
        <v>6644.16281851048</v>
      </c>
      <c r="J151" s="15" t="n">
        <f aca="false">I151*(1+IF(J$3&lt;=$O$2,$D151,$D151-($D151-$I$130)*MIN(J$3-$O$2,$Q$2)/$Q$2))</f>
        <v>6670.07042643372</v>
      </c>
      <c r="K151" s="15" t="n">
        <f aca="false">J151*(1+IF(K$3&lt;=$O$2,$D151,$D151-($D151-$I$130)*MIN(K$3-$O$2,$Q$2)/$Q$2))</f>
        <v>6745.10523489762</v>
      </c>
      <c r="L151" s="15" t="n">
        <f aca="false">K151*(1+IF(L$3&lt;=$O$2,$D151,$D151-($D151-$I$130)*MIN(L$3-$O$2,$Q$2)/$Q$2))</f>
        <v>6870.56184358353</v>
      </c>
      <c r="M151" s="15" t="n">
        <f aca="false">L151*(1+IF(M$3&lt;=$O$2,$D151,$D151-($D151-$I$130)*MIN(M$3-$O$2,$Q$2)/$Q$2))</f>
        <v>7048.85172724058</v>
      </c>
      <c r="N151" s="15" t="n">
        <f aca="false">M151*(1+IF(N$3&lt;=$O$2,$D151,$D151-($D151-$I$130)*MIN(N$3-$O$2,$Q$2)/$Q$2))</f>
        <v>7283.57848975769</v>
      </c>
      <c r="O151" s="15" t="n">
        <f aca="false">SUMPRODUCT(E151:N151,1/(1+$F$130)^$E$3:$N$3)*$E$2</f>
        <v>30020.6793735487</v>
      </c>
      <c r="P151" s="15" t="n">
        <f aca="false">N151*$E$2*(1+$I$130)/($F$130-$I$130)/(1+$F$130)^$N$3</f>
        <v>71538.4448971658</v>
      </c>
      <c r="Q151" s="15" t="n">
        <f aca="false">O151+P151</f>
        <v>101559.124270714</v>
      </c>
      <c r="R151" s="15" t="n">
        <f aca="false">Q151-$G$2+$I$2</f>
        <v>99969.1242707144</v>
      </c>
      <c r="S151" s="42" t="n">
        <f aca="false">R151/$K$2</f>
        <v>278.016364288099</v>
      </c>
      <c r="T151" s="43" t="n">
        <f aca="false">S151-$M$2</f>
        <v>-0.00243542267520525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-0.00345087051391602</v>
      </c>
      <c r="C152" s="25" t="n">
        <f aca="false">IF(T151&gt;0,D151,C151)</f>
        <v>-0.00344944000244141</v>
      </c>
      <c r="D152" s="41" t="n">
        <f aca="false">(B152+C152)/2</f>
        <v>-0.00345015525817871</v>
      </c>
      <c r="E152" s="15" t="n">
        <f aca="false">$C$2*(1+IF(E$3&lt;=$O$2,$D152,$D152-($D152-$I$130)*MIN(E$3-$O$2,$Q$2)/$Q$2))</f>
        <v>6736.67695045471</v>
      </c>
      <c r="F152" s="15" t="n">
        <f aca="false">E152*(1+IF(F$3&lt;=$O$2,$D152,$D152-($D152-$I$130)*MIN(F$3-$O$2,$Q$2)/$Q$2))</f>
        <v>6713.43436905145</v>
      </c>
      <c r="G152" s="15" t="n">
        <f aca="false">F152*(1+IF(G$3&lt;=$O$2,$D152,$D152-($D152-$I$130)*MIN(G$3-$O$2,$Q$2)/$Q$2))</f>
        <v>6690.27197816263</v>
      </c>
      <c r="H152" s="15" t="n">
        <f aca="false">G152*(1+IF(H$3&lt;=$O$2,$D152,$D152-($D152-$I$130)*MIN(H$3-$O$2,$Q$2)/$Q$2))</f>
        <v>6667.18950111853</v>
      </c>
      <c r="I152" s="15" t="n">
        <f aca="false">H152*(1+IF(I$3&lt;=$O$2,$D152,$D152-($D152-$I$130)*MIN(I$3-$O$2,$Q$2)/$Q$2))</f>
        <v>6644.18666220397</v>
      </c>
      <c r="J152" s="15" t="n">
        <f aca="false">I152*(1+IF(J$3&lt;=$O$2,$D152,$D152-($D152-$I$130)*MIN(J$3-$O$2,$Q$2)/$Q$2))</f>
        <v>6670.09816493511</v>
      </c>
      <c r="K152" s="15" t="n">
        <f aca="false">J152*(1+IF(K$3&lt;=$O$2,$D152,$D152-($D152-$I$130)*MIN(K$3-$O$2,$Q$2)/$Q$2))</f>
        <v>6745.13614793825</v>
      </c>
      <c r="L152" s="15" t="n">
        <f aca="false">K152*(1+IF(L$3&lt;=$O$2,$D152,$D152-($D152-$I$130)*MIN(L$3-$O$2,$Q$2)/$Q$2))</f>
        <v>6870.59526139488</v>
      </c>
      <c r="M152" s="15" t="n">
        <f aca="false">L152*(1+IF(M$3&lt;=$O$2,$D152,$D152-($D152-$I$130)*MIN(M$3-$O$2,$Q$2)/$Q$2))</f>
        <v>7048.88699508486</v>
      </c>
      <c r="N152" s="15" t="n">
        <f aca="false">M152*(1+IF(N$3&lt;=$O$2,$D152,$D152-($D152-$I$130)*MIN(N$3-$O$2,$Q$2)/$Q$2))</f>
        <v>7283.61493202118</v>
      </c>
      <c r="O152" s="15" t="n">
        <f aca="false">SUMPRODUCT(E152:N152,1/(1+$F$130)^$E$3:$N$3)*$E$2</f>
        <v>30020.774987094</v>
      </c>
      <c r="P152" s="15" t="n">
        <f aca="false">N152*$E$2*(1+$I$130)/($F$130-$I$130)/(1+$F$130)^$N$3</f>
        <v>71538.8028287597</v>
      </c>
      <c r="Q152" s="15" t="n">
        <f aca="false">O152+P152</f>
        <v>101559.577815854</v>
      </c>
      <c r="R152" s="15" t="n">
        <f aca="false">Q152-$G$2+$I$2</f>
        <v>99969.5778158537</v>
      </c>
      <c r="S152" s="42" t="n">
        <f aca="false">R152/$K$2</f>
        <v>278.017625607247</v>
      </c>
      <c r="T152" s="43" t="n">
        <f aca="false">S152-$M$2</f>
        <v>-0.00117410352709157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-0.00345015525817871</v>
      </c>
      <c r="C153" s="25" t="n">
        <f aca="false">IF(T152&gt;0,D152,C152)</f>
        <v>-0.00344944000244141</v>
      </c>
      <c r="D153" s="41" t="n">
        <f aca="false">(B153+C153)/2</f>
        <v>-0.00344979763031006</v>
      </c>
      <c r="E153" s="15" t="n">
        <f aca="false">$C$2*(1+IF(E$3&lt;=$O$2,$D153,$D153-($D153-$I$130)*MIN(E$3-$O$2,$Q$2)/$Q$2))</f>
        <v>6736.6793680191</v>
      </c>
      <c r="F153" s="15" t="n">
        <f aca="false">E153*(1+IF(F$3&lt;=$O$2,$D153,$D153-($D153-$I$130)*MIN(F$3-$O$2,$Q$2)/$Q$2))</f>
        <v>6713.43918749915</v>
      </c>
      <c r="G153" s="15" t="n">
        <f aca="false">F153*(1+IF(G$3&lt;=$O$2,$D153,$D153-($D153-$I$130)*MIN(G$3-$O$2,$Q$2)/$Q$2))</f>
        <v>6690.27918089889</v>
      </c>
      <c r="H153" s="15" t="n">
        <f aca="false">G153*(1+IF(H$3&lt;=$O$2,$D153,$D153-($D153-$I$130)*MIN(H$3-$O$2,$Q$2)/$Q$2))</f>
        <v>6667.19907163451</v>
      </c>
      <c r="I153" s="15" t="n">
        <f aca="false">H153*(1+IF(I$3&lt;=$O$2,$D153,$D153-($D153-$I$130)*MIN(I$3-$O$2,$Q$2)/$Q$2))</f>
        <v>6644.19858407638</v>
      </c>
      <c r="J153" s="15" t="n">
        <f aca="false">I153*(1+IF(J$3&lt;=$O$2,$D153,$D153-($D153-$I$130)*MIN(J$3-$O$2,$Q$2)/$Q$2))</f>
        <v>6670.1120342218</v>
      </c>
      <c r="K153" s="15" t="n">
        <f aca="false">J153*(1+IF(K$3&lt;=$O$2,$D153,$D153-($D153-$I$130)*MIN(K$3-$O$2,$Q$2)/$Q$2))</f>
        <v>6745.1516045039</v>
      </c>
      <c r="L153" s="15" t="n">
        <f aca="false">K153*(1+IF(L$3&lt;=$O$2,$D153,$D153-($D153-$I$130)*MIN(L$3-$O$2,$Q$2)/$Q$2))</f>
        <v>6870.61197035337</v>
      </c>
      <c r="M153" s="15" t="n">
        <f aca="false">L153*(1+IF(M$3&lt;=$O$2,$D153,$D153-($D153-$I$130)*MIN(M$3-$O$2,$Q$2)/$Q$2))</f>
        <v>7048.90462906476</v>
      </c>
      <c r="N153" s="15" t="n">
        <f aca="false">M153*(1+IF(N$3&lt;=$O$2,$D153,$D153-($D153-$I$130)*MIN(N$3-$O$2,$Q$2)/$Q$2))</f>
        <v>7283.63315321262</v>
      </c>
      <c r="O153" s="15" t="n">
        <f aca="false">SUMPRODUCT(E153:N153,1/(1+$F$130)^$E$3:$N$3)*$E$2</f>
        <v>30020.8227939829</v>
      </c>
      <c r="P153" s="15" t="n">
        <f aca="false">N153*$E$2*(1+$I$130)/($F$130-$I$130)/(1+$F$130)^$N$3</f>
        <v>71538.981795143</v>
      </c>
      <c r="Q153" s="15" t="n">
        <f aca="false">O153+P153</f>
        <v>101559.804589126</v>
      </c>
      <c r="R153" s="15" t="n">
        <f aca="false">Q153-$G$2+$I$2</f>
        <v>99969.8045891259</v>
      </c>
      <c r="S153" s="42" t="n">
        <f aca="false">R153/$K$2</f>
        <v>278.018256268774</v>
      </c>
      <c r="T153" s="43" t="n">
        <f aca="false">S153-$M$2</f>
        <v>-0.000543441999298011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-0.00344979763031006</v>
      </c>
      <c r="C154" s="25" t="n">
        <f aca="false">IF(T153&gt;0,D153,C153)</f>
        <v>-0.00344944000244141</v>
      </c>
      <c r="D154" s="41" t="n">
        <f aca="false">(B154+C154)/2</f>
        <v>-0.00344961881637573</v>
      </c>
      <c r="E154" s="15" t="n">
        <f aca="false">$C$2*(1+IF(E$3&lt;=$O$2,$D154,$D154-($D154-$I$130)*MIN(E$3-$O$2,$Q$2)/$Q$2))</f>
        <v>6736.6805768013</v>
      </c>
      <c r="F154" s="15" t="n">
        <f aca="false">E154*(1+IF(F$3&lt;=$O$2,$D154,$D154-($D154-$I$130)*MIN(F$3-$O$2,$Q$2)/$Q$2))</f>
        <v>6713.44159672365</v>
      </c>
      <c r="G154" s="15" t="n">
        <f aca="false">F154*(1+IF(G$3&lt;=$O$2,$D154,$D154-($D154-$I$130)*MIN(G$3-$O$2,$Q$2)/$Q$2))</f>
        <v>6690.28278226896</v>
      </c>
      <c r="H154" s="15" t="n">
        <f aca="false">G154*(1+IF(H$3&lt;=$O$2,$D154,$D154-($D154-$I$130)*MIN(H$3-$O$2,$Q$2)/$Q$2))</f>
        <v>6667.20385689637</v>
      </c>
      <c r="I154" s="15" t="n">
        <f aca="false">H154*(1+IF(I$3&lt;=$O$2,$D154,$D154-($D154-$I$130)*MIN(I$3-$O$2,$Q$2)/$Q$2))</f>
        <v>6644.204545019</v>
      </c>
      <c r="J154" s="15" t="n">
        <f aca="false">I154*(1+IF(J$3&lt;=$O$2,$D154,$D154-($D154-$I$130)*MIN(J$3-$O$2,$Q$2)/$Q$2))</f>
        <v>6670.11896887415</v>
      </c>
      <c r="K154" s="15" t="n">
        <f aca="false">J154*(1+IF(K$3&lt;=$O$2,$D154,$D154-($D154-$I$130)*MIN(K$3-$O$2,$Q$2)/$Q$2))</f>
        <v>6745.15933279806</v>
      </c>
      <c r="L154" s="15" t="n">
        <f aca="false">K154*(1+IF(L$3&lt;=$O$2,$D154,$D154-($D154-$I$130)*MIN(L$3-$O$2,$Q$2)/$Q$2))</f>
        <v>6870.62032484582</v>
      </c>
      <c r="M154" s="15" t="n">
        <f aca="false">L154*(1+IF(M$3&lt;=$O$2,$D154,$D154-($D154-$I$130)*MIN(M$3-$O$2,$Q$2)/$Q$2))</f>
        <v>7048.91344606916</v>
      </c>
      <c r="N154" s="15" t="n">
        <f aca="false">M154*(1+IF(N$3&lt;=$O$2,$D154,$D154-($D154-$I$130)*MIN(N$3-$O$2,$Q$2)/$Q$2))</f>
        <v>7283.64226382326</v>
      </c>
      <c r="O154" s="15" t="n">
        <f aca="false">SUMPRODUCT(E154:N154,1/(1+$F$130)^$E$3:$N$3)*$E$2</f>
        <v>30020.8466974565</v>
      </c>
      <c r="P154" s="15" t="n">
        <f aca="false">N154*$E$2*(1+$I$130)/($F$130-$I$130)/(1+$F$130)^$N$3</f>
        <v>71539.0712784812</v>
      </c>
      <c r="Q154" s="15" t="n">
        <f aca="false">O154+P154</f>
        <v>101559.917975938</v>
      </c>
      <c r="R154" s="15" t="n">
        <f aca="false">Q154-$G$2+$I$2</f>
        <v>99969.9179759377</v>
      </c>
      <c r="S154" s="42" t="n">
        <f aca="false">R154/$K$2</f>
        <v>278.018571600027</v>
      </c>
      <c r="T154" s="43" t="n">
        <f aca="false">S154-$M$2</f>
        <v>-0.000228110746832044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-0.00344961881637573</v>
      </c>
      <c r="C155" s="25" t="n">
        <f aca="false">IF(T154&gt;0,D154,C154)</f>
        <v>-0.00344944000244141</v>
      </c>
      <c r="D155" s="41" t="n">
        <f aca="false">(B155+C155)/2</f>
        <v>-0.00344952940940857</v>
      </c>
      <c r="E155" s="15" t="n">
        <f aca="false">$C$2*(1+IF(E$3&lt;=$O$2,$D155,$D155-($D155-$I$130)*MIN(E$3-$O$2,$Q$2)/$Q$2))</f>
        <v>6736.6811811924</v>
      </c>
      <c r="F155" s="15" t="n">
        <f aca="false">E155*(1+IF(F$3&lt;=$O$2,$D155,$D155-($D155-$I$130)*MIN(F$3-$O$2,$Q$2)/$Q$2))</f>
        <v>6713.44280133607</v>
      </c>
      <c r="G155" s="15" t="n">
        <f aca="false">F155*(1+IF(G$3&lt;=$O$2,$D155,$D155-($D155-$I$130)*MIN(G$3-$O$2,$Q$2)/$Q$2))</f>
        <v>6690.28458295448</v>
      </c>
      <c r="H155" s="15" t="n">
        <f aca="false">G155*(1+IF(H$3&lt;=$O$2,$D155,$D155-($D155-$I$130)*MIN(H$3-$O$2,$Q$2)/$Q$2))</f>
        <v>6667.20624952826</v>
      </c>
      <c r="I155" s="15" t="n">
        <f aca="false">H155*(1+IF(I$3&lt;=$O$2,$D155,$D155-($D155-$I$130)*MIN(I$3-$O$2,$Q$2)/$Q$2))</f>
        <v>6644.20752549192</v>
      </c>
      <c r="J155" s="15" t="n">
        <f aca="false">I155*(1+IF(J$3&lt;=$O$2,$D155,$D155-($D155-$I$130)*MIN(J$3-$O$2,$Q$2)/$Q$2))</f>
        <v>6670.12243620258</v>
      </c>
      <c r="K155" s="15" t="n">
        <f aca="false">J155*(1+IF(K$3&lt;=$O$2,$D155,$D155-($D155-$I$130)*MIN(K$3-$O$2,$Q$2)/$Q$2))</f>
        <v>6745.16319694797</v>
      </c>
      <c r="L155" s="15" t="n">
        <f aca="false">K155*(1+IF(L$3&lt;=$O$2,$D155,$D155-($D155-$I$130)*MIN(L$3-$O$2,$Q$2)/$Q$2))</f>
        <v>6870.62450209534</v>
      </c>
      <c r="M155" s="15" t="n">
        <f aca="false">L155*(1+IF(M$3&lt;=$O$2,$D155,$D155-($D155-$I$130)*MIN(M$3-$O$2,$Q$2)/$Q$2))</f>
        <v>7048.91785457496</v>
      </c>
      <c r="N155" s="15" t="n">
        <f aca="false">M155*(1+IF(N$3&lt;=$O$2,$D155,$D155-($D155-$I$130)*MIN(N$3-$O$2,$Q$2)/$Q$2))</f>
        <v>7283.64681913231</v>
      </c>
      <c r="O155" s="15" t="n">
        <f aca="false">SUMPRODUCT(E155:N155,1/(1+$F$130)^$E$3:$N$3)*$E$2</f>
        <v>30020.8586492005</v>
      </c>
      <c r="P155" s="15" t="n">
        <f aca="false">N155*$E$2*(1+$I$130)/($F$130-$I$130)/(1+$F$130)^$N$3</f>
        <v>71539.1160201869</v>
      </c>
      <c r="Q155" s="15" t="n">
        <f aca="false">O155+P155</f>
        <v>101559.974669387</v>
      </c>
      <c r="R155" s="15" t="n">
        <f aca="false">Q155-$G$2+$I$2</f>
        <v>99969.9746693874</v>
      </c>
      <c r="S155" s="42" t="n">
        <f aca="false">R155/$K$2</f>
        <v>278.018729265775</v>
      </c>
      <c r="T155" s="43" t="n">
        <f aca="false">S155-$M$2</f>
        <v>-7.04449986415057E-005</v>
      </c>
    </row>
    <row r="157" customFormat="false" ht="15" hidden="false" customHeight="false" outlineLevel="0" collapsed="false">
      <c r="A157" s="38" t="s">
        <v>191</v>
      </c>
      <c r="E157" s="5" t="s">
        <v>11</v>
      </c>
      <c r="F157" s="12" t="n">
        <f aca="false">Sensitivity!$B$10</f>
        <v>0.0674202832668642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167</v>
      </c>
      <c r="B158" s="28" t="s">
        <v>168</v>
      </c>
      <c r="C158" s="28" t="s">
        <v>169</v>
      </c>
      <c r="D158" s="28" t="s">
        <v>170</v>
      </c>
      <c r="E158" s="28" t="s">
        <v>171</v>
      </c>
      <c r="F158" s="28" t="s">
        <v>172</v>
      </c>
      <c r="G158" s="28" t="s">
        <v>173</v>
      </c>
      <c r="H158" s="28" t="s">
        <v>174</v>
      </c>
      <c r="I158" s="28" t="s">
        <v>175</v>
      </c>
      <c r="J158" s="28" t="s">
        <v>176</v>
      </c>
      <c r="K158" s="28" t="s">
        <v>177</v>
      </c>
      <c r="L158" s="28" t="s">
        <v>178</v>
      </c>
      <c r="M158" s="28" t="s">
        <v>179</v>
      </c>
      <c r="N158" s="28" t="s">
        <v>180</v>
      </c>
      <c r="O158" s="28" t="s">
        <v>181</v>
      </c>
      <c r="P158" s="28" t="s">
        <v>182</v>
      </c>
      <c r="Q158" s="28" t="s">
        <v>183</v>
      </c>
      <c r="R158" s="28" t="s">
        <v>184</v>
      </c>
      <c r="S158" s="28" t="s">
        <v>185</v>
      </c>
      <c r="T158" s="28" t="s">
        <v>186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8450</v>
      </c>
      <c r="F159" s="15" t="n">
        <f aca="false">E159*(1+IF(F$3&lt;=$O$2,$D159,$D159-($D159-$I$157)*MIN(F$3-$O$2,$Q$2)/$Q$2))</f>
        <v>10562.5</v>
      </c>
      <c r="G159" s="15" t="n">
        <f aca="false">F159*(1+IF(G$3&lt;=$O$2,$D159,$D159-($D159-$I$157)*MIN(G$3-$O$2,$Q$2)/$Q$2))</f>
        <v>13203.125</v>
      </c>
      <c r="H159" s="15" t="n">
        <f aca="false">G159*(1+IF(H$3&lt;=$O$2,$D159,$D159-($D159-$I$157)*MIN(H$3-$O$2,$Q$2)/$Q$2))</f>
        <v>16503.90625</v>
      </c>
      <c r="I159" s="15" t="n">
        <f aca="false">H159*(1+IF(I$3&lt;=$O$2,$D159,$D159-($D159-$I$157)*MIN(I$3-$O$2,$Q$2)/$Q$2))</f>
        <v>20629.8828125</v>
      </c>
      <c r="J159" s="15" t="n">
        <f aca="false">I159*(1+IF(J$3&lt;=$O$2,$D159,$D159-($D159-$I$157)*MIN(J$3-$O$2,$Q$2)/$Q$2))</f>
        <v>24913.8842773438</v>
      </c>
      <c r="K159" s="15" t="n">
        <f aca="false">J159*(1+IF(K$3&lt;=$O$2,$D159,$D159-($D159-$I$157)*MIN(K$3-$O$2,$Q$2)/$Q$2))</f>
        <v>29032.6476260742</v>
      </c>
      <c r="L159" s="15" t="n">
        <f aca="false">K159*(1+IF(L$3&lt;=$O$2,$D159,$D159-($D159-$I$157)*MIN(L$3-$O$2,$Q$2)/$Q$2))</f>
        <v>32603.0826311288</v>
      </c>
      <c r="M159" s="15" t="n">
        <f aca="false">L159*(1+IF(M$3&lt;=$O$2,$D159,$D159-($D159-$I$157)*MIN(M$3-$O$2,$Q$2)/$Q$2))</f>
        <v>35232.1952145031</v>
      </c>
      <c r="N159" s="15" t="n">
        <f aca="false">M159*(1+IF(N$3&lt;=$O$2,$D159,$D159-($D159-$I$157)*MIN(N$3-$O$2,$Q$2)/$Q$2))</f>
        <v>36581.5882912185</v>
      </c>
      <c r="O159" s="15" t="n">
        <f aca="false">SUMPRODUCT(E159:N159,1/(1+$F$157)^$E$3:$N$3)*$E$2</f>
        <v>92704.2138099658</v>
      </c>
      <c r="P159" s="15" t="n">
        <f aca="false">N159*$E$2*(1+$I$157)/($F$157-$I$157)/(1+$F$157)^$N$3</f>
        <v>423029.550279101</v>
      </c>
      <c r="Q159" s="15" t="n">
        <f aca="false">O159+P159</f>
        <v>515733.764089067</v>
      </c>
      <c r="R159" s="15" t="n">
        <f aca="false">Q159-$G$2+$I$2</f>
        <v>514143.764089067</v>
      </c>
      <c r="S159" s="42" t="n">
        <f aca="false">R159/$K$2</f>
        <v>1429.8452752908</v>
      </c>
      <c r="T159" s="43" t="n">
        <f aca="false">S159-$M$2</f>
        <v>1151.82647558003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5915</v>
      </c>
      <c r="F160" s="15" t="n">
        <f aca="false">E160*(1+IF(F$3&lt;=$O$2,$D160,$D160-($D160-$I$157)*MIN(F$3-$O$2,$Q$2)/$Q$2))</f>
        <v>5175.625</v>
      </c>
      <c r="G160" s="15" t="n">
        <f aca="false">F160*(1+IF(G$3&lt;=$O$2,$D160,$D160-($D160-$I$157)*MIN(G$3-$O$2,$Q$2)/$Q$2))</f>
        <v>4528.671875</v>
      </c>
      <c r="H160" s="15" t="n">
        <f aca="false">G160*(1+IF(H$3&lt;=$O$2,$D160,$D160-($D160-$I$157)*MIN(H$3-$O$2,$Q$2)/$Q$2))</f>
        <v>3962.587890625</v>
      </c>
      <c r="I160" s="15" t="n">
        <f aca="false">H160*(1+IF(I$3&lt;=$O$2,$D160,$D160-($D160-$I$157)*MIN(I$3-$O$2,$Q$2)/$Q$2))</f>
        <v>3467.26440429688</v>
      </c>
      <c r="J160" s="15" t="n">
        <f aca="false">I160*(1+IF(J$3&lt;=$O$2,$D160,$D160-($D160-$I$157)*MIN(J$3-$O$2,$Q$2)/$Q$2))</f>
        <v>3147.0972092041</v>
      </c>
      <c r="K160" s="15" t="n">
        <f aca="false">J160*(1+IF(K$3&lt;=$O$2,$D160,$D160-($D160-$I$157)*MIN(K$3-$O$2,$Q$2)/$Q$2))</f>
        <v>2959.2784477588</v>
      </c>
      <c r="L160" s="15" t="n">
        <f aca="false">K160*(1+IF(L$3&lt;=$O$2,$D160,$D160-($D160-$I$157)*MIN(L$3-$O$2,$Q$2)/$Q$2))</f>
        <v>2879.31874410036</v>
      </c>
      <c r="M160" s="15" t="n">
        <f aca="false">L160*(1+IF(M$3&lt;=$O$2,$D160,$D160-($D160-$I$157)*MIN(M$3-$O$2,$Q$2)/$Q$2))</f>
        <v>2895.55810181708</v>
      </c>
      <c r="N160" s="15" t="n">
        <f aca="false">M160*(1+IF(N$3&lt;=$O$2,$D160,$D160-($D160-$I$157)*MIN(N$3-$O$2,$Q$2)/$Q$2))</f>
        <v>3006.45797711668</v>
      </c>
      <c r="O160" s="15" t="n">
        <f aca="false">SUMPRODUCT(E160:N160,1/(1+$F$157)^$E$3:$N$3)*$E$2</f>
        <v>17592.0868386932</v>
      </c>
      <c r="P160" s="15" t="n">
        <f aca="false">N160*$E$2*(1+$I$157)/($F$157-$I$157)/(1+$F$157)^$N$3</f>
        <v>34766.6852479991</v>
      </c>
      <c r="Q160" s="15" t="n">
        <f aca="false">O160+P160</f>
        <v>52358.7720866923</v>
      </c>
      <c r="R160" s="15" t="n">
        <f aca="false">Q160-$G$2+$I$2</f>
        <v>50768.7720866923</v>
      </c>
      <c r="S160" s="42" t="n">
        <f aca="false">R160/$K$2</f>
        <v>141.189087509573</v>
      </c>
      <c r="T160" s="43" t="n">
        <f aca="false">S160-$M$2</f>
        <v>-136.8297122012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7182.5</v>
      </c>
      <c r="F161" s="15" t="n">
        <f aca="false">E161*(1+IF(F$3&lt;=$O$2,$D161,$D161-($D161-$I$157)*MIN(F$3-$O$2,$Q$2)/$Q$2))</f>
        <v>7631.40625</v>
      </c>
      <c r="G161" s="15" t="n">
        <f aca="false">F161*(1+IF(G$3&lt;=$O$2,$D161,$D161-($D161-$I$157)*MIN(G$3-$O$2,$Q$2)/$Q$2))</f>
        <v>8108.369140625</v>
      </c>
      <c r="H161" s="15" t="n">
        <f aca="false">G161*(1+IF(H$3&lt;=$O$2,$D161,$D161-($D161-$I$157)*MIN(H$3-$O$2,$Q$2)/$Q$2))</f>
        <v>8615.14221191406</v>
      </c>
      <c r="I161" s="15" t="n">
        <f aca="false">H161*(1+IF(I$3&lt;=$O$2,$D161,$D161-($D161-$I$157)*MIN(I$3-$O$2,$Q$2)/$Q$2))</f>
        <v>9153.58860015869</v>
      </c>
      <c r="J161" s="15" t="n">
        <f aca="false">I161*(1+IF(J$3&lt;=$O$2,$D161,$D161-($D161-$I$157)*MIN(J$3-$O$2,$Q$2)/$Q$2))</f>
        <v>9681.38451884384</v>
      </c>
      <c r="K161" s="15" t="n">
        <f aca="false">J161*(1+IF(K$3&lt;=$O$2,$D161,$D161-($D161-$I$157)*MIN(K$3-$O$2,$Q$2)/$Q$2))</f>
        <v>10192.7552491292</v>
      </c>
      <c r="L161" s="15" t="n">
        <f aca="false">K161*(1+IF(L$3&lt;=$O$2,$D161,$D161-($D161-$I$157)*MIN(L$3-$O$2,$Q$2)/$Q$2))</f>
        <v>10681.8036459824</v>
      </c>
      <c r="M161" s="15" t="n">
        <f aca="false">L161*(1+IF(M$3&lt;=$O$2,$D161,$D161-($D161-$I$157)*MIN(M$3-$O$2,$Q$2)/$Q$2))</f>
        <v>11142.6166552701</v>
      </c>
      <c r="N161" s="15" t="n">
        <f aca="false">M161*(1+IF(N$3&lt;=$O$2,$D161,$D161-($D161-$I$157)*MIN(N$3-$O$2,$Q$2)/$Q$2))</f>
        <v>11569.3788731669</v>
      </c>
      <c r="O161" s="15" t="n">
        <f aca="false">SUMPRODUCT(E161:N161,1/(1+$F$157)^$E$3:$N$3)*$E$2</f>
        <v>40414.4122559072</v>
      </c>
      <c r="P161" s="15" t="n">
        <f aca="false">N161*$E$2*(1+$I$157)/($F$157-$I$157)/(1+$F$157)^$N$3</f>
        <v>133788.317302209</v>
      </c>
      <c r="Q161" s="15" t="n">
        <f aca="false">O161+P161</f>
        <v>174202.729558117</v>
      </c>
      <c r="R161" s="15" t="n">
        <f aca="false">Q161-$G$2+$I$2</f>
        <v>172612.729558117</v>
      </c>
      <c r="S161" s="42" t="n">
        <f aca="false">R161/$K$2</f>
        <v>480.039850820726</v>
      </c>
      <c r="T161" s="43" t="n">
        <f aca="false">S161-$M$2</f>
        <v>202.021051109952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6548.75</v>
      </c>
      <c r="F162" s="15" t="n">
        <f aca="false">E162*(1+IF(F$3&lt;=$O$2,$D162,$D162-($D162-$I$157)*MIN(F$3-$O$2,$Q$2)/$Q$2))</f>
        <v>6344.1015625</v>
      </c>
      <c r="G162" s="15" t="n">
        <f aca="false">F162*(1+IF(G$3&lt;=$O$2,$D162,$D162-($D162-$I$157)*MIN(G$3-$O$2,$Q$2)/$Q$2))</f>
        <v>6145.84838867188</v>
      </c>
      <c r="H162" s="15" t="n">
        <f aca="false">G162*(1+IF(H$3&lt;=$O$2,$D162,$D162-($D162-$I$157)*MIN(H$3-$O$2,$Q$2)/$Q$2))</f>
        <v>5953.79062652588</v>
      </c>
      <c r="I162" s="15" t="n">
        <f aca="false">H162*(1+IF(I$3&lt;=$O$2,$D162,$D162-($D162-$I$157)*MIN(I$3-$O$2,$Q$2)/$Q$2))</f>
        <v>5767.73466944695</v>
      </c>
      <c r="J162" s="15" t="n">
        <f aca="false">I162*(1+IF(J$3&lt;=$O$2,$D162,$D162-($D162-$I$157)*MIN(J$3-$O$2,$Q$2)/$Q$2))</f>
        <v>5667.72215027874</v>
      </c>
      <c r="K162" s="15" t="n">
        <f aca="false">J162*(1+IF(K$3&lt;=$O$2,$D162,$D162-($D162-$I$157)*MIN(K$3-$O$2,$Q$2)/$Q$2))</f>
        <v>5648.28186330328</v>
      </c>
      <c r="L162" s="15" t="n">
        <f aca="false">K162*(1+IF(L$3&lt;=$O$2,$D162,$D162-($D162-$I$157)*MIN(L$3-$O$2,$Q$2)/$Q$2))</f>
        <v>5707.4758572307</v>
      </c>
      <c r="M162" s="15" t="n">
        <f aca="false">L162*(1+IF(M$3&lt;=$O$2,$D162,$D162-($D162-$I$157)*MIN(M$3-$O$2,$Q$2)/$Q$2))</f>
        <v>5846.68119338855</v>
      </c>
      <c r="N162" s="15" t="n">
        <f aca="false">M162*(1+IF(N$3&lt;=$O$2,$D162,$D162-($D162-$I$157)*MIN(N$3-$O$2,$Q$2)/$Q$2))</f>
        <v>6070.60908309534</v>
      </c>
      <c r="O162" s="15" t="n">
        <f aca="false">SUMPRODUCT(E162:N162,1/(1+$F$157)^$E$3:$N$3)*$E$2</f>
        <v>26600.2349661758</v>
      </c>
      <c r="P162" s="15" t="n">
        <f aca="false">N162*$E$2*(1+$I$157)/($F$157-$I$157)/(1+$F$157)^$N$3</f>
        <v>70200.5339379567</v>
      </c>
      <c r="Q162" s="15" t="n">
        <f aca="false">O162+P162</f>
        <v>96800.7689041325</v>
      </c>
      <c r="R162" s="15" t="n">
        <f aca="false">Q162-$G$2+$I$2</f>
        <v>95210.7689041325</v>
      </c>
      <c r="S162" s="42" t="n">
        <f aca="false">R162/$K$2</f>
        <v>264.783271884233</v>
      </c>
      <c r="T162" s="43" t="n">
        <f aca="false">S162-$M$2</f>
        <v>-13.2355278265406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-0.03125</v>
      </c>
      <c r="C163" s="25" t="n">
        <f aca="false">IF(T162&gt;0,D162,C162)</f>
        <v>0.0625</v>
      </c>
      <c r="D163" s="41" t="n">
        <f aca="false">(B163+C163)/2</f>
        <v>0.015625</v>
      </c>
      <c r="E163" s="15" t="n">
        <f aca="false">$C$2*(1+IF(E$3&lt;=$O$2,$D163,$D163-($D163-$I$157)*MIN(E$3-$O$2,$Q$2)/$Q$2))</f>
        <v>6865.625</v>
      </c>
      <c r="F163" s="15" t="n">
        <f aca="false">E163*(1+IF(F$3&lt;=$O$2,$D163,$D163-($D163-$I$157)*MIN(F$3-$O$2,$Q$2)/$Q$2))</f>
        <v>6972.900390625</v>
      </c>
      <c r="G163" s="15" t="n">
        <f aca="false">F163*(1+IF(G$3&lt;=$O$2,$D163,$D163-($D163-$I$157)*MIN(G$3-$O$2,$Q$2)/$Q$2))</f>
        <v>7081.85195922852</v>
      </c>
      <c r="H163" s="15" t="n">
        <f aca="false">G163*(1+IF(H$3&lt;=$O$2,$D163,$D163-($D163-$I$157)*MIN(H$3-$O$2,$Q$2)/$Q$2))</f>
        <v>7192.50589609146</v>
      </c>
      <c r="I163" s="15" t="n">
        <f aca="false">H163*(1+IF(I$3&lt;=$O$2,$D163,$D163-($D163-$I$157)*MIN(I$3-$O$2,$Q$2)/$Q$2))</f>
        <v>7304.88880071789</v>
      </c>
      <c r="J163" s="15" t="n">
        <f aca="false">I163*(1+IF(J$3&lt;=$O$2,$D163,$D163-($D163-$I$157)*MIN(J$3-$O$2,$Q$2)/$Q$2))</f>
        <v>7452.15535894036</v>
      </c>
      <c r="K163" s="15" t="n">
        <f aca="false">J163*(1+IF(K$3&lt;=$O$2,$D163,$D163-($D163-$I$157)*MIN(K$3-$O$2,$Q$2)/$Q$2))</f>
        <v>7636.18633552939</v>
      </c>
      <c r="L163" s="15" t="n">
        <f aca="false">K163*(1+IF(L$3&lt;=$O$2,$D163,$D163-($D163-$I$157)*MIN(L$3-$O$2,$Q$2)/$Q$2))</f>
        <v>7859.39206211692</v>
      </c>
      <c r="M163" s="15" t="n">
        <f aca="false">L163*(1+IF(M$3&lt;=$O$2,$D163,$D163-($D163-$I$157)*MIN(M$3-$O$2,$Q$2)/$Q$2))</f>
        <v>8124.7644350943</v>
      </c>
      <c r="N163" s="15" t="n">
        <f aca="false">M163*(1+IF(N$3&lt;=$O$2,$D163,$D163-($D163-$I$157)*MIN(N$3-$O$2,$Q$2)/$Q$2))</f>
        <v>8435.94291295841</v>
      </c>
      <c r="O163" s="15" t="n">
        <f aca="false">SUMPRODUCT(E163:N163,1/(1+$F$157)^$E$3:$N$3)*$E$2</f>
        <v>32779.6209519706</v>
      </c>
      <c r="P163" s="15" t="n">
        <f aca="false">N163*$E$2*(1+$I$157)/($F$157-$I$157)/(1+$F$157)^$N$3</f>
        <v>97553.2584380878</v>
      </c>
      <c r="Q163" s="15" t="n">
        <f aca="false">O163+P163</f>
        <v>130332.879390058</v>
      </c>
      <c r="R163" s="15" t="n">
        <f aca="false">Q163-$G$2+$I$2</f>
        <v>128742.879390058</v>
      </c>
      <c r="S163" s="42" t="n">
        <f aca="false">R163/$K$2</f>
        <v>358.036819039041</v>
      </c>
      <c r="T163" s="43" t="n">
        <f aca="false">S163-$M$2</f>
        <v>80.0180193282674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-0.03125</v>
      </c>
      <c r="C164" s="25" t="n">
        <f aca="false">IF(T163&gt;0,D163,C163)</f>
        <v>0.015625</v>
      </c>
      <c r="D164" s="41" t="n">
        <f aca="false">(B164+C164)/2</f>
        <v>-0.0078125</v>
      </c>
      <c r="E164" s="15" t="n">
        <f aca="false">$C$2*(1+IF(E$3&lt;=$O$2,$D164,$D164-($D164-$I$157)*MIN(E$3-$O$2,$Q$2)/$Q$2))</f>
        <v>6707.1875</v>
      </c>
      <c r="F164" s="15" t="n">
        <f aca="false">E164*(1+IF(F$3&lt;=$O$2,$D164,$D164-($D164-$I$157)*MIN(F$3-$O$2,$Q$2)/$Q$2))</f>
        <v>6654.78759765625</v>
      </c>
      <c r="G164" s="15" t="n">
        <f aca="false">F164*(1+IF(G$3&lt;=$O$2,$D164,$D164-($D164-$I$157)*MIN(G$3-$O$2,$Q$2)/$Q$2))</f>
        <v>6602.79706954956</v>
      </c>
      <c r="H164" s="15" t="n">
        <f aca="false">G164*(1+IF(H$3&lt;=$O$2,$D164,$D164-($D164-$I$157)*MIN(H$3-$O$2,$Q$2)/$Q$2))</f>
        <v>6551.21271744371</v>
      </c>
      <c r="I164" s="15" t="n">
        <f aca="false">H164*(1+IF(I$3&lt;=$O$2,$D164,$D164-($D164-$I$157)*MIN(I$3-$O$2,$Q$2)/$Q$2))</f>
        <v>6500.03136808868</v>
      </c>
      <c r="J164" s="15" t="n">
        <f aca="false">I164*(1+IF(J$3&lt;=$O$2,$D164,$D164-($D164-$I$157)*MIN(J$3-$O$2,$Q$2)/$Q$2))</f>
        <v>6509.19641231768</v>
      </c>
      <c r="K164" s="15" t="n">
        <f aca="false">J164*(1+IF(K$3&lt;=$O$2,$D164,$D164-($D164-$I$157)*MIN(K$3-$O$2,$Q$2)/$Q$2))</f>
        <v>6578.40544317165</v>
      </c>
      <c r="L164" s="15" t="n">
        <f aca="false">K164*(1+IF(L$3&lt;=$O$2,$D164,$D164-($D164-$I$157)*MIN(L$3-$O$2,$Q$2)/$Q$2))</f>
        <v>6709.01968324582</v>
      </c>
      <c r="M164" s="15" t="n">
        <f aca="false">L164*(1+IF(M$3&lt;=$O$2,$D164,$D164-($D164-$I$157)*MIN(M$3-$O$2,$Q$2)/$Q$2))</f>
        <v>6904.1012030854</v>
      </c>
      <c r="N164" s="15" t="n">
        <f aca="false">M164*(1+IF(N$3&lt;=$O$2,$D164,$D164-($D164-$I$157)*MIN(N$3-$O$2,$Q$2)/$Q$2))</f>
        <v>7168.52827916357</v>
      </c>
      <c r="O164" s="15" t="n">
        <f aca="false">SUMPRODUCT(E164:N164,1/(1+$F$157)^$E$3:$N$3)*$E$2</f>
        <v>29525.6274531661</v>
      </c>
      <c r="P164" s="15" t="n">
        <f aca="false">N164*$E$2*(1+$I$157)/($F$157-$I$157)/(1+$F$157)^$N$3</f>
        <v>82896.873420489</v>
      </c>
      <c r="Q164" s="15" t="n">
        <f aca="false">O164+P164</f>
        <v>112422.500873655</v>
      </c>
      <c r="R164" s="15" t="n">
        <f aca="false">Q164-$G$2+$I$2</f>
        <v>110832.500873655</v>
      </c>
      <c r="S164" s="42" t="n">
        <f aca="false">R164/$K$2</f>
        <v>308.227656915443</v>
      </c>
      <c r="T164" s="43" t="n">
        <f aca="false">S164-$M$2</f>
        <v>30.2088572046696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-0.03125</v>
      </c>
      <c r="C165" s="25" t="n">
        <f aca="false">IF(T164&gt;0,D164,C164)</f>
        <v>-0.0078125</v>
      </c>
      <c r="D165" s="41" t="n">
        <f aca="false">(B165+C165)/2</f>
        <v>-0.01953125</v>
      </c>
      <c r="E165" s="15" t="n">
        <f aca="false">$C$2*(1+IF(E$3&lt;=$O$2,$D165,$D165-($D165-$I$157)*MIN(E$3-$O$2,$Q$2)/$Q$2))</f>
        <v>6627.96875</v>
      </c>
      <c r="F165" s="15" t="n">
        <f aca="false">E165*(1+IF(F$3&lt;=$O$2,$D165,$D165-($D165-$I$157)*MIN(F$3-$O$2,$Q$2)/$Q$2))</f>
        <v>6498.51623535156</v>
      </c>
      <c r="G165" s="15" t="n">
        <f aca="false">F165*(1+IF(G$3&lt;=$O$2,$D165,$D165-($D165-$I$157)*MIN(G$3-$O$2,$Q$2)/$Q$2))</f>
        <v>6371.59209012985</v>
      </c>
      <c r="H165" s="15" t="n">
        <f aca="false">G165*(1+IF(H$3&lt;=$O$2,$D165,$D165-($D165-$I$157)*MIN(H$3-$O$2,$Q$2)/$Q$2))</f>
        <v>6247.1469321195</v>
      </c>
      <c r="I165" s="15" t="n">
        <f aca="false">H165*(1+IF(I$3&lt;=$O$2,$D165,$D165-($D165-$I$157)*MIN(I$3-$O$2,$Q$2)/$Q$2))</f>
        <v>6125.13234360155</v>
      </c>
      <c r="J165" s="15" t="n">
        <f aca="false">I165*(1+IF(J$3&lt;=$O$2,$D165,$D165-($D165-$I$157)*MIN(J$3-$O$2,$Q$2)/$Q$2))</f>
        <v>6076.34566448476</v>
      </c>
      <c r="K165" s="15" t="n">
        <f aca="false">J165*(1+IF(K$3&lt;=$O$2,$D165,$D165-($D165-$I$157)*MIN(K$3-$O$2,$Q$2)/$Q$2))</f>
        <v>6098.22810430898</v>
      </c>
      <c r="L165" s="15" t="n">
        <f aca="false">K165*(1+IF(L$3&lt;=$O$2,$D165,$D165-($D165-$I$157)*MIN(L$3-$O$2,$Q$2)/$Q$2))</f>
        <v>6190.72297908109</v>
      </c>
      <c r="M165" s="15" t="n">
        <f aca="false">L165*(1+IF(M$3&lt;=$O$2,$D165,$D165-($D165-$I$157)*MIN(M$3-$O$2,$Q$2)/$Q$2))</f>
        <v>6356.2242195231</v>
      </c>
      <c r="N165" s="15" t="n">
        <f aca="false">M165*(1+IF(N$3&lt;=$O$2,$D165,$D165-($D165-$I$157)*MIN(N$3-$O$2,$Q$2)/$Q$2))</f>
        <v>6599.66760713084</v>
      </c>
      <c r="O165" s="15" t="n">
        <f aca="false">SUMPRODUCT(E165:N165,1/(1+$F$157)^$E$3:$N$3)*$E$2</f>
        <v>28023.8955075674</v>
      </c>
      <c r="P165" s="15" t="n">
        <f aca="false">N165*$E$2*(1+$I$157)/($F$157-$I$157)/(1+$F$157)^$N$3</f>
        <v>76318.5676250776</v>
      </c>
      <c r="Q165" s="15" t="n">
        <f aca="false">O165+P165</f>
        <v>104342.463132645</v>
      </c>
      <c r="R165" s="15" t="n">
        <f aca="false">Q165-$G$2+$I$2</f>
        <v>102752.463132645</v>
      </c>
      <c r="S165" s="42" t="n">
        <f aca="false">R165/$K$2</f>
        <v>285.756891742158</v>
      </c>
      <c r="T165" s="43" t="n">
        <f aca="false">S165-$M$2</f>
        <v>7.73809203138399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-0.03125</v>
      </c>
      <c r="C166" s="25" t="n">
        <f aca="false">IF(T165&gt;0,D165,C165)</f>
        <v>-0.01953125</v>
      </c>
      <c r="D166" s="41" t="n">
        <f aca="false">(B166+C166)/2</f>
        <v>-0.025390625</v>
      </c>
      <c r="E166" s="15" t="n">
        <f aca="false">$C$2*(1+IF(E$3&lt;=$O$2,$D166,$D166-($D166-$I$157)*MIN(E$3-$O$2,$Q$2)/$Q$2))</f>
        <v>6588.359375</v>
      </c>
      <c r="F166" s="15" t="n">
        <f aca="false">E166*(1+IF(F$3&lt;=$O$2,$D166,$D166-($D166-$I$157)*MIN(F$3-$O$2,$Q$2)/$Q$2))</f>
        <v>6421.07681274414</v>
      </c>
      <c r="G166" s="15" t="n">
        <f aca="false">F166*(1+IF(G$3&lt;=$O$2,$D166,$D166-($D166-$I$157)*MIN(G$3-$O$2,$Q$2)/$Q$2))</f>
        <v>6258.04165929556</v>
      </c>
      <c r="H166" s="15" t="n">
        <f aca="false">G166*(1+IF(H$3&lt;=$O$2,$D166,$D166-($D166-$I$157)*MIN(H$3-$O$2,$Q$2)/$Q$2))</f>
        <v>6099.14607029001</v>
      </c>
      <c r="I166" s="15" t="n">
        <f aca="false">H166*(1+IF(I$3&lt;=$O$2,$D166,$D166-($D166-$I$157)*MIN(I$3-$O$2,$Q$2)/$Q$2))</f>
        <v>5944.28493959905</v>
      </c>
      <c r="J166" s="15" t="n">
        <f aca="false">I166*(1+IF(J$3&lt;=$O$2,$D166,$D166-($D166-$I$157)*MIN(J$3-$O$2,$Q$2)/$Q$2))</f>
        <v>5869.07487440077</v>
      </c>
      <c r="K166" s="15" t="n">
        <f aca="false">J166*(1+IF(K$3&lt;=$O$2,$D166,$D166-($D166-$I$157)*MIN(K$3-$O$2,$Q$2)/$Q$2))</f>
        <v>5869.5774139369</v>
      </c>
      <c r="L166" s="15" t="n">
        <f aca="false">K166*(1+IF(L$3&lt;=$O$2,$D166,$D166-($D166-$I$157)*MIN(L$3-$O$2,$Q$2)/$Q$2))</f>
        <v>5944.84740729887</v>
      </c>
      <c r="M166" s="15" t="n">
        <f aca="false">L166*(1+IF(M$3&lt;=$O$2,$D166,$D166-($D166-$I$157)*MIN(M$3-$O$2,$Q$2)/$Q$2))</f>
        <v>6096.80885361832</v>
      </c>
      <c r="N166" s="15" t="n">
        <f aca="false">M166*(1+IF(N$3&lt;=$O$2,$D166,$D166-($D166-$I$157)*MIN(N$3-$O$2,$Q$2)/$Q$2))</f>
        <v>6330.3166327119</v>
      </c>
      <c r="O166" s="15" t="n">
        <f aca="false">SUMPRODUCT(E166:N166,1/(1+$F$157)^$E$3:$N$3)*$E$2</f>
        <v>27302.5515497928</v>
      </c>
      <c r="P166" s="15" t="n">
        <f aca="false">N166*$E$2*(1+$I$157)/($F$157-$I$157)/(1+$F$157)^$N$3</f>
        <v>73203.7924909692</v>
      </c>
      <c r="Q166" s="15" t="n">
        <f aca="false">O166+P166</f>
        <v>100506.344040762</v>
      </c>
      <c r="R166" s="15" t="n">
        <f aca="false">Q166-$G$2+$I$2</f>
        <v>98916.3440407619</v>
      </c>
      <c r="S166" s="42" t="n">
        <f aca="false">R166/$K$2</f>
        <v>275.088558987602</v>
      </c>
      <c r="T166" s="43" t="n">
        <f aca="false">S166-$M$2</f>
        <v>-2.93024072317172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-0.025390625</v>
      </c>
      <c r="C167" s="25" t="n">
        <f aca="false">IF(T166&gt;0,D166,C166)</f>
        <v>-0.01953125</v>
      </c>
      <c r="D167" s="41" t="n">
        <f aca="false">(B167+C167)/2</f>
        <v>-0.0224609375</v>
      </c>
      <c r="E167" s="15" t="n">
        <f aca="false">$C$2*(1+IF(E$3&lt;=$O$2,$D167,$D167-($D167-$I$157)*MIN(E$3-$O$2,$Q$2)/$Q$2))</f>
        <v>6608.1640625</v>
      </c>
      <c r="F167" s="15" t="n">
        <f aca="false">E167*(1+IF(F$3&lt;=$O$2,$D167,$D167-($D167-$I$157)*MIN(F$3-$O$2,$Q$2)/$Q$2))</f>
        <v>6459.73850250244</v>
      </c>
      <c r="G167" s="15" t="n">
        <f aca="false">F167*(1+IF(G$3&lt;=$O$2,$D167,$D167-($D167-$I$157)*MIN(G$3-$O$2,$Q$2)/$Q$2))</f>
        <v>6314.64671973139</v>
      </c>
      <c r="H167" s="15" t="n">
        <f aca="false">G167*(1+IF(H$3&lt;=$O$2,$D167,$D167-($D167-$I$157)*MIN(H$3-$O$2,$Q$2)/$Q$2))</f>
        <v>6172.81383442492</v>
      </c>
      <c r="I167" s="15" t="n">
        <f aca="false">H167*(1+IF(I$3&lt;=$O$2,$D167,$D167-($D167-$I$157)*MIN(I$3-$O$2,$Q$2)/$Q$2))</f>
        <v>6034.16664869077</v>
      </c>
      <c r="J167" s="15" t="n">
        <f aca="false">I167*(1+IF(J$3&lt;=$O$2,$D167,$D167-($D167-$I$157)*MIN(J$3-$O$2,$Q$2)/$Q$2))</f>
        <v>5971.96193325108</v>
      </c>
      <c r="K167" s="15" t="n">
        <f aca="false">J167*(1+IF(K$3&lt;=$O$2,$D167,$D167-($D167-$I$157)*MIN(K$3-$O$2,$Q$2)/$Q$2))</f>
        <v>5982.97087182741</v>
      </c>
      <c r="L167" s="15" t="n">
        <f aca="false">K167*(1+IF(L$3&lt;=$O$2,$D167,$D167-($D167-$I$157)*MIN(L$3-$O$2,$Q$2)/$Q$2))</f>
        <v>6066.70628853543</v>
      </c>
      <c r="M167" s="15" t="n">
        <f aca="false">L167*(1+IF(M$3&lt;=$O$2,$D167,$D167-($D167-$I$157)*MIN(M$3-$O$2,$Q$2)/$Q$2))</f>
        <v>6225.33738706062</v>
      </c>
      <c r="N167" s="15" t="n">
        <f aca="false">M167*(1+IF(N$3&lt;=$O$2,$D167,$D167-($D167-$I$157)*MIN(N$3-$O$2,$Q$2)/$Q$2))</f>
        <v>6463.76780898504</v>
      </c>
      <c r="O167" s="15" t="n">
        <f aca="false">SUMPRODUCT(E167:N167,1/(1+$F$157)^$E$3:$N$3)*$E$2</f>
        <v>27660.8148745256</v>
      </c>
      <c r="P167" s="15" t="n">
        <f aca="false">N167*$E$2*(1+$I$157)/($F$157-$I$157)/(1+$F$157)^$N$3</f>
        <v>74747.0221242379</v>
      </c>
      <c r="Q167" s="15" t="n">
        <f aca="false">O167+P167</f>
        <v>102407.836998764</v>
      </c>
      <c r="R167" s="15" t="n">
        <f aca="false">Q167-$G$2+$I$2</f>
        <v>100817.836998764</v>
      </c>
      <c r="S167" s="42" t="n">
        <f aca="false">R167/$K$2</f>
        <v>280.376653314321</v>
      </c>
      <c r="T167" s="43" t="n">
        <f aca="false">S167-$M$2</f>
        <v>2.3578536035472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-0.025390625</v>
      </c>
      <c r="C168" s="25" t="n">
        <f aca="false">IF(T167&gt;0,D167,C167)</f>
        <v>-0.0224609375</v>
      </c>
      <c r="D168" s="41" t="n">
        <f aca="false">(B168+C168)/2</f>
        <v>-0.02392578125</v>
      </c>
      <c r="E168" s="15" t="n">
        <f aca="false">$C$2*(1+IF(E$3&lt;=$O$2,$D168,$D168-($D168-$I$157)*MIN(E$3-$O$2,$Q$2)/$Q$2))</f>
        <v>6598.26171875</v>
      </c>
      <c r="F168" s="15" t="n">
        <f aca="false">E168*(1+IF(F$3&lt;=$O$2,$D168,$D168-($D168-$I$157)*MIN(F$3-$O$2,$Q$2)/$Q$2))</f>
        <v>6440.39315223694</v>
      </c>
      <c r="G168" s="15" t="n">
        <f aca="false">F168*(1+IF(G$3&lt;=$O$2,$D168,$D168-($D168-$I$157)*MIN(G$3-$O$2,$Q$2)/$Q$2))</f>
        <v>6286.30171451252</v>
      </c>
      <c r="H168" s="15" t="n">
        <f aca="false">G168*(1+IF(H$3&lt;=$O$2,$D168,$D168-($D168-$I$157)*MIN(H$3-$O$2,$Q$2)/$Q$2))</f>
        <v>6135.89703481959</v>
      </c>
      <c r="I168" s="15" t="n">
        <f aca="false">H168*(1+IF(I$3&lt;=$O$2,$D168,$D168-($D168-$I$157)*MIN(I$3-$O$2,$Q$2)/$Q$2))</f>
        <v>5989.09090459198</v>
      </c>
      <c r="J168" s="15" t="n">
        <f aca="false">I168*(1+IF(J$3&lt;=$O$2,$D168,$D168-($D168-$I$157)*MIN(J$3-$O$2,$Q$2)/$Q$2))</f>
        <v>5920.33239782544</v>
      </c>
      <c r="K168" s="15" t="n">
        <f aca="false">J168*(1+IF(K$3&lt;=$O$2,$D168,$D168-($D168-$I$157)*MIN(K$3-$O$2,$Q$2)/$Q$2))</f>
        <v>5926.04274343353</v>
      </c>
      <c r="L168" s="15" t="n">
        <f aca="false">K168*(1+IF(L$3&lt;=$O$2,$D168,$D168-($D168-$I$157)*MIN(L$3-$O$2,$Q$2)/$Q$2))</f>
        <v>6005.50912473462</v>
      </c>
      <c r="M168" s="15" t="n">
        <f aca="false">L168*(1+IF(M$3&lt;=$O$2,$D168,$D168-($D168-$I$157)*MIN(M$3-$O$2,$Q$2)/$Q$2))</f>
        <v>6160.78062479383</v>
      </c>
      <c r="N168" s="15" t="n">
        <f aca="false">M168*(1+IF(N$3&lt;=$O$2,$D168,$D168-($D168-$I$157)*MIN(N$3-$O$2,$Q$2)/$Q$2))</f>
        <v>6396.73852272344</v>
      </c>
      <c r="O168" s="15" t="n">
        <f aca="false">SUMPRODUCT(E168:N168,1/(1+$F$157)^$E$3:$N$3)*$E$2</f>
        <v>27481.0848538058</v>
      </c>
      <c r="P168" s="15" t="n">
        <f aca="false">N168*$E$2*(1+$I$157)/($F$157-$I$157)/(1+$F$157)^$N$3</f>
        <v>73971.8953419603</v>
      </c>
      <c r="Q168" s="15" t="n">
        <f aca="false">O168+P168</f>
        <v>101452.980195766</v>
      </c>
      <c r="R168" s="15" t="n">
        <f aca="false">Q168-$G$2+$I$2</f>
        <v>99862.9801957661</v>
      </c>
      <c r="S168" s="42" t="n">
        <f aca="false">R168/$K$2</f>
        <v>277.721175248251</v>
      </c>
      <c r="T168" s="43" t="n">
        <f aca="false">S168-$M$2</f>
        <v>-0.297624462522606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-0.02392578125</v>
      </c>
      <c r="C169" s="25" t="n">
        <f aca="false">IF(T168&gt;0,D168,C168)</f>
        <v>-0.0224609375</v>
      </c>
      <c r="D169" s="41" t="n">
        <f aca="false">(B169+C169)/2</f>
        <v>-0.023193359375</v>
      </c>
      <c r="E169" s="15" t="n">
        <f aca="false">$C$2*(1+IF(E$3&lt;=$O$2,$D169,$D169-($D169-$I$157)*MIN(E$3-$O$2,$Q$2)/$Q$2))</f>
        <v>6603.212890625</v>
      </c>
      <c r="F169" s="15" t="n">
        <f aca="false">E169*(1+IF(F$3&lt;=$O$2,$D169,$D169-($D169-$I$157)*MIN(F$3-$O$2,$Q$2)/$Q$2))</f>
        <v>6450.0622010231</v>
      </c>
      <c r="G169" s="15" t="n">
        <f aca="false">F169*(1+IF(G$3&lt;=$O$2,$D169,$D169-($D169-$I$157)*MIN(G$3-$O$2,$Q$2)/$Q$2))</f>
        <v>6300.46359040367</v>
      </c>
      <c r="H169" s="15" t="n">
        <f aca="false">G169*(1+IF(H$3&lt;=$O$2,$D169,$D169-($D169-$I$157)*MIN(H$3-$O$2,$Q$2)/$Q$2))</f>
        <v>6154.33467412233</v>
      </c>
      <c r="I169" s="15" t="n">
        <f aca="false">H169*(1+IF(I$3&lt;=$O$2,$D169,$D169-($D169-$I$157)*MIN(I$3-$O$2,$Q$2)/$Q$2))</f>
        <v>6011.59497831139</v>
      </c>
      <c r="J169" s="15" t="n">
        <f aca="false">I169*(1+IF(J$3&lt;=$O$2,$D169,$D169-($D169-$I$157)*MIN(J$3-$O$2,$Q$2)/$Q$2))</f>
        <v>5946.10052964612</v>
      </c>
      <c r="K169" s="15" t="n">
        <f aca="false">J169*(1+IF(K$3&lt;=$O$2,$D169,$D169-($D169-$I$157)*MIN(K$3-$O$2,$Q$2)/$Q$2))</f>
        <v>5954.44876188192</v>
      </c>
      <c r="L169" s="15" t="n">
        <f aca="false">K169*(1+IF(L$3&lt;=$O$2,$D169,$D169-($D169-$I$157)*MIN(L$3-$O$2,$Q$2)/$Q$2))</f>
        <v>6036.04052642423</v>
      </c>
      <c r="M169" s="15" t="n">
        <f aca="false">L169*(1+IF(M$3&lt;=$O$2,$D169,$D169-($D169-$I$157)*MIN(M$3-$O$2,$Q$2)/$Q$2))</f>
        <v>6192.98559672758</v>
      </c>
      <c r="N169" s="15" t="n">
        <f aca="false">M169*(1+IF(N$3&lt;=$O$2,$D169,$D169-($D169-$I$157)*MIN(N$3-$O$2,$Q$2)/$Q$2))</f>
        <v>6430.17694508225</v>
      </c>
      <c r="O169" s="15" t="n">
        <f aca="false">SUMPRODUCT(E169:N169,1/(1+$F$157)^$E$3:$N$3)*$E$2</f>
        <v>27570.799800571</v>
      </c>
      <c r="P169" s="15" t="n">
        <f aca="false">N169*$E$2*(1+$I$157)/($F$157-$I$157)/(1+$F$157)^$N$3</f>
        <v>74358.57731596</v>
      </c>
      <c r="Q169" s="15" t="n">
        <f aca="false">O169+P169</f>
        <v>101929.377116531</v>
      </c>
      <c r="R169" s="15" t="n">
        <f aca="false">Q169-$G$2+$I$2</f>
        <v>100339.377116531</v>
      </c>
      <c r="S169" s="42" t="n">
        <f aca="false">R169/$K$2</f>
        <v>279.046045710359</v>
      </c>
      <c r="T169" s="43" t="n">
        <f aca="false">S169-$M$2</f>
        <v>1.02724599958538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-0.02392578125</v>
      </c>
      <c r="C170" s="25" t="n">
        <f aca="false">IF(T169&gt;0,D169,C169)</f>
        <v>-0.023193359375</v>
      </c>
      <c r="D170" s="41" t="n">
        <f aca="false">(B170+C170)/2</f>
        <v>-0.0235595703125</v>
      </c>
      <c r="E170" s="15" t="n">
        <f aca="false">$C$2*(1+IF(E$3&lt;=$O$2,$D170,$D170-($D170-$I$157)*MIN(E$3-$O$2,$Q$2)/$Q$2))</f>
        <v>6600.7373046875</v>
      </c>
      <c r="F170" s="15" t="n">
        <f aca="false">E170*(1+IF(F$3&lt;=$O$2,$D170,$D170-($D170-$I$157)*MIN(F$3-$O$2,$Q$2)/$Q$2))</f>
        <v>6445.22677004337</v>
      </c>
      <c r="G170" s="15" t="n">
        <f aca="false">F170*(1+IF(G$3&lt;=$O$2,$D170,$D170-($D170-$I$157)*MIN(G$3-$O$2,$Q$2)/$Q$2))</f>
        <v>6293.37999677453</v>
      </c>
      <c r="H170" s="15" t="n">
        <f aca="false">G170*(1+IF(H$3&lt;=$O$2,$D170,$D170-($D170-$I$157)*MIN(H$3-$O$2,$Q$2)/$Q$2))</f>
        <v>6145.11066823724</v>
      </c>
      <c r="I170" s="15" t="n">
        <f aca="false">H170*(1+IF(I$3&lt;=$O$2,$D170,$D170-($D170-$I$157)*MIN(I$3-$O$2,$Q$2)/$Q$2))</f>
        <v>6000.33450137081</v>
      </c>
      <c r="J170" s="15" t="n">
        <f aca="false">I170*(1+IF(J$3&lt;=$O$2,$D170,$D170-($D170-$I$157)*MIN(J$3-$O$2,$Q$2)/$Q$2))</f>
        <v>5933.20482158446</v>
      </c>
      <c r="K170" s="15" t="n">
        <f aca="false">J170*(1+IF(K$3&lt;=$O$2,$D170,$D170-($D170-$I$157)*MIN(K$3-$O$2,$Q$2)/$Q$2))</f>
        <v>5940.23126574758</v>
      </c>
      <c r="L170" s="15" t="n">
        <f aca="false">K170*(1+IF(L$3&lt;=$O$2,$D170,$D170-($D170-$I$157)*MIN(L$3-$O$2,$Q$2)/$Q$2))</f>
        <v>6020.75806176331</v>
      </c>
      <c r="M170" s="15" t="n">
        <f aca="false">L170*(1+IF(M$3&lt;=$O$2,$D170,$D170-($D170-$I$157)*MIN(M$3-$O$2,$Q$2)/$Q$2))</f>
        <v>6176.8647941976</v>
      </c>
      <c r="N170" s="15" t="n">
        <f aca="false">M170*(1+IF(N$3&lt;=$O$2,$D170,$D170-($D170-$I$157)*MIN(N$3-$O$2,$Q$2)/$Q$2))</f>
        <v>6413.43871581537</v>
      </c>
      <c r="O170" s="15" t="n">
        <f aca="false">SUMPRODUCT(E170:N170,1/(1+$F$157)^$E$3:$N$3)*$E$2</f>
        <v>27525.9048706429</v>
      </c>
      <c r="P170" s="15" t="n">
        <f aca="false">N170*$E$2*(1+$I$157)/($F$157-$I$157)/(1+$F$157)^$N$3</f>
        <v>74165.0164037637</v>
      </c>
      <c r="Q170" s="15" t="n">
        <f aca="false">O170+P170</f>
        <v>101690.921274407</v>
      </c>
      <c r="R170" s="15" t="n">
        <f aca="false">Q170-$G$2+$I$2</f>
        <v>100100.921274407</v>
      </c>
      <c r="S170" s="42" t="n">
        <f aca="false">R170/$K$2</f>
        <v>278.38289469494</v>
      </c>
      <c r="T170" s="43" t="n">
        <f aca="false">S170-$M$2</f>
        <v>0.3640949841664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-0.02392578125</v>
      </c>
      <c r="C171" s="25" t="n">
        <f aca="false">IF(T170&gt;0,D170,C170)</f>
        <v>-0.0235595703125</v>
      </c>
      <c r="D171" s="41" t="n">
        <f aca="false">(B171+C171)/2</f>
        <v>-0.02374267578125</v>
      </c>
      <c r="E171" s="15" t="n">
        <f aca="false">$C$2*(1+IF(E$3&lt;=$O$2,$D171,$D171-($D171-$I$157)*MIN(E$3-$O$2,$Q$2)/$Q$2))</f>
        <v>6599.49951171875</v>
      </c>
      <c r="F171" s="15" t="n">
        <f aca="false">E171*(1+IF(F$3&lt;=$O$2,$D171,$D171-($D171-$I$157)*MIN(F$3-$O$2,$Q$2)/$Q$2))</f>
        <v>6442.80973449349</v>
      </c>
      <c r="G171" s="15" t="n">
        <f aca="false">F171*(1+IF(G$3&lt;=$O$2,$D171,$D171-($D171-$I$157)*MIN(G$3-$O$2,$Q$2)/$Q$2))</f>
        <v>6289.84019184713</v>
      </c>
      <c r="H171" s="15" t="n">
        <f aca="false">G171*(1+IF(H$3&lt;=$O$2,$D171,$D171-($D171-$I$157)*MIN(H$3-$O$2,$Q$2)/$Q$2))</f>
        <v>6140.50255545623</v>
      </c>
      <c r="I171" s="15" t="n">
        <f aca="false">H171*(1+IF(I$3&lt;=$O$2,$D171,$D171-($D171-$I$157)*MIN(I$3-$O$2,$Q$2)/$Q$2))</f>
        <v>5994.7105941481</v>
      </c>
      <c r="J171" s="15" t="n">
        <f aca="false">I171*(1+IF(J$3&lt;=$O$2,$D171,$D171-($D171-$I$157)*MIN(J$3-$O$2,$Q$2)/$Q$2))</f>
        <v>5926.76570126785</v>
      </c>
      <c r="K171" s="15" t="n">
        <f aca="false">J171*(1+IF(K$3&lt;=$O$2,$D171,$D171-($D171-$I$157)*MIN(K$3-$O$2,$Q$2)/$Q$2))</f>
        <v>5933.13338592529</v>
      </c>
      <c r="L171" s="15" t="n">
        <f aca="false">K171*(1+IF(L$3&lt;=$O$2,$D171,$D171-($D171-$I$157)*MIN(L$3-$O$2,$Q$2)/$Q$2))</f>
        <v>6013.12940619428</v>
      </c>
      <c r="M171" s="15" t="n">
        <f aca="false">L171*(1+IF(M$3&lt;=$O$2,$D171,$D171-($D171-$I$157)*MIN(M$3-$O$2,$Q$2)/$Q$2))</f>
        <v>6168.81813481568</v>
      </c>
      <c r="N171" s="15" t="n">
        <f aca="false">M171*(1+IF(N$3&lt;=$O$2,$D171,$D171-($D171-$I$157)*MIN(N$3-$O$2,$Q$2)/$Q$2))</f>
        <v>6405.08386937912</v>
      </c>
      <c r="O171" s="15" t="n">
        <f aca="false">SUMPRODUCT(E171:N171,1/(1+$F$157)^$E$3:$N$3)*$E$2</f>
        <v>27503.4855054981</v>
      </c>
      <c r="P171" s="15" t="n">
        <f aca="false">N171*$E$2*(1+$I$157)/($F$157-$I$157)/(1+$F$157)^$N$3</f>
        <v>74068.4009451225</v>
      </c>
      <c r="Q171" s="15" t="n">
        <f aca="false">O171+P171</f>
        <v>101571.886450621</v>
      </c>
      <c r="R171" s="15" t="n">
        <f aca="false">Q171-$G$2+$I$2</f>
        <v>99981.8864506206</v>
      </c>
      <c r="S171" s="42" t="n">
        <f aca="false">R171/$K$2</f>
        <v>278.051856195063</v>
      </c>
      <c r="T171" s="43" t="n">
        <f aca="false">S171-$M$2</f>
        <v>0.033056484289034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-0.02392578125</v>
      </c>
      <c r="C172" s="25" t="n">
        <f aca="false">IF(T171&gt;0,D171,C171)</f>
        <v>-0.02374267578125</v>
      </c>
      <c r="D172" s="41" t="n">
        <f aca="false">(B172+C172)/2</f>
        <v>-0.023834228515625</v>
      </c>
      <c r="E172" s="15" t="n">
        <f aca="false">$C$2*(1+IF(E$3&lt;=$O$2,$D172,$D172-($D172-$I$157)*MIN(E$3-$O$2,$Q$2)/$Q$2))</f>
        <v>6598.88061523438</v>
      </c>
      <c r="F172" s="15" t="n">
        <f aca="false">E172*(1+IF(F$3&lt;=$O$2,$D172,$D172-($D172-$I$157)*MIN(F$3-$O$2,$Q$2)/$Q$2))</f>
        <v>6441.60138670355</v>
      </c>
      <c r="G172" s="15" t="n">
        <f aca="false">F172*(1+IF(G$3&lt;=$O$2,$D172,$D172-($D172-$I$157)*MIN(G$3-$O$2,$Q$2)/$Q$2))</f>
        <v>6288.07078724629</v>
      </c>
      <c r="H172" s="15" t="n">
        <f aca="false">G172*(1+IF(H$3&lt;=$O$2,$D172,$D172-($D172-$I$157)*MIN(H$3-$O$2,$Q$2)/$Q$2))</f>
        <v>6138.19947118064</v>
      </c>
      <c r="I172" s="15" t="n">
        <f aca="false">H172*(1+IF(I$3&lt;=$O$2,$D172,$D172-($D172-$I$157)*MIN(I$3-$O$2,$Q$2)/$Q$2))</f>
        <v>5991.90022231003</v>
      </c>
      <c r="J172" s="15" t="n">
        <f aca="false">I172*(1+IF(J$3&lt;=$O$2,$D172,$D172-($D172-$I$157)*MIN(J$3-$O$2,$Q$2)/$Q$2))</f>
        <v>5923.54832269984</v>
      </c>
      <c r="K172" s="15" t="n">
        <f aca="false">J172*(1+IF(K$3&lt;=$O$2,$D172,$D172-($D172-$I$157)*MIN(K$3-$O$2,$Q$2)/$Q$2))</f>
        <v>5929.58716039565</v>
      </c>
      <c r="L172" s="15" t="n">
        <f aca="false">K172*(1+IF(L$3&lt;=$O$2,$D172,$D172-($D172-$I$157)*MIN(L$3-$O$2,$Q$2)/$Q$2))</f>
        <v>6009.31821918787</v>
      </c>
      <c r="M172" s="15" t="n">
        <f aca="false">L172*(1+IF(M$3&lt;=$O$2,$D172,$D172-($D172-$I$157)*MIN(M$3-$O$2,$Q$2)/$Q$2))</f>
        <v>6164.79823669194</v>
      </c>
      <c r="N172" s="15" t="n">
        <f aca="false">M172*(1+IF(N$3&lt;=$O$2,$D172,$D172-($D172-$I$157)*MIN(N$3-$O$2,$Q$2)/$Q$2))</f>
        <v>6400.91000915724</v>
      </c>
      <c r="O172" s="15" t="n">
        <f aca="false">SUMPRODUCT(E172:N172,1/(1+$F$157)^$E$3:$N$3)*$E$2</f>
        <v>27492.2828413961</v>
      </c>
      <c r="P172" s="15" t="n">
        <f aca="false">N172*$E$2*(1+$I$157)/($F$157-$I$157)/(1+$F$157)^$N$3</f>
        <v>74020.1344182967</v>
      </c>
      <c r="Q172" s="15" t="n">
        <f aca="false">O172+P172</f>
        <v>101512.417259693</v>
      </c>
      <c r="R172" s="15" t="n">
        <f aca="false">Q172-$G$2+$I$2</f>
        <v>99922.4172596929</v>
      </c>
      <c r="S172" s="42" t="n">
        <f aca="false">R172/$K$2</f>
        <v>277.886471048704</v>
      </c>
      <c r="T172" s="43" t="n">
        <f aca="false">S172-$M$2</f>
        <v>-0.132328662070051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-0.023834228515625</v>
      </c>
      <c r="C173" s="25" t="n">
        <f aca="false">IF(T172&gt;0,D172,C172)</f>
        <v>-0.02374267578125</v>
      </c>
      <c r="D173" s="41" t="n">
        <f aca="false">(B173+C173)/2</f>
        <v>-0.0237884521484375</v>
      </c>
      <c r="E173" s="15" t="n">
        <f aca="false">$C$2*(1+IF(E$3&lt;=$O$2,$D173,$D173-($D173-$I$157)*MIN(E$3-$O$2,$Q$2)/$Q$2))</f>
        <v>6599.19006347656</v>
      </c>
      <c r="F173" s="15" t="n">
        <f aca="false">E173*(1+IF(F$3&lt;=$O$2,$D173,$D173-($D173-$I$157)*MIN(F$3-$O$2,$Q$2)/$Q$2))</f>
        <v>6442.20554643311</v>
      </c>
      <c r="G173" s="15" t="n">
        <f aca="false">F173*(1+IF(G$3&lt;=$O$2,$D173,$D173-($D173-$I$157)*MIN(G$3-$O$2,$Q$2)/$Q$2))</f>
        <v>6288.95544806138</v>
      </c>
      <c r="H173" s="15" t="n">
        <f aca="false">G173*(1+IF(H$3&lt;=$O$2,$D173,$D173-($D173-$I$157)*MIN(H$3-$O$2,$Q$2)/$Q$2))</f>
        <v>6139.35093232152</v>
      </c>
      <c r="I173" s="15" t="n">
        <f aca="false">H173*(1+IF(I$3&lt;=$O$2,$D173,$D173-($D173-$I$157)*MIN(I$3-$O$2,$Q$2)/$Q$2))</f>
        <v>5993.30527644552</v>
      </c>
      <c r="J173" s="15" t="n">
        <f aca="false">I173*(1+IF(J$3&lt;=$O$2,$D173,$D173-($D173-$I$157)*MIN(J$3-$O$2,$Q$2)/$Q$2))</f>
        <v>5925.15683023934</v>
      </c>
      <c r="K173" s="15" t="n">
        <f aca="false">J173*(1+IF(K$3&lt;=$O$2,$D173,$D173-($D173-$I$157)*MIN(K$3-$O$2,$Q$2)/$Q$2))</f>
        <v>5931.36004704172</v>
      </c>
      <c r="L173" s="15" t="n">
        <f aca="false">K173*(1+IF(L$3&lt;=$O$2,$D173,$D173-($D173-$I$157)*MIN(L$3-$O$2,$Q$2)/$Q$2))</f>
        <v>6011.22355106106</v>
      </c>
      <c r="M173" s="15" t="n">
        <f aca="false">L173*(1+IF(M$3&lt;=$O$2,$D173,$D173-($D173-$I$157)*MIN(M$3-$O$2,$Q$2)/$Q$2))</f>
        <v>6166.80789990597</v>
      </c>
      <c r="N173" s="15" t="n">
        <f aca="false">M173*(1+IF(N$3&lt;=$O$2,$D173,$D173-($D173-$I$157)*MIN(N$3-$O$2,$Q$2)/$Q$2))</f>
        <v>6402.99664247237</v>
      </c>
      <c r="O173" s="15" t="n">
        <f aca="false">SUMPRODUCT(E173:N173,1/(1+$F$157)^$E$3:$N$3)*$E$2</f>
        <v>27497.8835887675</v>
      </c>
      <c r="P173" s="15" t="n">
        <f aca="false">N173*$E$2*(1+$I$157)/($F$157-$I$157)/(1+$F$157)^$N$3</f>
        <v>74044.2642495624</v>
      </c>
      <c r="Q173" s="15" t="n">
        <f aca="false">O173+P173</f>
        <v>101542.14783833</v>
      </c>
      <c r="R173" s="15" t="n">
        <f aca="false">Q173-$G$2+$I$2</f>
        <v>99952.1478383299</v>
      </c>
      <c r="S173" s="42" t="n">
        <f aca="false">R173/$K$2</f>
        <v>277.969152450998</v>
      </c>
      <c r="T173" s="43" t="n">
        <f aca="false">S173-$M$2</f>
        <v>-0.0496472597756679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-0.0237884521484375</v>
      </c>
      <c r="C174" s="25" t="n">
        <f aca="false">IF(T173&gt;0,D173,C173)</f>
        <v>-0.02374267578125</v>
      </c>
      <c r="D174" s="41" t="n">
        <f aca="false">(B174+C174)/2</f>
        <v>-0.0237655639648438</v>
      </c>
      <c r="E174" s="15" t="n">
        <f aca="false">$C$2*(1+IF(E$3&lt;=$O$2,$D174,$D174-($D174-$I$157)*MIN(E$3-$O$2,$Q$2)/$Q$2))</f>
        <v>6599.34478759766</v>
      </c>
      <c r="F174" s="15" t="n">
        <f aca="false">E174*(1+IF(F$3&lt;=$O$2,$D174,$D174-($D174-$I$157)*MIN(F$3-$O$2,$Q$2)/$Q$2))</f>
        <v>6442.50763692195</v>
      </c>
      <c r="G174" s="15" t="n">
        <f aca="false">F174*(1+IF(G$3&lt;=$O$2,$D174,$D174-($D174-$I$157)*MIN(G$3-$O$2,$Q$2)/$Q$2))</f>
        <v>6289.39780958268</v>
      </c>
      <c r="H174" s="15" t="n">
        <f aca="false">G174*(1+IF(H$3&lt;=$O$2,$D174,$D174-($D174-$I$157)*MIN(H$3-$O$2,$Q$2)/$Q$2))</f>
        <v>6139.9267236387</v>
      </c>
      <c r="I174" s="15" t="n">
        <f aca="false">H174*(1+IF(I$3&lt;=$O$2,$D174,$D174-($D174-$I$157)*MIN(I$3-$O$2,$Q$2)/$Q$2))</f>
        <v>5994.00790234861</v>
      </c>
      <c r="J174" s="15" t="n">
        <f aca="false">I174*(1+IF(J$3&lt;=$O$2,$D174,$D174-($D174-$I$157)*MIN(J$3-$O$2,$Q$2)/$Q$2))</f>
        <v>5925.96122031336</v>
      </c>
      <c r="K174" s="15" t="n">
        <f aca="false">J174*(1+IF(K$3&lt;=$O$2,$D174,$D174-($D174-$I$157)*MIN(K$3-$O$2,$Q$2)/$Q$2))</f>
        <v>5932.24665994784</v>
      </c>
      <c r="L174" s="15" t="n">
        <f aca="false">K174*(1+IF(L$3&lt;=$O$2,$D174,$D174-($D174-$I$157)*MIN(L$3-$O$2,$Q$2)/$Q$2))</f>
        <v>6012.17641321255</v>
      </c>
      <c r="M174" s="15" t="n">
        <f aca="false">L174*(1+IF(M$3&lt;=$O$2,$D174,$D174-($D174-$I$157)*MIN(M$3-$O$2,$Q$2)/$Q$2))</f>
        <v>6167.81294589016</v>
      </c>
      <c r="N174" s="15" t="n">
        <f aca="false">M174*(1+IF(N$3&lt;=$O$2,$D174,$D174-($D174-$I$157)*MIN(N$3-$O$2,$Q$2)/$Q$2))</f>
        <v>6404.04018171775</v>
      </c>
      <c r="O174" s="15" t="n">
        <f aca="false">SUMPRODUCT(E174:N174,1/(1+$F$157)^$E$3:$N$3)*$E$2</f>
        <v>27500.6844009484</v>
      </c>
      <c r="P174" s="15" t="n">
        <f aca="false">N174*$E$2*(1+$I$157)/($F$157-$I$157)/(1+$F$157)^$N$3</f>
        <v>74056.3317392011</v>
      </c>
      <c r="Q174" s="15" t="n">
        <f aca="false">O174+P174</f>
        <v>101557.01614015</v>
      </c>
      <c r="R174" s="15" t="n">
        <f aca="false">Q174-$G$2+$I$2</f>
        <v>99967.0161401495</v>
      </c>
      <c r="S174" s="42" t="n">
        <f aca="false">R174/$K$2</f>
        <v>278.010501529978</v>
      </c>
      <c r="T174" s="43" t="n">
        <f aca="false">S174-$M$2</f>
        <v>-0.00829818079552069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-0.0237655639648438</v>
      </c>
      <c r="C175" s="25" t="n">
        <f aca="false">IF(T174&gt;0,D174,C174)</f>
        <v>-0.02374267578125</v>
      </c>
      <c r="D175" s="41" t="n">
        <f aca="false">(B175+C175)/2</f>
        <v>-0.0237541198730469</v>
      </c>
      <c r="E175" s="15" t="n">
        <f aca="false">$C$2*(1+IF(E$3&lt;=$O$2,$D175,$D175-($D175-$I$157)*MIN(E$3-$O$2,$Q$2)/$Q$2))</f>
        <v>6599.4221496582</v>
      </c>
      <c r="F175" s="15" t="n">
        <f aca="false">E175*(1+IF(F$3&lt;=$O$2,$D175,$D175-($D175-$I$157)*MIN(F$3-$O$2,$Q$2)/$Q$2))</f>
        <v>6442.65868482238</v>
      </c>
      <c r="G175" s="15" t="n">
        <f aca="false">F175*(1+IF(G$3&lt;=$O$2,$D175,$D175-($D175-$I$157)*MIN(G$3-$O$2,$Q$2)/$Q$2))</f>
        <v>6289.61899812198</v>
      </c>
      <c r="H175" s="15" t="n">
        <f aca="false">G175*(1+IF(H$3&lt;=$O$2,$D175,$D175-($D175-$I$157)*MIN(H$3-$O$2,$Q$2)/$Q$2))</f>
        <v>6140.2146344848</v>
      </c>
      <c r="I175" s="15" t="n">
        <f aca="false">H175*(1+IF(I$3&lt;=$O$2,$D175,$D175-($D175-$I$157)*MIN(I$3-$O$2,$Q$2)/$Q$2))</f>
        <v>5994.35924001101</v>
      </c>
      <c r="J175" s="15" t="n">
        <f aca="false">I175*(1+IF(J$3&lt;=$O$2,$D175,$D175-($D175-$I$157)*MIN(J$3-$O$2,$Q$2)/$Q$2))</f>
        <v>5926.36344943004</v>
      </c>
      <c r="K175" s="15" t="n">
        <f aca="false">J175*(1+IF(K$3&lt;=$O$2,$D175,$D175-($D175-$I$157)*MIN(K$3-$O$2,$Q$2)/$Q$2))</f>
        <v>5932.6900088019</v>
      </c>
      <c r="L175" s="15" t="n">
        <f aca="false">K175*(1+IF(L$3&lt;=$O$2,$D175,$D175-($D175-$I$157)*MIN(L$3-$O$2,$Q$2)/$Q$2))</f>
        <v>6012.65289334869</v>
      </c>
      <c r="M175" s="15" t="n">
        <f aca="false">L175*(1+IF(M$3&lt;=$O$2,$D175,$D175-($D175-$I$157)*MIN(M$3-$O$2,$Q$2)/$Q$2))</f>
        <v>6168.31552248416</v>
      </c>
      <c r="N175" s="15" t="n">
        <f aca="false">M175*(1+IF(N$3&lt;=$O$2,$D175,$D175-($D175-$I$157)*MIN(N$3-$O$2,$Q$2)/$Q$2))</f>
        <v>6404.56200699531</v>
      </c>
      <c r="O175" s="15" t="n">
        <f aca="false">SUMPRODUCT(E175:N175,1/(1+$F$157)^$E$3:$N$3)*$E$2</f>
        <v>27502.0849166754</v>
      </c>
      <c r="P175" s="15" t="n">
        <f aca="false">N175*$E$2*(1+$I$157)/($F$157-$I$157)/(1+$F$157)^$N$3</f>
        <v>74062.3661276134</v>
      </c>
      <c r="Q175" s="15" t="n">
        <f aca="false">O175+P175</f>
        <v>101564.451044289</v>
      </c>
      <c r="R175" s="15" t="n">
        <f aca="false">Q175-$G$2+$I$2</f>
        <v>99974.4510442888</v>
      </c>
      <c r="S175" s="42" t="n">
        <f aca="false">R175/$K$2</f>
        <v>278.031178164216</v>
      </c>
      <c r="T175" s="43" t="n">
        <f aca="false">S175-$M$2</f>
        <v>0.0123784534422953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-0.0237655639648438</v>
      </c>
      <c r="C176" s="25" t="n">
        <f aca="false">IF(T175&gt;0,D175,C175)</f>
        <v>-0.0237541198730469</v>
      </c>
      <c r="D176" s="41" t="n">
        <f aca="false">(B176+C176)/2</f>
        <v>-0.0237598419189453</v>
      </c>
      <c r="E176" s="15" t="n">
        <f aca="false">$C$2*(1+IF(E$3&lt;=$O$2,$D176,$D176-($D176-$I$157)*MIN(E$3-$O$2,$Q$2)/$Q$2))</f>
        <v>6599.38346862793</v>
      </c>
      <c r="F176" s="15" t="n">
        <f aca="false">E176*(1+IF(F$3&lt;=$O$2,$D176,$D176-($D176-$I$157)*MIN(F$3-$O$2,$Q$2)/$Q$2))</f>
        <v>6442.58316065083</v>
      </c>
      <c r="G176" s="15" t="n">
        <f aca="false">F176*(1+IF(G$3&lt;=$O$2,$D176,$D176-($D176-$I$157)*MIN(G$3-$O$2,$Q$2)/$Q$2))</f>
        <v>6289.50840320411</v>
      </c>
      <c r="H176" s="15" t="n">
        <f aca="false">G176*(1+IF(H$3&lt;=$O$2,$D176,$D176-($D176-$I$157)*MIN(H$3-$O$2,$Q$2)/$Q$2))</f>
        <v>6140.0706777961</v>
      </c>
      <c r="I176" s="15" t="n">
        <f aca="false">H176*(1+IF(I$3&lt;=$O$2,$D176,$D176-($D176-$I$157)*MIN(I$3-$O$2,$Q$2)/$Q$2))</f>
        <v>5994.18356912051</v>
      </c>
      <c r="J176" s="15" t="n">
        <f aca="false">I176*(1+IF(J$3&lt;=$O$2,$D176,$D176-($D176-$I$157)*MIN(J$3-$O$2,$Q$2)/$Q$2))</f>
        <v>5926.16233203162</v>
      </c>
      <c r="K176" s="15" t="n">
        <f aca="false">J176*(1+IF(K$3&lt;=$O$2,$D176,$D176-($D176-$I$157)*MIN(K$3-$O$2,$Q$2)/$Q$2))</f>
        <v>5932.4683308413</v>
      </c>
      <c r="L176" s="15" t="n">
        <f aca="false">K176*(1+IF(L$3&lt;=$O$2,$D176,$D176-($D176-$I$157)*MIN(L$3-$O$2,$Q$2)/$Q$2))</f>
        <v>6012.41464919206</v>
      </c>
      <c r="M176" s="15" t="n">
        <f aca="false">L176*(1+IF(M$3&lt;=$O$2,$D176,$D176-($D176-$I$157)*MIN(M$3-$O$2,$Q$2)/$Q$2))</f>
        <v>6168.06422972011</v>
      </c>
      <c r="N176" s="15" t="n">
        <f aca="false">M176*(1+IF(N$3&lt;=$O$2,$D176,$D176-($D176-$I$157)*MIN(N$3-$O$2,$Q$2)/$Q$2))</f>
        <v>6404.30108971839</v>
      </c>
      <c r="O176" s="15" t="n">
        <f aca="false">SUMPRODUCT(E176:N176,1/(1+$F$157)^$E$3:$N$3)*$E$2</f>
        <v>27501.3846496751</v>
      </c>
      <c r="P176" s="15" t="n">
        <f aca="false">N176*$E$2*(1+$I$157)/($F$157-$I$157)/(1+$F$157)^$N$3</f>
        <v>74059.3488797718</v>
      </c>
      <c r="Q176" s="15" t="n">
        <f aca="false">O176+P176</f>
        <v>101560.733529447</v>
      </c>
      <c r="R176" s="15" t="n">
        <f aca="false">Q176-$G$2+$I$2</f>
        <v>99970.7335294469</v>
      </c>
      <c r="S176" s="42" t="n">
        <f aca="false">R176/$K$2</f>
        <v>278.020839672526</v>
      </c>
      <c r="T176" s="43" t="n">
        <f aca="false">S176-$M$2</f>
        <v>0.00203996175241628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-0.0237655639648438</v>
      </c>
      <c r="C177" s="25" t="n">
        <f aca="false">IF(T176&gt;0,D176,C176)</f>
        <v>-0.0237598419189453</v>
      </c>
      <c r="D177" s="41" t="n">
        <f aca="false">(B177+C177)/2</f>
        <v>-0.0237627029418945</v>
      </c>
      <c r="E177" s="15" t="n">
        <f aca="false">$C$2*(1+IF(E$3&lt;=$O$2,$D177,$D177-($D177-$I$157)*MIN(E$3-$O$2,$Q$2)/$Q$2))</f>
        <v>6599.36412811279</v>
      </c>
      <c r="F177" s="15" t="n">
        <f aca="false">E177*(1+IF(F$3&lt;=$O$2,$D177,$D177-($D177-$I$157)*MIN(F$3-$O$2,$Q$2)/$Q$2))</f>
        <v>6442.54539873105</v>
      </c>
      <c r="G177" s="15" t="n">
        <f aca="false">F177*(1+IF(G$3&lt;=$O$2,$D177,$D177-($D177-$I$157)*MIN(G$3-$O$2,$Q$2)/$Q$2))</f>
        <v>6289.45310623134</v>
      </c>
      <c r="H177" s="15" t="n">
        <f aca="false">G177*(1+IF(H$3&lt;=$O$2,$D177,$D177-($D177-$I$157)*MIN(H$3-$O$2,$Q$2)/$Q$2))</f>
        <v>6139.99870040099</v>
      </c>
      <c r="I177" s="15" t="n">
        <f aca="false">H177*(1+IF(I$3&lt;=$O$2,$D177,$D177-($D177-$I$157)*MIN(I$3-$O$2,$Q$2)/$Q$2))</f>
        <v>5994.09573521974</v>
      </c>
      <c r="J177" s="15" t="n">
        <f aca="false">I177*(1+IF(J$3&lt;=$O$2,$D177,$D177-($D177-$I$157)*MIN(J$3-$O$2,$Q$2)/$Q$2))</f>
        <v>5926.06177546248</v>
      </c>
      <c r="K177" s="15" t="n">
        <f aca="false">J177*(1+IF(K$3&lt;=$O$2,$D177,$D177-($D177-$I$157)*MIN(K$3-$O$2,$Q$2)/$Q$2))</f>
        <v>5932.35749451119</v>
      </c>
      <c r="L177" s="15" t="n">
        <f aca="false">K177*(1+IF(L$3&lt;=$O$2,$D177,$D177-($D177-$I$157)*MIN(L$3-$O$2,$Q$2)/$Q$2))</f>
        <v>6012.29553018018</v>
      </c>
      <c r="M177" s="15" t="n">
        <f aca="false">L177*(1+IF(M$3&lt;=$O$2,$D177,$D177-($D177-$I$157)*MIN(M$3-$O$2,$Q$2)/$Q$2))</f>
        <v>6167.93858668839</v>
      </c>
      <c r="N177" s="15" t="n">
        <f aca="false">M177*(1+IF(N$3&lt;=$O$2,$D177,$D177-($D177-$I$157)*MIN(N$3-$O$2,$Q$2)/$Q$2))</f>
        <v>6404.17063455855</v>
      </c>
      <c r="O177" s="15" t="n">
        <f aca="false">SUMPRODUCT(E177:N177,1/(1+$F$157)^$E$3:$N$3)*$E$2</f>
        <v>27501.0345230276</v>
      </c>
      <c r="P177" s="15" t="n">
        <f aca="false">N177*$E$2*(1+$I$157)/($F$157-$I$157)/(1+$F$157)^$N$3</f>
        <v>74057.8402960778</v>
      </c>
      <c r="Q177" s="15" t="n">
        <f aca="false">O177+P177</f>
        <v>101558.874819105</v>
      </c>
      <c r="R177" s="15" t="n">
        <f aca="false">Q177-$G$2+$I$2</f>
        <v>99968.8748191054</v>
      </c>
      <c r="S177" s="42" t="n">
        <f aca="false">R177/$K$2</f>
        <v>278.01567055761</v>
      </c>
      <c r="T177" s="43" t="n">
        <f aca="false">S177-$M$2</f>
        <v>-0.00312915316362705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-0.0237627029418945</v>
      </c>
      <c r="C178" s="25" t="n">
        <f aca="false">IF(T177&gt;0,D177,C177)</f>
        <v>-0.0237598419189453</v>
      </c>
      <c r="D178" s="41" t="n">
        <f aca="false">(B178+C178)/2</f>
        <v>-0.0237612724304199</v>
      </c>
      <c r="E178" s="15" t="n">
        <f aca="false">$C$2*(1+IF(E$3&lt;=$O$2,$D178,$D178-($D178-$I$157)*MIN(E$3-$O$2,$Q$2)/$Q$2))</f>
        <v>6599.37379837036</v>
      </c>
      <c r="F178" s="15" t="n">
        <f aca="false">E178*(1+IF(F$3&lt;=$O$2,$D178,$D178-($D178-$I$157)*MIN(F$3-$O$2,$Q$2)/$Q$2))</f>
        <v>6442.56427967711</v>
      </c>
      <c r="G178" s="15" t="n">
        <f aca="false">F178*(1+IF(G$3&lt;=$O$2,$D178,$D178-($D178-$I$157)*MIN(G$3-$O$2,$Q$2)/$Q$2))</f>
        <v>6289.48075467721</v>
      </c>
      <c r="H178" s="15" t="n">
        <f aca="false">G178*(1+IF(H$3&lt;=$O$2,$D178,$D178-($D178-$I$157)*MIN(H$3-$O$2,$Q$2)/$Q$2))</f>
        <v>6140.03468901944</v>
      </c>
      <c r="I178" s="15" t="n">
        <f aca="false">H178*(1+IF(I$3&lt;=$O$2,$D178,$D178-($D178-$I$157)*MIN(I$3-$O$2,$Q$2)/$Q$2))</f>
        <v>5994.13965204142</v>
      </c>
      <c r="J178" s="15" t="n">
        <f aca="false">I178*(1+IF(J$3&lt;=$O$2,$D178,$D178-($D178-$I$157)*MIN(J$3-$O$2,$Q$2)/$Q$2))</f>
        <v>5926.11205356955</v>
      </c>
      <c r="K178" s="15" t="n">
        <f aca="false">J178*(1+IF(K$3&lt;=$O$2,$D178,$D178-($D178-$I$157)*MIN(K$3-$O$2,$Q$2)/$Q$2))</f>
        <v>5932.4129124554</v>
      </c>
      <c r="L178" s="15" t="n">
        <f aca="false">K178*(1+IF(L$3&lt;=$O$2,$D178,$D178-($D178-$I$157)*MIN(L$3-$O$2,$Q$2)/$Q$2))</f>
        <v>6012.35508943058</v>
      </c>
      <c r="M178" s="15" t="n">
        <f aca="false">L178*(1+IF(M$3&lt;=$O$2,$D178,$D178-($D178-$I$157)*MIN(M$3-$O$2,$Q$2)/$Q$2))</f>
        <v>6168.00140792506</v>
      </c>
      <c r="N178" s="15" t="n">
        <f aca="false">M178*(1+IF(N$3&lt;=$O$2,$D178,$D178-($D178-$I$157)*MIN(N$3-$O$2,$Q$2)/$Q$2))</f>
        <v>6404.23586184859</v>
      </c>
      <c r="O178" s="15" t="n">
        <f aca="false">SUMPRODUCT(E178:N178,1/(1+$F$157)^$E$3:$N$3)*$E$2</f>
        <v>27501.2095857803</v>
      </c>
      <c r="P178" s="15" t="n">
        <f aca="false">N178*$E$2*(1+$I$157)/($F$157-$I$157)/(1+$F$157)^$N$3</f>
        <v>74058.5945845726</v>
      </c>
      <c r="Q178" s="15" t="n">
        <f aca="false">O178+P178</f>
        <v>101559.804170353</v>
      </c>
      <c r="R178" s="15" t="n">
        <f aca="false">Q178-$G$2+$I$2</f>
        <v>99969.8041703529</v>
      </c>
      <c r="S178" s="42" t="n">
        <f aca="false">R178/$K$2</f>
        <v>278.018255104157</v>
      </c>
      <c r="T178" s="43" t="n">
        <f aca="false">S178-$M$2</f>
        <v>-0.000544606616244892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-0.0237612724304199</v>
      </c>
      <c r="C179" s="25" t="n">
        <f aca="false">IF(T178&gt;0,D178,C178)</f>
        <v>-0.0237598419189453</v>
      </c>
      <c r="D179" s="41" t="n">
        <f aca="false">(B179+C179)/2</f>
        <v>-0.0237605571746826</v>
      </c>
      <c r="E179" s="15" t="n">
        <f aca="false">$C$2*(1+IF(E$3&lt;=$O$2,$D179,$D179-($D179-$I$157)*MIN(E$3-$O$2,$Q$2)/$Q$2))</f>
        <v>6599.37863349915</v>
      </c>
      <c r="F179" s="15" t="n">
        <f aca="false">E179*(1+IF(F$3&lt;=$O$2,$D179,$D179-($D179-$I$157)*MIN(F$3-$O$2,$Q$2)/$Q$2))</f>
        <v>6442.57372016051</v>
      </c>
      <c r="G179" s="15" t="n">
        <f aca="false">F179*(1+IF(G$3&lt;=$O$2,$D179,$D179-($D179-$I$157)*MIN(G$3-$O$2,$Q$2)/$Q$2))</f>
        <v>6289.49457893053</v>
      </c>
      <c r="H179" s="15" t="n">
        <f aca="false">G179*(1+IF(H$3&lt;=$O$2,$D179,$D179-($D179-$I$157)*MIN(H$3-$O$2,$Q$2)/$Q$2))</f>
        <v>6140.05268338799</v>
      </c>
      <c r="I179" s="15" t="n">
        <f aca="false">H179*(1+IF(I$3&lt;=$O$2,$D179,$D179-($D179-$I$157)*MIN(I$3-$O$2,$Q$2)/$Q$2))</f>
        <v>5994.16161054879</v>
      </c>
      <c r="J179" s="15" t="n">
        <f aca="false">I179*(1+IF(J$3&lt;=$O$2,$D179,$D179-($D179-$I$157)*MIN(J$3-$O$2,$Q$2)/$Q$2))</f>
        <v>5926.13719275621</v>
      </c>
      <c r="K179" s="15" t="n">
        <f aca="false">J179*(1+IF(K$3&lt;=$O$2,$D179,$D179-($D179-$I$157)*MIN(K$3-$O$2,$Q$2)/$Q$2))</f>
        <v>5932.44062159313</v>
      </c>
      <c r="L179" s="15" t="n">
        <f aca="false">K179*(1+IF(L$3&lt;=$O$2,$D179,$D179-($D179-$I$157)*MIN(L$3-$O$2,$Q$2)/$Q$2))</f>
        <v>6012.38486924744</v>
      </c>
      <c r="M179" s="15" t="n">
        <f aca="false">L179*(1+IF(M$3&lt;=$O$2,$D179,$D179-($D179-$I$157)*MIN(M$3-$O$2,$Q$2)/$Q$2))</f>
        <v>6168.03281875279</v>
      </c>
      <c r="N179" s="15" t="n">
        <f aca="false">M179*(1+IF(N$3&lt;=$O$2,$D179,$D179-($D179-$I$157)*MIN(N$3-$O$2,$Q$2)/$Q$2))</f>
        <v>6404.26847571102</v>
      </c>
      <c r="O179" s="15" t="n">
        <f aca="false">SUMPRODUCT(E179:N179,1/(1+$F$157)^$E$3:$N$3)*$E$2</f>
        <v>27501.297117585</v>
      </c>
      <c r="P179" s="15" t="n">
        <f aca="false">N179*$E$2*(1+$I$157)/($F$157-$I$157)/(1+$F$157)^$N$3</f>
        <v>74058.9717313342</v>
      </c>
      <c r="Q179" s="15" t="n">
        <f aca="false">O179+P179</f>
        <v>101560.268848919</v>
      </c>
      <c r="R179" s="15" t="n">
        <f aca="false">Q179-$G$2+$I$2</f>
        <v>99970.2688489191</v>
      </c>
      <c r="S179" s="42" t="n">
        <f aca="false">R179/$K$2</f>
        <v>278.019547385614</v>
      </c>
      <c r="T179" s="43" t="n">
        <f aca="false">S179-$M$2</f>
        <v>0.000747674840454238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-0.0237612724304199</v>
      </c>
      <c r="C180" s="25" t="n">
        <f aca="false">IF(T179&gt;0,D179,C179)</f>
        <v>-0.0237605571746826</v>
      </c>
      <c r="D180" s="41" t="n">
        <f aca="false">(B180+C180)/2</f>
        <v>-0.0237609148025513</v>
      </c>
      <c r="E180" s="15" t="n">
        <f aca="false">$C$2*(1+IF(E$3&lt;=$O$2,$D180,$D180-($D180-$I$157)*MIN(E$3-$O$2,$Q$2)/$Q$2))</f>
        <v>6599.37621593475</v>
      </c>
      <c r="F180" s="15" t="n">
        <f aca="false">E180*(1+IF(F$3&lt;=$O$2,$D180,$D180-($D180-$I$157)*MIN(F$3-$O$2,$Q$2)/$Q$2))</f>
        <v>6442.56899991795</v>
      </c>
      <c r="G180" s="15" t="n">
        <f aca="false">F180*(1+IF(G$3&lt;=$O$2,$D180,$D180-($D180-$I$157)*MIN(G$3-$O$2,$Q$2)/$Q$2))</f>
        <v>6289.48766680134</v>
      </c>
      <c r="H180" s="15" t="n">
        <f aca="false">G180*(1+IF(H$3&lt;=$O$2,$D180,$D180-($D180-$I$157)*MIN(H$3-$O$2,$Q$2)/$Q$2))</f>
        <v>6140.04368619877</v>
      </c>
      <c r="I180" s="15" t="n">
        <f aca="false">H180*(1+IF(I$3&lt;=$O$2,$D180,$D180-($D180-$I$157)*MIN(I$3-$O$2,$Q$2)/$Q$2))</f>
        <v>5994.15063128706</v>
      </c>
      <c r="J180" s="15" t="n">
        <f aca="false">I180*(1+IF(J$3&lt;=$O$2,$D180,$D180-($D180-$I$157)*MIN(J$3-$O$2,$Q$2)/$Q$2))</f>
        <v>5926.12462315178</v>
      </c>
      <c r="K180" s="15" t="n">
        <f aca="false">J180*(1+IF(K$3&lt;=$O$2,$D180,$D180-($D180-$I$157)*MIN(K$3-$O$2,$Q$2)/$Q$2))</f>
        <v>5932.42676701046</v>
      </c>
      <c r="L180" s="15" t="n">
        <f aca="false">K180*(1+IF(L$3&lt;=$O$2,$D180,$D180-($D180-$I$157)*MIN(L$3-$O$2,$Q$2)/$Q$2))</f>
        <v>6012.36997932304</v>
      </c>
      <c r="M180" s="15" t="n">
        <f aca="false">L180*(1+IF(M$3&lt;=$O$2,$D180,$D180-($D180-$I$157)*MIN(M$3-$O$2,$Q$2)/$Q$2))</f>
        <v>6168.01711332148</v>
      </c>
      <c r="N180" s="15" t="n">
        <f aca="false">M180*(1+IF(N$3&lt;=$O$2,$D180,$D180-($D180-$I$157)*MIN(N$3-$O$2,$Q$2)/$Q$2))</f>
        <v>6404.25216876169</v>
      </c>
      <c r="O180" s="15" t="n">
        <f aca="false">SUMPRODUCT(E180:N180,1/(1+$F$157)^$E$3:$N$3)*$E$2</f>
        <v>27501.253351647</v>
      </c>
      <c r="P180" s="15" t="n">
        <f aca="false">N180*$E$2*(1+$I$157)/($F$157-$I$157)/(1+$F$157)^$N$3</f>
        <v>74058.7831577439</v>
      </c>
      <c r="Q180" s="15" t="n">
        <f aca="false">O180+P180</f>
        <v>101560.036509391</v>
      </c>
      <c r="R180" s="15" t="n">
        <f aca="false">Q180-$G$2+$I$2</f>
        <v>99970.0365093909</v>
      </c>
      <c r="S180" s="42" t="n">
        <f aca="false">R180/$K$2</f>
        <v>278.018901244204</v>
      </c>
      <c r="T180" s="43" t="n">
        <f aca="false">S180-$M$2</f>
        <v>0.000101533430267864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-0.0237612724304199</v>
      </c>
      <c r="C181" s="25" t="n">
        <f aca="false">IF(T180&gt;0,D180,C180)</f>
        <v>-0.0237609148025513</v>
      </c>
      <c r="D181" s="41" t="n">
        <f aca="false">(B181+C181)/2</f>
        <v>-0.0237610936164856</v>
      </c>
      <c r="E181" s="15" t="n">
        <f aca="false">$C$2*(1+IF(E$3&lt;=$O$2,$D181,$D181-($D181-$I$157)*MIN(E$3-$O$2,$Q$2)/$Q$2))</f>
        <v>6599.37500715256</v>
      </c>
      <c r="F181" s="15" t="n">
        <f aca="false">E181*(1+IF(F$3&lt;=$O$2,$D181,$D181-($D181-$I$157)*MIN(F$3-$O$2,$Q$2)/$Q$2))</f>
        <v>6442.56663979731</v>
      </c>
      <c r="G181" s="15" t="n">
        <f aca="false">F181*(1+IF(G$3&lt;=$O$2,$D181,$D181-($D181-$I$157)*MIN(G$3-$O$2,$Q$2)/$Q$2))</f>
        <v>6289.48421073864</v>
      </c>
      <c r="H181" s="15" t="n">
        <f aca="false">G181*(1+IF(H$3&lt;=$O$2,$D181,$D181-($D181-$I$157)*MIN(H$3-$O$2,$Q$2)/$Q$2))</f>
        <v>6140.03918760787</v>
      </c>
      <c r="I181" s="15" t="n">
        <f aca="false">H181*(1+IF(I$3&lt;=$O$2,$D181,$D181-($D181-$I$157)*MIN(I$3-$O$2,$Q$2)/$Q$2))</f>
        <v>5994.14514166223</v>
      </c>
      <c r="J181" s="15" t="n">
        <f aca="false">I181*(1+IF(J$3&lt;=$O$2,$D181,$D181-($D181-$I$157)*MIN(J$3-$O$2,$Q$2)/$Q$2))</f>
        <v>5926.11833835789</v>
      </c>
      <c r="K181" s="15" t="n">
        <f aca="false">J181*(1+IF(K$3&lt;=$O$2,$D181,$D181-($D181-$I$157)*MIN(K$3-$O$2,$Q$2)/$Q$2))</f>
        <v>5932.41983972948</v>
      </c>
      <c r="L181" s="15" t="n">
        <f aca="false">K181*(1+IF(L$3&lt;=$O$2,$D181,$D181-($D181-$I$157)*MIN(L$3-$O$2,$Q$2)/$Q$2))</f>
        <v>6012.36253437282</v>
      </c>
      <c r="M181" s="15" t="n">
        <f aca="false">L181*(1+IF(M$3&lt;=$O$2,$D181,$D181-($D181-$I$157)*MIN(M$3-$O$2,$Q$2)/$Q$2))</f>
        <v>6168.0092606189</v>
      </c>
      <c r="N181" s="15" t="n">
        <f aca="false">M181*(1+IF(N$3&lt;=$O$2,$D181,$D181-($D181-$I$157)*MIN(N$3-$O$2,$Q$2)/$Q$2))</f>
        <v>6404.24401530061</v>
      </c>
      <c r="O181" s="15" t="n">
        <f aca="false">SUMPRODUCT(E181:N181,1/(1+$F$157)^$E$3:$N$3)*$E$2</f>
        <v>27501.2314687047</v>
      </c>
      <c r="P181" s="15" t="n">
        <f aca="false">N181*$E$2*(1+$I$157)/($F$157-$I$157)/(1+$F$157)^$N$3</f>
        <v>74058.6888711058</v>
      </c>
      <c r="Q181" s="15" t="n">
        <f aca="false">O181+P181</f>
        <v>101559.920339811</v>
      </c>
      <c r="R181" s="15" t="n">
        <f aca="false">Q181-$G$2+$I$2</f>
        <v>99969.9203398106</v>
      </c>
      <c r="S181" s="42" t="n">
        <f aca="false">R181/$K$2</f>
        <v>278.01857817401</v>
      </c>
      <c r="T181" s="43" t="n">
        <f aca="false">S181-$M$2</f>
        <v>-0.000221536763490349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-0.0237610936164856</v>
      </c>
      <c r="C182" s="25" t="n">
        <f aca="false">IF(T181&gt;0,D181,C181)</f>
        <v>-0.0237609148025513</v>
      </c>
      <c r="D182" s="41" t="n">
        <f aca="false">(B182+C182)/2</f>
        <v>-0.0237610042095184</v>
      </c>
      <c r="E182" s="15" t="n">
        <f aca="false">$C$2*(1+IF(E$3&lt;=$O$2,$D182,$D182-($D182-$I$157)*MIN(E$3-$O$2,$Q$2)/$Q$2))</f>
        <v>6599.37561154366</v>
      </c>
      <c r="F182" s="15" t="n">
        <f aca="false">E182*(1+IF(F$3&lt;=$O$2,$D182,$D182-($D182-$I$157)*MIN(F$3-$O$2,$Q$2)/$Q$2))</f>
        <v>6442.56781985757</v>
      </c>
      <c r="G182" s="15" t="n">
        <f aca="false">F182*(1+IF(G$3&lt;=$O$2,$D182,$D182-($D182-$I$157)*MIN(G$3-$O$2,$Q$2)/$Q$2))</f>
        <v>6289.48593876983</v>
      </c>
      <c r="H182" s="15" t="n">
        <f aca="false">G182*(1+IF(H$3&lt;=$O$2,$D182,$D182-($D182-$I$157)*MIN(H$3-$O$2,$Q$2)/$Q$2))</f>
        <v>6140.04143690301</v>
      </c>
      <c r="I182" s="15" t="n">
        <f aca="false">H182*(1+IF(I$3&lt;=$O$2,$D182,$D182-($D182-$I$157)*MIN(I$3-$O$2,$Q$2)/$Q$2))</f>
        <v>5994.14788647414</v>
      </c>
      <c r="J182" s="15" t="n">
        <f aca="false">I182*(1+IF(J$3&lt;=$O$2,$D182,$D182-($D182-$I$157)*MIN(J$3-$O$2,$Q$2)/$Q$2))</f>
        <v>5926.12148075414</v>
      </c>
      <c r="K182" s="15" t="n">
        <f aca="false">J182*(1+IF(K$3&lt;=$O$2,$D182,$D182-($D182-$I$157)*MIN(K$3-$O$2,$Q$2)/$Q$2))</f>
        <v>5932.42330336911</v>
      </c>
      <c r="L182" s="15" t="n">
        <f aca="false">K182*(1+IF(L$3&lt;=$O$2,$D182,$D182-($D182-$I$157)*MIN(L$3-$O$2,$Q$2)/$Q$2))</f>
        <v>6012.36625684693</v>
      </c>
      <c r="M182" s="15" t="n">
        <f aca="false">L182*(1+IF(M$3&lt;=$O$2,$D182,$D182-($D182-$I$157)*MIN(M$3-$O$2,$Q$2)/$Q$2))</f>
        <v>6168.0131869691</v>
      </c>
      <c r="N182" s="15" t="n">
        <f aca="false">M182*(1+IF(N$3&lt;=$O$2,$D182,$D182-($D182-$I$157)*MIN(N$3-$O$2,$Q$2)/$Q$2))</f>
        <v>6404.24809203001</v>
      </c>
      <c r="O182" s="15" t="n">
        <f aca="false">SUMPRODUCT(E182:N182,1/(1+$F$157)^$E$3:$N$3)*$E$2</f>
        <v>27501.2424101736</v>
      </c>
      <c r="P182" s="15" t="n">
        <f aca="false">N182*$E$2*(1+$I$157)/($F$157-$I$157)/(1+$F$157)^$N$3</f>
        <v>74058.7360144118</v>
      </c>
      <c r="Q182" s="15" t="n">
        <f aca="false">O182+P182</f>
        <v>101559.978424585</v>
      </c>
      <c r="R182" s="15" t="n">
        <f aca="false">Q182-$G$2+$I$2</f>
        <v>99969.9784245854</v>
      </c>
      <c r="S182" s="42" t="n">
        <f aca="false">R182/$K$2</f>
        <v>278.018739709064</v>
      </c>
      <c r="T182" s="43" t="n">
        <f aca="false">S182-$M$2</f>
        <v>-6.00017092438065E-005</v>
      </c>
    </row>
    <row r="184" customFormat="false" ht="15" hidden="false" customHeight="false" outlineLevel="0" collapsed="false">
      <c r="A184" s="38" t="s">
        <v>192</v>
      </c>
      <c r="E184" s="5" t="s">
        <v>11</v>
      </c>
      <c r="F184" s="12" t="n">
        <f aca="false">Sensitivity!$B$11</f>
        <v>0.0724202832668642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167</v>
      </c>
      <c r="B185" s="28" t="s">
        <v>168</v>
      </c>
      <c r="C185" s="28" t="s">
        <v>169</v>
      </c>
      <c r="D185" s="28" t="s">
        <v>170</v>
      </c>
      <c r="E185" s="28" t="s">
        <v>171</v>
      </c>
      <c r="F185" s="28" t="s">
        <v>172</v>
      </c>
      <c r="G185" s="28" t="s">
        <v>173</v>
      </c>
      <c r="H185" s="28" t="s">
        <v>174</v>
      </c>
      <c r="I185" s="28" t="s">
        <v>175</v>
      </c>
      <c r="J185" s="28" t="s">
        <v>176</v>
      </c>
      <c r="K185" s="28" t="s">
        <v>177</v>
      </c>
      <c r="L185" s="28" t="s">
        <v>178</v>
      </c>
      <c r="M185" s="28" t="s">
        <v>179</v>
      </c>
      <c r="N185" s="28" t="s">
        <v>180</v>
      </c>
      <c r="O185" s="28" t="s">
        <v>181</v>
      </c>
      <c r="P185" s="28" t="s">
        <v>182</v>
      </c>
      <c r="Q185" s="28" t="s">
        <v>183</v>
      </c>
      <c r="R185" s="28" t="s">
        <v>184</v>
      </c>
      <c r="S185" s="28" t="s">
        <v>185</v>
      </c>
      <c r="T185" s="28" t="s">
        <v>186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8450</v>
      </c>
      <c r="F186" s="15" t="n">
        <f aca="false">E186*(1+IF(F$3&lt;=$O$2,$D186,$D186-($D186-$I$184)*MIN(F$3-$O$2,$Q$2)/$Q$2))</f>
        <v>10562.5</v>
      </c>
      <c r="G186" s="15" t="n">
        <f aca="false">F186*(1+IF(G$3&lt;=$O$2,$D186,$D186-($D186-$I$184)*MIN(G$3-$O$2,$Q$2)/$Q$2))</f>
        <v>13203.125</v>
      </c>
      <c r="H186" s="15" t="n">
        <f aca="false">G186*(1+IF(H$3&lt;=$O$2,$D186,$D186-($D186-$I$184)*MIN(H$3-$O$2,$Q$2)/$Q$2))</f>
        <v>16503.90625</v>
      </c>
      <c r="I186" s="15" t="n">
        <f aca="false">H186*(1+IF(I$3&lt;=$O$2,$D186,$D186-($D186-$I$184)*MIN(I$3-$O$2,$Q$2)/$Q$2))</f>
        <v>20629.8828125</v>
      </c>
      <c r="J186" s="15" t="n">
        <f aca="false">I186*(1+IF(J$3&lt;=$O$2,$D186,$D186-($D186-$I$184)*MIN(J$3-$O$2,$Q$2)/$Q$2))</f>
        <v>24831.3647460938</v>
      </c>
      <c r="K186" s="15" t="n">
        <f aca="false">J186*(1+IF(K$3&lt;=$O$2,$D186,$D186-($D186-$I$184)*MIN(K$3-$O$2,$Q$2)/$Q$2))</f>
        <v>28737.8350479492</v>
      </c>
      <c r="L186" s="15" t="n">
        <f aca="false">K186*(1+IF(L$3&lt;=$O$2,$D186,$D186-($D186-$I$184)*MIN(L$3-$O$2,$Q$2)/$Q$2))</f>
        <v>31927.1599815706</v>
      </c>
      <c r="M186" s="15" t="n">
        <f aca="false">L186*(1+IF(M$3&lt;=$O$2,$D186,$D186-($D186-$I$184)*MIN(M$3-$O$2,$Q$2)/$Q$2))</f>
        <v>33990.9316027794</v>
      </c>
      <c r="N186" s="15" t="n">
        <f aca="false">M186*(1+IF(N$3&lt;=$O$2,$D186,$D186-($D186-$I$184)*MIN(N$3-$O$2,$Q$2)/$Q$2))</f>
        <v>34612.9656511102</v>
      </c>
      <c r="O186" s="15" t="n">
        <f aca="false">SUMPRODUCT(E186:N186,1/(1+$F$184)^$E$3:$N$3)*$E$2</f>
        <v>88619.596423298</v>
      </c>
      <c r="P186" s="15" t="n">
        <f aca="false">N186*$E$2*(1+$I$184)/($F$184-$I$184)/(1+$F$184)^$N$3</f>
        <v>201576.406910478</v>
      </c>
      <c r="Q186" s="15" t="n">
        <f aca="false">O186+P186</f>
        <v>290196.003333776</v>
      </c>
      <c r="R186" s="15" t="n">
        <f aca="false">Q186-$G$2+$I$2</f>
        <v>288606.003333776</v>
      </c>
      <c r="S186" s="42" t="n">
        <f aca="false">R186/$K$2</f>
        <v>802.619732281483</v>
      </c>
      <c r="T186" s="43" t="n">
        <f aca="false">S186-$M$2</f>
        <v>524.60093257071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5915</v>
      </c>
      <c r="F187" s="15" t="n">
        <f aca="false">E187*(1+IF(F$3&lt;=$O$2,$D187,$D187-($D187-$I$184)*MIN(F$3-$O$2,$Q$2)/$Q$2))</f>
        <v>5175.625</v>
      </c>
      <c r="G187" s="15" t="n">
        <f aca="false">F187*(1+IF(G$3&lt;=$O$2,$D187,$D187-($D187-$I$184)*MIN(G$3-$O$2,$Q$2)/$Q$2))</f>
        <v>4528.671875</v>
      </c>
      <c r="H187" s="15" t="n">
        <f aca="false">G187*(1+IF(H$3&lt;=$O$2,$D187,$D187-($D187-$I$184)*MIN(H$3-$O$2,$Q$2)/$Q$2))</f>
        <v>3962.587890625</v>
      </c>
      <c r="I187" s="15" t="n">
        <f aca="false">H187*(1+IF(I$3&lt;=$O$2,$D187,$D187-($D187-$I$184)*MIN(I$3-$O$2,$Q$2)/$Q$2))</f>
        <v>3467.26440429688</v>
      </c>
      <c r="J187" s="15" t="n">
        <f aca="false">I187*(1+IF(J$3&lt;=$O$2,$D187,$D187-($D187-$I$184)*MIN(J$3-$O$2,$Q$2)/$Q$2))</f>
        <v>3133.22815158691</v>
      </c>
      <c r="K187" s="15" t="n">
        <f aca="false">J187*(1+IF(K$3&lt;=$O$2,$D187,$D187-($D187-$I$184)*MIN(K$3-$O$2,$Q$2)/$Q$2))</f>
        <v>2921.17127028751</v>
      </c>
      <c r="L187" s="15" t="n">
        <f aca="false">K187*(1+IF(L$3&lt;=$O$2,$D187,$D187-($D187-$I$184)*MIN(L$3-$O$2,$Q$2)/$Q$2))</f>
        <v>2807.18716732089</v>
      </c>
      <c r="M187" s="15" t="n">
        <f aca="false">L187*(1+IF(M$3&lt;=$O$2,$D187,$D187-($D187-$I$184)*MIN(M$3-$O$2,$Q$2)/$Q$2))</f>
        <v>2778.10470826745</v>
      </c>
      <c r="N187" s="15" t="n">
        <f aca="false">M187*(1+IF(N$3&lt;=$O$2,$D187,$D187-($D187-$I$184)*MIN(N$3-$O$2,$Q$2)/$Q$2))</f>
        <v>2828.94402442874</v>
      </c>
      <c r="O187" s="15" t="n">
        <f aca="false">SUMPRODUCT(E187:N187,1/(1+$F$184)^$E$3:$N$3)*$E$2</f>
        <v>17107.3130138922</v>
      </c>
      <c r="P187" s="15" t="n">
        <f aca="false">N187*$E$2*(1+$I$184)/($F$184-$I$184)/(1+$F$184)^$N$3</f>
        <v>16474.9931439903</v>
      </c>
      <c r="Q187" s="15" t="n">
        <f aca="false">O187+P187</f>
        <v>33582.3061578825</v>
      </c>
      <c r="R187" s="15" t="n">
        <f aca="false">Q187-$G$2+$I$2</f>
        <v>31992.3061578825</v>
      </c>
      <c r="S187" s="42" t="n">
        <f aca="false">R187/$K$2</f>
        <v>88.9713169750335</v>
      </c>
      <c r="T187" s="43" t="n">
        <f aca="false">S187-$M$2</f>
        <v>-189.04748273574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7182.5</v>
      </c>
      <c r="F188" s="15" t="n">
        <f aca="false">E188*(1+IF(F$3&lt;=$O$2,$D188,$D188-($D188-$I$184)*MIN(F$3-$O$2,$Q$2)/$Q$2))</f>
        <v>7631.40625</v>
      </c>
      <c r="G188" s="15" t="n">
        <f aca="false">F188*(1+IF(G$3&lt;=$O$2,$D188,$D188-($D188-$I$184)*MIN(G$3-$O$2,$Q$2)/$Q$2))</f>
        <v>8108.369140625</v>
      </c>
      <c r="H188" s="15" t="n">
        <f aca="false">G188*(1+IF(H$3&lt;=$O$2,$D188,$D188-($D188-$I$184)*MIN(H$3-$O$2,$Q$2)/$Q$2))</f>
        <v>8615.14221191406</v>
      </c>
      <c r="I188" s="15" t="n">
        <f aca="false">H188*(1+IF(I$3&lt;=$O$2,$D188,$D188-($D188-$I$184)*MIN(I$3-$O$2,$Q$2)/$Q$2))</f>
        <v>9153.58860015869</v>
      </c>
      <c r="J188" s="15" t="n">
        <f aca="false">I188*(1+IF(J$3&lt;=$O$2,$D188,$D188-($D188-$I$184)*MIN(J$3-$O$2,$Q$2)/$Q$2))</f>
        <v>9644.77016444321</v>
      </c>
      <c r="K188" s="15" t="n">
        <f aca="false">J188*(1+IF(K$3&lt;=$O$2,$D188,$D188-($D188-$I$184)*MIN(K$3-$O$2,$Q$2)/$Q$2))</f>
        <v>10077.0487632136</v>
      </c>
      <c r="L188" s="15" t="n">
        <f aca="false">K188*(1+IF(L$3&lt;=$O$2,$D188,$D188-($D188-$I$184)*MIN(L$3-$O$2,$Q$2)/$Q$2))</f>
        <v>10439.620977714</v>
      </c>
      <c r="M188" s="15" t="n">
        <f aca="false">L188*(1+IF(M$3&lt;=$O$2,$D188,$D188-($D188-$I$184)*MIN(M$3-$O$2,$Q$2)/$Q$2))</f>
        <v>10722.9522910491</v>
      </c>
      <c r="N188" s="15" t="n">
        <f aca="false">M188*(1+IF(N$3&lt;=$O$2,$D188,$D188-($D188-$I$184)*MIN(N$3-$O$2,$Q$2)/$Q$2))</f>
        <v>10919.1823179753</v>
      </c>
      <c r="O188" s="15" t="n">
        <f aca="false">SUMPRODUCT(E188:N188,1/(1+$F$184)^$E$3:$N$3)*$E$2</f>
        <v>38923.6498625886</v>
      </c>
      <c r="P188" s="15" t="n">
        <f aca="false">N188*$E$2*(1+$I$184)/($F$184-$I$184)/(1+$F$184)^$N$3</f>
        <v>63590.31931109</v>
      </c>
      <c r="Q188" s="15" t="n">
        <f aca="false">O188+P188</f>
        <v>102513.969173679</v>
      </c>
      <c r="R188" s="15" t="n">
        <f aca="false">Q188-$G$2+$I$2</f>
        <v>100923.969173679</v>
      </c>
      <c r="S188" s="42" t="n">
        <f aca="false">R188/$K$2</f>
        <v>280.67180925991</v>
      </c>
      <c r="T188" s="43" t="n">
        <f aca="false">S188-$M$2</f>
        <v>2.65300954913675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6548.75</v>
      </c>
      <c r="F189" s="15" t="n">
        <f aca="false">E189*(1+IF(F$3&lt;=$O$2,$D189,$D189-($D189-$I$184)*MIN(F$3-$O$2,$Q$2)/$Q$2))</f>
        <v>6344.1015625</v>
      </c>
      <c r="G189" s="15" t="n">
        <f aca="false">F189*(1+IF(G$3&lt;=$O$2,$D189,$D189-($D189-$I$184)*MIN(G$3-$O$2,$Q$2)/$Q$2))</f>
        <v>6145.84838867188</v>
      </c>
      <c r="H189" s="15" t="n">
        <f aca="false">G189*(1+IF(H$3&lt;=$O$2,$D189,$D189-($D189-$I$184)*MIN(H$3-$O$2,$Q$2)/$Q$2))</f>
        <v>5953.79062652588</v>
      </c>
      <c r="I189" s="15" t="n">
        <f aca="false">H189*(1+IF(I$3&lt;=$O$2,$D189,$D189-($D189-$I$184)*MIN(I$3-$O$2,$Q$2)/$Q$2))</f>
        <v>5767.73466944695</v>
      </c>
      <c r="J189" s="15" t="n">
        <f aca="false">I189*(1+IF(J$3&lt;=$O$2,$D189,$D189-($D189-$I$184)*MIN(J$3-$O$2,$Q$2)/$Q$2))</f>
        <v>5644.65121160095</v>
      </c>
      <c r="K189" s="15" t="n">
        <f aca="false">J189*(1+IF(K$3&lt;=$O$2,$D189,$D189-($D189-$I$184)*MIN(K$3-$O$2,$Q$2)/$Q$2))</f>
        <v>5580.13284825235</v>
      </c>
      <c r="L189" s="15" t="n">
        <f aca="false">K189*(1+IF(L$3&lt;=$O$2,$D189,$D189-($D189-$I$184)*MIN(L$3-$O$2,$Q$2)/$Q$2))</f>
        <v>5571.651046323</v>
      </c>
      <c r="M189" s="15" t="n">
        <f aca="false">L189*(1+IF(M$3&lt;=$O$2,$D189,$D189-($D189-$I$184)*MIN(M$3-$O$2,$Q$2)/$Q$2))</f>
        <v>5618.39719860165</v>
      </c>
      <c r="N189" s="15" t="n">
        <f aca="false">M189*(1+IF(N$3&lt;=$O$2,$D189,$D189-($D189-$I$184)*MIN(N$3-$O$2,$Q$2)/$Q$2))</f>
        <v>5721.21386733606</v>
      </c>
      <c r="O189" s="15" t="n">
        <f aca="false">SUMPRODUCT(E189:N189,1/(1+$F$184)^$E$3:$N$3)*$E$2</f>
        <v>25737.517566781</v>
      </c>
      <c r="P189" s="15" t="n">
        <f aca="false">N189*$E$2*(1+$I$184)/($F$184-$I$184)/(1+$F$184)^$N$3</f>
        <v>33318.7784649424</v>
      </c>
      <c r="Q189" s="15" t="n">
        <f aca="false">O189+P189</f>
        <v>59056.2960317234</v>
      </c>
      <c r="R189" s="15" t="n">
        <f aca="false">Q189-$G$2+$I$2</f>
        <v>57466.2960317234</v>
      </c>
      <c r="S189" s="42" t="n">
        <f aca="false">R189/$K$2</f>
        <v>159.815050980932</v>
      </c>
      <c r="T189" s="43" t="n">
        <f aca="false">S189-$M$2</f>
        <v>-118.203748729842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41" t="n">
        <f aca="false">(B190+C190)/2</f>
        <v>0.015625</v>
      </c>
      <c r="E190" s="15" t="n">
        <f aca="false">$C$2*(1+IF(E$3&lt;=$O$2,$D190,$D190-($D190-$I$184)*MIN(E$3-$O$2,$Q$2)/$Q$2))</f>
        <v>6865.625</v>
      </c>
      <c r="F190" s="15" t="n">
        <f aca="false">E190*(1+IF(F$3&lt;=$O$2,$D190,$D190-($D190-$I$184)*MIN(F$3-$O$2,$Q$2)/$Q$2))</f>
        <v>6972.900390625</v>
      </c>
      <c r="G190" s="15" t="n">
        <f aca="false">F190*(1+IF(G$3&lt;=$O$2,$D190,$D190-($D190-$I$184)*MIN(G$3-$O$2,$Q$2)/$Q$2))</f>
        <v>7081.85195922852</v>
      </c>
      <c r="H190" s="15" t="n">
        <f aca="false">G190*(1+IF(H$3&lt;=$O$2,$D190,$D190-($D190-$I$184)*MIN(H$3-$O$2,$Q$2)/$Q$2))</f>
        <v>7192.50589609146</v>
      </c>
      <c r="I190" s="15" t="n">
        <f aca="false">H190*(1+IF(I$3&lt;=$O$2,$D190,$D190-($D190-$I$184)*MIN(I$3-$O$2,$Q$2)/$Q$2))</f>
        <v>7304.88880071789</v>
      </c>
      <c r="J190" s="15" t="n">
        <f aca="false">I190*(1+IF(J$3&lt;=$O$2,$D190,$D190-($D190-$I$184)*MIN(J$3-$O$2,$Q$2)/$Q$2))</f>
        <v>7422.93580373749</v>
      </c>
      <c r="K190" s="15" t="n">
        <f aca="false">J190*(1+IF(K$3&lt;=$O$2,$D190,$D190-($D190-$I$184)*MIN(K$3-$O$2,$Q$2)/$Q$2))</f>
        <v>7546.86171698089</v>
      </c>
      <c r="L190" s="15" t="n">
        <f aca="false">K190*(1+IF(L$3&lt;=$O$2,$D190,$D190-($D190-$I$184)*MIN(L$3-$O$2,$Q$2)/$Q$2))</f>
        <v>7676.89414436447</v>
      </c>
      <c r="M190" s="15" t="n">
        <f aca="false">L190*(1+IF(M$3&lt;=$O$2,$D190,$D190-($D190-$I$184)*MIN(M$3-$O$2,$Q$2)/$Q$2))</f>
        <v>7813.2741688391</v>
      </c>
      <c r="N190" s="15" t="n">
        <f aca="false">M190*(1+IF(N$3&lt;=$O$2,$D190,$D190-($D190-$I$184)*MIN(N$3-$O$2,$Q$2)/$Q$2))</f>
        <v>7956.25708612886</v>
      </c>
      <c r="O190" s="15" t="n">
        <f aca="false">SUMPRODUCT(E190:N190,1/(1+$F$184)^$E$3:$N$3)*$E$2</f>
        <v>31641.3517109213</v>
      </c>
      <c r="P190" s="15" t="n">
        <f aca="false">N190*$E$2*(1+$I$184)/($F$184-$I$184)/(1+$F$184)^$N$3</f>
        <v>46335.0564075818</v>
      </c>
      <c r="Q190" s="15" t="n">
        <f aca="false">O190+P190</f>
        <v>77976.4081185031</v>
      </c>
      <c r="R190" s="15" t="n">
        <f aca="false">Q190-$G$2+$I$2</f>
        <v>76386.4081185031</v>
      </c>
      <c r="S190" s="42" t="n">
        <f aca="false">R190/$K$2</f>
        <v>212.432304684641</v>
      </c>
      <c r="T190" s="43" t="n">
        <f aca="false">S190-$M$2</f>
        <v>-65.586495026133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0.015625</v>
      </c>
      <c r="C191" s="25" t="n">
        <f aca="false">IF(T190&gt;0,D190,C190)</f>
        <v>0.0625</v>
      </c>
      <c r="D191" s="41" t="n">
        <f aca="false">(B191+C191)/2</f>
        <v>0.0390625</v>
      </c>
      <c r="E191" s="15" t="n">
        <f aca="false">$C$2*(1+IF(E$3&lt;=$O$2,$D191,$D191-($D191-$I$184)*MIN(E$3-$O$2,$Q$2)/$Q$2))</f>
        <v>7024.0625</v>
      </c>
      <c r="F191" s="15" t="n">
        <f aca="false">E191*(1+IF(F$3&lt;=$O$2,$D191,$D191-($D191-$I$184)*MIN(F$3-$O$2,$Q$2)/$Q$2))</f>
        <v>7298.43994140625</v>
      </c>
      <c r="G191" s="15" t="n">
        <f aca="false">F191*(1+IF(G$3&lt;=$O$2,$D191,$D191-($D191-$I$184)*MIN(G$3-$O$2,$Q$2)/$Q$2))</f>
        <v>7583.53525161743</v>
      </c>
      <c r="H191" s="15" t="n">
        <f aca="false">G191*(1+IF(H$3&lt;=$O$2,$D191,$D191-($D191-$I$184)*MIN(H$3-$O$2,$Q$2)/$Q$2))</f>
        <v>7879.76709738374</v>
      </c>
      <c r="I191" s="15" t="n">
        <f aca="false">H191*(1+IF(I$3&lt;=$O$2,$D191,$D191-($D191-$I$184)*MIN(I$3-$O$2,$Q$2)/$Q$2))</f>
        <v>8187.57049962529</v>
      </c>
      <c r="J191" s="15" t="n">
        <f aca="false">I191*(1+IF(J$3&lt;=$O$2,$D191,$D191-($D191-$I$184)*MIN(J$3-$O$2,$Q$2)/$Q$2))</f>
        <v>8473.39858576721</v>
      </c>
      <c r="K191" s="15" t="n">
        <f aca="false">J191*(1+IF(K$3&lt;=$O$2,$D191,$D191-($D191-$I$184)*MIN(K$3-$O$2,$Q$2)/$Q$2))</f>
        <v>8734.01914276894</v>
      </c>
      <c r="L191" s="15" t="n">
        <f aca="false">K191*(1+IF(L$3&lt;=$O$2,$D191,$D191-($D191-$I$184)*MIN(L$3-$O$2,$Q$2)/$Q$2))</f>
        <v>8966.38772206231</v>
      </c>
      <c r="M191" s="15" t="n">
        <f aca="false">L191*(1+IF(M$3&lt;=$O$2,$D191,$D191-($D191-$I$184)*MIN(M$3-$O$2,$Q$2)/$Q$2))</f>
        <v>9167.70554239192</v>
      </c>
      <c r="N191" s="15" t="n">
        <f aca="false">M191*(1+IF(N$3&lt;=$O$2,$D191,$D191-($D191-$I$184)*MIN(N$3-$O$2,$Q$2)/$Q$2))</f>
        <v>9335.47455381769</v>
      </c>
      <c r="O191" s="15" t="n">
        <f aca="false">SUMPRODUCT(E191:N191,1/(1+$F$184)^$E$3:$N$3)*$E$2</f>
        <v>35092.8434331196</v>
      </c>
      <c r="P191" s="15" t="n">
        <f aca="false">N191*$E$2*(1+$I$184)/($F$184-$I$184)/(1+$F$184)^$N$3</f>
        <v>54367.2401934853</v>
      </c>
      <c r="Q191" s="15" t="n">
        <f aca="false">O191+P191</f>
        <v>89460.0836266049</v>
      </c>
      <c r="R191" s="15" t="n">
        <f aca="false">Q191-$G$2+$I$2</f>
        <v>87870.0836266049</v>
      </c>
      <c r="S191" s="42" t="n">
        <f aca="false">R191/$K$2</f>
        <v>244.368662402261</v>
      </c>
      <c r="T191" s="43" t="n">
        <f aca="false">S191-$M$2</f>
        <v>-33.6501373085131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0.0390625</v>
      </c>
      <c r="C192" s="25" t="n">
        <f aca="false">IF(T191&gt;0,D191,C191)</f>
        <v>0.0625</v>
      </c>
      <c r="D192" s="41" t="n">
        <f aca="false">(B192+C192)/2</f>
        <v>0.05078125</v>
      </c>
      <c r="E192" s="15" t="n">
        <f aca="false">$C$2*(1+IF(E$3&lt;=$O$2,$D192,$D192-($D192-$I$184)*MIN(E$3-$O$2,$Q$2)/$Q$2))</f>
        <v>7103.28125</v>
      </c>
      <c r="F192" s="15" t="n">
        <f aca="false">E192*(1+IF(F$3&lt;=$O$2,$D192,$D192-($D192-$I$184)*MIN(F$3-$O$2,$Q$2)/$Q$2))</f>
        <v>7463.99475097656</v>
      </c>
      <c r="G192" s="15" t="n">
        <f aca="false">F192*(1+IF(G$3&lt;=$O$2,$D192,$D192-($D192-$I$184)*MIN(G$3-$O$2,$Q$2)/$Q$2))</f>
        <v>7843.02573442459</v>
      </c>
      <c r="H192" s="15" t="n">
        <f aca="false">G192*(1+IF(H$3&lt;=$O$2,$D192,$D192-($D192-$I$184)*MIN(H$3-$O$2,$Q$2)/$Q$2))</f>
        <v>8241.30438500084</v>
      </c>
      <c r="I192" s="15" t="n">
        <f aca="false">H192*(1+IF(I$3&lt;=$O$2,$D192,$D192-($D192-$I$184)*MIN(I$3-$O$2,$Q$2)/$Q$2))</f>
        <v>8659.80812330166</v>
      </c>
      <c r="J192" s="15" t="n">
        <f aca="false">I192*(1+IF(J$3&lt;=$O$2,$D192,$D192-($D192-$I$184)*MIN(J$3-$O$2,$Q$2)/$Q$2))</f>
        <v>9043.30772604208</v>
      </c>
      <c r="K192" s="15" t="n">
        <f aca="false">J192*(1+IF(K$3&lt;=$O$2,$D192,$D192-($D192-$I$184)*MIN(K$3-$O$2,$Q$2)/$Q$2))</f>
        <v>9385.04302087455</v>
      </c>
      <c r="L192" s="15" t="n">
        <f aca="false">K192*(1+IF(L$3&lt;=$O$2,$D192,$D192-($D192-$I$184)*MIN(L$3-$O$2,$Q$2)/$Q$2))</f>
        <v>9678.72447960527</v>
      </c>
      <c r="M192" s="15" t="n">
        <f aca="false">L192*(1+IF(M$3&lt;=$O$2,$D192,$D192-($D192-$I$184)*MIN(M$3-$O$2,$Q$2)/$Q$2))</f>
        <v>9918.72055148268</v>
      </c>
      <c r="N192" s="15" t="n">
        <f aca="false">M192*(1+IF(N$3&lt;=$O$2,$D192,$D192-($D192-$I$184)*MIN(N$3-$O$2,$Q$2)/$Q$2))</f>
        <v>10100.2331375748</v>
      </c>
      <c r="O192" s="15" t="n">
        <f aca="false">SUMPRODUCT(E192:N192,1/(1+$F$184)^$E$3:$N$3)*$E$2</f>
        <v>36958.4983320122</v>
      </c>
      <c r="P192" s="15" t="n">
        <f aca="false">N192*$E$2*(1+$I$184)/($F$184-$I$184)/(1+$F$184)^$N$3</f>
        <v>58820.9841754825</v>
      </c>
      <c r="Q192" s="15" t="n">
        <f aca="false">O192+P192</f>
        <v>95779.4825074947</v>
      </c>
      <c r="R192" s="15" t="n">
        <f aca="false">Q192-$G$2+$I$2</f>
        <v>94189.4825074947</v>
      </c>
      <c r="S192" s="42" t="n">
        <f aca="false">R192/$K$2</f>
        <v>261.943051636617</v>
      </c>
      <c r="T192" s="43" t="n">
        <f aca="false">S192-$M$2</f>
        <v>-16.0757480741568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0.05078125</v>
      </c>
      <c r="C193" s="25" t="n">
        <f aca="false">IF(T192&gt;0,D192,C192)</f>
        <v>0.0625</v>
      </c>
      <c r="D193" s="41" t="n">
        <f aca="false">(B193+C193)/2</f>
        <v>0.056640625</v>
      </c>
      <c r="E193" s="15" t="n">
        <f aca="false">$C$2*(1+IF(E$3&lt;=$O$2,$D193,$D193-($D193-$I$184)*MIN(E$3-$O$2,$Q$2)/$Q$2))</f>
        <v>7142.890625</v>
      </c>
      <c r="F193" s="15" t="n">
        <f aca="false">E193*(1+IF(F$3&lt;=$O$2,$D193,$D193-($D193-$I$184)*MIN(F$3-$O$2,$Q$2)/$Q$2))</f>
        <v>7547.46841430664</v>
      </c>
      <c r="G193" s="15" t="n">
        <f aca="false">F193*(1+IF(G$3&lt;=$O$2,$D193,$D193-($D193-$I$184)*MIN(G$3-$O$2,$Q$2)/$Q$2))</f>
        <v>7974.96174246073</v>
      </c>
      <c r="H193" s="15" t="n">
        <f aca="false">G193*(1+IF(H$3&lt;=$O$2,$D193,$D193-($D193-$I$184)*MIN(H$3-$O$2,$Q$2)/$Q$2))</f>
        <v>8426.66855990479</v>
      </c>
      <c r="I193" s="15" t="n">
        <f aca="false">H193*(1+IF(I$3&lt;=$O$2,$D193,$D193-($D193-$I$184)*MIN(I$3-$O$2,$Q$2)/$Q$2))</f>
        <v>8903.96033380565</v>
      </c>
      <c r="J193" s="15" t="n">
        <f aca="false">I193*(1+IF(J$3&lt;=$O$2,$D193,$D193-($D193-$I$184)*MIN(J$3-$O$2,$Q$2)/$Q$2))</f>
        <v>9340.00953125295</v>
      </c>
      <c r="K193" s="15" t="n">
        <f aca="false">J193*(1+IF(K$3&lt;=$O$2,$D193,$D193-($D193-$I$184)*MIN(K$3-$O$2,$Q$2)/$Q$2))</f>
        <v>9725.79278743539</v>
      </c>
      <c r="L193" s="15" t="n">
        <f aca="false">K193*(1+IF(L$3&lt;=$O$2,$D193,$D193-($D193-$I$184)*MIN(L$3-$O$2,$Q$2)/$Q$2))</f>
        <v>10052.9319850818</v>
      </c>
      <c r="M193" s="15" t="n">
        <f aca="false">L193*(1+IF(M$3&lt;=$O$2,$D193,$D193-($D193-$I$184)*MIN(M$3-$O$2,$Q$2)/$Q$2))</f>
        <v>10313.9877794869</v>
      </c>
      <c r="N193" s="15" t="n">
        <f aca="false">M193*(1+IF(N$3&lt;=$O$2,$D193,$D193-($D193-$I$184)*MIN(N$3-$O$2,$Q$2)/$Q$2))</f>
        <v>10502.7337558515</v>
      </c>
      <c r="O193" s="15" t="n">
        <f aca="false">SUMPRODUCT(E193:N193,1/(1+$F$184)^$E$3:$N$3)*$E$2</f>
        <v>37928.3343877912</v>
      </c>
      <c r="P193" s="15" t="n">
        <f aca="false">N193*$E$2*(1+$I$184)/($F$184-$I$184)/(1+$F$184)^$N$3</f>
        <v>61165.0372459206</v>
      </c>
      <c r="Q193" s="15" t="n">
        <f aca="false">O193+P193</f>
        <v>99093.3716337118</v>
      </c>
      <c r="R193" s="15" t="n">
        <f aca="false">Q193-$G$2+$I$2</f>
        <v>97503.3716337118</v>
      </c>
      <c r="S193" s="42" t="n">
        <f aca="false">R193/$K$2</f>
        <v>271.159051208943</v>
      </c>
      <c r="T193" s="43" t="n">
        <f aca="false">S193-$M$2</f>
        <v>-6.8597485018305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0.056640625</v>
      </c>
      <c r="C194" s="25" t="n">
        <f aca="false">IF(T193&gt;0,D193,C193)</f>
        <v>0.0625</v>
      </c>
      <c r="D194" s="41" t="n">
        <f aca="false">(B194+C194)/2</f>
        <v>0.0595703125</v>
      </c>
      <c r="E194" s="15" t="n">
        <f aca="false">$C$2*(1+IF(E$3&lt;=$O$2,$D194,$D194-($D194-$I$184)*MIN(E$3-$O$2,$Q$2)/$Q$2))</f>
        <v>7162.6953125</v>
      </c>
      <c r="F194" s="15" t="n">
        <f aca="false">E194*(1+IF(F$3&lt;=$O$2,$D194,$D194-($D194-$I$184)*MIN(F$3-$O$2,$Q$2)/$Q$2))</f>
        <v>7589.37931060791</v>
      </c>
      <c r="G194" s="15" t="n">
        <f aca="false">F194*(1+IF(G$3&lt;=$O$2,$D194,$D194-($D194-$I$184)*MIN(G$3-$O$2,$Q$2)/$Q$2))</f>
        <v>8041.48100782186</v>
      </c>
      <c r="H194" s="15" t="n">
        <f aca="false">G194*(1+IF(H$3&lt;=$O$2,$D194,$D194-($D194-$I$184)*MIN(H$3-$O$2,$Q$2)/$Q$2))</f>
        <v>8520.51454442062</v>
      </c>
      <c r="I194" s="15" t="n">
        <f aca="false">H194*(1+IF(I$3&lt;=$O$2,$D194,$D194-($D194-$I$184)*MIN(I$3-$O$2,$Q$2)/$Q$2))</f>
        <v>9028.08425849255</v>
      </c>
      <c r="J194" s="15" t="n">
        <f aca="false">I194*(1+IF(J$3&lt;=$O$2,$D194,$D194-($D194-$I$184)*MIN(J$3-$O$2,$Q$2)/$Q$2))</f>
        <v>9491.37168732242</v>
      </c>
      <c r="K194" s="15" t="n">
        <f aca="false">J194*(1+IF(K$3&lt;=$O$2,$D194,$D194-($D194-$I$184)*MIN(K$3-$O$2,$Q$2)/$Q$2))</f>
        <v>9900.09091455409</v>
      </c>
      <c r="L194" s="15" t="n">
        <f aca="false">K194*(1+IF(L$3&lt;=$O$2,$D194,$D194-($D194-$I$184)*MIN(L$3-$O$2,$Q$2)/$Q$2))</f>
        <v>10244.6945166193</v>
      </c>
      <c r="M194" s="15" t="n">
        <f aca="false">L194*(1+IF(M$3&lt;=$O$2,$D194,$D194-($D194-$I$184)*MIN(M$3-$O$2,$Q$2)/$Q$2))</f>
        <v>10516.732775107</v>
      </c>
      <c r="N194" s="15" t="n">
        <f aca="false">M194*(1+IF(N$3&lt;=$O$2,$D194,$D194-($D194-$I$184)*MIN(N$3-$O$2,$Q$2)/$Q$2))</f>
        <v>10709.1889848914</v>
      </c>
      <c r="O194" s="15" t="n">
        <f aca="false">SUMPRODUCT(E194:N194,1/(1+$F$184)^$E$3:$N$3)*$E$2</f>
        <v>38422.7686709333</v>
      </c>
      <c r="P194" s="15" t="n">
        <f aca="false">N194*$E$2*(1+$I$184)/($F$184-$I$184)/(1+$F$184)^$N$3</f>
        <v>62367.3758053274</v>
      </c>
      <c r="Q194" s="15" t="n">
        <f aca="false">O194+P194</f>
        <v>100790.144476261</v>
      </c>
      <c r="R194" s="15" t="n">
        <f aca="false">Q194-$G$2+$I$2</f>
        <v>99200.1444762607</v>
      </c>
      <c r="S194" s="42" t="n">
        <f aca="false">R194/$K$2</f>
        <v>275.877814328552</v>
      </c>
      <c r="T194" s="43" t="n">
        <f aca="false">S194-$M$2</f>
        <v>-2.1409853822218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0.0595703125</v>
      </c>
      <c r="C195" s="25" t="n">
        <f aca="false">IF(T194&gt;0,D194,C194)</f>
        <v>0.0625</v>
      </c>
      <c r="D195" s="41" t="n">
        <f aca="false">(B195+C195)/2</f>
        <v>0.06103515625</v>
      </c>
      <c r="E195" s="15" t="n">
        <f aca="false">$C$2*(1+IF(E$3&lt;=$O$2,$D195,$D195-($D195-$I$184)*MIN(E$3-$O$2,$Q$2)/$Q$2))</f>
        <v>7172.59765625</v>
      </c>
      <c r="F195" s="15" t="n">
        <f aca="false">E195*(1+IF(F$3&lt;=$O$2,$D195,$D195-($D195-$I$184)*MIN(F$3-$O$2,$Q$2)/$Q$2))</f>
        <v>7610.3782749176</v>
      </c>
      <c r="G195" s="15" t="n">
        <f aca="false">F195*(1+IF(G$3&lt;=$O$2,$D195,$D195-($D195-$I$184)*MIN(G$3-$O$2,$Q$2)/$Q$2))</f>
        <v>8074.8789020488</v>
      </c>
      <c r="H195" s="15" t="n">
        <f aca="false">G195*(1+IF(H$3&lt;=$O$2,$D195,$D195-($D195-$I$184)*MIN(H$3-$O$2,$Q$2)/$Q$2))</f>
        <v>8567.73039753518</v>
      </c>
      <c r="I195" s="15" t="n">
        <f aca="false">H195*(1+IF(I$3&lt;=$O$2,$D195,$D195-($D195-$I$184)*MIN(I$3-$O$2,$Q$2)/$Q$2))</f>
        <v>9090.66316105662</v>
      </c>
      <c r="J195" s="15" t="n">
        <f aca="false">I195*(1+IF(J$3&lt;=$O$2,$D195,$D195-($D195-$I$184)*MIN(J$3-$O$2,$Q$2)/$Q$2))</f>
        <v>9567.81502538705</v>
      </c>
      <c r="K195" s="15" t="n">
        <f aca="false">J195*(1+IF(K$3&lt;=$O$2,$D195,$D195-($D195-$I$184)*MIN(K$3-$O$2,$Q$2)/$Q$2))</f>
        <v>9988.23528240024</v>
      </c>
      <c r="L195" s="15" t="n">
        <f aca="false">K195*(1+IF(L$3&lt;=$O$2,$D195,$D195-($D195-$I$184)*MIN(L$3-$O$2,$Q$2)/$Q$2))</f>
        <v>10341.7595062502</v>
      </c>
      <c r="M195" s="15" t="n">
        <f aca="false">L195*(1+IF(M$3&lt;=$O$2,$D195,$D195-($D195-$I$184)*MIN(M$3-$O$2,$Q$2)/$Q$2))</f>
        <v>10619.4050468945</v>
      </c>
      <c r="N195" s="15" t="n">
        <f aca="false">M195*(1+IF(N$3&lt;=$O$2,$D195,$D195-($D195-$I$184)*MIN(N$3-$O$2,$Q$2)/$Q$2))</f>
        <v>10813.7401592527</v>
      </c>
      <c r="O195" s="15" t="n">
        <f aca="false">SUMPRODUCT(E195:N195,1/(1+$F$184)^$E$3:$N$3)*$E$2</f>
        <v>38672.3985431405</v>
      </c>
      <c r="P195" s="15" t="n">
        <f aca="false">N195*$E$2*(1+$I$184)/($F$184-$I$184)/(1+$F$184)^$N$3</f>
        <v>62976.2531340846</v>
      </c>
      <c r="Q195" s="15" t="n">
        <f aca="false">O195+P195</f>
        <v>101648.651677225</v>
      </c>
      <c r="R195" s="15" t="n">
        <f aca="false">Q195-$G$2+$I$2</f>
        <v>100058.651677225</v>
      </c>
      <c r="S195" s="42" t="n">
        <f aca="false">R195/$K$2</f>
        <v>278.265342002406</v>
      </c>
      <c r="T195" s="43" t="n">
        <f aca="false">S195-$M$2</f>
        <v>0.246542291632011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0.0595703125</v>
      </c>
      <c r="C196" s="25" t="n">
        <f aca="false">IF(T195&gt;0,D195,C195)</f>
        <v>0.06103515625</v>
      </c>
      <c r="D196" s="41" t="n">
        <f aca="false">(B196+C196)/2</f>
        <v>0.060302734375</v>
      </c>
      <c r="E196" s="15" t="n">
        <f aca="false">$C$2*(1+IF(E$3&lt;=$O$2,$D196,$D196-($D196-$I$184)*MIN(E$3-$O$2,$Q$2)/$Q$2))</f>
        <v>7167.646484375</v>
      </c>
      <c r="F196" s="15" t="n">
        <f aca="false">E196*(1+IF(F$3&lt;=$O$2,$D196,$D196-($D196-$I$184)*MIN(F$3-$O$2,$Q$2)/$Q$2))</f>
        <v>7599.87516641617</v>
      </c>
      <c r="G196" s="15" t="n">
        <f aca="false">F196*(1+IF(G$3&lt;=$O$2,$D196,$D196-($D196-$I$184)*MIN(G$3-$O$2,$Q$2)/$Q$2))</f>
        <v>8058.16841985972</v>
      </c>
      <c r="H196" s="15" t="n">
        <f aca="false">G196*(1+IF(H$3&lt;=$O$2,$D196,$D196-($D196-$I$184)*MIN(H$3-$O$2,$Q$2)/$Q$2))</f>
        <v>8544.09800963154</v>
      </c>
      <c r="I196" s="15" t="n">
        <f aca="false">H196*(1+IF(I$3&lt;=$O$2,$D196,$D196-($D196-$I$184)*MIN(I$3-$O$2,$Q$2)/$Q$2))</f>
        <v>9059.33048238031</v>
      </c>
      <c r="J196" s="15" t="n">
        <f aca="false">I196*(1+IF(J$3&lt;=$O$2,$D196,$D196-($D196-$I$184)*MIN(J$3-$O$2,$Q$2)/$Q$2))</f>
        <v>9529.52955170128</v>
      </c>
      <c r="K196" s="15" t="n">
        <f aca="false">J196*(1+IF(K$3&lt;=$O$2,$D196,$D196-($D196-$I$184)*MIN(K$3-$O$2,$Q$2)/$Q$2))</f>
        <v>9944.07972158471</v>
      </c>
      <c r="L196" s="15" t="n">
        <f aca="false">K196*(1+IF(L$3&lt;=$O$2,$D196,$D196-($D196-$I$184)*MIN(L$3-$O$2,$Q$2)/$Q$2))</f>
        <v>10293.1277961495</v>
      </c>
      <c r="M196" s="15" t="n">
        <f aca="false">L196*(1+IF(M$3&lt;=$O$2,$D196,$D196-($D196-$I$184)*MIN(M$3-$O$2,$Q$2)/$Q$2))</f>
        <v>10567.959937361</v>
      </c>
      <c r="N196" s="15" t="n">
        <f aca="false">M196*(1+IF(N$3&lt;=$O$2,$D196,$D196-($D196-$I$184)*MIN(N$3-$O$2,$Q$2)/$Q$2))</f>
        <v>10761.3536042147</v>
      </c>
      <c r="O196" s="15" t="n">
        <f aca="false">SUMPRODUCT(E196:N196,1/(1+$F$184)^$E$3:$N$3)*$E$2</f>
        <v>38547.3815356229</v>
      </c>
      <c r="P196" s="15" t="n">
        <f aca="false">N196*$E$2*(1+$I$184)/($F$184-$I$184)/(1+$F$184)^$N$3</f>
        <v>62671.1682233775</v>
      </c>
      <c r="Q196" s="15" t="n">
        <f aca="false">O196+P196</f>
        <v>101218.549759</v>
      </c>
      <c r="R196" s="15" t="n">
        <f aca="false">Q196-$G$2+$I$2</f>
        <v>99628.5497590005</v>
      </c>
      <c r="S196" s="42" t="n">
        <f aca="false">R196/$K$2</f>
        <v>277.069218974916</v>
      </c>
      <c r="T196" s="43" t="n">
        <f aca="false">S196-$M$2</f>
        <v>-0.949580735857239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0.060302734375</v>
      </c>
      <c r="C197" s="25" t="n">
        <f aca="false">IF(T196&gt;0,D196,C196)</f>
        <v>0.06103515625</v>
      </c>
      <c r="D197" s="41" t="n">
        <f aca="false">(B197+C197)/2</f>
        <v>0.0606689453125</v>
      </c>
      <c r="E197" s="15" t="n">
        <f aca="false">$C$2*(1+IF(E$3&lt;=$O$2,$D197,$D197-($D197-$I$184)*MIN(E$3-$O$2,$Q$2)/$Q$2))</f>
        <v>7170.1220703125</v>
      </c>
      <c r="F197" s="15" t="n">
        <f aca="false">E197*(1+IF(F$3&lt;=$O$2,$D197,$D197-($D197-$I$184)*MIN(F$3-$O$2,$Q$2)/$Q$2))</f>
        <v>7605.12581408024</v>
      </c>
      <c r="G197" s="15" t="n">
        <f aca="false">F197*(1+IF(G$3&lt;=$O$2,$D197,$D197-($D197-$I$184)*MIN(G$3-$O$2,$Q$2)/$Q$2))</f>
        <v>8066.52077618935</v>
      </c>
      <c r="H197" s="15" t="n">
        <f aca="false">G197*(1+IF(H$3&lt;=$O$2,$D197,$D197-($D197-$I$184)*MIN(H$3-$O$2,$Q$2)/$Q$2))</f>
        <v>8555.90808402213</v>
      </c>
      <c r="I197" s="15" t="n">
        <f aca="false">H197*(1+IF(I$3&lt;=$O$2,$D197,$D197-($D197-$I$184)*MIN(I$3-$O$2,$Q$2)/$Q$2))</f>
        <v>9074.98600367045</v>
      </c>
      <c r="J197" s="15" t="n">
        <f aca="false">I197*(1+IF(J$3&lt;=$O$2,$D197,$D197-($D197-$I$184)*MIN(J$3-$O$2,$Q$2)/$Q$2))</f>
        <v>9548.65631609859</v>
      </c>
      <c r="K197" s="15" t="n">
        <f aca="false">J197*(1+IF(K$3&lt;=$O$2,$D197,$D197-($D197-$I$184)*MIN(K$3-$O$2,$Q$2)/$Q$2))</f>
        <v>9966.13662504198</v>
      </c>
      <c r="L197" s="15" t="n">
        <f aca="false">K197*(1+IF(L$3&lt;=$O$2,$D197,$D197-($D197-$I$184)*MIN(L$3-$O$2,$Q$2)/$Q$2))</f>
        <v>10317.4188043376</v>
      </c>
      <c r="M197" s="15" t="n">
        <f aca="false">L197*(1+IF(M$3&lt;=$O$2,$D197,$D197-($D197-$I$184)*MIN(M$3-$O$2,$Q$2)/$Q$2))</f>
        <v>10593.6551990744</v>
      </c>
      <c r="N197" s="15" t="n">
        <f aca="false">M197*(1+IF(N$3&lt;=$O$2,$D197,$D197-($D197-$I$184)*MIN(N$3-$O$2,$Q$2)/$Q$2))</f>
        <v>10787.5190892174</v>
      </c>
      <c r="O197" s="15" t="n">
        <f aca="false">SUMPRODUCT(E197:N197,1/(1+$F$184)^$E$3:$N$3)*$E$2</f>
        <v>38609.8394454661</v>
      </c>
      <c r="P197" s="15" t="n">
        <f aca="false">N197*$E$2*(1+$I$184)/($F$184-$I$184)/(1+$F$184)^$N$3</f>
        <v>62823.5488227485</v>
      </c>
      <c r="Q197" s="15" t="n">
        <f aca="false">O197+P197</f>
        <v>101433.388268215</v>
      </c>
      <c r="R197" s="15" t="n">
        <f aca="false">Q197-$G$2+$I$2</f>
        <v>99843.3882682146</v>
      </c>
      <c r="S197" s="42" t="n">
        <f aca="false">R197/$K$2</f>
        <v>277.666689660756</v>
      </c>
      <c r="T197" s="43" t="n">
        <f aca="false">S197-$M$2</f>
        <v>-0.352110050017757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0.0606689453125</v>
      </c>
      <c r="C198" s="25" t="n">
        <f aca="false">IF(T197&gt;0,D197,C197)</f>
        <v>0.06103515625</v>
      </c>
      <c r="D198" s="41" t="n">
        <f aca="false">(B198+C198)/2</f>
        <v>0.06085205078125</v>
      </c>
      <c r="E198" s="15" t="n">
        <f aca="false">$C$2*(1+IF(E$3&lt;=$O$2,$D198,$D198-($D198-$I$184)*MIN(E$3-$O$2,$Q$2)/$Q$2))</f>
        <v>7171.35986328125</v>
      </c>
      <c r="F198" s="15" t="n">
        <f aca="false">E198*(1+IF(F$3&lt;=$O$2,$D198,$D198-($D198-$I$184)*MIN(F$3-$O$2,$Q$2)/$Q$2))</f>
        <v>7607.75181785226</v>
      </c>
      <c r="G198" s="15" t="n">
        <f aca="false">F198*(1+IF(G$3&lt;=$O$2,$D198,$D198-($D198-$I$184)*MIN(G$3-$O$2,$Q$2)/$Q$2))</f>
        <v>8070.69911780335</v>
      </c>
      <c r="H198" s="15" t="n">
        <f aca="false">G198*(1+IF(H$3&lt;=$O$2,$D198,$D198-($D198-$I$184)*MIN(H$3-$O$2,$Q$2)/$Q$2))</f>
        <v>8561.81771036011</v>
      </c>
      <c r="I198" s="15" t="n">
        <f aca="false">H198*(1+IF(I$3&lt;=$O$2,$D198,$D198-($D198-$I$184)*MIN(I$3-$O$2,$Q$2)/$Q$2))</f>
        <v>9082.82187645075</v>
      </c>
      <c r="J198" s="15" t="n">
        <f aca="false">I198*(1+IF(J$3&lt;=$O$2,$D198,$D198-($D198-$I$184)*MIN(J$3-$O$2,$Q$2)/$Q$2))</f>
        <v>9558.23167496882</v>
      </c>
      <c r="K198" s="15" t="n">
        <f aca="false">J198*(1+IF(K$3&lt;=$O$2,$D198,$D198-($D198-$I$184)*MIN(K$3-$O$2,$Q$2)/$Q$2))</f>
        <v>9977.18073038809</v>
      </c>
      <c r="L198" s="15" t="n">
        <f aca="false">K198*(1+IF(L$3&lt;=$O$2,$D198,$D198-($D198-$I$184)*MIN(L$3-$O$2,$Q$2)/$Q$2))</f>
        <v>10329.5829381915</v>
      </c>
      <c r="M198" s="15" t="n">
        <f aca="false">L198*(1+IF(M$3&lt;=$O$2,$D198,$D198-($D198-$I$184)*MIN(M$3-$O$2,$Q$2)/$Q$2))</f>
        <v>10606.5232935074</v>
      </c>
      <c r="N198" s="15" t="n">
        <f aca="false">M198*(1+IF(N$3&lt;=$O$2,$D198,$D198-($D198-$I$184)*MIN(N$3-$O$2,$Q$2)/$Q$2))</f>
        <v>10800.6226697786</v>
      </c>
      <c r="O198" s="15" t="n">
        <f aca="false">SUMPRODUCT(E198:N198,1/(1+$F$184)^$E$3:$N$3)*$E$2</f>
        <v>38641.1063363058</v>
      </c>
      <c r="P198" s="15" t="n">
        <f aca="false">N198*$E$2*(1+$I$184)/($F$184-$I$184)/(1+$F$184)^$N$3</f>
        <v>62899.8604775717</v>
      </c>
      <c r="Q198" s="15" t="n">
        <f aca="false">O198+P198</f>
        <v>101540.966813877</v>
      </c>
      <c r="R198" s="15" t="n">
        <f aca="false">Q198-$G$2+$I$2</f>
        <v>99950.9668138775</v>
      </c>
      <c r="S198" s="42" t="n">
        <f aca="false">R198/$K$2</f>
        <v>277.965867995655</v>
      </c>
      <c r="T198" s="43" t="n">
        <f aca="false">S198-$M$2</f>
        <v>-0.0529317151191435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0.06085205078125</v>
      </c>
      <c r="C199" s="25" t="n">
        <f aca="false">IF(T198&gt;0,D198,C198)</f>
        <v>0.06103515625</v>
      </c>
      <c r="D199" s="41" t="n">
        <f aca="false">(B199+C199)/2</f>
        <v>0.060943603515625</v>
      </c>
      <c r="E199" s="15" t="n">
        <f aca="false">$C$2*(1+IF(E$3&lt;=$O$2,$D199,$D199-($D199-$I$184)*MIN(E$3-$O$2,$Q$2)/$Q$2))</f>
        <v>7171.97875976563</v>
      </c>
      <c r="F199" s="15" t="n">
        <f aca="false">E199*(1+IF(F$3&lt;=$O$2,$D199,$D199-($D199-$I$184)*MIN(F$3-$O$2,$Q$2)/$Q$2))</f>
        <v>7609.06498972327</v>
      </c>
      <c r="G199" s="15" t="n">
        <f aca="false">F199*(1+IF(G$3&lt;=$O$2,$D199,$D199-($D199-$I$184)*MIN(G$3-$O$2,$Q$2)/$Q$2))</f>
        <v>8072.78882958158</v>
      </c>
      <c r="H199" s="15" t="n">
        <f aca="false">G199*(1+IF(H$3&lt;=$O$2,$D199,$D199-($D199-$I$184)*MIN(H$3-$O$2,$Q$2)/$Q$2))</f>
        <v>8564.77367127697</v>
      </c>
      <c r="I199" s="15" t="n">
        <f aca="false">H199*(1+IF(I$3&lt;=$O$2,$D199,$D199-($D199-$I$184)*MIN(I$3-$O$2,$Q$2)/$Q$2))</f>
        <v>9086.74184210034</v>
      </c>
      <c r="J199" s="15" t="n">
        <f aca="false">I199*(1+IF(J$3&lt;=$O$2,$D199,$D199-($D199-$I$184)*MIN(J$3-$O$2,$Q$2)/$Q$2))</f>
        <v>9563.02235090147</v>
      </c>
      <c r="K199" s="15" t="n">
        <f aca="false">J199*(1+IF(K$3&lt;=$O$2,$D199,$D199-($D199-$I$184)*MIN(K$3-$O$2,$Q$2)/$Q$2))</f>
        <v>9982.7067000487</v>
      </c>
      <c r="L199" s="15" t="n">
        <f aca="false">K199*(1+IF(L$3&lt;=$O$2,$D199,$D199-($D199-$I$184)*MIN(L$3-$O$2,$Q$2)/$Q$2))</f>
        <v>10335.6696672715</v>
      </c>
      <c r="M199" s="15" t="n">
        <f aca="false">L199*(1+IF(M$3&lt;=$O$2,$D199,$D199-($D199-$I$184)*MIN(M$3-$O$2,$Q$2)/$Q$2))</f>
        <v>10612.9624620544</v>
      </c>
      <c r="N199" s="15" t="n">
        <f aca="false">M199*(1+IF(N$3&lt;=$O$2,$D199,$D199-($D199-$I$184)*MIN(N$3-$O$2,$Q$2)/$Q$2))</f>
        <v>10807.17967511</v>
      </c>
      <c r="O199" s="15" t="n">
        <f aca="false">SUMPRODUCT(E199:N199,1/(1+$F$184)^$E$3:$N$3)*$E$2</f>
        <v>38656.7492740332</v>
      </c>
      <c r="P199" s="15" t="n">
        <f aca="false">N199*$E$2*(1+$I$184)/($F$184-$I$184)/(1+$F$184)^$N$3</f>
        <v>62938.0466760077</v>
      </c>
      <c r="Q199" s="15" t="n">
        <f aca="false">O199+P199</f>
        <v>101594.795950041</v>
      </c>
      <c r="R199" s="15" t="n">
        <f aca="false">Q199-$G$2+$I$2</f>
        <v>100004.795950041</v>
      </c>
      <c r="S199" s="42" t="n">
        <f aca="false">R199/$K$2</f>
        <v>278.115568023919</v>
      </c>
      <c r="T199" s="43" t="n">
        <f aca="false">S199-$M$2</f>
        <v>0.0967683131456738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0.06085205078125</v>
      </c>
      <c r="C200" s="25" t="n">
        <f aca="false">IF(T199&gt;0,D199,C199)</f>
        <v>0.060943603515625</v>
      </c>
      <c r="D200" s="41" t="n">
        <f aca="false">(B200+C200)/2</f>
        <v>0.0608978271484375</v>
      </c>
      <c r="E200" s="15" t="n">
        <f aca="false">$C$2*(1+IF(E$3&lt;=$O$2,$D200,$D200-($D200-$I$184)*MIN(E$3-$O$2,$Q$2)/$Q$2))</f>
        <v>7171.66931152344</v>
      </c>
      <c r="F200" s="15" t="n">
        <f aca="false">E200*(1+IF(F$3&lt;=$O$2,$D200,$D200-($D200-$I$184)*MIN(F$3-$O$2,$Q$2)/$Q$2))</f>
        <v>7608.40838962235</v>
      </c>
      <c r="G200" s="15" t="n">
        <f aca="false">F200*(1+IF(G$3&lt;=$O$2,$D200,$D200-($D200-$I$184)*MIN(G$3-$O$2,$Q$2)/$Q$2))</f>
        <v>8071.74392860829</v>
      </c>
      <c r="H200" s="15" t="n">
        <f aca="false">G200*(1+IF(H$3&lt;=$O$2,$D200,$D200-($D200-$I$184)*MIN(H$3-$O$2,$Q$2)/$Q$2))</f>
        <v>8563.29559515913</v>
      </c>
      <c r="I200" s="15" t="n">
        <f aca="false">H200*(1+IF(I$3&lt;=$O$2,$D200,$D200-($D200-$I$184)*MIN(I$3-$O$2,$Q$2)/$Q$2))</f>
        <v>9084.7816901341</v>
      </c>
      <c r="J200" s="15" t="n">
        <f aca="false">I200*(1+IF(J$3&lt;=$O$2,$D200,$D200-($D200-$I$184)*MIN(J$3-$O$2,$Q$2)/$Q$2))</f>
        <v>9560.62676315766</v>
      </c>
      <c r="K200" s="15" t="n">
        <f aca="false">J200*(1+IF(K$3&lt;=$O$2,$D200,$D200-($D200-$I$184)*MIN(K$3-$O$2,$Q$2)/$Q$2))</f>
        <v>9979.94338869607</v>
      </c>
      <c r="L200" s="15" t="n">
        <f aca="false">K200*(1+IF(L$3&lt;=$O$2,$D200,$D200-($D200-$I$184)*MIN(L$3-$O$2,$Q$2)/$Q$2))</f>
        <v>10332.6259140784</v>
      </c>
      <c r="M200" s="15" t="n">
        <f aca="false">L200*(1+IF(M$3&lt;=$O$2,$D200,$D200-($D200-$I$184)*MIN(M$3-$O$2,$Q$2)/$Q$2))</f>
        <v>10609.7424508415</v>
      </c>
      <c r="N200" s="15" t="n">
        <f aca="false">M200*(1+IF(N$3&lt;=$O$2,$D200,$D200-($D200-$I$184)*MIN(N$3-$O$2,$Q$2)/$Q$2))</f>
        <v>10803.9007376919</v>
      </c>
      <c r="O200" s="15" t="n">
        <f aca="false">SUMPRODUCT(E200:N200,1/(1+$F$184)^$E$3:$N$3)*$E$2</f>
        <v>38648.9270138959</v>
      </c>
      <c r="P200" s="15" t="n">
        <f aca="false">N200*$E$2*(1+$I$184)/($F$184-$I$184)/(1+$F$184)^$N$3</f>
        <v>62918.9510449109</v>
      </c>
      <c r="Q200" s="15" t="n">
        <f aca="false">O200+P200</f>
        <v>101567.878058807</v>
      </c>
      <c r="R200" s="15" t="n">
        <f aca="false">Q200-$G$2+$I$2</f>
        <v>99977.8780588068</v>
      </c>
      <c r="S200" s="42" t="n">
        <f aca="false">R200/$K$2</f>
        <v>278.040708768026</v>
      </c>
      <c r="T200" s="43" t="n">
        <f aca="false">S200-$M$2</f>
        <v>0.0219090572522873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0.06085205078125</v>
      </c>
      <c r="C201" s="25" t="n">
        <f aca="false">IF(T200&gt;0,D200,C200)</f>
        <v>0.0608978271484375</v>
      </c>
      <c r="D201" s="41" t="n">
        <f aca="false">(B201+C201)/2</f>
        <v>0.0608749389648438</v>
      </c>
      <c r="E201" s="15" t="n">
        <f aca="false">$C$2*(1+IF(E$3&lt;=$O$2,$D201,$D201-($D201-$I$184)*MIN(E$3-$O$2,$Q$2)/$Q$2))</f>
        <v>7171.51458740234</v>
      </c>
      <c r="F201" s="15" t="n">
        <f aca="false">E201*(1+IF(F$3&lt;=$O$2,$D201,$D201-($D201-$I$184)*MIN(F$3-$O$2,$Q$2)/$Q$2))</f>
        <v>7608.08010019595</v>
      </c>
      <c r="G201" s="15" t="n">
        <f aca="false">F201*(1+IF(G$3&lt;=$O$2,$D201,$D201-($D201-$I$184)*MIN(G$3-$O$2,$Q$2)/$Q$2))</f>
        <v>8071.22151193502</v>
      </c>
      <c r="H201" s="15" t="n">
        <f aca="false">G201*(1+IF(H$3&lt;=$O$2,$D201,$D201-($D201-$I$184)*MIN(H$3-$O$2,$Q$2)/$Q$2))</f>
        <v>8562.5566288458</v>
      </c>
      <c r="I201" s="15" t="n">
        <f aca="false">H201*(1+IF(I$3&lt;=$O$2,$D201,$D201-($D201-$I$184)*MIN(I$3-$O$2,$Q$2)/$Q$2))</f>
        <v>9083.8017410098</v>
      </c>
      <c r="J201" s="15" t="n">
        <f aca="false">I201*(1+IF(J$3&lt;=$O$2,$D201,$D201-($D201-$I$184)*MIN(J$3-$O$2,$Q$2)/$Q$2))</f>
        <v>9559.42915662407</v>
      </c>
      <c r="K201" s="15" t="n">
        <f aca="false">J201*(1+IF(K$3&lt;=$O$2,$D201,$D201-($D201-$I$184)*MIN(K$3-$O$2,$Q$2)/$Q$2))</f>
        <v>9978.5619779195</v>
      </c>
      <c r="L201" s="15" t="n">
        <f aca="false">K201*(1+IF(L$3&lt;=$O$2,$D201,$D201-($D201-$I$184)*MIN(L$3-$O$2,$Q$2)/$Q$2))</f>
        <v>10331.1043289822</v>
      </c>
      <c r="M201" s="15" t="n">
        <f aca="false">L201*(1+IF(M$3&lt;=$O$2,$D201,$D201-($D201-$I$184)*MIN(M$3-$O$2,$Q$2)/$Q$2))</f>
        <v>10608.1327654517</v>
      </c>
      <c r="N201" s="15" t="n">
        <f aca="false">M201*(1+IF(N$3&lt;=$O$2,$D201,$D201-($D201-$I$184)*MIN(N$3-$O$2,$Q$2)/$Q$2))</f>
        <v>10802.2615950595</v>
      </c>
      <c r="O201" s="15" t="n">
        <f aca="false">SUMPRODUCT(E201:N201,1/(1+$F$184)^$E$3:$N$3)*$E$2</f>
        <v>38645.016477301</v>
      </c>
      <c r="P201" s="15" t="n">
        <f aca="false">N201*$E$2*(1+$I$184)/($F$184-$I$184)/(1+$F$184)^$N$3</f>
        <v>62909.4051283436</v>
      </c>
      <c r="Q201" s="15" t="n">
        <f aca="false">O201+P201</f>
        <v>101554.421605645</v>
      </c>
      <c r="R201" s="15" t="n">
        <f aca="false">Q201-$G$2+$I$2</f>
        <v>99964.4216056446</v>
      </c>
      <c r="S201" s="42" t="n">
        <f aca="false">R201/$K$2</f>
        <v>278.003286071652</v>
      </c>
      <c r="T201" s="43" t="n">
        <f aca="false">S201-$M$2</f>
        <v>-0.0155136391217638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0.0608749389648438</v>
      </c>
      <c r="C202" s="25" t="n">
        <f aca="false">IF(T201&gt;0,D201,C201)</f>
        <v>0.0608978271484375</v>
      </c>
      <c r="D202" s="41" t="n">
        <f aca="false">(B202+C202)/2</f>
        <v>0.0608863830566406</v>
      </c>
      <c r="E202" s="15" t="n">
        <f aca="false">$C$2*(1+IF(E$3&lt;=$O$2,$D202,$D202-($D202-$I$184)*MIN(E$3-$O$2,$Q$2)/$Q$2))</f>
        <v>7171.59194946289</v>
      </c>
      <c r="F202" s="15" t="n">
        <f aca="false">E202*(1+IF(F$3&lt;=$O$2,$D202,$D202-($D202-$I$184)*MIN(F$3-$O$2,$Q$2)/$Q$2))</f>
        <v>7608.24424402381</v>
      </c>
      <c r="G202" s="15" t="n">
        <f aca="false">F202*(1+IF(G$3&lt;=$O$2,$D202,$D202-($D202-$I$184)*MIN(G$3-$O$2,$Q$2)/$Q$2))</f>
        <v>8071.48271745392</v>
      </c>
      <c r="H202" s="15" t="n">
        <f aca="false">G202*(1+IF(H$3&lt;=$O$2,$D202,$D202-($D202-$I$184)*MIN(H$3-$O$2,$Q$2)/$Q$2))</f>
        <v>8562.92610602388</v>
      </c>
      <c r="I202" s="15" t="n">
        <f aca="false">H202*(1+IF(I$3&lt;=$O$2,$D202,$D202-($D202-$I$184)*MIN(I$3-$O$2,$Q$2)/$Q$2))</f>
        <v>9084.29170500096</v>
      </c>
      <c r="J202" s="15" t="n">
        <f aca="false">I202*(1+IF(J$3&lt;=$O$2,$D202,$D202-($D202-$I$184)*MIN(J$3-$O$2,$Q$2)/$Q$2))</f>
        <v>9560.02794428042</v>
      </c>
      <c r="K202" s="15" t="n">
        <f aca="false">J202*(1+IF(K$3&lt;=$O$2,$D202,$D202-($D202-$I$184)*MIN(K$3-$O$2,$Q$2)/$Q$2))</f>
        <v>9979.25266290114</v>
      </c>
      <c r="L202" s="15" t="n">
        <f aca="false">K202*(1+IF(L$3&lt;=$O$2,$D202,$D202-($D202-$I$184)*MIN(L$3-$O$2,$Q$2)/$Q$2))</f>
        <v>10331.8650972408</v>
      </c>
      <c r="M202" s="15" t="n">
        <f aca="false">L202*(1+IF(M$3&lt;=$O$2,$D202,$D202-($D202-$I$184)*MIN(M$3-$O$2,$Q$2)/$Q$2))</f>
        <v>10608.9375814644</v>
      </c>
      <c r="N202" s="15" t="n">
        <f aca="false">M202*(1+IF(N$3&lt;=$O$2,$D202,$D202-($D202-$I$184)*MIN(N$3-$O$2,$Q$2)/$Q$2))</f>
        <v>10803.0811392052</v>
      </c>
      <c r="O202" s="15" t="n">
        <f aca="false">SUMPRODUCT(E202:N202,1/(1+$F$184)^$E$3:$N$3)*$E$2</f>
        <v>38646.9716961461</v>
      </c>
      <c r="P202" s="15" t="n">
        <f aca="false">N202*$E$2*(1+$I$184)/($F$184-$I$184)/(1+$F$184)^$N$3</f>
        <v>62914.1779283938</v>
      </c>
      <c r="Q202" s="15" t="n">
        <f aca="false">O202+P202</f>
        <v>101561.14962454</v>
      </c>
      <c r="R202" s="15" t="n">
        <f aca="false">Q202-$G$2+$I$2</f>
        <v>99971.14962454</v>
      </c>
      <c r="S202" s="42" t="n">
        <f aca="false">R202/$K$2</f>
        <v>278.02199684226</v>
      </c>
      <c r="T202" s="43" t="n">
        <f aca="false">S202-$M$2</f>
        <v>0.00319713148667233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0.0608749389648438</v>
      </c>
      <c r="C203" s="25" t="n">
        <f aca="false">IF(T202&gt;0,D202,C202)</f>
        <v>0.0608863830566406</v>
      </c>
      <c r="D203" s="41" t="n">
        <f aca="false">(B203+C203)/2</f>
        <v>0.0608806610107422</v>
      </c>
      <c r="E203" s="15" t="n">
        <f aca="false">$C$2*(1+IF(E$3&lt;=$O$2,$D203,$D203-($D203-$I$184)*MIN(E$3-$O$2,$Q$2)/$Q$2))</f>
        <v>7171.55326843262</v>
      </c>
      <c r="F203" s="15" t="n">
        <f aca="false">E203*(1+IF(F$3&lt;=$O$2,$D203,$D203-($D203-$I$184)*MIN(F$3-$O$2,$Q$2)/$Q$2))</f>
        <v>7608.16217188854</v>
      </c>
      <c r="G203" s="15" t="n">
        <f aca="false">F203*(1+IF(G$3&lt;=$O$2,$D203,$D203-($D203-$I$184)*MIN(G$3-$O$2,$Q$2)/$Q$2))</f>
        <v>8071.35211399004</v>
      </c>
      <c r="H203" s="15" t="n">
        <f aca="false">G203*(1+IF(H$3&lt;=$O$2,$D203,$D203-($D203-$I$184)*MIN(H$3-$O$2,$Q$2)/$Q$2))</f>
        <v>8562.74136594021</v>
      </c>
      <c r="I203" s="15" t="n">
        <f aca="false">H203*(1+IF(I$3&lt;=$O$2,$D203,$D203-($D203-$I$184)*MIN(I$3-$O$2,$Q$2)/$Q$2))</f>
        <v>9084.04672036267</v>
      </c>
      <c r="J203" s="15" t="n">
        <f aca="false">I203*(1+IF(J$3&lt;=$O$2,$D203,$D203-($D203-$I$184)*MIN(J$3-$O$2,$Q$2)/$Q$2))</f>
        <v>9559.72854654972</v>
      </c>
      <c r="K203" s="15" t="n">
        <f aca="false">J203*(1+IF(K$3&lt;=$O$2,$D203,$D203-($D203-$I$184)*MIN(K$3-$O$2,$Q$2)/$Q$2))</f>
        <v>9978.90731530879</v>
      </c>
      <c r="L203" s="15" t="n">
        <f aca="false">K203*(1+IF(L$3&lt;=$O$2,$D203,$D203-($D203-$I$184)*MIN(L$3-$O$2,$Q$2)/$Q$2))</f>
        <v>10331.4847070392</v>
      </c>
      <c r="M203" s="15" t="n">
        <f aca="false">L203*(1+IF(M$3&lt;=$O$2,$D203,$D203-($D203-$I$184)*MIN(M$3-$O$2,$Q$2)/$Q$2))</f>
        <v>10608.5351667877</v>
      </c>
      <c r="N203" s="15" t="n">
        <f aca="false">M203*(1+IF(N$3&lt;=$O$2,$D203,$D203-($D203-$I$184)*MIN(N$3-$O$2,$Q$2)/$Q$2))</f>
        <v>10802.6713603399</v>
      </c>
      <c r="O203" s="15" t="n">
        <f aca="false">SUMPRODUCT(E203:N203,1/(1+$F$184)^$E$3:$N$3)*$E$2</f>
        <v>38645.9940743608</v>
      </c>
      <c r="P203" s="15" t="n">
        <f aca="false">N203*$E$2*(1+$I$184)/($F$184-$I$184)/(1+$F$184)^$N$3</f>
        <v>62911.7914888115</v>
      </c>
      <c r="Q203" s="15" t="n">
        <f aca="false">O203+P203</f>
        <v>101557.785563172</v>
      </c>
      <c r="R203" s="15" t="n">
        <f aca="false">Q203-$G$2+$I$2</f>
        <v>99967.7855631723</v>
      </c>
      <c r="S203" s="42" t="n">
        <f aca="false">R203/$K$2</f>
        <v>278.012641312566</v>
      </c>
      <c r="T203" s="43" t="n">
        <f aca="false">S203-$M$2</f>
        <v>-0.00615839820818565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0.0608806610107422</v>
      </c>
      <c r="C204" s="25" t="n">
        <f aca="false">IF(T203&gt;0,D203,C203)</f>
        <v>0.0608863830566406</v>
      </c>
      <c r="D204" s="41" t="n">
        <f aca="false">(B204+C204)/2</f>
        <v>0.0608835220336914</v>
      </c>
      <c r="E204" s="15" t="n">
        <f aca="false">$C$2*(1+IF(E$3&lt;=$O$2,$D204,$D204-($D204-$I$184)*MIN(E$3-$O$2,$Q$2)/$Q$2))</f>
        <v>7171.57260894775</v>
      </c>
      <c r="F204" s="15" t="n">
        <f aca="false">E204*(1+IF(F$3&lt;=$O$2,$D204,$D204-($D204-$I$184)*MIN(F$3-$O$2,$Q$2)/$Q$2))</f>
        <v>7608.20320790084</v>
      </c>
      <c r="G204" s="15" t="n">
        <f aca="false">F204*(1+IF(G$3&lt;=$O$2,$D204,$D204-($D204-$I$184)*MIN(G$3-$O$2,$Q$2)/$Q$2))</f>
        <v>8071.41741554588</v>
      </c>
      <c r="H204" s="15" t="n">
        <f aca="false">G204*(1+IF(H$3&lt;=$O$2,$D204,$D204-($D204-$I$184)*MIN(H$3-$O$2,$Q$2)/$Q$2))</f>
        <v>8562.83373560838</v>
      </c>
      <c r="I204" s="15" t="n">
        <f aca="false">H204*(1+IF(I$3&lt;=$O$2,$D204,$D204-($D204-$I$184)*MIN(I$3-$O$2,$Q$2)/$Q$2))</f>
        <v>9084.16921202113</v>
      </c>
      <c r="J204" s="15" t="n">
        <f aca="false">I204*(1+IF(J$3&lt;=$O$2,$D204,$D204-($D204-$I$184)*MIN(J$3-$O$2,$Q$2)/$Q$2))</f>
        <v>9559.87824443943</v>
      </c>
      <c r="K204" s="15" t="n">
        <f aca="false">J204*(1+IF(K$3&lt;=$O$2,$D204,$D204-($D204-$I$184)*MIN(K$3-$O$2,$Q$2)/$Q$2))</f>
        <v>9979.07998782956</v>
      </c>
      <c r="L204" s="15" t="n">
        <f aca="false">K204*(1+IF(L$3&lt;=$O$2,$D204,$D204-($D204-$I$184)*MIN(L$3-$O$2,$Q$2)/$Q$2))</f>
        <v>10331.6749006219</v>
      </c>
      <c r="M204" s="15" t="n">
        <f aca="false">L204*(1+IF(M$3&lt;=$O$2,$D204,$D204-($D204-$I$184)*MIN(M$3-$O$2,$Q$2)/$Q$2))</f>
        <v>10608.7363724584</v>
      </c>
      <c r="N204" s="15" t="n">
        <f aca="false">M204*(1+IF(N$3&lt;=$O$2,$D204,$D204-($D204-$I$184)*MIN(N$3-$O$2,$Q$2)/$Q$2))</f>
        <v>10802.8762480744</v>
      </c>
      <c r="O204" s="15" t="n">
        <f aca="false">SUMPRODUCT(E204:N204,1/(1+$F$184)^$E$3:$N$3)*$E$2</f>
        <v>38646.4828821627</v>
      </c>
      <c r="P204" s="15" t="n">
        <f aca="false">N204*$E$2*(1+$I$184)/($F$184-$I$184)/(1+$F$184)^$N$3</f>
        <v>62912.9846987132</v>
      </c>
      <c r="Q204" s="15" t="n">
        <f aca="false">O204+P204</f>
        <v>101559.467580876</v>
      </c>
      <c r="R204" s="15" t="n">
        <f aca="false">Q204-$G$2+$I$2</f>
        <v>99969.467580876</v>
      </c>
      <c r="S204" s="42" t="n">
        <f aca="false">R204/$K$2</f>
        <v>278.017319041315</v>
      </c>
      <c r="T204" s="43" t="n">
        <f aca="false">S204-$M$2</f>
        <v>-0.00148066945894243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0.0608835220336914</v>
      </c>
      <c r="C205" s="25" t="n">
        <f aca="false">IF(T204&gt;0,D204,C204)</f>
        <v>0.0608863830566406</v>
      </c>
      <c r="D205" s="41" t="n">
        <f aca="false">(B205+C205)/2</f>
        <v>0.060884952545166</v>
      </c>
      <c r="E205" s="15" t="n">
        <f aca="false">$C$2*(1+IF(E$3&lt;=$O$2,$D205,$D205-($D205-$I$184)*MIN(E$3-$O$2,$Q$2)/$Q$2))</f>
        <v>7171.58227920532</v>
      </c>
      <c r="F205" s="15" t="n">
        <f aca="false">E205*(1+IF(F$3&lt;=$O$2,$D205,$D205-($D205-$I$184)*MIN(F$3-$O$2,$Q$2)/$Q$2))</f>
        <v>7608.22372594849</v>
      </c>
      <c r="G205" s="15" t="n">
        <f aca="false">F205*(1+IF(G$3&lt;=$O$2,$D205,$D205-($D205-$I$184)*MIN(G$3-$O$2,$Q$2)/$Q$2))</f>
        <v>8071.45006645587</v>
      </c>
      <c r="H205" s="15" t="n">
        <f aca="false">G205*(1+IF(H$3&lt;=$O$2,$D205,$D205-($D205-$I$184)*MIN(H$3-$O$2,$Q$2)/$Q$2))</f>
        <v>8562.87992072272</v>
      </c>
      <c r="I205" s="15" t="n">
        <f aca="false">H205*(1+IF(I$3&lt;=$O$2,$D205,$D205-($D205-$I$184)*MIN(I$3-$O$2,$Q$2)/$Q$2))</f>
        <v>9084.23045834587</v>
      </c>
      <c r="J205" s="15" t="n">
        <f aca="false">I205*(1+IF(J$3&lt;=$O$2,$D205,$D205-($D205-$I$184)*MIN(J$3-$O$2,$Q$2)/$Q$2))</f>
        <v>9559.95309411601</v>
      </c>
      <c r="K205" s="15" t="n">
        <f aca="false">J205*(1+IF(K$3&lt;=$O$2,$D205,$D205-($D205-$I$184)*MIN(K$3-$O$2,$Q$2)/$Q$2))</f>
        <v>9979.1663250465</v>
      </c>
      <c r="L205" s="15" t="n">
        <f aca="false">K205*(1+IF(L$3&lt;=$O$2,$D205,$D205-($D205-$I$184)*MIN(L$3-$O$2,$Q$2)/$Q$2))</f>
        <v>10331.7699985518</v>
      </c>
      <c r="M205" s="15" t="n">
        <f aca="false">L205*(1+IF(M$3&lt;=$O$2,$D205,$D205-($D205-$I$184)*MIN(M$3-$O$2,$Q$2)/$Q$2))</f>
        <v>10608.8369765445</v>
      </c>
      <c r="N205" s="15" t="n">
        <f aca="false">M205*(1+IF(N$3&lt;=$O$2,$D205,$D205-($D205-$I$184)*MIN(N$3-$O$2,$Q$2)/$Q$2))</f>
        <v>10802.9786932153</v>
      </c>
      <c r="O205" s="15" t="n">
        <f aca="false">SUMPRODUCT(E205:N205,1/(1+$F$184)^$E$3:$N$3)*$E$2</f>
        <v>38646.7272883818</v>
      </c>
      <c r="P205" s="15" t="n">
        <f aca="false">N205*$E$2*(1+$I$184)/($F$184-$I$184)/(1+$F$184)^$N$3</f>
        <v>62913.5813110811</v>
      </c>
      <c r="Q205" s="15" t="n">
        <f aca="false">O205+P205</f>
        <v>101560.308599463</v>
      </c>
      <c r="R205" s="15" t="n">
        <f aca="false">Q205-$G$2+$I$2</f>
        <v>99970.3085994629</v>
      </c>
      <c r="S205" s="42" t="n">
        <f aca="false">R205/$K$2</f>
        <v>278.019657932763</v>
      </c>
      <c r="T205" s="43" t="n">
        <f aca="false">S205-$M$2</f>
        <v>0.000858221989233243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0.0608835220336914</v>
      </c>
      <c r="C206" s="25" t="n">
        <f aca="false">IF(T205&gt;0,D205,C205)</f>
        <v>0.060884952545166</v>
      </c>
      <c r="D206" s="41" t="n">
        <f aca="false">(B206+C206)/2</f>
        <v>0.0608842372894287</v>
      </c>
      <c r="E206" s="15" t="n">
        <f aca="false">$C$2*(1+IF(E$3&lt;=$O$2,$D206,$D206-($D206-$I$184)*MIN(E$3-$O$2,$Q$2)/$Q$2))</f>
        <v>7171.57744407654</v>
      </c>
      <c r="F206" s="15" t="n">
        <f aca="false">E206*(1+IF(F$3&lt;=$O$2,$D206,$D206-($D206-$I$184)*MIN(F$3-$O$2,$Q$2)/$Q$2))</f>
        <v>7608.21346692121</v>
      </c>
      <c r="G206" s="15" t="n">
        <f aca="false">F206*(1+IF(G$3&lt;=$O$2,$D206,$D206-($D206-$I$184)*MIN(G$3-$O$2,$Q$2)/$Q$2))</f>
        <v>8071.43374098987</v>
      </c>
      <c r="H206" s="15" t="n">
        <f aca="false">G206*(1+IF(H$3&lt;=$O$2,$D206,$D206-($D206-$I$184)*MIN(H$3-$O$2,$Q$2)/$Q$2))</f>
        <v>8562.85682814219</v>
      </c>
      <c r="I206" s="15" t="n">
        <f aca="false">H206*(1+IF(I$3&lt;=$O$2,$D206,$D206-($D206-$I$184)*MIN(I$3-$O$2,$Q$2)/$Q$2))</f>
        <v>9084.19983514221</v>
      </c>
      <c r="J206" s="15" t="n">
        <f aca="false">I206*(1+IF(J$3&lt;=$O$2,$D206,$D206-($D206-$I$184)*MIN(J$3-$O$2,$Q$2)/$Q$2))</f>
        <v>9559.91566921674</v>
      </c>
      <c r="K206" s="15" t="n">
        <f aca="false">J206*(1+IF(K$3&lt;=$O$2,$D206,$D206-($D206-$I$184)*MIN(K$3-$O$2,$Q$2)/$Q$2))</f>
        <v>9979.12315635832</v>
      </c>
      <c r="L206" s="15" t="n">
        <f aca="false">K206*(1+IF(L$3&lt;=$O$2,$D206,$D206-($D206-$I$184)*MIN(L$3-$O$2,$Q$2)/$Q$2))</f>
        <v>10331.722449492</v>
      </c>
      <c r="M206" s="15" t="n">
        <f aca="false">L206*(1+IF(M$3&lt;=$O$2,$D206,$D206-($D206-$I$184)*MIN(M$3-$O$2,$Q$2)/$Q$2))</f>
        <v>10608.7866743972</v>
      </c>
      <c r="N206" s="15" t="n">
        <f aca="false">M206*(1+IF(N$3&lt;=$O$2,$D206,$D206-($D206-$I$184)*MIN(N$3-$O$2,$Q$2)/$Q$2))</f>
        <v>10802.9274705387</v>
      </c>
      <c r="O206" s="15" t="n">
        <f aca="false">SUMPRODUCT(E206:N206,1/(1+$F$184)^$E$3:$N$3)*$E$2</f>
        <v>38646.6050850791</v>
      </c>
      <c r="P206" s="15" t="n">
        <f aca="false">N206*$E$2*(1+$I$184)/($F$184-$I$184)/(1+$F$184)^$N$3</f>
        <v>62913.2830042791</v>
      </c>
      <c r="Q206" s="15" t="n">
        <f aca="false">O206+P206</f>
        <v>101559.888089358</v>
      </c>
      <c r="R206" s="15" t="n">
        <f aca="false">Q206-$G$2+$I$2</f>
        <v>99969.8880893582</v>
      </c>
      <c r="S206" s="42" t="n">
        <f aca="false">R206/$K$2</f>
        <v>278.018488484783</v>
      </c>
      <c r="T206" s="43" t="n">
        <f aca="false">S206-$M$2</f>
        <v>-0.000311225990913044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0.0608842372894287</v>
      </c>
      <c r="C207" s="25" t="n">
        <f aca="false">IF(T206&gt;0,D206,C206)</f>
        <v>0.060884952545166</v>
      </c>
      <c r="D207" s="41" t="n">
        <f aca="false">(B207+C207)/2</f>
        <v>0.0608845949172974</v>
      </c>
      <c r="E207" s="15" t="n">
        <f aca="false">$C$2*(1+IF(E$3&lt;=$O$2,$D207,$D207-($D207-$I$184)*MIN(E$3-$O$2,$Q$2)/$Q$2))</f>
        <v>7171.57986164093</v>
      </c>
      <c r="F207" s="15" t="n">
        <f aca="false">E207*(1+IF(F$3&lt;=$O$2,$D207,$D207-($D207-$I$184)*MIN(F$3-$O$2,$Q$2)/$Q$2))</f>
        <v>7608.21859643399</v>
      </c>
      <c r="G207" s="15" t="n">
        <f aca="false">F207*(1+IF(G$3&lt;=$O$2,$D207,$D207-($D207-$I$184)*MIN(G$3-$O$2,$Q$2)/$Q$2))</f>
        <v>8071.44190372012</v>
      </c>
      <c r="H207" s="15" t="n">
        <f aca="false">G207*(1+IF(H$3&lt;=$O$2,$D207,$D207-($D207-$I$184)*MIN(H$3-$O$2,$Q$2)/$Q$2))</f>
        <v>8562.86837442662</v>
      </c>
      <c r="I207" s="15" t="n">
        <f aca="false">H207*(1+IF(I$3&lt;=$O$2,$D207,$D207-($D207-$I$184)*MIN(I$3-$O$2,$Q$2)/$Q$2))</f>
        <v>9084.21514673372</v>
      </c>
      <c r="J207" s="15" t="n">
        <f aca="false">I207*(1+IF(J$3&lt;=$O$2,$D207,$D207-($D207-$I$184)*MIN(J$3-$O$2,$Q$2)/$Q$2))</f>
        <v>9559.93438165113</v>
      </c>
      <c r="K207" s="15" t="n">
        <f aca="false">J207*(1+IF(K$3&lt;=$O$2,$D207,$D207-($D207-$I$184)*MIN(K$3-$O$2,$Q$2)/$Q$2))</f>
        <v>9979.14474068248</v>
      </c>
      <c r="L207" s="15" t="n">
        <f aca="false">K207*(1+IF(L$3&lt;=$O$2,$D207,$D207-($D207-$I$184)*MIN(L$3-$O$2,$Q$2)/$Q$2))</f>
        <v>10331.7462239982</v>
      </c>
      <c r="M207" s="15" t="n">
        <f aca="false">L207*(1+IF(M$3&lt;=$O$2,$D207,$D207-($D207-$I$184)*MIN(M$3-$O$2,$Q$2)/$Q$2))</f>
        <v>10608.8118254448</v>
      </c>
      <c r="N207" s="15" t="n">
        <f aca="false">M207*(1+IF(N$3&lt;=$O$2,$D207,$D207-($D207-$I$184)*MIN(N$3-$O$2,$Q$2)/$Q$2))</f>
        <v>10802.9530818504</v>
      </c>
      <c r="O207" s="15" t="n">
        <f aca="false">SUMPRODUCT(E207:N207,1/(1+$F$184)^$E$3:$N$3)*$E$2</f>
        <v>38646.6661866821</v>
      </c>
      <c r="P207" s="15" t="n">
        <f aca="false">N207*$E$2*(1+$I$184)/($F$184-$I$184)/(1+$F$184)^$N$3</f>
        <v>62913.4321575256</v>
      </c>
      <c r="Q207" s="15" t="n">
        <f aca="false">O207+P207</f>
        <v>101560.098344208</v>
      </c>
      <c r="R207" s="15" t="n">
        <f aca="false">Q207-$G$2+$I$2</f>
        <v>99970.0983442077</v>
      </c>
      <c r="S207" s="42" t="n">
        <f aca="false">R207/$K$2</f>
        <v>278.019073208209</v>
      </c>
      <c r="T207" s="43" t="n">
        <f aca="false">S207-$M$2</f>
        <v>0.000273497435102854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0.0608842372894287</v>
      </c>
      <c r="C208" s="25" t="n">
        <f aca="false">IF(T207&gt;0,D207,C207)</f>
        <v>0.0608845949172974</v>
      </c>
      <c r="D208" s="41" t="n">
        <f aca="false">(B208+C208)/2</f>
        <v>0.060884416103363</v>
      </c>
      <c r="E208" s="15" t="n">
        <f aca="false">$C$2*(1+IF(E$3&lt;=$O$2,$D208,$D208-($D208-$I$184)*MIN(E$3-$O$2,$Q$2)/$Q$2))</f>
        <v>7171.57865285873</v>
      </c>
      <c r="F208" s="15" t="n">
        <f aca="false">E208*(1+IF(F$3&lt;=$O$2,$D208,$D208-($D208-$I$184)*MIN(F$3-$O$2,$Q$2)/$Q$2))</f>
        <v>7608.21603167738</v>
      </c>
      <c r="G208" s="15" t="n">
        <f aca="false">F208*(1+IF(G$3&lt;=$O$2,$D208,$D208-($D208-$I$184)*MIN(G$3-$O$2,$Q$2)/$Q$2))</f>
        <v>8071.4378223543</v>
      </c>
      <c r="H208" s="15" t="n">
        <f aca="false">G208*(1+IF(H$3&lt;=$O$2,$D208,$D208-($D208-$I$184)*MIN(H$3-$O$2,$Q$2)/$Q$2))</f>
        <v>8562.86260128295</v>
      </c>
      <c r="I208" s="15" t="n">
        <f aca="false">H208*(1+IF(I$3&lt;=$O$2,$D208,$D208-($D208-$I$184)*MIN(I$3-$O$2,$Q$2)/$Q$2))</f>
        <v>9084.20749093538</v>
      </c>
      <c r="J208" s="15" t="n">
        <f aca="false">I208*(1+IF(J$3&lt;=$O$2,$D208,$D208-($D208-$I$184)*MIN(J$3-$O$2,$Q$2)/$Q$2))</f>
        <v>9559.92502543012</v>
      </c>
      <c r="K208" s="15" t="n">
        <f aca="false">J208*(1+IF(K$3&lt;=$O$2,$D208,$D208-($D208-$I$184)*MIN(K$3-$O$2,$Q$2)/$Q$2))</f>
        <v>9979.13394851542</v>
      </c>
      <c r="L208" s="15" t="n">
        <f aca="false">K208*(1+IF(L$3&lt;=$O$2,$D208,$D208-($D208-$I$184)*MIN(L$3-$O$2,$Q$2)/$Q$2))</f>
        <v>10331.7343367392</v>
      </c>
      <c r="M208" s="15" t="n">
        <f aca="false">L208*(1+IF(M$3&lt;=$O$2,$D208,$D208-($D208-$I$184)*MIN(M$3-$O$2,$Q$2)/$Q$2))</f>
        <v>10608.7992499145</v>
      </c>
      <c r="N208" s="15" t="n">
        <f aca="false">M208*(1+IF(N$3&lt;=$O$2,$D208,$D208-($D208-$I$184)*MIN(N$3-$O$2,$Q$2)/$Q$2))</f>
        <v>10802.9402761879</v>
      </c>
      <c r="O208" s="15" t="n">
        <f aca="false">SUMPRODUCT(E208:N208,1/(1+$F$184)^$E$3:$N$3)*$E$2</f>
        <v>38646.6356358685</v>
      </c>
      <c r="P208" s="15" t="n">
        <f aca="false">N208*$E$2*(1+$I$184)/($F$184-$I$184)/(1+$F$184)^$N$3</f>
        <v>62913.3575808637</v>
      </c>
      <c r="Q208" s="15" t="n">
        <f aca="false">O208+P208</f>
        <v>101559.993216732</v>
      </c>
      <c r="R208" s="15" t="n">
        <f aca="false">Q208-$G$2+$I$2</f>
        <v>99969.9932167322</v>
      </c>
      <c r="S208" s="42" t="n">
        <f aca="false">R208/$K$2</f>
        <v>278.018780846355</v>
      </c>
      <c r="T208" s="43" t="n">
        <f aca="false">S208-$M$2</f>
        <v>-1.88644189620391E-005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0.060884416103363</v>
      </c>
      <c r="C209" s="25" t="n">
        <f aca="false">IF(T208&gt;0,D208,C208)</f>
        <v>0.0608845949172974</v>
      </c>
      <c r="D209" s="41" t="n">
        <f aca="false">(B209+C209)/2</f>
        <v>0.0608845055103302</v>
      </c>
      <c r="E209" s="15" t="n">
        <f aca="false">$C$2*(1+IF(E$3&lt;=$O$2,$D209,$D209-($D209-$I$184)*MIN(E$3-$O$2,$Q$2)/$Q$2))</f>
        <v>7171.57925724983</v>
      </c>
      <c r="F209" s="15" t="n">
        <f aca="false">E209*(1+IF(F$3&lt;=$O$2,$D209,$D209-($D209-$I$184)*MIN(F$3-$O$2,$Q$2)/$Q$2))</f>
        <v>7608.21731405563</v>
      </c>
      <c r="G209" s="15" t="n">
        <f aca="false">F209*(1+IF(G$3&lt;=$O$2,$D209,$D209-($D209-$I$184)*MIN(G$3-$O$2,$Q$2)/$Q$2))</f>
        <v>8071.43986303704</v>
      </c>
      <c r="H209" s="15" t="n">
        <f aca="false">G209*(1+IF(H$3&lt;=$O$2,$D209,$D209-($D209-$I$184)*MIN(H$3-$O$2,$Q$2)/$Q$2))</f>
        <v>8562.86548785442</v>
      </c>
      <c r="I209" s="15" t="n">
        <f aca="false">H209*(1+IF(I$3&lt;=$O$2,$D209,$D209-($D209-$I$184)*MIN(I$3-$O$2,$Q$2)/$Q$2))</f>
        <v>9084.2113188339</v>
      </c>
      <c r="J209" s="15" t="n">
        <f aca="false">I209*(1+IF(J$3&lt;=$O$2,$D209,$D209-($D209-$I$184)*MIN(J$3-$O$2,$Q$2)/$Q$2))</f>
        <v>9559.92970353967</v>
      </c>
      <c r="K209" s="15" t="n">
        <f aca="false">J209*(1+IF(K$3&lt;=$O$2,$D209,$D209-($D209-$I$184)*MIN(K$3-$O$2,$Q$2)/$Q$2))</f>
        <v>9979.1393445977</v>
      </c>
      <c r="L209" s="15" t="n">
        <f aca="false">K209*(1+IF(L$3&lt;=$O$2,$D209,$D209-($D209-$I$184)*MIN(L$3-$O$2,$Q$2)/$Q$2))</f>
        <v>10331.7402803672</v>
      </c>
      <c r="M209" s="15" t="n">
        <f aca="false">L209*(1+IF(M$3&lt;=$O$2,$D209,$D209-($D209-$I$184)*MIN(M$3-$O$2,$Q$2)/$Q$2))</f>
        <v>10608.805537678</v>
      </c>
      <c r="N209" s="15" t="n">
        <f aca="false">M209*(1+IF(N$3&lt;=$O$2,$D209,$D209-($D209-$I$184)*MIN(N$3-$O$2,$Q$2)/$Q$2))</f>
        <v>10802.9466790175</v>
      </c>
      <c r="O209" s="15" t="n">
        <f aca="false">SUMPRODUCT(E209:N209,1/(1+$F$184)^$E$3:$N$3)*$E$2</f>
        <v>38646.6509112723</v>
      </c>
      <c r="P209" s="15" t="n">
        <f aca="false">N209*$E$2*(1+$I$184)/($F$184-$I$184)/(1+$F$184)^$N$3</f>
        <v>62913.394869185</v>
      </c>
      <c r="Q209" s="15" t="n">
        <f aca="false">O209+P209</f>
        <v>101560.045780457</v>
      </c>
      <c r="R209" s="15" t="n">
        <f aca="false">Q209-$G$2+$I$2</f>
        <v>99970.0457804573</v>
      </c>
      <c r="S209" s="42" t="n">
        <f aca="false">R209/$K$2</f>
        <v>278.018927027247</v>
      </c>
      <c r="T209" s="43" t="n">
        <f aca="false">S209-$M$2</f>
        <v>0.000127316472799066</v>
      </c>
    </row>
    <row r="211" customFormat="false" ht="15" hidden="false" customHeight="false" outlineLevel="0" collapsed="false">
      <c r="A211" s="38" t="s">
        <v>193</v>
      </c>
      <c r="E211" s="5" t="s">
        <v>11</v>
      </c>
      <c r="F211" s="12" t="n">
        <f aca="false">Sensitivity!$B$11</f>
        <v>0.0724202832668642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167</v>
      </c>
      <c r="B212" s="28" t="s">
        <v>168</v>
      </c>
      <c r="C212" s="28" t="s">
        <v>169</v>
      </c>
      <c r="D212" s="28" t="s">
        <v>170</v>
      </c>
      <c r="E212" s="28" t="s">
        <v>171</v>
      </c>
      <c r="F212" s="28" t="s">
        <v>172</v>
      </c>
      <c r="G212" s="28" t="s">
        <v>173</v>
      </c>
      <c r="H212" s="28" t="s">
        <v>174</v>
      </c>
      <c r="I212" s="28" t="s">
        <v>175</v>
      </c>
      <c r="J212" s="28" t="s">
        <v>176</v>
      </c>
      <c r="K212" s="28" t="s">
        <v>177</v>
      </c>
      <c r="L212" s="28" t="s">
        <v>178</v>
      </c>
      <c r="M212" s="28" t="s">
        <v>179</v>
      </c>
      <c r="N212" s="28" t="s">
        <v>180</v>
      </c>
      <c r="O212" s="28" t="s">
        <v>181</v>
      </c>
      <c r="P212" s="28" t="s">
        <v>182</v>
      </c>
      <c r="Q212" s="28" t="s">
        <v>183</v>
      </c>
      <c r="R212" s="28" t="s">
        <v>184</v>
      </c>
      <c r="S212" s="28" t="s">
        <v>185</v>
      </c>
      <c r="T212" s="28" t="s">
        <v>186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8450</v>
      </c>
      <c r="F213" s="15" t="n">
        <f aca="false">E213*(1+IF(F$3&lt;=$O$2,$D213,$D213-($D213-$I$211)*MIN(F$3-$O$2,$Q$2)/$Q$2))</f>
        <v>10562.5</v>
      </c>
      <c r="G213" s="15" t="n">
        <f aca="false">F213*(1+IF(G$3&lt;=$O$2,$D213,$D213-($D213-$I$211)*MIN(G$3-$O$2,$Q$2)/$Q$2))</f>
        <v>13203.125</v>
      </c>
      <c r="H213" s="15" t="n">
        <f aca="false">G213*(1+IF(H$3&lt;=$O$2,$D213,$D213-($D213-$I$211)*MIN(H$3-$O$2,$Q$2)/$Q$2))</f>
        <v>16503.90625</v>
      </c>
      <c r="I213" s="15" t="n">
        <f aca="false">H213*(1+IF(I$3&lt;=$O$2,$D213,$D213-($D213-$I$211)*MIN(I$3-$O$2,$Q$2)/$Q$2))</f>
        <v>20629.8828125</v>
      </c>
      <c r="J213" s="15" t="n">
        <f aca="false">I213*(1+IF(J$3&lt;=$O$2,$D213,$D213-($D213-$I$211)*MIN(J$3-$O$2,$Q$2)/$Q$2))</f>
        <v>24851.9946289063</v>
      </c>
      <c r="K213" s="15" t="n">
        <f aca="false">J213*(1+IF(K$3&lt;=$O$2,$D213,$D213-($D213-$I$211)*MIN(K$3-$O$2,$Q$2)/$Q$2))</f>
        <v>28811.4144131836</v>
      </c>
      <c r="L213" s="15" t="n">
        <f aca="false">K213*(1+IF(L$3&lt;=$O$2,$D213,$D213-($D213-$I$211)*MIN(L$3-$O$2,$Q$2)/$Q$2))</f>
        <v>32095.3394279983</v>
      </c>
      <c r="M213" s="15" t="n">
        <f aca="false">L213*(1+IF(M$3&lt;=$O$2,$D213,$D213-($D213-$I$211)*MIN(M$3-$O$2,$Q$2)/$Q$2))</f>
        <v>34298.3635263361</v>
      </c>
      <c r="N213" s="15" t="n">
        <f aca="false">M213*(1+IF(N$3&lt;=$O$2,$D213,$D213-($D213-$I$211)*MIN(N$3-$O$2,$Q$2)/$Q$2))</f>
        <v>35097.5153964997</v>
      </c>
      <c r="O213" s="15" t="n">
        <f aca="false">SUMPRODUCT(E213:N213,1/(1+$F$211)^$E$3:$N$3)*$E$2</f>
        <v>88968.021717994</v>
      </c>
      <c r="P213" s="15" t="n">
        <f aca="false">N213*$E$2*(1+$I$211)/($F$211-$I$211)/(1+$F$211)^$N$3</f>
        <v>226309.971668881</v>
      </c>
      <c r="Q213" s="15" t="n">
        <f aca="false">O213+P213</f>
        <v>315277.993386875</v>
      </c>
      <c r="R213" s="15" t="n">
        <f aca="false">Q213-$G$2+$I$2</f>
        <v>313687.993386875</v>
      </c>
      <c r="S213" s="42" t="n">
        <f aca="false">R213/$K$2</f>
        <v>872.373306042813</v>
      </c>
      <c r="T213" s="43" t="n">
        <f aca="false">S213-$M$2</f>
        <v>594.354506332039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5915</v>
      </c>
      <c r="F214" s="15" t="n">
        <f aca="false">E214*(1+IF(F$3&lt;=$O$2,$D214,$D214-($D214-$I$211)*MIN(F$3-$O$2,$Q$2)/$Q$2))</f>
        <v>5175.625</v>
      </c>
      <c r="G214" s="15" t="n">
        <f aca="false">F214*(1+IF(G$3&lt;=$O$2,$D214,$D214-($D214-$I$211)*MIN(G$3-$O$2,$Q$2)/$Q$2))</f>
        <v>4528.671875</v>
      </c>
      <c r="H214" s="15" t="n">
        <f aca="false">G214*(1+IF(H$3&lt;=$O$2,$D214,$D214-($D214-$I$211)*MIN(H$3-$O$2,$Q$2)/$Q$2))</f>
        <v>3962.587890625</v>
      </c>
      <c r="I214" s="15" t="n">
        <f aca="false">H214*(1+IF(I$3&lt;=$O$2,$D214,$D214-($D214-$I$211)*MIN(I$3-$O$2,$Q$2)/$Q$2))</f>
        <v>3467.26440429688</v>
      </c>
      <c r="J214" s="15" t="n">
        <f aca="false">I214*(1+IF(J$3&lt;=$O$2,$D214,$D214-($D214-$I$211)*MIN(J$3-$O$2,$Q$2)/$Q$2))</f>
        <v>3136.69541599121</v>
      </c>
      <c r="K214" s="15" t="n">
        <f aca="false">J214*(1+IF(K$3&lt;=$O$2,$D214,$D214-($D214-$I$211)*MIN(K$3-$O$2,$Q$2)/$Q$2))</f>
        <v>2930.67726106891</v>
      </c>
      <c r="L214" s="15" t="n">
        <f aca="false">K214*(1+IF(L$3&lt;=$O$2,$D214,$D214-($D214-$I$211)*MIN(L$3-$O$2,$Q$2)/$Q$2))</f>
        <v>2825.11426612521</v>
      </c>
      <c r="M214" s="15" t="n">
        <f aca="false">L214*(1+IF(M$3&lt;=$O$2,$D214,$D214-($D214-$I$211)*MIN(M$3-$O$2,$Q$2)/$Q$2))</f>
        <v>2807.14653939265</v>
      </c>
      <c r="N214" s="15" t="n">
        <f aca="false">M214*(1+IF(N$3&lt;=$O$2,$D214,$D214-($D214-$I$211)*MIN(N$3-$O$2,$Q$2)/$Q$2))</f>
        <v>2872.5530537605</v>
      </c>
      <c r="O214" s="15" t="n">
        <f aca="false">SUMPRODUCT(E214:N214,1/(1+$F$211)^$E$3:$N$3)*$E$2</f>
        <v>17141.8806574189</v>
      </c>
      <c r="P214" s="15" t="n">
        <f aca="false">N214*$E$2*(1+$I$211)/($F$211-$I$211)/(1+$F$211)^$N$3</f>
        <v>18522.3196818864</v>
      </c>
      <c r="Q214" s="15" t="n">
        <f aca="false">O214+P214</f>
        <v>35664.2003393052</v>
      </c>
      <c r="R214" s="15" t="n">
        <f aca="false">Q214-$G$2+$I$2</f>
        <v>34074.2003393052</v>
      </c>
      <c r="S214" s="42" t="n">
        <f aca="false">R214/$K$2</f>
        <v>94.7611111277191</v>
      </c>
      <c r="T214" s="43" t="n">
        <f aca="false">S214-$M$2</f>
        <v>-183.257688583055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7182.5</v>
      </c>
      <c r="F215" s="15" t="n">
        <f aca="false">E215*(1+IF(F$3&lt;=$O$2,$D215,$D215-($D215-$I$211)*MIN(F$3-$O$2,$Q$2)/$Q$2))</f>
        <v>7631.40625</v>
      </c>
      <c r="G215" s="15" t="n">
        <f aca="false">F215*(1+IF(G$3&lt;=$O$2,$D215,$D215-($D215-$I$211)*MIN(G$3-$O$2,$Q$2)/$Q$2))</f>
        <v>8108.369140625</v>
      </c>
      <c r="H215" s="15" t="n">
        <f aca="false">G215*(1+IF(H$3&lt;=$O$2,$D215,$D215-($D215-$I$211)*MIN(H$3-$O$2,$Q$2)/$Q$2))</f>
        <v>8615.14221191406</v>
      </c>
      <c r="I215" s="15" t="n">
        <f aca="false">H215*(1+IF(I$3&lt;=$O$2,$D215,$D215-($D215-$I$211)*MIN(I$3-$O$2,$Q$2)/$Q$2))</f>
        <v>9153.58860015869</v>
      </c>
      <c r="J215" s="15" t="n">
        <f aca="false">I215*(1+IF(J$3&lt;=$O$2,$D215,$D215-($D215-$I$211)*MIN(J$3-$O$2,$Q$2)/$Q$2))</f>
        <v>9653.92375304337</v>
      </c>
      <c r="K215" s="15" t="n">
        <f aca="false">J215*(1+IF(K$3&lt;=$O$2,$D215,$D215-($D215-$I$211)*MIN(K$3-$O$2,$Q$2)/$Q$2))</f>
        <v>10105.9204631609</v>
      </c>
      <c r="L215" s="15" t="n">
        <f aca="false">K215*(1+IF(L$3&lt;=$O$2,$D215,$D215-($D215-$I$211)*MIN(L$3-$O$2,$Q$2)/$Q$2))</f>
        <v>10499.8492428149</v>
      </c>
      <c r="M215" s="15" t="n">
        <f aca="false">L215*(1+IF(M$3&lt;=$O$2,$D215,$D215-($D215-$I$211)*MIN(M$3-$O$2,$Q$2)/$Q$2))</f>
        <v>10826.8145482361</v>
      </c>
      <c r="N215" s="15" t="n">
        <f aca="false">M215*(1+IF(N$3&lt;=$O$2,$D215,$D215-($D215-$I$211)*MIN(N$3-$O$2,$Q$2)/$Q$2))</f>
        <v>11079.07932721</v>
      </c>
      <c r="O215" s="15" t="n">
        <f aca="false">SUMPRODUCT(E215:N215,1/(1+$F$211)^$E$3:$N$3)*$E$2</f>
        <v>39043.8248851586</v>
      </c>
      <c r="P215" s="15" t="n">
        <f aca="false">N215*$E$2*(1+$I$211)/($F$211-$I$211)/(1+$F$211)^$N$3</f>
        <v>71438.2798991019</v>
      </c>
      <c r="Q215" s="15" t="n">
        <f aca="false">O215+P215</f>
        <v>110482.104784261</v>
      </c>
      <c r="R215" s="15" t="n">
        <f aca="false">Q215-$G$2+$I$2</f>
        <v>108892.104784261</v>
      </c>
      <c r="S215" s="42" t="n">
        <f aca="false">R215/$K$2</f>
        <v>302.831372112633</v>
      </c>
      <c r="T215" s="43" t="n">
        <f aca="false">S215-$M$2</f>
        <v>24.8125724018592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6548.75</v>
      </c>
      <c r="F216" s="15" t="n">
        <f aca="false">E216*(1+IF(F$3&lt;=$O$2,$D216,$D216-($D216-$I$211)*MIN(F$3-$O$2,$Q$2)/$Q$2))</f>
        <v>6344.1015625</v>
      </c>
      <c r="G216" s="15" t="n">
        <f aca="false">F216*(1+IF(G$3&lt;=$O$2,$D216,$D216-($D216-$I$211)*MIN(G$3-$O$2,$Q$2)/$Q$2))</f>
        <v>6145.84838867188</v>
      </c>
      <c r="H216" s="15" t="n">
        <f aca="false">G216*(1+IF(H$3&lt;=$O$2,$D216,$D216-($D216-$I$211)*MIN(H$3-$O$2,$Q$2)/$Q$2))</f>
        <v>5953.79062652588</v>
      </c>
      <c r="I216" s="15" t="n">
        <f aca="false">H216*(1+IF(I$3&lt;=$O$2,$D216,$D216-($D216-$I$211)*MIN(I$3-$O$2,$Q$2)/$Q$2))</f>
        <v>5767.73466944695</v>
      </c>
      <c r="J216" s="15" t="n">
        <f aca="false">I216*(1+IF(J$3&lt;=$O$2,$D216,$D216-($D216-$I$211)*MIN(J$3-$O$2,$Q$2)/$Q$2))</f>
        <v>5650.41894627039</v>
      </c>
      <c r="K216" s="15" t="n">
        <f aca="false">J216*(1+IF(K$3&lt;=$O$2,$D216,$D216-($D216-$I$211)*MIN(K$3-$O$2,$Q$2)/$Q$2))</f>
        <v>5597.13549560706</v>
      </c>
      <c r="L216" s="15" t="n">
        <f aca="false">K216*(1+IF(L$3&lt;=$O$2,$D216,$D216-($D216-$I$211)*MIN(L$3-$O$2,$Q$2)/$Q$2))</f>
        <v>5605.41925614056</v>
      </c>
      <c r="M216" s="15" t="n">
        <f aca="false">L216*(1+IF(M$3&lt;=$O$2,$D216,$D216-($D216-$I$211)*MIN(M$3-$O$2,$Q$2)/$Q$2))</f>
        <v>5674.87040072414</v>
      </c>
      <c r="N216" s="15" t="n">
        <f aca="false">M216*(1+IF(N$3&lt;=$O$2,$D216,$D216-($D216-$I$211)*MIN(N$3-$O$2,$Q$2)/$Q$2))</f>
        <v>5807.09488106102</v>
      </c>
      <c r="O216" s="15" t="n">
        <f aca="false">SUMPRODUCT(E216:N216,1/(1+$F$211)^$E$3:$N$3)*$E$2</f>
        <v>25803.7171499971</v>
      </c>
      <c r="P216" s="15" t="n">
        <f aca="false">N216*$E$2*(1+$I$211)/($F$211-$I$211)/(1+$F$211)^$N$3</f>
        <v>37444.3450815464</v>
      </c>
      <c r="Q216" s="15" t="n">
        <f aca="false">O216+P216</f>
        <v>63248.0622315435</v>
      </c>
      <c r="R216" s="15" t="n">
        <f aca="false">Q216-$G$2+$I$2</f>
        <v>61658.0622315435</v>
      </c>
      <c r="S216" s="42" t="n">
        <f aca="false">R216/$K$2</f>
        <v>171.472446274942</v>
      </c>
      <c r="T216" s="43" t="n">
        <f aca="false">S216-$M$2</f>
        <v>-106.546353435832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41" t="n">
        <f aca="false">(B217+C217)/2</f>
        <v>0.015625</v>
      </c>
      <c r="E217" s="15" t="n">
        <f aca="false">$C$2*(1+IF(E$3&lt;=$O$2,$D217,$D217-($D217-$I$211)*MIN(E$3-$O$2,$Q$2)/$Q$2))</f>
        <v>6865.625</v>
      </c>
      <c r="F217" s="15" t="n">
        <f aca="false">E217*(1+IF(F$3&lt;=$O$2,$D217,$D217-($D217-$I$211)*MIN(F$3-$O$2,$Q$2)/$Q$2))</f>
        <v>6972.900390625</v>
      </c>
      <c r="G217" s="15" t="n">
        <f aca="false">F217*(1+IF(G$3&lt;=$O$2,$D217,$D217-($D217-$I$211)*MIN(G$3-$O$2,$Q$2)/$Q$2))</f>
        <v>7081.85195922852</v>
      </c>
      <c r="H217" s="15" t="n">
        <f aca="false">G217*(1+IF(H$3&lt;=$O$2,$D217,$D217-($D217-$I$211)*MIN(H$3-$O$2,$Q$2)/$Q$2))</f>
        <v>7192.50589609146</v>
      </c>
      <c r="I217" s="15" t="n">
        <f aca="false">H217*(1+IF(I$3&lt;=$O$2,$D217,$D217-($D217-$I$211)*MIN(I$3-$O$2,$Q$2)/$Q$2))</f>
        <v>7304.88880071789</v>
      </c>
      <c r="J217" s="15" t="n">
        <f aca="false">I217*(1+IF(J$3&lt;=$O$2,$D217,$D217-($D217-$I$211)*MIN(J$3-$O$2,$Q$2)/$Q$2))</f>
        <v>7430.24069253821</v>
      </c>
      <c r="K217" s="15" t="n">
        <f aca="false">J217*(1+IF(K$3&lt;=$O$2,$D217,$D217-($D217-$I$211)*MIN(K$3-$O$2,$Q$2)/$Q$2))</f>
        <v>7569.14904228521</v>
      </c>
      <c r="L217" s="15" t="n">
        <f aca="false">K217*(1+IF(L$3&lt;=$O$2,$D217,$D217-($D217-$I$211)*MIN(L$3-$O$2,$Q$2)/$Q$2))</f>
        <v>7722.27292741064</v>
      </c>
      <c r="M217" s="15" t="n">
        <f aca="false">L217*(1+IF(M$3&lt;=$O$2,$D217,$D217-($D217-$I$211)*MIN(M$3-$O$2,$Q$2)/$Q$2))</f>
        <v>7890.34819767573</v>
      </c>
      <c r="N217" s="15" t="n">
        <f aca="false">M217*(1+IF(N$3&lt;=$O$2,$D217,$D217-($D217-$I$211)*MIN(N$3-$O$2,$Q$2)/$Q$2))</f>
        <v>8074.19331068158</v>
      </c>
      <c r="O217" s="15" t="n">
        <f aca="false">SUMPRODUCT(E217:N217,1/(1+$F$211)^$E$3:$N$3)*$E$2</f>
        <v>31731.0908057295</v>
      </c>
      <c r="P217" s="15" t="n">
        <f aca="false">N217*$E$2*(1+$I$211)/($F$211-$I$211)/(1+$F$211)^$N$3</f>
        <v>52062.6727774482</v>
      </c>
      <c r="Q217" s="15" t="n">
        <f aca="false">O217+P217</f>
        <v>83793.7635831777</v>
      </c>
      <c r="R217" s="15" t="n">
        <f aca="false">Q217-$G$2+$I$2</f>
        <v>82203.7635831777</v>
      </c>
      <c r="S217" s="42" t="n">
        <f aca="false">R217/$K$2</f>
        <v>228.610499981027</v>
      </c>
      <c r="T217" s="43" t="n">
        <f aca="false">S217-$M$2</f>
        <v>-49.4082997297467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0.015625</v>
      </c>
      <c r="C218" s="25" t="n">
        <f aca="false">IF(T217&gt;0,D217,C217)</f>
        <v>0.0625</v>
      </c>
      <c r="D218" s="41" t="n">
        <f aca="false">(B218+C218)/2</f>
        <v>0.0390625</v>
      </c>
      <c r="E218" s="15" t="n">
        <f aca="false">$C$2*(1+IF(E$3&lt;=$O$2,$D218,$D218-($D218-$I$211)*MIN(E$3-$O$2,$Q$2)/$Q$2))</f>
        <v>7024.0625</v>
      </c>
      <c r="F218" s="15" t="n">
        <f aca="false">E218*(1+IF(F$3&lt;=$O$2,$D218,$D218-($D218-$I$211)*MIN(F$3-$O$2,$Q$2)/$Q$2))</f>
        <v>7298.43994140625</v>
      </c>
      <c r="G218" s="15" t="n">
        <f aca="false">F218*(1+IF(G$3&lt;=$O$2,$D218,$D218-($D218-$I$211)*MIN(G$3-$O$2,$Q$2)/$Q$2))</f>
        <v>7583.53525161743</v>
      </c>
      <c r="H218" s="15" t="n">
        <f aca="false">G218*(1+IF(H$3&lt;=$O$2,$D218,$D218-($D218-$I$211)*MIN(H$3-$O$2,$Q$2)/$Q$2))</f>
        <v>7879.76709738374</v>
      </c>
      <c r="I218" s="15" t="n">
        <f aca="false">H218*(1+IF(I$3&lt;=$O$2,$D218,$D218-($D218-$I$211)*MIN(I$3-$O$2,$Q$2)/$Q$2))</f>
        <v>8187.57049962529</v>
      </c>
      <c r="J218" s="15" t="n">
        <f aca="false">I218*(1+IF(J$3&lt;=$O$2,$D218,$D218-($D218-$I$211)*MIN(J$3-$O$2,$Q$2)/$Q$2))</f>
        <v>8481.58615626683</v>
      </c>
      <c r="K218" s="15" t="n">
        <f aca="false">J218*(1+IF(K$3&lt;=$O$2,$D218,$D218-($D218-$I$211)*MIN(K$3-$O$2,$Q$2)/$Q$2))</f>
        <v>8759.42171478074</v>
      </c>
      <c r="L218" s="15" t="n">
        <f aca="false">K218*(1+IF(L$3&lt;=$O$2,$D218,$D218-($D218-$I$211)*MIN(L$3-$O$2,$Q$2)/$Q$2))</f>
        <v>9018.74439464683</v>
      </c>
      <c r="M218" s="15" t="n">
        <f aca="false">L218*(1+IF(M$3&lt;=$O$2,$D218,$D218-($D218-$I$211)*MIN(M$3-$O$2,$Q$2)/$Q$2))</f>
        <v>9257.31273074622</v>
      </c>
      <c r="N218" s="15" t="n">
        <f aca="false">M218*(1+IF(N$3&lt;=$O$2,$D218,$D218-($D218-$I$211)*MIN(N$3-$O$2,$Q$2)/$Q$2))</f>
        <v>9473.00811737261</v>
      </c>
      <c r="O218" s="15" t="n">
        <f aca="false">SUMPRODUCT(E218:N218,1/(1+$F$211)^$E$3:$N$3)*$E$2</f>
        <v>35196.842960943</v>
      </c>
      <c r="P218" s="15" t="n">
        <f aca="false">N218*$E$2*(1+$I$211)/($F$211-$I$211)/(1+$F$211)^$N$3</f>
        <v>61082.2781738983</v>
      </c>
      <c r="Q218" s="15" t="n">
        <f aca="false">O218+P218</f>
        <v>96279.1211348413</v>
      </c>
      <c r="R218" s="15" t="n">
        <f aca="false">Q218-$G$2+$I$2</f>
        <v>94689.1211348413</v>
      </c>
      <c r="S218" s="42" t="n">
        <f aca="false">R218/$K$2</f>
        <v>263.332557803107</v>
      </c>
      <c r="T218" s="43" t="n">
        <f aca="false">S218-$M$2</f>
        <v>-14.6862419076664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0.0390625</v>
      </c>
      <c r="C219" s="25" t="n">
        <f aca="false">IF(T218&gt;0,D218,C218)</f>
        <v>0.0625</v>
      </c>
      <c r="D219" s="41" t="n">
        <f aca="false">(B219+C219)/2</f>
        <v>0.05078125</v>
      </c>
      <c r="E219" s="15" t="n">
        <f aca="false">$C$2*(1+IF(E$3&lt;=$O$2,$D219,$D219-($D219-$I$211)*MIN(E$3-$O$2,$Q$2)/$Q$2))</f>
        <v>7103.28125</v>
      </c>
      <c r="F219" s="15" t="n">
        <f aca="false">E219*(1+IF(F$3&lt;=$O$2,$D219,$D219-($D219-$I$211)*MIN(F$3-$O$2,$Q$2)/$Q$2))</f>
        <v>7463.99475097656</v>
      </c>
      <c r="G219" s="15" t="n">
        <f aca="false">F219*(1+IF(G$3&lt;=$O$2,$D219,$D219-($D219-$I$211)*MIN(G$3-$O$2,$Q$2)/$Q$2))</f>
        <v>7843.02573442459</v>
      </c>
      <c r="H219" s="15" t="n">
        <f aca="false">G219*(1+IF(H$3&lt;=$O$2,$D219,$D219-($D219-$I$211)*MIN(H$3-$O$2,$Q$2)/$Q$2))</f>
        <v>8241.30438500084</v>
      </c>
      <c r="I219" s="15" t="n">
        <f aca="false">H219*(1+IF(I$3&lt;=$O$2,$D219,$D219-($D219-$I$211)*MIN(I$3-$O$2,$Q$2)/$Q$2))</f>
        <v>8659.80812330166</v>
      </c>
      <c r="J219" s="15" t="n">
        <f aca="false">I219*(1+IF(J$3&lt;=$O$2,$D219,$D219-($D219-$I$211)*MIN(J$3-$O$2,$Q$2)/$Q$2))</f>
        <v>9051.96753416538</v>
      </c>
      <c r="K219" s="15" t="n">
        <f aca="false">J219*(1+IF(K$3&lt;=$O$2,$D219,$D219-($D219-$I$211)*MIN(K$3-$O$2,$Q$2)/$Q$2))</f>
        <v>9412.1340073904</v>
      </c>
      <c r="L219" s="15" t="n">
        <f aca="false">K219*(1+IF(L$3&lt;=$O$2,$D219,$D219-($D219-$I$211)*MIN(L$3-$O$2,$Q$2)/$Q$2))</f>
        <v>9734.89961283884</v>
      </c>
      <c r="M219" s="15" t="n">
        <f aca="false">L219*(1+IF(M$3&lt;=$O$2,$D219,$D219-($D219-$I$211)*MIN(M$3-$O$2,$Q$2)/$Q$2))</f>
        <v>10015.2282158151</v>
      </c>
      <c r="N219" s="15" t="n">
        <f aca="false">M219*(1+IF(N$3&lt;=$O$2,$D219,$D219-($D219-$I$211)*MIN(N$3-$O$2,$Q$2)/$Q$2))</f>
        <v>10248.5830332435</v>
      </c>
      <c r="O219" s="15" t="n">
        <f aca="false">SUMPRODUCT(E219:N219,1/(1+$F$211)^$E$3:$N$3)*$E$2</f>
        <v>37070.3333486953</v>
      </c>
      <c r="P219" s="15" t="n">
        <f aca="false">N219*$E$2*(1+$I$211)/($F$211-$I$211)/(1+$F$211)^$N$3</f>
        <v>66083.211580579</v>
      </c>
      <c r="Q219" s="15" t="n">
        <f aca="false">O219+P219</f>
        <v>103153.544929274</v>
      </c>
      <c r="R219" s="15" t="n">
        <f aca="false">Q219-$G$2+$I$2</f>
        <v>101563.544929274</v>
      </c>
      <c r="S219" s="42" t="n">
        <f aca="false">R219/$K$2</f>
        <v>282.450483701191</v>
      </c>
      <c r="T219" s="43" t="n">
        <f aca="false">S219-$M$2</f>
        <v>4.43168399041758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0.0390625</v>
      </c>
      <c r="C220" s="25" t="n">
        <f aca="false">IF(T219&gt;0,D219,C219)</f>
        <v>0.05078125</v>
      </c>
      <c r="D220" s="41" t="n">
        <f aca="false">(B220+C220)/2</f>
        <v>0.044921875</v>
      </c>
      <c r="E220" s="15" t="n">
        <f aca="false">$C$2*(1+IF(E$3&lt;=$O$2,$D220,$D220-($D220-$I$211)*MIN(E$3-$O$2,$Q$2)/$Q$2))</f>
        <v>7063.671875</v>
      </c>
      <c r="F220" s="15" t="n">
        <f aca="false">E220*(1+IF(F$3&lt;=$O$2,$D220,$D220-($D220-$I$211)*MIN(F$3-$O$2,$Q$2)/$Q$2))</f>
        <v>7380.98526000977</v>
      </c>
      <c r="G220" s="15" t="n">
        <f aca="false">F220*(1+IF(G$3&lt;=$O$2,$D220,$D220-($D220-$I$211)*MIN(G$3-$O$2,$Q$2)/$Q$2))</f>
        <v>7712.55295723677</v>
      </c>
      <c r="H220" s="15" t="n">
        <f aca="false">G220*(1+IF(H$3&lt;=$O$2,$D220,$D220-($D220-$I$211)*MIN(H$3-$O$2,$Q$2)/$Q$2))</f>
        <v>8059.01529711264</v>
      </c>
      <c r="I220" s="15" t="n">
        <f aca="false">H220*(1+IF(I$3&lt;=$O$2,$D220,$D220-($D220-$I$211)*MIN(I$3-$O$2,$Q$2)/$Q$2))</f>
        <v>8421.04137491262</v>
      </c>
      <c r="J220" s="15" t="n">
        <f aca="false">I220*(1+IF(J$3&lt;=$O$2,$D220,$D220-($D220-$I$211)*MIN(J$3-$O$2,$Q$2)/$Q$2))</f>
        <v>8762.91460213063</v>
      </c>
      <c r="K220" s="15" t="n">
        <f aca="false">J220*(1+IF(K$3&lt;=$O$2,$D220,$D220-($D220-$I$211)*MIN(K$3-$O$2,$Q$2)/$Q$2))</f>
        <v>9080.77289885804</v>
      </c>
      <c r="L220" s="15" t="n">
        <f aca="false">K220*(1+IF(L$3&lt;=$O$2,$D220,$D220-($D220-$I$211)*MIN(L$3-$O$2,$Q$2)/$Q$2))</f>
        <v>9370.89224201043</v>
      </c>
      <c r="M220" s="15" t="n">
        <f aca="false">L220*(1+IF(M$3&lt;=$O$2,$D220,$D220-($D220-$I$211)*MIN(M$3-$O$2,$Q$2)/$Q$2))</f>
        <v>9629.75728338832</v>
      </c>
      <c r="N220" s="15" t="n">
        <f aca="false">M220*(1+IF(N$3&lt;=$O$2,$D220,$D220-($D220-$I$211)*MIN(N$3-$O$2,$Q$2)/$Q$2))</f>
        <v>9854.13062809127</v>
      </c>
      <c r="O220" s="15" t="n">
        <f aca="false">SUMPRODUCT(E220:N220,1/(1+$F$211)^$E$3:$N$3)*$E$2</f>
        <v>36121.389131543</v>
      </c>
      <c r="P220" s="15" t="n">
        <f aca="false">N220*$E$2*(1+$I$211)/($F$211-$I$211)/(1+$F$211)^$N$3</f>
        <v>63539.7690711518</v>
      </c>
      <c r="Q220" s="15" t="n">
        <f aca="false">O220+P220</f>
        <v>99661.1582026949</v>
      </c>
      <c r="R220" s="15" t="n">
        <f aca="false">Q220-$G$2+$I$2</f>
        <v>98071.1582026949</v>
      </c>
      <c r="S220" s="42" t="n">
        <f aca="false">R220/$K$2</f>
        <v>272.738078321083</v>
      </c>
      <c r="T220" s="43" t="n">
        <f aca="false">S220-$M$2</f>
        <v>-5.28072138969117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0.044921875</v>
      </c>
      <c r="C221" s="25" t="n">
        <f aca="false">IF(T220&gt;0,D220,C220)</f>
        <v>0.05078125</v>
      </c>
      <c r="D221" s="41" t="n">
        <f aca="false">(B221+C221)/2</f>
        <v>0.0478515625</v>
      </c>
      <c r="E221" s="15" t="n">
        <f aca="false">$C$2*(1+IF(E$3&lt;=$O$2,$D221,$D221-($D221-$I$211)*MIN(E$3-$O$2,$Q$2)/$Q$2))</f>
        <v>7083.4765625</v>
      </c>
      <c r="F221" s="15" t="n">
        <f aca="false">E221*(1+IF(F$3&lt;=$O$2,$D221,$D221-($D221-$I$211)*MIN(F$3-$O$2,$Q$2)/$Q$2))</f>
        <v>7422.43198394775</v>
      </c>
      <c r="G221" s="15" t="n">
        <f aca="false">F221*(1+IF(G$3&lt;=$O$2,$D221,$D221-($D221-$I$211)*MIN(G$3-$O$2,$Q$2)/$Q$2))</f>
        <v>7777.60695192963</v>
      </c>
      <c r="H221" s="15" t="n">
        <f aca="false">G221*(1+IF(H$3&lt;=$O$2,$D221,$D221-($D221-$I$211)*MIN(H$3-$O$2,$Q$2)/$Q$2))</f>
        <v>8149.77759709032</v>
      </c>
      <c r="I221" s="15" t="n">
        <f aca="false">H221*(1+IF(I$3&lt;=$O$2,$D221,$D221-($D221-$I$211)*MIN(I$3-$O$2,$Q$2)/$Q$2))</f>
        <v>8539.75718913859</v>
      </c>
      <c r="J221" s="15" t="n">
        <f aca="false">I221*(1+IF(J$3&lt;=$O$2,$D221,$D221-($D221-$I$211)*MIN(J$3-$O$2,$Q$2)/$Q$2))</f>
        <v>8906.46503753669</v>
      </c>
      <c r="K221" s="15" t="n">
        <f aca="false">J221*(1+IF(K$3&lt;=$O$2,$D221,$D221-($D221-$I$211)*MIN(K$3-$O$2,$Q$2)/$Q$2))</f>
        <v>9245.18625272518</v>
      </c>
      <c r="L221" s="15" t="n">
        <f aca="false">K221*(1+IF(L$3&lt;=$O$2,$D221,$D221-($D221-$I$211)*MIN(L$3-$O$2,$Q$2)/$Q$2))</f>
        <v>9551.39259965685</v>
      </c>
      <c r="M221" s="15" t="n">
        <f aca="false">L221*(1+IF(M$3&lt;=$O$2,$D221,$D221-($D221-$I$211)*MIN(M$3-$O$2,$Q$2)/$Q$2))</f>
        <v>9820.84036970335</v>
      </c>
      <c r="N221" s="15" t="n">
        <f aca="false">M221*(1+IF(N$3&lt;=$O$2,$D221,$D221-($D221-$I$211)*MIN(N$3-$O$2,$Q$2)/$Q$2))</f>
        <v>10049.6659503174</v>
      </c>
      <c r="O221" s="15" t="n">
        <f aca="false">SUMPRODUCT(E221:N221,1/(1+$F$211)^$E$3:$N$3)*$E$2</f>
        <v>36592.7743388076</v>
      </c>
      <c r="P221" s="15" t="n">
        <f aca="false">N221*$E$2*(1+$I$211)/($F$211-$I$211)/(1+$F$211)^$N$3</f>
        <v>64800.5874719234</v>
      </c>
      <c r="Q221" s="15" t="n">
        <f aca="false">O221+P221</f>
        <v>101393.361810731</v>
      </c>
      <c r="R221" s="15" t="n">
        <f aca="false">Q221-$G$2+$I$2</f>
        <v>99803.361810731</v>
      </c>
      <c r="S221" s="42" t="n">
        <f aca="false">R221/$K$2</f>
        <v>277.555375189752</v>
      </c>
      <c r="T221" s="43" t="n">
        <f aca="false">S221-$M$2</f>
        <v>-0.463424521021807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0.0478515625</v>
      </c>
      <c r="C222" s="25" t="n">
        <f aca="false">IF(T221&gt;0,D221,C221)</f>
        <v>0.05078125</v>
      </c>
      <c r="D222" s="41" t="n">
        <f aca="false">(B222+C222)/2</f>
        <v>0.04931640625</v>
      </c>
      <c r="E222" s="15" t="n">
        <f aca="false">$C$2*(1+IF(E$3&lt;=$O$2,$D222,$D222-($D222-$I$211)*MIN(E$3-$O$2,$Q$2)/$Q$2))</f>
        <v>7093.37890625</v>
      </c>
      <c r="F222" s="15" t="n">
        <f aca="false">E222*(1+IF(F$3&lt;=$O$2,$D222,$D222-($D222-$I$211)*MIN(F$3-$O$2,$Q$2)/$Q$2))</f>
        <v>7443.19886207581</v>
      </c>
      <c r="G222" s="15" t="n">
        <f aca="false">F222*(1+IF(G$3&lt;=$O$2,$D222,$D222-($D222-$I$211)*MIN(G$3-$O$2,$Q$2)/$Q$2))</f>
        <v>7810.27068095747</v>
      </c>
      <c r="H222" s="15" t="n">
        <f aca="false">G222*(1+IF(H$3&lt;=$O$2,$D222,$D222-($D222-$I$211)*MIN(H$3-$O$2,$Q$2)/$Q$2))</f>
        <v>8195.44516278204</v>
      </c>
      <c r="I222" s="15" t="n">
        <f aca="false">H222*(1+IF(I$3&lt;=$O$2,$D222,$D222-($D222-$I$211)*MIN(I$3-$O$2,$Q$2)/$Q$2))</f>
        <v>8599.61506582939</v>
      </c>
      <c r="J222" s="15" t="n">
        <f aca="false">I222*(1+IF(J$3&lt;=$O$2,$D222,$D222-($D222-$I$211)*MIN(J$3-$O$2,$Q$2)/$Q$2))</f>
        <v>8978.97096018021</v>
      </c>
      <c r="K222" s="15" t="n">
        <f aca="false">J222*(1+IF(K$3&lt;=$O$2,$D222,$D222-($D222-$I$211)*MIN(K$3-$O$2,$Q$2)/$Q$2))</f>
        <v>9328.34131727661</v>
      </c>
      <c r="L222" s="15" t="n">
        <f aca="false">K222*(1+IF(L$3&lt;=$O$2,$D222,$D222-($D222-$I$211)*MIN(L$3-$O$2,$Q$2)/$Q$2))</f>
        <v>9642.76763690872</v>
      </c>
      <c r="M222" s="15" t="n">
        <f aca="false">L222*(1+IF(M$3&lt;=$O$2,$D222,$D222-($D222-$I$211)*MIN(M$3-$O$2,$Q$2)/$Q$2))</f>
        <v>9917.61815489193</v>
      </c>
      <c r="N222" s="15" t="n">
        <f aca="false">M222*(1+IF(N$3&lt;=$O$2,$D222,$D222-($D222-$I$211)*MIN(N$3-$O$2,$Q$2)/$Q$2))</f>
        <v>10148.6986579009</v>
      </c>
      <c r="O222" s="15" t="n">
        <f aca="false">SUMPRODUCT(E222:N222,1/(1+$F$211)^$E$3:$N$3)*$E$2</f>
        <v>36830.777432302</v>
      </c>
      <c r="P222" s="15" t="n">
        <f aca="false">N222*$E$2*(1+$I$211)/($F$211-$I$211)/(1+$F$211)^$N$3</f>
        <v>65439.1537349285</v>
      </c>
      <c r="Q222" s="15" t="n">
        <f aca="false">O222+P222</f>
        <v>102269.931167231</v>
      </c>
      <c r="R222" s="15" t="n">
        <f aca="false">Q222-$G$2+$I$2</f>
        <v>100679.931167231</v>
      </c>
      <c r="S222" s="42" t="n">
        <f aca="false">R222/$K$2</f>
        <v>279.993134121004</v>
      </c>
      <c r="T222" s="43" t="n">
        <f aca="false">S222-$M$2</f>
        <v>1.97433441023009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0.0478515625</v>
      </c>
      <c r="C223" s="25" t="n">
        <f aca="false">IF(T222&gt;0,D222,C222)</f>
        <v>0.04931640625</v>
      </c>
      <c r="D223" s="41" t="n">
        <f aca="false">(B223+C223)/2</f>
        <v>0.048583984375</v>
      </c>
      <c r="E223" s="15" t="n">
        <f aca="false">$C$2*(1+IF(E$3&lt;=$O$2,$D223,$D223-($D223-$I$211)*MIN(E$3-$O$2,$Q$2)/$Q$2))</f>
        <v>7088.427734375</v>
      </c>
      <c r="F223" s="15" t="n">
        <f aca="false">E223*(1+IF(F$3&lt;=$O$2,$D223,$D223-($D223-$I$211)*MIN(F$3-$O$2,$Q$2)/$Q$2))</f>
        <v>7432.81179666519</v>
      </c>
      <c r="G223" s="15" t="n">
        <f aca="false">F223*(1+IF(G$3&lt;=$O$2,$D223,$D223-($D223-$I$211)*MIN(G$3-$O$2,$Q$2)/$Q$2))</f>
        <v>7793.92740885669</v>
      </c>
      <c r="H223" s="15" t="n">
        <f aca="false">G223*(1+IF(H$3&lt;=$O$2,$D223,$D223-($D223-$I$211)*MIN(H$3-$O$2,$Q$2)/$Q$2))</f>
        <v>8172.58745630847</v>
      </c>
      <c r="I223" s="15" t="n">
        <f aca="false">H223*(1+IF(I$3&lt;=$O$2,$D223,$D223-($D223-$I$211)*MIN(I$3-$O$2,$Q$2)/$Q$2))</f>
        <v>8569.64431758908</v>
      </c>
      <c r="J223" s="15" t="n">
        <f aca="false">I223*(1+IF(J$3&lt;=$O$2,$D223,$D223-($D223-$I$211)*MIN(J$3-$O$2,$Q$2)/$Q$2))</f>
        <v>8942.65683260909</v>
      </c>
      <c r="K223" s="15" t="n">
        <f aca="false">J223*(1+IF(K$3&lt;=$O$2,$D223,$D223-($D223-$I$211)*MIN(K$3-$O$2,$Q$2)/$Q$2))</f>
        <v>9286.68433418488</v>
      </c>
      <c r="L223" s="15" t="n">
        <f aca="false">K223*(1+IF(L$3&lt;=$O$2,$D223,$D223-($D223-$I$211)*MIN(L$3-$O$2,$Q$2)/$Q$2))</f>
        <v>9596.98583181183</v>
      </c>
      <c r="M223" s="15" t="n">
        <f aca="false">L223*(1+IF(M$3&lt;=$O$2,$D223,$D223-($D223-$I$211)*MIN(M$3-$O$2,$Q$2)/$Q$2))</f>
        <v>9869.12560965677</v>
      </c>
      <c r="N223" s="15" t="n">
        <f aca="false">M223*(1+IF(N$3&lt;=$O$2,$D223,$D223-($D223-$I$211)*MIN(N$3-$O$2,$Q$2)/$Q$2))</f>
        <v>10099.0762363618</v>
      </c>
      <c r="O223" s="15" t="n">
        <f aca="false">SUMPRODUCT(E223:N223,1/(1+$F$211)^$E$3:$N$3)*$E$2</f>
        <v>36711.5823703852</v>
      </c>
      <c r="P223" s="15" t="n">
        <f aca="false">N223*$E$2*(1+$I$211)/($F$211-$I$211)/(1+$F$211)^$N$3</f>
        <v>65119.1866749872</v>
      </c>
      <c r="Q223" s="15" t="n">
        <f aca="false">O223+P223</f>
        <v>101830.769045372</v>
      </c>
      <c r="R223" s="15" t="n">
        <f aca="false">Q223-$G$2+$I$2</f>
        <v>100240.769045372</v>
      </c>
      <c r="S223" s="42" t="n">
        <f aca="false">R223/$K$2</f>
        <v>278.771814465133</v>
      </c>
      <c r="T223" s="43" t="n">
        <f aca="false">S223-$M$2</f>
        <v>0.753014754358901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0.0478515625</v>
      </c>
      <c r="C224" s="25" t="n">
        <f aca="false">IF(T223&gt;0,D223,C223)</f>
        <v>0.048583984375</v>
      </c>
      <c r="D224" s="41" t="n">
        <f aca="false">(B224+C224)/2</f>
        <v>0.0482177734375</v>
      </c>
      <c r="E224" s="15" t="n">
        <f aca="false">$C$2*(1+IF(E$3&lt;=$O$2,$D224,$D224-($D224-$I$211)*MIN(E$3-$O$2,$Q$2)/$Q$2))</f>
        <v>7085.9521484375</v>
      </c>
      <c r="F224" s="15" t="n">
        <f aca="false">E224*(1+IF(F$3&lt;=$O$2,$D224,$D224-($D224-$I$211)*MIN(F$3-$O$2,$Q$2)/$Q$2))</f>
        <v>7427.62098371983</v>
      </c>
      <c r="G224" s="15" t="n">
        <f aca="false">F224*(1+IF(G$3&lt;=$O$2,$D224,$D224-($D224-$I$211)*MIN(G$3-$O$2,$Q$2)/$Q$2))</f>
        <v>7785.76432949245</v>
      </c>
      <c r="H224" s="15" t="n">
        <f aca="false">G224*(1+IF(H$3&lt;=$O$2,$D224,$D224-($D224-$I$211)*MIN(H$3-$O$2,$Q$2)/$Q$2))</f>
        <v>8161.17654996969</v>
      </c>
      <c r="I224" s="15" t="n">
        <f aca="false">H224*(1+IF(I$3&lt;=$O$2,$D224,$D224-($D224-$I$211)*MIN(I$3-$O$2,$Q$2)/$Q$2))</f>
        <v>8554.69031183956</v>
      </c>
      <c r="J224" s="15" t="n">
        <f aca="false">I224*(1+IF(J$3&lt;=$O$2,$D224,$D224-($D224-$I$211)*MIN(J$3-$O$2,$Q$2)/$Q$2))</f>
        <v>8924.54566412014</v>
      </c>
      <c r="K224" s="15" t="n">
        <f aca="false">J224*(1+IF(K$3&lt;=$O$2,$D224,$D224-($D224-$I$211)*MIN(K$3-$O$2,$Q$2)/$Q$2))</f>
        <v>9265.91546222884</v>
      </c>
      <c r="L224" s="15" t="n">
        <f aca="false">K224*(1+IF(L$3&lt;=$O$2,$D224,$D224-($D224-$I$211)*MIN(L$3-$O$2,$Q$2)/$Q$2))</f>
        <v>9574.16568537031</v>
      </c>
      <c r="M224" s="15" t="n">
        <f aca="false">L224*(1+IF(M$3&lt;=$O$2,$D224,$D224-($D224-$I$211)*MIN(M$3-$O$2,$Q$2)/$Q$2))</f>
        <v>9844.95712411967</v>
      </c>
      <c r="N224" s="15" t="n">
        <f aca="false">M224*(1+IF(N$3&lt;=$O$2,$D224,$D224-($D224-$I$211)*MIN(N$3-$O$2,$Q$2)/$Q$2))</f>
        <v>10074.3446251117</v>
      </c>
      <c r="O224" s="15" t="n">
        <f aca="false">SUMPRODUCT(E224:N224,1/(1+$F$211)^$E$3:$N$3)*$E$2</f>
        <v>36652.1300490966</v>
      </c>
      <c r="P224" s="15" t="n">
        <f aca="false">N224*$E$2*(1+$I$211)/($F$211-$I$211)/(1+$F$211)^$N$3</f>
        <v>64959.7164054222</v>
      </c>
      <c r="Q224" s="15" t="n">
        <f aca="false">O224+P224</f>
        <v>101611.846454519</v>
      </c>
      <c r="R224" s="15" t="n">
        <f aca="false">Q224-$G$2+$I$2</f>
        <v>100021.846454519</v>
      </c>
      <c r="S224" s="42" t="n">
        <f aca="false">R224/$K$2</f>
        <v>278.162985857163</v>
      </c>
      <c r="T224" s="43" t="n">
        <f aca="false">S224-$M$2</f>
        <v>0.1441861463897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0.0478515625</v>
      </c>
      <c r="C225" s="25" t="n">
        <f aca="false">IF(T224&gt;0,D224,C224)</f>
        <v>0.0482177734375</v>
      </c>
      <c r="D225" s="41" t="n">
        <f aca="false">(B225+C225)/2</f>
        <v>0.04803466796875</v>
      </c>
      <c r="E225" s="15" t="n">
        <f aca="false">$C$2*(1+IF(E$3&lt;=$O$2,$D225,$D225-($D225-$I$211)*MIN(E$3-$O$2,$Q$2)/$Q$2))</f>
        <v>7084.71435546875</v>
      </c>
      <c r="F225" s="15" t="n">
        <f aca="false">E225*(1+IF(F$3&lt;=$O$2,$D225,$D225-($D225-$I$211)*MIN(F$3-$O$2,$Q$2)/$Q$2))</f>
        <v>7425.02625718713</v>
      </c>
      <c r="G225" s="15" t="n">
        <f aca="false">F225*(1+IF(G$3&lt;=$O$2,$D225,$D225-($D225-$I$211)*MIN(G$3-$O$2,$Q$2)/$Q$2))</f>
        <v>7781.68492811036</v>
      </c>
      <c r="H225" s="15" t="n">
        <f aca="false">G225*(1+IF(H$3&lt;=$O$2,$D225,$D225-($D225-$I$211)*MIN(H$3-$O$2,$Q$2)/$Q$2))</f>
        <v>8155.47557986957</v>
      </c>
      <c r="I225" s="15" t="n">
        <f aca="false">H225*(1+IF(I$3&lt;=$O$2,$D225,$D225-($D225-$I$211)*MIN(I$3-$O$2,$Q$2)/$Q$2))</f>
        <v>8547.22114147585</v>
      </c>
      <c r="J225" s="15" t="n">
        <f aca="false">I225*(1+IF(J$3&lt;=$O$2,$D225,$D225-($D225-$I$211)*MIN(J$3-$O$2,$Q$2)/$Q$2))</f>
        <v>8915.50153566415</v>
      </c>
      <c r="K225" s="15" t="n">
        <f aca="false">J225*(1+IF(K$3&lt;=$O$2,$D225,$D225-($D225-$I$211)*MIN(K$3-$O$2,$Q$2)/$Q$2))</f>
        <v>9255.54590360084</v>
      </c>
      <c r="L225" s="15" t="n">
        <f aca="false">K225*(1+IF(L$3&lt;=$O$2,$D225,$D225-($D225-$I$211)*MIN(L$3-$O$2,$Q$2)/$Q$2))</f>
        <v>9562.77326507278</v>
      </c>
      <c r="M225" s="15" t="n">
        <f aca="false">L225*(1+IF(M$3&lt;=$O$2,$D225,$D225-($D225-$I$211)*MIN(M$3-$O$2,$Q$2)/$Q$2))</f>
        <v>9832.89228646338</v>
      </c>
      <c r="N225" s="15" t="n">
        <f aca="false">M225*(1+IF(N$3&lt;=$O$2,$D225,$D225-($D225-$I$211)*MIN(N$3-$O$2,$Q$2)/$Q$2))</f>
        <v>10061.998676738</v>
      </c>
      <c r="O225" s="15" t="n">
        <f aca="false">SUMPRODUCT(E225:N225,1/(1+$F$211)^$E$3:$N$3)*$E$2</f>
        <v>36622.4401267282</v>
      </c>
      <c r="P225" s="15" t="n">
        <f aca="false">N225*$E$2*(1+$I$211)/($F$211-$I$211)/(1+$F$211)^$N$3</f>
        <v>64880.1093108713</v>
      </c>
      <c r="Q225" s="15" t="n">
        <f aca="false">O225+P225</f>
        <v>101502.549437599</v>
      </c>
      <c r="R225" s="15" t="n">
        <f aca="false">Q225-$G$2+$I$2</f>
        <v>99912.5494375995</v>
      </c>
      <c r="S225" s="42" t="n">
        <f aca="false">R225/$K$2</f>
        <v>277.859028415372</v>
      </c>
      <c r="T225" s="43" t="n">
        <f aca="false">S225-$M$2</f>
        <v>-0.159771295401754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0.04803466796875</v>
      </c>
      <c r="C226" s="25" t="n">
        <f aca="false">IF(T225&gt;0,D225,C225)</f>
        <v>0.0482177734375</v>
      </c>
      <c r="D226" s="41" t="n">
        <f aca="false">(B226+C226)/2</f>
        <v>0.048126220703125</v>
      </c>
      <c r="E226" s="15" t="n">
        <f aca="false">$C$2*(1+IF(E$3&lt;=$O$2,$D226,$D226-($D226-$I$211)*MIN(E$3-$O$2,$Q$2)/$Q$2))</f>
        <v>7085.33325195313</v>
      </c>
      <c r="F226" s="15" t="n">
        <f aca="false">E226*(1+IF(F$3&lt;=$O$2,$D226,$D226-($D226-$I$211)*MIN(F$3-$O$2,$Q$2)/$Q$2))</f>
        <v>7426.32356379181</v>
      </c>
      <c r="G226" s="15" t="n">
        <f aca="false">F226*(1+IF(G$3&lt;=$O$2,$D226,$D226-($D226-$I$211)*MIN(G$3-$O$2,$Q$2)/$Q$2))</f>
        <v>7783.72445063567</v>
      </c>
      <c r="H226" s="15" t="n">
        <f aca="false">G226*(1+IF(H$3&lt;=$O$2,$D226,$D226-($D226-$I$211)*MIN(H$3-$O$2,$Q$2)/$Q$2))</f>
        <v>8158.32569143928</v>
      </c>
      <c r="I226" s="15" t="n">
        <f aca="false">H226*(1+IF(I$3&lt;=$O$2,$D226,$D226-($D226-$I$211)*MIN(I$3-$O$2,$Q$2)/$Q$2))</f>
        <v>8550.95507423346</v>
      </c>
      <c r="J226" s="15" t="n">
        <f aca="false">I226*(1+IF(J$3&lt;=$O$2,$D226,$D226-($D226-$I$211)*MIN(J$3-$O$2,$Q$2)/$Q$2))</f>
        <v>8920.02264577944</v>
      </c>
      <c r="K226" s="15" t="n">
        <f aca="false">J226*(1+IF(K$3&lt;=$O$2,$D226,$D226-($D226-$I$211)*MIN(K$3-$O$2,$Q$2)/$Q$2))</f>
        <v>9260.7294439547</v>
      </c>
      <c r="L226" s="15" t="n">
        <f aca="false">K226*(1+IF(L$3&lt;=$O$2,$D226,$D226-($D226-$I$211)*MIN(L$3-$O$2,$Q$2)/$Q$2))</f>
        <v>9568.46800521786</v>
      </c>
      <c r="M226" s="15" t="n">
        <f aca="false">L226*(1+IF(M$3&lt;=$O$2,$D226,$D226-($D226-$I$211)*MIN(M$3-$O$2,$Q$2)/$Q$2))</f>
        <v>9838.9230894371</v>
      </c>
      <c r="N226" s="15" t="n">
        <f aca="false">M226*(1+IF(N$3&lt;=$O$2,$D226,$D226-($D226-$I$211)*MIN(N$3-$O$2,$Q$2)/$Q$2))</f>
        <v>10068.169997421</v>
      </c>
      <c r="O226" s="15" t="n">
        <f aca="false">SUMPRODUCT(E226:N226,1/(1+$F$211)^$E$3:$N$3)*$E$2</f>
        <v>36637.282069963</v>
      </c>
      <c r="P226" s="15" t="n">
        <f aca="false">N226*$E$2*(1+$I$211)/($F$211-$I$211)/(1+$F$211)^$N$3</f>
        <v>64919.9021962979</v>
      </c>
      <c r="Q226" s="15" t="n">
        <f aca="false">O226+P226</f>
        <v>101557.184266261</v>
      </c>
      <c r="R226" s="15" t="n">
        <f aca="false">Q226-$G$2+$I$2</f>
        <v>99967.1842662609</v>
      </c>
      <c r="S226" s="42" t="n">
        <f aca="false">R226/$K$2</f>
        <v>278.010969092444</v>
      </c>
      <c r="T226" s="43" t="n">
        <f aca="false">S226-$M$2</f>
        <v>-0.00783061833010379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0.048126220703125</v>
      </c>
      <c r="C227" s="25" t="n">
        <f aca="false">IF(T226&gt;0,D226,C226)</f>
        <v>0.0482177734375</v>
      </c>
      <c r="D227" s="41" t="n">
        <f aca="false">(B227+C227)/2</f>
        <v>0.0481719970703125</v>
      </c>
      <c r="E227" s="15" t="n">
        <f aca="false">$C$2*(1+IF(E$3&lt;=$O$2,$D227,$D227-($D227-$I$211)*MIN(E$3-$O$2,$Q$2)/$Q$2))</f>
        <v>7085.64270019531</v>
      </c>
      <c r="F227" s="15" t="n">
        <f aca="false">E227*(1+IF(F$3&lt;=$O$2,$D227,$D227-($D227-$I$211)*MIN(F$3-$O$2,$Q$2)/$Q$2))</f>
        <v>7426.9722595904</v>
      </c>
      <c r="G227" s="15" t="n">
        <f aca="false">F227*(1+IF(G$3&lt;=$O$2,$D227,$D227-($D227-$I$211)*MIN(G$3-$O$2,$Q$2)/$Q$2))</f>
        <v>7784.74434552068</v>
      </c>
      <c r="H227" s="15" t="n">
        <f aca="false">G227*(1+IF(H$3&lt;=$O$2,$D227,$D227-($D227-$I$211)*MIN(H$3-$O$2,$Q$2)/$Q$2))</f>
        <v>8159.75102732624</v>
      </c>
      <c r="I227" s="15" t="n">
        <f aca="false">H227*(1+IF(I$3&lt;=$O$2,$D227,$D227-($D227-$I$211)*MIN(I$3-$O$2,$Q$2)/$Q$2))</f>
        <v>8552.82252990908</v>
      </c>
      <c r="J227" s="15" t="n">
        <f aca="false">I227*(1+IF(J$3&lt;=$O$2,$D227,$D227-($D227-$I$211)*MIN(J$3-$O$2,$Q$2)/$Q$2))</f>
        <v>8922.2839163814</v>
      </c>
      <c r="K227" s="15" t="n">
        <f aca="false">J227*(1+IF(K$3&lt;=$O$2,$D227,$D227-($D227-$I$211)*MIN(K$3-$O$2,$Q$2)/$Q$2))</f>
        <v>9263.32214329032</v>
      </c>
      <c r="L227" s="15" t="n">
        <f aca="false">K227*(1+IF(L$3&lt;=$O$2,$D227,$D227-($D227-$I$211)*MIN(L$3-$O$2,$Q$2)/$Q$2))</f>
        <v>9571.3164777127</v>
      </c>
      <c r="M227" s="15" t="n">
        <f aca="false">L227*(1+IF(M$3&lt;=$O$2,$D227,$D227-($D227-$I$211)*MIN(M$3-$O$2,$Q$2)/$Q$2))</f>
        <v>9841.93970272194</v>
      </c>
      <c r="N227" s="15" t="n">
        <f aca="false">M227*(1+IF(N$3&lt;=$O$2,$D227,$D227-($D227-$I$211)*MIN(N$3-$O$2,$Q$2)/$Q$2))</f>
        <v>10071.2568977954</v>
      </c>
      <c r="O227" s="15" t="n">
        <f aca="false">SUMPRODUCT(E227:N227,1/(1+$F$211)^$E$3:$N$3)*$E$2</f>
        <v>36644.7053048995</v>
      </c>
      <c r="P227" s="15" t="n">
        <f aca="false">N227*$E$2*(1+$I$211)/($F$211-$I$211)/(1+$F$211)^$N$3</f>
        <v>64939.8066347853</v>
      </c>
      <c r="Q227" s="15" t="n">
        <f aca="false">O227+P227</f>
        <v>101584.511939685</v>
      </c>
      <c r="R227" s="15" t="n">
        <f aca="false">Q227-$G$2+$I$2</f>
        <v>99994.5119396848</v>
      </c>
      <c r="S227" s="42" t="n">
        <f aca="false">R227/$K$2</f>
        <v>278.086967961746</v>
      </c>
      <c r="T227" s="43" t="n">
        <f aca="false">S227-$M$2</f>
        <v>0.0681682509727466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0.048126220703125</v>
      </c>
      <c r="C228" s="25" t="n">
        <f aca="false">IF(T227&gt;0,D227,C227)</f>
        <v>0.0481719970703125</v>
      </c>
      <c r="D228" s="41" t="n">
        <f aca="false">(B228+C228)/2</f>
        <v>0.0481491088867188</v>
      </c>
      <c r="E228" s="15" t="n">
        <f aca="false">$C$2*(1+IF(E$3&lt;=$O$2,$D228,$D228-($D228-$I$211)*MIN(E$3-$O$2,$Q$2)/$Q$2))</f>
        <v>7085.48797607422</v>
      </c>
      <c r="F228" s="15" t="n">
        <f aca="false">E228*(1+IF(F$3&lt;=$O$2,$D228,$D228-($D228-$I$211)*MIN(F$3-$O$2,$Q$2)/$Q$2))</f>
        <v>7426.64790814975</v>
      </c>
      <c r="G228" s="15" t="n">
        <f aca="false">F228*(1+IF(G$3&lt;=$O$2,$D228,$D228-($D228-$I$211)*MIN(G$3-$O$2,$Q$2)/$Q$2))</f>
        <v>7784.23438694258</v>
      </c>
      <c r="H228" s="15" t="n">
        <f aca="false">G228*(1+IF(H$3&lt;=$O$2,$D228,$D228-($D228-$I$211)*MIN(H$3-$O$2,$Q$2)/$Q$2))</f>
        <v>8159.03833603922</v>
      </c>
      <c r="I228" s="15" t="n">
        <f aca="false">H228*(1+IF(I$3&lt;=$O$2,$D228,$D228-($D228-$I$211)*MIN(I$3-$O$2,$Q$2)/$Q$2))</f>
        <v>8551.88876129208</v>
      </c>
      <c r="J228" s="15" t="n">
        <f aca="false">I228*(1+IF(J$3&lt;=$O$2,$D228,$D228-($D228-$I$211)*MIN(J$3-$O$2,$Q$2)/$Q$2))</f>
        <v>8921.15322144335</v>
      </c>
      <c r="K228" s="15" t="n">
        <f aca="false">J228*(1+IF(K$3&lt;=$O$2,$D228,$D228-($D228-$I$211)*MIN(K$3-$O$2,$Q$2)/$Q$2))</f>
        <v>9262.02571617983</v>
      </c>
      <c r="L228" s="15" t="n">
        <f aca="false">K228*(1+IF(L$3&lt;=$O$2,$D228,$D228-($D228-$I$211)*MIN(L$3-$O$2,$Q$2)/$Q$2))</f>
        <v>9569.89214958</v>
      </c>
      <c r="M228" s="15" t="n">
        <f aca="false">L228*(1+IF(M$3&lt;=$O$2,$D228,$D228-($D228-$I$211)*MIN(M$3-$O$2,$Q$2)/$Q$2))</f>
        <v>9840.43129507702</v>
      </c>
      <c r="N228" s="15" t="n">
        <f aca="false">M228*(1+IF(N$3&lt;=$O$2,$D228,$D228-($D228-$I$211)*MIN(N$3-$O$2,$Q$2)/$Q$2))</f>
        <v>10069.7133442523</v>
      </c>
      <c r="O228" s="15" t="n">
        <f aca="false">SUMPRODUCT(E228:N228,1/(1+$F$211)^$E$3:$N$3)*$E$2</f>
        <v>36640.9934987915</v>
      </c>
      <c r="P228" s="15" t="n">
        <f aca="false">N228*$E$2*(1+$I$211)/($F$211-$I$211)/(1+$F$211)^$N$3</f>
        <v>64929.8537490995</v>
      </c>
      <c r="Q228" s="15" t="n">
        <f aca="false">O228+P228</f>
        <v>101570.847247891</v>
      </c>
      <c r="R228" s="15" t="n">
        <f aca="false">Q228-$G$2+$I$2</f>
        <v>99980.847247891</v>
      </c>
      <c r="S228" s="42" t="n">
        <f aca="false">R228/$K$2</f>
        <v>278.048966149094</v>
      </c>
      <c r="T228" s="43" t="n">
        <f aca="false">S228-$M$2</f>
        <v>0.0301664383198386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0.048126220703125</v>
      </c>
      <c r="C229" s="25" t="n">
        <f aca="false">IF(T228&gt;0,D228,C228)</f>
        <v>0.0481491088867188</v>
      </c>
      <c r="D229" s="41" t="n">
        <f aca="false">(B229+C229)/2</f>
        <v>0.0481376647949219</v>
      </c>
      <c r="E229" s="15" t="n">
        <f aca="false">$C$2*(1+IF(E$3&lt;=$O$2,$D229,$D229-($D229-$I$211)*MIN(E$3-$O$2,$Q$2)/$Q$2))</f>
        <v>7085.41061401367</v>
      </c>
      <c r="F229" s="15" t="n">
        <f aca="false">E229*(1+IF(F$3&lt;=$O$2,$D229,$D229-($D229-$I$211)*MIN(F$3-$O$2,$Q$2)/$Q$2))</f>
        <v>7426.48573508544</v>
      </c>
      <c r="G229" s="15" t="n">
        <f aca="false">F229*(1+IF(G$3&lt;=$O$2,$D229,$D229-($D229-$I$211)*MIN(G$3-$O$2,$Q$2)/$Q$2))</f>
        <v>7783.97941600526</v>
      </c>
      <c r="H229" s="15" t="n">
        <f aca="false">G229*(1+IF(H$3&lt;=$O$2,$D229,$D229-($D229-$I$211)*MIN(H$3-$O$2,$Q$2)/$Q$2))</f>
        <v>8158.68200790349</v>
      </c>
      <c r="I229" s="15" t="n">
        <f aca="false">H229*(1+IF(I$3&lt;=$O$2,$D229,$D229-($D229-$I$211)*MIN(I$3-$O$2,$Q$2)/$Q$2))</f>
        <v>8551.42190756831</v>
      </c>
      <c r="J229" s="15" t="n">
        <f aca="false">I229*(1+IF(J$3&lt;=$O$2,$D229,$D229-($D229-$I$211)*MIN(J$3-$O$2,$Q$2)/$Q$2))</f>
        <v>8920.58791870276</v>
      </c>
      <c r="K229" s="15" t="n">
        <f aca="false">J229*(1+IF(K$3&lt;=$O$2,$D229,$D229-($D229-$I$211)*MIN(K$3-$O$2,$Q$2)/$Q$2))</f>
        <v>9261.37756070755</v>
      </c>
      <c r="L229" s="15" t="n">
        <f aca="false">K229*(1+IF(L$3&lt;=$O$2,$D229,$D229-($D229-$I$211)*MIN(L$3-$O$2,$Q$2)/$Q$2))</f>
        <v>9569.18005442886</v>
      </c>
      <c r="M229" s="15" t="n">
        <f aca="false">L229*(1+IF(M$3&lt;=$O$2,$D229,$D229-($D229-$I$211)*MIN(M$3-$O$2,$Q$2)/$Q$2))</f>
        <v>9839.67716700789</v>
      </c>
      <c r="N229" s="15" t="n">
        <f aca="false">M229*(1+IF(N$3&lt;=$O$2,$D229,$D229-($D229-$I$211)*MIN(N$3-$O$2,$Q$2)/$Q$2))</f>
        <v>10068.9416449992</v>
      </c>
      <c r="O229" s="15" t="n">
        <f aca="false">SUMPRODUCT(E229:N229,1/(1+$F$211)^$E$3:$N$3)*$E$2</f>
        <v>36639.1377372196</v>
      </c>
      <c r="P229" s="15" t="n">
        <f aca="false">N229*$E$2*(1+$I$211)/($F$211-$I$211)/(1+$F$211)^$N$3</f>
        <v>64924.8778060978</v>
      </c>
      <c r="Q229" s="15" t="n">
        <f aca="false">O229+P229</f>
        <v>101564.015543317</v>
      </c>
      <c r="R229" s="15" t="n">
        <f aca="false">Q229-$G$2+$I$2</f>
        <v>99974.0155433173</v>
      </c>
      <c r="S229" s="42" t="n">
        <f aca="false">R229/$K$2</f>
        <v>278.029967026301</v>
      </c>
      <c r="T229" s="43" t="n">
        <f aca="false">S229-$M$2</f>
        <v>0.0111673155273593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0.048126220703125</v>
      </c>
      <c r="C230" s="25" t="n">
        <f aca="false">IF(T229&gt;0,D229,C229)</f>
        <v>0.0481376647949219</v>
      </c>
      <c r="D230" s="41" t="n">
        <f aca="false">(B230+C230)/2</f>
        <v>0.0481319427490234</v>
      </c>
      <c r="E230" s="15" t="n">
        <f aca="false">$C$2*(1+IF(E$3&lt;=$O$2,$D230,$D230-($D230-$I$211)*MIN(E$3-$O$2,$Q$2)/$Q$2))</f>
        <v>7085.3719329834</v>
      </c>
      <c r="F230" s="15" t="n">
        <f aca="false">E230*(1+IF(F$3&lt;=$O$2,$D230,$D230-($D230-$I$211)*MIN(F$3-$O$2,$Q$2)/$Q$2))</f>
        <v>7426.40464921729</v>
      </c>
      <c r="G230" s="15" t="n">
        <f aca="false">F230*(1+IF(G$3&lt;=$O$2,$D230,$D230-($D230-$I$211)*MIN(G$3-$O$2,$Q$2)/$Q$2))</f>
        <v>7783.8519326245</v>
      </c>
      <c r="H230" s="15" t="n">
        <f aca="false">G230*(1+IF(H$3&lt;=$O$2,$D230,$D230-($D230-$I$211)*MIN(H$3-$O$2,$Q$2)/$Q$2))</f>
        <v>8158.50384821246</v>
      </c>
      <c r="I230" s="15" t="n">
        <f aca="false">H230*(1+IF(I$3&lt;=$O$2,$D230,$D230-($D230-$I$211)*MIN(I$3-$O$2,$Q$2)/$Q$2))</f>
        <v>8551.18848835231</v>
      </c>
      <c r="J230" s="15" t="n">
        <f aca="false">I230*(1+IF(J$3&lt;=$O$2,$D230,$D230-($D230-$I$211)*MIN(J$3-$O$2,$Q$2)/$Q$2))</f>
        <v>8920.30527851402</v>
      </c>
      <c r="K230" s="15" t="n">
        <f aca="false">J230*(1+IF(K$3&lt;=$O$2,$D230,$D230-($D230-$I$211)*MIN(K$3-$O$2,$Q$2)/$Q$2))</f>
        <v>9261.05349749132</v>
      </c>
      <c r="L230" s="15" t="n">
        <f aca="false">K230*(1+IF(L$3&lt;=$O$2,$D230,$D230-($D230-$I$211)*MIN(L$3-$O$2,$Q$2)/$Q$2))</f>
        <v>9568.824024081</v>
      </c>
      <c r="M230" s="15" t="n">
        <f aca="false">L230*(1+IF(M$3&lt;=$O$2,$D230,$D230-($D230-$I$211)*MIN(M$3-$O$2,$Q$2)/$Q$2))</f>
        <v>9839.30012191038</v>
      </c>
      <c r="N230" s="15" t="n">
        <f aca="false">M230*(1+IF(N$3&lt;=$O$2,$D230,$D230-($D230-$I$211)*MIN(N$3-$O$2,$Q$2)/$Q$2))</f>
        <v>10068.5558147509</v>
      </c>
      <c r="O230" s="15" t="n">
        <f aca="false">SUMPRODUCT(E230:N230,1/(1+$F$211)^$E$3:$N$3)*$E$2</f>
        <v>36638.2098918021</v>
      </c>
      <c r="P230" s="15" t="n">
        <f aca="false">N230*$E$2*(1+$I$211)/($F$211-$I$211)/(1+$F$211)^$N$3</f>
        <v>64922.3899595488</v>
      </c>
      <c r="Q230" s="15" t="n">
        <f aca="false">O230+P230</f>
        <v>101560.599851351</v>
      </c>
      <c r="R230" s="15" t="n">
        <f aca="false">Q230-$G$2+$I$2</f>
        <v>99970.5998513509</v>
      </c>
      <c r="S230" s="42" t="n">
        <f aca="false">R230/$K$2</f>
        <v>278.02046791076</v>
      </c>
      <c r="T230" s="43" t="n">
        <f aca="false">S230-$M$2</f>
        <v>0.00166819998582923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0.048126220703125</v>
      </c>
      <c r="C231" s="25" t="n">
        <f aca="false">IF(T230&gt;0,D230,C230)</f>
        <v>0.0481319427490234</v>
      </c>
      <c r="D231" s="41" t="n">
        <f aca="false">(B231+C231)/2</f>
        <v>0.0481290817260742</v>
      </c>
      <c r="E231" s="15" t="n">
        <f aca="false">$C$2*(1+IF(E$3&lt;=$O$2,$D231,$D231-($D231-$I$211)*MIN(E$3-$O$2,$Q$2)/$Q$2))</f>
        <v>7085.35259246826</v>
      </c>
      <c r="F231" s="15" t="n">
        <f aca="false">E231*(1+IF(F$3&lt;=$O$2,$D231,$D231-($D231-$I$211)*MIN(F$3-$O$2,$Q$2)/$Q$2))</f>
        <v>7426.36410644922</v>
      </c>
      <c r="G231" s="15" t="n">
        <f aca="false">F231*(1+IF(G$3&lt;=$O$2,$D231,$D231-($D231-$I$211)*MIN(G$3-$O$2,$Q$2)/$Q$2))</f>
        <v>7783.7881914561</v>
      </c>
      <c r="H231" s="15" t="n">
        <f aca="false">G231*(1+IF(H$3&lt;=$O$2,$D231,$D231-($D231-$I$211)*MIN(H$3-$O$2,$Q$2)/$Q$2))</f>
        <v>8158.41476946114</v>
      </c>
      <c r="I231" s="15" t="n">
        <f aca="false">H231*(1+IF(I$3&lt;=$O$2,$D231,$D231-($D231-$I$211)*MIN(I$3-$O$2,$Q$2)/$Q$2))</f>
        <v>8551.07178065574</v>
      </c>
      <c r="J231" s="15" t="n">
        <f aca="false">I231*(1+IF(J$3&lt;=$O$2,$D231,$D231-($D231-$I$211)*MIN(J$3-$O$2,$Q$2)/$Q$2))</f>
        <v>8920.16396121497</v>
      </c>
      <c r="K231" s="15" t="n">
        <f aca="false">J231*(1+IF(K$3&lt;=$O$2,$D231,$D231-($D231-$I$211)*MIN(K$3-$O$2,$Q$2)/$Q$2))</f>
        <v>9260.89146951307</v>
      </c>
      <c r="L231" s="15" t="n">
        <f aca="false">K231*(1+IF(L$3&lt;=$O$2,$D231,$D231-($D231-$I$211)*MIN(L$3-$O$2,$Q$2)/$Q$2))</f>
        <v>9568.64601321386</v>
      </c>
      <c r="M231" s="15" t="n">
        <f aca="false">L231*(1+IF(M$3&lt;=$O$2,$D231,$D231-($D231-$I$211)*MIN(M$3-$O$2,$Q$2)/$Q$2))</f>
        <v>9839.11160409573</v>
      </c>
      <c r="N231" s="15" t="n">
        <f aca="false">M231*(1+IF(N$3&lt;=$O$2,$D231,$D231-($D231-$I$211)*MIN(N$3-$O$2,$Q$2)/$Q$2))</f>
        <v>10068.3629044712</v>
      </c>
      <c r="O231" s="15" t="n">
        <f aca="false">SUMPRODUCT(E231:N231,1/(1+$F$211)^$E$3:$N$3)*$E$2</f>
        <v>36637.7459779353</v>
      </c>
      <c r="P231" s="15" t="n">
        <f aca="false">N231*$E$2*(1+$I$211)/($F$211-$I$211)/(1+$F$211)^$N$3</f>
        <v>64921.1460675112</v>
      </c>
      <c r="Q231" s="15" t="n">
        <f aca="false">O231+P231</f>
        <v>101558.892045447</v>
      </c>
      <c r="R231" s="15" t="n">
        <f aca="false">Q231-$G$2+$I$2</f>
        <v>99968.8920454465</v>
      </c>
      <c r="S231" s="42" t="n">
        <f aca="false">R231/$K$2</f>
        <v>278.015718464449</v>
      </c>
      <c r="T231" s="43" t="n">
        <f aca="false">S231-$M$2</f>
        <v>-0.00308124632482532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0.0481290817260742</v>
      </c>
      <c r="C232" s="25" t="n">
        <f aca="false">IF(T231&gt;0,D231,C231)</f>
        <v>0.0481319427490234</v>
      </c>
      <c r="D232" s="41" t="n">
        <f aca="false">(B232+C232)/2</f>
        <v>0.0481305122375488</v>
      </c>
      <c r="E232" s="15" t="n">
        <f aca="false">$C$2*(1+IF(E$3&lt;=$O$2,$D232,$D232-($D232-$I$211)*MIN(E$3-$O$2,$Q$2)/$Q$2))</f>
        <v>7085.36226272583</v>
      </c>
      <c r="F232" s="15" t="n">
        <f aca="false">E232*(1+IF(F$3&lt;=$O$2,$D232,$D232-($D232-$I$211)*MIN(F$3-$O$2,$Q$2)/$Q$2))</f>
        <v>7426.38437781942</v>
      </c>
      <c r="G232" s="15" t="n">
        <f aca="false">F232*(1+IF(G$3&lt;=$O$2,$D232,$D232-($D232-$I$211)*MIN(G$3-$O$2,$Q$2)/$Q$2))</f>
        <v>7783.8200619968</v>
      </c>
      <c r="H232" s="15" t="n">
        <f aca="false">G232*(1+IF(H$3&lt;=$O$2,$D232,$D232-($D232-$I$211)*MIN(H$3-$O$2,$Q$2)/$Q$2))</f>
        <v>8158.45930874562</v>
      </c>
      <c r="I232" s="15" t="n">
        <f aca="false">H232*(1+IF(I$3&lt;=$O$2,$D232,$D232-($D232-$I$211)*MIN(I$3-$O$2,$Q$2)/$Q$2))</f>
        <v>8551.13013434474</v>
      </c>
      <c r="J232" s="15" t="n">
        <f aca="false">I232*(1+IF(J$3&lt;=$O$2,$D232,$D232-($D232-$I$211)*MIN(J$3-$O$2,$Q$2)/$Q$2))</f>
        <v>8920.23461963155</v>
      </c>
      <c r="K232" s="15" t="n">
        <f aca="false">J232*(1+IF(K$3&lt;=$O$2,$D232,$D232-($D232-$I$211)*MIN(K$3-$O$2,$Q$2)/$Q$2))</f>
        <v>9260.97248319971</v>
      </c>
      <c r="L232" s="15" t="n">
        <f aca="false">K232*(1+IF(L$3&lt;=$O$2,$D232,$D232-($D232-$I$211)*MIN(L$3-$O$2,$Q$2)/$Q$2))</f>
        <v>9568.73501828854</v>
      </c>
      <c r="M232" s="15" t="n">
        <f aca="false">L232*(1+IF(M$3&lt;=$O$2,$D232,$D232-($D232-$I$211)*MIN(M$3-$O$2,$Q$2)/$Q$2))</f>
        <v>9839.20586260855</v>
      </c>
      <c r="N232" s="15" t="n">
        <f aca="false">M232*(1+IF(N$3&lt;=$O$2,$D232,$D232-($D232-$I$211)*MIN(N$3-$O$2,$Q$2)/$Q$2))</f>
        <v>10068.4593592073</v>
      </c>
      <c r="O232" s="15" t="n">
        <f aca="false">SUMPRODUCT(E232:N232,1/(1+$F$211)^$E$3:$N$3)*$E$2</f>
        <v>36637.9779341319</v>
      </c>
      <c r="P232" s="15" t="n">
        <f aca="false">N232*$E$2*(1+$I$211)/($F$211-$I$211)/(1+$F$211)^$N$3</f>
        <v>64921.7680109269</v>
      </c>
      <c r="Q232" s="15" t="n">
        <f aca="false">O232+P232</f>
        <v>101559.745945059</v>
      </c>
      <c r="R232" s="15" t="n">
        <f aca="false">Q232-$G$2+$I$2</f>
        <v>99969.7459450588</v>
      </c>
      <c r="S232" s="42" t="n">
        <f aca="false">R232/$K$2</f>
        <v>278.018093178316</v>
      </c>
      <c r="T232" s="43" t="n">
        <f aca="false">S232-$M$2</f>
        <v>-0.000706532457797948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0.0481305122375488</v>
      </c>
      <c r="C233" s="25" t="n">
        <f aca="false">IF(T232&gt;0,D232,C232)</f>
        <v>0.0481319427490234</v>
      </c>
      <c r="D233" s="41" t="n">
        <f aca="false">(B233+C233)/2</f>
        <v>0.0481312274932861</v>
      </c>
      <c r="E233" s="15" t="n">
        <f aca="false">$C$2*(1+IF(E$3&lt;=$O$2,$D233,$D233-($D233-$I$211)*MIN(E$3-$O$2,$Q$2)/$Q$2))</f>
        <v>7085.36709785461</v>
      </c>
      <c r="F233" s="15" t="n">
        <f aca="false">E233*(1+IF(F$3&lt;=$O$2,$D233,$D233-($D233-$I$211)*MIN(F$3-$O$2,$Q$2)/$Q$2))</f>
        <v>7426.3945135149</v>
      </c>
      <c r="G233" s="15" t="n">
        <f aca="false">F233*(1+IF(G$3&lt;=$O$2,$D233,$D233-($D233-$I$211)*MIN(G$3-$O$2,$Q$2)/$Q$2))</f>
        <v>7783.83599729978</v>
      </c>
      <c r="H233" s="15" t="n">
        <f aca="false">G233*(1+IF(H$3&lt;=$O$2,$D233,$D233-($D233-$I$211)*MIN(H$3-$O$2,$Q$2)/$Q$2))</f>
        <v>8158.48157845624</v>
      </c>
      <c r="I233" s="15" t="n">
        <f aca="false">H233*(1+IF(I$3&lt;=$O$2,$D233,$D233-($D233-$I$211)*MIN(I$3-$O$2,$Q$2)/$Q$2))</f>
        <v>8551.1593113087</v>
      </c>
      <c r="J233" s="15" t="n">
        <f aca="false">I233*(1+IF(J$3&lt;=$O$2,$D233,$D233-($D233-$I$211)*MIN(J$3-$O$2,$Q$2)/$Q$2))</f>
        <v>8920.26994901455</v>
      </c>
      <c r="K233" s="15" t="n">
        <f aca="false">J233*(1+IF(K$3&lt;=$O$2,$D233,$D233-($D233-$I$211)*MIN(K$3-$O$2,$Q$2)/$Q$2))</f>
        <v>9261.01299026989</v>
      </c>
      <c r="L233" s="15" t="n">
        <f aca="false">K233*(1+IF(L$3&lt;=$O$2,$D233,$D233-($D233-$I$211)*MIN(L$3-$O$2,$Q$2)/$Q$2))</f>
        <v>9568.77952109505</v>
      </c>
      <c r="M233" s="15" t="n">
        <f aca="false">L233*(1+IF(M$3&lt;=$O$2,$D233,$D233-($D233-$I$211)*MIN(M$3-$O$2,$Q$2)/$Q$2))</f>
        <v>9839.25299216084</v>
      </c>
      <c r="N233" s="15" t="n">
        <f aca="false">M233*(1+IF(N$3&lt;=$O$2,$D233,$D233-($D233-$I$211)*MIN(N$3-$O$2,$Q$2)/$Q$2))</f>
        <v>10068.5075868782</v>
      </c>
      <c r="O233" s="15" t="n">
        <f aca="false">SUMPRODUCT(E233:N233,1/(1+$F$211)^$E$3:$N$3)*$E$2</f>
        <v>36638.0939127828</v>
      </c>
      <c r="P233" s="15" t="n">
        <f aca="false">N233*$E$2*(1+$I$211)/($F$211-$I$211)/(1+$F$211)^$N$3</f>
        <v>64922.0789845871</v>
      </c>
      <c r="Q233" s="15" t="n">
        <f aca="false">O233+P233</f>
        <v>101560.17289737</v>
      </c>
      <c r="R233" s="15" t="n">
        <f aca="false">Q233-$G$2+$I$2</f>
        <v>99970.1728973699</v>
      </c>
      <c r="S233" s="42" t="n">
        <f aca="false">R233/$K$2</f>
        <v>278.019280542216</v>
      </c>
      <c r="T233" s="43" t="n">
        <f aca="false">S233-$M$2</f>
        <v>0.000480831442075669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0.0481305122375488</v>
      </c>
      <c r="C234" s="25" t="n">
        <f aca="false">IF(T233&gt;0,D233,C233)</f>
        <v>0.0481312274932861</v>
      </c>
      <c r="D234" s="41" t="n">
        <f aca="false">(B234+C234)/2</f>
        <v>0.0481308698654175</v>
      </c>
      <c r="E234" s="15" t="n">
        <f aca="false">$C$2*(1+IF(E$3&lt;=$O$2,$D234,$D234-($D234-$I$211)*MIN(E$3-$O$2,$Q$2)/$Q$2))</f>
        <v>7085.36468029022</v>
      </c>
      <c r="F234" s="15" t="n">
        <f aca="false">E234*(1+IF(F$3&lt;=$O$2,$D234,$D234-($D234-$I$211)*MIN(F$3-$O$2,$Q$2)/$Q$2))</f>
        <v>7426.3894456663</v>
      </c>
      <c r="G234" s="15" t="n">
        <f aca="false">F234*(1+IF(G$3&lt;=$O$2,$D234,$D234-($D234-$I$211)*MIN(G$3-$O$2,$Q$2)/$Q$2))</f>
        <v>7783.82802964557</v>
      </c>
      <c r="H234" s="15" t="n">
        <f aca="false">G234*(1+IF(H$3&lt;=$O$2,$D234,$D234-($D234-$I$211)*MIN(H$3-$O$2,$Q$2)/$Q$2))</f>
        <v>8158.47044359523</v>
      </c>
      <c r="I234" s="15" t="n">
        <f aca="false">H234*(1+IF(I$3&lt;=$O$2,$D234,$D234-($D234-$I$211)*MIN(I$3-$O$2,$Q$2)/$Q$2))</f>
        <v>8551.14472281677</v>
      </c>
      <c r="J234" s="15" t="n">
        <f aca="false">I234*(1+IF(J$3&lt;=$O$2,$D234,$D234-($D234-$I$211)*MIN(J$3-$O$2,$Q$2)/$Q$2))</f>
        <v>8920.25228430849</v>
      </c>
      <c r="K234" s="15" t="n">
        <f aca="false">J234*(1+IF(K$3&lt;=$O$2,$D234,$D234-($D234-$I$211)*MIN(K$3-$O$2,$Q$2)/$Q$2))</f>
        <v>9260.99273671589</v>
      </c>
      <c r="L234" s="15" t="n">
        <f aca="false">K234*(1+IF(L$3&lt;=$O$2,$D234,$D234-($D234-$I$211)*MIN(L$3-$O$2,$Q$2)/$Q$2))</f>
        <v>9568.75726966936</v>
      </c>
      <c r="M234" s="15" t="n">
        <f aca="false">L234*(1+IF(M$3&lt;=$O$2,$D234,$D234-($D234-$I$211)*MIN(M$3-$O$2,$Q$2)/$Q$2))</f>
        <v>9839.22942736004</v>
      </c>
      <c r="N234" s="15" t="n">
        <f aca="false">M234*(1+IF(N$3&lt;=$O$2,$D234,$D234-($D234-$I$211)*MIN(N$3-$O$2,$Q$2)/$Q$2))</f>
        <v>10068.4834730175</v>
      </c>
      <c r="O234" s="15" t="n">
        <f aca="false">SUMPRODUCT(E234:N234,1/(1+$F$211)^$E$3:$N$3)*$E$2</f>
        <v>36638.0359234113</v>
      </c>
      <c r="P234" s="15" t="n">
        <f aca="false">N234*$E$2*(1+$I$211)/($F$211-$I$211)/(1+$F$211)^$N$3</f>
        <v>64921.9234975943</v>
      </c>
      <c r="Q234" s="15" t="n">
        <f aca="false">O234+P234</f>
        <v>101559.959421006</v>
      </c>
      <c r="R234" s="15" t="n">
        <f aca="false">Q234-$G$2+$I$2</f>
        <v>99969.9594210056</v>
      </c>
      <c r="S234" s="42" t="n">
        <f aca="false">R234/$K$2</f>
        <v>278.018686859685</v>
      </c>
      <c r="T234" s="43" t="n">
        <f aca="false">S234-$M$2</f>
        <v>-0.000112851088431398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0.0481308698654175</v>
      </c>
      <c r="C235" s="25" t="n">
        <f aca="false">IF(T234&gt;0,D234,C234)</f>
        <v>0.0481312274932861</v>
      </c>
      <c r="D235" s="41" t="n">
        <f aca="false">(B235+C235)/2</f>
        <v>0.0481310486793518</v>
      </c>
      <c r="E235" s="15" t="n">
        <f aca="false">$C$2*(1+IF(E$3&lt;=$O$2,$D235,$D235-($D235-$I$211)*MIN(E$3-$O$2,$Q$2)/$Q$2))</f>
        <v>7085.36588907242</v>
      </c>
      <c r="F235" s="15" t="n">
        <f aca="false">E235*(1+IF(F$3&lt;=$O$2,$D235,$D235-($D235-$I$211)*MIN(F$3-$O$2,$Q$2)/$Q$2))</f>
        <v>7426.39197959038</v>
      </c>
      <c r="G235" s="15" t="n">
        <f aca="false">F235*(1+IF(G$3&lt;=$O$2,$D235,$D235-($D235-$I$211)*MIN(G$3-$O$2,$Q$2)/$Q$2))</f>
        <v>7783.83201347199</v>
      </c>
      <c r="H235" s="15" t="n">
        <f aca="false">G235*(1+IF(H$3&lt;=$O$2,$D235,$D235-($D235-$I$211)*MIN(H$3-$O$2,$Q$2)/$Q$2))</f>
        <v>8158.47601102431</v>
      </c>
      <c r="I235" s="15" t="n">
        <f aca="false">H235*(1+IF(I$3&lt;=$O$2,$D235,$D235-($D235-$I$211)*MIN(I$3-$O$2,$Q$2)/$Q$2))</f>
        <v>8551.15201706025</v>
      </c>
      <c r="J235" s="15" t="n">
        <f aca="false">I235*(1+IF(J$3&lt;=$O$2,$D235,$D235-($D235-$I$211)*MIN(J$3-$O$2,$Q$2)/$Q$2))</f>
        <v>8920.26111665788</v>
      </c>
      <c r="K235" s="15" t="n">
        <f aca="false">J235*(1+IF(K$3&lt;=$O$2,$D235,$D235-($D235-$I$211)*MIN(K$3-$O$2,$Q$2)/$Q$2))</f>
        <v>9261.00286348816</v>
      </c>
      <c r="L235" s="15" t="n">
        <f aca="false">K235*(1+IF(L$3&lt;=$O$2,$D235,$D235-($D235-$I$211)*MIN(L$3-$O$2,$Q$2)/$Q$2))</f>
        <v>9568.76839537659</v>
      </c>
      <c r="M235" s="15" t="n">
        <f aca="false">L235*(1+IF(M$3&lt;=$O$2,$D235,$D235-($D235-$I$211)*MIN(M$3-$O$2,$Q$2)/$Q$2))</f>
        <v>9839.24120975428</v>
      </c>
      <c r="N235" s="15" t="n">
        <f aca="false">M235*(1+IF(N$3&lt;=$O$2,$D235,$D235-($D235-$I$211)*MIN(N$3-$O$2,$Q$2)/$Q$2))</f>
        <v>10068.4955299416</v>
      </c>
      <c r="O235" s="15" t="n">
        <f aca="false">SUMPRODUCT(E235:N235,1/(1+$F$211)^$E$3:$N$3)*$E$2</f>
        <v>36638.0649180856</v>
      </c>
      <c r="P235" s="15" t="n">
        <f aca="false">N235*$E$2*(1+$I$211)/($F$211-$I$211)/(1+$F$211)^$N$3</f>
        <v>64922.00124105</v>
      </c>
      <c r="Q235" s="15" t="n">
        <f aca="false">O235+P235</f>
        <v>101560.066159136</v>
      </c>
      <c r="R235" s="15" t="n">
        <f aca="false">Q235-$G$2+$I$2</f>
        <v>99970.0661591356</v>
      </c>
      <c r="S235" s="42" t="n">
        <f aca="false">R235/$K$2</f>
        <v>278.018983700805</v>
      </c>
      <c r="T235" s="43" t="n">
        <f aca="false">S235-$M$2</f>
        <v>0.000183990031644043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0.0481308698654175</v>
      </c>
      <c r="C236" s="25" t="n">
        <f aca="false">IF(T235&gt;0,D235,C235)</f>
        <v>0.0481310486793518</v>
      </c>
      <c r="D236" s="41" t="n">
        <f aca="false">(B236+C236)/2</f>
        <v>0.0481309592723846</v>
      </c>
      <c r="E236" s="15" t="n">
        <f aca="false">$C$2*(1+IF(E$3&lt;=$O$2,$D236,$D236-($D236-$I$211)*MIN(E$3-$O$2,$Q$2)/$Q$2))</f>
        <v>7085.36528468132</v>
      </c>
      <c r="F236" s="15" t="n">
        <f aca="false">E236*(1+IF(F$3&lt;=$O$2,$D236,$D236-($D236-$I$211)*MIN(F$3-$O$2,$Q$2)/$Q$2))</f>
        <v>7426.39071262829</v>
      </c>
      <c r="G236" s="15" t="n">
        <f aca="false">F236*(1+IF(G$3&lt;=$O$2,$D236,$D236-($D236-$I$211)*MIN(G$3-$O$2,$Q$2)/$Q$2))</f>
        <v>7783.83002155861</v>
      </c>
      <c r="H236" s="15" t="n">
        <f aca="false">G236*(1+IF(H$3&lt;=$O$2,$D236,$D236-($D236-$I$211)*MIN(H$3-$O$2,$Q$2)/$Q$2))</f>
        <v>8158.47322730942</v>
      </c>
      <c r="I236" s="15" t="n">
        <f aca="false">H236*(1+IF(I$3&lt;=$O$2,$D236,$D236-($D236-$I$211)*MIN(I$3-$O$2,$Q$2)/$Q$2))</f>
        <v>8551.14836993788</v>
      </c>
      <c r="J236" s="15" t="n">
        <f aca="false">I236*(1+IF(J$3&lt;=$O$2,$D236,$D236-($D236-$I$211)*MIN(J$3-$O$2,$Q$2)/$Q$2))</f>
        <v>8920.25670048227</v>
      </c>
      <c r="K236" s="15" t="n">
        <f aca="false">J236*(1+IF(K$3&lt;=$O$2,$D236,$D236-($D236-$I$211)*MIN(K$3-$O$2,$Q$2)/$Q$2))</f>
        <v>9260.99780010084</v>
      </c>
      <c r="L236" s="15" t="n">
        <f aca="false">K236*(1+IF(L$3&lt;=$O$2,$D236,$D236-($D236-$I$211)*MIN(L$3-$O$2,$Q$2)/$Q$2))</f>
        <v>9568.76283252157</v>
      </c>
      <c r="M236" s="15" t="n">
        <f aca="false">L236*(1+IF(M$3&lt;=$O$2,$D236,$D236-($D236-$I$211)*MIN(M$3-$O$2,$Q$2)/$Q$2))</f>
        <v>9839.23531855562</v>
      </c>
      <c r="N236" s="15" t="n">
        <f aca="false">M236*(1+IF(N$3&lt;=$O$2,$D236,$D236-($D236-$I$211)*MIN(N$3-$O$2,$Q$2)/$Q$2))</f>
        <v>10068.489501478</v>
      </c>
      <c r="O236" s="15" t="n">
        <f aca="false">SUMPRODUCT(E236:N236,1/(1+$F$211)^$E$3:$N$3)*$E$2</f>
        <v>36638.0504207455</v>
      </c>
      <c r="P236" s="15" t="n">
        <f aca="false">N236*$E$2*(1+$I$211)/($F$211-$I$211)/(1+$F$211)^$N$3</f>
        <v>64921.962369312</v>
      </c>
      <c r="Q236" s="15" t="n">
        <f aca="false">O236+P236</f>
        <v>101560.012790058</v>
      </c>
      <c r="R236" s="15" t="n">
        <f aca="false">Q236-$G$2+$I$2</f>
        <v>99970.0127900576</v>
      </c>
      <c r="S236" s="42" t="n">
        <f aca="false">R236/$K$2</f>
        <v>278.018835280209</v>
      </c>
      <c r="T236" s="43" t="n">
        <f aca="false">S236-$M$2</f>
        <v>3.55694353402214E-005</v>
      </c>
    </row>
    <row r="238" customFormat="false" ht="15" hidden="false" customHeight="false" outlineLevel="0" collapsed="false">
      <c r="A238" s="38" t="s">
        <v>194</v>
      </c>
      <c r="E238" s="5" t="s">
        <v>11</v>
      </c>
      <c r="F238" s="12" t="n">
        <f aca="false">Sensitivity!$B$11</f>
        <v>0.0724202832668642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167</v>
      </c>
      <c r="B239" s="28" t="s">
        <v>168</v>
      </c>
      <c r="C239" s="28" t="s">
        <v>169</v>
      </c>
      <c r="D239" s="28" t="s">
        <v>170</v>
      </c>
      <c r="E239" s="28" t="s">
        <v>171</v>
      </c>
      <c r="F239" s="28" t="s">
        <v>172</v>
      </c>
      <c r="G239" s="28" t="s">
        <v>173</v>
      </c>
      <c r="H239" s="28" t="s">
        <v>174</v>
      </c>
      <c r="I239" s="28" t="s">
        <v>175</v>
      </c>
      <c r="J239" s="28" t="s">
        <v>176</v>
      </c>
      <c r="K239" s="28" t="s">
        <v>177</v>
      </c>
      <c r="L239" s="28" t="s">
        <v>178</v>
      </c>
      <c r="M239" s="28" t="s">
        <v>179</v>
      </c>
      <c r="N239" s="28" t="s">
        <v>180</v>
      </c>
      <c r="O239" s="28" t="s">
        <v>181</v>
      </c>
      <c r="P239" s="28" t="s">
        <v>182</v>
      </c>
      <c r="Q239" s="28" t="s">
        <v>183</v>
      </c>
      <c r="R239" s="28" t="s">
        <v>184</v>
      </c>
      <c r="S239" s="28" t="s">
        <v>185</v>
      </c>
      <c r="T239" s="28" t="s">
        <v>186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8450</v>
      </c>
      <c r="F240" s="15" t="n">
        <f aca="false">E240*(1+IF(F$3&lt;=$O$2,$D240,$D240-($D240-$I$238)*MIN(F$3-$O$2,$Q$2)/$Q$2))</f>
        <v>10562.5</v>
      </c>
      <c r="G240" s="15" t="n">
        <f aca="false">F240*(1+IF(G$3&lt;=$O$2,$D240,$D240-($D240-$I$238)*MIN(G$3-$O$2,$Q$2)/$Q$2))</f>
        <v>13203.125</v>
      </c>
      <c r="H240" s="15" t="n">
        <f aca="false">G240*(1+IF(H$3&lt;=$O$2,$D240,$D240-($D240-$I$238)*MIN(H$3-$O$2,$Q$2)/$Q$2))</f>
        <v>16503.90625</v>
      </c>
      <c r="I240" s="15" t="n">
        <f aca="false">H240*(1+IF(I$3&lt;=$O$2,$D240,$D240-($D240-$I$238)*MIN(I$3-$O$2,$Q$2)/$Q$2))</f>
        <v>20629.8828125</v>
      </c>
      <c r="J240" s="15" t="n">
        <f aca="false">I240*(1+IF(J$3&lt;=$O$2,$D240,$D240-($D240-$I$238)*MIN(J$3-$O$2,$Q$2)/$Q$2))</f>
        <v>24872.6245117188</v>
      </c>
      <c r="K240" s="15" t="n">
        <f aca="false">J240*(1+IF(K$3&lt;=$O$2,$D240,$D240-($D240-$I$238)*MIN(K$3-$O$2,$Q$2)/$Q$2))</f>
        <v>28885.0762979492</v>
      </c>
      <c r="L240" s="15" t="n">
        <f aca="false">K240*(1+IF(L$3&lt;=$O$2,$D240,$D240-($D240-$I$238)*MIN(L$3-$O$2,$Q$2)/$Q$2))</f>
        <v>32264.0525232833</v>
      </c>
      <c r="M240" s="15" t="n">
        <f aca="false">L240*(1+IF(M$3&lt;=$O$2,$D240,$D240-($D240-$I$238)*MIN(M$3-$O$2,$Q$2)/$Q$2))</f>
        <v>34607.7132985746</v>
      </c>
      <c r="N240" s="15" t="n">
        <f aca="false">M240*(1+IF(N$3&lt;=$O$2,$D240,$D240-($D240-$I$238)*MIN(N$3-$O$2,$Q$2)/$Q$2))</f>
        <v>35587.1115849243</v>
      </c>
      <c r="O240" s="15" t="n">
        <f aca="false">SUMPRODUCT(E240:N240,1/(1+$F$238)^$E$3:$N$3)*$E$2</f>
        <v>89318.8670377849</v>
      </c>
      <c r="P240" s="15" t="n">
        <f aca="false">N240*$E$2*(1+$I$238)/($F$238-$I$238)/(1+$F$238)^$N$3</f>
        <v>256719.873051697</v>
      </c>
      <c r="Q240" s="15" t="n">
        <f aca="false">O240+P240</f>
        <v>346038.740089481</v>
      </c>
      <c r="R240" s="15" t="n">
        <f aca="false">Q240-$G$2+$I$2</f>
        <v>344448.740089481</v>
      </c>
      <c r="S240" s="42" t="n">
        <f aca="false">R240/$K$2</f>
        <v>957.91962870427</v>
      </c>
      <c r="T240" s="43" t="n">
        <f aca="false">S240-$M$2</f>
        <v>679.900828993496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5915</v>
      </c>
      <c r="F241" s="15" t="n">
        <f aca="false">E241*(1+IF(F$3&lt;=$O$2,$D241,$D241-($D241-$I$238)*MIN(F$3-$O$2,$Q$2)/$Q$2))</f>
        <v>5175.625</v>
      </c>
      <c r="G241" s="15" t="n">
        <f aca="false">F241*(1+IF(G$3&lt;=$O$2,$D241,$D241-($D241-$I$238)*MIN(G$3-$O$2,$Q$2)/$Q$2))</f>
        <v>4528.671875</v>
      </c>
      <c r="H241" s="15" t="n">
        <f aca="false">G241*(1+IF(H$3&lt;=$O$2,$D241,$D241-($D241-$I$238)*MIN(H$3-$O$2,$Q$2)/$Q$2))</f>
        <v>3962.587890625</v>
      </c>
      <c r="I241" s="15" t="n">
        <f aca="false">H241*(1+IF(I$3&lt;=$O$2,$D241,$D241-($D241-$I$238)*MIN(I$3-$O$2,$Q$2)/$Q$2))</f>
        <v>3467.26440429688</v>
      </c>
      <c r="J241" s="15" t="n">
        <f aca="false">I241*(1+IF(J$3&lt;=$O$2,$D241,$D241-($D241-$I$238)*MIN(J$3-$O$2,$Q$2)/$Q$2))</f>
        <v>3140.16268039551</v>
      </c>
      <c r="K241" s="15" t="n">
        <f aca="false">J241*(1+IF(K$3&lt;=$O$2,$D241,$D241-($D241-$I$238)*MIN(K$3-$O$2,$Q$2)/$Q$2))</f>
        <v>2940.19712090792</v>
      </c>
      <c r="L241" s="15" t="n">
        <f aca="false">K241*(1+IF(L$3&lt;=$O$2,$D241,$D241-($D241-$I$238)*MIN(L$3-$O$2,$Q$2)/$Q$2))</f>
        <v>2843.11181197554</v>
      </c>
      <c r="M241" s="15" t="n">
        <f aca="false">L241*(1+IF(M$3&lt;=$O$2,$D241,$D241-($D241-$I$238)*MIN(M$3-$O$2,$Q$2)/$Q$2))</f>
        <v>2836.40206809928</v>
      </c>
      <c r="N241" s="15" t="n">
        <f aca="false">M241*(1+IF(N$3&lt;=$O$2,$D241,$D241-($D241-$I$238)*MIN(N$3-$O$2,$Q$2)/$Q$2))</f>
        <v>2916.67224662649</v>
      </c>
      <c r="O241" s="15" t="n">
        <f aca="false">SUMPRODUCT(E241:N241,1/(1+$F$238)^$E$3:$N$3)*$E$2</f>
        <v>17176.7075104008</v>
      </c>
      <c r="P241" s="15" t="n">
        <f aca="false">N241*$E$2*(1+$I$238)/($F$238-$I$238)/(1+$F$238)^$N$3</f>
        <v>21040.4187229558</v>
      </c>
      <c r="Q241" s="15" t="n">
        <f aca="false">O241+P241</f>
        <v>38217.1262333566</v>
      </c>
      <c r="R241" s="15" t="n">
        <f aca="false">Q241-$G$2+$I$2</f>
        <v>36627.1262333566</v>
      </c>
      <c r="S241" s="42" t="n">
        <f aca="false">R241/$K$2</f>
        <v>101.860854979022</v>
      </c>
      <c r="T241" s="43" t="n">
        <f aca="false">S241-$M$2</f>
        <v>-176.157944731752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7182.5</v>
      </c>
      <c r="F242" s="15" t="n">
        <f aca="false">E242*(1+IF(F$3&lt;=$O$2,$D242,$D242-($D242-$I$238)*MIN(F$3-$O$2,$Q$2)/$Q$2))</f>
        <v>7631.40625</v>
      </c>
      <c r="G242" s="15" t="n">
        <f aca="false">F242*(1+IF(G$3&lt;=$O$2,$D242,$D242-($D242-$I$238)*MIN(G$3-$O$2,$Q$2)/$Q$2))</f>
        <v>8108.369140625</v>
      </c>
      <c r="H242" s="15" t="n">
        <f aca="false">G242*(1+IF(H$3&lt;=$O$2,$D242,$D242-($D242-$I$238)*MIN(H$3-$O$2,$Q$2)/$Q$2))</f>
        <v>8615.14221191406</v>
      </c>
      <c r="I242" s="15" t="n">
        <f aca="false">H242*(1+IF(I$3&lt;=$O$2,$D242,$D242-($D242-$I$238)*MIN(I$3-$O$2,$Q$2)/$Q$2))</f>
        <v>9153.58860015869</v>
      </c>
      <c r="J242" s="15" t="n">
        <f aca="false">I242*(1+IF(J$3&lt;=$O$2,$D242,$D242-($D242-$I$238)*MIN(J$3-$O$2,$Q$2)/$Q$2))</f>
        <v>9663.07734164352</v>
      </c>
      <c r="K242" s="15" t="n">
        <f aca="false">J242*(1+IF(K$3&lt;=$O$2,$D242,$D242-($D242-$I$238)*MIN(K$3-$O$2,$Q$2)/$Q$2))</f>
        <v>10134.8287774626</v>
      </c>
      <c r="L242" s="15" t="n">
        <f aca="false">K242*(1+IF(L$3&lt;=$O$2,$D242,$D242-($D242-$I$238)*MIN(L$3-$O$2,$Q$2)/$Q$2))</f>
        <v>10560.2888895404</v>
      </c>
      <c r="M242" s="15" t="n">
        <f aca="false">L242*(1+IF(M$3&lt;=$O$2,$D242,$D242-($D242-$I$238)*MIN(M$3-$O$2,$Q$2)/$Q$2))</f>
        <v>10931.3774411189</v>
      </c>
      <c r="N242" s="15" t="n">
        <f aca="false">M242*(1+IF(N$3&lt;=$O$2,$D242,$D242-($D242-$I$238)*MIN(N$3-$O$2,$Q$2)/$Q$2))</f>
        <v>11240.7354227026</v>
      </c>
      <c r="O242" s="15" t="n">
        <f aca="false">SUMPRODUCT(E242:N242,1/(1+$F$238)^$E$3:$N$3)*$E$2</f>
        <v>39164.866163109</v>
      </c>
      <c r="P242" s="15" t="n">
        <f aca="false">N242*$E$2*(1+$I$238)/($F$238-$I$238)/(1+$F$238)^$N$3</f>
        <v>81088.9123113431</v>
      </c>
      <c r="Q242" s="15" t="n">
        <f aca="false">O242+P242</f>
        <v>120253.778474452</v>
      </c>
      <c r="R242" s="15" t="n">
        <f aca="false">Q242-$G$2+$I$2</f>
        <v>118663.778474452</v>
      </c>
      <c r="S242" s="42" t="n">
        <f aca="false">R242/$K$2</f>
        <v>330.0066145905</v>
      </c>
      <c r="T242" s="43" t="n">
        <f aca="false">S242-$M$2</f>
        <v>51.9878148797267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6548.75</v>
      </c>
      <c r="F243" s="15" t="n">
        <f aca="false">E243*(1+IF(F$3&lt;=$O$2,$D243,$D243-($D243-$I$238)*MIN(F$3-$O$2,$Q$2)/$Q$2))</f>
        <v>6344.1015625</v>
      </c>
      <c r="G243" s="15" t="n">
        <f aca="false">F243*(1+IF(G$3&lt;=$O$2,$D243,$D243-($D243-$I$238)*MIN(G$3-$O$2,$Q$2)/$Q$2))</f>
        <v>6145.84838867188</v>
      </c>
      <c r="H243" s="15" t="n">
        <f aca="false">G243*(1+IF(H$3&lt;=$O$2,$D243,$D243-($D243-$I$238)*MIN(H$3-$O$2,$Q$2)/$Q$2))</f>
        <v>5953.79062652588</v>
      </c>
      <c r="I243" s="15" t="n">
        <f aca="false">H243*(1+IF(I$3&lt;=$O$2,$D243,$D243-($D243-$I$238)*MIN(I$3-$O$2,$Q$2)/$Q$2))</f>
        <v>5767.73466944695</v>
      </c>
      <c r="J243" s="15" t="n">
        <f aca="false">I243*(1+IF(J$3&lt;=$O$2,$D243,$D243-($D243-$I$238)*MIN(J$3-$O$2,$Q$2)/$Q$2))</f>
        <v>5656.18668093984</v>
      </c>
      <c r="K243" s="15" t="n">
        <f aca="false">J243*(1+IF(K$3&lt;=$O$2,$D243,$D243-($D243-$I$238)*MIN(K$3-$O$2,$Q$2)/$Q$2))</f>
        <v>5614.16121390046</v>
      </c>
      <c r="L243" s="15" t="n">
        <f aca="false">K243*(1+IF(L$3&lt;=$O$2,$D243,$D243-($D243-$I$238)*MIN(L$3-$O$2,$Q$2)/$Q$2))</f>
        <v>5639.31265613873</v>
      </c>
      <c r="M243" s="15" t="n">
        <f aca="false">L243*(1+IF(M$3&lt;=$O$2,$D243,$D243-($D243-$I$238)*MIN(M$3-$O$2,$Q$2)/$Q$2))</f>
        <v>5731.74099057285</v>
      </c>
      <c r="N243" s="15" t="n">
        <f aca="false">M243*(1+IF(N$3&lt;=$O$2,$D243,$D243-($D243-$I$238)*MIN(N$3-$O$2,$Q$2)/$Q$2))</f>
        <v>5893.94926060606</v>
      </c>
      <c r="O243" s="15" t="n">
        <f aca="false">SUMPRODUCT(E243:N243,1/(1+$F$238)^$E$3:$N$3)*$E$2</f>
        <v>25870.4032844973</v>
      </c>
      <c r="P243" s="15" t="n">
        <f aca="false">N243*$E$2*(1+$I$238)/($F$238-$I$238)/(1+$F$238)^$N$3</f>
        <v>42518.0307860927</v>
      </c>
      <c r="Q243" s="15" t="n">
        <f aca="false">O243+P243</f>
        <v>68388.43407059</v>
      </c>
      <c r="R243" s="15" t="n">
        <f aca="false">Q243-$G$2+$I$2</f>
        <v>66798.43407059</v>
      </c>
      <c r="S243" s="42" t="n">
        <f aca="false">R243/$K$2</f>
        <v>185.76793500915</v>
      </c>
      <c r="T243" s="43" t="n">
        <f aca="false">S243-$M$2</f>
        <v>-92.2508647016242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41" t="n">
        <f aca="false">(B244+C244)/2</f>
        <v>0.015625</v>
      </c>
      <c r="E244" s="15" t="n">
        <f aca="false">$C$2*(1+IF(E$3&lt;=$O$2,$D244,$D244-($D244-$I$238)*MIN(E$3-$O$2,$Q$2)/$Q$2))</f>
        <v>6865.625</v>
      </c>
      <c r="F244" s="15" t="n">
        <f aca="false">E244*(1+IF(F$3&lt;=$O$2,$D244,$D244-($D244-$I$238)*MIN(F$3-$O$2,$Q$2)/$Q$2))</f>
        <v>6972.900390625</v>
      </c>
      <c r="G244" s="15" t="n">
        <f aca="false">F244*(1+IF(G$3&lt;=$O$2,$D244,$D244-($D244-$I$238)*MIN(G$3-$O$2,$Q$2)/$Q$2))</f>
        <v>7081.85195922852</v>
      </c>
      <c r="H244" s="15" t="n">
        <f aca="false">G244*(1+IF(H$3&lt;=$O$2,$D244,$D244-($D244-$I$238)*MIN(H$3-$O$2,$Q$2)/$Q$2))</f>
        <v>7192.50589609146</v>
      </c>
      <c r="I244" s="15" t="n">
        <f aca="false">H244*(1+IF(I$3&lt;=$O$2,$D244,$D244-($D244-$I$238)*MIN(I$3-$O$2,$Q$2)/$Q$2))</f>
        <v>7304.88880071789</v>
      </c>
      <c r="J244" s="15" t="n">
        <f aca="false">I244*(1+IF(J$3&lt;=$O$2,$D244,$D244-($D244-$I$238)*MIN(J$3-$O$2,$Q$2)/$Q$2))</f>
        <v>7437.54558133893</v>
      </c>
      <c r="K244" s="15" t="n">
        <f aca="false">J244*(1+IF(K$3&lt;=$O$2,$D244,$D244-($D244-$I$238)*MIN(K$3-$O$2,$Q$2)/$Q$2))</f>
        <v>7591.46558714474</v>
      </c>
      <c r="L244" s="15" t="n">
        <f aca="false">K244*(1+IF(L$3&lt;=$O$2,$D244,$D244-($D244-$I$238)*MIN(L$3-$O$2,$Q$2)/$Q$2))</f>
        <v>7767.81533273411</v>
      </c>
      <c r="M244" s="15" t="n">
        <f aca="false">L244*(1+IF(M$3&lt;=$O$2,$D244,$D244-($D244-$I$238)*MIN(M$3-$O$2,$Q$2)/$Q$2))</f>
        <v>7967.953094782</v>
      </c>
      <c r="N244" s="15" t="n">
        <f aca="false">M244*(1+IF(N$3&lt;=$O$2,$D244,$D244-($D244-$I$238)*MIN(N$3-$O$2,$Q$2)/$Q$2))</f>
        <v>8193.44616736434</v>
      </c>
      <c r="O244" s="15" t="n">
        <f aca="false">SUMPRODUCT(E244:N244,1/(1+$F$238)^$E$3:$N$3)*$E$2</f>
        <v>31821.4830332996</v>
      </c>
      <c r="P244" s="15" t="n">
        <f aca="false">N244*$E$2*(1+$I$238)/($F$238-$I$238)/(1+$F$238)^$N$3</f>
        <v>59106.2428576741</v>
      </c>
      <c r="Q244" s="15" t="n">
        <f aca="false">O244+P244</f>
        <v>90927.7258909737</v>
      </c>
      <c r="R244" s="15" t="n">
        <f aca="false">Q244-$G$2+$I$2</f>
        <v>89337.7258909737</v>
      </c>
      <c r="S244" s="42" t="n">
        <f aca="false">R244/$K$2</f>
        <v>248.450208273468</v>
      </c>
      <c r="T244" s="43" t="n">
        <f aca="false">S244-$M$2</f>
        <v>-29.5685914373056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0.015625</v>
      </c>
      <c r="C245" s="25" t="n">
        <f aca="false">IF(T244&gt;0,D244,C244)</f>
        <v>0.0625</v>
      </c>
      <c r="D245" s="41" t="n">
        <f aca="false">(B245+C245)/2</f>
        <v>0.0390625</v>
      </c>
      <c r="E245" s="15" t="n">
        <f aca="false">$C$2*(1+IF(E$3&lt;=$O$2,$D245,$D245-($D245-$I$238)*MIN(E$3-$O$2,$Q$2)/$Q$2))</f>
        <v>7024.0625</v>
      </c>
      <c r="F245" s="15" t="n">
        <f aca="false">E245*(1+IF(F$3&lt;=$O$2,$D245,$D245-($D245-$I$238)*MIN(F$3-$O$2,$Q$2)/$Q$2))</f>
        <v>7298.43994140625</v>
      </c>
      <c r="G245" s="15" t="n">
        <f aca="false">F245*(1+IF(G$3&lt;=$O$2,$D245,$D245-($D245-$I$238)*MIN(G$3-$O$2,$Q$2)/$Q$2))</f>
        <v>7583.53525161743</v>
      </c>
      <c r="H245" s="15" t="n">
        <f aca="false">G245*(1+IF(H$3&lt;=$O$2,$D245,$D245-($D245-$I$238)*MIN(H$3-$O$2,$Q$2)/$Q$2))</f>
        <v>7879.76709738374</v>
      </c>
      <c r="I245" s="15" t="n">
        <f aca="false">H245*(1+IF(I$3&lt;=$O$2,$D245,$D245-($D245-$I$238)*MIN(I$3-$O$2,$Q$2)/$Q$2))</f>
        <v>8187.57049962529</v>
      </c>
      <c r="J245" s="15" t="n">
        <f aca="false">I245*(1+IF(J$3&lt;=$O$2,$D245,$D245-($D245-$I$238)*MIN(J$3-$O$2,$Q$2)/$Q$2))</f>
        <v>8489.77372676646</v>
      </c>
      <c r="K245" s="15" t="n">
        <f aca="false">J245*(1+IF(K$3&lt;=$O$2,$D245,$D245-($D245-$I$238)*MIN(K$3-$O$2,$Q$2)/$Q$2))</f>
        <v>8784.85703707455</v>
      </c>
      <c r="L245" s="15" t="n">
        <f aca="false">K245*(1+IF(L$3&lt;=$O$2,$D245,$D245-($D245-$I$238)*MIN(L$3-$O$2,$Q$2)/$Q$2))</f>
        <v>9071.28730076836</v>
      </c>
      <c r="M245" s="15" t="n">
        <f aca="false">L245*(1+IF(M$3&lt;=$O$2,$D245,$D245-($D245-$I$238)*MIN(M$3-$O$2,$Q$2)/$Q$2))</f>
        <v>9347.53067729501</v>
      </c>
      <c r="N245" s="15" t="n">
        <f aca="false">M245*(1+IF(N$3&lt;=$O$2,$D245,$D245-($D245-$I$238)*MIN(N$3-$O$2,$Q$2)/$Q$2))</f>
        <v>9612.06579546246</v>
      </c>
      <c r="O245" s="15" t="n">
        <f aca="false">SUMPRODUCT(E245:N245,1/(1+$F$238)^$E$3:$N$3)*$E$2</f>
        <v>35301.595755876</v>
      </c>
      <c r="P245" s="15" t="n">
        <f aca="false">N245*$E$2*(1+$I$238)/($F$238-$I$238)/(1+$F$238)^$N$3</f>
        <v>69339.9436165824</v>
      </c>
      <c r="Q245" s="15" t="n">
        <f aca="false">O245+P245</f>
        <v>104641.539372458</v>
      </c>
      <c r="R245" s="15" t="n">
        <f aca="false">Q245-$G$2+$I$2</f>
        <v>103051.539372458</v>
      </c>
      <c r="S245" s="42" t="n">
        <f aca="false">R245/$K$2</f>
        <v>286.588629435615</v>
      </c>
      <c r="T245" s="43" t="n">
        <f aca="false">S245-$M$2</f>
        <v>8.56982972484133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0.015625</v>
      </c>
      <c r="C246" s="25" t="n">
        <f aca="false">IF(T245&gt;0,D245,C245)</f>
        <v>0.0390625</v>
      </c>
      <c r="D246" s="41" t="n">
        <f aca="false">(B246+C246)/2</f>
        <v>0.02734375</v>
      </c>
      <c r="E246" s="15" t="n">
        <f aca="false">$C$2*(1+IF(E$3&lt;=$O$2,$D246,$D246-($D246-$I$238)*MIN(E$3-$O$2,$Q$2)/$Q$2))</f>
        <v>6944.84375</v>
      </c>
      <c r="F246" s="15" t="n">
        <f aca="false">E246*(1+IF(F$3&lt;=$O$2,$D246,$D246-($D246-$I$238)*MIN(F$3-$O$2,$Q$2)/$Q$2))</f>
        <v>7134.74182128906</v>
      </c>
      <c r="G246" s="15" t="n">
        <f aca="false">F246*(1+IF(G$3&lt;=$O$2,$D246,$D246-($D246-$I$238)*MIN(G$3-$O$2,$Q$2)/$Q$2))</f>
        <v>7329.83241796494</v>
      </c>
      <c r="H246" s="15" t="n">
        <f aca="false">G246*(1+IF(H$3&lt;=$O$2,$D246,$D246-($D246-$I$238)*MIN(H$3-$O$2,$Q$2)/$Q$2))</f>
        <v>7530.25752314366</v>
      </c>
      <c r="I246" s="15" t="n">
        <f aca="false">H246*(1+IF(I$3&lt;=$O$2,$D246,$D246-($D246-$I$238)*MIN(I$3-$O$2,$Q$2)/$Q$2))</f>
        <v>7736.16300229212</v>
      </c>
      <c r="J246" s="15" t="n">
        <f aca="false">I246*(1+IF(J$3&lt;=$O$2,$D246,$D246-($D246-$I$238)*MIN(J$3-$O$2,$Q$2)/$Q$2))</f>
        <v>7949.17825056024</v>
      </c>
      <c r="K246" s="15" t="n">
        <f aca="false">J246*(1+IF(K$3&lt;=$O$2,$D246,$D246-($D246-$I$238)*MIN(K$3-$O$2,$Q$2)/$Q$2))</f>
        <v>8169.57915402983</v>
      </c>
      <c r="L246" s="15" t="n">
        <f aca="false">K246*(1+IF(L$3&lt;=$O$2,$D246,$D246-($D246-$I$238)*MIN(L$3-$O$2,$Q$2)/$Q$2))</f>
        <v>8397.65338006246</v>
      </c>
      <c r="M246" s="15" t="n">
        <f aca="false">L246*(1+IF(M$3&lt;=$O$2,$D246,$D246-($D246-$I$238)*MIN(M$3-$O$2,$Q$2)/$Q$2))</f>
        <v>8633.70091950929</v>
      </c>
      <c r="N246" s="15" t="n">
        <f aca="false">M246*(1+IF(N$3&lt;=$O$2,$D246,$D246-($D246-$I$238)*MIN(N$3-$O$2,$Q$2)/$Q$2))</f>
        <v>8878.0346555314</v>
      </c>
      <c r="O246" s="15" t="n">
        <f aca="false">SUMPRODUCT(E246:N246,1/(1+$F$238)^$E$3:$N$3)*$E$2</f>
        <v>33515.9550438632</v>
      </c>
      <c r="P246" s="15" t="n">
        <f aca="false">N246*$E$2*(1+$I$238)/($F$238-$I$238)/(1+$F$238)^$N$3</f>
        <v>64044.7574475841</v>
      </c>
      <c r="Q246" s="15" t="n">
        <f aca="false">O246+P246</f>
        <v>97560.7124914473</v>
      </c>
      <c r="R246" s="15" t="n">
        <f aca="false">Q246-$G$2+$I$2</f>
        <v>95970.7124914473</v>
      </c>
      <c r="S246" s="42" t="n">
        <f aca="false">R246/$K$2</f>
        <v>266.896691950184</v>
      </c>
      <c r="T246" s="43" t="n">
        <f aca="false">S246-$M$2</f>
        <v>-11.1221077605894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0.02734375</v>
      </c>
      <c r="C247" s="25" t="n">
        <f aca="false">IF(T246&gt;0,D246,C246)</f>
        <v>0.0390625</v>
      </c>
      <c r="D247" s="41" t="n">
        <f aca="false">(B247+C247)/2</f>
        <v>0.033203125</v>
      </c>
      <c r="E247" s="15" t="n">
        <f aca="false">$C$2*(1+IF(E$3&lt;=$O$2,$D247,$D247-($D247-$I$238)*MIN(E$3-$O$2,$Q$2)/$Q$2))</f>
        <v>6984.453125</v>
      </c>
      <c r="F247" s="15" t="n">
        <f aca="false">E247*(1+IF(F$3&lt;=$O$2,$D247,$D247-($D247-$I$238)*MIN(F$3-$O$2,$Q$2)/$Q$2))</f>
        <v>7216.35879516602</v>
      </c>
      <c r="G247" s="15" t="n">
        <f aca="false">F247*(1+IF(G$3&lt;=$O$2,$D247,$D247-($D247-$I$238)*MIN(G$3-$O$2,$Q$2)/$Q$2))</f>
        <v>7455.96445828676</v>
      </c>
      <c r="H247" s="15" t="n">
        <f aca="false">G247*(1+IF(H$3&lt;=$O$2,$D247,$D247-($D247-$I$238)*MIN(H$3-$O$2,$Q$2)/$Q$2))</f>
        <v>7703.52577819082</v>
      </c>
      <c r="I247" s="15" t="n">
        <f aca="false">H247*(1+IF(I$3&lt;=$O$2,$D247,$D247-($D247-$I$238)*MIN(I$3-$O$2,$Q$2)/$Q$2))</f>
        <v>7959.30690754481</v>
      </c>
      <c r="J247" s="15" t="n">
        <f aca="false">I247*(1+IF(J$3&lt;=$O$2,$D247,$D247-($D247-$I$238)*MIN(J$3-$O$2,$Q$2)/$Q$2))</f>
        <v>8215.77567437317</v>
      </c>
      <c r="K247" s="15" t="n">
        <f aca="false">J247*(1+IF(K$3&lt;=$O$2,$D247,$D247-($D247-$I$238)*MIN(K$3-$O$2,$Q$2)/$Q$2))</f>
        <v>8472.45191101998</v>
      </c>
      <c r="L247" s="15" t="n">
        <f aca="false">K247*(1+IF(L$3&lt;=$O$2,$D247,$D247-($D247-$I$238)*MIN(L$3-$O$2,$Q$2)/$Q$2))</f>
        <v>8728.83889641233</v>
      </c>
      <c r="M247" s="15" t="n">
        <f aca="false">L247*(1+IF(M$3&lt;=$O$2,$D247,$D247-($D247-$I$238)*MIN(M$3-$O$2,$Q$2)/$Q$2))</f>
        <v>8984.42475482359</v>
      </c>
      <c r="N247" s="15" t="n">
        <f aca="false">M247*(1+IF(N$3&lt;=$O$2,$D247,$D247-($D247-$I$238)*MIN(N$3-$O$2,$Q$2)/$Q$2))</f>
        <v>9238.6839753851</v>
      </c>
      <c r="O247" s="15" t="n">
        <f aca="false">SUMPRODUCT(E247:N247,1/(1+$F$238)^$E$3:$N$3)*$E$2</f>
        <v>34397.0981631467</v>
      </c>
      <c r="P247" s="15" t="n">
        <f aca="false">N247*$E$2*(1+$I$238)/($F$238-$I$238)/(1+$F$238)^$N$3</f>
        <v>66646.4253966132</v>
      </c>
      <c r="Q247" s="15" t="n">
        <f aca="false">O247+P247</f>
        <v>101043.52355976</v>
      </c>
      <c r="R247" s="15" t="n">
        <f aca="false">Q247-$G$2+$I$2</f>
        <v>99453.5235597599</v>
      </c>
      <c r="S247" s="42" t="n">
        <f aca="false">R247/$K$2</f>
        <v>276.582467211079</v>
      </c>
      <c r="T247" s="43" t="n">
        <f aca="false">S247-$M$2</f>
        <v>-1.4363324996944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0.033203125</v>
      </c>
      <c r="C248" s="25" t="n">
        <f aca="false">IF(T247&gt;0,D247,C247)</f>
        <v>0.0390625</v>
      </c>
      <c r="D248" s="41" t="n">
        <f aca="false">(B248+C248)/2</f>
        <v>0.0361328125</v>
      </c>
      <c r="E248" s="15" t="n">
        <f aca="false">$C$2*(1+IF(E$3&lt;=$O$2,$D248,$D248-($D248-$I$238)*MIN(E$3-$O$2,$Q$2)/$Q$2))</f>
        <v>7004.2578125</v>
      </c>
      <c r="F248" s="15" t="n">
        <f aca="false">E248*(1+IF(F$3&lt;=$O$2,$D248,$D248-($D248-$I$238)*MIN(F$3-$O$2,$Q$2)/$Q$2))</f>
        <v>7257.34134674072</v>
      </c>
      <c r="G248" s="15" t="n">
        <f aca="false">F248*(1+IF(G$3&lt;=$O$2,$D248,$D248-($D248-$I$238)*MIN(G$3-$O$2,$Q$2)/$Q$2))</f>
        <v>7519.569500871</v>
      </c>
      <c r="H248" s="15" t="n">
        <f aca="false">G248*(1+IF(H$3&lt;=$O$2,$D248,$D248-($D248-$I$238)*MIN(H$3-$O$2,$Q$2)/$Q$2))</f>
        <v>7791.27269572669</v>
      </c>
      <c r="I248" s="15" t="n">
        <f aca="false">H248*(1+IF(I$3&lt;=$O$2,$D248,$D248-($D248-$I$238)*MIN(I$3-$O$2,$Q$2)/$Q$2))</f>
        <v>8072.79329117776</v>
      </c>
      <c r="J248" s="15" t="n">
        <f aca="false">I248*(1+IF(J$3&lt;=$O$2,$D248,$D248-($D248-$I$238)*MIN(J$3-$O$2,$Q$2)/$Q$2))</f>
        <v>8351.83948227893</v>
      </c>
      <c r="K248" s="15" t="n">
        <f aca="false">J248*(1+IF(K$3&lt;=$O$2,$D248,$D248-($D248-$I$238)*MIN(K$3-$O$2,$Q$2)/$Q$2))</f>
        <v>8627.44757524429</v>
      </c>
      <c r="L248" s="15" t="n">
        <f aca="false">K248*(1+IF(L$3&lt;=$O$2,$D248,$D248-($D248-$I$238)*MIN(L$3-$O$2,$Q$2)/$Q$2))</f>
        <v>8898.63521330789</v>
      </c>
      <c r="M248" s="15" t="n">
        <f aca="false">L248*(1+IF(M$3&lt;=$O$2,$D248,$D248-($D248-$I$238)*MIN(M$3-$O$2,$Q$2)/$Q$2))</f>
        <v>9164.40685807086</v>
      </c>
      <c r="N248" s="15" t="n">
        <f aca="false">M248*(1+IF(N$3&lt;=$O$2,$D248,$D248-($D248-$I$238)*MIN(N$3-$O$2,$Q$2)/$Q$2))</f>
        <v>9423.75957215426</v>
      </c>
      <c r="O248" s="15" t="n">
        <f aca="false">SUMPRODUCT(E248:N248,1/(1+$F$238)^$E$3:$N$3)*$E$2</f>
        <v>34846.3918482208</v>
      </c>
      <c r="P248" s="15" t="n">
        <f aca="false">N248*$E$2*(1+$I$238)/($F$238-$I$238)/(1+$F$238)^$N$3</f>
        <v>67981.5318885847</v>
      </c>
      <c r="Q248" s="15" t="n">
        <f aca="false">O248+P248</f>
        <v>102827.923736805</v>
      </c>
      <c r="R248" s="15" t="n">
        <f aca="false">Q248-$G$2+$I$2</f>
        <v>101237.923736805</v>
      </c>
      <c r="S248" s="42" t="n">
        <f aca="false">R248/$K$2</f>
        <v>281.544923902346</v>
      </c>
      <c r="T248" s="43" t="n">
        <f aca="false">S248-$M$2</f>
        <v>3.52612419157202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0.033203125</v>
      </c>
      <c r="C249" s="25" t="n">
        <f aca="false">IF(T248&gt;0,D248,C248)</f>
        <v>0.0361328125</v>
      </c>
      <c r="D249" s="41" t="n">
        <f aca="false">(B249+C249)/2</f>
        <v>0.03466796875</v>
      </c>
      <c r="E249" s="15" t="n">
        <f aca="false">$C$2*(1+IF(E$3&lt;=$O$2,$D249,$D249-($D249-$I$238)*MIN(E$3-$O$2,$Q$2)/$Q$2))</f>
        <v>6994.35546875</v>
      </c>
      <c r="F249" s="15" t="n">
        <f aca="false">E249*(1+IF(F$3&lt;=$O$2,$D249,$D249-($D249-$I$238)*MIN(F$3-$O$2,$Q$2)/$Q$2))</f>
        <v>7236.83556556702</v>
      </c>
      <c r="G249" s="15" t="n">
        <f aca="false">F249*(1+IF(G$3&lt;=$O$2,$D249,$D249-($D249-$I$238)*MIN(G$3-$O$2,$Q$2)/$Q$2))</f>
        <v>7487.72195480298</v>
      </c>
      <c r="H249" s="15" t="n">
        <f aca="false">G249*(1+IF(H$3&lt;=$O$2,$D249,$D249-($D249-$I$238)*MIN(H$3-$O$2,$Q$2)/$Q$2))</f>
        <v>7747.30606554078</v>
      </c>
      <c r="I249" s="15" t="n">
        <f aca="false">H249*(1+IF(I$3&lt;=$O$2,$D249,$D249-($D249-$I$238)*MIN(I$3-$O$2,$Q$2)/$Q$2))</f>
        <v>8015.88943011763</v>
      </c>
      <c r="J249" s="15" t="n">
        <f aca="false">I249*(1+IF(J$3&lt;=$O$2,$D249,$D249-($D249-$I$238)*MIN(J$3-$O$2,$Q$2)/$Q$2))</f>
        <v>8283.57504770552</v>
      </c>
      <c r="K249" s="15" t="n">
        <f aca="false">J249*(1+IF(K$3&lt;=$O$2,$D249,$D249-($D249-$I$238)*MIN(K$3-$O$2,$Q$2)/$Q$2))</f>
        <v>8549.64994978083</v>
      </c>
      <c r="L249" s="15" t="n">
        <f aca="false">K249*(1+IF(L$3&lt;=$O$2,$D249,$D249-($D249-$I$238)*MIN(L$3-$O$2,$Q$2)/$Q$2))</f>
        <v>8813.38260484108</v>
      </c>
      <c r="M249" s="15" t="n">
        <f aca="false">L249*(1+IF(M$3&lt;=$O$2,$D249,$D249-($D249-$I$238)*MIN(M$3-$O$2,$Q$2)/$Q$2))</f>
        <v>9074.02600155997</v>
      </c>
      <c r="N249" s="15" t="n">
        <f aca="false">M249*(1+IF(N$3&lt;=$O$2,$D249,$D249-($D249-$I$238)*MIN(N$3-$O$2,$Q$2)/$Q$2))</f>
        <v>9330.82093740411</v>
      </c>
      <c r="O249" s="15" t="n">
        <f aca="false">SUMPRODUCT(E249:N249,1/(1+$F$238)^$E$3:$N$3)*$E$2</f>
        <v>34621.0107328574</v>
      </c>
      <c r="P249" s="15" t="n">
        <f aca="false">N249*$E$2*(1+$I$238)/($F$238-$I$238)/(1+$F$238)^$N$3</f>
        <v>67311.0870715695</v>
      </c>
      <c r="Q249" s="15" t="n">
        <f aca="false">O249+P249</f>
        <v>101932.097804427</v>
      </c>
      <c r="R249" s="15" t="n">
        <f aca="false">Q249-$G$2+$I$2</f>
        <v>100342.097804427</v>
      </c>
      <c r="S249" s="42" t="n">
        <f aca="false">R249/$K$2</f>
        <v>279.053612004079</v>
      </c>
      <c r="T249" s="43" t="n">
        <f aca="false">S249-$M$2</f>
        <v>1.03481229330566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0.033203125</v>
      </c>
      <c r="C250" s="25" t="n">
        <f aca="false">IF(T249&gt;0,D249,C249)</f>
        <v>0.03466796875</v>
      </c>
      <c r="D250" s="41" t="n">
        <f aca="false">(B250+C250)/2</f>
        <v>0.033935546875</v>
      </c>
      <c r="E250" s="15" t="n">
        <f aca="false">$C$2*(1+IF(E$3&lt;=$O$2,$D250,$D250-($D250-$I$238)*MIN(E$3-$O$2,$Q$2)/$Q$2))</f>
        <v>6989.404296875</v>
      </c>
      <c r="F250" s="15" t="n">
        <f aca="false">E250*(1+IF(F$3&lt;=$O$2,$D250,$D250-($D250-$I$238)*MIN(F$3-$O$2,$Q$2)/$Q$2))</f>
        <v>7226.59355401993</v>
      </c>
      <c r="G250" s="15" t="n">
        <f aca="false">F250*(1+IF(G$3&lt;=$O$2,$D250,$D250-($D250-$I$238)*MIN(G$3-$O$2,$Q$2)/$Q$2))</f>
        <v>7471.83195831894</v>
      </c>
      <c r="H250" s="15" t="n">
        <f aca="false">G250*(1+IF(H$3&lt;=$O$2,$D250,$D250-($D250-$I$238)*MIN(H$3-$O$2,$Q$2)/$Q$2))</f>
        <v>7725.3926619826</v>
      </c>
      <c r="I250" s="15" t="n">
        <f aca="false">H250*(1+IF(I$3&lt;=$O$2,$D250,$D250-($D250-$I$238)*MIN(I$3-$O$2,$Q$2)/$Q$2))</f>
        <v>7987.55808679109</v>
      </c>
      <c r="J250" s="15" t="n">
        <f aca="false">I250*(1+IF(J$3&lt;=$O$2,$D250,$D250-($D250-$I$238)*MIN(J$3-$O$2,$Q$2)/$Q$2))</f>
        <v>8249.6173870592</v>
      </c>
      <c r="K250" s="15" t="n">
        <f aca="false">J250*(1+IF(K$3&lt;=$O$2,$D250,$D250-($D250-$I$238)*MIN(K$3-$O$2,$Q$2)/$Q$2))</f>
        <v>8510.97622240432</v>
      </c>
      <c r="L250" s="15" t="n">
        <f aca="false">K250*(1+IF(L$3&lt;=$O$2,$D250,$D250-($D250-$I$238)*MIN(L$3-$O$2,$Q$2)/$Q$2))</f>
        <v>8771.02245167971</v>
      </c>
      <c r="M250" s="15" t="n">
        <f aca="false">L250*(1+IF(M$3&lt;=$O$2,$D250,$D250-($D250-$I$238)*MIN(M$3-$O$2,$Q$2)/$Q$2))</f>
        <v>9029.12828869587</v>
      </c>
      <c r="N250" s="15" t="n">
        <f aca="false">M250*(1+IF(N$3&lt;=$O$2,$D250,$D250-($D250-$I$238)*MIN(N$3-$O$2,$Q$2)/$Q$2))</f>
        <v>9284.65261926597</v>
      </c>
      <c r="O250" s="15" t="n">
        <f aca="false">SUMPRODUCT(E250:N250,1/(1+$F$238)^$E$3:$N$3)*$E$2</f>
        <v>34508.8714403082</v>
      </c>
      <c r="P250" s="15" t="n">
        <f aca="false">N250*$E$2*(1+$I$238)/($F$238-$I$238)/(1+$F$238)^$N$3</f>
        <v>66978.0360246152</v>
      </c>
      <c r="Q250" s="15" t="n">
        <f aca="false">O250+P250</f>
        <v>101486.907464923</v>
      </c>
      <c r="R250" s="15" t="n">
        <f aca="false">Q250-$G$2+$I$2</f>
        <v>99896.9074649234</v>
      </c>
      <c r="S250" s="42" t="n">
        <f aca="false">R250/$K$2</f>
        <v>277.815527740484</v>
      </c>
      <c r="T250" s="43" t="n">
        <f aca="false">S250-$M$2</f>
        <v>-0.203271970289336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0.033935546875</v>
      </c>
      <c r="C251" s="25" t="n">
        <f aca="false">IF(T250&gt;0,D250,C250)</f>
        <v>0.03466796875</v>
      </c>
      <c r="D251" s="41" t="n">
        <f aca="false">(B251+C251)/2</f>
        <v>0.0343017578125</v>
      </c>
      <c r="E251" s="15" t="n">
        <f aca="false">$C$2*(1+IF(E$3&lt;=$O$2,$D251,$D251-($D251-$I$238)*MIN(E$3-$O$2,$Q$2)/$Q$2))</f>
        <v>6991.8798828125</v>
      </c>
      <c r="F251" s="15" t="n">
        <f aca="false">E251*(1+IF(F$3&lt;=$O$2,$D251,$D251-($D251-$I$238)*MIN(F$3-$O$2,$Q$2)/$Q$2))</f>
        <v>7231.71365320683</v>
      </c>
      <c r="G251" s="15" t="n">
        <f aca="false">F251*(1+IF(G$3&lt;=$O$2,$D251,$D251-($D251-$I$238)*MIN(G$3-$O$2,$Q$2)/$Q$2))</f>
        <v>7479.77414350848</v>
      </c>
      <c r="H251" s="15" t="n">
        <f aca="false">G251*(1+IF(H$3&lt;=$O$2,$D251,$D251-($D251-$I$238)*MIN(H$3-$O$2,$Q$2)/$Q$2))</f>
        <v>7736.3435446713</v>
      </c>
      <c r="I251" s="15" t="n">
        <f aca="false">H251*(1+IF(I$3&lt;=$O$2,$D251,$D251-($D251-$I$238)*MIN(I$3-$O$2,$Q$2)/$Q$2))</f>
        <v>8001.71372729492</v>
      </c>
      <c r="J251" s="15" t="n">
        <f aca="false">I251*(1+IF(J$3&lt;=$O$2,$D251,$D251-($D251-$I$238)*MIN(J$3-$O$2,$Q$2)/$Q$2))</f>
        <v>8266.58170407831</v>
      </c>
      <c r="K251" s="15" t="n">
        <f aca="false">J251*(1+IF(K$3&lt;=$O$2,$D251,$D251-($D251-$I$238)*MIN(K$3-$O$2,$Q$2)/$Q$2))</f>
        <v>8530.2943790988</v>
      </c>
      <c r="L251" s="15" t="n">
        <f aca="false">K251*(1+IF(L$3&lt;=$O$2,$D251,$D251-($D251-$I$238)*MIN(L$3-$O$2,$Q$2)/$Q$2))</f>
        <v>8792.18041440036</v>
      </c>
      <c r="M251" s="15" t="n">
        <f aca="false">L251*(1+IF(M$3&lt;=$O$2,$D251,$D251-($D251-$I$238)*MIN(M$3-$O$2,$Q$2)/$Q$2))</f>
        <v>9051.5528276261</v>
      </c>
      <c r="N251" s="15" t="n">
        <f aca="false">M251*(1+IF(N$3&lt;=$O$2,$D251,$D251-($D251-$I$238)*MIN(N$3-$O$2,$Q$2)/$Q$2))</f>
        <v>9307.71177264792</v>
      </c>
      <c r="O251" s="15" t="n">
        <f aca="false">SUMPRODUCT(E251:N251,1/(1+$F$238)^$E$3:$N$3)*$E$2</f>
        <v>34564.8952647115</v>
      </c>
      <c r="P251" s="15" t="n">
        <f aca="false">N251*$E$2*(1+$I$238)/($F$238-$I$238)/(1+$F$238)^$N$3</f>
        <v>67144.3811609652</v>
      </c>
      <c r="Q251" s="15" t="n">
        <f aca="false">O251+P251</f>
        <v>101709.276425677</v>
      </c>
      <c r="R251" s="15" t="n">
        <f aca="false">Q251-$G$2+$I$2</f>
        <v>100119.276425677</v>
      </c>
      <c r="S251" s="42" t="n">
        <f aca="false">R251/$K$2</f>
        <v>278.433940780012</v>
      </c>
      <c r="T251" s="43" t="n">
        <f aca="false">S251-$M$2</f>
        <v>0.415141069238132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0.033935546875</v>
      </c>
      <c r="C252" s="25" t="n">
        <f aca="false">IF(T251&gt;0,D251,C251)</f>
        <v>0.0343017578125</v>
      </c>
      <c r="D252" s="41" t="n">
        <f aca="false">(B252+C252)/2</f>
        <v>0.03411865234375</v>
      </c>
      <c r="E252" s="15" t="n">
        <f aca="false">$C$2*(1+IF(E$3&lt;=$O$2,$D252,$D252-($D252-$I$238)*MIN(E$3-$O$2,$Q$2)/$Q$2))</f>
        <v>6990.64208984375</v>
      </c>
      <c r="F252" s="15" t="n">
        <f aca="false">E252*(1+IF(F$3&lt;=$O$2,$D252,$D252-($D252-$I$238)*MIN(F$3-$O$2,$Q$2)/$Q$2))</f>
        <v>7229.15337696672</v>
      </c>
      <c r="G252" s="15" t="n">
        <f aca="false">F252*(1+IF(G$3&lt;=$O$2,$D252,$D252-($D252-$I$238)*MIN(G$3-$O$2,$Q$2)/$Q$2))</f>
        <v>7475.80234777509</v>
      </c>
      <c r="H252" s="15" t="n">
        <f aca="false">G252*(1+IF(H$3&lt;=$O$2,$D252,$D252-($D252-$I$238)*MIN(H$3-$O$2,$Q$2)/$Q$2))</f>
        <v>7730.86664906942</v>
      </c>
      <c r="I252" s="15" t="n">
        <f aca="false">H252*(1+IF(I$3&lt;=$O$2,$D252,$D252-($D252-$I$238)*MIN(I$3-$O$2,$Q$2)/$Q$2))</f>
        <v>7994.63340058491</v>
      </c>
      <c r="J252" s="15" t="n">
        <f aca="false">I252*(1+IF(J$3&lt;=$O$2,$D252,$D252-($D252-$I$238)*MIN(J$3-$O$2,$Q$2)/$Q$2))</f>
        <v>8258.09591972045</v>
      </c>
      <c r="K252" s="15" t="n">
        <f aca="false">J252*(1+IF(K$3&lt;=$O$2,$D252,$D252-($D252-$I$238)*MIN(K$3-$O$2,$Q$2)/$Q$2))</f>
        <v>8520.63062775545</v>
      </c>
      <c r="L252" s="15" t="n">
        <f aca="false">K252*(1+IF(L$3&lt;=$O$2,$D252,$D252-($D252-$I$238)*MIN(L$3-$O$2,$Q$2)/$Q$2))</f>
        <v>8781.5959094699</v>
      </c>
      <c r="M252" s="15" t="n">
        <f aca="false">L252*(1+IF(M$3&lt;=$O$2,$D252,$D252-($D252-$I$238)*MIN(M$3-$O$2,$Q$2)/$Q$2))</f>
        <v>9040.334484432</v>
      </c>
      <c r="N252" s="15" t="n">
        <f aca="false">M252*(1+IF(N$3&lt;=$O$2,$D252,$D252-($D252-$I$238)*MIN(N$3-$O$2,$Q$2)/$Q$2))</f>
        <v>9296.17595034142</v>
      </c>
      <c r="O252" s="15" t="n">
        <f aca="false">SUMPRODUCT(E252:N252,1/(1+$F$238)^$E$3:$N$3)*$E$2</f>
        <v>34536.8719057927</v>
      </c>
      <c r="P252" s="15" t="n">
        <f aca="false">N252*$E$2*(1+$I$238)/($F$238-$I$238)/(1+$F$238)^$N$3</f>
        <v>67061.1635378938</v>
      </c>
      <c r="Q252" s="15" t="n">
        <f aca="false">O252+P252</f>
        <v>101598.035443687</v>
      </c>
      <c r="R252" s="15" t="n">
        <f aca="false">Q252-$G$2+$I$2</f>
        <v>100008.035443687</v>
      </c>
      <c r="S252" s="42" t="n">
        <f aca="false">R252/$K$2</f>
        <v>278.124577128001</v>
      </c>
      <c r="T252" s="43" t="n">
        <f aca="false">S252-$M$2</f>
        <v>0.105777417227216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0.033935546875</v>
      </c>
      <c r="C253" s="25" t="n">
        <f aca="false">IF(T252&gt;0,D252,C252)</f>
        <v>0.03411865234375</v>
      </c>
      <c r="D253" s="41" t="n">
        <f aca="false">(B253+C253)/2</f>
        <v>0.034027099609375</v>
      </c>
      <c r="E253" s="15" t="n">
        <f aca="false">$C$2*(1+IF(E$3&lt;=$O$2,$D253,$D253-($D253-$I$238)*MIN(E$3-$O$2,$Q$2)/$Q$2))</f>
        <v>6990.02319335938</v>
      </c>
      <c r="F253" s="15" t="n">
        <f aca="false">E253*(1+IF(F$3&lt;=$O$2,$D253,$D253-($D253-$I$238)*MIN(F$3-$O$2,$Q$2)/$Q$2))</f>
        <v>7227.87340883166</v>
      </c>
      <c r="G253" s="15" t="n">
        <f aca="false">F253*(1+IF(G$3&lt;=$O$2,$D253,$D253-($D253-$I$238)*MIN(G$3-$O$2,$Q$2)/$Q$2))</f>
        <v>7473.81697727792</v>
      </c>
      <c r="H253" s="15" t="n">
        <f aca="false">G253*(1+IF(H$3&lt;=$O$2,$D253,$D253-($D253-$I$238)*MIN(H$3-$O$2,$Q$2)/$Q$2))</f>
        <v>7728.129292026</v>
      </c>
      <c r="I253" s="15" t="n">
        <f aca="false">H253*(1+IF(I$3&lt;=$O$2,$D253,$D253-($D253-$I$238)*MIN(I$3-$O$2,$Q$2)/$Q$2))</f>
        <v>7991.09511723989</v>
      </c>
      <c r="J253" s="15" t="n">
        <f aca="false">I253*(1+IF(J$3&lt;=$O$2,$D253,$D253-($D253-$I$238)*MIN(J$3-$O$2,$Q$2)/$Q$2))</f>
        <v>8253.85574723732</v>
      </c>
      <c r="K253" s="15" t="n">
        <f aca="false">J253*(1+IF(K$3&lt;=$O$2,$D253,$D253-($D253-$I$238)*MIN(K$3-$O$2,$Q$2)/$Q$2))</f>
        <v>8515.80225729964</v>
      </c>
      <c r="L253" s="15" t="n">
        <f aca="false">K253*(1+IF(L$3&lt;=$O$2,$D253,$D253-($D253-$I$238)*MIN(L$3-$O$2,$Q$2)/$Q$2))</f>
        <v>8776.30780029374</v>
      </c>
      <c r="M253" s="15" t="n">
        <f aca="false">L253*(1+IF(M$3&lt;=$O$2,$D253,$D253-($D253-$I$238)*MIN(M$3-$O$2,$Q$2)/$Q$2))</f>
        <v>9034.72986883702</v>
      </c>
      <c r="N253" s="15" t="n">
        <f aca="false">M253*(1+IF(N$3&lt;=$O$2,$D253,$D253-($D253-$I$238)*MIN(N$3-$O$2,$Q$2)/$Q$2))</f>
        <v>9290.4127241251</v>
      </c>
      <c r="O253" s="15" t="n">
        <f aca="false">SUMPRODUCT(E253:N253,1/(1+$F$238)^$E$3:$N$3)*$E$2</f>
        <v>34522.8688124644</v>
      </c>
      <c r="P253" s="15" t="n">
        <f aca="false">N253*$E$2*(1+$I$238)/($F$238-$I$238)/(1+$F$238)^$N$3</f>
        <v>67019.5885227626</v>
      </c>
      <c r="Q253" s="15" t="n">
        <f aca="false">O253+P253</f>
        <v>101542.457335227</v>
      </c>
      <c r="R253" s="15" t="n">
        <f aca="false">Q253-$G$2+$I$2</f>
        <v>99952.457335227</v>
      </c>
      <c r="S253" s="42" t="n">
        <f aca="false">R253/$K$2</f>
        <v>277.970013168772</v>
      </c>
      <c r="T253" s="43" t="n">
        <f aca="false">S253-$M$2</f>
        <v>-0.048786542001892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0.034027099609375</v>
      </c>
      <c r="C254" s="25" t="n">
        <f aca="false">IF(T253&gt;0,D253,C253)</f>
        <v>0.03411865234375</v>
      </c>
      <c r="D254" s="41" t="n">
        <f aca="false">(B254+C254)/2</f>
        <v>0.0340728759765625</v>
      </c>
      <c r="E254" s="15" t="n">
        <f aca="false">$C$2*(1+IF(E$3&lt;=$O$2,$D254,$D254-($D254-$I$238)*MIN(E$3-$O$2,$Q$2)/$Q$2))</f>
        <v>6990.33264160156</v>
      </c>
      <c r="F254" s="15" t="n">
        <f aca="false">E254*(1+IF(F$3&lt;=$O$2,$D254,$D254-($D254-$I$238)*MIN(F$3-$O$2,$Q$2)/$Q$2))</f>
        <v>7228.51337873377</v>
      </c>
      <c r="G254" s="15" t="n">
        <f aca="false">F254*(1+IF(G$3&lt;=$O$2,$D254,$D254-($D254-$I$238)*MIN(G$3-$O$2,$Q$2)/$Q$2))</f>
        <v>7474.80961858229</v>
      </c>
      <c r="H254" s="15" t="n">
        <f aca="false">G254*(1+IF(H$3&lt;=$O$2,$D254,$D254-($D254-$I$238)*MIN(H$3-$O$2,$Q$2)/$Q$2))</f>
        <v>7729.49787966466</v>
      </c>
      <c r="I254" s="15" t="n">
        <f aca="false">H254*(1+IF(I$3&lt;=$O$2,$D254,$D254-($D254-$I$238)*MIN(I$3-$O$2,$Q$2)/$Q$2))</f>
        <v>7992.86410227958</v>
      </c>
      <c r="J254" s="15" t="n">
        <f aca="false">I254*(1+IF(J$3&lt;=$O$2,$D254,$D254-($D254-$I$238)*MIN(J$3-$O$2,$Q$2)/$Q$2))</f>
        <v>8255.97560690207</v>
      </c>
      <c r="K254" s="15" t="n">
        <f aca="false">J254*(1+IF(K$3&lt;=$O$2,$D254,$D254-($D254-$I$238)*MIN(K$3-$O$2,$Q$2)/$Q$2))</f>
        <v>8518.2161505239</v>
      </c>
      <c r="L254" s="15" t="n">
        <f aca="false">K254*(1+IF(L$3&lt;=$O$2,$D254,$D254-($D254-$I$238)*MIN(L$3-$O$2,$Q$2)/$Q$2))</f>
        <v>8778.95150973514</v>
      </c>
      <c r="M254" s="15" t="n">
        <f aca="false">L254*(1+IF(M$3&lt;=$O$2,$D254,$D254-($D254-$I$238)*MIN(M$3-$O$2,$Q$2)/$Q$2))</f>
        <v>9037.53179711463</v>
      </c>
      <c r="N254" s="15" t="n">
        <f aca="false">M254*(1+IF(N$3&lt;=$O$2,$D254,$D254-($D254-$I$238)*MIN(N$3-$O$2,$Q$2)/$Q$2))</f>
        <v>9293.29394697298</v>
      </c>
      <c r="O254" s="15" t="n">
        <f aca="false">SUMPRODUCT(E254:N254,1/(1+$F$238)^$E$3:$N$3)*$E$2</f>
        <v>34529.8696438454</v>
      </c>
      <c r="P254" s="15" t="n">
        <f aca="false">N254*$E$2*(1+$I$238)/($F$238-$I$238)/(1+$F$238)^$N$3</f>
        <v>67040.3732150514</v>
      </c>
      <c r="Q254" s="15" t="n">
        <f aca="false">O254+P254</f>
        <v>101570.242858897</v>
      </c>
      <c r="R254" s="15" t="n">
        <f aca="false">Q254-$G$2+$I$2</f>
        <v>99980.2428588968</v>
      </c>
      <c r="S254" s="42" t="n">
        <f aca="false">R254/$K$2</f>
        <v>278.04728532982</v>
      </c>
      <c r="T254" s="43" t="n">
        <f aca="false">S254-$M$2</f>
        <v>0.0284856190466485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0.034027099609375</v>
      </c>
      <c r="C255" s="25" t="n">
        <f aca="false">IF(T254&gt;0,D254,C254)</f>
        <v>0.0340728759765625</v>
      </c>
      <c r="D255" s="41" t="n">
        <f aca="false">(B255+C255)/2</f>
        <v>0.0340499877929688</v>
      </c>
      <c r="E255" s="15" t="n">
        <f aca="false">$C$2*(1+IF(E$3&lt;=$O$2,$D255,$D255-($D255-$I$238)*MIN(E$3-$O$2,$Q$2)/$Q$2))</f>
        <v>6990.17791748047</v>
      </c>
      <c r="F255" s="15" t="n">
        <f aca="false">E255*(1+IF(F$3&lt;=$O$2,$D255,$D255-($D255-$I$238)*MIN(F$3-$O$2,$Q$2)/$Q$2))</f>
        <v>7228.19339024136</v>
      </c>
      <c r="G255" s="15" t="n">
        <f aca="false">F255*(1+IF(G$3&lt;=$O$2,$D255,$D255-($D255-$I$238)*MIN(G$3-$O$2,$Q$2)/$Q$2))</f>
        <v>7474.31328694429</v>
      </c>
      <c r="H255" s="15" t="n">
        <f aca="false">G255*(1+IF(H$3&lt;=$O$2,$D255,$D255-($D255-$I$238)*MIN(H$3-$O$2,$Q$2)/$Q$2))</f>
        <v>7728.81356312557</v>
      </c>
      <c r="I255" s="15" t="n">
        <f aca="false">H255*(1+IF(I$3&lt;=$O$2,$D255,$D255-($D255-$I$238)*MIN(I$3-$O$2,$Q$2)/$Q$2))</f>
        <v>7991.97957060413</v>
      </c>
      <c r="J255" s="15" t="n">
        <f aca="false">I255*(1+IF(J$3&lt;=$O$2,$D255,$D255-($D255-$I$238)*MIN(J$3-$O$2,$Q$2)/$Q$2))</f>
        <v>8254.91562043033</v>
      </c>
      <c r="K255" s="15" t="n">
        <f aca="false">J255*(1+IF(K$3&lt;=$O$2,$D255,$D255-($D255-$I$238)*MIN(K$3-$O$2,$Q$2)/$Q$2))</f>
        <v>8517.00913091818</v>
      </c>
      <c r="L255" s="15" t="n">
        <f aca="false">K255*(1+IF(L$3&lt;=$O$2,$D255,$D255-($D255-$I$238)*MIN(L$3-$O$2,$Q$2)/$Q$2))</f>
        <v>8777.62956873732</v>
      </c>
      <c r="M255" s="15" t="n">
        <f aca="false">L255*(1+IF(M$3&lt;=$O$2,$D255,$D255-($D255-$I$238)*MIN(M$3-$O$2,$Q$2)/$Q$2))</f>
        <v>9036.13073810688</v>
      </c>
      <c r="N255" s="15" t="n">
        <f aca="false">M255*(1+IF(N$3&lt;=$O$2,$D255,$D255-($D255-$I$238)*MIN(N$3-$O$2,$Q$2)/$Q$2))</f>
        <v>9291.8532379953</v>
      </c>
      <c r="O255" s="15" t="n">
        <f aca="false">SUMPRODUCT(E255:N255,1/(1+$F$238)^$E$3:$N$3)*$E$2</f>
        <v>34526.3690493512</v>
      </c>
      <c r="P255" s="15" t="n">
        <f aca="false">N255*$E$2*(1+$I$238)/($F$238-$I$238)/(1+$F$238)^$N$3</f>
        <v>67029.9801651695</v>
      </c>
      <c r="Q255" s="15" t="n">
        <f aca="false">O255+P255</f>
        <v>101556.349214521</v>
      </c>
      <c r="R255" s="15" t="n">
        <f aca="false">Q255-$G$2+$I$2</f>
        <v>99966.3492145207</v>
      </c>
      <c r="S255" s="42" t="n">
        <f aca="false">R255/$K$2</f>
        <v>278.008646794929</v>
      </c>
      <c r="T255" s="43" t="n">
        <f aca="false">S255-$M$2</f>
        <v>-0.0101529158443441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0.0340499877929688</v>
      </c>
      <c r="C256" s="25" t="n">
        <f aca="false">IF(T255&gt;0,D255,C255)</f>
        <v>0.0340728759765625</v>
      </c>
      <c r="D256" s="41" t="n">
        <f aca="false">(B256+C256)/2</f>
        <v>0.0340614318847656</v>
      </c>
      <c r="E256" s="15" t="n">
        <f aca="false">$C$2*(1+IF(E$3&lt;=$O$2,$D256,$D256-($D256-$I$238)*MIN(E$3-$O$2,$Q$2)/$Q$2))</f>
        <v>6990.25527954102</v>
      </c>
      <c r="F256" s="15" t="n">
        <f aca="false">E256*(1+IF(F$3&lt;=$O$2,$D256,$D256-($D256-$I$238)*MIN(F$3-$O$2,$Q$2)/$Q$2))</f>
        <v>7228.35338360223</v>
      </c>
      <c r="G256" s="15" t="n">
        <f aca="false">F256*(1+IF(G$3&lt;=$O$2,$D256,$D256-($D256-$I$238)*MIN(G$3-$O$2,$Q$2)/$Q$2))</f>
        <v>7474.56145001681</v>
      </c>
      <c r="H256" s="15" t="n">
        <f aca="false">G256*(1+IF(H$3&lt;=$O$2,$D256,$D256-($D256-$I$238)*MIN(H$3-$O$2,$Q$2)/$Q$2))</f>
        <v>7729.15571571505</v>
      </c>
      <c r="I256" s="15" t="n">
        <f aca="false">H256*(1+IF(I$3&lt;=$O$2,$D256,$D256-($D256-$I$238)*MIN(I$3-$O$2,$Q$2)/$Q$2))</f>
        <v>7992.42182665263</v>
      </c>
      <c r="J256" s="15" t="n">
        <f aca="false">I256*(1+IF(J$3&lt;=$O$2,$D256,$D256-($D256-$I$238)*MIN(J$3-$O$2,$Q$2)/$Q$2))</f>
        <v>8255.44559950575</v>
      </c>
      <c r="K256" s="15" t="n">
        <f aca="false">J256*(1+IF(K$3&lt;=$O$2,$D256,$D256-($D256-$I$238)*MIN(K$3-$O$2,$Q$2)/$Q$2))</f>
        <v>8517.61262247173</v>
      </c>
      <c r="L256" s="15" t="n">
        <f aca="false">K256*(1+IF(L$3&lt;=$O$2,$D256,$D256-($D256-$I$238)*MIN(L$3-$O$2,$Q$2)/$Q$2))</f>
        <v>8778.29051766576</v>
      </c>
      <c r="M256" s="15" t="n">
        <f aca="false">L256*(1+IF(M$3&lt;=$O$2,$D256,$D256-($D256-$I$238)*MIN(M$3-$O$2,$Q$2)/$Q$2))</f>
        <v>9036.83124389214</v>
      </c>
      <c r="N256" s="15" t="n">
        <f aca="false">M256*(1+IF(N$3&lt;=$O$2,$D256,$D256-($D256-$I$238)*MIN(N$3-$O$2,$Q$2)/$Q$2))</f>
        <v>9292.57356809429</v>
      </c>
      <c r="O256" s="15" t="n">
        <f aca="false">SUMPRODUCT(E256:N256,1/(1+$F$238)^$E$3:$N$3)*$E$2</f>
        <v>34528.1193018952</v>
      </c>
      <c r="P256" s="15" t="n">
        <f aca="false">N256*$E$2*(1+$I$238)/($F$238-$I$238)/(1+$F$238)^$N$3</f>
        <v>67035.1765141658</v>
      </c>
      <c r="Q256" s="15" t="n">
        <f aca="false">O256+P256</f>
        <v>101563.295816061</v>
      </c>
      <c r="R256" s="15" t="n">
        <f aca="false">Q256-$G$2+$I$2</f>
        <v>99973.2958160611</v>
      </c>
      <c r="S256" s="42" t="n">
        <f aca="false">R256/$K$2</f>
        <v>278.027965448749</v>
      </c>
      <c r="T256" s="43" t="n">
        <f aca="false">S256-$M$2</f>
        <v>0.00916573797508136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0.0340499877929688</v>
      </c>
      <c r="C257" s="25" t="n">
        <f aca="false">IF(T256&gt;0,D256,C256)</f>
        <v>0.0340614318847656</v>
      </c>
      <c r="D257" s="41" t="n">
        <f aca="false">(B257+C257)/2</f>
        <v>0.0340557098388672</v>
      </c>
      <c r="E257" s="15" t="n">
        <f aca="false">$C$2*(1+IF(E$3&lt;=$O$2,$D257,$D257-($D257-$I$238)*MIN(E$3-$O$2,$Q$2)/$Q$2))</f>
        <v>6990.21659851074</v>
      </c>
      <c r="F257" s="15" t="n">
        <f aca="false">E257*(1+IF(F$3&lt;=$O$2,$D257,$D257-($D257-$I$238)*MIN(F$3-$O$2,$Q$2)/$Q$2))</f>
        <v>7228.27338670046</v>
      </c>
      <c r="G257" s="15" t="n">
        <f aca="false">F257*(1+IF(G$3&lt;=$O$2,$D257,$D257-($D257-$I$238)*MIN(G$3-$O$2,$Q$2)/$Q$2))</f>
        <v>7474.43736779393</v>
      </c>
      <c r="H257" s="15" t="n">
        <f aca="false">G257*(1+IF(H$3&lt;=$O$2,$D257,$D257-($D257-$I$238)*MIN(H$3-$O$2,$Q$2)/$Q$2))</f>
        <v>7728.98463800031</v>
      </c>
      <c r="I257" s="15" t="n">
        <f aca="false">H257*(1+IF(I$3&lt;=$O$2,$D257,$D257-($D257-$I$238)*MIN(I$3-$O$2,$Q$2)/$Q$2))</f>
        <v>7992.20069618111</v>
      </c>
      <c r="J257" s="15" t="n">
        <f aca="false">I257*(1+IF(J$3&lt;=$O$2,$D257,$D257-($D257-$I$238)*MIN(J$3-$O$2,$Q$2)/$Q$2))</f>
        <v>8255.180606428</v>
      </c>
      <c r="K257" s="15" t="n">
        <f aca="false">J257*(1+IF(K$3&lt;=$O$2,$D257,$D257-($D257-$I$238)*MIN(K$3-$O$2,$Q$2)/$Q$2))</f>
        <v>8517.31087213274</v>
      </c>
      <c r="L257" s="15" t="n">
        <f aca="false">K257*(1+IF(L$3&lt;=$O$2,$D257,$D257-($D257-$I$238)*MIN(L$3-$O$2,$Q$2)/$Q$2))</f>
        <v>8777.96003780907</v>
      </c>
      <c r="M257" s="15" t="n">
        <f aca="false">L257*(1+IF(M$3&lt;=$O$2,$D257,$D257-($D257-$I$238)*MIN(M$3-$O$2,$Q$2)/$Q$2))</f>
        <v>9036.48098507003</v>
      </c>
      <c r="N257" s="15" t="n">
        <f aca="false">M257*(1+IF(N$3&lt;=$O$2,$D257,$D257-($D257-$I$238)*MIN(N$3-$O$2,$Q$2)/$Q$2))</f>
        <v>9292.21339694751</v>
      </c>
      <c r="O257" s="15" t="n">
        <f aca="false">SUMPRODUCT(E257:N257,1/(1+$F$238)^$E$3:$N$3)*$E$2</f>
        <v>34527.2441644477</v>
      </c>
      <c r="P257" s="15" t="n">
        <f aca="false">N257*$E$2*(1+$I$238)/($F$238-$I$238)/(1+$F$238)^$N$3</f>
        <v>67032.5782956828</v>
      </c>
      <c r="Q257" s="15" t="n">
        <f aca="false">O257+P257</f>
        <v>101559.822460131</v>
      </c>
      <c r="R257" s="15" t="n">
        <f aca="false">Q257-$G$2+$I$2</f>
        <v>99969.8224601305</v>
      </c>
      <c r="S257" s="42" t="n">
        <f aca="false">R257/$K$2</f>
        <v>278.018305968437</v>
      </c>
      <c r="T257" s="43" t="n">
        <f aca="false">S257-$M$2</f>
        <v>-0.000493742336857395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0.0340557098388672</v>
      </c>
      <c r="C258" s="25" t="n">
        <f aca="false">IF(T257&gt;0,D257,C257)</f>
        <v>0.0340614318847656</v>
      </c>
      <c r="D258" s="41" t="n">
        <f aca="false">(B258+C258)/2</f>
        <v>0.0340585708618164</v>
      </c>
      <c r="E258" s="15" t="n">
        <f aca="false">$C$2*(1+IF(E$3&lt;=$O$2,$D258,$D258-($D258-$I$238)*MIN(E$3-$O$2,$Q$2)/$Q$2))</f>
        <v>6990.23593902588</v>
      </c>
      <c r="F258" s="15" t="n">
        <f aca="false">E258*(1+IF(F$3&lt;=$O$2,$D258,$D258-($D258-$I$238)*MIN(F$3-$O$2,$Q$2)/$Q$2))</f>
        <v>7228.31338509601</v>
      </c>
      <c r="G258" s="15" t="n">
        <f aca="false">F258*(1+IF(G$3&lt;=$O$2,$D258,$D258-($D258-$I$238)*MIN(G$3-$O$2,$Q$2)/$Q$2))</f>
        <v>7474.49940873372</v>
      </c>
      <c r="H258" s="15" t="n">
        <f aca="false">G258*(1+IF(H$3&lt;=$O$2,$D258,$D258-($D258-$I$238)*MIN(H$3-$O$2,$Q$2)/$Q$2))</f>
        <v>7729.07017650268</v>
      </c>
      <c r="I258" s="15" t="n">
        <f aca="false">H258*(1+IF(I$3&lt;=$O$2,$D258,$D258-($D258-$I$238)*MIN(I$3-$O$2,$Q$2)/$Q$2))</f>
        <v>7992.31126080505</v>
      </c>
      <c r="J258" s="15" t="n">
        <f aca="false">I258*(1+IF(J$3&lt;=$O$2,$D258,$D258-($D258-$I$238)*MIN(J$3-$O$2,$Q$2)/$Q$2))</f>
        <v>8255.31310208186</v>
      </c>
      <c r="K258" s="15" t="n">
        <f aca="false">J258*(1+IF(K$3&lt;=$O$2,$D258,$D258-($D258-$I$238)*MIN(K$3-$O$2,$Q$2)/$Q$2))</f>
        <v>8517.46174616167</v>
      </c>
      <c r="L258" s="15" t="n">
        <f aca="false">K258*(1+IF(L$3&lt;=$O$2,$D258,$D258-($D258-$I$238)*MIN(L$3-$O$2,$Q$2)/$Q$2))</f>
        <v>8778.12527638928</v>
      </c>
      <c r="M258" s="15" t="n">
        <f aca="false">L258*(1+IF(M$3&lt;=$O$2,$D258,$D258-($D258-$I$238)*MIN(M$3-$O$2,$Q$2)/$Q$2))</f>
        <v>9036.65611299869</v>
      </c>
      <c r="N258" s="15" t="n">
        <f aca="false">M258*(1+IF(N$3&lt;=$O$2,$D258,$D258-($D258-$I$238)*MIN(N$3-$O$2,$Q$2)/$Q$2))</f>
        <v>9292.39348099656</v>
      </c>
      <c r="O258" s="15" t="n">
        <f aca="false">SUMPRODUCT(E258:N258,1/(1+$F$238)^$E$3:$N$3)*$E$2</f>
        <v>34527.6817303776</v>
      </c>
      <c r="P258" s="15" t="n">
        <f aca="false">N258*$E$2*(1+$I$238)/($F$238-$I$238)/(1+$F$238)^$N$3</f>
        <v>67033.877393928</v>
      </c>
      <c r="Q258" s="15" t="n">
        <f aca="false">O258+P258</f>
        <v>101561.559124306</v>
      </c>
      <c r="R258" s="15" t="n">
        <f aca="false">Q258-$G$2+$I$2</f>
        <v>99971.5591243055</v>
      </c>
      <c r="S258" s="42" t="n">
        <f aca="false">R258/$K$2</f>
        <v>278.023135670242</v>
      </c>
      <c r="T258" s="43" t="n">
        <f aca="false">S258-$M$2</f>
        <v>0.00433595946810783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0.0340557098388672</v>
      </c>
      <c r="C259" s="25" t="n">
        <f aca="false">IF(T258&gt;0,D258,C258)</f>
        <v>0.0340585708618164</v>
      </c>
      <c r="D259" s="41" t="n">
        <f aca="false">(B259+C259)/2</f>
        <v>0.0340571403503418</v>
      </c>
      <c r="E259" s="15" t="n">
        <f aca="false">$C$2*(1+IF(E$3&lt;=$O$2,$D259,$D259-($D259-$I$238)*MIN(E$3-$O$2,$Q$2)/$Q$2))</f>
        <v>6990.22626876831</v>
      </c>
      <c r="F259" s="15" t="n">
        <f aca="false">E259*(1+IF(F$3&lt;=$O$2,$D259,$D259-($D259-$I$238)*MIN(F$3-$O$2,$Q$2)/$Q$2))</f>
        <v>7228.2933858844</v>
      </c>
      <c r="G259" s="15" t="n">
        <f aca="false">F259*(1+IF(G$3&lt;=$O$2,$D259,$D259-($D259-$I$238)*MIN(G$3-$O$2,$Q$2)/$Q$2))</f>
        <v>7474.46838822091</v>
      </c>
      <c r="H259" s="15" t="n">
        <f aca="false">G259*(1+IF(H$3&lt;=$O$2,$D259,$D259-($D259-$I$238)*MIN(H$3-$O$2,$Q$2)/$Q$2))</f>
        <v>7729.02740716274</v>
      </c>
      <c r="I259" s="15" t="n">
        <f aca="false">H259*(1+IF(I$3&lt;=$O$2,$D259,$D259-($D259-$I$238)*MIN(I$3-$O$2,$Q$2)/$Q$2))</f>
        <v>7992.25597834012</v>
      </c>
      <c r="J259" s="15" t="n">
        <f aca="false">I259*(1+IF(J$3&lt;=$O$2,$D259,$D259-($D259-$I$238)*MIN(J$3-$O$2,$Q$2)/$Q$2))</f>
        <v>8255.24685403368</v>
      </c>
      <c r="K259" s="15" t="n">
        <f aca="false">J259*(1+IF(K$3&lt;=$O$2,$D259,$D259-($D259-$I$238)*MIN(K$3-$O$2,$Q$2)/$Q$2))</f>
        <v>8517.38630886207</v>
      </c>
      <c r="L259" s="15" t="n">
        <f aca="false">K259*(1+IF(L$3&lt;=$O$2,$D259,$D259-($D259-$I$238)*MIN(L$3-$O$2,$Q$2)/$Q$2))</f>
        <v>8778.04265676214</v>
      </c>
      <c r="M259" s="15" t="n">
        <f aca="false">L259*(1+IF(M$3&lt;=$O$2,$D259,$D259-($D259-$I$238)*MIN(M$3-$O$2,$Q$2)/$Q$2))</f>
        <v>9036.56854866376</v>
      </c>
      <c r="N259" s="15" t="n">
        <f aca="false">M259*(1+IF(N$3&lt;=$O$2,$D259,$D259-($D259-$I$238)*MIN(N$3-$O$2,$Q$2)/$Q$2))</f>
        <v>9292.30343859095</v>
      </c>
      <c r="O259" s="15" t="n">
        <f aca="false">SUMPRODUCT(E259:N259,1/(1+$F$238)^$E$3:$N$3)*$E$2</f>
        <v>34527.4629467142</v>
      </c>
      <c r="P259" s="15" t="n">
        <f aca="false">N259*$E$2*(1+$I$238)/($F$238-$I$238)/(1+$F$238)^$N$3</f>
        <v>67033.2278420563</v>
      </c>
      <c r="Q259" s="15" t="n">
        <f aca="false">O259+P259</f>
        <v>101560.69078877</v>
      </c>
      <c r="R259" s="15" t="n">
        <f aca="false">Q259-$G$2+$I$2</f>
        <v>99970.6907887705</v>
      </c>
      <c r="S259" s="42" t="n">
        <f aca="false">R259/$K$2</f>
        <v>278.020720809752</v>
      </c>
      <c r="T259" s="43" t="n">
        <f aca="false">S259-$M$2</f>
        <v>0.0019210989779026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0.0340557098388672</v>
      </c>
      <c r="C260" s="25" t="n">
        <f aca="false">IF(T259&gt;0,D259,C259)</f>
        <v>0.0340571403503418</v>
      </c>
      <c r="D260" s="41" t="n">
        <f aca="false">(B260+C260)/2</f>
        <v>0.0340564250946045</v>
      </c>
      <c r="E260" s="15" t="n">
        <f aca="false">$C$2*(1+IF(E$3&lt;=$O$2,$D260,$D260-($D260-$I$238)*MIN(E$3-$O$2,$Q$2)/$Q$2))</f>
        <v>6990.22143363953</v>
      </c>
      <c r="F260" s="15" t="n">
        <f aca="false">E260*(1+IF(F$3&lt;=$O$2,$D260,$D260-($D260-$I$238)*MIN(F$3-$O$2,$Q$2)/$Q$2))</f>
        <v>7228.28338628897</v>
      </c>
      <c r="G260" s="15" t="n">
        <f aca="false">F260*(1+IF(G$3&lt;=$O$2,$D260,$D260-($D260-$I$238)*MIN(G$3-$O$2,$Q$2)/$Q$2))</f>
        <v>7474.45287799669</v>
      </c>
      <c r="H260" s="15" t="n">
        <f aca="false">G260*(1+IF(H$3&lt;=$O$2,$D260,$D260-($D260-$I$238)*MIN(H$3-$O$2,$Q$2)/$Q$2))</f>
        <v>7729.00602255934</v>
      </c>
      <c r="I260" s="15" t="n">
        <f aca="false">H260*(1+IF(I$3&lt;=$O$2,$D260,$D260-($D260-$I$238)*MIN(I$3-$O$2,$Q$2)/$Q$2))</f>
        <v>7992.22833722238</v>
      </c>
      <c r="J260" s="15" t="n">
        <f aca="false">I260*(1+IF(J$3&lt;=$O$2,$D260,$D260-($D260-$I$238)*MIN(J$3-$O$2,$Q$2)/$Q$2))</f>
        <v>8255.21373017553</v>
      </c>
      <c r="K260" s="15" t="n">
        <f aca="false">J260*(1+IF(K$3&lt;=$O$2,$D260,$D260-($D260-$I$238)*MIN(K$3-$O$2,$Q$2)/$Q$2))</f>
        <v>8517.34859042612</v>
      </c>
      <c r="L260" s="15" t="n">
        <f aca="false">K260*(1+IF(L$3&lt;=$O$2,$D260,$D260-($D260-$I$238)*MIN(L$3-$O$2,$Q$2)/$Q$2))</f>
        <v>8778.00134720135</v>
      </c>
      <c r="M260" s="15" t="n">
        <f aca="false">L260*(1+IF(M$3&lt;=$O$2,$D260,$D260-($D260-$I$238)*MIN(M$3-$O$2,$Q$2)/$Q$2))</f>
        <v>9036.52476677425</v>
      </c>
      <c r="N260" s="15" t="n">
        <f aca="false">M260*(1+IF(N$3&lt;=$O$2,$D260,$D260-($D260-$I$238)*MIN(N$3-$O$2,$Q$2)/$Q$2))</f>
        <v>9292.25841767396</v>
      </c>
      <c r="O260" s="15" t="n">
        <f aca="false">SUMPRODUCT(E260:N260,1/(1+$F$238)^$E$3:$N$3)*$E$2</f>
        <v>34527.3535554063</v>
      </c>
      <c r="P260" s="15" t="n">
        <f aca="false">N260*$E$2*(1+$I$238)/($F$238-$I$238)/(1+$F$238)^$N$3</f>
        <v>67032.9030681823</v>
      </c>
      <c r="Q260" s="15" t="n">
        <f aca="false">O260+P260</f>
        <v>101560.256623589</v>
      </c>
      <c r="R260" s="15" t="n">
        <f aca="false">Q260-$G$2+$I$2</f>
        <v>99970.2566235886</v>
      </c>
      <c r="S260" s="42" t="n">
        <f aca="false">R260/$K$2</f>
        <v>278.019513386697</v>
      </c>
      <c r="T260" s="43" t="n">
        <f aca="false">S260-$M$2</f>
        <v>0.000713675923634582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0.0340557098388672</v>
      </c>
      <c r="C261" s="25" t="n">
        <f aca="false">IF(T260&gt;0,D260,C260)</f>
        <v>0.0340564250946045</v>
      </c>
      <c r="D261" s="41" t="n">
        <f aca="false">(B261+C261)/2</f>
        <v>0.0340560674667358</v>
      </c>
      <c r="E261" s="15" t="n">
        <f aca="false">$C$2*(1+IF(E$3&lt;=$O$2,$D261,$D261-($D261-$I$238)*MIN(E$3-$O$2,$Q$2)/$Q$2))</f>
        <v>6990.21901607513</v>
      </c>
      <c r="F261" s="15" t="n">
        <f aca="false">E261*(1+IF(F$3&lt;=$O$2,$D261,$D261-($D261-$I$238)*MIN(F$3-$O$2,$Q$2)/$Q$2))</f>
        <v>7228.27838649385</v>
      </c>
      <c r="G261" s="15" t="n">
        <f aca="false">F261*(1+IF(G$3&lt;=$O$2,$D261,$D261-($D261-$I$238)*MIN(G$3-$O$2,$Q$2)/$Q$2))</f>
        <v>7474.44512289263</v>
      </c>
      <c r="H261" s="15" t="n">
        <f aca="false">G261*(1+IF(H$3&lt;=$O$2,$D261,$D261-($D261-$I$238)*MIN(H$3-$O$2,$Q$2)/$Q$2))</f>
        <v>7728.99533027428</v>
      </c>
      <c r="I261" s="15" t="n">
        <f aca="false">H261*(1+IF(I$3&lt;=$O$2,$D261,$D261-($D261-$I$238)*MIN(I$3-$O$2,$Q$2)/$Q$2))</f>
        <v>7992.21451669219</v>
      </c>
      <c r="J261" s="15" t="n">
        <f aca="false">I261*(1+IF(J$3&lt;=$O$2,$D261,$D261-($D261-$I$238)*MIN(J$3-$O$2,$Q$2)/$Q$2))</f>
        <v>8255.19716828794</v>
      </c>
      <c r="K261" s="15" t="n">
        <f aca="false">J261*(1+IF(K$3&lt;=$O$2,$D261,$D261-($D261-$I$238)*MIN(K$3-$O$2,$Q$2)/$Q$2))</f>
        <v>8517.32973126161</v>
      </c>
      <c r="L261" s="15" t="n">
        <f aca="false">K261*(1+IF(L$3&lt;=$O$2,$D261,$D261-($D261-$I$238)*MIN(L$3-$O$2,$Q$2)/$Q$2))</f>
        <v>8777.98069248414</v>
      </c>
      <c r="M261" s="15" t="n">
        <f aca="false">L261*(1+IF(M$3&lt;=$O$2,$D261,$D261-($D261-$I$238)*MIN(M$3-$O$2,$Q$2)/$Q$2))</f>
        <v>9036.50287589897</v>
      </c>
      <c r="N261" s="15" t="n">
        <f aca="false">M261*(1+IF(N$3&lt;=$O$2,$D261,$D261-($D261-$I$238)*MIN(N$3-$O$2,$Q$2)/$Q$2))</f>
        <v>9292.23590728691</v>
      </c>
      <c r="O261" s="15" t="n">
        <f aca="false">SUMPRODUCT(E261:N261,1/(1+$F$238)^$E$3:$N$3)*$E$2</f>
        <v>34527.2988598834</v>
      </c>
      <c r="P261" s="15" t="n">
        <f aca="false">N261*$E$2*(1+$I$238)/($F$238-$I$238)/(1+$F$238)^$N$3</f>
        <v>67032.7406817607</v>
      </c>
      <c r="Q261" s="15" t="n">
        <f aca="false">O261+P261</f>
        <v>101560.039541644</v>
      </c>
      <c r="R261" s="15" t="n">
        <f aca="false">Q261-$G$2+$I$2</f>
        <v>99970.0395416441</v>
      </c>
      <c r="S261" s="42" t="n">
        <f aca="false">R261/$K$2</f>
        <v>278.018909676968</v>
      </c>
      <c r="T261" s="43" t="n">
        <f aca="false">S261-$M$2</f>
        <v>0.000109966194088429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0.0340557098388672</v>
      </c>
      <c r="C262" s="25" t="n">
        <f aca="false">IF(T261&gt;0,D261,C261)</f>
        <v>0.0340560674667358</v>
      </c>
      <c r="D262" s="41" t="n">
        <f aca="false">(B262+C262)/2</f>
        <v>0.0340558886528015</v>
      </c>
      <c r="E262" s="15" t="n">
        <f aca="false">$C$2*(1+IF(E$3&lt;=$O$2,$D262,$D262-($D262-$I$238)*MIN(E$3-$O$2,$Q$2)/$Q$2))</f>
        <v>6990.21780729294</v>
      </c>
      <c r="F262" s="15" t="n">
        <f aca="false">E262*(1+IF(F$3&lt;=$O$2,$D262,$D262-($D262-$I$238)*MIN(F$3-$O$2,$Q$2)/$Q$2))</f>
        <v>7228.27588659694</v>
      </c>
      <c r="G262" s="15" t="n">
        <f aca="false">F262*(1+IF(G$3&lt;=$O$2,$D262,$D262-($D262-$I$238)*MIN(G$3-$O$2,$Q$2)/$Q$2))</f>
        <v>7474.44124534261</v>
      </c>
      <c r="H262" s="15" t="n">
        <f aca="false">G262*(1+IF(H$3&lt;=$O$2,$D262,$D262-($D262-$I$238)*MIN(H$3-$O$2,$Q$2)/$Q$2))</f>
        <v>7728.98998413591</v>
      </c>
      <c r="I262" s="15" t="n">
        <f aca="false">H262*(1+IF(I$3&lt;=$O$2,$D262,$D262-($D262-$I$238)*MIN(I$3-$O$2,$Q$2)/$Q$2))</f>
        <v>7992.20760643426</v>
      </c>
      <c r="J262" s="15" t="n">
        <f aca="false">I262*(1+IF(J$3&lt;=$O$2,$D262,$D262-($D262-$I$238)*MIN(J$3-$O$2,$Q$2)/$Q$2))</f>
        <v>8255.18888735452</v>
      </c>
      <c r="K262" s="15" t="n">
        <f aca="false">J262*(1+IF(K$3&lt;=$O$2,$D262,$D262-($D262-$I$238)*MIN(K$3-$O$2,$Q$2)/$Q$2))</f>
        <v>8517.32030169272</v>
      </c>
      <c r="L262" s="15" t="n">
        <f aca="false">K262*(1+IF(L$3&lt;=$O$2,$D262,$D262-($D262-$I$238)*MIN(L$3-$O$2,$Q$2)/$Q$2))</f>
        <v>8777.97036514134</v>
      </c>
      <c r="M262" s="15" t="n">
        <f aca="false">L262*(1+IF(M$3&lt;=$O$2,$D262,$D262-($D262-$I$238)*MIN(M$3-$O$2,$Q$2)/$Q$2))</f>
        <v>9036.49193047871</v>
      </c>
      <c r="N262" s="15" t="n">
        <f aca="false">M262*(1+IF(N$3&lt;=$O$2,$D262,$D262-($D262-$I$238)*MIN(N$3-$O$2,$Q$2)/$Q$2))</f>
        <v>9292.22465211126</v>
      </c>
      <c r="O262" s="15" t="n">
        <f aca="false">SUMPRODUCT(E262:N262,1/(1+$F$238)^$E$3:$N$3)*$E$2</f>
        <v>34527.2715121546</v>
      </c>
      <c r="P262" s="15" t="n">
        <f aca="false">N262*$E$2*(1+$I$238)/($F$238-$I$238)/(1+$F$238)^$N$3</f>
        <v>67032.6594886788</v>
      </c>
      <c r="Q262" s="15" t="n">
        <f aca="false">O262+P262</f>
        <v>101559.931000833</v>
      </c>
      <c r="R262" s="15" t="n">
        <f aca="false">Q262-$G$2+$I$2</f>
        <v>99969.9310008335</v>
      </c>
      <c r="S262" s="42" t="n">
        <f aca="false">R262/$K$2</f>
        <v>278.018607822553</v>
      </c>
      <c r="T262" s="43" t="n">
        <f aca="false">S262-$M$2</f>
        <v>-0.000191888221081626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0.0340558886528015</v>
      </c>
      <c r="C263" s="25" t="n">
        <f aca="false">IF(T262&gt;0,D262,C262)</f>
        <v>0.0340560674667358</v>
      </c>
      <c r="D263" s="41" t="n">
        <f aca="false">(B263+C263)/2</f>
        <v>0.0340559780597687</v>
      </c>
      <c r="E263" s="15" t="n">
        <f aca="false">$C$2*(1+IF(E$3&lt;=$O$2,$D263,$D263-($D263-$I$238)*MIN(E$3-$O$2,$Q$2)/$Q$2))</f>
        <v>6990.21841168404</v>
      </c>
      <c r="F263" s="15" t="n">
        <f aca="false">E263*(1+IF(F$3&lt;=$O$2,$D263,$D263-($D263-$I$238)*MIN(F$3-$O$2,$Q$2)/$Q$2))</f>
        <v>7228.27713654534</v>
      </c>
      <c r="G263" s="15" t="n">
        <f aca="false">F263*(1+IF(G$3&lt;=$O$2,$D263,$D263-($D263-$I$238)*MIN(G$3-$O$2,$Q$2)/$Q$2))</f>
        <v>7474.44318411746</v>
      </c>
      <c r="H263" s="15" t="n">
        <f aca="false">G263*(1+IF(H$3&lt;=$O$2,$D263,$D263-($D263-$I$238)*MIN(H$3-$O$2,$Q$2)/$Q$2))</f>
        <v>7728.99265720475</v>
      </c>
      <c r="I263" s="15" t="n">
        <f aca="false">H263*(1+IF(I$3&lt;=$O$2,$D263,$D263-($D263-$I$238)*MIN(I$3-$O$2,$Q$2)/$Q$2))</f>
        <v>7992.21106156262</v>
      </c>
      <c r="J263" s="15" t="n">
        <f aca="false">I263*(1+IF(J$3&lt;=$O$2,$D263,$D263-($D263-$I$238)*MIN(J$3-$O$2,$Q$2)/$Q$2))</f>
        <v>8255.19302782036</v>
      </c>
      <c r="K263" s="15" t="n">
        <f aca="false">J263*(1+IF(K$3&lt;=$O$2,$D263,$D263-($D263-$I$238)*MIN(K$3-$O$2,$Q$2)/$Q$2))</f>
        <v>8517.32501647605</v>
      </c>
      <c r="L263" s="15" t="n">
        <f aca="false">K263*(1+IF(L$3&lt;=$O$2,$D263,$D263-($D263-$I$238)*MIN(L$3-$O$2,$Q$2)/$Q$2))</f>
        <v>8777.97552881143</v>
      </c>
      <c r="M263" s="15" t="n">
        <f aca="false">L263*(1+IF(M$3&lt;=$O$2,$D263,$D263-($D263-$I$238)*MIN(M$3-$O$2,$Q$2)/$Q$2))</f>
        <v>9036.4974031874</v>
      </c>
      <c r="N263" s="15" t="n">
        <f aca="false">M263*(1+IF(N$3&lt;=$O$2,$D263,$D263-($D263-$I$238)*MIN(N$3-$O$2,$Q$2)/$Q$2))</f>
        <v>9292.2302796976</v>
      </c>
      <c r="O263" s="15" t="n">
        <f aca="false">SUMPRODUCT(E263:N263,1/(1+$F$238)^$E$3:$N$3)*$E$2</f>
        <v>34527.2851860163</v>
      </c>
      <c r="P263" s="15" t="n">
        <f aca="false">N263*$E$2*(1+$I$238)/($F$238-$I$238)/(1+$F$238)^$N$3</f>
        <v>67032.700085209</v>
      </c>
      <c r="Q263" s="15" t="n">
        <f aca="false">O263+P263</f>
        <v>101559.985271225</v>
      </c>
      <c r="R263" s="15" t="n">
        <f aca="false">Q263-$G$2+$I$2</f>
        <v>99969.9852712253</v>
      </c>
      <c r="S263" s="42" t="n">
        <f aca="false">R263/$K$2</f>
        <v>278.018758749723</v>
      </c>
      <c r="T263" s="43" t="n">
        <f aca="false">S263-$M$2</f>
        <v>-4.09610508995684E-005</v>
      </c>
    </row>
    <row r="265" customFormat="false" ht="15" hidden="false" customHeight="false" outlineLevel="0" collapsed="false">
      <c r="A265" s="38" t="s">
        <v>195</v>
      </c>
      <c r="E265" s="5" t="s">
        <v>11</v>
      </c>
      <c r="F265" s="12" t="n">
        <f aca="false">Sensitivity!$B$11</f>
        <v>0.0724202832668642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167</v>
      </c>
      <c r="B266" s="28" t="s">
        <v>168</v>
      </c>
      <c r="C266" s="28" t="s">
        <v>169</v>
      </c>
      <c r="D266" s="28" t="s">
        <v>170</v>
      </c>
      <c r="E266" s="28" t="s">
        <v>171</v>
      </c>
      <c r="F266" s="28" t="s">
        <v>172</v>
      </c>
      <c r="G266" s="28" t="s">
        <v>173</v>
      </c>
      <c r="H266" s="28" t="s">
        <v>174</v>
      </c>
      <c r="I266" s="28" t="s">
        <v>175</v>
      </c>
      <c r="J266" s="28" t="s">
        <v>176</v>
      </c>
      <c r="K266" s="28" t="s">
        <v>177</v>
      </c>
      <c r="L266" s="28" t="s">
        <v>178</v>
      </c>
      <c r="M266" s="28" t="s">
        <v>179</v>
      </c>
      <c r="N266" s="28" t="s">
        <v>180</v>
      </c>
      <c r="O266" s="28" t="s">
        <v>181</v>
      </c>
      <c r="P266" s="28" t="s">
        <v>182</v>
      </c>
      <c r="Q266" s="28" t="s">
        <v>183</v>
      </c>
      <c r="R266" s="28" t="s">
        <v>184</v>
      </c>
      <c r="S266" s="28" t="s">
        <v>185</v>
      </c>
      <c r="T266" s="28" t="s">
        <v>186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8450</v>
      </c>
      <c r="F267" s="15" t="n">
        <f aca="false">E267*(1+IF(F$3&lt;=$O$2,$D267,$D267-($D267-$I$265)*MIN(F$3-$O$2,$Q$2)/$Q$2))</f>
        <v>10562.5</v>
      </c>
      <c r="G267" s="15" t="n">
        <f aca="false">F267*(1+IF(G$3&lt;=$O$2,$D267,$D267-($D267-$I$265)*MIN(G$3-$O$2,$Q$2)/$Q$2))</f>
        <v>13203.125</v>
      </c>
      <c r="H267" s="15" t="n">
        <f aca="false">G267*(1+IF(H$3&lt;=$O$2,$D267,$D267-($D267-$I$265)*MIN(H$3-$O$2,$Q$2)/$Q$2))</f>
        <v>16503.90625</v>
      </c>
      <c r="I267" s="15" t="n">
        <f aca="false">H267*(1+IF(I$3&lt;=$O$2,$D267,$D267-($D267-$I$265)*MIN(I$3-$O$2,$Q$2)/$Q$2))</f>
        <v>20629.8828125</v>
      </c>
      <c r="J267" s="15" t="n">
        <f aca="false">I267*(1+IF(J$3&lt;=$O$2,$D267,$D267-($D267-$I$265)*MIN(J$3-$O$2,$Q$2)/$Q$2))</f>
        <v>24893.2543945313</v>
      </c>
      <c r="K267" s="15" t="n">
        <f aca="false">J267*(1+IF(K$3&lt;=$O$2,$D267,$D267-($D267-$I$265)*MIN(K$3-$O$2,$Q$2)/$Q$2))</f>
        <v>28958.8207022461</v>
      </c>
      <c r="L267" s="15" t="n">
        <f aca="false">K267*(1+IF(L$3&lt;=$O$2,$D267,$D267-($D267-$I$265)*MIN(L$3-$O$2,$Q$2)/$Q$2))</f>
        <v>32433.3000101016</v>
      </c>
      <c r="M267" s="15" t="n">
        <f aca="false">L267*(1+IF(M$3&lt;=$O$2,$D267,$D267-($D267-$I$265)*MIN(M$3-$O$2,$Q$2)/$Q$2))</f>
        <v>34918.9881228758</v>
      </c>
      <c r="N267" s="15" t="n">
        <f aca="false">M267*(1+IF(N$3&lt;=$O$2,$D267,$D267-($D267-$I$265)*MIN(N$3-$O$2,$Q$2)/$Q$2))</f>
        <v>36081.7904273675</v>
      </c>
      <c r="O267" s="15" t="n">
        <f aca="false">SUMPRODUCT(E267:N267,1/(1+$F$265)^$E$3:$N$3)*$E$2</f>
        <v>89672.1462460139</v>
      </c>
      <c r="P267" s="15" t="n">
        <f aca="false">N267*$E$2*(1+$I$265)/($F$265-$I$265)/(1+$F$265)^$N$3</f>
        <v>294983.49968821</v>
      </c>
      <c r="Q267" s="15" t="n">
        <f aca="false">O267+P267</f>
        <v>384655.645934224</v>
      </c>
      <c r="R267" s="15" t="n">
        <f aca="false">Q267-$G$2+$I$2</f>
        <v>383065.645934224</v>
      </c>
      <c r="S267" s="42" t="n">
        <f aca="false">R267/$K$2</f>
        <v>1065.3141051622</v>
      </c>
      <c r="T267" s="43" t="n">
        <f aca="false">S267-$M$2</f>
        <v>787.295305451426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5915</v>
      </c>
      <c r="F268" s="15" t="n">
        <f aca="false">E268*(1+IF(F$3&lt;=$O$2,$D268,$D268-($D268-$I$265)*MIN(F$3-$O$2,$Q$2)/$Q$2))</f>
        <v>5175.625</v>
      </c>
      <c r="G268" s="15" t="n">
        <f aca="false">F268*(1+IF(G$3&lt;=$O$2,$D268,$D268-($D268-$I$265)*MIN(G$3-$O$2,$Q$2)/$Q$2))</f>
        <v>4528.671875</v>
      </c>
      <c r="H268" s="15" t="n">
        <f aca="false">G268*(1+IF(H$3&lt;=$O$2,$D268,$D268-($D268-$I$265)*MIN(H$3-$O$2,$Q$2)/$Q$2))</f>
        <v>3962.587890625</v>
      </c>
      <c r="I268" s="15" t="n">
        <f aca="false">H268*(1+IF(I$3&lt;=$O$2,$D268,$D268-($D268-$I$265)*MIN(I$3-$O$2,$Q$2)/$Q$2))</f>
        <v>3467.26440429688</v>
      </c>
      <c r="J268" s="15" t="n">
        <f aca="false">I268*(1+IF(J$3&lt;=$O$2,$D268,$D268-($D268-$I$265)*MIN(J$3-$O$2,$Q$2)/$Q$2))</f>
        <v>3143.62994479981</v>
      </c>
      <c r="K268" s="15" t="n">
        <f aca="false">J268*(1+IF(K$3&lt;=$O$2,$D268,$D268-($D268-$I$265)*MIN(K$3-$O$2,$Q$2)/$Q$2))</f>
        <v>2949.73084980455</v>
      </c>
      <c r="L268" s="15" t="n">
        <f aca="false">K268*(1+IF(L$3&lt;=$O$2,$D268,$D268-($D268-$I$265)*MIN(L$3-$O$2,$Q$2)/$Q$2))</f>
        <v>2861.17992969342</v>
      </c>
      <c r="M268" s="15" t="n">
        <f aca="false">L268*(1+IF(M$3&lt;=$O$2,$D268,$D268-($D268-$I$265)*MIN(M$3-$O$2,$Q$2)/$Q$2))</f>
        <v>2865.87226477812</v>
      </c>
      <c r="N268" s="15" t="n">
        <f aca="false">M268*(1+IF(N$3&lt;=$O$2,$D268,$D268-($D268-$I$265)*MIN(N$3-$O$2,$Q$2)/$Q$2))</f>
        <v>2961.30581119523</v>
      </c>
      <c r="O268" s="15" t="n">
        <f aca="false">SUMPRODUCT(E268:N268,1/(1+$F$265)^$E$3:$N$3)*$E$2</f>
        <v>17211.7952418772</v>
      </c>
      <c r="P268" s="15" t="n">
        <f aca="false">N268*$E$2*(1+$I$265)/($F$265-$I$265)/(1+$F$265)^$N$3</f>
        <v>24209.8948385565</v>
      </c>
      <c r="Q268" s="15" t="n">
        <f aca="false">O268+P268</f>
        <v>41421.6900804337</v>
      </c>
      <c r="R268" s="15" t="n">
        <f aca="false">Q268-$G$2+$I$2</f>
        <v>39831.6900804337</v>
      </c>
      <c r="S268" s="42" t="n">
        <f aca="false">R268/$K$2</f>
        <v>110.772818511691</v>
      </c>
      <c r="T268" s="43" t="n">
        <f aca="false">S268-$M$2</f>
        <v>-167.245981199083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7182.5</v>
      </c>
      <c r="F269" s="15" t="n">
        <f aca="false">E269*(1+IF(F$3&lt;=$O$2,$D269,$D269-($D269-$I$265)*MIN(F$3-$O$2,$Q$2)/$Q$2))</f>
        <v>7631.40625</v>
      </c>
      <c r="G269" s="15" t="n">
        <f aca="false">F269*(1+IF(G$3&lt;=$O$2,$D269,$D269-($D269-$I$265)*MIN(G$3-$O$2,$Q$2)/$Q$2))</f>
        <v>8108.369140625</v>
      </c>
      <c r="H269" s="15" t="n">
        <f aca="false">G269*(1+IF(H$3&lt;=$O$2,$D269,$D269-($D269-$I$265)*MIN(H$3-$O$2,$Q$2)/$Q$2))</f>
        <v>8615.14221191406</v>
      </c>
      <c r="I269" s="15" t="n">
        <f aca="false">H269*(1+IF(I$3&lt;=$O$2,$D269,$D269-($D269-$I$265)*MIN(I$3-$O$2,$Q$2)/$Q$2))</f>
        <v>9153.58860015869</v>
      </c>
      <c r="J269" s="15" t="n">
        <f aca="false">I269*(1+IF(J$3&lt;=$O$2,$D269,$D269-($D269-$I$265)*MIN(J$3-$O$2,$Q$2)/$Q$2))</f>
        <v>9672.23093024368</v>
      </c>
      <c r="K269" s="15" t="n">
        <f aca="false">J269*(1+IF(K$3&lt;=$O$2,$D269,$D269-($D269-$I$265)*MIN(K$3-$O$2,$Q$2)/$Q$2))</f>
        <v>10163.7737061187</v>
      </c>
      <c r="L269" s="15" t="n">
        <f aca="false">K269*(1+IF(L$3&lt;=$O$2,$D269,$D269-($D269-$I$265)*MIN(L$3-$O$2,$Q$2)/$Q$2))</f>
        <v>10620.9402474199</v>
      </c>
      <c r="M269" s="15" t="n">
        <f aca="false">L269*(1+IF(M$3&lt;=$O$2,$D269,$D269-($D269-$I$265)*MIN(M$3-$O$2,$Q$2)/$Q$2))</f>
        <v>11036.6438487039</v>
      </c>
      <c r="N269" s="15" t="n">
        <f aca="false">M269*(1+IF(N$3&lt;=$O$2,$D269,$D269-($D269-$I$265)*MIN(N$3-$O$2,$Q$2)/$Q$2))</f>
        <v>11404.1640888657</v>
      </c>
      <c r="O269" s="15" t="n">
        <f aca="false">SUMPRODUCT(E269:N269,1/(1+$F$265)^$E$3:$N$3)*$E$2</f>
        <v>39286.7789430413</v>
      </c>
      <c r="P269" s="15" t="n">
        <f aca="false">N269*$E$2*(1+$I$265)/($F$265-$I$265)/(1+$F$265)^$N$3</f>
        <v>93233.7390719015</v>
      </c>
      <c r="Q269" s="15" t="n">
        <f aca="false">O269+P269</f>
        <v>132520.518014943</v>
      </c>
      <c r="R269" s="15" t="n">
        <f aca="false">Q269-$G$2+$I$2</f>
        <v>130930.518014943</v>
      </c>
      <c r="S269" s="42" t="n">
        <f aca="false">R269/$K$2</f>
        <v>364.120690847497</v>
      </c>
      <c r="T269" s="43" t="n">
        <f aca="false">S269-$M$2</f>
        <v>86.1018911367231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6548.75</v>
      </c>
      <c r="F270" s="15" t="n">
        <f aca="false">E270*(1+IF(F$3&lt;=$O$2,$D270,$D270-($D270-$I$265)*MIN(F$3-$O$2,$Q$2)/$Q$2))</f>
        <v>6344.1015625</v>
      </c>
      <c r="G270" s="15" t="n">
        <f aca="false">F270*(1+IF(G$3&lt;=$O$2,$D270,$D270-($D270-$I$265)*MIN(G$3-$O$2,$Q$2)/$Q$2))</f>
        <v>6145.84838867188</v>
      </c>
      <c r="H270" s="15" t="n">
        <f aca="false">G270*(1+IF(H$3&lt;=$O$2,$D270,$D270-($D270-$I$265)*MIN(H$3-$O$2,$Q$2)/$Q$2))</f>
        <v>5953.79062652588</v>
      </c>
      <c r="I270" s="15" t="n">
        <f aca="false">H270*(1+IF(I$3&lt;=$O$2,$D270,$D270-($D270-$I$265)*MIN(I$3-$O$2,$Q$2)/$Q$2))</f>
        <v>5767.73466944695</v>
      </c>
      <c r="J270" s="15" t="n">
        <f aca="false">I270*(1+IF(J$3&lt;=$O$2,$D270,$D270-($D270-$I$265)*MIN(J$3-$O$2,$Q$2)/$Q$2))</f>
        <v>5661.95441560929</v>
      </c>
      <c r="K270" s="15" t="n">
        <f aca="false">J270*(1+IF(K$3&lt;=$O$2,$D270,$D270-($D270-$I$265)*MIN(K$3-$O$2,$Q$2)/$Q$2))</f>
        <v>5631.21000313253</v>
      </c>
      <c r="L270" s="15" t="n">
        <f aca="false">K270*(1+IF(L$3&lt;=$O$2,$D270,$D270-($D270-$I$265)*MIN(L$3-$O$2,$Q$2)/$Q$2))</f>
        <v>5673.33145395596</v>
      </c>
      <c r="M270" s="15" t="n">
        <f aca="false">L270*(1+IF(M$3&lt;=$O$2,$D270,$D270-($D270-$I$265)*MIN(M$3-$O$2,$Q$2)/$Q$2))</f>
        <v>5789.01068230212</v>
      </c>
      <c r="N270" s="15" t="n">
        <f aca="false">M270*(1+IF(N$3&lt;=$O$2,$D270,$D270-($D270-$I$265)*MIN(N$3-$O$2,$Q$2)/$Q$2))</f>
        <v>5981.78473802278</v>
      </c>
      <c r="O270" s="15" t="n">
        <f aca="false">SUMPRODUCT(E270:N270,1/(1+$F$265)^$E$3:$N$3)*$E$2</f>
        <v>25937.5790063841</v>
      </c>
      <c r="P270" s="15" t="n">
        <f aca="false">N270*$E$2*(1+$I$265)/($F$265-$I$265)/(1+$F$265)^$N$3</f>
        <v>48903.5542722157</v>
      </c>
      <c r="Q270" s="15" t="n">
        <f aca="false">O270+P270</f>
        <v>74841.1332785998</v>
      </c>
      <c r="R270" s="15" t="n">
        <f aca="false">Q270-$G$2+$I$2</f>
        <v>73251.1332785998</v>
      </c>
      <c r="S270" s="42" t="n">
        <f aca="false">R270/$K$2</f>
        <v>203.71303542633</v>
      </c>
      <c r="T270" s="43" t="n">
        <f aca="false">S270-$M$2</f>
        <v>-74.3057642844434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41" t="n">
        <f aca="false">(B271+C271)/2</f>
        <v>0.015625</v>
      </c>
      <c r="E271" s="15" t="n">
        <f aca="false">$C$2*(1+IF(E$3&lt;=$O$2,$D271,$D271-($D271-$I$265)*MIN(E$3-$O$2,$Q$2)/$Q$2))</f>
        <v>6865.625</v>
      </c>
      <c r="F271" s="15" t="n">
        <f aca="false">E271*(1+IF(F$3&lt;=$O$2,$D271,$D271-($D271-$I$265)*MIN(F$3-$O$2,$Q$2)/$Q$2))</f>
        <v>6972.900390625</v>
      </c>
      <c r="G271" s="15" t="n">
        <f aca="false">F271*(1+IF(G$3&lt;=$O$2,$D271,$D271-($D271-$I$265)*MIN(G$3-$O$2,$Q$2)/$Q$2))</f>
        <v>7081.85195922852</v>
      </c>
      <c r="H271" s="15" t="n">
        <f aca="false">G271*(1+IF(H$3&lt;=$O$2,$D271,$D271-($D271-$I$265)*MIN(H$3-$O$2,$Q$2)/$Q$2))</f>
        <v>7192.50589609146</v>
      </c>
      <c r="I271" s="15" t="n">
        <f aca="false">H271*(1+IF(I$3&lt;=$O$2,$D271,$D271-($D271-$I$265)*MIN(I$3-$O$2,$Q$2)/$Q$2))</f>
        <v>7304.88880071789</v>
      </c>
      <c r="J271" s="15" t="n">
        <f aca="false">I271*(1+IF(J$3&lt;=$O$2,$D271,$D271-($D271-$I$265)*MIN(J$3-$O$2,$Q$2)/$Q$2))</f>
        <v>7444.85047013965</v>
      </c>
      <c r="K271" s="15" t="n">
        <f aca="false">J271*(1+IF(K$3&lt;=$O$2,$D271,$D271-($D271-$I$265)*MIN(K$3-$O$2,$Q$2)/$Q$2))</f>
        <v>7613.81135155946</v>
      </c>
      <c r="L271" s="15" t="n">
        <f aca="false">K271*(1+IF(L$3&lt;=$O$2,$D271,$D271-($D271-$I$265)*MIN(L$3-$O$2,$Q$2)/$Q$2))</f>
        <v>7813.52162331087</v>
      </c>
      <c r="M271" s="15" t="n">
        <f aca="false">L271*(1+IF(M$3&lt;=$O$2,$D271,$D271-($D271-$I$265)*MIN(M$3-$O$2,$Q$2)/$Q$2))</f>
        <v>8046.09109442872</v>
      </c>
      <c r="N271" s="15" t="n">
        <f aca="false">M271*(1+IF(N$3&lt;=$O$2,$D271,$D271-($D271-$I$265)*MIN(N$3-$O$2,$Q$2)/$Q$2))</f>
        <v>8314.02592787319</v>
      </c>
      <c r="O271" s="15" t="n">
        <f aca="false">SUMPRODUCT(E271:N271,1/(1+$F$265)^$E$3:$N$3)*$E$2</f>
        <v>31912.5324081412</v>
      </c>
      <c r="P271" s="15" t="n">
        <f aca="false">N271*$E$2*(1+$I$265)/($F$265-$I$265)/(1+$F$265)^$N$3</f>
        <v>67970.5867046543</v>
      </c>
      <c r="Q271" s="15" t="n">
        <f aca="false">O271+P271</f>
        <v>99883.1191127954</v>
      </c>
      <c r="R271" s="15" t="n">
        <f aca="false">Q271-$G$2+$I$2</f>
        <v>98293.1191127954</v>
      </c>
      <c r="S271" s="42" t="n">
        <f aca="false">R271/$K$2</f>
        <v>273.355356562644</v>
      </c>
      <c r="T271" s="43" t="n">
        <f aca="false">S271-$M$2</f>
        <v>-4.66344314812994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0.015625</v>
      </c>
      <c r="C272" s="25" t="n">
        <f aca="false">IF(T271&gt;0,D271,C271)</f>
        <v>0.0625</v>
      </c>
      <c r="D272" s="41" t="n">
        <f aca="false">(B272+C272)/2</f>
        <v>0.0390625</v>
      </c>
      <c r="E272" s="15" t="n">
        <f aca="false">$C$2*(1+IF(E$3&lt;=$O$2,$D272,$D272-($D272-$I$265)*MIN(E$3-$O$2,$Q$2)/$Q$2))</f>
        <v>7024.0625</v>
      </c>
      <c r="F272" s="15" t="n">
        <f aca="false">E272*(1+IF(F$3&lt;=$O$2,$D272,$D272-($D272-$I$265)*MIN(F$3-$O$2,$Q$2)/$Q$2))</f>
        <v>7298.43994140625</v>
      </c>
      <c r="G272" s="15" t="n">
        <f aca="false">F272*(1+IF(G$3&lt;=$O$2,$D272,$D272-($D272-$I$265)*MIN(G$3-$O$2,$Q$2)/$Q$2))</f>
        <v>7583.53525161743</v>
      </c>
      <c r="H272" s="15" t="n">
        <f aca="false">G272*(1+IF(H$3&lt;=$O$2,$D272,$D272-($D272-$I$265)*MIN(H$3-$O$2,$Q$2)/$Q$2))</f>
        <v>7879.76709738374</v>
      </c>
      <c r="I272" s="15" t="n">
        <f aca="false">H272*(1+IF(I$3&lt;=$O$2,$D272,$D272-($D272-$I$265)*MIN(I$3-$O$2,$Q$2)/$Q$2))</f>
        <v>8187.57049962529</v>
      </c>
      <c r="J272" s="15" t="n">
        <f aca="false">I272*(1+IF(J$3&lt;=$O$2,$D272,$D272-($D272-$I$265)*MIN(J$3-$O$2,$Q$2)/$Q$2))</f>
        <v>8497.96129726609</v>
      </c>
      <c r="K272" s="15" t="n">
        <f aca="false">J272*(1+IF(K$3&lt;=$O$2,$D272,$D272-($D272-$I$265)*MIN(K$3-$O$2,$Q$2)/$Q$2))</f>
        <v>8810.32510965034</v>
      </c>
      <c r="L272" s="15" t="n">
        <f aca="false">K272*(1+IF(L$3&lt;=$O$2,$D272,$D272-($D272-$I$265)*MIN(L$3-$O$2,$Q$2)/$Q$2))</f>
        <v>9124.01673517944</v>
      </c>
      <c r="M272" s="15" t="n">
        <f aca="false">L272*(1+IF(M$3&lt;=$O$2,$D272,$D272-($D272-$I$265)*MIN(M$3-$O$2,$Q$2)/$Q$2))</f>
        <v>9438.36192174821</v>
      </c>
      <c r="N272" s="15" t="n">
        <f aca="false">M272*(1+IF(N$3&lt;=$O$2,$D272,$D272-($D272-$I$265)*MIN(N$3-$O$2,$Q$2)/$Q$2))</f>
        <v>9752.65937374243</v>
      </c>
      <c r="O272" s="15" t="n">
        <f aca="false">SUMPRODUCT(E272:N272,1/(1+$F$265)^$E$3:$N$3)*$E$2</f>
        <v>35407.1064137219</v>
      </c>
      <c r="P272" s="15" t="n">
        <f aca="false">N272*$E$2*(1+$I$265)/($F$265-$I$265)/(1+$F$265)^$N$3</f>
        <v>79732.0077318419</v>
      </c>
      <c r="Q272" s="15" t="n">
        <f aca="false">O272+P272</f>
        <v>115139.114145564</v>
      </c>
      <c r="R272" s="15" t="n">
        <f aca="false">Q272-$G$2+$I$2</f>
        <v>113549.114145564</v>
      </c>
      <c r="S272" s="42" t="n">
        <f aca="false">R272/$K$2</f>
        <v>315.782619015417</v>
      </c>
      <c r="T272" s="43" t="n">
        <f aca="false">S272-$M$2</f>
        <v>37.7638193046435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0.015625</v>
      </c>
      <c r="C273" s="25" t="n">
        <f aca="false">IF(T272&gt;0,D272,C272)</f>
        <v>0.0390625</v>
      </c>
      <c r="D273" s="41" t="n">
        <f aca="false">(B273+C273)/2</f>
        <v>0.02734375</v>
      </c>
      <c r="E273" s="15" t="n">
        <f aca="false">$C$2*(1+IF(E$3&lt;=$O$2,$D273,$D273-($D273-$I$265)*MIN(E$3-$O$2,$Q$2)/$Q$2))</f>
        <v>6944.84375</v>
      </c>
      <c r="F273" s="15" t="n">
        <f aca="false">E273*(1+IF(F$3&lt;=$O$2,$D273,$D273-($D273-$I$265)*MIN(F$3-$O$2,$Q$2)/$Q$2))</f>
        <v>7134.74182128906</v>
      </c>
      <c r="G273" s="15" t="n">
        <f aca="false">F273*(1+IF(G$3&lt;=$O$2,$D273,$D273-($D273-$I$265)*MIN(G$3-$O$2,$Q$2)/$Q$2))</f>
        <v>7329.83241796494</v>
      </c>
      <c r="H273" s="15" t="n">
        <f aca="false">G273*(1+IF(H$3&lt;=$O$2,$D273,$D273-($D273-$I$265)*MIN(H$3-$O$2,$Q$2)/$Q$2))</f>
        <v>7530.25752314366</v>
      </c>
      <c r="I273" s="15" t="n">
        <f aca="false">H273*(1+IF(I$3&lt;=$O$2,$D273,$D273-($D273-$I$265)*MIN(I$3-$O$2,$Q$2)/$Q$2))</f>
        <v>7736.16300229212</v>
      </c>
      <c r="J273" s="15" t="n">
        <f aca="false">I273*(1+IF(J$3&lt;=$O$2,$D273,$D273-($D273-$I$265)*MIN(J$3-$O$2,$Q$2)/$Q$2))</f>
        <v>7956.91441356253</v>
      </c>
      <c r="K273" s="15" t="n">
        <f aca="false">J273*(1+IF(K$3&lt;=$O$2,$D273,$D273-($D273-$I$265)*MIN(K$3-$O$2,$Q$2)/$Q$2))</f>
        <v>8193.44364064869</v>
      </c>
      <c r="L273" s="15" t="n">
        <f aca="false">K273*(1+IF(L$3&lt;=$O$2,$D273,$D273-($D273-$I$265)*MIN(L$3-$O$2,$Q$2)/$Q$2))</f>
        <v>8446.76443440845</v>
      </c>
      <c r="M273" s="15" t="n">
        <f aca="false">L273*(1+IF(M$3&lt;=$O$2,$D273,$D273-($D273-$I$265)*MIN(M$3-$O$2,$Q$2)/$Q$2))</f>
        <v>8717.97948194176</v>
      </c>
      <c r="N273" s="15" t="n">
        <f aca="false">M273*(1+IF(N$3&lt;=$O$2,$D273,$D273-($D273-$I$265)*MIN(N$3-$O$2,$Q$2)/$Q$2))</f>
        <v>9008.28819869042</v>
      </c>
      <c r="O273" s="15" t="n">
        <f aca="false">SUMPRODUCT(E273:N273,1/(1+$F$265)^$E$3:$N$3)*$E$2</f>
        <v>33614.0052135199</v>
      </c>
      <c r="P273" s="15" t="n">
        <f aca="false">N273*$E$2*(1+$I$265)/($F$265-$I$265)/(1+$F$265)^$N$3</f>
        <v>73646.4667516659</v>
      </c>
      <c r="Q273" s="15" t="n">
        <f aca="false">O273+P273</f>
        <v>107260.471965186</v>
      </c>
      <c r="R273" s="15" t="n">
        <f aca="false">Q273-$G$2+$I$2</f>
        <v>105670.471965186</v>
      </c>
      <c r="S273" s="42" t="n">
        <f aca="false">R273/$K$2</f>
        <v>293.871939388136</v>
      </c>
      <c r="T273" s="43" t="n">
        <f aca="false">S273-$M$2</f>
        <v>15.8531396773619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0.015625</v>
      </c>
      <c r="C274" s="25" t="n">
        <f aca="false">IF(T273&gt;0,D273,C273)</f>
        <v>0.02734375</v>
      </c>
      <c r="D274" s="41" t="n">
        <f aca="false">(B274+C274)/2</f>
        <v>0.021484375</v>
      </c>
      <c r="E274" s="15" t="n">
        <f aca="false">$C$2*(1+IF(E$3&lt;=$O$2,$D274,$D274-($D274-$I$265)*MIN(E$3-$O$2,$Q$2)/$Q$2))</f>
        <v>6905.234375</v>
      </c>
      <c r="F274" s="15" t="n">
        <f aca="false">E274*(1+IF(F$3&lt;=$O$2,$D274,$D274-($D274-$I$265)*MIN(F$3-$O$2,$Q$2)/$Q$2))</f>
        <v>7053.58901977539</v>
      </c>
      <c r="G274" s="15" t="n">
        <f aca="false">F274*(1+IF(G$3&lt;=$O$2,$D274,$D274-($D274-$I$265)*MIN(G$3-$O$2,$Q$2)/$Q$2))</f>
        <v>7205.13097137213</v>
      </c>
      <c r="H274" s="15" t="n">
        <f aca="false">G274*(1+IF(H$3&lt;=$O$2,$D274,$D274-($D274-$I$265)*MIN(H$3-$O$2,$Q$2)/$Q$2))</f>
        <v>7359.9287070852</v>
      </c>
      <c r="I274" s="15" t="n">
        <f aca="false">H274*(1+IF(I$3&lt;=$O$2,$D274,$D274-($D274-$I$265)*MIN(I$3-$O$2,$Q$2)/$Q$2))</f>
        <v>7518.05217540148</v>
      </c>
      <c r="J274" s="15" t="n">
        <f aca="false">I274*(1+IF(J$3&lt;=$O$2,$D274,$D274-($D274-$I$265)*MIN(J$3-$O$2,$Q$2)/$Q$2))</f>
        <v>7697.33892465437</v>
      </c>
      <c r="K274" s="15" t="n">
        <f aca="false">J274*(1+IF(K$3&lt;=$O$2,$D274,$D274-($D274-$I$265)*MIN(K$3-$O$2,$Q$2)/$Q$2))</f>
        <v>7899.09098870639</v>
      </c>
      <c r="L274" s="15" t="n">
        <f aca="false">K274*(1+IF(L$3&lt;=$O$2,$D274,$D274-($D274-$I$265)*MIN(L$3-$O$2,$Q$2)/$Q$2))</f>
        <v>8124.79763984494</v>
      </c>
      <c r="M274" s="15" t="n">
        <f aca="false">L274*(1+IF(M$3&lt;=$O$2,$D274,$D274-($D274-$I$265)*MIN(M$3-$O$2,$Q$2)/$Q$2))</f>
        <v>8376.15348882912</v>
      </c>
      <c r="N274" s="15" t="n">
        <f aca="false">M274*(1+IF(N$3&lt;=$O$2,$D274,$D274-($D274-$I$265)*MIN(N$3-$O$2,$Q$2)/$Q$2))</f>
        <v>8655.07940000713</v>
      </c>
      <c r="O274" s="15" t="n">
        <f aca="false">SUMPRODUCT(E274:N274,1/(1+$F$265)^$E$3:$N$3)*$E$2</f>
        <v>32752.094960926</v>
      </c>
      <c r="P274" s="15" t="n">
        <f aca="false">N274*$E$2*(1+$I$265)/($F$265-$I$265)/(1+$F$265)^$N$3</f>
        <v>70758.8393273561</v>
      </c>
      <c r="Q274" s="15" t="n">
        <f aca="false">O274+P274</f>
        <v>103510.934288282</v>
      </c>
      <c r="R274" s="15" t="n">
        <f aca="false">Q274-$G$2+$I$2</f>
        <v>101920.934288282</v>
      </c>
      <c r="S274" s="42" t="n">
        <f aca="false">R274/$K$2</f>
        <v>283.444391479732</v>
      </c>
      <c r="T274" s="43" t="n">
        <f aca="false">S274-$M$2</f>
        <v>5.42559176895833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0.015625</v>
      </c>
      <c r="C275" s="25" t="n">
        <f aca="false">IF(T274&gt;0,D274,C274)</f>
        <v>0.021484375</v>
      </c>
      <c r="D275" s="41" t="n">
        <f aca="false">(B275+C275)/2</f>
        <v>0.0185546875</v>
      </c>
      <c r="E275" s="15" t="n">
        <f aca="false">$C$2*(1+IF(E$3&lt;=$O$2,$D275,$D275-($D275-$I$265)*MIN(E$3-$O$2,$Q$2)/$Q$2))</f>
        <v>6885.4296875</v>
      </c>
      <c r="F275" s="15" t="n">
        <f aca="false">E275*(1+IF(F$3&lt;=$O$2,$D275,$D275-($D275-$I$265)*MIN(F$3-$O$2,$Q$2)/$Q$2))</f>
        <v>7013.18668365479</v>
      </c>
      <c r="G275" s="15" t="n">
        <f aca="false">F275*(1+IF(G$3&lt;=$O$2,$D275,$D275-($D275-$I$265)*MIN(G$3-$O$2,$Q$2)/$Q$2))</f>
        <v>7143.31417094916</v>
      </c>
      <c r="H275" s="15" t="n">
        <f aca="false">G275*(1+IF(H$3&lt;=$O$2,$D275,$D275-($D275-$I$265)*MIN(H$3-$O$2,$Q$2)/$Q$2))</f>
        <v>7275.85613310544</v>
      </c>
      <c r="I275" s="15" t="n">
        <f aca="false">H275*(1+IF(I$3&lt;=$O$2,$D275,$D275-($D275-$I$265)*MIN(I$3-$O$2,$Q$2)/$Q$2))</f>
        <v>7410.85736995017</v>
      </c>
      <c r="J275" s="15" t="n">
        <f aca="false">I275*(1+IF(J$3&lt;=$O$2,$D275,$D275-($D275-$I$265)*MIN(J$3-$O$2,$Q$2)/$Q$2))</f>
        <v>7570.21859411924</v>
      </c>
      <c r="K275" s="15" t="n">
        <f aca="false">J275*(1+IF(K$3&lt;=$O$2,$D275,$D275-($D275-$I$265)*MIN(K$3-$O$2,$Q$2)/$Q$2))</f>
        <v>7755.33172998525</v>
      </c>
      <c r="L275" s="15" t="n">
        <f aca="false">K275*(1+IF(L$3&lt;=$O$2,$D275,$D275-($D275-$I$265)*MIN(L$3-$O$2,$Q$2)/$Q$2))</f>
        <v>7967.84236063384</v>
      </c>
      <c r="M275" s="15" t="n">
        <f aca="false">L275*(1+IF(M$3&lt;=$O$2,$D275,$D275-($D275-$I$265)*MIN(M$3-$O$2,$Q$2)/$Q$2))</f>
        <v>8209.67384613129</v>
      </c>
      <c r="N275" s="15" t="n">
        <f aca="false">M275*(1+IF(N$3&lt;=$O$2,$D275,$D275-($D275-$I$265)*MIN(N$3-$O$2,$Q$2)/$Q$2))</f>
        <v>8483.05598520746</v>
      </c>
      <c r="O275" s="15" t="n">
        <f aca="false">SUMPRODUCT(E275:N275,1/(1+$F$265)^$E$3:$N$3)*$E$2</f>
        <v>32329.5545338102</v>
      </c>
      <c r="P275" s="15" t="n">
        <f aca="false">N275*$E$2*(1+$I$265)/($F$265-$I$265)/(1+$F$265)^$N$3</f>
        <v>69352.4770508479</v>
      </c>
      <c r="Q275" s="15" t="n">
        <f aca="false">O275+P275</f>
        <v>101682.031584658</v>
      </c>
      <c r="R275" s="15" t="n">
        <f aca="false">Q275-$G$2+$I$2</f>
        <v>100092.031584658</v>
      </c>
      <c r="S275" s="42" t="n">
        <f aca="false">R275/$K$2</f>
        <v>278.358172269476</v>
      </c>
      <c r="T275" s="43" t="n">
        <f aca="false">S275-$M$2</f>
        <v>0.33937255870228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0.015625</v>
      </c>
      <c r="C276" s="25" t="n">
        <f aca="false">IF(T275&gt;0,D275,C275)</f>
        <v>0.0185546875</v>
      </c>
      <c r="D276" s="41" t="n">
        <f aca="false">(B276+C276)/2</f>
        <v>0.01708984375</v>
      </c>
      <c r="E276" s="15" t="n">
        <f aca="false">$C$2*(1+IF(E$3&lt;=$O$2,$D276,$D276-($D276-$I$265)*MIN(E$3-$O$2,$Q$2)/$Q$2))</f>
        <v>6875.52734375</v>
      </c>
      <c r="F276" s="15" t="n">
        <f aca="false">E276*(1+IF(F$3&lt;=$O$2,$D276,$D276-($D276-$I$265)*MIN(F$3-$O$2,$Q$2)/$Q$2))</f>
        <v>6993.02903175354</v>
      </c>
      <c r="G276" s="15" t="n">
        <f aca="false">F276*(1+IF(G$3&lt;=$O$2,$D276,$D276-($D276-$I$265)*MIN(G$3-$O$2,$Q$2)/$Q$2))</f>
        <v>7112.53880524542</v>
      </c>
      <c r="H276" s="15" t="n">
        <f aca="false">G276*(1+IF(H$3&lt;=$O$2,$D276,$D276-($D276-$I$265)*MIN(H$3-$O$2,$Q$2)/$Q$2))</f>
        <v>7234.09098209288</v>
      </c>
      <c r="I276" s="15" t="n">
        <f aca="false">H276*(1+IF(I$3&lt;=$O$2,$D276,$D276-($D276-$I$265)*MIN(I$3-$O$2,$Q$2)/$Q$2))</f>
        <v>7357.72046665013</v>
      </c>
      <c r="J276" s="15" t="n">
        <f aca="false">I276*(1+IF(J$3&lt;=$O$2,$D276,$D276-($D276-$I$265)*MIN(J$3-$O$2,$Q$2)/$Q$2))</f>
        <v>7507.316719463</v>
      </c>
      <c r="K276" s="15" t="n">
        <f aca="false">J276*(1+IF(K$3&lt;=$O$2,$D276,$D276-($D276-$I$265)*MIN(K$3-$O$2,$Q$2)/$Q$2))</f>
        <v>7684.29349999668</v>
      </c>
      <c r="L276" s="15" t="n">
        <f aca="false">K276*(1+IF(L$3&lt;=$O$2,$D276,$D276-($D276-$I$265)*MIN(L$3-$O$2,$Q$2)/$Q$2))</f>
        <v>7890.35503422425</v>
      </c>
      <c r="M276" s="15" t="n">
        <f aca="false">L276*(1+IF(M$3&lt;=$O$2,$D276,$D276-($D276-$I$265)*MIN(M$3-$O$2,$Q$2)/$Q$2))</f>
        <v>8127.52307926937</v>
      </c>
      <c r="N276" s="15" t="n">
        <f aca="false">M276*(1+IF(N$3&lt;=$O$2,$D276,$D276-($D276-$I$265)*MIN(N$3-$O$2,$Q$2)/$Q$2))</f>
        <v>8398.16959780904</v>
      </c>
      <c r="O276" s="15" t="n">
        <f aca="false">SUMPRODUCT(E276:N276,1/(1+$F$265)^$E$3:$N$3)*$E$2</f>
        <v>32120.3579321328</v>
      </c>
      <c r="P276" s="15" t="n">
        <f aca="false">N276*$E$2*(1+$I$265)/($F$265-$I$265)/(1+$F$265)^$N$3</f>
        <v>68658.4958671513</v>
      </c>
      <c r="Q276" s="15" t="n">
        <f aca="false">O276+P276</f>
        <v>100778.853799284</v>
      </c>
      <c r="R276" s="15" t="n">
        <f aca="false">Q276-$G$2+$I$2</f>
        <v>99188.8537992841</v>
      </c>
      <c r="S276" s="42" t="n">
        <f aca="false">R276/$K$2</f>
        <v>275.846414704055</v>
      </c>
      <c r="T276" s="43" t="n">
        <f aca="false">S276-$M$2</f>
        <v>-2.17238500671863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0.01708984375</v>
      </c>
      <c r="C277" s="25" t="n">
        <f aca="false">IF(T276&gt;0,D276,C276)</f>
        <v>0.0185546875</v>
      </c>
      <c r="D277" s="41" t="n">
        <f aca="false">(B277+C277)/2</f>
        <v>0.017822265625</v>
      </c>
      <c r="E277" s="15" t="n">
        <f aca="false">$C$2*(1+IF(E$3&lt;=$O$2,$D277,$D277-($D277-$I$265)*MIN(E$3-$O$2,$Q$2)/$Q$2))</f>
        <v>6880.478515625</v>
      </c>
      <c r="F277" s="15" t="n">
        <f aca="false">E277*(1+IF(F$3&lt;=$O$2,$D277,$D277-($D277-$I$265)*MIN(F$3-$O$2,$Q$2)/$Q$2))</f>
        <v>7003.10423135757</v>
      </c>
      <c r="G277" s="15" t="n">
        <f aca="false">F277*(1+IF(G$3&lt;=$O$2,$D277,$D277-($D277-$I$265)*MIN(G$3-$O$2,$Q$2)/$Q$2))</f>
        <v>7127.91541516839</v>
      </c>
      <c r="H277" s="15" t="n">
        <f aca="false">G277*(1+IF(H$3&lt;=$O$2,$D277,$D277-($D277-$I$265)*MIN(H$3-$O$2,$Q$2)/$Q$2))</f>
        <v>7254.95101705005</v>
      </c>
      <c r="I277" s="15" t="n">
        <f aca="false">H277*(1+IF(I$3&lt;=$O$2,$D277,$D277-($D277-$I$265)*MIN(I$3-$O$2,$Q$2)/$Q$2))</f>
        <v>7384.25068117228</v>
      </c>
      <c r="J277" s="15" t="n">
        <f aca="false">I277*(1+IF(J$3&lt;=$O$2,$D277,$D277-($D277-$I$265)*MIN(J$3-$O$2,$Q$2)/$Q$2))</f>
        <v>7538.71305237404</v>
      </c>
      <c r="K277" s="15" t="n">
        <f aca="false">J277*(1+IF(K$3&lt;=$O$2,$D277,$D277-($D277-$I$265)*MIN(K$3-$O$2,$Q$2)/$Q$2))</f>
        <v>7719.7428781257</v>
      </c>
      <c r="L277" s="15" t="n">
        <f aca="false">K277*(1+IF(L$3&lt;=$O$2,$D277,$D277-($D277-$I$265)*MIN(L$3-$O$2,$Q$2)/$Q$2))</f>
        <v>7929.01666408292</v>
      </c>
      <c r="M277" s="15" t="n">
        <f aca="false">L277*(1+IF(M$3&lt;=$O$2,$D277,$D277-($D277-$I$265)*MIN(M$3-$O$2,$Q$2)/$Q$2))</f>
        <v>8168.50827624056</v>
      </c>
      <c r="N277" s="15" t="n">
        <f aca="false">M277*(1+IF(N$3&lt;=$O$2,$D277,$D277-($D277-$I$265)*MIN(N$3-$O$2,$Q$2)/$Q$2))</f>
        <v>8440.51960183937</v>
      </c>
      <c r="O277" s="15" t="n">
        <f aca="false">SUMPRODUCT(E277:N277,1/(1+$F$265)^$E$3:$N$3)*$E$2</f>
        <v>32224.7843189373</v>
      </c>
      <c r="P277" s="15" t="n">
        <f aca="false">N277*$E$2*(1+$I$265)/($F$265-$I$265)/(1+$F$265)^$N$3</f>
        <v>69004.7245950695</v>
      </c>
      <c r="Q277" s="15" t="n">
        <f aca="false">O277+P277</f>
        <v>101229.508914007</v>
      </c>
      <c r="R277" s="15" t="n">
        <f aca="false">Q277-$G$2+$I$2</f>
        <v>99639.5089140068</v>
      </c>
      <c r="S277" s="42" t="n">
        <f aca="false">R277/$K$2</f>
        <v>277.09969662942</v>
      </c>
      <c r="T277" s="43" t="n">
        <f aca="false">S277-$M$2</f>
        <v>-0.91910308135374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0.017822265625</v>
      </c>
      <c r="C278" s="25" t="n">
        <f aca="false">IF(T277&gt;0,D277,C277)</f>
        <v>0.0185546875</v>
      </c>
      <c r="D278" s="41" t="n">
        <f aca="false">(B278+C278)/2</f>
        <v>0.0181884765625</v>
      </c>
      <c r="E278" s="15" t="n">
        <f aca="false">$C$2*(1+IF(E$3&lt;=$O$2,$D278,$D278-($D278-$I$265)*MIN(E$3-$O$2,$Q$2)/$Q$2))</f>
        <v>6882.9541015625</v>
      </c>
      <c r="F278" s="15" t="n">
        <f aca="false">E278*(1+IF(F$3&lt;=$O$2,$D278,$D278-($D278-$I$265)*MIN(F$3-$O$2,$Q$2)/$Q$2))</f>
        <v>7008.14455091953</v>
      </c>
      <c r="G278" s="15" t="n">
        <f aca="false">F278*(1+IF(G$3&lt;=$O$2,$D278,$D278-($D278-$I$265)*MIN(G$3-$O$2,$Q$2)/$Q$2))</f>
        <v>7135.61202383055</v>
      </c>
      <c r="H278" s="15" t="n">
        <f aca="false">G278*(1+IF(H$3&lt;=$O$2,$D278,$D278-($D278-$I$265)*MIN(H$3-$O$2,$Q$2)/$Q$2))</f>
        <v>7265.39793588508</v>
      </c>
      <c r="I278" s="15" t="n">
        <f aca="false">H278*(1+IF(I$3&lt;=$O$2,$D278,$D278-($D278-$I$265)*MIN(I$3-$O$2,$Q$2)/$Q$2))</f>
        <v>7397.54445595916</v>
      </c>
      <c r="J278" s="15" t="n">
        <f aca="false">I278*(1+IF(J$3&lt;=$O$2,$D278,$D278-($D278-$I$265)*MIN(J$3-$O$2,$Q$2)/$Q$2))</f>
        <v>7554.45215320166</v>
      </c>
      <c r="K278" s="15" t="n">
        <f aca="false">J278*(1+IF(K$3&lt;=$O$2,$D278,$D278-($D278-$I$265)*MIN(K$3-$O$2,$Q$2)/$Q$2))</f>
        <v>7737.51984144093</v>
      </c>
      <c r="L278" s="15" t="n">
        <f aca="false">K278*(1+IF(L$3&lt;=$O$2,$D278,$D278-($D278-$I$265)*MIN(L$3-$O$2,$Q$2)/$Q$2))</f>
        <v>7948.40896718809</v>
      </c>
      <c r="M278" s="15" t="n">
        <f aca="false">L278*(1+IF(M$3&lt;=$O$2,$D278,$D278-($D278-$I$265)*MIN(M$3-$O$2,$Q$2)/$Q$2))</f>
        <v>8189.06847211575</v>
      </c>
      <c r="N278" s="15" t="n">
        <f aca="false">M278*(1+IF(N$3&lt;=$O$2,$D278,$D278-($D278-$I$265)*MIN(N$3-$O$2,$Q$2)/$Q$2))</f>
        <v>8461.76445223721</v>
      </c>
      <c r="O278" s="15" t="n">
        <f aca="false">SUMPRODUCT(E278:N278,1/(1+$F$265)^$E$3:$N$3)*$E$2</f>
        <v>32277.1263815443</v>
      </c>
      <c r="P278" s="15" t="n">
        <f aca="false">N278*$E$2*(1+$I$265)/($F$265-$I$265)/(1+$F$265)^$N$3</f>
        <v>69178.4099983291</v>
      </c>
      <c r="Q278" s="15" t="n">
        <f aca="false">O278+P278</f>
        <v>101455.536379873</v>
      </c>
      <c r="R278" s="15" t="n">
        <f aca="false">Q278-$G$2+$I$2</f>
        <v>99865.5363798734</v>
      </c>
      <c r="S278" s="42" t="n">
        <f aca="false">R278/$K$2</f>
        <v>277.728284053266</v>
      </c>
      <c r="T278" s="43" t="n">
        <f aca="false">S278-$M$2</f>
        <v>-0.29051565750774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0.0181884765625</v>
      </c>
      <c r="C279" s="25" t="n">
        <f aca="false">IF(T278&gt;0,D278,C278)</f>
        <v>0.0185546875</v>
      </c>
      <c r="D279" s="41" t="n">
        <f aca="false">(B279+C279)/2</f>
        <v>0.01837158203125</v>
      </c>
      <c r="E279" s="15" t="n">
        <f aca="false">$C$2*(1+IF(E$3&lt;=$O$2,$D279,$D279-($D279-$I$265)*MIN(E$3-$O$2,$Q$2)/$Q$2))</f>
        <v>6884.19189453125</v>
      </c>
      <c r="F279" s="15" t="n">
        <f aca="false">E279*(1+IF(F$3&lt;=$O$2,$D279,$D279-($D279-$I$265)*MIN(F$3-$O$2,$Q$2)/$Q$2))</f>
        <v>7010.6653906405</v>
      </c>
      <c r="G279" s="15" t="n">
        <f aca="false">F279*(1+IF(G$3&lt;=$O$2,$D279,$D279-($D279-$I$265)*MIN(G$3-$O$2,$Q$2)/$Q$2))</f>
        <v>7139.46240495829</v>
      </c>
      <c r="H279" s="15" t="n">
        <f aca="false">G279*(1+IF(H$3&lt;=$O$2,$D279,$D279-($D279-$I$265)*MIN(H$3-$O$2,$Q$2)/$Q$2))</f>
        <v>7270.62562419001</v>
      </c>
      <c r="I279" s="15" t="n">
        <f aca="false">H279*(1+IF(I$3&lt;=$O$2,$D279,$D279-($D279-$I$265)*MIN(I$3-$O$2,$Q$2)/$Q$2))</f>
        <v>7404.19851926333</v>
      </c>
      <c r="J279" s="15" t="n">
        <f aca="false">I279*(1+IF(J$3&lt;=$O$2,$D279,$D279-($D279-$I$265)*MIN(J$3-$O$2,$Q$2)/$Q$2))</f>
        <v>7562.33195377947</v>
      </c>
      <c r="K279" s="15" t="n">
        <f aca="false">J279*(1+IF(K$3&lt;=$O$2,$D279,$D279-($D279-$I$265)*MIN(K$3-$O$2,$Q$2)/$Q$2))</f>
        <v>7746.42141650565</v>
      </c>
      <c r="L279" s="15" t="n">
        <f aca="false">K279*(1+IF(L$3&lt;=$O$2,$D279,$D279-($D279-$I$265)*MIN(L$3-$O$2,$Q$2)/$Q$2))</f>
        <v>7958.12052300822</v>
      </c>
      <c r="M279" s="15" t="n">
        <f aca="false">L279*(1+IF(M$3&lt;=$O$2,$D279,$D279-($D279-$I$265)*MIN(M$3-$O$2,$Q$2)/$Q$2))</f>
        <v>8199.36550654176</v>
      </c>
      <c r="N279" s="15" t="n">
        <f aca="false">M279*(1+IF(N$3&lt;=$O$2,$D279,$D279-($D279-$I$265)*MIN(N$3-$O$2,$Q$2)/$Q$2))</f>
        <v>8472.4043779096</v>
      </c>
      <c r="O279" s="15" t="n">
        <f aca="false">SUMPRODUCT(E279:N279,1/(1+$F$265)^$E$3:$N$3)*$E$2</f>
        <v>32303.32968817</v>
      </c>
      <c r="P279" s="15" t="n">
        <f aca="false">N279*$E$2*(1+$I$265)/($F$265-$I$265)/(1+$F$265)^$N$3</f>
        <v>69265.3957735385</v>
      </c>
      <c r="Q279" s="15" t="n">
        <f aca="false">O279+P279</f>
        <v>101568.725461708</v>
      </c>
      <c r="R279" s="15" t="n">
        <f aca="false">Q279-$G$2+$I$2</f>
        <v>99978.7254617085</v>
      </c>
      <c r="S279" s="42" t="n">
        <f aca="false">R279/$K$2</f>
        <v>278.043065414396</v>
      </c>
      <c r="T279" s="43" t="n">
        <f aca="false">S279-$M$2</f>
        <v>0.0242657036221772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0.0181884765625</v>
      </c>
      <c r="C280" s="25" t="n">
        <f aca="false">IF(T279&gt;0,D279,C279)</f>
        <v>0.01837158203125</v>
      </c>
      <c r="D280" s="41" t="n">
        <f aca="false">(B280+C280)/2</f>
        <v>0.018280029296875</v>
      </c>
      <c r="E280" s="15" t="n">
        <f aca="false">$C$2*(1+IF(E$3&lt;=$O$2,$D280,$D280-($D280-$I$265)*MIN(E$3-$O$2,$Q$2)/$Q$2))</f>
        <v>6883.57299804688</v>
      </c>
      <c r="F280" s="15" t="n">
        <f aca="false">E280*(1+IF(F$3&lt;=$O$2,$D280,$D280-($D280-$I$265)*MIN(F$3-$O$2,$Q$2)/$Q$2))</f>
        <v>7009.40491411835</v>
      </c>
      <c r="G280" s="15" t="n">
        <f aca="false">F280*(1+IF(G$3&lt;=$O$2,$D280,$D280-($D280-$I$265)*MIN(G$3-$O$2,$Q$2)/$Q$2))</f>
        <v>7137.53704130209</v>
      </c>
      <c r="H280" s="15" t="n">
        <f aca="false">G280*(1+IF(H$3&lt;=$O$2,$D280,$D280-($D280-$I$265)*MIN(H$3-$O$2,$Q$2)/$Q$2))</f>
        <v>7268.01142752463</v>
      </c>
      <c r="I280" s="15" t="n">
        <f aca="false">H280*(1+IF(I$3&lt;=$O$2,$D280,$D280-($D280-$I$265)*MIN(I$3-$O$2,$Q$2)/$Q$2))</f>
        <v>7400.8708893498</v>
      </c>
      <c r="J280" s="15" t="n">
        <f aca="false">I280*(1+IF(J$3&lt;=$O$2,$D280,$D280-($D280-$I$265)*MIN(J$3-$O$2,$Q$2)/$Q$2))</f>
        <v>7558.39119881663</v>
      </c>
      <c r="K280" s="15" t="n">
        <f aca="false">J280*(1+IF(K$3&lt;=$O$2,$D280,$D280-($D280-$I$265)*MIN(K$3-$O$2,$Q$2)/$Q$2))</f>
        <v>7741.96953711584</v>
      </c>
      <c r="L280" s="15" t="n">
        <f aca="false">K280*(1+IF(L$3&lt;=$O$2,$D280,$D280-($D280-$I$265)*MIN(L$3-$O$2,$Q$2)/$Q$2))</f>
        <v>7953.26346044901</v>
      </c>
      <c r="M280" s="15" t="n">
        <f aca="false">L280*(1+IF(M$3&lt;=$O$2,$D280,$D280-($D280-$I$265)*MIN(M$3-$O$2,$Q$2)/$Q$2))</f>
        <v>8194.21557684792</v>
      </c>
      <c r="N280" s="15" t="n">
        <f aca="false">M280*(1+IF(N$3&lt;=$O$2,$D280,$D280-($D280-$I$265)*MIN(N$3-$O$2,$Q$2)/$Q$2))</f>
        <v>8467.08295555696</v>
      </c>
      <c r="O280" s="15" t="n">
        <f aca="false">SUMPRODUCT(E280:N280,1/(1+$F$265)^$E$3:$N$3)*$E$2</f>
        <v>32290.2253435183</v>
      </c>
      <c r="P280" s="15" t="n">
        <f aca="false">N280*$E$2*(1+$I$265)/($F$265-$I$265)/(1+$F$265)^$N$3</f>
        <v>69221.8909537857</v>
      </c>
      <c r="Q280" s="15" t="n">
        <f aca="false">O280+P280</f>
        <v>101512.116297304</v>
      </c>
      <c r="R280" s="15" t="n">
        <f aca="false">Q280-$G$2+$I$2</f>
        <v>99922.1162973039</v>
      </c>
      <c r="S280" s="42" t="n">
        <f aca="false">R280/$K$2</f>
        <v>277.885634065587</v>
      </c>
      <c r="T280" s="43" t="n">
        <f aca="false">S280-$M$2</f>
        <v>-0.133165645186295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0.018280029296875</v>
      </c>
      <c r="C281" s="25" t="n">
        <f aca="false">IF(T280&gt;0,D280,C280)</f>
        <v>0.01837158203125</v>
      </c>
      <c r="D281" s="41" t="n">
        <f aca="false">(B281+C281)/2</f>
        <v>0.0183258056640625</v>
      </c>
      <c r="E281" s="15" t="n">
        <f aca="false">$C$2*(1+IF(E$3&lt;=$O$2,$D281,$D281-($D281-$I$265)*MIN(E$3-$O$2,$Q$2)/$Q$2))</f>
        <v>6883.88244628906</v>
      </c>
      <c r="F281" s="15" t="n">
        <f aca="false">E281*(1+IF(F$3&lt;=$O$2,$D281,$D281-($D281-$I$265)*MIN(F$3-$O$2,$Q$2)/$Q$2))</f>
        <v>7010.03513821401</v>
      </c>
      <c r="G281" s="15" t="n">
        <f aca="false">F281*(1+IF(G$3&lt;=$O$2,$D281,$D281-($D281-$I$265)*MIN(G$3-$O$2,$Q$2)/$Q$2))</f>
        <v>7138.49967985517</v>
      </c>
      <c r="H281" s="15" t="n">
        <f aca="false">G281*(1+IF(H$3&lt;=$O$2,$D281,$D281-($D281-$I$265)*MIN(H$3-$O$2,$Q$2)/$Q$2))</f>
        <v>7269.31843772117</v>
      </c>
      <c r="I281" s="15" t="n">
        <f aca="false">H281*(1+IF(I$3&lt;=$O$2,$D281,$D281-($D281-$I$265)*MIN(I$3-$O$2,$Q$2)/$Q$2))</f>
        <v>7402.53455472103</v>
      </c>
      <c r="J281" s="15" t="n">
        <f aca="false">I281*(1+IF(J$3&lt;=$O$2,$D281,$D281-($D281-$I$265)*MIN(J$3-$O$2,$Q$2)/$Q$2))</f>
        <v>7560.36136259253</v>
      </c>
      <c r="K281" s="15" t="n">
        <f aca="false">J281*(1+IF(K$3&lt;=$O$2,$D281,$D281-($D281-$I$265)*MIN(K$3-$O$2,$Q$2)/$Q$2))</f>
        <v>7744.19520379084</v>
      </c>
      <c r="L281" s="15" t="n">
        <f aca="false">K281*(1+IF(L$3&lt;=$O$2,$D281,$D281-($D281-$I$265)*MIN(L$3-$O$2,$Q$2)/$Q$2))</f>
        <v>7955.69167049427</v>
      </c>
      <c r="M281" s="15" t="n">
        <f aca="false">L281*(1+IF(M$3&lt;=$O$2,$D281,$D281-($D281-$I$265)*MIN(M$3-$O$2,$Q$2)/$Q$2))</f>
        <v>8196.79018849158</v>
      </c>
      <c r="N281" s="15" t="n">
        <f aca="false">M281*(1+IF(N$3&lt;=$O$2,$D281,$D281-($D281-$I$265)*MIN(N$3-$O$2,$Q$2)/$Q$2))</f>
        <v>8469.74330176835</v>
      </c>
      <c r="O281" s="15" t="n">
        <f aca="false">SUMPRODUCT(E281:N281,1/(1+$F$265)^$E$3:$N$3)*$E$2</f>
        <v>32296.7768428797</v>
      </c>
      <c r="P281" s="15" t="n">
        <f aca="false">N281*$E$2*(1+$I$265)/($F$265-$I$265)/(1+$F$265)^$N$3</f>
        <v>69243.6403799234</v>
      </c>
      <c r="Q281" s="15" t="n">
        <f aca="false">O281+P281</f>
        <v>101540.417222803</v>
      </c>
      <c r="R281" s="15" t="n">
        <f aca="false">Q281-$G$2+$I$2</f>
        <v>99950.4172228031</v>
      </c>
      <c r="S281" s="42" t="n">
        <f aca="false">R281/$K$2</f>
        <v>277.964339570619</v>
      </c>
      <c r="T281" s="43" t="n">
        <f aca="false">S281-$M$2</f>
        <v>-0.0544601401549585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0.0183258056640625</v>
      </c>
      <c r="C282" s="25" t="n">
        <f aca="false">IF(T281&gt;0,D281,C281)</f>
        <v>0.01837158203125</v>
      </c>
      <c r="D282" s="41" t="n">
        <f aca="false">(B282+C282)/2</f>
        <v>0.0183486938476563</v>
      </c>
      <c r="E282" s="15" t="n">
        <f aca="false">$C$2*(1+IF(E$3&lt;=$O$2,$D282,$D282-($D282-$I$265)*MIN(E$3-$O$2,$Q$2)/$Q$2))</f>
        <v>6884.03717041016</v>
      </c>
      <c r="F282" s="15" t="n">
        <f aca="false">E282*(1+IF(F$3&lt;=$O$2,$D282,$D282-($D282-$I$265)*MIN(F$3-$O$2,$Q$2)/$Q$2))</f>
        <v>7010.3502608859</v>
      </c>
      <c r="G282" s="15" t="n">
        <f aca="false">F282*(1+IF(G$3&lt;=$O$2,$D282,$D282-($D282-$I$265)*MIN(G$3-$O$2,$Q$2)/$Q$2))</f>
        <v>7138.98103158773</v>
      </c>
      <c r="H282" s="15" t="n">
        <f aca="false">G282*(1+IF(H$3&lt;=$O$2,$D282,$D282-($D282-$I$265)*MIN(H$3-$O$2,$Q$2)/$Q$2))</f>
        <v>7269.97200892056</v>
      </c>
      <c r="I282" s="15" t="n">
        <f aca="false">H282*(1+IF(I$3&lt;=$O$2,$D282,$D282-($D282-$I$265)*MIN(I$3-$O$2,$Q$2)/$Q$2))</f>
        <v>7403.36649959327</v>
      </c>
      <c r="J282" s="15" t="n">
        <f aca="false">I282*(1+IF(J$3&lt;=$O$2,$D282,$D282-($D282-$I$265)*MIN(J$3-$O$2,$Q$2)/$Q$2))</f>
        <v>7561.34660475499</v>
      </c>
      <c r="K282" s="15" t="n">
        <f aca="false">J282*(1+IF(K$3&lt;=$O$2,$D282,$D282-($D282-$I$265)*MIN(K$3-$O$2,$Q$2)/$Q$2))</f>
        <v>7745.30824188632</v>
      </c>
      <c r="L282" s="15" t="n">
        <f aca="false">K282*(1+IF(L$3&lt;=$O$2,$D282,$D282-($D282-$I$265)*MIN(L$3-$O$2,$Q$2)/$Q$2))</f>
        <v>7956.90601643365</v>
      </c>
      <c r="M282" s="15" t="n">
        <f aca="false">L282*(1+IF(M$3&lt;=$O$2,$D282,$D282-($D282-$I$265)*MIN(M$3-$O$2,$Q$2)/$Q$2))</f>
        <v>8198.07775920547</v>
      </c>
      <c r="N282" s="15" t="n">
        <f aca="false">M282*(1+IF(N$3&lt;=$O$2,$D282,$D282-($D282-$I$265)*MIN(N$3-$O$2,$Q$2)/$Q$2))</f>
        <v>8471.07374858701</v>
      </c>
      <c r="O282" s="15" t="n">
        <f aca="false">SUMPRODUCT(E282:N282,1/(1+$F$265)^$E$3:$N$3)*$E$2</f>
        <v>32300.0530972675</v>
      </c>
      <c r="P282" s="15" t="n">
        <f aca="false">N282*$E$2*(1+$I$265)/($F$265-$I$265)/(1+$F$265)^$N$3</f>
        <v>69254.5173307085</v>
      </c>
      <c r="Q282" s="15" t="n">
        <f aca="false">O282+P282</f>
        <v>101554.570427976</v>
      </c>
      <c r="R282" s="15" t="n">
        <f aca="false">Q282-$G$2+$I$2</f>
        <v>99964.5704279761</v>
      </c>
      <c r="S282" s="42" t="n">
        <f aca="false">R282/$K$2</f>
        <v>278.003699949875</v>
      </c>
      <c r="T282" s="43" t="n">
        <f aca="false">S282-$M$2</f>
        <v>-0.0150997608986927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0.0183486938476563</v>
      </c>
      <c r="C283" s="25" t="n">
        <f aca="false">IF(T282&gt;0,D282,C282)</f>
        <v>0.01837158203125</v>
      </c>
      <c r="D283" s="41" t="n">
        <f aca="false">(B283+C283)/2</f>
        <v>0.0183601379394531</v>
      </c>
      <c r="E283" s="15" t="n">
        <f aca="false">$C$2*(1+IF(E$3&lt;=$O$2,$D283,$D283-($D283-$I$265)*MIN(E$3-$O$2,$Q$2)/$Q$2))</f>
        <v>6884.1145324707</v>
      </c>
      <c r="F283" s="15" t="n">
        <f aca="false">E283*(1+IF(F$3&lt;=$O$2,$D283,$D283-($D283-$I$265)*MIN(F$3-$O$2,$Q$2)/$Q$2))</f>
        <v>7010.50782487786</v>
      </c>
      <c r="G283" s="15" t="n">
        <f aca="false">F283*(1+IF(G$3&lt;=$O$2,$D283,$D283-($D283-$I$265)*MIN(G$3-$O$2,$Q$2)/$Q$2))</f>
        <v>7139.22171556823</v>
      </c>
      <c r="H283" s="15" t="n">
        <f aca="false">G283*(1+IF(H$3&lt;=$O$2,$D283,$D283-($D283-$I$265)*MIN(H$3-$O$2,$Q$2)/$Q$2))</f>
        <v>7270.2988110464</v>
      </c>
      <c r="I283" s="15" t="n">
        <f aca="false">H283*(1+IF(I$3&lt;=$O$2,$D283,$D283-($D283-$I$265)*MIN(I$3-$O$2,$Q$2)/$Q$2))</f>
        <v>7403.78250007826</v>
      </c>
      <c r="J283" s="15" t="n">
        <f aca="false">I283*(1+IF(J$3&lt;=$O$2,$D283,$D283-($D283-$I$265)*MIN(J$3-$O$2,$Q$2)/$Q$2))</f>
        <v>7561.8392659089</v>
      </c>
      <c r="K283" s="15" t="n">
        <f aca="false">J283*(1+IF(K$3&lt;=$O$2,$D283,$D283-($D283-$I$265)*MIN(K$3-$O$2,$Q$2)/$Q$2))</f>
        <v>7745.86481212964</v>
      </c>
      <c r="L283" s="15" t="n">
        <f aca="false">K283*(1+IF(L$3&lt;=$O$2,$D283,$D283-($D283-$I$265)*MIN(L$3-$O$2,$Q$2)/$Q$2))</f>
        <v>7957.51324964041</v>
      </c>
      <c r="M283" s="15" t="n">
        <f aca="false">L283*(1+IF(M$3&lt;=$O$2,$D283,$D283-($D283-$I$265)*MIN(M$3-$O$2,$Q$2)/$Q$2))</f>
        <v>8198.72161079452</v>
      </c>
      <c r="N283" s="15" t="n">
        <f aca="false">M283*(1+IF(N$3&lt;=$O$2,$D283,$D283-($D283-$I$265)*MIN(N$3-$O$2,$Q$2)/$Q$2))</f>
        <v>8471.73904043397</v>
      </c>
      <c r="O283" s="15" t="n">
        <f aca="false">SUMPRODUCT(E283:N283,1/(1+$F$265)^$E$3:$N$3)*$E$2</f>
        <v>32301.6913506524</v>
      </c>
      <c r="P283" s="15" t="n">
        <f aca="false">N283*$E$2*(1+$I$265)/($F$265-$I$265)/(1+$F$265)^$N$3</f>
        <v>69259.9563656069</v>
      </c>
      <c r="Q283" s="15" t="n">
        <f aca="false">O283+P283</f>
        <v>101561.647716259</v>
      </c>
      <c r="R283" s="15" t="n">
        <f aca="false">Q283-$G$2+$I$2</f>
        <v>99971.6477162593</v>
      </c>
      <c r="S283" s="42" t="n">
        <f aca="false">R283/$K$2</f>
        <v>278.023382046441</v>
      </c>
      <c r="T283" s="43" t="n">
        <f aca="false">S283-$M$2</f>
        <v>0.00458233566752142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0.0183486938476563</v>
      </c>
      <c r="C284" s="25" t="n">
        <f aca="false">IF(T283&gt;0,D283,C283)</f>
        <v>0.0183601379394531</v>
      </c>
      <c r="D284" s="41" t="n">
        <f aca="false">(B284+C284)/2</f>
        <v>0.0183544158935547</v>
      </c>
      <c r="E284" s="15" t="n">
        <f aca="false">$C$2*(1+IF(E$3&lt;=$O$2,$D284,$D284-($D284-$I$265)*MIN(E$3-$O$2,$Q$2)/$Q$2))</f>
        <v>6884.07585144043</v>
      </c>
      <c r="F284" s="15" t="n">
        <f aca="false">E284*(1+IF(F$3&lt;=$O$2,$D284,$D284-($D284-$I$265)*MIN(F$3-$O$2,$Q$2)/$Q$2))</f>
        <v>7010.42904266054</v>
      </c>
      <c r="G284" s="15" t="n">
        <f aca="false">F284*(1+IF(G$3&lt;=$O$2,$D284,$D284-($D284-$I$265)*MIN(G$3-$O$2,$Q$2)/$Q$2))</f>
        <v>7139.10137290179</v>
      </c>
      <c r="H284" s="15" t="n">
        <f aca="false">G284*(1+IF(H$3&lt;=$O$2,$D284,$D284-($D284-$I$265)*MIN(H$3-$O$2,$Q$2)/$Q$2))</f>
        <v>7270.13540860628</v>
      </c>
      <c r="I284" s="15" t="n">
        <f aca="false">H284*(1+IF(I$3&lt;=$O$2,$D284,$D284-($D284-$I$265)*MIN(I$3-$O$2,$Q$2)/$Q$2))</f>
        <v>7403.57449749829</v>
      </c>
      <c r="J284" s="15" t="n">
        <f aca="false">I284*(1+IF(J$3&lt;=$O$2,$D284,$D284-($D284-$I$265)*MIN(J$3-$O$2,$Q$2)/$Q$2))</f>
        <v>7561.59293199243</v>
      </c>
      <c r="K284" s="15" t="n">
        <f aca="false">J284*(1+IF(K$3&lt;=$O$2,$D284,$D284-($D284-$I$265)*MIN(K$3-$O$2,$Q$2)/$Q$2))</f>
        <v>7745.5865227415</v>
      </c>
      <c r="L284" s="15" t="n">
        <f aca="false">K284*(1+IF(L$3&lt;=$O$2,$D284,$D284-($D284-$I$265)*MIN(L$3-$O$2,$Q$2)/$Q$2))</f>
        <v>7957.20962801704</v>
      </c>
      <c r="M284" s="15" t="n">
        <f aca="false">L284*(1+IF(M$3&lt;=$O$2,$D284,$D284-($D284-$I$265)*MIN(M$3-$O$2,$Q$2)/$Q$2))</f>
        <v>8198.39967948038</v>
      </c>
      <c r="N284" s="15" t="n">
        <f aca="false">M284*(1+IF(N$3&lt;=$O$2,$D284,$D284-($D284-$I$265)*MIN(N$3-$O$2,$Q$2)/$Q$2))</f>
        <v>8471.40638880708</v>
      </c>
      <c r="O284" s="15" t="n">
        <f aca="false">SUMPRODUCT(E284:N284,1/(1+$F$265)^$E$3:$N$3)*$E$2</f>
        <v>32300.8722134436</v>
      </c>
      <c r="P284" s="15" t="n">
        <f aca="false">N284*$E$2*(1+$I$265)/($F$265-$I$265)/(1+$F$265)^$N$3</f>
        <v>69257.23680153</v>
      </c>
      <c r="Q284" s="15" t="n">
        <f aca="false">O284+P284</f>
        <v>101558.109014974</v>
      </c>
      <c r="R284" s="15" t="n">
        <f aca="false">Q284-$G$2+$I$2</f>
        <v>99968.1090149736</v>
      </c>
      <c r="S284" s="42" t="n">
        <f aca="false">R284/$K$2</f>
        <v>278.013540839239</v>
      </c>
      <c r="T284" s="43" t="n">
        <f aca="false">S284-$M$2</f>
        <v>-0.00525887153457916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0.0183544158935547</v>
      </c>
      <c r="C285" s="25" t="n">
        <f aca="false">IF(T284&gt;0,D284,C284)</f>
        <v>0.0183601379394531</v>
      </c>
      <c r="D285" s="41" t="n">
        <f aca="false">(B285+C285)/2</f>
        <v>0.0183572769165039</v>
      </c>
      <c r="E285" s="15" t="n">
        <f aca="false">$C$2*(1+IF(E$3&lt;=$O$2,$D285,$D285-($D285-$I$265)*MIN(E$3-$O$2,$Q$2)/$Q$2))</f>
        <v>6884.09519195557</v>
      </c>
      <c r="F285" s="15" t="n">
        <f aca="false">E285*(1+IF(F$3&lt;=$O$2,$D285,$D285-($D285-$I$265)*MIN(F$3-$O$2,$Q$2)/$Q$2))</f>
        <v>7010.46843371387</v>
      </c>
      <c r="G285" s="15" t="n">
        <f aca="false">F285*(1+IF(G$3&lt;=$O$2,$D285,$D285-($D285-$I$265)*MIN(G$3-$O$2,$Q$2)/$Q$2))</f>
        <v>7139.16154406596</v>
      </c>
      <c r="H285" s="15" t="n">
        <f aca="false">G285*(1+IF(H$3&lt;=$O$2,$D285,$D285-($D285-$I$265)*MIN(H$3-$O$2,$Q$2)/$Q$2))</f>
        <v>7270.21710948204</v>
      </c>
      <c r="I285" s="15" t="n">
        <f aca="false">H285*(1+IF(I$3&lt;=$O$2,$D285,$D285-($D285-$I$265)*MIN(I$3-$O$2,$Q$2)/$Q$2))</f>
        <v>7403.6784982039</v>
      </c>
      <c r="J285" s="15" t="n">
        <f aca="false">I285*(1+IF(J$3&lt;=$O$2,$D285,$D285-($D285-$I$265)*MIN(J$3-$O$2,$Q$2)/$Q$2))</f>
        <v>7561.71609811578</v>
      </c>
      <c r="K285" s="15" t="n">
        <f aca="false">J285*(1+IF(K$3&lt;=$O$2,$D285,$D285-($D285-$I$265)*MIN(K$3-$O$2,$Q$2)/$Q$2))</f>
        <v>7745.72566636894</v>
      </c>
      <c r="L285" s="15" t="n">
        <f aca="false">K285*(1+IF(L$3&lt;=$O$2,$D285,$D285-($D285-$I$265)*MIN(L$3-$O$2,$Q$2)/$Q$2))</f>
        <v>7957.36143757371</v>
      </c>
      <c r="M285" s="15" t="n">
        <f aca="false">L285*(1+IF(M$3&lt;=$O$2,$D285,$D285-($D285-$I$265)*MIN(M$3-$O$2,$Q$2)/$Q$2))</f>
        <v>8198.56064375752</v>
      </c>
      <c r="N285" s="15" t="n">
        <f aca="false">M285*(1+IF(N$3&lt;=$O$2,$D285,$D285-($D285-$I$265)*MIN(N$3-$O$2,$Q$2)/$Q$2))</f>
        <v>8471.57271319465</v>
      </c>
      <c r="O285" s="15" t="n">
        <f aca="false">SUMPRODUCT(E285:N285,1/(1+$F$265)^$E$3:$N$3)*$E$2</f>
        <v>32301.2817794189</v>
      </c>
      <c r="P285" s="15" t="n">
        <f aca="false">N285*$E$2*(1+$I$265)/($F$265-$I$265)/(1+$F$265)^$N$3</f>
        <v>69258.5965719113</v>
      </c>
      <c r="Q285" s="15" t="n">
        <f aca="false">O285+P285</f>
        <v>101559.87835133</v>
      </c>
      <c r="R285" s="15" t="n">
        <f aca="false">Q285-$G$2+$I$2</f>
        <v>99969.8783513303</v>
      </c>
      <c r="S285" s="42" t="n">
        <f aca="false">R285/$K$2</f>
        <v>278.01846140311</v>
      </c>
      <c r="T285" s="43" t="n">
        <f aca="false">S285-$M$2</f>
        <v>-0.000338307663810156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0.0183572769165039</v>
      </c>
      <c r="C286" s="25" t="n">
        <f aca="false">IF(T285&gt;0,D285,C285)</f>
        <v>0.0183601379394531</v>
      </c>
      <c r="D286" s="41" t="n">
        <f aca="false">(B286+C286)/2</f>
        <v>0.0183587074279785</v>
      </c>
      <c r="E286" s="15" t="n">
        <f aca="false">$C$2*(1+IF(E$3&lt;=$O$2,$D286,$D286-($D286-$I$265)*MIN(E$3-$O$2,$Q$2)/$Q$2))</f>
        <v>6884.10486221314</v>
      </c>
      <c r="F286" s="15" t="n">
        <f aca="false">E286*(1+IF(F$3&lt;=$O$2,$D286,$D286-($D286-$I$265)*MIN(F$3-$O$2,$Q$2)/$Q$2))</f>
        <v>7010.48812928203</v>
      </c>
      <c r="G286" s="15" t="n">
        <f aca="false">F286*(1+IF(G$3&lt;=$O$2,$D286,$D286-($D286-$I$265)*MIN(G$3-$O$2,$Q$2)/$Q$2))</f>
        <v>7139.19162977484</v>
      </c>
      <c r="H286" s="15" t="n">
        <f aca="false">G286*(1+IF(H$3&lt;=$O$2,$D286,$D286-($D286-$I$265)*MIN(H$3-$O$2,$Q$2)/$Q$2))</f>
        <v>7270.25796017814</v>
      </c>
      <c r="I286" s="15" t="n">
        <f aca="false">H286*(1+IF(I$3&lt;=$O$2,$D286,$D286-($D286-$I$265)*MIN(I$3-$O$2,$Q$2)/$Q$2))</f>
        <v>7403.73049899499</v>
      </c>
      <c r="J286" s="15" t="n">
        <f aca="false">I286*(1+IF(J$3&lt;=$O$2,$D286,$D286-($D286-$I$265)*MIN(J$3-$O$2,$Q$2)/$Q$2))</f>
        <v>7561.77768180361</v>
      </c>
      <c r="K286" s="15" t="n">
        <f aca="false">J286*(1+IF(K$3&lt;=$O$2,$D286,$D286-($D286-$I$265)*MIN(K$3-$O$2,$Q$2)/$Q$2))</f>
        <v>7745.79523898263</v>
      </c>
      <c r="L286" s="15" t="n">
        <f aca="false">K286*(1+IF(L$3&lt;=$O$2,$D286,$D286-($D286-$I$265)*MIN(L$3-$O$2,$Q$2)/$Q$2))</f>
        <v>7957.43734329331</v>
      </c>
      <c r="M286" s="15" t="n">
        <f aca="false">L286*(1+IF(M$3&lt;=$O$2,$D286,$D286-($D286-$I$265)*MIN(M$3-$O$2,$Q$2)/$Q$2))</f>
        <v>8198.64112693104</v>
      </c>
      <c r="N286" s="15" t="n">
        <f aca="false">M286*(1+IF(N$3&lt;=$O$2,$D286,$D286-($D286-$I$265)*MIN(N$3-$O$2,$Q$2)/$Q$2))</f>
        <v>8471.65587645784</v>
      </c>
      <c r="O286" s="15" t="n">
        <f aca="false">SUMPRODUCT(E286:N286,1/(1+$F$265)^$E$3:$N$3)*$E$2</f>
        <v>32301.4865643784</v>
      </c>
      <c r="P286" s="15" t="n">
        <f aca="false">N286*$E$2*(1+$I$265)/($F$265-$I$265)/(1+$F$265)^$N$3</f>
        <v>69259.2764658449</v>
      </c>
      <c r="Q286" s="15" t="n">
        <f aca="false">O286+P286</f>
        <v>101560.763030223</v>
      </c>
      <c r="R286" s="15" t="n">
        <f aca="false">Q286-$G$2+$I$2</f>
        <v>99970.7630302232</v>
      </c>
      <c r="S286" s="42" t="n">
        <f aca="false">R286/$K$2</f>
        <v>278.020921714843</v>
      </c>
      <c r="T286" s="43" t="n">
        <f aca="false">S286-$M$2</f>
        <v>0.00212200406929242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0.0183572769165039</v>
      </c>
      <c r="C287" s="25" t="n">
        <f aca="false">IF(T286&gt;0,D286,C286)</f>
        <v>0.0183587074279785</v>
      </c>
      <c r="D287" s="41" t="n">
        <f aca="false">(B287+C287)/2</f>
        <v>0.0183579921722412</v>
      </c>
      <c r="E287" s="15" t="n">
        <f aca="false">$C$2*(1+IF(E$3&lt;=$O$2,$D287,$D287-($D287-$I$265)*MIN(E$3-$O$2,$Q$2)/$Q$2))</f>
        <v>6884.10002708435</v>
      </c>
      <c r="F287" s="15" t="n">
        <f aca="false">E287*(1+IF(F$3&lt;=$O$2,$D287,$D287-($D287-$I$265)*MIN(F$3-$O$2,$Q$2)/$Q$2))</f>
        <v>7010.47828149449</v>
      </c>
      <c r="G287" s="15" t="n">
        <f aca="false">F287*(1+IF(G$3&lt;=$O$2,$D287,$D287-($D287-$I$265)*MIN(G$3-$O$2,$Q$2)/$Q$2))</f>
        <v>7139.17658690983</v>
      </c>
      <c r="H287" s="15" t="n">
        <f aca="false">G287*(1+IF(H$3&lt;=$O$2,$D287,$D287-($D287-$I$265)*MIN(H$3-$O$2,$Q$2)/$Q$2))</f>
        <v>7270.23753480857</v>
      </c>
      <c r="I287" s="15" t="n">
        <f aca="false">H287*(1+IF(I$3&lt;=$O$2,$D287,$D287-($D287-$I$265)*MIN(I$3-$O$2,$Q$2)/$Q$2))</f>
        <v>7403.70449856292</v>
      </c>
      <c r="J287" s="15" t="n">
        <f aca="false">I287*(1+IF(J$3&lt;=$O$2,$D287,$D287-($D287-$I$265)*MIN(J$3-$O$2,$Q$2)/$Q$2))</f>
        <v>7561.74688990751</v>
      </c>
      <c r="K287" s="15" t="n">
        <f aca="false">J287*(1+IF(K$3&lt;=$O$2,$D287,$D287-($D287-$I$265)*MIN(K$3-$O$2,$Q$2)/$Q$2))</f>
        <v>7745.76045260912</v>
      </c>
      <c r="L287" s="15" t="n">
        <f aca="false">K287*(1+IF(L$3&lt;=$O$2,$D287,$D287-($D287-$I$265)*MIN(L$3-$O$2,$Q$2)/$Q$2))</f>
        <v>7957.39939035507</v>
      </c>
      <c r="M287" s="15" t="n">
        <f aca="false">L287*(1+IF(M$3&lt;=$O$2,$D287,$D287-($D287-$I$265)*MIN(M$3-$O$2,$Q$2)/$Q$2))</f>
        <v>8198.60088525803</v>
      </c>
      <c r="N287" s="15" t="n">
        <f aca="false">M287*(1+IF(N$3&lt;=$O$2,$D287,$D287-($D287-$I$265)*MIN(N$3-$O$2,$Q$2)/$Q$2))</f>
        <v>8471.61429473713</v>
      </c>
      <c r="O287" s="15" t="n">
        <f aca="false">SUMPRODUCT(E287:N287,1/(1+$F$265)^$E$3:$N$3)*$E$2</f>
        <v>32301.3841717343</v>
      </c>
      <c r="P287" s="15" t="n">
        <f aca="false">N287*$E$2*(1+$I$265)/($F$265-$I$265)/(1+$F$265)^$N$3</f>
        <v>69258.9365181495</v>
      </c>
      <c r="Q287" s="15" t="n">
        <f aca="false">O287+P287</f>
        <v>101560.320689884</v>
      </c>
      <c r="R287" s="15" t="n">
        <f aca="false">Q287-$G$2+$I$2</f>
        <v>99970.3206898838</v>
      </c>
      <c r="S287" s="42" t="n">
        <f aca="false">R287/$K$2</f>
        <v>278.019691556493</v>
      </c>
      <c r="T287" s="43" t="n">
        <f aca="false">S287-$M$2</f>
        <v>0.000891845719479534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0.0183572769165039</v>
      </c>
      <c r="C288" s="25" t="n">
        <f aca="false">IF(T287&gt;0,D287,C287)</f>
        <v>0.0183579921722412</v>
      </c>
      <c r="D288" s="41" t="n">
        <f aca="false">(B288+C288)/2</f>
        <v>0.0183576345443726</v>
      </c>
      <c r="E288" s="15" t="n">
        <f aca="false">$C$2*(1+IF(E$3&lt;=$O$2,$D288,$D288-($D288-$I$265)*MIN(E$3-$O$2,$Q$2)/$Q$2))</f>
        <v>6884.09760951996</v>
      </c>
      <c r="F288" s="15" t="n">
        <f aca="false">E288*(1+IF(F$3&lt;=$O$2,$D288,$D288-($D288-$I$265)*MIN(F$3-$O$2,$Q$2)/$Q$2))</f>
        <v>7010.47335760332</v>
      </c>
      <c r="G288" s="15" t="n">
        <f aca="false">F288*(1+IF(G$3&lt;=$O$2,$D288,$D288-($D288-$I$265)*MIN(G$3-$O$2,$Q$2)/$Q$2))</f>
        <v>7139.16906548526</v>
      </c>
      <c r="H288" s="15" t="n">
        <f aca="false">G288*(1+IF(H$3&lt;=$O$2,$D288,$D288-($D288-$I$265)*MIN(H$3-$O$2,$Q$2)/$Q$2))</f>
        <v>7270.22732213993</v>
      </c>
      <c r="I288" s="15" t="n">
        <f aca="false">H288*(1+IF(I$3&lt;=$O$2,$D288,$D288-($D288-$I$265)*MIN(I$3-$O$2,$Q$2)/$Q$2))</f>
        <v>7403.69149837428</v>
      </c>
      <c r="J288" s="15" t="n">
        <f aca="false">I288*(1+IF(J$3&lt;=$O$2,$D288,$D288-($D288-$I$265)*MIN(J$3-$O$2,$Q$2)/$Q$2))</f>
        <v>7561.7314939986</v>
      </c>
      <c r="K288" s="15" t="n">
        <f aca="false">J288*(1+IF(K$3&lt;=$O$2,$D288,$D288-($D288-$I$265)*MIN(K$3-$O$2,$Q$2)/$Q$2))</f>
        <v>7745.74305947236</v>
      </c>
      <c r="L288" s="15" t="n">
        <f aca="false">K288*(1+IF(L$3&lt;=$O$2,$D288,$D288-($D288-$I$265)*MIN(L$3-$O$2,$Q$2)/$Q$2))</f>
        <v>7957.38041394478</v>
      </c>
      <c r="M288" s="15" t="n">
        <f aca="false">L288*(1+IF(M$3&lt;=$O$2,$D288,$D288-($D288-$I$265)*MIN(M$3-$O$2,$Q$2)/$Q$2))</f>
        <v>8198.58076448622</v>
      </c>
      <c r="N288" s="15" t="n">
        <f aca="false">M288*(1+IF(N$3&lt;=$O$2,$D288,$D288-($D288-$I$265)*MIN(N$3-$O$2,$Q$2)/$Q$2))</f>
        <v>8471.59350394361</v>
      </c>
      <c r="O288" s="15" t="n">
        <f aca="false">SUMPRODUCT(E288:N288,1/(1+$F$265)^$E$3:$N$3)*$E$2</f>
        <v>32301.3329755355</v>
      </c>
      <c r="P288" s="15" t="n">
        <f aca="false">N288*$E$2*(1+$I$265)/($F$265-$I$265)/(1+$F$265)^$N$3</f>
        <v>69258.7665448483</v>
      </c>
      <c r="Q288" s="15" t="n">
        <f aca="false">O288+P288</f>
        <v>101560.099520384</v>
      </c>
      <c r="R288" s="15" t="n">
        <f aca="false">Q288-$G$2+$I$2</f>
        <v>99970.0995203838</v>
      </c>
      <c r="S288" s="42" t="n">
        <f aca="false">R288/$K$2</f>
        <v>278.019076479181</v>
      </c>
      <c r="T288" s="43" t="n">
        <f aca="false">S288-$M$2</f>
        <v>0.000276768407161399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0.0183572769165039</v>
      </c>
      <c r="C289" s="25" t="n">
        <f aca="false">IF(T288&gt;0,D288,C288)</f>
        <v>0.0183576345443726</v>
      </c>
      <c r="D289" s="41" t="n">
        <f aca="false">(B289+C289)/2</f>
        <v>0.0183574557304382</v>
      </c>
      <c r="E289" s="15" t="n">
        <f aca="false">$C$2*(1+IF(E$3&lt;=$O$2,$D289,$D289-($D289-$I$265)*MIN(E$3-$O$2,$Q$2)/$Q$2))</f>
        <v>6884.09640073776</v>
      </c>
      <c r="F289" s="15" t="n">
        <f aca="false">E289*(1+IF(F$3&lt;=$O$2,$D289,$D289-($D289-$I$265)*MIN(F$3-$O$2,$Q$2)/$Q$2))</f>
        <v>7010.47089565838</v>
      </c>
      <c r="G289" s="15" t="n">
        <f aca="false">F289*(1+IF(G$3&lt;=$O$2,$D289,$D289-($D289-$I$265)*MIN(G$3-$O$2,$Q$2)/$Q$2))</f>
        <v>7139.16530477495</v>
      </c>
      <c r="H289" s="15" t="n">
        <f aca="false">G289*(1+IF(H$3&lt;=$O$2,$D289,$D289-($D289-$I$265)*MIN(H$3-$O$2,$Q$2)/$Q$2))</f>
        <v>7270.22221580964</v>
      </c>
      <c r="I289" s="15" t="n">
        <f aca="false">H289*(1+IF(I$3&lt;=$O$2,$D289,$D289-($D289-$I$265)*MIN(I$3-$O$2,$Q$2)/$Q$2))</f>
        <v>7403.68499828681</v>
      </c>
      <c r="J289" s="15" t="n">
        <f aca="false">I289*(1+IF(J$3&lt;=$O$2,$D289,$D289-($D289-$I$265)*MIN(J$3-$O$2,$Q$2)/$Q$2))</f>
        <v>7561.72379605393</v>
      </c>
      <c r="K289" s="15" t="n">
        <f aca="false">J289*(1+IF(K$3&lt;=$O$2,$D289,$D289-($D289-$I$265)*MIN(K$3-$O$2,$Q$2)/$Q$2))</f>
        <v>7745.73436291648</v>
      </c>
      <c r="L289" s="15" t="n">
        <f aca="false">K289*(1+IF(L$3&lt;=$O$2,$D289,$D289-($D289-$I$265)*MIN(L$3-$O$2,$Q$2)/$Q$2))</f>
        <v>7957.37092575434</v>
      </c>
      <c r="M289" s="15" t="n">
        <f aca="false">L289*(1+IF(M$3&lt;=$O$2,$D289,$D289-($D289-$I$265)*MIN(M$3-$O$2,$Q$2)/$Q$2))</f>
        <v>8198.57070411648</v>
      </c>
      <c r="N289" s="15" t="n">
        <f aca="false">M289*(1+IF(N$3&lt;=$O$2,$D289,$D289-($D289-$I$265)*MIN(N$3-$O$2,$Q$2)/$Q$2))</f>
        <v>8471.58310856356</v>
      </c>
      <c r="O289" s="15" t="n">
        <f aca="false">SUMPRODUCT(E289:N289,1/(1+$F$265)^$E$3:$N$3)*$E$2</f>
        <v>32301.3073774669</v>
      </c>
      <c r="P289" s="15" t="n">
        <f aca="false">N289*$E$2*(1+$I$265)/($F$265-$I$265)/(1+$F$265)^$N$3</f>
        <v>69258.6815583343</v>
      </c>
      <c r="Q289" s="15" t="n">
        <f aca="false">O289+P289</f>
        <v>101559.988935801</v>
      </c>
      <c r="R289" s="15" t="n">
        <f aca="false">Q289-$G$2+$I$2</f>
        <v>99969.9889358012</v>
      </c>
      <c r="S289" s="42" t="n">
        <f aca="false">R289/$K$2</f>
        <v>278.01876894099</v>
      </c>
      <c r="T289" s="43" t="n">
        <f aca="false">S289-$M$2</f>
        <v>-3.07697836205989E-005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0.0183574557304382</v>
      </c>
      <c r="C290" s="25" t="n">
        <f aca="false">IF(T289&gt;0,D289,C289)</f>
        <v>0.0183576345443726</v>
      </c>
      <c r="D290" s="41" t="n">
        <f aca="false">(B290+C290)/2</f>
        <v>0.0183575451374054</v>
      </c>
      <c r="E290" s="15" t="n">
        <f aca="false">$C$2*(1+IF(E$3&lt;=$O$2,$D290,$D290-($D290-$I$265)*MIN(E$3-$O$2,$Q$2)/$Q$2))</f>
        <v>6884.09700512886</v>
      </c>
      <c r="F290" s="15" t="n">
        <f aca="false">E290*(1+IF(F$3&lt;=$O$2,$D290,$D290-($D290-$I$265)*MIN(F$3-$O$2,$Q$2)/$Q$2))</f>
        <v>7010.47212663079</v>
      </c>
      <c r="G290" s="15" t="n">
        <f aca="false">F290*(1+IF(G$3&lt;=$O$2,$D290,$D290-($D290-$I$265)*MIN(G$3-$O$2,$Q$2)/$Q$2))</f>
        <v>7139.16718512994</v>
      </c>
      <c r="H290" s="15" t="n">
        <f aca="false">G290*(1+IF(H$3&lt;=$O$2,$D290,$D290-($D290-$I$265)*MIN(H$3-$O$2,$Q$2)/$Q$2))</f>
        <v>7270.22476897444</v>
      </c>
      <c r="I290" s="15" t="n">
        <f aca="false">H290*(1+IF(I$3&lt;=$O$2,$D290,$D290-($D290-$I$265)*MIN(I$3-$O$2,$Q$2)/$Q$2))</f>
        <v>7403.68824832998</v>
      </c>
      <c r="J290" s="15" t="n">
        <f aca="false">I290*(1+IF(J$3&lt;=$O$2,$D290,$D290-($D290-$I$265)*MIN(J$3-$O$2,$Q$2)/$Q$2))</f>
        <v>7561.72764502545</v>
      </c>
      <c r="K290" s="15" t="n">
        <f aca="false">J290*(1+IF(K$3&lt;=$O$2,$D290,$D290-($D290-$I$265)*MIN(K$3-$O$2,$Q$2)/$Q$2))</f>
        <v>7745.73871119338</v>
      </c>
      <c r="L290" s="15" t="n">
        <f aca="false">K290*(1+IF(L$3&lt;=$O$2,$D290,$D290-($D290-$I$265)*MIN(L$3-$O$2,$Q$2)/$Q$2))</f>
        <v>7957.37566984834</v>
      </c>
      <c r="M290" s="15" t="n">
        <f aca="false">L290*(1+IF(M$3&lt;=$O$2,$D290,$D290-($D290-$I$265)*MIN(M$3-$O$2,$Q$2)/$Q$2))</f>
        <v>8198.5757343</v>
      </c>
      <c r="N290" s="15" t="n">
        <f aca="false">M290*(1+IF(N$3&lt;=$O$2,$D290,$D290-($D290-$I$265)*MIN(N$3-$O$2,$Q$2)/$Q$2))</f>
        <v>8471.5883062522</v>
      </c>
      <c r="O290" s="15" t="n">
        <f aca="false">SUMPRODUCT(E290:N290,1/(1+$F$265)^$E$3:$N$3)*$E$2</f>
        <v>32301.3201764987</v>
      </c>
      <c r="P290" s="15" t="n">
        <f aca="false">N290*$E$2*(1+$I$265)/($F$265-$I$265)/(1+$F$265)^$N$3</f>
        <v>69258.7240515799</v>
      </c>
      <c r="Q290" s="15" t="n">
        <f aca="false">O290+P290</f>
        <v>101560.044228079</v>
      </c>
      <c r="R290" s="15" t="n">
        <f aca="false">Q290-$G$2+$I$2</f>
        <v>99970.0442280786</v>
      </c>
      <c r="S290" s="42" t="n">
        <f aca="false">R290/$K$2</f>
        <v>278.018922710047</v>
      </c>
      <c r="T290" s="43" t="n">
        <f aca="false">S290-$M$2</f>
        <v>0.000122999273003188</v>
      </c>
    </row>
    <row r="292" customFormat="false" ht="15" hidden="false" customHeight="false" outlineLevel="0" collapsed="false">
      <c r="A292" s="38" t="s">
        <v>196</v>
      </c>
      <c r="E292" s="5" t="s">
        <v>11</v>
      </c>
      <c r="F292" s="12" t="n">
        <f aca="false">Sensitivity!$B$11</f>
        <v>0.0724202832668642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167</v>
      </c>
      <c r="B293" s="28" t="s">
        <v>168</v>
      </c>
      <c r="C293" s="28" t="s">
        <v>169</v>
      </c>
      <c r="D293" s="28" t="s">
        <v>170</v>
      </c>
      <c r="E293" s="28" t="s">
        <v>171</v>
      </c>
      <c r="F293" s="28" t="s">
        <v>172</v>
      </c>
      <c r="G293" s="28" t="s">
        <v>173</v>
      </c>
      <c r="H293" s="28" t="s">
        <v>174</v>
      </c>
      <c r="I293" s="28" t="s">
        <v>175</v>
      </c>
      <c r="J293" s="28" t="s">
        <v>176</v>
      </c>
      <c r="K293" s="28" t="s">
        <v>177</v>
      </c>
      <c r="L293" s="28" t="s">
        <v>178</v>
      </c>
      <c r="M293" s="28" t="s">
        <v>179</v>
      </c>
      <c r="N293" s="28" t="s">
        <v>180</v>
      </c>
      <c r="O293" s="28" t="s">
        <v>181</v>
      </c>
      <c r="P293" s="28" t="s">
        <v>182</v>
      </c>
      <c r="Q293" s="28" t="s">
        <v>183</v>
      </c>
      <c r="R293" s="28" t="s">
        <v>184</v>
      </c>
      <c r="S293" s="28" t="s">
        <v>185</v>
      </c>
      <c r="T293" s="28" t="s">
        <v>186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8450</v>
      </c>
      <c r="F294" s="15" t="n">
        <f aca="false">E294*(1+IF(F$3&lt;=$O$2,$D294,$D294-($D294-$I$292)*MIN(F$3-$O$2,$Q$2)/$Q$2))</f>
        <v>10562.5</v>
      </c>
      <c r="G294" s="15" t="n">
        <f aca="false">F294*(1+IF(G$3&lt;=$O$2,$D294,$D294-($D294-$I$292)*MIN(G$3-$O$2,$Q$2)/$Q$2))</f>
        <v>13203.125</v>
      </c>
      <c r="H294" s="15" t="n">
        <f aca="false">G294*(1+IF(H$3&lt;=$O$2,$D294,$D294-($D294-$I$292)*MIN(H$3-$O$2,$Q$2)/$Q$2))</f>
        <v>16503.90625</v>
      </c>
      <c r="I294" s="15" t="n">
        <f aca="false">H294*(1+IF(I$3&lt;=$O$2,$D294,$D294-($D294-$I$292)*MIN(I$3-$O$2,$Q$2)/$Q$2))</f>
        <v>20629.8828125</v>
      </c>
      <c r="J294" s="15" t="n">
        <f aca="false">I294*(1+IF(J$3&lt;=$O$2,$D294,$D294-($D294-$I$292)*MIN(J$3-$O$2,$Q$2)/$Q$2))</f>
        <v>24913.8842773438</v>
      </c>
      <c r="K294" s="15" t="n">
        <f aca="false">J294*(1+IF(K$3&lt;=$O$2,$D294,$D294-($D294-$I$292)*MIN(K$3-$O$2,$Q$2)/$Q$2))</f>
        <v>29032.6476260742</v>
      </c>
      <c r="L294" s="15" t="n">
        <f aca="false">K294*(1+IF(L$3&lt;=$O$2,$D294,$D294-($D294-$I$292)*MIN(L$3-$O$2,$Q$2)/$Q$2))</f>
        <v>32603.0826311288</v>
      </c>
      <c r="M294" s="15" t="n">
        <f aca="false">L294*(1+IF(M$3&lt;=$O$2,$D294,$D294-($D294-$I$292)*MIN(M$3-$O$2,$Q$2)/$Q$2))</f>
        <v>35232.1952145031</v>
      </c>
      <c r="N294" s="15" t="n">
        <f aca="false">M294*(1+IF(N$3&lt;=$O$2,$D294,$D294-($D294-$I$292)*MIN(N$3-$O$2,$Q$2)/$Q$2))</f>
        <v>36581.5882912185</v>
      </c>
      <c r="O294" s="15" t="n">
        <f aca="false">SUMPRODUCT(E294:N294,1/(1+$F$292)^$E$3:$N$3)*$E$2</f>
        <v>90027.8732583786</v>
      </c>
      <c r="P294" s="15" t="n">
        <f aca="false">N294*$E$2*(1+$I$292)/($F$292-$I$292)/(1+$F$292)^$N$3</f>
        <v>344554.549863991</v>
      </c>
      <c r="Q294" s="15" t="n">
        <f aca="false">O294+P294</f>
        <v>434582.42312237</v>
      </c>
      <c r="R294" s="15" t="n">
        <f aca="false">Q294-$G$2+$I$2</f>
        <v>432992.42312237</v>
      </c>
      <c r="S294" s="42" t="n">
        <f aca="false">R294/$K$2</f>
        <v>1204.16158607923</v>
      </c>
      <c r="T294" s="43" t="n">
        <f aca="false">S294-$M$2</f>
        <v>926.142786368458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5915</v>
      </c>
      <c r="F295" s="15" t="n">
        <f aca="false">E295*(1+IF(F$3&lt;=$O$2,$D295,$D295-($D295-$I$292)*MIN(F$3-$O$2,$Q$2)/$Q$2))</f>
        <v>5175.625</v>
      </c>
      <c r="G295" s="15" t="n">
        <f aca="false">F295*(1+IF(G$3&lt;=$O$2,$D295,$D295-($D295-$I$292)*MIN(G$3-$O$2,$Q$2)/$Q$2))</f>
        <v>4528.671875</v>
      </c>
      <c r="H295" s="15" t="n">
        <f aca="false">G295*(1+IF(H$3&lt;=$O$2,$D295,$D295-($D295-$I$292)*MIN(H$3-$O$2,$Q$2)/$Q$2))</f>
        <v>3962.587890625</v>
      </c>
      <c r="I295" s="15" t="n">
        <f aca="false">H295*(1+IF(I$3&lt;=$O$2,$D295,$D295-($D295-$I$292)*MIN(I$3-$O$2,$Q$2)/$Q$2))</f>
        <v>3467.26440429688</v>
      </c>
      <c r="J295" s="15" t="n">
        <f aca="false">I295*(1+IF(J$3&lt;=$O$2,$D295,$D295-($D295-$I$292)*MIN(J$3-$O$2,$Q$2)/$Q$2))</f>
        <v>3147.0972092041</v>
      </c>
      <c r="K295" s="15" t="n">
        <f aca="false">J295*(1+IF(K$3&lt;=$O$2,$D295,$D295-($D295-$I$292)*MIN(K$3-$O$2,$Q$2)/$Q$2))</f>
        <v>2959.2784477588</v>
      </c>
      <c r="L295" s="15" t="n">
        <f aca="false">K295*(1+IF(L$3&lt;=$O$2,$D295,$D295-($D295-$I$292)*MIN(L$3-$O$2,$Q$2)/$Q$2))</f>
        <v>2879.31874410036</v>
      </c>
      <c r="M295" s="15" t="n">
        <f aca="false">L295*(1+IF(M$3&lt;=$O$2,$D295,$D295-($D295-$I$292)*MIN(M$3-$O$2,$Q$2)/$Q$2))</f>
        <v>2895.55810181708</v>
      </c>
      <c r="N295" s="15" t="n">
        <f aca="false">M295*(1+IF(N$3&lt;=$O$2,$D295,$D295-($D295-$I$292)*MIN(N$3-$O$2,$Q$2)/$Q$2))</f>
        <v>3006.45797711668</v>
      </c>
      <c r="O295" s="15" t="n">
        <f aca="false">SUMPRODUCT(E295:N295,1/(1+$F$292)^$E$3:$N$3)*$E$2</f>
        <v>17247.1455281993</v>
      </c>
      <c r="P295" s="15" t="n">
        <f aca="false">N295*$E$2*(1+$I$292)/($F$292-$I$292)/(1+$F$292)^$N$3</f>
        <v>28317.2170312548</v>
      </c>
      <c r="Q295" s="15" t="n">
        <f aca="false">O295+P295</f>
        <v>45564.3625594541</v>
      </c>
      <c r="R295" s="15" t="n">
        <f aca="false">Q295-$G$2+$I$2</f>
        <v>43974.3625594541</v>
      </c>
      <c r="S295" s="42" t="n">
        <f aca="false">R295/$K$2</f>
        <v>122.29368307318</v>
      </c>
      <c r="T295" s="43" t="n">
        <f aca="false">S295-$M$2</f>
        <v>-155.725116637594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7182.5</v>
      </c>
      <c r="F296" s="15" t="n">
        <f aca="false">E296*(1+IF(F$3&lt;=$O$2,$D296,$D296-($D296-$I$292)*MIN(F$3-$O$2,$Q$2)/$Q$2))</f>
        <v>7631.40625</v>
      </c>
      <c r="G296" s="15" t="n">
        <f aca="false">F296*(1+IF(G$3&lt;=$O$2,$D296,$D296-($D296-$I$292)*MIN(G$3-$O$2,$Q$2)/$Q$2))</f>
        <v>8108.369140625</v>
      </c>
      <c r="H296" s="15" t="n">
        <f aca="false">G296*(1+IF(H$3&lt;=$O$2,$D296,$D296-($D296-$I$292)*MIN(H$3-$O$2,$Q$2)/$Q$2))</f>
        <v>8615.14221191406</v>
      </c>
      <c r="I296" s="15" t="n">
        <f aca="false">H296*(1+IF(I$3&lt;=$O$2,$D296,$D296-($D296-$I$292)*MIN(I$3-$O$2,$Q$2)/$Q$2))</f>
        <v>9153.58860015869</v>
      </c>
      <c r="J296" s="15" t="n">
        <f aca="false">I296*(1+IF(J$3&lt;=$O$2,$D296,$D296-($D296-$I$292)*MIN(J$3-$O$2,$Q$2)/$Q$2))</f>
        <v>9681.38451884384</v>
      </c>
      <c r="K296" s="15" t="n">
        <f aca="false">J296*(1+IF(K$3&lt;=$O$2,$D296,$D296-($D296-$I$292)*MIN(K$3-$O$2,$Q$2)/$Q$2))</f>
        <v>10192.7552491292</v>
      </c>
      <c r="L296" s="15" t="n">
        <f aca="false">K296*(1+IF(L$3&lt;=$O$2,$D296,$D296-($D296-$I$292)*MIN(L$3-$O$2,$Q$2)/$Q$2))</f>
        <v>10681.8036459824</v>
      </c>
      <c r="M296" s="15" t="n">
        <f aca="false">L296*(1+IF(M$3&lt;=$O$2,$D296,$D296-($D296-$I$292)*MIN(M$3-$O$2,$Q$2)/$Q$2))</f>
        <v>11142.6166552701</v>
      </c>
      <c r="N296" s="15" t="n">
        <f aca="false">M296*(1+IF(N$3&lt;=$O$2,$D296,$D296-($D296-$I$292)*MIN(N$3-$O$2,$Q$2)/$Q$2))</f>
        <v>11569.3788731669</v>
      </c>
      <c r="O296" s="15" t="n">
        <f aca="false">SUMPRODUCT(E296:N296,1/(1+$F$292)^$E$3:$N$3)*$E$2</f>
        <v>39409.5684928236</v>
      </c>
      <c r="P296" s="15" t="n">
        <f aca="false">N296*$E$2*(1+$I$292)/($F$292-$I$292)/(1+$F$292)^$N$3</f>
        <v>108969.62969776</v>
      </c>
      <c r="Q296" s="15" t="n">
        <f aca="false">O296+P296</f>
        <v>148379.198190584</v>
      </c>
      <c r="R296" s="15" t="n">
        <f aca="false">Q296-$G$2+$I$2</f>
        <v>146789.198190584</v>
      </c>
      <c r="S296" s="42" t="n">
        <f aca="false">R296/$K$2</f>
        <v>408.224034124767</v>
      </c>
      <c r="T296" s="43" t="n">
        <f aca="false">S296-$M$2</f>
        <v>130.205234413993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6548.75</v>
      </c>
      <c r="F297" s="15" t="n">
        <f aca="false">E297*(1+IF(F$3&lt;=$O$2,$D297,$D297-($D297-$I$292)*MIN(F$3-$O$2,$Q$2)/$Q$2))</f>
        <v>6344.1015625</v>
      </c>
      <c r="G297" s="15" t="n">
        <f aca="false">F297*(1+IF(G$3&lt;=$O$2,$D297,$D297-($D297-$I$292)*MIN(G$3-$O$2,$Q$2)/$Q$2))</f>
        <v>6145.84838867188</v>
      </c>
      <c r="H297" s="15" t="n">
        <f aca="false">G297*(1+IF(H$3&lt;=$O$2,$D297,$D297-($D297-$I$292)*MIN(H$3-$O$2,$Q$2)/$Q$2))</f>
        <v>5953.79062652588</v>
      </c>
      <c r="I297" s="15" t="n">
        <f aca="false">H297*(1+IF(I$3&lt;=$O$2,$D297,$D297-($D297-$I$292)*MIN(I$3-$O$2,$Q$2)/$Q$2))</f>
        <v>5767.73466944695</v>
      </c>
      <c r="J297" s="15" t="n">
        <f aca="false">I297*(1+IF(J$3&lt;=$O$2,$D297,$D297-($D297-$I$292)*MIN(J$3-$O$2,$Q$2)/$Q$2))</f>
        <v>5667.72215027874</v>
      </c>
      <c r="K297" s="15" t="n">
        <f aca="false">J297*(1+IF(K$3&lt;=$O$2,$D297,$D297-($D297-$I$292)*MIN(K$3-$O$2,$Q$2)/$Q$2))</f>
        <v>5648.28186330328</v>
      </c>
      <c r="L297" s="15" t="n">
        <f aca="false">K297*(1+IF(L$3&lt;=$O$2,$D297,$D297-($D297-$I$292)*MIN(L$3-$O$2,$Q$2)/$Q$2))</f>
        <v>5707.4758572307</v>
      </c>
      <c r="M297" s="15" t="n">
        <f aca="false">L297*(1+IF(M$3&lt;=$O$2,$D297,$D297-($D297-$I$292)*MIN(M$3-$O$2,$Q$2)/$Q$2))</f>
        <v>5846.68119338855</v>
      </c>
      <c r="N297" s="15" t="n">
        <f aca="false">M297*(1+IF(N$3&lt;=$O$2,$D297,$D297-($D297-$I$292)*MIN(N$3-$O$2,$Q$2)/$Q$2))</f>
        <v>6070.60908309534</v>
      </c>
      <c r="O297" s="15" t="n">
        <f aca="false">SUMPRODUCT(E297:N297,1/(1+$F$292)^$E$3:$N$3)*$E$2</f>
        <v>26005.2473645421</v>
      </c>
      <c r="P297" s="15" t="n">
        <f aca="false">N297*$E$2*(1+$I$292)/($F$292-$I$292)/(1+$F$292)^$N$3</f>
        <v>57177.8339249495</v>
      </c>
      <c r="Q297" s="15" t="n">
        <f aca="false">O297+P297</f>
        <v>83183.0812894917</v>
      </c>
      <c r="R297" s="15" t="n">
        <f aca="false">Q297-$G$2+$I$2</f>
        <v>81593.0812894917</v>
      </c>
      <c r="S297" s="42" t="n">
        <f aca="false">R297/$K$2</f>
        <v>226.912178901751</v>
      </c>
      <c r="T297" s="43" t="n">
        <f aca="false">S297-$M$2</f>
        <v>-51.1066208090226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41" t="n">
        <f aca="false">(B298+C298)/2</f>
        <v>0.015625</v>
      </c>
      <c r="E298" s="15" t="n">
        <f aca="false">$C$2*(1+IF(E$3&lt;=$O$2,$D298,$D298-($D298-$I$292)*MIN(E$3-$O$2,$Q$2)/$Q$2))</f>
        <v>6865.625</v>
      </c>
      <c r="F298" s="15" t="n">
        <f aca="false">E298*(1+IF(F$3&lt;=$O$2,$D298,$D298-($D298-$I$292)*MIN(F$3-$O$2,$Q$2)/$Q$2))</f>
        <v>6972.900390625</v>
      </c>
      <c r="G298" s="15" t="n">
        <f aca="false">F298*(1+IF(G$3&lt;=$O$2,$D298,$D298-($D298-$I$292)*MIN(G$3-$O$2,$Q$2)/$Q$2))</f>
        <v>7081.85195922852</v>
      </c>
      <c r="H298" s="15" t="n">
        <f aca="false">G298*(1+IF(H$3&lt;=$O$2,$D298,$D298-($D298-$I$292)*MIN(H$3-$O$2,$Q$2)/$Q$2))</f>
        <v>7192.50589609146</v>
      </c>
      <c r="I298" s="15" t="n">
        <f aca="false">H298*(1+IF(I$3&lt;=$O$2,$D298,$D298-($D298-$I$292)*MIN(I$3-$O$2,$Q$2)/$Q$2))</f>
        <v>7304.88880071789</v>
      </c>
      <c r="J298" s="15" t="n">
        <f aca="false">I298*(1+IF(J$3&lt;=$O$2,$D298,$D298-($D298-$I$292)*MIN(J$3-$O$2,$Q$2)/$Q$2))</f>
        <v>7452.15535894036</v>
      </c>
      <c r="K298" s="15" t="n">
        <f aca="false">J298*(1+IF(K$3&lt;=$O$2,$D298,$D298-($D298-$I$292)*MIN(K$3-$O$2,$Q$2)/$Q$2))</f>
        <v>7636.18633552939</v>
      </c>
      <c r="L298" s="15" t="n">
        <f aca="false">K298*(1+IF(L$3&lt;=$O$2,$D298,$D298-($D298-$I$292)*MIN(L$3-$O$2,$Q$2)/$Q$2))</f>
        <v>7859.39206211692</v>
      </c>
      <c r="M298" s="15" t="n">
        <f aca="false">L298*(1+IF(M$3&lt;=$O$2,$D298,$D298-($D298-$I$292)*MIN(M$3-$O$2,$Q$2)/$Q$2))</f>
        <v>8124.7644350943</v>
      </c>
      <c r="N298" s="15" t="n">
        <f aca="false">M298*(1+IF(N$3&lt;=$O$2,$D298,$D298-($D298-$I$292)*MIN(N$3-$O$2,$Q$2)/$Q$2))</f>
        <v>8435.94291295841</v>
      </c>
      <c r="O298" s="15" t="n">
        <f aca="false">SUMPRODUCT(E298:N298,1/(1+$F$292)^$E$3:$N$3)*$E$2</f>
        <v>32004.2429613434</v>
      </c>
      <c r="P298" s="15" t="n">
        <f aca="false">N298*$E$2*(1+$I$292)/($F$292-$I$292)/(1+$F$292)^$N$3</f>
        <v>79456.4328348329</v>
      </c>
      <c r="Q298" s="15" t="n">
        <f aca="false">O298+P298</f>
        <v>111460.675796176</v>
      </c>
      <c r="R298" s="15" t="n">
        <f aca="false">Q298-$G$2+$I$2</f>
        <v>109870.675796176</v>
      </c>
      <c r="S298" s="42" t="n">
        <f aca="false">R298/$K$2</f>
        <v>305.552799922622</v>
      </c>
      <c r="T298" s="43" t="n">
        <f aca="false">S298-$M$2</f>
        <v>27.534000211848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-0.03125</v>
      </c>
      <c r="C299" s="25" t="n">
        <f aca="false">IF(T298&gt;0,D298,C298)</f>
        <v>0.015625</v>
      </c>
      <c r="D299" s="41" t="n">
        <f aca="false">(B299+C299)/2</f>
        <v>-0.0078125</v>
      </c>
      <c r="E299" s="15" t="n">
        <f aca="false">$C$2*(1+IF(E$3&lt;=$O$2,$D299,$D299-($D299-$I$292)*MIN(E$3-$O$2,$Q$2)/$Q$2))</f>
        <v>6707.1875</v>
      </c>
      <c r="F299" s="15" t="n">
        <f aca="false">E299*(1+IF(F$3&lt;=$O$2,$D299,$D299-($D299-$I$292)*MIN(F$3-$O$2,$Q$2)/$Q$2))</f>
        <v>6654.78759765625</v>
      </c>
      <c r="G299" s="15" t="n">
        <f aca="false">F299*(1+IF(G$3&lt;=$O$2,$D299,$D299-($D299-$I$292)*MIN(G$3-$O$2,$Q$2)/$Q$2))</f>
        <v>6602.79706954956</v>
      </c>
      <c r="H299" s="15" t="n">
        <f aca="false">G299*(1+IF(H$3&lt;=$O$2,$D299,$D299-($D299-$I$292)*MIN(H$3-$O$2,$Q$2)/$Q$2))</f>
        <v>6551.21271744371</v>
      </c>
      <c r="I299" s="15" t="n">
        <f aca="false">H299*(1+IF(I$3&lt;=$O$2,$D299,$D299-($D299-$I$292)*MIN(I$3-$O$2,$Q$2)/$Q$2))</f>
        <v>6500.03136808868</v>
      </c>
      <c r="J299" s="15" t="n">
        <f aca="false">I299*(1+IF(J$3&lt;=$O$2,$D299,$D299-($D299-$I$292)*MIN(J$3-$O$2,$Q$2)/$Q$2))</f>
        <v>6509.19641231768</v>
      </c>
      <c r="K299" s="15" t="n">
        <f aca="false">J299*(1+IF(K$3&lt;=$O$2,$D299,$D299-($D299-$I$292)*MIN(K$3-$O$2,$Q$2)/$Q$2))</f>
        <v>6578.40544317165</v>
      </c>
      <c r="L299" s="15" t="n">
        <f aca="false">K299*(1+IF(L$3&lt;=$O$2,$D299,$D299-($D299-$I$292)*MIN(L$3-$O$2,$Q$2)/$Q$2))</f>
        <v>6709.01968324582</v>
      </c>
      <c r="M299" s="15" t="n">
        <f aca="false">L299*(1+IF(M$3&lt;=$O$2,$D299,$D299-($D299-$I$292)*MIN(M$3-$O$2,$Q$2)/$Q$2))</f>
        <v>6904.1012030854</v>
      </c>
      <c r="N299" s="15" t="n">
        <f aca="false">M299*(1+IF(N$3&lt;=$O$2,$D299,$D299-($D299-$I$292)*MIN(N$3-$O$2,$Q$2)/$Q$2))</f>
        <v>7168.52827916357</v>
      </c>
      <c r="O299" s="15" t="n">
        <f aca="false">SUMPRODUCT(E299:N299,1/(1+$F$292)^$E$3:$N$3)*$E$2</f>
        <v>28845.9426275447</v>
      </c>
      <c r="P299" s="15" t="n">
        <f aca="false">N299*$E$2*(1+$I$292)/($F$292-$I$292)/(1+$F$292)^$N$3</f>
        <v>67518.9118294083</v>
      </c>
      <c r="Q299" s="15" t="n">
        <f aca="false">O299+P299</f>
        <v>96364.8544569529</v>
      </c>
      <c r="R299" s="15" t="n">
        <f aca="false">Q299-$G$2+$I$2</f>
        <v>94774.8544569529</v>
      </c>
      <c r="S299" s="42" t="n">
        <f aca="false">R299/$K$2</f>
        <v>263.570984084079</v>
      </c>
      <c r="T299" s="43" t="n">
        <f aca="false">S299-$M$2</f>
        <v>-14.4478156266952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-0.0078125</v>
      </c>
      <c r="C300" s="25" t="n">
        <f aca="false">IF(T299&gt;0,D299,C299)</f>
        <v>0.015625</v>
      </c>
      <c r="D300" s="41" t="n">
        <f aca="false">(B300+C300)/2</f>
        <v>0.00390625</v>
      </c>
      <c r="E300" s="15" t="n">
        <f aca="false">$C$2*(1+IF(E$3&lt;=$O$2,$D300,$D300-($D300-$I$292)*MIN(E$3-$O$2,$Q$2)/$Q$2))</f>
        <v>6786.40625</v>
      </c>
      <c r="F300" s="15" t="n">
        <f aca="false">E300*(1+IF(F$3&lt;=$O$2,$D300,$D300-($D300-$I$292)*MIN(F$3-$O$2,$Q$2)/$Q$2))</f>
        <v>6812.91564941406</v>
      </c>
      <c r="G300" s="15" t="n">
        <f aca="false">F300*(1+IF(G$3&lt;=$O$2,$D300,$D300-($D300-$I$292)*MIN(G$3-$O$2,$Q$2)/$Q$2))</f>
        <v>6839.52860116959</v>
      </c>
      <c r="H300" s="15" t="n">
        <f aca="false">G300*(1+IF(H$3&lt;=$O$2,$D300,$D300-($D300-$I$292)*MIN(H$3-$O$2,$Q$2)/$Q$2))</f>
        <v>6866.24550976791</v>
      </c>
      <c r="I300" s="15" t="n">
        <f aca="false">H300*(1+IF(I$3&lt;=$O$2,$D300,$D300-($D300-$I$292)*MIN(I$3-$O$2,$Q$2)/$Q$2))</f>
        <v>6893.06678129044</v>
      </c>
      <c r="J300" s="15" t="n">
        <f aca="false">I300*(1+IF(J$3&lt;=$O$2,$D300,$D300-($D300-$I$292)*MIN(J$3-$O$2,$Q$2)/$Q$2))</f>
        <v>6967.40850652665</v>
      </c>
      <c r="K300" s="15" t="n">
        <f aca="false">J300*(1+IF(K$3&lt;=$O$2,$D300,$D300-($D300-$I$292)*MIN(K$3-$O$2,$Q$2)/$Q$2))</f>
        <v>7090.47906853382</v>
      </c>
      <c r="L300" s="15" t="n">
        <f aca="false">K300*(1+IF(L$3&lt;=$O$2,$D300,$D300-($D300-$I$292)*MIN(L$3-$O$2,$Q$2)/$Q$2))</f>
        <v>7264.49715107331</v>
      </c>
      <c r="M300" s="15" t="n">
        <f aca="false">L300*(1+IF(M$3&lt;=$O$2,$D300,$D300-($D300-$I$292)*MIN(M$3-$O$2,$Q$2)/$Q$2))</f>
        <v>7492.75673218147</v>
      </c>
      <c r="N300" s="15" t="n">
        <f aca="false">M300*(1+IF(N$3&lt;=$O$2,$D300,$D300-($D300-$I$292)*MIN(N$3-$O$2,$Q$2)/$Q$2))</f>
        <v>7779.72931502402</v>
      </c>
      <c r="O300" s="15" t="n">
        <f aca="false">SUMPRODUCT(E300:N300,1/(1+$F$292)^$E$3:$N$3)*$E$2</f>
        <v>30383.3827017746</v>
      </c>
      <c r="P300" s="15" t="n">
        <f aca="false">N300*$E$2*(1+$I$292)/($F$292-$I$292)/(1+$F$292)^$N$3</f>
        <v>73275.6902423853</v>
      </c>
      <c r="Q300" s="15" t="n">
        <f aca="false">O300+P300</f>
        <v>103659.07294416</v>
      </c>
      <c r="R300" s="15" t="n">
        <f aca="false">Q300-$G$2+$I$2</f>
        <v>102069.07294416</v>
      </c>
      <c r="S300" s="42" t="n">
        <f aca="false">R300/$K$2</f>
        <v>283.856368385783</v>
      </c>
      <c r="T300" s="43" t="n">
        <f aca="false">S300-$M$2</f>
        <v>5.83756867500938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-0.0078125</v>
      </c>
      <c r="C301" s="25" t="n">
        <f aca="false">IF(T300&gt;0,D300,C300)</f>
        <v>0.00390625</v>
      </c>
      <c r="D301" s="41" t="n">
        <f aca="false">(B301+C301)/2</f>
        <v>-0.001953125</v>
      </c>
      <c r="E301" s="15" t="n">
        <f aca="false">$C$2*(1+IF(E$3&lt;=$O$2,$D301,$D301-($D301-$I$292)*MIN(E$3-$O$2,$Q$2)/$Q$2))</f>
        <v>6746.796875</v>
      </c>
      <c r="F301" s="15" t="n">
        <f aca="false">E301*(1+IF(F$3&lt;=$O$2,$D301,$D301-($D301-$I$292)*MIN(F$3-$O$2,$Q$2)/$Q$2))</f>
        <v>6733.61953735352</v>
      </c>
      <c r="G301" s="15" t="n">
        <f aca="false">F301*(1+IF(G$3&lt;=$O$2,$D301,$D301-($D301-$I$292)*MIN(G$3-$O$2,$Q$2)/$Q$2))</f>
        <v>6720.46793669462</v>
      </c>
      <c r="H301" s="15" t="n">
        <f aca="false">G301*(1+IF(H$3&lt;=$O$2,$D301,$D301-($D301-$I$292)*MIN(H$3-$O$2,$Q$2)/$Q$2))</f>
        <v>6707.34202275577</v>
      </c>
      <c r="I301" s="15" t="n">
        <f aca="false">H301*(1+IF(I$3&lt;=$O$2,$D301,$D301-($D301-$I$292)*MIN(I$3-$O$2,$Q$2)/$Q$2))</f>
        <v>6694.24174536757</v>
      </c>
      <c r="J301" s="15" t="n">
        <f aca="false">I301*(1+IF(J$3&lt;=$O$2,$D301,$D301-($D301-$I$292)*MIN(J$3-$O$2,$Q$2)/$Q$2))</f>
        <v>6735.05988440995</v>
      </c>
      <c r="K301" s="15" t="n">
        <f aca="false">J301*(1+IF(K$3&lt;=$O$2,$D301,$D301-($D301-$I$292)*MIN(K$3-$O$2,$Q$2)/$Q$2))</f>
        <v>6830.34835353707</v>
      </c>
      <c r="L301" s="15" t="n">
        <f aca="false">K301*(1+IF(L$3&lt;=$O$2,$D301,$D301-($D301-$I$292)*MIN(L$3-$O$2,$Q$2)/$Q$2))</f>
        <v>6981.97354905015</v>
      </c>
      <c r="M301" s="15" t="n">
        <f aca="false">L301*(1+IF(M$3&lt;=$O$2,$D301,$D301-($D301-$I$292)*MIN(M$3-$O$2,$Q$2)/$Q$2))</f>
        <v>7193.17388517545</v>
      </c>
      <c r="N301" s="15" t="n">
        <f aca="false">M301*(1+IF(N$3&lt;=$O$2,$D301,$D301-($D301-$I$292)*MIN(N$3-$O$2,$Q$2)/$Q$2))</f>
        <v>7468.67244497767</v>
      </c>
      <c r="O301" s="15" t="n">
        <f aca="false">SUMPRODUCT(E301:N301,1/(1+$F$292)^$E$3:$N$3)*$E$2</f>
        <v>29604.4931785853</v>
      </c>
      <c r="P301" s="15" t="n">
        <f aca="false">N301*$E$2*(1+$I$292)/($F$292-$I$292)/(1+$F$292)^$N$3</f>
        <v>70345.9087635792</v>
      </c>
      <c r="Q301" s="15" t="n">
        <f aca="false">O301+P301</f>
        <v>99950.4019421646</v>
      </c>
      <c r="R301" s="15" t="n">
        <f aca="false">Q301-$G$2+$I$2</f>
        <v>98360.4019421646</v>
      </c>
      <c r="S301" s="42" t="n">
        <f aca="false">R301/$K$2</f>
        <v>273.542471611782</v>
      </c>
      <c r="T301" s="43" t="n">
        <f aca="false">S301-$M$2</f>
        <v>-4.47632809899176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-0.001953125</v>
      </c>
      <c r="C302" s="25" t="n">
        <f aca="false">IF(T301&gt;0,D301,C301)</f>
        <v>0.00390625</v>
      </c>
      <c r="D302" s="41" t="n">
        <f aca="false">(B302+C302)/2</f>
        <v>0.0009765625</v>
      </c>
      <c r="E302" s="15" t="n">
        <f aca="false">$C$2*(1+IF(E$3&lt;=$O$2,$D302,$D302-($D302-$I$292)*MIN(E$3-$O$2,$Q$2)/$Q$2))</f>
        <v>6766.6015625</v>
      </c>
      <c r="F302" s="15" t="n">
        <f aca="false">E302*(1+IF(F$3&lt;=$O$2,$D302,$D302-($D302-$I$292)*MIN(F$3-$O$2,$Q$2)/$Q$2))</f>
        <v>6773.20957183838</v>
      </c>
      <c r="G302" s="15" t="n">
        <f aca="false">F302*(1+IF(G$3&lt;=$O$2,$D302,$D302-($D302-$I$292)*MIN(G$3-$O$2,$Q$2)/$Q$2))</f>
        <v>6779.82403431088</v>
      </c>
      <c r="H302" s="15" t="n">
        <f aca="false">G302*(1+IF(H$3&lt;=$O$2,$D302,$D302-($D302-$I$292)*MIN(H$3-$O$2,$Q$2)/$Q$2))</f>
        <v>6786.44495621938</v>
      </c>
      <c r="I302" s="15" t="n">
        <f aca="false">H302*(1+IF(I$3&lt;=$O$2,$D302,$D302-($D302-$I$292)*MIN(I$3-$O$2,$Q$2)/$Q$2))</f>
        <v>6793.07234387194</v>
      </c>
      <c r="J302" s="15" t="n">
        <f aca="false">I302*(1+IF(J$3&lt;=$O$2,$D302,$D302-($D302-$I$292)*MIN(J$3-$O$2,$Q$2)/$Q$2))</f>
        <v>6850.41436579465</v>
      </c>
      <c r="K302" s="15" t="n">
        <f aca="false">J302*(1+IF(K$3&lt;=$O$2,$D302,$D302-($D302-$I$292)*MIN(K$3-$O$2,$Q$2)/$Q$2))</f>
        <v>6959.37662854608</v>
      </c>
      <c r="L302" s="15" t="n">
        <f aca="false">K302*(1+IF(L$3&lt;=$O$2,$D302,$D302-($D302-$I$292)*MIN(L$3-$O$2,$Q$2)/$Q$2))</f>
        <v>7122.0216099656</v>
      </c>
      <c r="M302" s="15" t="n">
        <f aca="false">L302*(1+IF(M$3&lt;=$O$2,$D302,$D302-($D302-$I$292)*MIN(M$3-$O$2,$Q$2)/$Q$2))</f>
        <v>7341.63137194064</v>
      </c>
      <c r="N302" s="15" t="n">
        <f aca="false">M302*(1+IF(N$3&lt;=$O$2,$D302,$D302-($D302-$I$292)*MIN(N$3-$O$2,$Q$2)/$Q$2))</f>
        <v>7622.81585348597</v>
      </c>
      <c r="O302" s="15" t="n">
        <f aca="false">SUMPRODUCT(E302:N302,1/(1+$F$292)^$E$3:$N$3)*$E$2</f>
        <v>29991.3637509335</v>
      </c>
      <c r="P302" s="15" t="n">
        <f aca="false">N302*$E$2*(1+$I$292)/($F$292-$I$292)/(1+$F$292)^$N$3</f>
        <v>71797.7542195576</v>
      </c>
      <c r="Q302" s="15" t="n">
        <f aca="false">O302+P302</f>
        <v>101789.117970491</v>
      </c>
      <c r="R302" s="15" t="n">
        <f aca="false">Q302-$G$2+$I$2</f>
        <v>100199.117970491</v>
      </c>
      <c r="S302" s="42" t="n">
        <f aca="false">R302/$K$2</f>
        <v>278.655981896911</v>
      </c>
      <c r="T302" s="43" t="n">
        <f aca="false">S302-$M$2</f>
        <v>0.637182186137011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-0.001953125</v>
      </c>
      <c r="C303" s="25" t="n">
        <f aca="false">IF(T302&gt;0,D302,C302)</f>
        <v>0.0009765625</v>
      </c>
      <c r="D303" s="41" t="n">
        <f aca="false">(B303+C303)/2</f>
        <v>-0.00048828125</v>
      </c>
      <c r="E303" s="15" t="n">
        <f aca="false">$C$2*(1+IF(E$3&lt;=$O$2,$D303,$D303-($D303-$I$292)*MIN(E$3-$O$2,$Q$2)/$Q$2))</f>
        <v>6756.69921875</v>
      </c>
      <c r="F303" s="15" t="n">
        <f aca="false">E303*(1+IF(F$3&lt;=$O$2,$D303,$D303-($D303-$I$292)*MIN(F$3-$O$2,$Q$2)/$Q$2))</f>
        <v>6753.4000492096</v>
      </c>
      <c r="G303" s="15" t="n">
        <f aca="false">F303*(1+IF(G$3&lt;=$O$2,$D303,$D303-($D303-$I$292)*MIN(G$3-$O$2,$Q$2)/$Q$2))</f>
        <v>6750.10249059182</v>
      </c>
      <c r="H303" s="15" t="n">
        <f aca="false">G303*(1+IF(H$3&lt;=$O$2,$D303,$D303-($D303-$I$292)*MIN(H$3-$O$2,$Q$2)/$Q$2))</f>
        <v>6746.80654211008</v>
      </c>
      <c r="I303" s="15" t="n">
        <f aca="false">H303*(1+IF(I$3&lt;=$O$2,$D303,$D303-($D303-$I$292)*MIN(I$3-$O$2,$Q$2)/$Q$2))</f>
        <v>6743.51220297819</v>
      </c>
      <c r="J303" s="15" t="n">
        <f aca="false">I303*(1+IF(J$3&lt;=$O$2,$D303,$D303-($D303-$I$292)*MIN(J$3-$O$2,$Q$2)/$Q$2))</f>
        <v>6792.53332199872</v>
      </c>
      <c r="K303" s="15" t="n">
        <f aca="false">J303*(1+IF(K$3&lt;=$O$2,$D303,$D303-($D303-$I$292)*MIN(K$3-$O$2,$Q$2)/$Q$2))</f>
        <v>6894.60493249506</v>
      </c>
      <c r="L303" s="15" t="n">
        <f aca="false">K303*(1+IF(L$3&lt;=$O$2,$D303,$D303-($D303-$I$292)*MIN(L$3-$O$2,$Q$2)/$Q$2))</f>
        <v>7051.69635131792</v>
      </c>
      <c r="M303" s="15" t="n">
        <f aca="false">L303*(1+IF(M$3&lt;=$O$2,$D303,$D303-($D303-$I$292)*MIN(M$3-$O$2,$Q$2)/$Q$2))</f>
        <v>7267.07168530049</v>
      </c>
      <c r="N303" s="15" t="n">
        <f aca="false">M303*(1+IF(N$3&lt;=$O$2,$D303,$D303-($D303-$I$292)*MIN(N$3-$O$2,$Q$2)/$Q$2))</f>
        <v>7545.4005308475</v>
      </c>
      <c r="O303" s="15" t="n">
        <f aca="false">SUMPRODUCT(E303:N303,1/(1+$F$292)^$E$3:$N$3)*$E$2</f>
        <v>29797.2889217021</v>
      </c>
      <c r="P303" s="15" t="n">
        <f aca="false">N303*$E$2*(1+$I$292)/($F$292-$I$292)/(1+$F$292)^$N$3</f>
        <v>71068.5950198004</v>
      </c>
      <c r="Q303" s="15" t="n">
        <f aca="false">O303+P303</f>
        <v>100865.883941503</v>
      </c>
      <c r="R303" s="15" t="n">
        <f aca="false">Q303-$G$2+$I$2</f>
        <v>99275.8839415025</v>
      </c>
      <c r="S303" s="42" t="n">
        <f aca="false">R303/$K$2</f>
        <v>276.088447470667</v>
      </c>
      <c r="T303" s="43" t="n">
        <f aca="false">S303-$M$2</f>
        <v>-1.93035224010652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-0.00048828125</v>
      </c>
      <c r="C304" s="25" t="n">
        <f aca="false">IF(T303&gt;0,D303,C303)</f>
        <v>0.0009765625</v>
      </c>
      <c r="D304" s="41" t="n">
        <f aca="false">(B304+C304)/2</f>
        <v>0.000244140625</v>
      </c>
      <c r="E304" s="15" t="n">
        <f aca="false">$C$2*(1+IF(E$3&lt;=$O$2,$D304,$D304-($D304-$I$292)*MIN(E$3-$O$2,$Q$2)/$Q$2))</f>
        <v>6761.650390625</v>
      </c>
      <c r="F304" s="15" t="n">
        <f aca="false">E304*(1+IF(F$3&lt;=$O$2,$D304,$D304-($D304-$I$292)*MIN(F$3-$O$2,$Q$2)/$Q$2))</f>
        <v>6763.3011841774</v>
      </c>
      <c r="G304" s="15" t="n">
        <f aca="false">F304*(1+IF(G$3&lt;=$O$2,$D304,$D304-($D304-$I$292)*MIN(G$3-$O$2,$Q$2)/$Q$2))</f>
        <v>6764.95238075557</v>
      </c>
      <c r="H304" s="15" t="n">
        <f aca="false">G304*(1+IF(H$3&lt;=$O$2,$D304,$D304-($D304-$I$292)*MIN(H$3-$O$2,$Q$2)/$Q$2))</f>
        <v>6766.6039804579</v>
      </c>
      <c r="I304" s="15" t="n">
        <f aca="false">H304*(1+IF(I$3&lt;=$O$2,$D304,$D304-($D304-$I$292)*MIN(I$3-$O$2,$Q$2)/$Q$2))</f>
        <v>6768.25598338282</v>
      </c>
      <c r="J304" s="15" t="n">
        <f aca="false">I304*(1+IF(J$3&lt;=$O$2,$D304,$D304-($D304-$I$292)*MIN(J$3-$O$2,$Q$2)/$Q$2))</f>
        <v>6821.42274921228</v>
      </c>
      <c r="K304" s="15" t="n">
        <f aca="false">J304*(1+IF(K$3&lt;=$O$2,$D304,$D304-($D304-$I$292)*MIN(K$3-$O$2,$Q$2)/$Q$2))</f>
        <v>6926.92617757825</v>
      </c>
      <c r="L304" s="15" t="n">
        <f aca="false">K304*(1+IF(L$3&lt;=$O$2,$D304,$D304-($D304-$I$292)*MIN(L$3-$O$2,$Q$2)/$Q$2))</f>
        <v>7086.78339877352</v>
      </c>
      <c r="M304" s="15" t="n">
        <f aca="false">L304*(1+IF(M$3&lt;=$O$2,$D304,$D304-($D304-$I$292)*MIN(M$3-$O$2,$Q$2)/$Q$2))</f>
        <v>7304.26847645759</v>
      </c>
      <c r="N304" s="15" t="n">
        <f aca="false">M304*(1+IF(N$3&lt;=$O$2,$D304,$D304-($D304-$I$292)*MIN(N$3-$O$2,$Q$2)/$Q$2))</f>
        <v>7584.02195910591</v>
      </c>
      <c r="O304" s="15" t="n">
        <f aca="false">SUMPRODUCT(E304:N304,1/(1+$F$292)^$E$3:$N$3)*$E$2</f>
        <v>29894.1659517199</v>
      </c>
      <c r="P304" s="15" t="n">
        <f aca="false">N304*$E$2*(1+$I$292)/($F$292-$I$292)/(1+$F$292)^$N$3</f>
        <v>71432.3624079943</v>
      </c>
      <c r="Q304" s="15" t="n">
        <f aca="false">O304+P304</f>
        <v>101326.528359714</v>
      </c>
      <c r="R304" s="15" t="n">
        <f aca="false">Q304-$G$2+$I$2</f>
        <v>99736.5283597143</v>
      </c>
      <c r="S304" s="42" t="n">
        <f aca="false">R304/$K$2</f>
        <v>277.369509871835</v>
      </c>
      <c r="T304" s="43" t="n">
        <f aca="false">S304-$M$2</f>
        <v>-0.649289838939183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0.000244140625</v>
      </c>
      <c r="C305" s="25" t="n">
        <f aca="false">IF(T304&gt;0,D304,C304)</f>
        <v>0.0009765625</v>
      </c>
      <c r="D305" s="41" t="n">
        <f aca="false">(B305+C305)/2</f>
        <v>0.0006103515625</v>
      </c>
      <c r="E305" s="15" t="n">
        <f aca="false">$C$2*(1+IF(E$3&lt;=$O$2,$D305,$D305-($D305-$I$292)*MIN(E$3-$O$2,$Q$2)/$Q$2))</f>
        <v>6764.1259765625</v>
      </c>
      <c r="F305" s="15" t="n">
        <f aca="false">E305*(1+IF(F$3&lt;=$O$2,$D305,$D305-($D305-$I$292)*MIN(F$3-$O$2,$Q$2)/$Q$2))</f>
        <v>6768.25447142124</v>
      </c>
      <c r="G305" s="15" t="n">
        <f aca="false">F305*(1+IF(G$3&lt;=$O$2,$D305,$D305-($D305-$I$292)*MIN(G$3-$O$2,$Q$2)/$Q$2))</f>
        <v>6772.38548611327</v>
      </c>
      <c r="H305" s="15" t="n">
        <f aca="false">G305*(1+IF(H$3&lt;=$O$2,$D305,$D305-($D305-$I$292)*MIN(H$3-$O$2,$Q$2)/$Q$2))</f>
        <v>6776.51902217657</v>
      </c>
      <c r="I305" s="15" t="n">
        <f aca="false">H305*(1+IF(I$3&lt;=$O$2,$D305,$D305-($D305-$I$292)*MIN(I$3-$O$2,$Q$2)/$Q$2))</f>
        <v>6780.65508115007</v>
      </c>
      <c r="J305" s="15" t="n">
        <f aca="false">I305*(1+IF(J$3&lt;=$O$2,$D305,$D305-($D305-$I$292)*MIN(J$3-$O$2,$Q$2)/$Q$2))</f>
        <v>6835.90576581052</v>
      </c>
      <c r="K305" s="15" t="n">
        <f aca="false">J305*(1+IF(K$3&lt;=$O$2,$D305,$D305-($D305-$I$292)*MIN(K$3-$O$2,$Q$2)/$Q$2))</f>
        <v>6943.1352256019</v>
      </c>
      <c r="L305" s="15" t="n">
        <f aca="false">K305*(1+IF(L$3&lt;=$O$2,$D305,$D305-($D305-$I$292)*MIN(L$3-$O$2,$Q$2)/$Q$2))</f>
        <v>7104.38357445967</v>
      </c>
      <c r="M305" s="15" t="n">
        <f aca="false">L305*(1+IF(M$3&lt;=$O$2,$D305,$D305-($D305-$I$292)*MIN(M$3-$O$2,$Q$2)/$Q$2))</f>
        <v>7322.92912150417</v>
      </c>
      <c r="N305" s="15" t="n">
        <f aca="false">M305*(1+IF(N$3&lt;=$O$2,$D305,$D305-($D305-$I$292)*MIN(N$3-$O$2,$Q$2)/$Q$2))</f>
        <v>7603.39730685778</v>
      </c>
      <c r="O305" s="15" t="n">
        <f aca="false">SUMPRODUCT(E305:N305,1/(1+$F$292)^$E$3:$N$3)*$E$2</f>
        <v>29942.7246926747</v>
      </c>
      <c r="P305" s="15" t="n">
        <f aca="false">N305*$E$2*(1+$I$292)/($F$292-$I$292)/(1+$F$292)^$N$3</f>
        <v>71614.8548730551</v>
      </c>
      <c r="Q305" s="15" t="n">
        <f aca="false">O305+P305</f>
        <v>101557.57956573</v>
      </c>
      <c r="R305" s="15" t="n">
        <f aca="false">Q305-$G$2+$I$2</f>
        <v>99967.5795657298</v>
      </c>
      <c r="S305" s="42" t="n">
        <f aca="false">R305/$K$2</f>
        <v>278.012068429083</v>
      </c>
      <c r="T305" s="43" t="n">
        <f aca="false">S305-$M$2</f>
        <v>-0.00673128169023585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0.0006103515625</v>
      </c>
      <c r="C306" s="25" t="n">
        <f aca="false">IF(T305&gt;0,D305,C305)</f>
        <v>0.0009765625</v>
      </c>
      <c r="D306" s="41" t="n">
        <f aca="false">(B306+C306)/2</f>
        <v>0.00079345703125</v>
      </c>
      <c r="E306" s="15" t="n">
        <f aca="false">$C$2*(1+IF(E$3&lt;=$O$2,$D306,$D306-($D306-$I$292)*MIN(E$3-$O$2,$Q$2)/$Q$2))</f>
        <v>6765.36376953125</v>
      </c>
      <c r="F306" s="15" t="n">
        <f aca="false">E306*(1+IF(F$3&lt;=$O$2,$D306,$D306-($D306-$I$292)*MIN(F$3-$O$2,$Q$2)/$Q$2))</f>
        <v>6770.73179498315</v>
      </c>
      <c r="G306" s="15" t="n">
        <f aca="false">F306*(1+IF(G$3&lt;=$O$2,$D306,$D306-($D306-$I$292)*MIN(G$3-$O$2,$Q$2)/$Q$2))</f>
        <v>6776.10407973259</v>
      </c>
      <c r="H306" s="15" t="n">
        <f aca="false">G306*(1+IF(H$3&lt;=$O$2,$D306,$D306-($D306-$I$292)*MIN(H$3-$O$2,$Q$2)/$Q$2))</f>
        <v>6781.48062715913</v>
      </c>
      <c r="I306" s="15" t="n">
        <f aca="false">H306*(1+IF(I$3&lt;=$O$2,$D306,$D306-($D306-$I$292)*MIN(I$3-$O$2,$Q$2)/$Q$2))</f>
        <v>6786.86144064504</v>
      </c>
      <c r="J306" s="15" t="n">
        <f aca="false">I306*(1+IF(J$3&lt;=$O$2,$D306,$D306-($D306-$I$292)*MIN(J$3-$O$2,$Q$2)/$Q$2))</f>
        <v>6843.15686562454</v>
      </c>
      <c r="K306" s="15" t="n">
        <f aca="false">J306*(1+IF(K$3&lt;=$O$2,$D306,$D306-($D306-$I$292)*MIN(K$3-$O$2,$Q$2)/$Q$2))</f>
        <v>6951.25187936449</v>
      </c>
      <c r="L306" s="15" t="n">
        <f aca="false">K306*(1+IF(L$3&lt;=$O$2,$D306,$D306-($D306-$I$292)*MIN(L$3-$O$2,$Q$2)/$Q$2))</f>
        <v>7113.19785542416</v>
      </c>
      <c r="M306" s="15" t="n">
        <f aca="false">L306*(1+IF(M$3&lt;=$O$2,$D306,$D306-($D306-$I$292)*MIN(M$3-$O$2,$Q$2)/$Q$2))</f>
        <v>7332.27504108496</v>
      </c>
      <c r="N306" s="15" t="n">
        <f aca="false">M306*(1+IF(N$3&lt;=$O$2,$D306,$D306-($D306-$I$292)*MIN(N$3-$O$2,$Q$2)/$Q$2))</f>
        <v>7613.10117515852</v>
      </c>
      <c r="O306" s="15" t="n">
        <f aca="false">SUMPRODUCT(E306:N306,1/(1+$F$292)^$E$3:$N$3)*$E$2</f>
        <v>29967.034174319</v>
      </c>
      <c r="P306" s="15" t="n">
        <f aca="false">N306*$E$2*(1+$I$292)/($F$292-$I$292)/(1+$F$292)^$N$3</f>
        <v>71706.2536375834</v>
      </c>
      <c r="Q306" s="15" t="n">
        <f aca="false">O306+P306</f>
        <v>101673.287811902</v>
      </c>
      <c r="R306" s="15" t="n">
        <f aca="false">Q306-$G$2+$I$2</f>
        <v>100083.287811902</v>
      </c>
      <c r="S306" s="42" t="n">
        <f aca="false">R306/$K$2</f>
        <v>278.333855642423</v>
      </c>
      <c r="T306" s="43" t="n">
        <f aca="false">S306-$M$2</f>
        <v>0.315055931649283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0.0006103515625</v>
      </c>
      <c r="C307" s="25" t="n">
        <f aca="false">IF(T306&gt;0,D306,C306)</f>
        <v>0.00079345703125</v>
      </c>
      <c r="D307" s="41" t="n">
        <f aca="false">(B307+C307)/2</f>
        <v>0.000701904296875</v>
      </c>
      <c r="E307" s="15" t="n">
        <f aca="false">$C$2*(1+IF(E$3&lt;=$O$2,$D307,$D307-($D307-$I$292)*MIN(E$3-$O$2,$Q$2)/$Q$2))</f>
        <v>6764.74487304688</v>
      </c>
      <c r="F307" s="15" t="n">
        <f aca="false">E307*(1+IF(F$3&lt;=$O$2,$D307,$D307-($D307-$I$292)*MIN(F$3-$O$2,$Q$2)/$Q$2))</f>
        <v>6769.49307654053</v>
      </c>
      <c r="G307" s="15" t="n">
        <f aca="false">F307*(1+IF(G$3&lt;=$O$2,$D307,$D307-($D307-$I$292)*MIN(G$3-$O$2,$Q$2)/$Q$2))</f>
        <v>6774.24461281862</v>
      </c>
      <c r="H307" s="15" t="n">
        <f aca="false">G307*(1+IF(H$3&lt;=$O$2,$D307,$D307-($D307-$I$292)*MIN(H$3-$O$2,$Q$2)/$Q$2))</f>
        <v>6778.99948422044</v>
      </c>
      <c r="I307" s="15" t="n">
        <f aca="false">H307*(1+IF(I$3&lt;=$O$2,$D307,$D307-($D307-$I$292)*MIN(I$3-$O$2,$Q$2)/$Q$2))</f>
        <v>6783.75769308693</v>
      </c>
      <c r="J307" s="15" t="n">
        <f aca="false">I307*(1+IF(J$3&lt;=$O$2,$D307,$D307-($D307-$I$292)*MIN(J$3-$O$2,$Q$2)/$Q$2))</f>
        <v>6839.53051595496</v>
      </c>
      <c r="K307" s="15" t="n">
        <f aca="false">J307*(1+IF(K$3&lt;=$O$2,$D307,$D307-($D307-$I$292)*MIN(K$3-$O$2,$Q$2)/$Q$2))</f>
        <v>6947.19254097405</v>
      </c>
      <c r="L307" s="15" t="n">
        <f aca="false">K307*(1+IF(L$3&lt;=$O$2,$D307,$D307-($D307-$I$292)*MIN(L$3-$O$2,$Q$2)/$Q$2))</f>
        <v>7108.78953128392</v>
      </c>
      <c r="M307" s="15" t="n">
        <f aca="false">L307*(1+IF(M$3&lt;=$O$2,$D307,$D307-($D307-$I$292)*MIN(M$3-$O$2,$Q$2)/$Q$2))</f>
        <v>7327.60078050598</v>
      </c>
      <c r="N307" s="15" t="n">
        <f aca="false">M307*(1+IF(N$3&lt;=$O$2,$D307,$D307-($D307-$I$292)*MIN(N$3-$O$2,$Q$2)/$Q$2))</f>
        <v>7608.24789039936</v>
      </c>
      <c r="O307" s="15" t="n">
        <f aca="false">SUMPRODUCT(E307:N307,1/(1+$F$292)^$E$3:$N$3)*$E$2</f>
        <v>29954.8769226038</v>
      </c>
      <c r="P307" s="15" t="n">
        <f aca="false">N307*$E$2*(1+$I$292)/($F$292-$I$292)/(1+$F$292)^$N$3</f>
        <v>71660.5415342094</v>
      </c>
      <c r="Q307" s="15" t="n">
        <f aca="false">O307+P307</f>
        <v>101615.418456813</v>
      </c>
      <c r="R307" s="15" t="n">
        <f aca="false">Q307-$G$2+$I$2</f>
        <v>100025.418456813</v>
      </c>
      <c r="S307" s="42" t="n">
        <f aca="false">R307/$K$2</f>
        <v>278.172919675213</v>
      </c>
      <c r="T307" s="43" t="n">
        <f aca="false">S307-$M$2</f>
        <v>0.154119964439531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0.0006103515625</v>
      </c>
      <c r="C308" s="25" t="n">
        <f aca="false">IF(T307&gt;0,D307,C307)</f>
        <v>0.000701904296875</v>
      </c>
      <c r="D308" s="41" t="n">
        <f aca="false">(B308+C308)/2</f>
        <v>0.0006561279296875</v>
      </c>
      <c r="E308" s="15" t="n">
        <f aca="false">$C$2*(1+IF(E$3&lt;=$O$2,$D308,$D308-($D308-$I$292)*MIN(E$3-$O$2,$Q$2)/$Q$2))</f>
        <v>6764.43542480469</v>
      </c>
      <c r="F308" s="15" t="n">
        <f aca="false">E308*(1+IF(F$3&lt;=$O$2,$D308,$D308-($D308-$I$292)*MIN(F$3-$O$2,$Q$2)/$Q$2))</f>
        <v>6768.87375981547</v>
      </c>
      <c r="G308" s="15" t="n">
        <f aca="false">F308*(1+IF(G$3&lt;=$O$2,$D308,$D308-($D308-$I$292)*MIN(G$3-$O$2,$Q$2)/$Q$2))</f>
        <v>6773.31500694181</v>
      </c>
      <c r="H308" s="15" t="n">
        <f aca="false">G308*(1+IF(H$3&lt;=$O$2,$D308,$D308-($D308-$I$292)*MIN(H$3-$O$2,$Q$2)/$Q$2))</f>
        <v>6777.75916809444</v>
      </c>
      <c r="I308" s="15" t="n">
        <f aca="false">H308*(1+IF(I$3&lt;=$O$2,$D308,$D308-($D308-$I$292)*MIN(I$3-$O$2,$Q$2)/$Q$2))</f>
        <v>6782.20624518532</v>
      </c>
      <c r="J308" s="15" t="n">
        <f aca="false">I308*(1+IF(J$3&lt;=$O$2,$D308,$D308-($D308-$I$292)*MIN(J$3-$O$2,$Q$2)/$Q$2))</f>
        <v>6837.71794097733</v>
      </c>
      <c r="K308" s="15" t="n">
        <f aca="false">J308*(1+IF(K$3&lt;=$O$2,$D308,$D308-($D308-$I$292)*MIN(K$3-$O$2,$Q$2)/$Q$2))</f>
        <v>6945.16363046295</v>
      </c>
      <c r="L308" s="15" t="n">
        <f aca="false">K308*(1+IF(L$3&lt;=$O$2,$D308,$D308-($D308-$I$292)*MIN(L$3-$O$2,$Q$2)/$Q$2))</f>
        <v>7106.58625702466</v>
      </c>
      <c r="M308" s="15" t="n">
        <f aca="false">L308*(1+IF(M$3&lt;=$O$2,$D308,$D308-($D308-$I$292)*MIN(M$3-$O$2,$Q$2)/$Q$2))</f>
        <v>7325.2646258855</v>
      </c>
      <c r="N308" s="15" t="n">
        <f aca="false">M308*(1+IF(N$3&lt;=$O$2,$D308,$D308-($D308-$I$292)*MIN(N$3-$O$2,$Q$2)/$Q$2))</f>
        <v>7605.82226105691</v>
      </c>
      <c r="O308" s="15" t="n">
        <f aca="false">SUMPRODUCT(E308:N308,1/(1+$F$292)^$E$3:$N$3)*$E$2</f>
        <v>29948.8001800382</v>
      </c>
      <c r="P308" s="15" t="n">
        <f aca="false">N308*$E$2*(1+$I$292)/($F$292-$I$292)/(1+$F$292)^$N$3</f>
        <v>71637.6950241134</v>
      </c>
      <c r="Q308" s="15" t="n">
        <f aca="false">O308+P308</f>
        <v>101586.495204152</v>
      </c>
      <c r="R308" s="15" t="n">
        <f aca="false">Q308-$G$2+$I$2</f>
        <v>99996.4952041516</v>
      </c>
      <c r="S308" s="42" t="n">
        <f aca="false">R308/$K$2</f>
        <v>278.092483464463</v>
      </c>
      <c r="T308" s="43" t="n">
        <f aca="false">S308-$M$2</f>
        <v>0.0736837536893518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0.0006103515625</v>
      </c>
      <c r="C309" s="25" t="n">
        <f aca="false">IF(T308&gt;0,D308,C308)</f>
        <v>0.0006561279296875</v>
      </c>
      <c r="D309" s="41" t="n">
        <f aca="false">(B309+C309)/2</f>
        <v>0.00063323974609375</v>
      </c>
      <c r="E309" s="15" t="n">
        <f aca="false">$C$2*(1+IF(E$3&lt;=$O$2,$D309,$D309-($D309-$I$292)*MIN(E$3-$O$2,$Q$2)/$Q$2))</f>
        <v>6764.28070068359</v>
      </c>
      <c r="F309" s="15" t="n">
        <f aca="false">E309*(1+IF(F$3&lt;=$O$2,$D309,$D309-($D309-$I$292)*MIN(F$3-$O$2,$Q$2)/$Q$2))</f>
        <v>6768.564112077</v>
      </c>
      <c r="G309" s="15" t="n">
        <f aca="false">F309*(1+IF(G$3&lt;=$O$2,$D309,$D309-($D309-$I$292)*MIN(G$3-$O$2,$Q$2)/$Q$2))</f>
        <v>6772.85023589675</v>
      </c>
      <c r="H309" s="15" t="n">
        <f aca="false">G309*(1+IF(H$3&lt;=$O$2,$D309,$D309-($D309-$I$292)*MIN(H$3-$O$2,$Q$2)/$Q$2))</f>
        <v>6777.13907386046</v>
      </c>
      <c r="I309" s="15" t="n">
        <f aca="false">H309*(1+IF(I$3&lt;=$O$2,$D309,$D309-($D309-$I$292)*MIN(I$3-$O$2,$Q$2)/$Q$2))</f>
        <v>6781.43062768684</v>
      </c>
      <c r="J309" s="15" t="n">
        <f aca="false">I309*(1+IF(J$3&lt;=$O$2,$D309,$D309-($D309-$I$292)*MIN(J$3-$O$2,$Q$2)/$Q$2))</f>
        <v>6836.81180342198</v>
      </c>
      <c r="K309" s="15" t="n">
        <f aca="false">J309*(1+IF(K$3&lt;=$O$2,$D309,$D309-($D309-$I$292)*MIN(K$3-$O$2,$Q$2)/$Q$2))</f>
        <v>6944.1493648327</v>
      </c>
      <c r="L309" s="15" t="n">
        <f aca="false">K309*(1+IF(L$3&lt;=$O$2,$D309,$D309-($D309-$I$292)*MIN(L$3-$O$2,$Q$2)/$Q$2))</f>
        <v>7105.4848417888</v>
      </c>
      <c r="M309" s="15" t="n">
        <f aca="false">L309*(1+IF(M$3&lt;=$O$2,$D309,$D309-($D309-$I$292)*MIN(M$3-$O$2,$Q$2)/$Q$2))</f>
        <v>7324.09679242463</v>
      </c>
      <c r="N309" s="15" t="n">
        <f aca="false">M309*(1+IF(N$3&lt;=$O$2,$D309,$D309-($D309-$I$292)*MIN(N$3-$O$2,$Q$2)/$Q$2))</f>
        <v>7604.60969957449</v>
      </c>
      <c r="O309" s="15" t="n">
        <f aca="false">SUMPRODUCT(E309:N309,1/(1+$F$292)^$E$3:$N$3)*$E$2</f>
        <v>29945.7622794715</v>
      </c>
      <c r="P309" s="15" t="n">
        <f aca="false">N309*$E$2*(1+$I$292)/($F$292-$I$292)/(1+$F$292)^$N$3</f>
        <v>71626.2741537993</v>
      </c>
      <c r="Q309" s="15" t="n">
        <f aca="false">O309+P309</f>
        <v>101572.036433271</v>
      </c>
      <c r="R309" s="15" t="n">
        <f aca="false">Q309-$G$2+$I$2</f>
        <v>99982.0364332708</v>
      </c>
      <c r="S309" s="42" t="n">
        <f aca="false">R309/$K$2</f>
        <v>278.052273300158</v>
      </c>
      <c r="T309" s="43" t="n">
        <f aca="false">S309-$M$2</f>
        <v>0.0334735893843572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0.0006103515625</v>
      </c>
      <c r="C310" s="25" t="n">
        <f aca="false">IF(T309&gt;0,D309,C309)</f>
        <v>0.00063323974609375</v>
      </c>
      <c r="D310" s="41" t="n">
        <f aca="false">(B310+C310)/2</f>
        <v>0.000621795654296875</v>
      </c>
      <c r="E310" s="15" t="n">
        <f aca="false">$C$2*(1+IF(E$3&lt;=$O$2,$D310,$D310-($D310-$I$292)*MIN(E$3-$O$2,$Q$2)/$Q$2))</f>
        <v>6764.20333862305</v>
      </c>
      <c r="F310" s="15" t="n">
        <f aca="false">E310*(1+IF(F$3&lt;=$O$2,$D310,$D310-($D310-$I$292)*MIN(F$3-$O$2,$Q$2)/$Q$2))</f>
        <v>6768.40929086378</v>
      </c>
      <c r="G310" s="15" t="n">
        <f aca="false">F310*(1+IF(G$3&lt;=$O$2,$D310,$D310-($D310-$I$292)*MIN(G$3-$O$2,$Q$2)/$Q$2))</f>
        <v>6772.61785834735</v>
      </c>
      <c r="H310" s="15" t="n">
        <f aca="false">G310*(1+IF(H$3&lt;=$O$2,$D310,$D310-($D310-$I$292)*MIN(H$3-$O$2,$Q$2)/$Q$2))</f>
        <v>6776.82904269988</v>
      </c>
      <c r="I310" s="15" t="n">
        <f aca="false">H310*(1+IF(I$3&lt;=$O$2,$D310,$D310-($D310-$I$292)*MIN(I$3-$O$2,$Q$2)/$Q$2))</f>
        <v>6781.04284554854</v>
      </c>
      <c r="J310" s="15" t="n">
        <f aca="false">I310*(1+IF(J$3&lt;=$O$2,$D310,$D310-($D310-$I$292)*MIN(J$3-$O$2,$Q$2)/$Q$2))</f>
        <v>6836.35877212382</v>
      </c>
      <c r="K310" s="15" t="n">
        <f aca="false">J310*(1+IF(K$3&lt;=$O$2,$D310,$D310-($D310-$I$292)*MIN(K$3-$O$2,$Q$2)/$Q$2))</f>
        <v>6943.64227941818</v>
      </c>
      <c r="L310" s="15" t="n">
        <f aca="false">K310*(1+IF(L$3&lt;=$O$2,$D310,$D310-($D310-$I$292)*MIN(L$3-$O$2,$Q$2)/$Q$2))</f>
        <v>7104.93418963695</v>
      </c>
      <c r="M310" s="15" t="n">
        <f aca="false">L310*(1+IF(M$3&lt;=$O$2,$D310,$D310-($D310-$I$292)*MIN(M$3-$O$2,$Q$2)/$Q$2))</f>
        <v>7323.51293664806</v>
      </c>
      <c r="N310" s="15" t="n">
        <f aca="false">M310*(1+IF(N$3&lt;=$O$2,$D310,$D310-($D310-$I$292)*MIN(N$3-$O$2,$Q$2)/$Q$2))</f>
        <v>7604.00348212168</v>
      </c>
      <c r="O310" s="15" t="n">
        <f aca="false">SUMPRODUCT(E310:N310,1/(1+$F$292)^$E$3:$N$3)*$E$2</f>
        <v>29944.2434468538</v>
      </c>
      <c r="P310" s="15" t="n">
        <f aca="false">N310*$E$2*(1+$I$292)/($F$292-$I$292)/(1+$F$292)^$N$3</f>
        <v>71620.5643147428</v>
      </c>
      <c r="Q310" s="15" t="n">
        <f aca="false">O310+P310</f>
        <v>101564.807761597</v>
      </c>
      <c r="R310" s="15" t="n">
        <f aca="false">Q310-$G$2+$I$2</f>
        <v>99974.8077615966</v>
      </c>
      <c r="S310" s="42" t="n">
        <f aca="false">R310/$K$2</f>
        <v>278.032170203005</v>
      </c>
      <c r="T310" s="43" t="n">
        <f aca="false">S310-$M$2</f>
        <v>0.0133704922315587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0.0006103515625</v>
      </c>
      <c r="C311" s="25" t="n">
        <f aca="false">IF(T310&gt;0,D310,C310)</f>
        <v>0.000621795654296875</v>
      </c>
      <c r="D311" s="41" t="n">
        <f aca="false">(B311+C311)/2</f>
        <v>0.000616073608398438</v>
      </c>
      <c r="E311" s="15" t="n">
        <f aca="false">$C$2*(1+IF(E$3&lt;=$O$2,$D311,$D311-($D311-$I$292)*MIN(E$3-$O$2,$Q$2)/$Q$2))</f>
        <v>6764.16465759277</v>
      </c>
      <c r="F311" s="15" t="n">
        <f aca="false">E311*(1+IF(F$3&lt;=$O$2,$D311,$D311-($D311-$I$292)*MIN(F$3-$O$2,$Q$2)/$Q$2))</f>
        <v>6768.33188092118</v>
      </c>
      <c r="G311" s="15" t="n">
        <f aca="false">F311*(1+IF(G$3&lt;=$O$2,$D311,$D311-($D311-$I$292)*MIN(G$3-$O$2,$Q$2)/$Q$2))</f>
        <v>6772.5016715659</v>
      </c>
      <c r="H311" s="15" t="n">
        <f aca="false">G311*(1+IF(H$3&lt;=$O$2,$D311,$D311-($D311-$I$292)*MIN(H$3-$O$2,$Q$2)/$Q$2))</f>
        <v>6776.67403110858</v>
      </c>
      <c r="I311" s="15" t="n">
        <f aca="false">H311*(1+IF(I$3&lt;=$O$2,$D311,$D311-($D311-$I$292)*MIN(I$3-$O$2,$Q$2)/$Q$2))</f>
        <v>6780.84896113187</v>
      </c>
      <c r="J311" s="15" t="n">
        <f aca="false">I311*(1+IF(J$3&lt;=$O$2,$D311,$D311-($D311-$I$292)*MIN(J$3-$O$2,$Q$2)/$Q$2))</f>
        <v>6836.13226584413</v>
      </c>
      <c r="K311" s="15" t="n">
        <f aca="false">J311*(1+IF(K$3&lt;=$O$2,$D311,$D311-($D311-$I$292)*MIN(K$3-$O$2,$Q$2)/$Q$2))</f>
        <v>6943.38874856037</v>
      </c>
      <c r="L311" s="15" t="n">
        <f aca="false">K311*(1+IF(L$3&lt;=$O$2,$D311,$D311-($D311-$I$292)*MIN(L$3-$O$2,$Q$2)/$Q$2))</f>
        <v>7104.65887742662</v>
      </c>
      <c r="M311" s="15" t="n">
        <f aca="false">L311*(1+IF(M$3&lt;=$O$2,$D311,$D311-($D311-$I$292)*MIN(M$3-$O$2,$Q$2)/$Q$2))</f>
        <v>7323.22102399718</v>
      </c>
      <c r="N311" s="15" t="n">
        <f aca="false">M311*(1+IF(N$3&lt;=$O$2,$D311,$D311-($D311-$I$292)*MIN(N$3-$O$2,$Q$2)/$Q$2))</f>
        <v>7603.70038921627</v>
      </c>
      <c r="O311" s="15" t="n">
        <f aca="false">SUMPRODUCT(E311:N311,1/(1+$F$292)^$E$3:$N$3)*$E$2</f>
        <v>29943.4840599597</v>
      </c>
      <c r="P311" s="15" t="n">
        <f aca="false">N311*$E$2*(1+$I$292)/($F$292-$I$292)/(1+$F$292)^$N$3</f>
        <v>71617.7095442293</v>
      </c>
      <c r="Q311" s="15" t="n">
        <f aca="false">O311+P311</f>
        <v>101561.193604189</v>
      </c>
      <c r="R311" s="15" t="n">
        <f aca="false">Q311-$G$2+$I$2</f>
        <v>99971.193604189</v>
      </c>
      <c r="S311" s="42" t="n">
        <f aca="false">R311/$K$2</f>
        <v>278.022119150645</v>
      </c>
      <c r="T311" s="43" t="n">
        <f aca="false">S311-$M$2</f>
        <v>0.00331943987151817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0.0006103515625</v>
      </c>
      <c r="C312" s="25" t="n">
        <f aca="false">IF(T311&gt;0,D311,C311)</f>
        <v>0.000616073608398438</v>
      </c>
      <c r="D312" s="41" t="n">
        <f aca="false">(B312+C312)/2</f>
        <v>0.000613212585449219</v>
      </c>
      <c r="E312" s="15" t="n">
        <f aca="false">$C$2*(1+IF(E$3&lt;=$O$2,$D312,$D312-($D312-$I$292)*MIN(E$3-$O$2,$Q$2)/$Q$2))</f>
        <v>6764.14531707764</v>
      </c>
      <c r="F312" s="15" t="n">
        <f aca="false">E312*(1+IF(F$3&lt;=$O$2,$D312,$D312-($D312-$I$292)*MIN(F$3-$O$2,$Q$2)/$Q$2))</f>
        <v>6768.29317611588</v>
      </c>
      <c r="G312" s="15" t="n">
        <f aca="false">F312*(1+IF(G$3&lt;=$O$2,$D312,$D312-($D312-$I$292)*MIN(G$3-$O$2,$Q$2)/$Q$2))</f>
        <v>6772.44357867348</v>
      </c>
      <c r="H312" s="15" t="n">
        <f aca="false">G312*(1+IF(H$3&lt;=$O$2,$D312,$D312-($D312-$I$292)*MIN(H$3-$O$2,$Q$2)/$Q$2))</f>
        <v>6776.59652631017</v>
      </c>
      <c r="I312" s="15" t="n">
        <f aca="false">H312*(1+IF(I$3&lt;=$O$2,$D312,$D312-($D312-$I$292)*MIN(I$3-$O$2,$Q$2)/$Q$2))</f>
        <v>6780.75202058661</v>
      </c>
      <c r="J312" s="15" t="n">
        <f aca="false">I312*(1+IF(J$3&lt;=$O$2,$D312,$D312-($D312-$I$292)*MIN(J$3-$O$2,$Q$2)/$Q$2))</f>
        <v>6836.01901504657</v>
      </c>
      <c r="K312" s="15" t="n">
        <f aca="false">J312*(1+IF(K$3&lt;=$O$2,$D312,$D312-($D312-$I$292)*MIN(K$3-$O$2,$Q$2)/$Q$2))</f>
        <v>6943.26198609373</v>
      </c>
      <c r="L312" s="15" t="n">
        <f aca="false">K312*(1+IF(L$3&lt;=$O$2,$D312,$D312-($D312-$I$292)*MIN(L$3-$O$2,$Q$2)/$Q$2))</f>
        <v>7104.52122478774</v>
      </c>
      <c r="M312" s="15" t="n">
        <f aca="false">L312*(1+IF(M$3&lt;=$O$2,$D312,$D312-($D312-$I$292)*MIN(M$3-$O$2,$Q$2)/$Q$2))</f>
        <v>7323.07507148096</v>
      </c>
      <c r="N312" s="15" t="n">
        <f aca="false">M312*(1+IF(N$3&lt;=$O$2,$D312,$D312-($D312-$I$292)*MIN(N$3-$O$2,$Q$2)/$Q$2))</f>
        <v>7603.54884671868</v>
      </c>
      <c r="O312" s="15" t="n">
        <f aca="false">SUMPRODUCT(E312:N312,1/(1+$F$292)^$E$3:$N$3)*$E$2</f>
        <v>29943.1043738661</v>
      </c>
      <c r="P312" s="15" t="n">
        <f aca="false">N312*$E$2*(1+$I$292)/($F$292-$I$292)/(1+$F$292)^$N$3</f>
        <v>71616.282196225</v>
      </c>
      <c r="Q312" s="15" t="n">
        <f aca="false">O312+P312</f>
        <v>101559.386570091</v>
      </c>
      <c r="R312" s="15" t="n">
        <f aca="false">Q312-$G$2+$I$2</f>
        <v>99969.3865700911</v>
      </c>
      <c r="S312" s="42" t="n">
        <f aca="false">R312/$K$2</f>
        <v>278.017093748515</v>
      </c>
      <c r="T312" s="43" t="n">
        <f aca="false">S312-$M$2</f>
        <v>-0.00170596225848385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0.000613212585449219</v>
      </c>
      <c r="C313" s="25" t="n">
        <f aca="false">IF(T312&gt;0,D312,C312)</f>
        <v>0.000616073608398438</v>
      </c>
      <c r="D313" s="41" t="n">
        <f aca="false">(B313+C313)/2</f>
        <v>0.000614643096923828</v>
      </c>
      <c r="E313" s="15" t="n">
        <f aca="false">$C$2*(1+IF(E$3&lt;=$O$2,$D313,$D313-($D313-$I$292)*MIN(E$3-$O$2,$Q$2)/$Q$2))</f>
        <v>6764.15498733521</v>
      </c>
      <c r="F313" s="15" t="n">
        <f aca="false">E313*(1+IF(F$3&lt;=$O$2,$D313,$D313-($D313-$I$292)*MIN(F$3-$O$2,$Q$2)/$Q$2))</f>
        <v>6768.31252850469</v>
      </c>
      <c r="G313" s="15" t="n">
        <f aca="false">F313*(1+IF(G$3&lt;=$O$2,$D313,$D313-($D313-$I$292)*MIN(G$3-$O$2,$Q$2)/$Q$2))</f>
        <v>6772.47262507816</v>
      </c>
      <c r="H313" s="15" t="n">
        <f aca="false">G313*(1+IF(H$3&lt;=$O$2,$D313,$D313-($D313-$I$292)*MIN(H$3-$O$2,$Q$2)/$Q$2))</f>
        <v>6776.63527862627</v>
      </c>
      <c r="I313" s="15" t="n">
        <f aca="false">H313*(1+IF(I$3&lt;=$O$2,$D313,$D313-($D313-$I$292)*MIN(I$3-$O$2,$Q$2)/$Q$2))</f>
        <v>6780.80049072065</v>
      </c>
      <c r="J313" s="15" t="n">
        <f aca="false">I313*(1+IF(J$3&lt;=$O$2,$D313,$D313-($D313-$I$292)*MIN(J$3-$O$2,$Q$2)/$Q$2))</f>
        <v>6836.07564025016</v>
      </c>
      <c r="K313" s="15" t="n">
        <f aca="false">J313*(1+IF(K$3&lt;=$O$2,$D313,$D313-($D313-$I$292)*MIN(K$3-$O$2,$Q$2)/$Q$2))</f>
        <v>6943.32536708019</v>
      </c>
      <c r="L313" s="15" t="n">
        <f aca="false">K313*(1+IF(L$3&lt;=$O$2,$D313,$D313-($D313-$I$292)*MIN(L$3-$O$2,$Q$2)/$Q$2))</f>
        <v>7104.59005081832</v>
      </c>
      <c r="M313" s="15" t="n">
        <f aca="false">L313*(1+IF(M$3&lt;=$O$2,$D313,$D313-($D313-$I$292)*MIN(M$3-$O$2,$Q$2)/$Q$2))</f>
        <v>7323.14804742164</v>
      </c>
      <c r="N313" s="15" t="n">
        <f aca="false">M313*(1+IF(N$3&lt;=$O$2,$D313,$D313-($D313-$I$292)*MIN(N$3-$O$2,$Q$2)/$Q$2))</f>
        <v>7603.62461763789</v>
      </c>
      <c r="O313" s="15" t="n">
        <f aca="false">SUMPRODUCT(E313:N313,1/(1+$F$292)^$E$3:$N$3)*$E$2</f>
        <v>29943.2942163001</v>
      </c>
      <c r="P313" s="15" t="n">
        <f aca="false">N313*$E$2*(1+$I$292)/($F$292-$I$292)/(1+$F$292)^$N$3</f>
        <v>71616.9958671228</v>
      </c>
      <c r="Q313" s="15" t="n">
        <f aca="false">O313+P313</f>
        <v>101560.290083423</v>
      </c>
      <c r="R313" s="15" t="n">
        <f aca="false">Q313-$G$2+$I$2</f>
        <v>99970.2900834229</v>
      </c>
      <c r="S313" s="42" t="n">
        <f aca="false">R313/$K$2</f>
        <v>278.019606439243</v>
      </c>
      <c r="T313" s="43" t="n">
        <f aca="false">S313-$M$2</f>
        <v>0.000806728469171958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0.000613212585449219</v>
      </c>
      <c r="C314" s="25" t="n">
        <f aca="false">IF(T313&gt;0,D313,C313)</f>
        <v>0.000614643096923828</v>
      </c>
      <c r="D314" s="41" t="n">
        <f aca="false">(B314+C314)/2</f>
        <v>0.000613927841186523</v>
      </c>
      <c r="E314" s="15" t="n">
        <f aca="false">$C$2*(1+IF(E$3&lt;=$O$2,$D314,$D314-($D314-$I$292)*MIN(E$3-$O$2,$Q$2)/$Q$2))</f>
        <v>6764.15015220642</v>
      </c>
      <c r="F314" s="15" t="n">
        <f aca="false">E314*(1+IF(F$3&lt;=$O$2,$D314,$D314-($D314-$I$292)*MIN(F$3-$O$2,$Q$2)/$Q$2))</f>
        <v>6768.30285230683</v>
      </c>
      <c r="G314" s="15" t="n">
        <f aca="false">F314*(1+IF(G$3&lt;=$O$2,$D314,$D314-($D314-$I$292)*MIN(G$3-$O$2,$Q$2)/$Q$2))</f>
        <v>6772.45810186544</v>
      </c>
      <c r="H314" s="15" t="n">
        <f aca="false">G314*(1+IF(H$3&lt;=$O$2,$D314,$D314-($D314-$I$292)*MIN(H$3-$O$2,$Q$2)/$Q$2))</f>
        <v>6776.61590244744</v>
      </c>
      <c r="I314" s="15" t="n">
        <f aca="false">H314*(1+IF(I$3&lt;=$O$2,$D314,$D314-($D314-$I$292)*MIN(I$3-$O$2,$Q$2)/$Q$2))</f>
        <v>6780.77625561898</v>
      </c>
      <c r="J314" s="15" t="n">
        <f aca="false">I314*(1+IF(J$3&lt;=$O$2,$D314,$D314-($D314-$I$292)*MIN(J$3-$O$2,$Q$2)/$Q$2))</f>
        <v>6836.04732759957</v>
      </c>
      <c r="K314" s="15" t="n">
        <f aca="false">J314*(1+IF(K$3&lt;=$O$2,$D314,$D314-($D314-$I$292)*MIN(K$3-$O$2,$Q$2)/$Q$2))</f>
        <v>6943.29367652524</v>
      </c>
      <c r="L314" s="15" t="n">
        <f aca="false">K314*(1+IF(L$3&lt;=$O$2,$D314,$D314-($D314-$I$292)*MIN(L$3-$O$2,$Q$2)/$Q$2))</f>
        <v>7104.55563773082</v>
      </c>
      <c r="M314" s="15" t="n">
        <f aca="false">L314*(1+IF(M$3&lt;=$O$2,$D314,$D314-($D314-$I$292)*MIN(M$3-$O$2,$Q$2)/$Q$2))</f>
        <v>7323.11155937194</v>
      </c>
      <c r="N314" s="15" t="n">
        <f aca="false">M314*(1+IF(N$3&lt;=$O$2,$D314,$D314-($D314-$I$292)*MIN(N$3-$O$2,$Q$2)/$Q$2))</f>
        <v>7603.58673209589</v>
      </c>
      <c r="O314" s="15" t="n">
        <f aca="false">SUMPRODUCT(E314:N314,1/(1+$F$292)^$E$3:$N$3)*$E$2</f>
        <v>29943.1992949299</v>
      </c>
      <c r="P314" s="15" t="n">
        <f aca="false">N314*$E$2*(1+$I$292)/($F$292-$I$292)/(1+$F$292)^$N$3</f>
        <v>71616.6390308978</v>
      </c>
      <c r="Q314" s="15" t="n">
        <f aca="false">O314+P314</f>
        <v>101559.838325828</v>
      </c>
      <c r="R314" s="15" t="n">
        <f aca="false">Q314-$G$2+$I$2</f>
        <v>99969.8383258277</v>
      </c>
      <c r="S314" s="42" t="n">
        <f aca="false">R314/$K$2</f>
        <v>278.018350091295</v>
      </c>
      <c r="T314" s="43" t="n">
        <f aca="false">S314-$M$2</f>
        <v>-0.000449619479013563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0.000613927841186523</v>
      </c>
      <c r="C315" s="25" t="n">
        <f aca="false">IF(T314&gt;0,D314,C314)</f>
        <v>0.000614643096923828</v>
      </c>
      <c r="D315" s="41" t="n">
        <f aca="false">(B315+C315)/2</f>
        <v>0.000614285469055176</v>
      </c>
      <c r="E315" s="15" t="n">
        <f aca="false">$C$2*(1+IF(E$3&lt;=$O$2,$D315,$D315-($D315-$I$292)*MIN(E$3-$O$2,$Q$2)/$Q$2))</f>
        <v>6764.15256977081</v>
      </c>
      <c r="F315" s="15" t="n">
        <f aca="false">E315*(1+IF(F$3&lt;=$O$2,$D315,$D315-($D315-$I$292)*MIN(F$3-$O$2,$Q$2)/$Q$2))</f>
        <v>6768.3076904049</v>
      </c>
      <c r="G315" s="15" t="n">
        <f aca="false">F315*(1+IF(G$3&lt;=$O$2,$D315,$D315-($D315-$I$292)*MIN(G$3-$O$2,$Q$2)/$Q$2))</f>
        <v>6772.46536346921</v>
      </c>
      <c r="H315" s="15" t="n">
        <f aca="false">G315*(1+IF(H$3&lt;=$O$2,$D315,$D315-($D315-$I$292)*MIN(H$3-$O$2,$Q$2)/$Q$2))</f>
        <v>6776.62559053167</v>
      </c>
      <c r="I315" s="15" t="n">
        <f aca="false">H315*(1+IF(I$3&lt;=$O$2,$D315,$D315-($D315-$I$292)*MIN(I$3-$O$2,$Q$2)/$Q$2))</f>
        <v>6780.78837316116</v>
      </c>
      <c r="J315" s="15" t="n">
        <f aca="false">I315*(1+IF(J$3&lt;=$O$2,$D315,$D315-($D315-$I$292)*MIN(J$3-$O$2,$Q$2)/$Q$2))</f>
        <v>6836.06148391267</v>
      </c>
      <c r="K315" s="15" t="n">
        <f aca="false">J315*(1+IF(K$3&lt;=$O$2,$D315,$D315-($D315-$I$292)*MIN(K$3-$O$2,$Q$2)/$Q$2))</f>
        <v>6943.30952178729</v>
      </c>
      <c r="L315" s="15" t="n">
        <f aca="false">K315*(1+IF(L$3&lt;=$O$2,$D315,$D315-($D315-$I$292)*MIN(L$3-$O$2,$Q$2)/$Q$2))</f>
        <v>7104.57284425652</v>
      </c>
      <c r="M315" s="15" t="n">
        <f aca="false">L315*(1+IF(M$3&lt;=$O$2,$D315,$D315-($D315-$I$292)*MIN(M$3-$O$2,$Q$2)/$Q$2))</f>
        <v>7323.12980337695</v>
      </c>
      <c r="N315" s="15" t="n">
        <f aca="false">M315*(1+IF(N$3&lt;=$O$2,$D315,$D315-($D315-$I$292)*MIN(N$3-$O$2,$Q$2)/$Q$2))</f>
        <v>7603.60567484629</v>
      </c>
      <c r="O315" s="15" t="n">
        <f aca="false">SUMPRODUCT(E315:N315,1/(1+$F$292)^$E$3:$N$3)*$E$2</f>
        <v>29943.2467555767</v>
      </c>
      <c r="P315" s="15" t="n">
        <f aca="false">N315*$E$2*(1+$I$292)/($F$292-$I$292)/(1+$F$292)^$N$3</f>
        <v>71616.8174488163</v>
      </c>
      <c r="Q315" s="15" t="n">
        <f aca="false">O315+P315</f>
        <v>101560.064204393</v>
      </c>
      <c r="R315" s="15" t="n">
        <f aca="false">Q315-$G$2+$I$2</f>
        <v>99970.064204393</v>
      </c>
      <c r="S315" s="42" t="n">
        <f aca="false">R315/$K$2</f>
        <v>278.018978264623</v>
      </c>
      <c r="T315" s="43" t="n">
        <f aca="false">S315-$M$2</f>
        <v>0.00017855384902532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0.000613927841186523</v>
      </c>
      <c r="C316" s="25" t="n">
        <f aca="false">IF(T315&gt;0,D315,C315)</f>
        <v>0.000614285469055176</v>
      </c>
      <c r="D316" s="41" t="n">
        <f aca="false">(B316+C316)/2</f>
        <v>0.00061410665512085</v>
      </c>
      <c r="E316" s="15" t="n">
        <f aca="false">$C$2*(1+IF(E$3&lt;=$O$2,$D316,$D316-($D316-$I$292)*MIN(E$3-$O$2,$Q$2)/$Q$2))</f>
        <v>6764.15136098862</v>
      </c>
      <c r="F316" s="15" t="n">
        <f aca="false">E316*(1+IF(F$3&lt;=$O$2,$D316,$D316-($D316-$I$292)*MIN(F$3-$O$2,$Q$2)/$Q$2))</f>
        <v>6768.30527135564</v>
      </c>
      <c r="G316" s="15" t="n">
        <f aca="false">F316*(1+IF(G$3&lt;=$O$2,$D316,$D316-($D316-$I$292)*MIN(G$3-$O$2,$Q$2)/$Q$2))</f>
        <v>6772.46173266667</v>
      </c>
      <c r="H316" s="15" t="n">
        <f aca="false">G316*(1+IF(H$3&lt;=$O$2,$D316,$D316-($D316-$I$292)*MIN(H$3-$O$2,$Q$2)/$Q$2))</f>
        <v>6776.62074648826</v>
      </c>
      <c r="I316" s="15" t="n">
        <f aca="false">H316*(1+IF(I$3&lt;=$O$2,$D316,$D316-($D316-$I$292)*MIN(I$3-$O$2,$Q$2)/$Q$2))</f>
        <v>6780.7823143879</v>
      </c>
      <c r="J316" s="15" t="n">
        <f aca="false">I316*(1+IF(J$3&lt;=$O$2,$D316,$D316-($D316-$I$292)*MIN(J$3-$O$2,$Q$2)/$Q$2))</f>
        <v>6836.05440575307</v>
      </c>
      <c r="K316" s="15" t="n">
        <f aca="false">J316*(1+IF(K$3&lt;=$O$2,$D316,$D316-($D316-$I$292)*MIN(K$3-$O$2,$Q$2)/$Q$2))</f>
        <v>6943.30159915241</v>
      </c>
      <c r="L316" s="15" t="n">
        <f aca="false">K316*(1+IF(L$3&lt;=$O$2,$D316,$D316-($D316-$I$292)*MIN(L$3-$O$2,$Q$2)/$Q$2))</f>
        <v>7104.56424098915</v>
      </c>
      <c r="M316" s="15" t="n">
        <f aca="false">L316*(1+IF(M$3&lt;=$O$2,$D316,$D316-($D316-$I$292)*MIN(M$3-$O$2,$Q$2)/$Q$2))</f>
        <v>7323.12068136949</v>
      </c>
      <c r="N316" s="15" t="n">
        <f aca="false">M316*(1+IF(N$3&lt;=$O$2,$D316,$D316-($D316-$I$292)*MIN(N$3-$O$2,$Q$2)/$Q$2))</f>
        <v>7603.59620346594</v>
      </c>
      <c r="O316" s="15" t="n">
        <f aca="false">SUMPRODUCT(E316:N316,1/(1+$F$292)^$E$3:$N$3)*$E$2</f>
        <v>29943.2230252437</v>
      </c>
      <c r="P316" s="15" t="n">
        <f aca="false">N316*$E$2*(1+$I$292)/($F$292-$I$292)/(1+$F$292)^$N$3</f>
        <v>71616.7282398086</v>
      </c>
      <c r="Q316" s="15" t="n">
        <f aca="false">O316+P316</f>
        <v>101559.951265052</v>
      </c>
      <c r="R316" s="15" t="n">
        <f aca="false">Q316-$G$2+$I$2</f>
        <v>99969.9512650523</v>
      </c>
      <c r="S316" s="42" t="n">
        <f aca="false">R316/$K$2</f>
        <v>278.018664177797</v>
      </c>
      <c r="T316" s="43" t="n">
        <f aca="false">S316-$M$2</f>
        <v>-0.000135532976514696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0.00061410665512085</v>
      </c>
      <c r="C317" s="25" t="n">
        <f aca="false">IF(T316&gt;0,D316,C316)</f>
        <v>0.000614285469055176</v>
      </c>
      <c r="D317" s="41" t="n">
        <f aca="false">(B317+C317)/2</f>
        <v>0.000614196062088013</v>
      </c>
      <c r="E317" s="15" t="n">
        <f aca="false">$C$2*(1+IF(E$3&lt;=$O$2,$D317,$D317-($D317-$I$292)*MIN(E$3-$O$2,$Q$2)/$Q$2))</f>
        <v>6764.15196537972</v>
      </c>
      <c r="F317" s="15" t="n">
        <f aca="false">E317*(1+IF(F$3&lt;=$O$2,$D317,$D317-($D317-$I$292)*MIN(F$3-$O$2,$Q$2)/$Q$2))</f>
        <v>6768.30648088022</v>
      </c>
      <c r="G317" s="15" t="n">
        <f aca="false">F317*(1+IF(G$3&lt;=$O$2,$D317,$D317-($D317-$I$292)*MIN(G$3-$O$2,$Q$2)/$Q$2))</f>
        <v>6772.46354806778</v>
      </c>
      <c r="H317" s="15" t="n">
        <f aca="false">G317*(1+IF(H$3&lt;=$O$2,$D317,$D317-($D317-$I$292)*MIN(H$3-$O$2,$Q$2)/$Q$2))</f>
        <v>6776.62316850964</v>
      </c>
      <c r="I317" s="15" t="n">
        <f aca="false">H317*(1+IF(I$3&lt;=$O$2,$D317,$D317-($D317-$I$292)*MIN(I$3-$O$2,$Q$2)/$Q$2))</f>
        <v>6780.78534377399</v>
      </c>
      <c r="J317" s="15" t="n">
        <f aca="false">I317*(1+IF(J$3&lt;=$O$2,$D317,$D317-($D317-$I$292)*MIN(J$3-$O$2,$Q$2)/$Q$2))</f>
        <v>6836.05794483211</v>
      </c>
      <c r="K317" s="15" t="n">
        <f aca="false">J317*(1+IF(K$3&lt;=$O$2,$D317,$D317-($D317-$I$292)*MIN(K$3-$O$2,$Q$2)/$Q$2))</f>
        <v>6943.30556046889</v>
      </c>
      <c r="L317" s="15" t="n">
        <f aca="false">K317*(1+IF(L$3&lt;=$O$2,$D317,$D317-($D317-$I$292)*MIN(L$3-$O$2,$Q$2)/$Q$2))</f>
        <v>7104.56854262171</v>
      </c>
      <c r="M317" s="15" t="n">
        <f aca="false">L317*(1+IF(M$3&lt;=$O$2,$D317,$D317-($D317-$I$292)*MIN(M$3-$O$2,$Q$2)/$Q$2))</f>
        <v>7323.12524237198</v>
      </c>
      <c r="N317" s="15" t="n">
        <f aca="false">M317*(1+IF(N$3&lt;=$O$2,$D317,$D317-($D317-$I$292)*MIN(N$3-$O$2,$Q$2)/$Q$2))</f>
        <v>7603.60093915483</v>
      </c>
      <c r="O317" s="15" t="n">
        <f aca="false">SUMPRODUCT(E317:N317,1/(1+$F$292)^$E$3:$N$3)*$E$2</f>
        <v>29943.2348904078</v>
      </c>
      <c r="P317" s="15" t="n">
        <f aca="false">N317*$E$2*(1+$I$292)/($F$292-$I$292)/(1+$F$292)^$N$3</f>
        <v>71616.7728443003</v>
      </c>
      <c r="Q317" s="15" t="n">
        <f aca="false">O317+P317</f>
        <v>101560.007734708</v>
      </c>
      <c r="R317" s="15" t="n">
        <f aca="false">Q317-$G$2+$I$2</f>
        <v>99970.0077347082</v>
      </c>
      <c r="S317" s="42" t="n">
        <f aca="false">R317/$K$2</f>
        <v>278.01882122117</v>
      </c>
      <c r="T317" s="43" t="n">
        <f aca="false">S317-$M$2</f>
        <v>2.15103958680629E-005</v>
      </c>
    </row>
    <row r="319" customFormat="false" ht="15" hidden="false" customHeight="false" outlineLevel="0" collapsed="false">
      <c r="A319" s="38" t="s">
        <v>197</v>
      </c>
      <c r="E319" s="5" t="s">
        <v>11</v>
      </c>
      <c r="F319" s="12" t="n">
        <f aca="false">Sensitivity!$B$12</f>
        <v>0.0774202832668642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167</v>
      </c>
      <c r="B320" s="28" t="s">
        <v>168</v>
      </c>
      <c r="C320" s="28" t="s">
        <v>169</v>
      </c>
      <c r="D320" s="28" t="s">
        <v>170</v>
      </c>
      <c r="E320" s="28" t="s">
        <v>171</v>
      </c>
      <c r="F320" s="28" t="s">
        <v>172</v>
      </c>
      <c r="G320" s="28" t="s">
        <v>173</v>
      </c>
      <c r="H320" s="28" t="s">
        <v>174</v>
      </c>
      <c r="I320" s="28" t="s">
        <v>175</v>
      </c>
      <c r="J320" s="28" t="s">
        <v>176</v>
      </c>
      <c r="K320" s="28" t="s">
        <v>177</v>
      </c>
      <c r="L320" s="28" t="s">
        <v>178</v>
      </c>
      <c r="M320" s="28" t="s">
        <v>179</v>
      </c>
      <c r="N320" s="28" t="s">
        <v>180</v>
      </c>
      <c r="O320" s="28" t="s">
        <v>181</v>
      </c>
      <c r="P320" s="28" t="s">
        <v>182</v>
      </c>
      <c r="Q320" s="28" t="s">
        <v>183</v>
      </c>
      <c r="R320" s="28" t="s">
        <v>184</v>
      </c>
      <c r="S320" s="28" t="s">
        <v>185</v>
      </c>
      <c r="T320" s="28" t="s">
        <v>186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8450</v>
      </c>
      <c r="F321" s="15" t="n">
        <f aca="false">E321*(1+IF(F$3&lt;=$O$2,$D321,$D321-($D321-$I$319)*MIN(F$3-$O$2,$Q$2)/$Q$2))</f>
        <v>10562.5</v>
      </c>
      <c r="G321" s="15" t="n">
        <f aca="false">F321*(1+IF(G$3&lt;=$O$2,$D321,$D321-($D321-$I$319)*MIN(G$3-$O$2,$Q$2)/$Q$2))</f>
        <v>13203.125</v>
      </c>
      <c r="H321" s="15" t="n">
        <f aca="false">G321*(1+IF(H$3&lt;=$O$2,$D321,$D321-($D321-$I$319)*MIN(H$3-$O$2,$Q$2)/$Q$2))</f>
        <v>16503.90625</v>
      </c>
      <c r="I321" s="15" t="n">
        <f aca="false">H321*(1+IF(I$3&lt;=$O$2,$D321,$D321-($D321-$I$319)*MIN(I$3-$O$2,$Q$2)/$Q$2))</f>
        <v>20629.8828125</v>
      </c>
      <c r="J321" s="15" t="n">
        <f aca="false">I321*(1+IF(J$3&lt;=$O$2,$D321,$D321-($D321-$I$319)*MIN(J$3-$O$2,$Q$2)/$Q$2))</f>
        <v>24831.3647460938</v>
      </c>
      <c r="K321" s="15" t="n">
        <f aca="false">J321*(1+IF(K$3&lt;=$O$2,$D321,$D321-($D321-$I$319)*MIN(K$3-$O$2,$Q$2)/$Q$2))</f>
        <v>28737.8350479492</v>
      </c>
      <c r="L321" s="15" t="n">
        <f aca="false">K321*(1+IF(L$3&lt;=$O$2,$D321,$D321-($D321-$I$319)*MIN(L$3-$O$2,$Q$2)/$Q$2))</f>
        <v>31927.1599815706</v>
      </c>
      <c r="M321" s="15" t="n">
        <f aca="false">L321*(1+IF(M$3&lt;=$O$2,$D321,$D321-($D321-$I$319)*MIN(M$3-$O$2,$Q$2)/$Q$2))</f>
        <v>33990.9316027794</v>
      </c>
      <c r="N321" s="15" t="n">
        <f aca="false">M321*(1+IF(N$3&lt;=$O$2,$D321,$D321-($D321-$I$319)*MIN(N$3-$O$2,$Q$2)/$Q$2))</f>
        <v>34612.9656511102</v>
      </c>
      <c r="O321" s="15" t="n">
        <f aca="false">SUMPRODUCT(E321:N321,1/(1+$F$319)^$E$3:$N$3)*$E$2</f>
        <v>86104.0918910688</v>
      </c>
      <c r="P321" s="15" t="n">
        <f aca="false">N321*$E$2*(1+$I$319)/($F$319-$I$319)/(1+$F$319)^$N$3</f>
        <v>176141.616087532</v>
      </c>
      <c r="Q321" s="15" t="n">
        <f aca="false">O321+P321</f>
        <v>262245.7079786</v>
      </c>
      <c r="R321" s="15" t="n">
        <f aca="false">Q321-$G$2+$I$2</f>
        <v>260655.7079786</v>
      </c>
      <c r="S321" s="42" t="n">
        <f aca="false">R321/$K$2</f>
        <v>724.889337500975</v>
      </c>
      <c r="T321" s="43" t="n">
        <f aca="false">S321-$M$2</f>
        <v>446.870537790201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5915</v>
      </c>
      <c r="F322" s="15" t="n">
        <f aca="false">E322*(1+IF(F$3&lt;=$O$2,$D322,$D322-($D322-$I$319)*MIN(F$3-$O$2,$Q$2)/$Q$2))</f>
        <v>5175.625</v>
      </c>
      <c r="G322" s="15" t="n">
        <f aca="false">F322*(1+IF(G$3&lt;=$O$2,$D322,$D322-($D322-$I$319)*MIN(G$3-$O$2,$Q$2)/$Q$2))</f>
        <v>4528.671875</v>
      </c>
      <c r="H322" s="15" t="n">
        <f aca="false">G322*(1+IF(H$3&lt;=$O$2,$D322,$D322-($D322-$I$319)*MIN(H$3-$O$2,$Q$2)/$Q$2))</f>
        <v>3962.587890625</v>
      </c>
      <c r="I322" s="15" t="n">
        <f aca="false">H322*(1+IF(I$3&lt;=$O$2,$D322,$D322-($D322-$I$319)*MIN(I$3-$O$2,$Q$2)/$Q$2))</f>
        <v>3467.26440429688</v>
      </c>
      <c r="J322" s="15" t="n">
        <f aca="false">I322*(1+IF(J$3&lt;=$O$2,$D322,$D322-($D322-$I$319)*MIN(J$3-$O$2,$Q$2)/$Q$2))</f>
        <v>3133.22815158691</v>
      </c>
      <c r="K322" s="15" t="n">
        <f aca="false">J322*(1+IF(K$3&lt;=$O$2,$D322,$D322-($D322-$I$319)*MIN(K$3-$O$2,$Q$2)/$Q$2))</f>
        <v>2921.17127028751</v>
      </c>
      <c r="L322" s="15" t="n">
        <f aca="false">K322*(1+IF(L$3&lt;=$O$2,$D322,$D322-($D322-$I$319)*MIN(L$3-$O$2,$Q$2)/$Q$2))</f>
        <v>2807.18716732089</v>
      </c>
      <c r="M322" s="15" t="n">
        <f aca="false">L322*(1+IF(M$3&lt;=$O$2,$D322,$D322-($D322-$I$319)*MIN(M$3-$O$2,$Q$2)/$Q$2))</f>
        <v>2778.10470826745</v>
      </c>
      <c r="N322" s="15" t="n">
        <f aca="false">M322*(1+IF(N$3&lt;=$O$2,$D322,$D322-($D322-$I$319)*MIN(N$3-$O$2,$Q$2)/$Q$2))</f>
        <v>2828.94402442874</v>
      </c>
      <c r="O322" s="15" t="n">
        <f aca="false">SUMPRODUCT(E322:N322,1/(1+$F$319)^$E$3:$N$3)*$E$2</f>
        <v>16779.2058231003</v>
      </c>
      <c r="P322" s="15" t="n">
        <f aca="false">N322*$E$2*(1+$I$319)/($F$319-$I$319)/(1+$F$319)^$N$3</f>
        <v>14396.1883332023</v>
      </c>
      <c r="Q322" s="15" t="n">
        <f aca="false">O322+P322</f>
        <v>31175.3941563026</v>
      </c>
      <c r="R322" s="15" t="n">
        <f aca="false">Q322-$G$2+$I$2</f>
        <v>29585.3941563026</v>
      </c>
      <c r="S322" s="42" t="n">
        <f aca="false">R322/$K$2</f>
        <v>82.2776410153584</v>
      </c>
      <c r="T322" s="43" t="n">
        <f aca="false">S322-$M$2</f>
        <v>-195.741158695415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7182.5</v>
      </c>
      <c r="F323" s="15" t="n">
        <f aca="false">E323*(1+IF(F$3&lt;=$O$2,$D323,$D323-($D323-$I$319)*MIN(F$3-$O$2,$Q$2)/$Q$2))</f>
        <v>7631.40625</v>
      </c>
      <c r="G323" s="15" t="n">
        <f aca="false">F323*(1+IF(G$3&lt;=$O$2,$D323,$D323-($D323-$I$319)*MIN(G$3-$O$2,$Q$2)/$Q$2))</f>
        <v>8108.369140625</v>
      </c>
      <c r="H323" s="15" t="n">
        <f aca="false">G323*(1+IF(H$3&lt;=$O$2,$D323,$D323-($D323-$I$319)*MIN(H$3-$O$2,$Q$2)/$Q$2))</f>
        <v>8615.14221191406</v>
      </c>
      <c r="I323" s="15" t="n">
        <f aca="false">H323*(1+IF(I$3&lt;=$O$2,$D323,$D323-($D323-$I$319)*MIN(I$3-$O$2,$Q$2)/$Q$2))</f>
        <v>9153.58860015869</v>
      </c>
      <c r="J323" s="15" t="n">
        <f aca="false">I323*(1+IF(J$3&lt;=$O$2,$D323,$D323-($D323-$I$319)*MIN(J$3-$O$2,$Q$2)/$Q$2))</f>
        <v>9644.77016444321</v>
      </c>
      <c r="K323" s="15" t="n">
        <f aca="false">J323*(1+IF(K$3&lt;=$O$2,$D323,$D323-($D323-$I$319)*MIN(K$3-$O$2,$Q$2)/$Q$2))</f>
        <v>10077.0487632136</v>
      </c>
      <c r="L323" s="15" t="n">
        <f aca="false">K323*(1+IF(L$3&lt;=$O$2,$D323,$D323-($D323-$I$319)*MIN(L$3-$O$2,$Q$2)/$Q$2))</f>
        <v>10439.620977714</v>
      </c>
      <c r="M323" s="15" t="n">
        <f aca="false">L323*(1+IF(M$3&lt;=$O$2,$D323,$D323-($D323-$I$319)*MIN(M$3-$O$2,$Q$2)/$Q$2))</f>
        <v>10722.9522910491</v>
      </c>
      <c r="N323" s="15" t="n">
        <f aca="false">M323*(1+IF(N$3&lt;=$O$2,$D323,$D323-($D323-$I$319)*MIN(N$3-$O$2,$Q$2)/$Q$2))</f>
        <v>10919.1823179753</v>
      </c>
      <c r="O323" s="15" t="n">
        <f aca="false">SUMPRODUCT(E323:N323,1/(1+$F$319)^$E$3:$N$3)*$E$2</f>
        <v>37974.9251418781</v>
      </c>
      <c r="P323" s="15" t="n">
        <f aca="false">N323*$E$2*(1+$I$319)/($F$319-$I$319)/(1+$F$319)^$N$3</f>
        <v>55566.5307396416</v>
      </c>
      <c r="Q323" s="15" t="n">
        <f aca="false">O323+P323</f>
        <v>93541.4558815197</v>
      </c>
      <c r="R323" s="15" t="n">
        <f aca="false">Q323-$G$2+$I$2</f>
        <v>91951.4558815197</v>
      </c>
      <c r="S323" s="42" t="n">
        <f aca="false">R323/$K$2</f>
        <v>255.719049673285</v>
      </c>
      <c r="T323" s="43" t="n">
        <f aca="false">S323-$M$2</f>
        <v>-22.2997500374889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41" t="n">
        <f aca="false">(B324+C324)/2</f>
        <v>0.15625</v>
      </c>
      <c r="E324" s="15" t="n">
        <f aca="false">$C$2*(1+IF(E$3&lt;=$O$2,$D324,$D324-($D324-$I$319)*MIN(E$3-$O$2,$Q$2)/$Q$2))</f>
        <v>7816.25</v>
      </c>
      <c r="F324" s="15" t="n">
        <f aca="false">E324*(1+IF(F$3&lt;=$O$2,$D324,$D324-($D324-$I$319)*MIN(F$3-$O$2,$Q$2)/$Q$2))</f>
        <v>9037.5390625</v>
      </c>
      <c r="G324" s="15" t="n">
        <f aca="false">F324*(1+IF(G$3&lt;=$O$2,$D324,$D324-($D324-$I$319)*MIN(G$3-$O$2,$Q$2)/$Q$2))</f>
        <v>10449.6545410156</v>
      </c>
      <c r="H324" s="15" t="n">
        <f aca="false">G324*(1+IF(H$3&lt;=$O$2,$D324,$D324-($D324-$I$319)*MIN(H$3-$O$2,$Q$2)/$Q$2))</f>
        <v>12082.4130630493</v>
      </c>
      <c r="I324" s="15" t="n">
        <f aca="false">H324*(1+IF(I$3&lt;=$O$2,$D324,$D324-($D324-$I$319)*MIN(I$3-$O$2,$Q$2)/$Q$2))</f>
        <v>13970.2901041508</v>
      </c>
      <c r="J324" s="15" t="n">
        <f aca="false">I324*(1+IF(J$3&lt;=$O$2,$D324,$D324-($D324-$I$319)*MIN(J$3-$O$2,$Q$2)/$Q$2))</f>
        <v>15767.7076289508</v>
      </c>
      <c r="K324" s="15" t="n">
        <f aca="false">J324*(1+IF(K$3&lt;=$O$2,$D324,$D324-($D324-$I$319)*MIN(K$3-$O$2,$Q$2)/$Q$2))</f>
        <v>17361.3498390089</v>
      </c>
      <c r="L324" s="15" t="n">
        <f aca="false">K324*(1+IF(L$3&lt;=$O$2,$D324,$D324-($D324-$I$319)*MIN(L$3-$O$2,$Q$2)/$Q$2))</f>
        <v>18637.0618251792</v>
      </c>
      <c r="M324" s="15" t="n">
        <f aca="false">L324*(1+IF(M$3&lt;=$O$2,$D324,$D324-($D324-$I$319)*MIN(M$3-$O$2,$Q$2)/$Q$2))</f>
        <v>19492.3165923367</v>
      </c>
      <c r="N324" s="15" t="n">
        <f aca="false">M324*(1+IF(N$3&lt;=$O$2,$D324,$D324-($D324-$I$319)*MIN(N$3-$O$2,$Q$2)/$Q$2))</f>
        <v>19849.0259859765</v>
      </c>
      <c r="O324" s="15" t="n">
        <f aca="false">SUMPRODUCT(E324:N324,1/(1+$F$319)^$E$3:$N$3)*$E$2</f>
        <v>57300.7522467364</v>
      </c>
      <c r="P324" s="15" t="n">
        <f aca="false">N324*$E$2*(1+$I$319)/($F$319-$I$319)/(1+$F$319)^$N$3</f>
        <v>101009.533542272</v>
      </c>
      <c r="Q324" s="15" t="n">
        <f aca="false">O324+P324</f>
        <v>158310.285789008</v>
      </c>
      <c r="R324" s="15" t="n">
        <f aca="false">Q324-$G$2+$I$2</f>
        <v>156720.285789008</v>
      </c>
      <c r="S324" s="42" t="n">
        <f aca="false">R324/$K$2</f>
        <v>435.842610236965</v>
      </c>
      <c r="T324" s="43" t="n">
        <f aca="false">S324-$M$2</f>
        <v>157.823810526192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41" t="n">
        <f aca="false">(B325+C325)/2</f>
        <v>0.109375</v>
      </c>
      <c r="E325" s="15" t="n">
        <f aca="false">$C$2*(1+IF(E$3&lt;=$O$2,$D325,$D325-($D325-$I$319)*MIN(E$3-$O$2,$Q$2)/$Q$2))</f>
        <v>7499.375</v>
      </c>
      <c r="F325" s="15" t="n">
        <f aca="false">E325*(1+IF(F$3&lt;=$O$2,$D325,$D325-($D325-$I$319)*MIN(F$3-$O$2,$Q$2)/$Q$2))</f>
        <v>8319.619140625</v>
      </c>
      <c r="G325" s="15" t="n">
        <f aca="false">F325*(1+IF(G$3&lt;=$O$2,$D325,$D325-($D325-$I$319)*MIN(G$3-$O$2,$Q$2)/$Q$2))</f>
        <v>9229.57748413086</v>
      </c>
      <c r="H325" s="15" t="n">
        <f aca="false">G325*(1+IF(H$3&lt;=$O$2,$D325,$D325-($D325-$I$319)*MIN(H$3-$O$2,$Q$2)/$Q$2))</f>
        <v>10239.0625214577</v>
      </c>
      <c r="I325" s="15" t="n">
        <f aca="false">H325*(1+IF(I$3&lt;=$O$2,$D325,$D325-($D325-$I$319)*MIN(I$3-$O$2,$Q$2)/$Q$2))</f>
        <v>11358.9599847421</v>
      </c>
      <c r="J325" s="15" t="n">
        <f aca="false">I325*(1+IF(J$3&lt;=$O$2,$D325,$D325-($D325-$I$319)*MIN(J$3-$O$2,$Q$2)/$Q$2))</f>
        <v>12394.4427769512</v>
      </c>
      <c r="K325" s="15" t="n">
        <f aca="false">J325*(1+IF(K$3&lt;=$O$2,$D325,$D325-($D325-$I$319)*MIN(K$3-$O$2,$Q$2)/$Q$2))</f>
        <v>13298.5554053159</v>
      </c>
      <c r="L325" s="15" t="n">
        <f aca="false">K325*(1+IF(L$3&lt;=$O$2,$D325,$D325-($D325-$I$319)*MIN(L$3-$O$2,$Q$2)/$Q$2))</f>
        <v>14026.3853426488</v>
      </c>
      <c r="M325" s="15" t="n">
        <f aca="false">L325*(1+IF(M$3&lt;=$O$2,$D325,$D325-($D325-$I$319)*MIN(M$3-$O$2,$Q$2)/$Q$2))</f>
        <v>14538.5588034357</v>
      </c>
      <c r="N325" s="15" t="n">
        <f aca="false">M325*(1+IF(N$3&lt;=$O$2,$D325,$D325-($D325-$I$319)*MIN(N$3-$O$2,$Q$2)/$Q$2))</f>
        <v>14804.6144295385</v>
      </c>
      <c r="O325" s="15" t="n">
        <f aca="false">SUMPRODUCT(E325:N325,1/(1+$F$319)^$E$3:$N$3)*$E$2</f>
        <v>46659.9621003929</v>
      </c>
      <c r="P325" s="15" t="n">
        <f aca="false">N325*$E$2*(1+$I$319)/($F$319-$I$319)/(1+$F$319)^$N$3</f>
        <v>75339.071995643</v>
      </c>
      <c r="Q325" s="15" t="n">
        <f aca="false">O325+P325</f>
        <v>121999.034096036</v>
      </c>
      <c r="R325" s="15" t="n">
        <f aca="false">Q325-$G$2+$I$2</f>
        <v>120409.034096036</v>
      </c>
      <c r="S325" s="42" t="n">
        <f aca="false">R325/$K$2</f>
        <v>334.860209399955</v>
      </c>
      <c r="T325" s="43" t="n">
        <f aca="false">S325-$M$2</f>
        <v>56.8414096891814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0.0625</v>
      </c>
      <c r="C326" s="25" t="n">
        <f aca="false">IF(T325&gt;0,D325,C325)</f>
        <v>0.109375</v>
      </c>
      <c r="D326" s="41" t="n">
        <f aca="false">(B326+C326)/2</f>
        <v>0.0859375</v>
      </c>
      <c r="E326" s="15" t="n">
        <f aca="false">$C$2*(1+IF(E$3&lt;=$O$2,$D326,$D326-($D326-$I$319)*MIN(E$3-$O$2,$Q$2)/$Q$2))</f>
        <v>7340.9375</v>
      </c>
      <c r="F326" s="15" t="n">
        <f aca="false">E326*(1+IF(F$3&lt;=$O$2,$D326,$D326-($D326-$I$319)*MIN(F$3-$O$2,$Q$2)/$Q$2))</f>
        <v>7971.79931640625</v>
      </c>
      <c r="G326" s="15" t="n">
        <f aca="false">F326*(1+IF(G$3&lt;=$O$2,$D326,$D326-($D326-$I$319)*MIN(G$3-$O$2,$Q$2)/$Q$2))</f>
        <v>8656.87582015991</v>
      </c>
      <c r="H326" s="15" t="n">
        <f aca="false">G326*(1+IF(H$3&lt;=$O$2,$D326,$D326-($D326-$I$319)*MIN(H$3-$O$2,$Q$2)/$Q$2))</f>
        <v>9400.82608595491</v>
      </c>
      <c r="I326" s="15" t="n">
        <f aca="false">H326*(1+IF(I$3&lt;=$O$2,$D326,$D326-($D326-$I$319)*MIN(I$3-$O$2,$Q$2)/$Q$2))</f>
        <v>10208.7095777167</v>
      </c>
      <c r="J326" s="15" t="n">
        <f aca="false">I326*(1+IF(J$3&lt;=$O$2,$D326,$D326-($D326-$I$319)*MIN(J$3-$O$2,$Q$2)/$Q$2))</f>
        <v>10947.9222382391</v>
      </c>
      <c r="K326" s="15" t="n">
        <f aca="false">J326*(1+IF(K$3&lt;=$O$2,$D326,$D326-($D326-$I$319)*MIN(K$3-$O$2,$Q$2)/$Q$2))</f>
        <v>11592.5632694322</v>
      </c>
      <c r="L326" s="15" t="n">
        <f aca="false">K326*(1+IF(L$3&lt;=$O$2,$D326,$D326-($D326-$I$319)*MIN(L$3-$O$2,$Q$2)/$Q$2))</f>
        <v>12118.3439765173</v>
      </c>
      <c r="M326" s="15" t="n">
        <f aca="false">L326*(1+IF(M$3&lt;=$O$2,$D326,$D326-($D326-$I$319)*MIN(M$3-$O$2,$Q$2)/$Q$2))</f>
        <v>12504.0405694299</v>
      </c>
      <c r="N326" s="15" t="n">
        <f aca="false">M326*(1+IF(N$3&lt;=$O$2,$D326,$D326-($D326-$I$319)*MIN(N$3-$O$2,$Q$2)/$Q$2))</f>
        <v>12732.8645118505</v>
      </c>
      <c r="O326" s="15" t="n">
        <f aca="false">SUMPRODUCT(E326:N326,1/(1+$F$319)^$E$3:$N$3)*$E$2</f>
        <v>42095.3643032083</v>
      </c>
      <c r="P326" s="15" t="n">
        <f aca="false">N326*$E$2*(1+$I$319)/($F$319-$I$319)/(1+$F$319)^$N$3</f>
        <v>64796.1620841059</v>
      </c>
      <c r="Q326" s="15" t="n">
        <f aca="false">O326+P326</f>
        <v>106891.526387314</v>
      </c>
      <c r="R326" s="15" t="n">
        <f aca="false">Q326-$G$2+$I$2</f>
        <v>105301.526387314</v>
      </c>
      <c r="S326" s="42" t="n">
        <f aca="false">R326/$K$2</f>
        <v>292.845893507187</v>
      </c>
      <c r="T326" s="43" t="n">
        <f aca="false">S326-$M$2</f>
        <v>14.8270937964132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0.0625</v>
      </c>
      <c r="C327" s="25" t="n">
        <f aca="false">IF(T326&gt;0,D326,C326)</f>
        <v>0.0859375</v>
      </c>
      <c r="D327" s="41" t="n">
        <f aca="false">(B327+C327)/2</f>
        <v>0.07421875</v>
      </c>
      <c r="E327" s="15" t="n">
        <f aca="false">$C$2*(1+IF(E$3&lt;=$O$2,$D327,$D327-($D327-$I$319)*MIN(E$3-$O$2,$Q$2)/$Q$2))</f>
        <v>7261.71875</v>
      </c>
      <c r="F327" s="15" t="n">
        <f aca="false">E327*(1+IF(F$3&lt;=$O$2,$D327,$D327-($D327-$I$319)*MIN(F$3-$O$2,$Q$2)/$Q$2))</f>
        <v>7800.67443847656</v>
      </c>
      <c r="G327" s="15" t="n">
        <f aca="false">F327*(1+IF(G$3&lt;=$O$2,$D327,$D327-($D327-$I$319)*MIN(G$3-$O$2,$Q$2)/$Q$2))</f>
        <v>8379.63074445725</v>
      </c>
      <c r="H327" s="15" t="n">
        <f aca="false">G327*(1+IF(H$3&lt;=$O$2,$D327,$D327-($D327-$I$319)*MIN(H$3-$O$2,$Q$2)/$Q$2))</f>
        <v>9001.55646377243</v>
      </c>
      <c r="I327" s="15" t="n">
        <f aca="false">H327*(1+IF(I$3&lt;=$O$2,$D327,$D327-($D327-$I$319)*MIN(I$3-$O$2,$Q$2)/$Q$2))</f>
        <v>9669.64073256804</v>
      </c>
      <c r="J327" s="15" t="n">
        <f aca="false">I327*(1+IF(J$3&lt;=$O$2,$D327,$D327-($D327-$I$319)*MIN(J$3-$O$2,$Q$2)/$Q$2))</f>
        <v>10279.1665361455</v>
      </c>
      <c r="K327" s="15" t="n">
        <f aca="false">J327*(1+IF(K$3&lt;=$O$2,$D327,$D327-($D327-$I$319)*MIN(K$3-$O$2,$Q$2)/$Q$2))</f>
        <v>10812.1541700028</v>
      </c>
      <c r="L327" s="15" t="n">
        <f aca="false">K327*(1+IF(L$3&lt;=$O$2,$D327,$D327-($D327-$I$319)*MIN(L$3-$O$2,$Q$2)/$Q$2))</f>
        <v>11251.8574497114</v>
      </c>
      <c r="M327" s="15" t="n">
        <f aca="false">L327*(1+IF(M$3&lt;=$O$2,$D327,$D327-($D327-$I$319)*MIN(M$3-$O$2,$Q$2)/$Q$2))</f>
        <v>11583.6044017943</v>
      </c>
      <c r="N327" s="15" t="n">
        <f aca="false">M327*(1+IF(N$3&lt;=$O$2,$D327,$D327-($D327-$I$319)*MIN(N$3-$O$2,$Q$2)/$Q$2))</f>
        <v>11795.5843623471</v>
      </c>
      <c r="O327" s="15" t="n">
        <f aca="false">SUMPRODUCT(E327:N327,1/(1+$F$319)^$E$3:$N$3)*$E$2</f>
        <v>39982.2281152199</v>
      </c>
      <c r="P327" s="15" t="n">
        <f aca="false">N327*$E$2*(1+$I$319)/($F$319-$I$319)/(1+$F$319)^$N$3</f>
        <v>60026.4453853291</v>
      </c>
      <c r="Q327" s="15" t="n">
        <f aca="false">O327+P327</f>
        <v>100008.673500549</v>
      </c>
      <c r="R327" s="15" t="n">
        <f aca="false">Q327-$G$2+$I$2</f>
        <v>98418.673500549</v>
      </c>
      <c r="S327" s="42" t="n">
        <f aca="false">R327/$K$2</f>
        <v>273.704526115326</v>
      </c>
      <c r="T327" s="43" t="n">
        <f aca="false">S327-$M$2</f>
        <v>-4.31427359544745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0.07421875</v>
      </c>
      <c r="C328" s="25" t="n">
        <f aca="false">IF(T327&gt;0,D327,C327)</f>
        <v>0.0859375</v>
      </c>
      <c r="D328" s="41" t="n">
        <f aca="false">(B328+C328)/2</f>
        <v>0.080078125</v>
      </c>
      <c r="E328" s="15" t="n">
        <f aca="false">$C$2*(1+IF(E$3&lt;=$O$2,$D328,$D328-($D328-$I$319)*MIN(E$3-$O$2,$Q$2)/$Q$2))</f>
        <v>7301.328125</v>
      </c>
      <c r="F328" s="15" t="n">
        <f aca="false">E328*(1+IF(F$3&lt;=$O$2,$D328,$D328-($D328-$I$319)*MIN(F$3-$O$2,$Q$2)/$Q$2))</f>
        <v>7886.00479125977</v>
      </c>
      <c r="G328" s="15" t="n">
        <f aca="false">F328*(1+IF(G$3&lt;=$O$2,$D328,$D328-($D328-$I$319)*MIN(G$3-$O$2,$Q$2)/$Q$2))</f>
        <v>8517.50126868486</v>
      </c>
      <c r="H328" s="15" t="n">
        <f aca="false">G328*(1+IF(H$3&lt;=$O$2,$D328,$D328-($D328-$I$319)*MIN(H$3-$O$2,$Q$2)/$Q$2))</f>
        <v>9199.56679996627</v>
      </c>
      <c r="I328" s="15" t="n">
        <f aca="false">H328*(1+IF(I$3&lt;=$O$2,$D328,$D328-($D328-$I$319)*MIN(I$3-$O$2,$Q$2)/$Q$2))</f>
        <v>9936.25086011982</v>
      </c>
      <c r="J328" s="15" t="n">
        <f aca="false">I328*(1+IF(J$3&lt;=$O$2,$D328,$D328-($D328-$I$319)*MIN(J$3-$O$2,$Q$2)/$Q$2))</f>
        <v>10609.1586089943</v>
      </c>
      <c r="K328" s="15" t="n">
        <f aca="false">J328*(1+IF(K$3&lt;=$O$2,$D328,$D328-($D328-$I$319)*MIN(K$3-$O$2,$Q$2)/$Q$2))</f>
        <v>11196.5545675536</v>
      </c>
      <c r="L328" s="15" t="n">
        <f aca="false">K328*(1+IF(L$3&lt;=$O$2,$D328,$D328-($D328-$I$319)*MIN(L$3-$O$2,$Q$2)/$Q$2))</f>
        <v>11678.1323751973</v>
      </c>
      <c r="M328" s="15" t="n">
        <f aca="false">L328*(1+IF(M$3&lt;=$O$2,$D328,$D328-($D328-$I$319)*MIN(M$3-$O$2,$Q$2)/$Q$2))</f>
        <v>12036.1328219917</v>
      </c>
      <c r="N328" s="15" t="n">
        <f aca="false">M328*(1+IF(N$3&lt;=$O$2,$D328,$D328-($D328-$I$319)*MIN(N$3-$O$2,$Q$2)/$Q$2))</f>
        <v>12256.3940526342</v>
      </c>
      <c r="O328" s="15" t="n">
        <f aca="false">SUMPRODUCT(E328:N328,1/(1+$F$319)^$E$3:$N$3)*$E$2</f>
        <v>41025.2500040904</v>
      </c>
      <c r="P328" s="15" t="n">
        <f aca="false">N328*$E$2*(1+$I$319)/($F$319-$I$319)/(1+$F$319)^$N$3</f>
        <v>62371.4557601727</v>
      </c>
      <c r="Q328" s="15" t="n">
        <f aca="false">O328+P328</f>
        <v>103396.705764263</v>
      </c>
      <c r="R328" s="15" t="n">
        <f aca="false">Q328-$G$2+$I$2</f>
        <v>101806.705764263</v>
      </c>
      <c r="S328" s="42" t="n">
        <f aca="false">R328/$K$2</f>
        <v>283.126719406705</v>
      </c>
      <c r="T328" s="43" t="n">
        <f aca="false">S328-$M$2</f>
        <v>5.10791969593174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0.07421875</v>
      </c>
      <c r="C329" s="25" t="n">
        <f aca="false">IF(T328&gt;0,D328,C328)</f>
        <v>0.080078125</v>
      </c>
      <c r="D329" s="41" t="n">
        <f aca="false">(B329+C329)/2</f>
        <v>0.0771484375</v>
      </c>
      <c r="E329" s="15" t="n">
        <f aca="false">$C$2*(1+IF(E$3&lt;=$O$2,$D329,$D329-($D329-$I$319)*MIN(E$3-$O$2,$Q$2)/$Q$2))</f>
        <v>7281.5234375</v>
      </c>
      <c r="F329" s="15" t="n">
        <f aca="false">E329*(1+IF(F$3&lt;=$O$2,$D329,$D329-($D329-$I$319)*MIN(F$3-$O$2,$Q$2)/$Q$2))</f>
        <v>7843.28159332275</v>
      </c>
      <c r="G329" s="15" t="n">
        <f aca="false">F329*(1+IF(G$3&lt;=$O$2,$D329,$D329-($D329-$I$319)*MIN(G$3-$O$2,$Q$2)/$Q$2))</f>
        <v>8448.37851312012</v>
      </c>
      <c r="H329" s="15" t="n">
        <f aca="false">G329*(1+IF(H$3&lt;=$O$2,$D329,$D329-($D329-$I$319)*MIN(H$3-$O$2,$Q$2)/$Q$2))</f>
        <v>9100.15771481591</v>
      </c>
      <c r="I329" s="15" t="n">
        <f aca="false">H329*(1+IF(I$3&lt;=$O$2,$D329,$D329-($D329-$I$319)*MIN(I$3-$O$2,$Q$2)/$Q$2))</f>
        <v>9802.22066351752</v>
      </c>
      <c r="J329" s="15" t="n">
        <f aca="false">I329*(1+IF(J$3&lt;=$O$2,$D329,$D329-($D329-$I$319)*MIN(J$3-$O$2,$Q$2)/$Q$2))</f>
        <v>10443.0775977225</v>
      </c>
      <c r="K329" s="15" t="n">
        <f aca="false">J329*(1+IF(K$3&lt;=$O$2,$D329,$D329-($D329-$I$319)*MIN(K$3-$O$2,$Q$2)/$Q$2))</f>
        <v>11002.9211973511</v>
      </c>
      <c r="L329" s="15" t="n">
        <f aca="false">K329*(1+IF(L$3&lt;=$O$2,$D329,$D329-($D329-$I$319)*MIN(L$3-$O$2,$Q$2)/$Q$2))</f>
        <v>11463.2765434225</v>
      </c>
      <c r="M329" s="15" t="n">
        <f aca="false">L329*(1+IF(M$3&lt;=$O$2,$D329,$D329-($D329-$I$319)*MIN(M$3-$O$2,$Q$2)/$Q$2))</f>
        <v>11807.9736868093</v>
      </c>
      <c r="N329" s="15" t="n">
        <f aca="false">M329*(1+IF(N$3&lt;=$O$2,$D329,$D329-($D329-$I$319)*MIN(N$3-$O$2,$Q$2)/$Q$2))</f>
        <v>12024.059605278</v>
      </c>
      <c r="O329" s="15" t="n">
        <f aca="false">SUMPRODUCT(E329:N329,1/(1+$F$319)^$E$3:$N$3)*$E$2</f>
        <v>40500.392652164</v>
      </c>
      <c r="P329" s="15" t="n">
        <f aca="false">N329*$E$2*(1+$I$319)/($F$319-$I$319)/(1+$F$319)^$N$3</f>
        <v>61189.1310370434</v>
      </c>
      <c r="Q329" s="15" t="n">
        <f aca="false">O329+P329</f>
        <v>101689.523689207</v>
      </c>
      <c r="R329" s="15" t="n">
        <f aca="false">Q329-$G$2+$I$2</f>
        <v>100099.523689207</v>
      </c>
      <c r="S329" s="42" t="n">
        <f aca="false">R329/$K$2</f>
        <v>278.37900797933</v>
      </c>
      <c r="T329" s="43" t="n">
        <f aca="false">S329-$M$2</f>
        <v>0.360208268556164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0.07421875</v>
      </c>
      <c r="C330" s="25" t="n">
        <f aca="false">IF(T329&gt;0,D329,C329)</f>
        <v>0.0771484375</v>
      </c>
      <c r="D330" s="41" t="n">
        <f aca="false">(B330+C330)/2</f>
        <v>0.07568359375</v>
      </c>
      <c r="E330" s="15" t="n">
        <f aca="false">$C$2*(1+IF(E$3&lt;=$O$2,$D330,$D330-($D330-$I$319)*MIN(E$3-$O$2,$Q$2)/$Q$2))</f>
        <v>7271.62109375</v>
      </c>
      <c r="F330" s="15" t="n">
        <f aca="false">E330*(1+IF(F$3&lt;=$O$2,$D330,$D330-($D330-$I$319)*MIN(F$3-$O$2,$Q$2)/$Q$2))</f>
        <v>7821.96351051331</v>
      </c>
      <c r="G330" s="15" t="n">
        <f aca="false">F330*(1+IF(G$3&lt;=$O$2,$D330,$D330-($D330-$I$319)*MIN(G$3-$O$2,$Q$2)/$Q$2))</f>
        <v>8413.95781917032</v>
      </c>
      <c r="H330" s="15" t="n">
        <f aca="false">G330*(1+IF(H$3&lt;=$O$2,$D330,$D330-($D330-$I$319)*MIN(H$3-$O$2,$Q$2)/$Q$2))</f>
        <v>9050.75638458604</v>
      </c>
      <c r="I330" s="15" t="n">
        <f aca="false">H330*(1+IF(I$3&lt;=$O$2,$D330,$D330-($D330-$I$319)*MIN(I$3-$O$2,$Q$2)/$Q$2))</f>
        <v>9735.75015392727</v>
      </c>
      <c r="J330" s="15" t="n">
        <f aca="false">I330*(1+IF(J$3&lt;=$O$2,$D330,$D330-($D330-$I$319)*MIN(J$3-$O$2,$Q$2)/$Q$2))</f>
        <v>10360.8522470917</v>
      </c>
      <c r="K330" s="15" t="n">
        <f aca="false">J330*(1+IF(K$3&lt;=$O$2,$D330,$D330-($D330-$I$319)*MIN(K$3-$O$2,$Q$2)/$Q$2))</f>
        <v>10907.181604964</v>
      </c>
      <c r="L330" s="15" t="n">
        <f aca="false">K330*(1+IF(L$3&lt;=$O$2,$D330,$D330-($D330-$I$319)*MIN(L$3-$O$2,$Q$2)/$Q$2))</f>
        <v>11357.1403396055</v>
      </c>
      <c r="M330" s="15" t="n">
        <f aca="false">L330*(1+IF(M$3&lt;=$O$2,$D330,$D330-($D330-$I$319)*MIN(M$3-$O$2,$Q$2)/$Q$2))</f>
        <v>11695.3187133023</v>
      </c>
      <c r="N330" s="15" t="n">
        <f aca="false">M330*(1+IF(N$3&lt;=$O$2,$D330,$D330-($D330-$I$319)*MIN(N$3-$O$2,$Q$2)/$Q$2))</f>
        <v>11909.3430457557</v>
      </c>
      <c r="O330" s="15" t="n">
        <f aca="false">SUMPRODUCT(E330:N330,1/(1+$F$319)^$E$3:$N$3)*$E$2</f>
        <v>40240.4787546383</v>
      </c>
      <c r="P330" s="15" t="n">
        <f aca="false">N330*$E$2*(1+$I$319)/($F$319-$I$319)/(1+$F$319)^$N$3</f>
        <v>60605.3509475265</v>
      </c>
      <c r="Q330" s="15" t="n">
        <f aca="false">O330+P330</f>
        <v>100845.829702165</v>
      </c>
      <c r="R330" s="15" t="n">
        <f aca="false">Q330-$G$2+$I$2</f>
        <v>99255.8297021648</v>
      </c>
      <c r="S330" s="42" t="n">
        <f aca="false">R330/$K$2</f>
        <v>276.032676183783</v>
      </c>
      <c r="T330" s="43" t="n">
        <f aca="false">S330-$M$2</f>
        <v>-1.98612352699035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0.07568359375</v>
      </c>
      <c r="C331" s="25" t="n">
        <f aca="false">IF(T330&gt;0,D330,C330)</f>
        <v>0.0771484375</v>
      </c>
      <c r="D331" s="41" t="n">
        <f aca="false">(B331+C331)/2</f>
        <v>0.076416015625</v>
      </c>
      <c r="E331" s="15" t="n">
        <f aca="false">$C$2*(1+IF(E$3&lt;=$O$2,$D331,$D331-($D331-$I$319)*MIN(E$3-$O$2,$Q$2)/$Q$2))</f>
        <v>7276.572265625</v>
      </c>
      <c r="F331" s="15" t="n">
        <f aca="false">E331*(1+IF(F$3&lt;=$O$2,$D331,$D331-($D331-$I$319)*MIN(F$3-$O$2,$Q$2)/$Q$2))</f>
        <v>7832.61892557144</v>
      </c>
      <c r="G331" s="15" t="n">
        <f aca="false">F331*(1+IF(G$3&lt;=$O$2,$D331,$D331-($D331-$I$319)*MIN(G$3-$O$2,$Q$2)/$Q$2))</f>
        <v>8431.15645577258</v>
      </c>
      <c r="H331" s="15" t="n">
        <f aca="false">G331*(1+IF(H$3&lt;=$O$2,$D331,$D331-($D331-$I$319)*MIN(H$3-$O$2,$Q$2)/$Q$2))</f>
        <v>9075.43183923372</v>
      </c>
      <c r="I331" s="15" t="n">
        <f aca="false">H331*(1+IF(I$3&lt;=$O$2,$D331,$D331-($D331-$I$319)*MIN(I$3-$O$2,$Q$2)/$Q$2))</f>
        <v>9768.94018046422</v>
      </c>
      <c r="J331" s="15" t="n">
        <f aca="false">I331*(1+IF(J$3&lt;=$O$2,$D331,$D331-($D331-$I$319)*MIN(J$3-$O$2,$Q$2)/$Q$2))</f>
        <v>10401.8972899008</v>
      </c>
      <c r="K331" s="15" t="n">
        <f aca="false">J331*(1+IF(K$3&lt;=$O$2,$D331,$D331-($D331-$I$319)*MIN(K$3-$O$2,$Q$2)/$Q$2))</f>
        <v>10954.9621055637</v>
      </c>
      <c r="L331" s="15" t="n">
        <f aca="false">K331*(1+IF(L$3&lt;=$O$2,$D331,$D331-($D331-$I$319)*MIN(L$3-$O$2,$Q$2)/$Q$2))</f>
        <v>11410.1014116548</v>
      </c>
      <c r="M331" s="15" t="n">
        <f aca="false">L331*(1+IF(M$3&lt;=$O$2,$D331,$D331-($D331-$I$319)*MIN(M$3-$O$2,$Q$2)/$Q$2))</f>
        <v>11751.5281938725</v>
      </c>
      <c r="N331" s="15" t="n">
        <f aca="false">M331*(1+IF(N$3&lt;=$O$2,$D331,$D331-($D331-$I$319)*MIN(N$3-$O$2,$Q$2)/$Q$2))</f>
        <v>11966.5811598204</v>
      </c>
      <c r="O331" s="15" t="n">
        <f aca="false">SUMPRODUCT(E331:N331,1/(1+$F$319)^$E$3:$N$3)*$E$2</f>
        <v>40370.22717654</v>
      </c>
      <c r="P331" s="15" t="n">
        <f aca="false">N331*$E$2*(1+$I$319)/($F$319-$I$319)/(1+$F$319)^$N$3</f>
        <v>60896.6294821308</v>
      </c>
      <c r="Q331" s="15" t="n">
        <f aca="false">O331+P331</f>
        <v>101266.856658671</v>
      </c>
      <c r="R331" s="15" t="n">
        <f aca="false">Q331-$G$2+$I$2</f>
        <v>99676.8566586708</v>
      </c>
      <c r="S331" s="42" t="n">
        <f aca="false">R331/$K$2</f>
        <v>277.203561540327</v>
      </c>
      <c r="T331" s="43" t="n">
        <f aca="false">S331-$M$2</f>
        <v>-0.815238170446662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0.076416015625</v>
      </c>
      <c r="C332" s="25" t="n">
        <f aca="false">IF(T331&gt;0,D331,C331)</f>
        <v>0.0771484375</v>
      </c>
      <c r="D332" s="41" t="n">
        <f aca="false">(B332+C332)/2</f>
        <v>0.0767822265625</v>
      </c>
      <c r="E332" s="15" t="n">
        <f aca="false">$C$2*(1+IF(E$3&lt;=$O$2,$D332,$D332-($D332-$I$319)*MIN(E$3-$O$2,$Q$2)/$Q$2))</f>
        <v>7279.0478515625</v>
      </c>
      <c r="F332" s="15" t="n">
        <f aca="false">E332*(1+IF(F$3&lt;=$O$2,$D332,$D332-($D332-$I$319)*MIN(F$3-$O$2,$Q$2)/$Q$2))</f>
        <v>7837.94935286045</v>
      </c>
      <c r="G332" s="15" t="n">
        <f aca="false">F332*(1+IF(G$3&lt;=$O$2,$D332,$D332-($D332-$I$319)*MIN(G$3-$O$2,$Q$2)/$Q$2))</f>
        <v>8439.76455585718</v>
      </c>
      <c r="H332" s="15" t="n">
        <f aca="false">G332*(1+IF(H$3&lt;=$O$2,$D332,$D332-($D332-$I$319)*MIN(H$3-$O$2,$Q$2)/$Q$2))</f>
        <v>9087.78847011917</v>
      </c>
      <c r="I332" s="15" t="n">
        <f aca="false">H332*(1+IF(I$3&lt;=$O$2,$D332,$D332-($D332-$I$319)*MIN(I$3-$O$2,$Q$2)/$Q$2))</f>
        <v>9785.56910338393</v>
      </c>
      <c r="J332" s="15" t="n">
        <f aca="false">I332*(1+IF(J$3&lt;=$O$2,$D332,$D332-($D332-$I$319)*MIN(J$3-$O$2,$Q$2)/$Q$2))</f>
        <v>10422.4705134535</v>
      </c>
      <c r="K332" s="15" t="n">
        <f aca="false">J332*(1+IF(K$3&lt;=$O$2,$D332,$D332-($D332-$I$319)*MIN(K$3-$O$2,$Q$2)/$Q$2))</f>
        <v>10978.919292995</v>
      </c>
      <c r="L332" s="15" t="n">
        <f aca="false">K332*(1+IF(L$3&lt;=$O$2,$D332,$D332-($D332-$I$319)*MIN(L$3-$O$2,$Q$2)/$Q$2))</f>
        <v>11436.6621742585</v>
      </c>
      <c r="M332" s="15" t="n">
        <f aca="false">L332*(1+IF(M$3&lt;=$O$2,$D332,$D332-($D332-$I$319)*MIN(M$3-$O$2,$Q$2)/$Q$2))</f>
        <v>11779.7213857262</v>
      </c>
      <c r="N332" s="15" t="n">
        <f aca="false">M332*(1+IF(N$3&lt;=$O$2,$D332,$D332-($D332-$I$319)*MIN(N$3-$O$2,$Q$2)/$Q$2))</f>
        <v>11995.290287085</v>
      </c>
      <c r="O332" s="15" t="n">
        <f aca="false">SUMPRODUCT(E332:N332,1/(1+$F$319)^$E$3:$N$3)*$E$2</f>
        <v>40435.2577050119</v>
      </c>
      <c r="P332" s="15" t="n">
        <f aca="false">N332*$E$2*(1+$I$319)/($F$319-$I$319)/(1+$F$319)^$N$3</f>
        <v>61042.7271070445</v>
      </c>
      <c r="Q332" s="15" t="n">
        <f aca="false">O332+P332</f>
        <v>101477.984812056</v>
      </c>
      <c r="R332" s="15" t="n">
        <f aca="false">Q332-$G$2+$I$2</f>
        <v>99887.9848120564</v>
      </c>
      <c r="S332" s="42" t="n">
        <f aca="false">R332/$K$2</f>
        <v>277.790713643852</v>
      </c>
      <c r="T332" s="43" t="n">
        <f aca="false">S332-$M$2</f>
        <v>-0.228086066921321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0.0767822265625</v>
      </c>
      <c r="C333" s="25" t="n">
        <f aca="false">IF(T332&gt;0,D332,C332)</f>
        <v>0.0771484375</v>
      </c>
      <c r="D333" s="41" t="n">
        <f aca="false">(B333+C333)/2</f>
        <v>0.07696533203125</v>
      </c>
      <c r="E333" s="15" t="n">
        <f aca="false">$C$2*(1+IF(E$3&lt;=$O$2,$D333,$D333-($D333-$I$319)*MIN(E$3-$O$2,$Q$2)/$Q$2))</f>
        <v>7280.28564453125</v>
      </c>
      <c r="F333" s="15" t="n">
        <f aca="false">E333*(1+IF(F$3&lt;=$O$2,$D333,$D333-($D333-$I$319)*MIN(F$3-$O$2,$Q$2)/$Q$2))</f>
        <v>7840.61524644494</v>
      </c>
      <c r="G333" s="15" t="n">
        <f aca="false">F333*(1+IF(G$3&lt;=$O$2,$D333,$D333-($D333-$I$319)*MIN(G$3-$O$2,$Q$2)/$Q$2))</f>
        <v>8444.07080221686</v>
      </c>
      <c r="H333" s="15" t="n">
        <f aca="false">G333*(1+IF(H$3&lt;=$O$2,$D333,$D333-($D333-$I$319)*MIN(H$3-$O$2,$Q$2)/$Q$2))</f>
        <v>9093.97151520486</v>
      </c>
      <c r="I333" s="15" t="n">
        <f aca="false">H333*(1+IF(I$3&lt;=$O$2,$D333,$D333-($D333-$I$319)*MIN(I$3-$O$2,$Q$2)/$Q$2))</f>
        <v>9793.89205235533</v>
      </c>
      <c r="J333" s="15" t="n">
        <f aca="false">I333*(1+IF(J$3&lt;=$O$2,$D333,$D333-($D333-$I$319)*MIN(J$3-$O$2,$Q$2)/$Q$2))</f>
        <v>10432.7698202172</v>
      </c>
      <c r="K333" s="15" t="n">
        <f aca="false">J333*(1+IF(K$3&lt;=$O$2,$D333,$D333-($D333-$I$319)*MIN(K$3-$O$2,$Q$2)/$Q$2))</f>
        <v>10990.9146512323</v>
      </c>
      <c r="L333" s="15" t="n">
        <f aca="false">K333*(1+IF(L$3&lt;=$O$2,$D333,$D333-($D333-$I$319)*MIN(L$3-$O$2,$Q$2)/$Q$2))</f>
        <v>11449.9626522865</v>
      </c>
      <c r="M333" s="15" t="n">
        <f aca="false">L333*(1+IF(M$3&lt;=$O$2,$D333,$D333-($D333-$I$319)*MIN(M$3-$O$2,$Q$2)/$Q$2))</f>
        <v>11793.8401409717</v>
      </c>
      <c r="N333" s="15" t="n">
        <f aca="false">M333*(1+IF(N$3&lt;=$O$2,$D333,$D333-($D333-$I$319)*MIN(N$3-$O$2,$Q$2)/$Q$2))</f>
        <v>12009.6674155515</v>
      </c>
      <c r="O333" s="15" t="n">
        <f aca="false">SUMPRODUCT(E333:N333,1/(1+$F$319)^$E$3:$N$3)*$E$2</f>
        <v>40467.8121165389</v>
      </c>
      <c r="P333" s="15" t="n">
        <f aca="false">N333*$E$2*(1+$I$319)/($F$319-$I$319)/(1+$F$319)^$N$3</f>
        <v>61115.8907494875</v>
      </c>
      <c r="Q333" s="15" t="n">
        <f aca="false">O333+P333</f>
        <v>101583.702866026</v>
      </c>
      <c r="R333" s="15" t="n">
        <f aca="false">Q333-$G$2+$I$2</f>
        <v>99993.7028660264</v>
      </c>
      <c r="S333" s="42" t="n">
        <f aca="false">R333/$K$2</f>
        <v>278.084717909857</v>
      </c>
      <c r="T333" s="43" t="n">
        <f aca="false">S333-$M$2</f>
        <v>0.0659181990832849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0.0767822265625</v>
      </c>
      <c r="C334" s="25" t="n">
        <f aca="false">IF(T333&gt;0,D333,C333)</f>
        <v>0.07696533203125</v>
      </c>
      <c r="D334" s="41" t="n">
        <f aca="false">(B334+C334)/2</f>
        <v>0.076873779296875</v>
      </c>
      <c r="E334" s="15" t="n">
        <f aca="false">$C$2*(1+IF(E$3&lt;=$O$2,$D334,$D334-($D334-$I$319)*MIN(E$3-$O$2,$Q$2)/$Q$2))</f>
        <v>7279.66674804688</v>
      </c>
      <c r="F334" s="15" t="n">
        <f aca="false">E334*(1+IF(F$3&lt;=$O$2,$D334,$D334-($D334-$I$319)*MIN(F$3-$O$2,$Q$2)/$Q$2))</f>
        <v>7839.28224299103</v>
      </c>
      <c r="G334" s="15" t="n">
        <f aca="false">F334*(1+IF(G$3&lt;=$O$2,$D334,$D334-($D334-$I$319)*MIN(G$3-$O$2,$Q$2)/$Q$2))</f>
        <v>8441.91749598463</v>
      </c>
      <c r="H334" s="15" t="n">
        <f aca="false">G334*(1+IF(H$3&lt;=$O$2,$D334,$D334-($D334-$I$319)*MIN(H$3-$O$2,$Q$2)/$Q$2))</f>
        <v>9090.87959841338</v>
      </c>
      <c r="I334" s="15" t="n">
        <f aca="false">H334*(1+IF(I$3&lt;=$O$2,$D334,$D334-($D334-$I$319)*MIN(I$3-$O$2,$Q$2)/$Q$2))</f>
        <v>9789.72987027628</v>
      </c>
      <c r="J334" s="15" t="n">
        <f aca="false">I334*(1+IF(J$3&lt;=$O$2,$D334,$D334-($D334-$I$319)*MIN(J$3-$O$2,$Q$2)/$Q$2))</f>
        <v>10427.6191083404</v>
      </c>
      <c r="K334" s="15" t="n">
        <f aca="false">J334*(1+IF(K$3&lt;=$O$2,$D334,$D334-($D334-$I$319)*MIN(K$3-$O$2,$Q$2)/$Q$2))</f>
        <v>10984.9155741693</v>
      </c>
      <c r="L334" s="15" t="n">
        <f aca="false">K334*(1+IF(L$3&lt;=$O$2,$D334,$D334-($D334-$I$319)*MIN(L$3-$O$2,$Q$2)/$Q$2))</f>
        <v>11443.3107373511</v>
      </c>
      <c r="M334" s="15" t="n">
        <f aca="false">L334*(1+IF(M$3&lt;=$O$2,$D334,$D334-($D334-$I$319)*MIN(M$3-$O$2,$Q$2)/$Q$2))</f>
        <v>11786.7789153557</v>
      </c>
      <c r="N334" s="15" t="n">
        <f aca="false">M334*(1+IF(N$3&lt;=$O$2,$D334,$D334-($D334-$I$319)*MIN(N$3-$O$2,$Q$2)/$Q$2))</f>
        <v>12002.4769695067</v>
      </c>
      <c r="O334" s="15" t="n">
        <f aca="false">SUMPRODUCT(E334:N334,1/(1+$F$319)^$E$3:$N$3)*$E$2</f>
        <v>40451.5316464779</v>
      </c>
      <c r="P334" s="15" t="n">
        <f aca="false">N334*$E$2*(1+$I$319)/($F$319-$I$319)/(1+$F$319)^$N$3</f>
        <v>61079.2993519315</v>
      </c>
      <c r="Q334" s="15" t="n">
        <f aca="false">O334+P334</f>
        <v>101530.830998409</v>
      </c>
      <c r="R334" s="15" t="n">
        <f aca="false">Q334-$G$2+$I$2</f>
        <v>99940.8309984094</v>
      </c>
      <c r="S334" s="42" t="n">
        <f aca="false">R334/$K$2</f>
        <v>277.937680066771</v>
      </c>
      <c r="T334" s="43" t="n">
        <f aca="false">S334-$M$2</f>
        <v>-0.0811196440030813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0.076873779296875</v>
      </c>
      <c r="C335" s="25" t="n">
        <f aca="false">IF(T334&gt;0,D334,C334)</f>
        <v>0.07696533203125</v>
      </c>
      <c r="D335" s="41" t="n">
        <f aca="false">(B335+C335)/2</f>
        <v>0.0769195556640625</v>
      </c>
      <c r="E335" s="15" t="n">
        <f aca="false">$C$2*(1+IF(E$3&lt;=$O$2,$D335,$D335-($D335-$I$319)*MIN(E$3-$O$2,$Q$2)/$Q$2))</f>
        <v>7279.97619628906</v>
      </c>
      <c r="F335" s="15" t="n">
        <f aca="false">E335*(1+IF(F$3&lt;=$O$2,$D335,$D335-($D335-$I$319)*MIN(F$3-$O$2,$Q$2)/$Q$2))</f>
        <v>7839.94873055257</v>
      </c>
      <c r="G335" s="15" t="n">
        <f aca="false">F335*(1+IF(G$3&lt;=$O$2,$D335,$D335-($D335-$I$319)*MIN(G$3-$O$2,$Q$2)/$Q$2))</f>
        <v>8442.9941033357</v>
      </c>
      <c r="H335" s="15" t="n">
        <f aca="false">G335*(1+IF(H$3&lt;=$O$2,$D335,$D335-($D335-$I$319)*MIN(H$3-$O$2,$Q$2)/$Q$2))</f>
        <v>9092.42545823858</v>
      </c>
      <c r="I335" s="15" t="n">
        <f aca="false">H335*(1+IF(I$3&lt;=$O$2,$D335,$D335-($D335-$I$319)*MIN(I$3-$O$2,$Q$2)/$Q$2))</f>
        <v>9791.81078439491</v>
      </c>
      <c r="J335" s="15" t="n">
        <f aca="false">I335*(1+IF(J$3&lt;=$O$2,$D335,$D335-($D335-$I$319)*MIN(J$3-$O$2,$Q$2)/$Q$2))</f>
        <v>10430.1941996116</v>
      </c>
      <c r="K335" s="15" t="n">
        <f aca="false">J335*(1+IF(K$3&lt;=$O$2,$D335,$D335-($D335-$I$319)*MIN(K$3-$O$2,$Q$2)/$Q$2))</f>
        <v>10987.9147631471</v>
      </c>
      <c r="L335" s="15" t="n">
        <f aca="false">K335*(1+IF(L$3&lt;=$O$2,$D335,$D335-($D335-$I$319)*MIN(L$3-$O$2,$Q$2)/$Q$2))</f>
        <v>11446.6362757488</v>
      </c>
      <c r="M335" s="15" t="n">
        <f aca="false">L335*(1+IF(M$3&lt;=$O$2,$D335,$D335-($D335-$I$319)*MIN(M$3-$O$2,$Q$2)/$Q$2))</f>
        <v>11790.3090660615</v>
      </c>
      <c r="N335" s="15" t="n">
        <f aca="false">M335*(1+IF(N$3&lt;=$O$2,$D335,$D335-($D335-$I$319)*MIN(N$3-$O$2,$Q$2)/$Q$2))</f>
        <v>12006.0717219705</v>
      </c>
      <c r="O335" s="15" t="n">
        <f aca="false">SUMPRODUCT(E335:N335,1/(1+$F$319)^$E$3:$N$3)*$E$2</f>
        <v>40459.6710652822</v>
      </c>
      <c r="P335" s="15" t="n">
        <f aca="false">N335*$E$2*(1+$I$319)/($F$319-$I$319)/(1+$F$319)^$N$3</f>
        <v>61097.5926560879</v>
      </c>
      <c r="Q335" s="15" t="n">
        <f aca="false">O335+P335</f>
        <v>101557.26372137</v>
      </c>
      <c r="R335" s="15" t="n">
        <f aca="false">Q335-$G$2+$I$2</f>
        <v>99967.2637213701</v>
      </c>
      <c r="S335" s="42" t="n">
        <f aca="false">R335/$K$2</f>
        <v>278.011190058875</v>
      </c>
      <c r="T335" s="43" t="n">
        <f aca="false">S335-$M$2</f>
        <v>-0.00760965189920171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0.0769195556640625</v>
      </c>
      <c r="C336" s="25" t="n">
        <f aca="false">IF(T335&gt;0,D335,C335)</f>
        <v>0.07696533203125</v>
      </c>
      <c r="D336" s="41" t="n">
        <f aca="false">(B336+C336)/2</f>
        <v>0.0769424438476563</v>
      </c>
      <c r="E336" s="15" t="n">
        <f aca="false">$C$2*(1+IF(E$3&lt;=$O$2,$D336,$D336-($D336-$I$319)*MIN(E$3-$O$2,$Q$2)/$Q$2))</f>
        <v>7280.13092041016</v>
      </c>
      <c r="F336" s="15" t="n">
        <f aca="false">E336*(1+IF(F$3&lt;=$O$2,$D336,$D336-($D336-$I$319)*MIN(F$3-$O$2,$Q$2)/$Q$2))</f>
        <v>7840.2819849574</v>
      </c>
      <c r="G336" s="15" t="n">
        <f aca="false">F336*(1+IF(G$3&lt;=$O$2,$D336,$D336-($D336-$I$319)*MIN(G$3-$O$2,$Q$2)/$Q$2))</f>
        <v>8443.53244133478</v>
      </c>
      <c r="H336" s="15" t="n">
        <f aca="false">G336*(1+IF(H$3&lt;=$O$2,$D336,$D336-($D336-$I$319)*MIN(H$3-$O$2,$Q$2)/$Q$2))</f>
        <v>9093.19846207804</v>
      </c>
      <c r="I336" s="15" t="n">
        <f aca="false">H336*(1+IF(I$3&lt;=$O$2,$D336,$D336-($D336-$I$319)*MIN(I$3-$O$2,$Q$2)/$Q$2))</f>
        <v>9792.85137414208</v>
      </c>
      <c r="J336" s="15" t="n">
        <f aca="false">I336*(1+IF(J$3&lt;=$O$2,$D336,$D336-($D336-$I$319)*MIN(J$3-$O$2,$Q$2)/$Q$2))</f>
        <v>10431.4819437421</v>
      </c>
      <c r="K336" s="15" t="n">
        <f aca="false">J336*(1+IF(K$3&lt;=$O$2,$D336,$D336-($D336-$I$319)*MIN(K$3-$O$2,$Q$2)/$Q$2))</f>
        <v>10989.4146197929</v>
      </c>
      <c r="L336" s="15" t="n">
        <f aca="false">K336*(1+IF(L$3&lt;=$O$2,$D336,$D336-($D336-$I$319)*MIN(L$3-$O$2,$Q$2)/$Q$2))</f>
        <v>11448.299359239</v>
      </c>
      <c r="M336" s="15" t="n">
        <f aca="false">L336*(1+IF(M$3&lt;=$O$2,$D336,$D336-($D336-$I$319)*MIN(M$3-$O$2,$Q$2)/$Q$2))</f>
        <v>11792.0744879781</v>
      </c>
      <c r="N336" s="15" t="n">
        <f aca="false">M336*(1+IF(N$3&lt;=$O$2,$D336,$D336-($D336-$I$319)*MIN(N$3-$O$2,$Q$2)/$Q$2))</f>
        <v>12007.8694511081</v>
      </c>
      <c r="O336" s="15" t="n">
        <f aca="false">SUMPRODUCT(E336:N336,1/(1+$F$319)^$E$3:$N$3)*$E$2</f>
        <v>40463.741386835</v>
      </c>
      <c r="P336" s="15" t="n">
        <f aca="false">N336*$E$2*(1+$I$319)/($F$319-$I$319)/(1+$F$319)^$N$3</f>
        <v>61106.7411040651</v>
      </c>
      <c r="Q336" s="15" t="n">
        <f aca="false">O336+P336</f>
        <v>101570.4824909</v>
      </c>
      <c r="R336" s="15" t="n">
        <f aca="false">Q336-$G$2+$I$2</f>
        <v>99980.4824909001</v>
      </c>
      <c r="S336" s="42" t="n">
        <f aca="false">R336/$K$2</f>
        <v>278.047951751766</v>
      </c>
      <c r="T336" s="43" t="n">
        <f aca="false">S336-$M$2</f>
        <v>0.0291520409924146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0.0769195556640625</v>
      </c>
      <c r="C337" s="25" t="n">
        <f aca="false">IF(T336&gt;0,D336,C336)</f>
        <v>0.0769424438476563</v>
      </c>
      <c r="D337" s="41" t="n">
        <f aca="false">(B337+C337)/2</f>
        <v>0.0769309997558594</v>
      </c>
      <c r="E337" s="15" t="n">
        <f aca="false">$C$2*(1+IF(E$3&lt;=$O$2,$D337,$D337-($D337-$I$319)*MIN(E$3-$O$2,$Q$2)/$Q$2))</f>
        <v>7280.05355834961</v>
      </c>
      <c r="F337" s="15" t="n">
        <f aca="false">E337*(1+IF(F$3&lt;=$O$2,$D337,$D337-($D337-$I$319)*MIN(F$3-$O$2,$Q$2)/$Q$2))</f>
        <v>7840.11535686965</v>
      </c>
      <c r="G337" s="15" t="n">
        <f aca="false">F337*(1+IF(G$3&lt;=$O$2,$D337,$D337-($D337-$I$319)*MIN(G$3-$O$2,$Q$2)/$Q$2))</f>
        <v>8443.26326947489</v>
      </c>
      <c r="H337" s="15" t="n">
        <f aca="false">G337*(1+IF(H$3&lt;=$O$2,$D337,$D337-($D337-$I$319)*MIN(H$3-$O$2,$Q$2)/$Q$2))</f>
        <v>9092.81195399752</v>
      </c>
      <c r="I337" s="15" t="n">
        <f aca="false">H337*(1+IF(I$3&lt;=$O$2,$D337,$D337-($D337-$I$319)*MIN(I$3-$O$2,$Q$2)/$Q$2))</f>
        <v>9792.33106821058</v>
      </c>
      <c r="J337" s="15" t="n">
        <f aca="false">I337*(1+IF(J$3&lt;=$O$2,$D337,$D337-($D337-$I$319)*MIN(J$3-$O$2,$Q$2)/$Q$2))</f>
        <v>10430.8380551345</v>
      </c>
      <c r="K337" s="15" t="n">
        <f aca="false">J337*(1+IF(K$3&lt;=$O$2,$D337,$D337-($D337-$I$319)*MIN(K$3-$O$2,$Q$2)/$Q$2))</f>
        <v>10988.6646696218</v>
      </c>
      <c r="L337" s="15" t="n">
        <f aca="false">K337*(1+IF(L$3&lt;=$O$2,$D337,$D337-($D337-$I$319)*MIN(L$3-$O$2,$Q$2)/$Q$2))</f>
        <v>11447.4677913006</v>
      </c>
      <c r="M337" s="15" t="n">
        <f aca="false">L337*(1+IF(M$3&lt;=$O$2,$D337,$D337-($D337-$I$319)*MIN(M$3-$O$2,$Q$2)/$Q$2))</f>
        <v>11791.1917481368</v>
      </c>
      <c r="N337" s="15" t="n">
        <f aca="false">M337*(1+IF(N$3&lt;=$O$2,$D337,$D337-($D337-$I$319)*MIN(N$3-$O$2,$Q$2)/$Q$2))</f>
        <v>12006.9705571277</v>
      </c>
      <c r="O337" s="15" t="n">
        <f aca="false">SUMPRODUCT(E337:N337,1/(1+$F$319)^$E$3:$N$3)*$E$2</f>
        <v>40461.7061750421</v>
      </c>
      <c r="P337" s="15" t="n">
        <f aca="false">N337*$E$2*(1+$I$319)/($F$319-$I$319)/(1+$F$319)^$N$3</f>
        <v>61102.1667304042</v>
      </c>
      <c r="Q337" s="15" t="n">
        <f aca="false">O337+P337</f>
        <v>101563.872905446</v>
      </c>
      <c r="R337" s="15" t="n">
        <f aca="false">Q337-$G$2+$I$2</f>
        <v>99973.8729054463</v>
      </c>
      <c r="S337" s="42" t="n">
        <f aca="false">R337/$K$2</f>
        <v>278.0295703472</v>
      </c>
      <c r="T337" s="43" t="n">
        <f aca="false">S337-$M$2</f>
        <v>0.0107706364266846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0.0769195556640625</v>
      </c>
      <c r="C338" s="25" t="n">
        <f aca="false">IF(T337&gt;0,D337,C337)</f>
        <v>0.0769309997558594</v>
      </c>
      <c r="D338" s="41" t="n">
        <f aca="false">(B338+C338)/2</f>
        <v>0.0769252777099609</v>
      </c>
      <c r="E338" s="15" t="n">
        <f aca="false">$C$2*(1+IF(E$3&lt;=$O$2,$D338,$D338-($D338-$I$319)*MIN(E$3-$O$2,$Q$2)/$Q$2))</f>
        <v>7280.01487731934</v>
      </c>
      <c r="F338" s="15" t="n">
        <f aca="false">E338*(1+IF(F$3&lt;=$O$2,$D338,$D338-($D338-$I$319)*MIN(F$3-$O$2,$Q$2)/$Q$2))</f>
        <v>7840.03204348977</v>
      </c>
      <c r="G338" s="15" t="n">
        <f aca="false">F338*(1+IF(G$3&lt;=$O$2,$D338,$D338-($D338-$I$319)*MIN(G$3-$O$2,$Q$2)/$Q$2))</f>
        <v>8443.12868569022</v>
      </c>
      <c r="H338" s="15" t="n">
        <f aca="false">G338*(1+IF(H$3&lt;=$O$2,$D338,$D338-($D338-$I$319)*MIN(H$3-$O$2,$Q$2)/$Q$2))</f>
        <v>9092.61870457788</v>
      </c>
      <c r="I338" s="15" t="n">
        <f aca="false">H338*(1+IF(I$3&lt;=$O$2,$D338,$D338-($D338-$I$319)*MIN(I$3-$O$2,$Q$2)/$Q$2))</f>
        <v>9792.07092353831</v>
      </c>
      <c r="J338" s="15" t="n">
        <f aca="false">I338*(1+IF(J$3&lt;=$O$2,$D338,$D338-($D338-$I$319)*MIN(J$3-$O$2,$Q$2)/$Q$2))</f>
        <v>10430.5161232375</v>
      </c>
      <c r="K338" s="15" t="n">
        <f aca="false">J338*(1+IF(K$3&lt;=$O$2,$D338,$D338-($D338-$I$319)*MIN(K$3-$O$2,$Q$2)/$Q$2))</f>
        <v>10988.2897109226</v>
      </c>
      <c r="L338" s="15" t="n">
        <f aca="false">K338*(1+IF(L$3&lt;=$O$2,$D338,$D338-($D338-$I$319)*MIN(L$3-$O$2,$Q$2)/$Q$2))</f>
        <v>11447.0520269766</v>
      </c>
      <c r="M338" s="15" t="n">
        <f aca="false">L338*(1+IF(M$3&lt;=$O$2,$D338,$D338-($D338-$I$319)*MIN(M$3-$O$2,$Q$2)/$Q$2))</f>
        <v>11790.7503998786</v>
      </c>
      <c r="N338" s="15" t="n">
        <f aca="false">M338*(1+IF(N$3&lt;=$O$2,$D338,$D338-($D338-$I$319)*MIN(N$3-$O$2,$Q$2)/$Q$2))</f>
        <v>12006.5211321964</v>
      </c>
      <c r="O338" s="15" t="n">
        <f aca="false">SUMPRODUCT(E338:N338,1/(1+$F$319)^$E$3:$N$3)*$E$2</f>
        <v>40460.6886074083</v>
      </c>
      <c r="P338" s="15" t="n">
        <f aca="false">N338*$E$2*(1+$I$319)/($F$319-$I$319)/(1+$F$319)^$N$3</f>
        <v>61099.8796558291</v>
      </c>
      <c r="Q338" s="15" t="n">
        <f aca="false">O338+P338</f>
        <v>101560.568263237</v>
      </c>
      <c r="R338" s="15" t="n">
        <f aca="false">Q338-$G$2+$I$2</f>
        <v>99970.5682632374</v>
      </c>
      <c r="S338" s="42" t="n">
        <f aca="false">R338/$K$2</f>
        <v>278.020380063511</v>
      </c>
      <c r="T338" s="43" t="n">
        <f aca="false">S338-$M$2</f>
        <v>0.00158035273756241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0.0769195556640625</v>
      </c>
      <c r="C339" s="25" t="n">
        <f aca="false">IF(T338&gt;0,D338,C338)</f>
        <v>0.0769252777099609</v>
      </c>
      <c r="D339" s="41" t="n">
        <f aca="false">(B339+C339)/2</f>
        <v>0.0769224166870117</v>
      </c>
      <c r="E339" s="15" t="n">
        <f aca="false">$C$2*(1+IF(E$3&lt;=$O$2,$D339,$D339-($D339-$I$319)*MIN(E$3-$O$2,$Q$2)/$Q$2))</f>
        <v>7279.9955368042</v>
      </c>
      <c r="F339" s="15" t="n">
        <f aca="false">E339*(1+IF(F$3&lt;=$O$2,$D339,$D339-($D339-$I$319)*MIN(F$3-$O$2,$Q$2)/$Q$2))</f>
        <v>7839.99038696584</v>
      </c>
      <c r="G339" s="15" t="n">
        <f aca="false">F339*(1+IF(G$3&lt;=$O$2,$D339,$D339-($D339-$I$319)*MIN(G$3-$O$2,$Q$2)/$Q$2))</f>
        <v>8443.06139433419</v>
      </c>
      <c r="H339" s="15" t="n">
        <f aca="false">G339*(1+IF(H$3&lt;=$O$2,$D339,$D339-($D339-$I$319)*MIN(H$3-$O$2,$Q$2)/$Q$2))</f>
        <v>9092.52208102319</v>
      </c>
      <c r="I339" s="15" t="n">
        <f aca="false">H339*(1+IF(I$3&lt;=$O$2,$D339,$D339-($D339-$I$319)*MIN(I$3-$O$2,$Q$2)/$Q$2))</f>
        <v>9791.94085327551</v>
      </c>
      <c r="J339" s="15" t="n">
        <f aca="false">I339*(1+IF(J$3&lt;=$O$2,$D339,$D339-($D339-$I$319)*MIN(J$3-$O$2,$Q$2)/$Q$2))</f>
        <v>10430.3551603907</v>
      </c>
      <c r="K339" s="15" t="n">
        <f aca="false">J339*(1+IF(K$3&lt;=$O$2,$D339,$D339-($D339-$I$319)*MIN(K$3-$O$2,$Q$2)/$Q$2))</f>
        <v>10988.1022356694</v>
      </c>
      <c r="L339" s="15" t="n">
        <f aca="false">K339*(1+IF(L$3&lt;=$O$2,$D339,$D339-($D339-$I$319)*MIN(L$3-$O$2,$Q$2)/$Q$2))</f>
        <v>11446.8441497257</v>
      </c>
      <c r="M339" s="15" t="n">
        <f aca="false">L339*(1+IF(M$3&lt;=$O$2,$D339,$D339-($D339-$I$319)*MIN(M$3-$O$2,$Q$2)/$Q$2))</f>
        <v>11790.529731165</v>
      </c>
      <c r="N339" s="15" t="n">
        <f aca="false">M339*(1+IF(N$3&lt;=$O$2,$D339,$D339-($D339-$I$319)*MIN(N$3-$O$2,$Q$2)/$Q$2))</f>
        <v>12006.2964252453</v>
      </c>
      <c r="O339" s="15" t="n">
        <f aca="false">SUMPRODUCT(E339:N339,1/(1+$F$319)^$E$3:$N$3)*$E$2</f>
        <v>40460.1798331568</v>
      </c>
      <c r="P339" s="15" t="n">
        <f aca="false">N339*$E$2*(1+$I$319)/($F$319-$I$319)/(1+$F$319)^$N$3</f>
        <v>61098.7361466044</v>
      </c>
      <c r="Q339" s="15" t="n">
        <f aca="false">O339+P339</f>
        <v>101558.915979761</v>
      </c>
      <c r="R339" s="15" t="n">
        <f aca="false">Q339-$G$2+$I$2</f>
        <v>99968.9159797612</v>
      </c>
      <c r="S339" s="42" t="n">
        <f aca="false">R339/$K$2</f>
        <v>278.015785026312</v>
      </c>
      <c r="T339" s="43" t="n">
        <f aca="false">S339-$M$2</f>
        <v>-0.00301468446184572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0.0769224166870117</v>
      </c>
      <c r="C340" s="25" t="n">
        <f aca="false">IF(T339&gt;0,D339,C339)</f>
        <v>0.0769252777099609</v>
      </c>
      <c r="D340" s="41" t="n">
        <f aca="false">(B340+C340)/2</f>
        <v>0.0769238471984863</v>
      </c>
      <c r="E340" s="15" t="n">
        <f aca="false">$C$2*(1+IF(E$3&lt;=$O$2,$D340,$D340-($D340-$I$319)*MIN(E$3-$O$2,$Q$2)/$Q$2))</f>
        <v>7280.00520706177</v>
      </c>
      <c r="F340" s="15" t="n">
        <f aca="false">E340*(1+IF(F$3&lt;=$O$2,$D340,$D340-($D340-$I$319)*MIN(F$3-$O$2,$Q$2)/$Q$2))</f>
        <v>7840.01121521397</v>
      </c>
      <c r="G340" s="15" t="n">
        <f aca="false">F340*(1+IF(G$3&lt;=$O$2,$D340,$D340-($D340-$I$319)*MIN(G$3-$O$2,$Q$2)/$Q$2))</f>
        <v>8443.09503996751</v>
      </c>
      <c r="H340" s="15" t="n">
        <f aca="false">G340*(1+IF(H$3&lt;=$O$2,$D340,$D340-($D340-$I$319)*MIN(H$3-$O$2,$Q$2)/$Q$2))</f>
        <v>9092.57039270427</v>
      </c>
      <c r="I340" s="15" t="n">
        <f aca="false">H340*(1+IF(I$3&lt;=$O$2,$D340,$D340-($D340-$I$319)*MIN(I$3-$O$2,$Q$2)/$Q$2))</f>
        <v>9792.00588823414</v>
      </c>
      <c r="J340" s="15" t="n">
        <f aca="false">I340*(1+IF(J$3&lt;=$O$2,$D340,$D340-($D340-$I$319)*MIN(J$3-$O$2,$Q$2)/$Q$2))</f>
        <v>10430.4356415556</v>
      </c>
      <c r="K340" s="15" t="n">
        <f aca="false">J340*(1+IF(K$3&lt;=$O$2,$D340,$D340-($D340-$I$319)*MIN(K$3-$O$2,$Q$2)/$Q$2))</f>
        <v>10988.1959729546</v>
      </c>
      <c r="L340" s="15" t="n">
        <f aca="false">K340*(1+IF(L$3&lt;=$O$2,$D340,$D340-($D340-$I$319)*MIN(L$3-$O$2,$Q$2)/$Q$2))</f>
        <v>11446.9480879419</v>
      </c>
      <c r="M340" s="15" t="n">
        <f aca="false">L340*(1+IF(M$3&lt;=$O$2,$D340,$D340-($D340-$I$319)*MIN(M$3-$O$2,$Q$2)/$Q$2))</f>
        <v>11790.6400650705</v>
      </c>
      <c r="N340" s="15" t="n">
        <f aca="false">M340*(1+IF(N$3&lt;=$O$2,$D340,$D340-($D340-$I$319)*MIN(N$3-$O$2,$Q$2)/$Q$2))</f>
        <v>12006.4087782613</v>
      </c>
      <c r="O340" s="15" t="n">
        <f aca="false">SUMPRODUCT(E340:N340,1/(1+$F$319)^$E$3:$N$3)*$E$2</f>
        <v>40460.4342194855</v>
      </c>
      <c r="P340" s="15" t="n">
        <f aca="false">N340*$E$2*(1+$I$319)/($F$319-$I$319)/(1+$F$319)^$N$3</f>
        <v>61099.3078988782</v>
      </c>
      <c r="Q340" s="15" t="n">
        <f aca="false">O340+P340</f>
        <v>101559.742118364</v>
      </c>
      <c r="R340" s="15" t="n">
        <f aca="false">Q340-$G$2+$I$2</f>
        <v>99969.7421183637</v>
      </c>
      <c r="S340" s="42" t="n">
        <f aca="false">R340/$K$2</f>
        <v>278.018082536191</v>
      </c>
      <c r="T340" s="43" t="n">
        <f aca="false">S340-$M$2</f>
        <v>-0.000717174582405278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0.0769238471984863</v>
      </c>
      <c r="C341" s="25" t="n">
        <f aca="false">IF(T340&gt;0,D340,C340)</f>
        <v>0.0769252777099609</v>
      </c>
      <c r="D341" s="41" t="n">
        <f aca="false">(B341+C341)/2</f>
        <v>0.0769245624542236</v>
      </c>
      <c r="E341" s="15" t="n">
        <f aca="false">$C$2*(1+IF(E$3&lt;=$O$2,$D341,$D341-($D341-$I$319)*MIN(E$3-$O$2,$Q$2)/$Q$2))</f>
        <v>7280.01004219055</v>
      </c>
      <c r="F341" s="15" t="n">
        <f aca="false">E341*(1+IF(F$3&lt;=$O$2,$D341,$D341-($D341-$I$319)*MIN(F$3-$O$2,$Q$2)/$Q$2))</f>
        <v>7840.02162934841</v>
      </c>
      <c r="G341" s="15" t="n">
        <f aca="false">F341*(1+IF(G$3&lt;=$O$2,$D341,$D341-($D341-$I$319)*MIN(G$3-$O$2,$Q$2)/$Q$2))</f>
        <v>8443.11186281769</v>
      </c>
      <c r="H341" s="15" t="n">
        <f aca="false">G341*(1+IF(H$3&lt;=$O$2,$D341,$D341-($D341-$I$319)*MIN(H$3-$O$2,$Q$2)/$Q$2))</f>
        <v>9092.59454861701</v>
      </c>
      <c r="I341" s="15" t="n">
        <f aca="false">H341*(1+IF(I$3&lt;=$O$2,$D341,$D341-($D341-$I$319)*MIN(I$3-$O$2,$Q$2)/$Q$2))</f>
        <v>9792.03840584303</v>
      </c>
      <c r="J341" s="15" t="n">
        <f aca="false">I341*(1+IF(J$3&lt;=$O$2,$D341,$D341-($D341-$I$319)*MIN(J$3-$O$2,$Q$2)/$Q$2))</f>
        <v>10430.475882332</v>
      </c>
      <c r="K341" s="15" t="n">
        <f aca="false">J341*(1+IF(K$3&lt;=$O$2,$D341,$D341-($D341-$I$319)*MIN(K$3-$O$2,$Q$2)/$Q$2))</f>
        <v>10988.2428418533</v>
      </c>
      <c r="L341" s="15" t="n">
        <f aca="false">K341*(1+IF(L$3&lt;=$O$2,$D341,$D341-($D341-$I$319)*MIN(L$3-$O$2,$Q$2)/$Q$2))</f>
        <v>11447.0000573569</v>
      </c>
      <c r="M341" s="15" t="n">
        <f aca="false">L341*(1+IF(M$3&lt;=$O$2,$D341,$D341-($D341-$I$319)*MIN(M$3-$O$2,$Q$2)/$Q$2))</f>
        <v>11790.6952323618</v>
      </c>
      <c r="N341" s="15" t="n">
        <f aca="false">M341*(1+IF(N$3&lt;=$O$2,$D341,$D341-($D341-$I$319)*MIN(N$3-$O$2,$Q$2)/$Q$2))</f>
        <v>12006.464955114</v>
      </c>
      <c r="O341" s="15" t="n">
        <f aca="false">SUMPRODUCT(E341:N341,1/(1+$F$319)^$E$3:$N$3)*$E$2</f>
        <v>40460.5614132476</v>
      </c>
      <c r="P341" s="15" t="n">
        <f aca="false">N341*$E$2*(1+$I$319)/($F$319-$I$319)/(1+$F$319)^$N$3</f>
        <v>61099.593776769</v>
      </c>
      <c r="Q341" s="15" t="n">
        <f aca="false">O341+P341</f>
        <v>101560.155190017</v>
      </c>
      <c r="R341" s="15" t="n">
        <f aca="false">Q341-$G$2+$I$2</f>
        <v>99970.1551900166</v>
      </c>
      <c r="S341" s="42" t="n">
        <f aca="false">R341/$K$2</f>
        <v>278.019231297671</v>
      </c>
      <c r="T341" s="43" t="n">
        <f aca="false">S341-$M$2</f>
        <v>0.000431586897434499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0.0769238471984863</v>
      </c>
      <c r="C342" s="25" t="n">
        <f aca="false">IF(T341&gt;0,D341,C341)</f>
        <v>0.0769245624542236</v>
      </c>
      <c r="D342" s="41" t="n">
        <f aca="false">(B342+C342)/2</f>
        <v>0.076924204826355</v>
      </c>
      <c r="E342" s="15" t="n">
        <f aca="false">$C$2*(1+IF(E$3&lt;=$O$2,$D342,$D342-($D342-$I$319)*MIN(E$3-$O$2,$Q$2)/$Q$2))</f>
        <v>7280.00762462616</v>
      </c>
      <c r="F342" s="15" t="n">
        <f aca="false">E342*(1+IF(F$3&lt;=$O$2,$D342,$D342-($D342-$I$319)*MIN(F$3-$O$2,$Q$2)/$Q$2))</f>
        <v>7840.01642228033</v>
      </c>
      <c r="G342" s="15" t="n">
        <f aca="false">F342*(1+IF(G$3&lt;=$O$2,$D342,$D342-($D342-$I$319)*MIN(G$3-$O$2,$Q$2)/$Q$2))</f>
        <v>8443.10345138981</v>
      </c>
      <c r="H342" s="15" t="n">
        <f aca="false">G342*(1+IF(H$3&lt;=$O$2,$D342,$D342-($D342-$I$319)*MIN(H$3-$O$2,$Q$2)/$Q$2))</f>
        <v>9092.58247065462</v>
      </c>
      <c r="I342" s="15" t="n">
        <f aca="false">H342*(1+IF(I$3&lt;=$O$2,$D342,$D342-($D342-$I$319)*MIN(I$3-$O$2,$Q$2)/$Q$2))</f>
        <v>9792.02214702778</v>
      </c>
      <c r="J342" s="15" t="n">
        <f aca="false">I342*(1+IF(J$3&lt;=$O$2,$D342,$D342-($D342-$I$319)*MIN(J$3-$O$2,$Q$2)/$Q$2))</f>
        <v>10430.4557619276</v>
      </c>
      <c r="K342" s="15" t="n">
        <f aca="false">J342*(1+IF(K$3&lt;=$O$2,$D342,$D342-($D342-$I$319)*MIN(K$3-$O$2,$Q$2)/$Q$2))</f>
        <v>10988.2194073826</v>
      </c>
      <c r="L342" s="15" t="n">
        <f aca="false">K342*(1+IF(L$3&lt;=$O$2,$D342,$D342-($D342-$I$319)*MIN(L$3-$O$2,$Q$2)/$Q$2))</f>
        <v>11446.9740726238</v>
      </c>
      <c r="M342" s="15" t="n">
        <f aca="false">L342*(1+IF(M$3&lt;=$O$2,$D342,$D342-($D342-$I$319)*MIN(M$3-$O$2,$Q$2)/$Q$2))</f>
        <v>11790.6676486879</v>
      </c>
      <c r="N342" s="15" t="n">
        <f aca="false">M342*(1+IF(N$3&lt;=$O$2,$D342,$D342-($D342-$I$319)*MIN(N$3-$O$2,$Q$2)/$Q$2))</f>
        <v>12006.4368666589</v>
      </c>
      <c r="O342" s="15" t="n">
        <f aca="false">SUMPRODUCT(E342:N342,1/(1+$F$319)^$E$3:$N$3)*$E$2</f>
        <v>40460.4978163167</v>
      </c>
      <c r="P342" s="15" t="n">
        <f aca="false">N342*$E$2*(1+$I$319)/($F$319-$I$319)/(1+$F$319)^$N$3</f>
        <v>61099.4508376774</v>
      </c>
      <c r="Q342" s="15" t="n">
        <f aca="false">O342+P342</f>
        <v>101559.948653994</v>
      </c>
      <c r="R342" s="15" t="n">
        <f aca="false">Q342-$G$2+$I$2</f>
        <v>99969.9486539941</v>
      </c>
      <c r="S342" s="42" t="n">
        <f aca="false">R342/$K$2</f>
        <v>278.018656916386</v>
      </c>
      <c r="T342" s="43" t="n">
        <f aca="false">S342-$M$2</f>
        <v>-0.000142794387556933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0.076924204826355</v>
      </c>
      <c r="C343" s="25" t="n">
        <f aca="false">IF(T342&gt;0,D342,C342)</f>
        <v>0.0769245624542236</v>
      </c>
      <c r="D343" s="41" t="n">
        <f aca="false">(B343+C343)/2</f>
        <v>0.0769243836402893</v>
      </c>
      <c r="E343" s="15" t="n">
        <f aca="false">$C$2*(1+IF(E$3&lt;=$O$2,$D343,$D343-($D343-$I$319)*MIN(E$3-$O$2,$Q$2)/$Q$2))</f>
        <v>7280.00883340836</v>
      </c>
      <c r="F343" s="15" t="n">
        <f aca="false">E343*(1+IF(F$3&lt;=$O$2,$D343,$D343-($D343-$I$319)*MIN(F$3-$O$2,$Q$2)/$Q$2))</f>
        <v>7840.01902581416</v>
      </c>
      <c r="G343" s="15" t="n">
        <f aca="false">F343*(1+IF(G$3&lt;=$O$2,$D343,$D343-($D343-$I$319)*MIN(G$3-$O$2,$Q$2)/$Q$2))</f>
        <v>8443.10765710305</v>
      </c>
      <c r="H343" s="15" t="n">
        <f aca="false">G343*(1+IF(H$3&lt;=$O$2,$D343,$D343-($D343-$I$319)*MIN(H$3-$O$2,$Q$2)/$Q$2))</f>
        <v>9092.58850963431</v>
      </c>
      <c r="I343" s="15" t="n">
        <f aca="false">H343*(1+IF(I$3&lt;=$O$2,$D343,$D343-($D343-$I$319)*MIN(I$3-$O$2,$Q$2)/$Q$2))</f>
        <v>9792.03027643271</v>
      </c>
      <c r="J343" s="15" t="n">
        <f aca="false">I343*(1+IF(J$3&lt;=$O$2,$D343,$D343-($D343-$I$319)*MIN(J$3-$O$2,$Q$2)/$Q$2))</f>
        <v>10430.4658221258</v>
      </c>
      <c r="K343" s="15" t="n">
        <f aca="false">J343*(1+IF(K$3&lt;=$O$2,$D343,$D343-($D343-$I$319)*MIN(K$3-$O$2,$Q$2)/$Q$2))</f>
        <v>10988.2311246126</v>
      </c>
      <c r="L343" s="15" t="n">
        <f aca="false">K343*(1+IF(L$3&lt;=$O$2,$D343,$D343-($D343-$I$319)*MIN(L$3-$O$2,$Q$2)/$Q$2))</f>
        <v>11446.987064984</v>
      </c>
      <c r="M343" s="15" t="n">
        <f aca="false">L343*(1+IF(M$3&lt;=$O$2,$D343,$D343-($D343-$I$319)*MIN(M$3-$O$2,$Q$2)/$Q$2))</f>
        <v>11790.6814405178</v>
      </c>
      <c r="N343" s="15" t="n">
        <f aca="false">M343*(1+IF(N$3&lt;=$O$2,$D343,$D343-($D343-$I$319)*MIN(N$3-$O$2,$Q$2)/$Q$2))</f>
        <v>12006.4509108793</v>
      </c>
      <c r="O343" s="15" t="n">
        <f aca="false">SUMPRODUCT(E343:N343,1/(1+$F$319)^$E$3:$N$3)*$E$2</f>
        <v>40460.5296147697</v>
      </c>
      <c r="P343" s="15" t="n">
        <f aca="false">N343*$E$2*(1+$I$319)/($F$319-$I$319)/(1+$F$319)^$N$3</f>
        <v>61099.5223071867</v>
      </c>
      <c r="Q343" s="15" t="n">
        <f aca="false">O343+P343</f>
        <v>101560.051921956</v>
      </c>
      <c r="R343" s="15" t="n">
        <f aca="false">Q343-$G$2+$I$2</f>
        <v>99970.0519219564</v>
      </c>
      <c r="S343" s="42" t="n">
        <f aca="false">R343/$K$2</f>
        <v>278.018944106892</v>
      </c>
      <c r="T343" s="43" t="n">
        <f aca="false">S343-$M$2</f>
        <v>0.000144396118685108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0.076924204826355</v>
      </c>
      <c r="C344" s="25" t="n">
        <f aca="false">IF(T343&gt;0,D343,C343)</f>
        <v>0.0769243836402893</v>
      </c>
      <c r="D344" s="41" t="n">
        <f aca="false">(B344+C344)/2</f>
        <v>0.0769242942333221</v>
      </c>
      <c r="E344" s="15" t="n">
        <f aca="false">$C$2*(1+IF(E$3&lt;=$O$2,$D344,$D344-($D344-$I$319)*MIN(E$3-$O$2,$Q$2)/$Q$2))</f>
        <v>7280.00822901726</v>
      </c>
      <c r="F344" s="15" t="n">
        <f aca="false">E344*(1+IF(F$3&lt;=$O$2,$D344,$D344-($D344-$I$319)*MIN(F$3-$O$2,$Q$2)/$Q$2))</f>
        <v>7840.01772404719</v>
      </c>
      <c r="G344" s="15" t="n">
        <f aca="false">F344*(1+IF(G$3&lt;=$O$2,$D344,$D344-($D344-$I$319)*MIN(G$3-$O$2,$Q$2)/$Q$2))</f>
        <v>8443.10555424626</v>
      </c>
      <c r="H344" s="15" t="n">
        <f aca="false">G344*(1+IF(H$3&lt;=$O$2,$D344,$D344-($D344-$I$319)*MIN(H$3-$O$2,$Q$2)/$Q$2))</f>
        <v>9092.58549014409</v>
      </c>
      <c r="I344" s="15" t="n">
        <f aca="false">H344*(1+IF(I$3&lt;=$O$2,$D344,$D344-($D344-$I$319)*MIN(I$3-$O$2,$Q$2)/$Q$2))</f>
        <v>9792.02621172957</v>
      </c>
      <c r="J344" s="15" t="n">
        <f aca="false">I344*(1+IF(J$3&lt;=$O$2,$D344,$D344-($D344-$I$319)*MIN(J$3-$O$2,$Q$2)/$Q$2))</f>
        <v>10430.4607920257</v>
      </c>
      <c r="K344" s="15" t="n">
        <f aca="false">J344*(1+IF(K$3&lt;=$O$2,$D344,$D344-($D344-$I$319)*MIN(K$3-$O$2,$Q$2)/$Q$2))</f>
        <v>10988.2252659963</v>
      </c>
      <c r="L344" s="15" t="n">
        <f aca="false">K344*(1+IF(L$3&lt;=$O$2,$D344,$D344-($D344-$I$319)*MIN(L$3-$O$2,$Q$2)/$Q$2))</f>
        <v>11446.9805688023</v>
      </c>
      <c r="M344" s="15" t="n">
        <f aca="false">L344*(1+IF(M$3&lt;=$O$2,$D344,$D344-($D344-$I$319)*MIN(M$3-$O$2,$Q$2)/$Q$2))</f>
        <v>11790.6745446011</v>
      </c>
      <c r="N344" s="15" t="n">
        <f aca="false">M344*(1+IF(N$3&lt;=$O$2,$D344,$D344-($D344-$I$319)*MIN(N$3-$O$2,$Q$2)/$Q$2))</f>
        <v>12006.4438887673</v>
      </c>
      <c r="O344" s="15" t="n">
        <f aca="false">SUMPRODUCT(E344:N344,1/(1+$F$319)^$E$3:$N$3)*$E$2</f>
        <v>40460.5137155401</v>
      </c>
      <c r="P344" s="15" t="n">
        <f aca="false">N344*$E$2*(1+$I$319)/($F$319-$I$319)/(1+$F$319)^$N$3</f>
        <v>61099.4865724229</v>
      </c>
      <c r="Q344" s="15" t="n">
        <f aca="false">O344+P344</f>
        <v>101560.000287963</v>
      </c>
      <c r="R344" s="15" t="n">
        <f aca="false">Q344-$G$2+$I$2</f>
        <v>99970.000287963</v>
      </c>
      <c r="S344" s="42" t="n">
        <f aca="false">R344/$K$2</f>
        <v>278.018800511605</v>
      </c>
      <c r="T344" s="43" t="n">
        <f aca="false">S344-$M$2</f>
        <v>8.00831514879974E-007</v>
      </c>
    </row>
    <row r="346" customFormat="false" ht="15" hidden="false" customHeight="false" outlineLevel="0" collapsed="false">
      <c r="A346" s="38" t="s">
        <v>198</v>
      </c>
      <c r="E346" s="5" t="s">
        <v>11</v>
      </c>
      <c r="F346" s="12" t="n">
        <f aca="false">Sensitivity!$B$12</f>
        <v>0.0774202832668642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167</v>
      </c>
      <c r="B347" s="28" t="s">
        <v>168</v>
      </c>
      <c r="C347" s="28" t="s">
        <v>169</v>
      </c>
      <c r="D347" s="28" t="s">
        <v>170</v>
      </c>
      <c r="E347" s="28" t="s">
        <v>171</v>
      </c>
      <c r="F347" s="28" t="s">
        <v>172</v>
      </c>
      <c r="G347" s="28" t="s">
        <v>173</v>
      </c>
      <c r="H347" s="28" t="s">
        <v>174</v>
      </c>
      <c r="I347" s="28" t="s">
        <v>175</v>
      </c>
      <c r="J347" s="28" t="s">
        <v>176</v>
      </c>
      <c r="K347" s="28" t="s">
        <v>177</v>
      </c>
      <c r="L347" s="28" t="s">
        <v>178</v>
      </c>
      <c r="M347" s="28" t="s">
        <v>179</v>
      </c>
      <c r="N347" s="28" t="s">
        <v>180</v>
      </c>
      <c r="O347" s="28" t="s">
        <v>181</v>
      </c>
      <c r="P347" s="28" t="s">
        <v>182</v>
      </c>
      <c r="Q347" s="28" t="s">
        <v>183</v>
      </c>
      <c r="R347" s="28" t="s">
        <v>184</v>
      </c>
      <c r="S347" s="28" t="s">
        <v>185</v>
      </c>
      <c r="T347" s="28" t="s">
        <v>186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8450</v>
      </c>
      <c r="F348" s="15" t="n">
        <f aca="false">E348*(1+IF(F$3&lt;=$O$2,$D348,$D348-($D348-$I$346)*MIN(F$3-$O$2,$Q$2)/$Q$2))</f>
        <v>10562.5</v>
      </c>
      <c r="G348" s="15" t="n">
        <f aca="false">F348*(1+IF(G$3&lt;=$O$2,$D348,$D348-($D348-$I$346)*MIN(G$3-$O$2,$Q$2)/$Q$2))</f>
        <v>13203.125</v>
      </c>
      <c r="H348" s="15" t="n">
        <f aca="false">G348*(1+IF(H$3&lt;=$O$2,$D348,$D348-($D348-$I$346)*MIN(H$3-$O$2,$Q$2)/$Q$2))</f>
        <v>16503.90625</v>
      </c>
      <c r="I348" s="15" t="n">
        <f aca="false">H348*(1+IF(I$3&lt;=$O$2,$D348,$D348-($D348-$I$346)*MIN(I$3-$O$2,$Q$2)/$Q$2))</f>
        <v>20629.8828125</v>
      </c>
      <c r="J348" s="15" t="n">
        <f aca="false">I348*(1+IF(J$3&lt;=$O$2,$D348,$D348-($D348-$I$346)*MIN(J$3-$O$2,$Q$2)/$Q$2))</f>
        <v>24851.9946289063</v>
      </c>
      <c r="K348" s="15" t="n">
        <f aca="false">J348*(1+IF(K$3&lt;=$O$2,$D348,$D348-($D348-$I$346)*MIN(K$3-$O$2,$Q$2)/$Q$2))</f>
        <v>28811.4144131836</v>
      </c>
      <c r="L348" s="15" t="n">
        <f aca="false">K348*(1+IF(L$3&lt;=$O$2,$D348,$D348-($D348-$I$346)*MIN(L$3-$O$2,$Q$2)/$Q$2))</f>
        <v>32095.3394279983</v>
      </c>
      <c r="M348" s="15" t="n">
        <f aca="false">L348*(1+IF(M$3&lt;=$O$2,$D348,$D348-($D348-$I$346)*MIN(M$3-$O$2,$Q$2)/$Q$2))</f>
        <v>34298.3635263361</v>
      </c>
      <c r="N348" s="15" t="n">
        <f aca="false">M348*(1+IF(N$3&lt;=$O$2,$D348,$D348-($D348-$I$346)*MIN(N$3-$O$2,$Q$2)/$Q$2))</f>
        <v>35097.5153964997</v>
      </c>
      <c r="O348" s="15" t="n">
        <f aca="false">SUMPRODUCT(E348:N348,1/(1+$F$346)^$E$3:$N$3)*$E$2</f>
        <v>86438.1977362898</v>
      </c>
      <c r="P348" s="15" t="n">
        <f aca="false">N348*$E$2*(1+$I$346)/($F$346-$I$346)/(1+$F$346)^$N$3</f>
        <v>196066.417733316</v>
      </c>
      <c r="Q348" s="15" t="n">
        <f aca="false">O348+P348</f>
        <v>282504.615469606</v>
      </c>
      <c r="R348" s="15" t="n">
        <f aca="false">Q348-$G$2+$I$2</f>
        <v>280914.615469606</v>
      </c>
      <c r="S348" s="42" t="n">
        <f aca="false">R348/$K$2</f>
        <v>781.229811084058</v>
      </c>
      <c r="T348" s="43" t="n">
        <f aca="false">S348-$M$2</f>
        <v>503.211011373284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5915</v>
      </c>
      <c r="F349" s="15" t="n">
        <f aca="false">E349*(1+IF(F$3&lt;=$O$2,$D349,$D349-($D349-$I$346)*MIN(F$3-$O$2,$Q$2)/$Q$2))</f>
        <v>5175.625</v>
      </c>
      <c r="G349" s="15" t="n">
        <f aca="false">F349*(1+IF(G$3&lt;=$O$2,$D349,$D349-($D349-$I$346)*MIN(G$3-$O$2,$Q$2)/$Q$2))</f>
        <v>4528.671875</v>
      </c>
      <c r="H349" s="15" t="n">
        <f aca="false">G349*(1+IF(H$3&lt;=$O$2,$D349,$D349-($D349-$I$346)*MIN(H$3-$O$2,$Q$2)/$Q$2))</f>
        <v>3962.587890625</v>
      </c>
      <c r="I349" s="15" t="n">
        <f aca="false">H349*(1+IF(I$3&lt;=$O$2,$D349,$D349-($D349-$I$346)*MIN(I$3-$O$2,$Q$2)/$Q$2))</f>
        <v>3467.26440429688</v>
      </c>
      <c r="J349" s="15" t="n">
        <f aca="false">I349*(1+IF(J$3&lt;=$O$2,$D349,$D349-($D349-$I$346)*MIN(J$3-$O$2,$Q$2)/$Q$2))</f>
        <v>3136.69541599121</v>
      </c>
      <c r="K349" s="15" t="n">
        <f aca="false">J349*(1+IF(K$3&lt;=$O$2,$D349,$D349-($D349-$I$346)*MIN(K$3-$O$2,$Q$2)/$Q$2))</f>
        <v>2930.67726106891</v>
      </c>
      <c r="L349" s="15" t="n">
        <f aca="false">K349*(1+IF(L$3&lt;=$O$2,$D349,$D349-($D349-$I$346)*MIN(L$3-$O$2,$Q$2)/$Q$2))</f>
        <v>2825.11426612521</v>
      </c>
      <c r="M349" s="15" t="n">
        <f aca="false">L349*(1+IF(M$3&lt;=$O$2,$D349,$D349-($D349-$I$346)*MIN(M$3-$O$2,$Q$2)/$Q$2))</f>
        <v>2807.14653939265</v>
      </c>
      <c r="N349" s="15" t="n">
        <f aca="false">M349*(1+IF(N$3&lt;=$O$2,$D349,$D349-($D349-$I$346)*MIN(N$3-$O$2,$Q$2)/$Q$2))</f>
        <v>2872.5530537605</v>
      </c>
      <c r="O349" s="15" t="n">
        <f aca="false">SUMPRODUCT(E349:N349,1/(1+$F$346)^$E$3:$N$3)*$E$2</f>
        <v>16812.3763300907</v>
      </c>
      <c r="P349" s="15" t="n">
        <f aca="false">N349*$E$2*(1+$I$346)/($F$346-$I$346)/(1+$F$346)^$N$3</f>
        <v>16047.0386760166</v>
      </c>
      <c r="Q349" s="15" t="n">
        <f aca="false">O349+P349</f>
        <v>32859.4150061073</v>
      </c>
      <c r="R349" s="15" t="n">
        <f aca="false">Q349-$G$2+$I$2</f>
        <v>31269.4150061073</v>
      </c>
      <c r="S349" s="42" t="n">
        <f aca="false">R349/$K$2</f>
        <v>86.9609405587276</v>
      </c>
      <c r="T349" s="43" t="n">
        <f aca="false">S349-$M$2</f>
        <v>-191.057859152046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7182.5</v>
      </c>
      <c r="F350" s="15" t="n">
        <f aca="false">E350*(1+IF(F$3&lt;=$O$2,$D350,$D350-($D350-$I$346)*MIN(F$3-$O$2,$Q$2)/$Q$2))</f>
        <v>7631.40625</v>
      </c>
      <c r="G350" s="15" t="n">
        <f aca="false">F350*(1+IF(G$3&lt;=$O$2,$D350,$D350-($D350-$I$346)*MIN(G$3-$O$2,$Q$2)/$Q$2))</f>
        <v>8108.369140625</v>
      </c>
      <c r="H350" s="15" t="n">
        <f aca="false">G350*(1+IF(H$3&lt;=$O$2,$D350,$D350-($D350-$I$346)*MIN(H$3-$O$2,$Q$2)/$Q$2))</f>
        <v>8615.14221191406</v>
      </c>
      <c r="I350" s="15" t="n">
        <f aca="false">H350*(1+IF(I$3&lt;=$O$2,$D350,$D350-($D350-$I$346)*MIN(I$3-$O$2,$Q$2)/$Q$2))</f>
        <v>9153.58860015869</v>
      </c>
      <c r="J350" s="15" t="n">
        <f aca="false">I350*(1+IF(J$3&lt;=$O$2,$D350,$D350-($D350-$I$346)*MIN(J$3-$O$2,$Q$2)/$Q$2))</f>
        <v>9653.92375304337</v>
      </c>
      <c r="K350" s="15" t="n">
        <f aca="false">J350*(1+IF(K$3&lt;=$O$2,$D350,$D350-($D350-$I$346)*MIN(K$3-$O$2,$Q$2)/$Q$2))</f>
        <v>10105.9204631609</v>
      </c>
      <c r="L350" s="15" t="n">
        <f aca="false">K350*(1+IF(L$3&lt;=$O$2,$D350,$D350-($D350-$I$346)*MIN(L$3-$O$2,$Q$2)/$Q$2))</f>
        <v>10499.8492428149</v>
      </c>
      <c r="M350" s="15" t="n">
        <f aca="false">L350*(1+IF(M$3&lt;=$O$2,$D350,$D350-($D350-$I$346)*MIN(M$3-$O$2,$Q$2)/$Q$2))</f>
        <v>10826.8145482361</v>
      </c>
      <c r="N350" s="15" t="n">
        <f aca="false">M350*(1+IF(N$3&lt;=$O$2,$D350,$D350-($D350-$I$346)*MIN(N$3-$O$2,$Q$2)/$Q$2))</f>
        <v>11079.07932721</v>
      </c>
      <c r="O350" s="15" t="n">
        <f aca="false">SUMPRODUCT(E350:N350,1/(1+$F$346)^$E$3:$N$3)*$E$2</f>
        <v>38090.1979492944</v>
      </c>
      <c r="P350" s="15" t="n">
        <f aca="false">N350*$E$2*(1+$I$346)/($F$346-$I$346)/(1+$F$346)^$N$3</f>
        <v>61891.4293769622</v>
      </c>
      <c r="Q350" s="15" t="n">
        <f aca="false">O350+P350</f>
        <v>99981.6273262566</v>
      </c>
      <c r="R350" s="15" t="n">
        <f aca="false">Q350-$G$2+$I$2</f>
        <v>98391.6273262566</v>
      </c>
      <c r="S350" s="42" t="n">
        <f aca="false">R350/$K$2</f>
        <v>273.629310101387</v>
      </c>
      <c r="T350" s="43" t="n">
        <f aca="false">S350-$M$2</f>
        <v>-4.38948960938717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0.0625</v>
      </c>
      <c r="C351" s="25" t="n">
        <f aca="false">IF(T350&gt;0,D350,C350)</f>
        <v>0.25</v>
      </c>
      <c r="D351" s="41" t="n">
        <f aca="false">(B351+C351)/2</f>
        <v>0.15625</v>
      </c>
      <c r="E351" s="15" t="n">
        <f aca="false">$C$2*(1+IF(E$3&lt;=$O$2,$D351,$D351-($D351-$I$346)*MIN(E$3-$O$2,$Q$2)/$Q$2))</f>
        <v>7816.25</v>
      </c>
      <c r="F351" s="15" t="n">
        <f aca="false">E351*(1+IF(F$3&lt;=$O$2,$D351,$D351-($D351-$I$346)*MIN(F$3-$O$2,$Q$2)/$Q$2))</f>
        <v>9037.5390625</v>
      </c>
      <c r="G351" s="15" t="n">
        <f aca="false">F351*(1+IF(G$3&lt;=$O$2,$D351,$D351-($D351-$I$346)*MIN(G$3-$O$2,$Q$2)/$Q$2))</f>
        <v>10449.6545410156</v>
      </c>
      <c r="H351" s="15" t="n">
        <f aca="false">G351*(1+IF(H$3&lt;=$O$2,$D351,$D351-($D351-$I$346)*MIN(H$3-$O$2,$Q$2)/$Q$2))</f>
        <v>12082.4130630493</v>
      </c>
      <c r="I351" s="15" t="n">
        <f aca="false">H351*(1+IF(I$3&lt;=$O$2,$D351,$D351-($D351-$I$346)*MIN(I$3-$O$2,$Q$2)/$Q$2))</f>
        <v>13970.2901041508</v>
      </c>
      <c r="J351" s="15" t="n">
        <f aca="false">I351*(1+IF(J$3&lt;=$O$2,$D351,$D351-($D351-$I$346)*MIN(J$3-$O$2,$Q$2)/$Q$2))</f>
        <v>15781.677919055</v>
      </c>
      <c r="K351" s="15" t="n">
        <f aca="false">J351*(1+IF(K$3&lt;=$O$2,$D351,$D351-($D351-$I$346)*MIN(K$3-$O$2,$Q$2)/$Q$2))</f>
        <v>17408.295462172</v>
      </c>
      <c r="L351" s="15" t="n">
        <f aca="false">K351*(1+IF(L$3&lt;=$O$2,$D351,$D351-($D351-$I$346)*MIN(L$3-$O$2,$Q$2)/$Q$2))</f>
        <v>18739.6818991189</v>
      </c>
      <c r="M351" s="15" t="n">
        <f aca="false">L351*(1+IF(M$3&lt;=$O$2,$D351,$D351-($D351-$I$346)*MIN(M$3-$O$2,$Q$2)/$Q$2))</f>
        <v>19674.6046290659</v>
      </c>
      <c r="N351" s="15" t="n">
        <f aca="false">M351*(1+IF(N$3&lt;=$O$2,$D351,$D351-($D351-$I$346)*MIN(N$3-$O$2,$Q$2)/$Q$2))</f>
        <v>20133.0229169231</v>
      </c>
      <c r="O351" s="15" t="n">
        <f aca="false">SUMPRODUCT(E351:N351,1/(1+$F$346)^$E$3:$N$3)*$E$2</f>
        <v>57500.7905848154</v>
      </c>
      <c r="P351" s="15" t="n">
        <f aca="false">N351*$E$2*(1+$I$346)/($F$346-$I$346)/(1+$F$346)^$N$3</f>
        <v>112469.775620002</v>
      </c>
      <c r="Q351" s="15" t="n">
        <f aca="false">O351+P351</f>
        <v>169970.566204817</v>
      </c>
      <c r="R351" s="15" t="n">
        <f aca="false">Q351-$G$2+$I$2</f>
        <v>168380.566204817</v>
      </c>
      <c r="S351" s="42" t="n">
        <f aca="false">R351/$K$2</f>
        <v>468.270110141879</v>
      </c>
      <c r="T351" s="43" t="n">
        <f aca="false">S351-$M$2</f>
        <v>190.251310431106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0.0625</v>
      </c>
      <c r="C352" s="25" t="n">
        <f aca="false">IF(T351&gt;0,D351,C351)</f>
        <v>0.15625</v>
      </c>
      <c r="D352" s="41" t="n">
        <f aca="false">(B352+C352)/2</f>
        <v>0.109375</v>
      </c>
      <c r="E352" s="15" t="n">
        <f aca="false">$C$2*(1+IF(E$3&lt;=$O$2,$D352,$D352-($D352-$I$346)*MIN(E$3-$O$2,$Q$2)/$Q$2))</f>
        <v>7499.375</v>
      </c>
      <c r="F352" s="15" t="n">
        <f aca="false">E352*(1+IF(F$3&lt;=$O$2,$D352,$D352-($D352-$I$346)*MIN(F$3-$O$2,$Q$2)/$Q$2))</f>
        <v>8319.619140625</v>
      </c>
      <c r="G352" s="15" t="n">
        <f aca="false">F352*(1+IF(G$3&lt;=$O$2,$D352,$D352-($D352-$I$346)*MIN(G$3-$O$2,$Q$2)/$Q$2))</f>
        <v>9229.57748413086</v>
      </c>
      <c r="H352" s="15" t="n">
        <f aca="false">G352*(1+IF(H$3&lt;=$O$2,$D352,$D352-($D352-$I$346)*MIN(H$3-$O$2,$Q$2)/$Q$2))</f>
        <v>10239.0625214577</v>
      </c>
      <c r="I352" s="15" t="n">
        <f aca="false">H352*(1+IF(I$3&lt;=$O$2,$D352,$D352-($D352-$I$346)*MIN(I$3-$O$2,$Q$2)/$Q$2))</f>
        <v>11358.9599847421</v>
      </c>
      <c r="J352" s="15" t="n">
        <f aca="false">I352*(1+IF(J$3&lt;=$O$2,$D352,$D352-($D352-$I$346)*MIN(J$3-$O$2,$Q$2)/$Q$2))</f>
        <v>12405.8017369359</v>
      </c>
      <c r="K352" s="15" t="n">
        <f aca="false">J352*(1+IF(K$3&lt;=$O$2,$D352,$D352-($D352-$I$346)*MIN(K$3-$O$2,$Q$2)/$Q$2))</f>
        <v>13335.5545481106</v>
      </c>
      <c r="L352" s="15" t="n">
        <f aca="false">K352*(1+IF(L$3&lt;=$O$2,$D352,$D352-($D352-$I$346)*MIN(L$3-$O$2,$Q$2)/$Q$2))</f>
        <v>14105.416112173</v>
      </c>
      <c r="M352" s="15" t="n">
        <f aca="false">L352*(1+IF(M$3&lt;=$O$2,$D352,$D352-($D352-$I$346)*MIN(M$3-$O$2,$Q$2)/$Q$2))</f>
        <v>14676.8970459577</v>
      </c>
      <c r="N352" s="15" t="n">
        <f aca="false">M352*(1+IF(N$3&lt;=$O$2,$D352,$D352-($D352-$I$346)*MIN(N$3-$O$2,$Q$2)/$Q$2))</f>
        <v>15018.8687471285</v>
      </c>
      <c r="O352" s="15" t="n">
        <f aca="false">SUMPRODUCT(E352:N352,1/(1+$F$346)^$E$3:$N$3)*$E$2</f>
        <v>46812.5992506519</v>
      </c>
      <c r="P352" s="15" t="n">
        <f aca="false">N352*$E$2*(1+$I$346)/($F$346-$I$346)/(1+$F$346)^$N$3</f>
        <v>83900.4060654967</v>
      </c>
      <c r="Q352" s="15" t="n">
        <f aca="false">O352+P352</f>
        <v>130713.005316149</v>
      </c>
      <c r="R352" s="15" t="n">
        <f aca="false">Q352-$G$2+$I$2</f>
        <v>129123.005316149</v>
      </c>
      <c r="S352" s="42" t="n">
        <f aca="false">R352/$K$2</f>
        <v>359.09395771775</v>
      </c>
      <c r="T352" s="43" t="n">
        <f aca="false">S352-$M$2</f>
        <v>81.0751580069763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0.0625</v>
      </c>
      <c r="C353" s="25" t="n">
        <f aca="false">IF(T352&gt;0,D352,C352)</f>
        <v>0.109375</v>
      </c>
      <c r="D353" s="41" t="n">
        <f aca="false">(B353+C353)/2</f>
        <v>0.0859375</v>
      </c>
      <c r="E353" s="15" t="n">
        <f aca="false">$C$2*(1+IF(E$3&lt;=$O$2,$D353,$D353-($D353-$I$346)*MIN(E$3-$O$2,$Q$2)/$Q$2))</f>
        <v>7340.9375</v>
      </c>
      <c r="F353" s="15" t="n">
        <f aca="false">E353*(1+IF(F$3&lt;=$O$2,$D353,$D353-($D353-$I$346)*MIN(F$3-$O$2,$Q$2)/$Q$2))</f>
        <v>7971.79931640625</v>
      </c>
      <c r="G353" s="15" t="n">
        <f aca="false">F353*(1+IF(G$3&lt;=$O$2,$D353,$D353-($D353-$I$346)*MIN(G$3-$O$2,$Q$2)/$Q$2))</f>
        <v>8656.87582015991</v>
      </c>
      <c r="H353" s="15" t="n">
        <f aca="false">G353*(1+IF(H$3&lt;=$O$2,$D353,$D353-($D353-$I$346)*MIN(H$3-$O$2,$Q$2)/$Q$2))</f>
        <v>9400.82608595491</v>
      </c>
      <c r="I353" s="15" t="n">
        <f aca="false">H353*(1+IF(I$3&lt;=$O$2,$D353,$D353-($D353-$I$346)*MIN(I$3-$O$2,$Q$2)/$Q$2))</f>
        <v>10208.7095777167</v>
      </c>
      <c r="J353" s="15" t="n">
        <f aca="false">I353*(1+IF(J$3&lt;=$O$2,$D353,$D353-($D353-$I$346)*MIN(J$3-$O$2,$Q$2)/$Q$2))</f>
        <v>10958.1309478168</v>
      </c>
      <c r="K353" s="15" t="n">
        <f aca="false">J353*(1+IF(K$3&lt;=$O$2,$D353,$D353-($D353-$I$346)*MIN(K$3-$O$2,$Q$2)/$Q$2))</f>
        <v>11625.2893552473</v>
      </c>
      <c r="L353" s="15" t="n">
        <f aca="false">K353*(1+IF(L$3&lt;=$O$2,$D353,$D353-($D353-$I$346)*MIN(L$3-$O$2,$Q$2)/$Q$2))</f>
        <v>12187.4302220203</v>
      </c>
      <c r="M353" s="15" t="n">
        <f aca="false">L353*(1+IF(M$3&lt;=$O$2,$D353,$D353-($D353-$I$346)*MIN(M$3-$O$2,$Q$2)/$Q$2))</f>
        <v>12624.0753782997</v>
      </c>
      <c r="N353" s="15" t="n">
        <f aca="false">M353*(1+IF(N$3&lt;=$O$2,$D353,$D353-($D353-$I$346)*MIN(N$3-$O$2,$Q$2)/$Q$2))</f>
        <v>12918.2163346141</v>
      </c>
      <c r="O353" s="15" t="n">
        <f aca="false">SUMPRODUCT(E353:N353,1/(1+$F$346)^$E$3:$N$3)*$E$2</f>
        <v>42228.1882022461</v>
      </c>
      <c r="P353" s="15" t="n">
        <f aca="false">N353*$E$2*(1+$I$346)/($F$346-$I$346)/(1+$F$346)^$N$3</f>
        <v>72165.461617958</v>
      </c>
      <c r="Q353" s="15" t="n">
        <f aca="false">O353+P353</f>
        <v>114393.649820204</v>
      </c>
      <c r="R353" s="15" t="n">
        <f aca="false">Q353-$G$2+$I$2</f>
        <v>112803.649820204</v>
      </c>
      <c r="S353" s="42" t="n">
        <f aca="false">R353/$K$2</f>
        <v>313.709466099906</v>
      </c>
      <c r="T353" s="43" t="n">
        <f aca="false">S353-$M$2</f>
        <v>35.6906663891322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0.0625</v>
      </c>
      <c r="C354" s="25" t="n">
        <f aca="false">IF(T353&gt;0,D353,C353)</f>
        <v>0.0859375</v>
      </c>
      <c r="D354" s="41" t="n">
        <f aca="false">(B354+C354)/2</f>
        <v>0.07421875</v>
      </c>
      <c r="E354" s="15" t="n">
        <f aca="false">$C$2*(1+IF(E$3&lt;=$O$2,$D354,$D354-($D354-$I$346)*MIN(E$3-$O$2,$Q$2)/$Q$2))</f>
        <v>7261.71875</v>
      </c>
      <c r="F354" s="15" t="n">
        <f aca="false">E354*(1+IF(F$3&lt;=$O$2,$D354,$D354-($D354-$I$346)*MIN(F$3-$O$2,$Q$2)/$Q$2))</f>
        <v>7800.67443847656</v>
      </c>
      <c r="G354" s="15" t="n">
        <f aca="false">F354*(1+IF(G$3&lt;=$O$2,$D354,$D354-($D354-$I$346)*MIN(G$3-$O$2,$Q$2)/$Q$2))</f>
        <v>8379.63074445725</v>
      </c>
      <c r="H354" s="15" t="n">
        <f aca="false">G354*(1+IF(H$3&lt;=$O$2,$D354,$D354-($D354-$I$346)*MIN(H$3-$O$2,$Q$2)/$Q$2))</f>
        <v>9001.55646377243</v>
      </c>
      <c r="I354" s="15" t="n">
        <f aca="false">H354*(1+IF(I$3&lt;=$O$2,$D354,$D354-($D354-$I$346)*MIN(I$3-$O$2,$Q$2)/$Q$2))</f>
        <v>9669.64073256804</v>
      </c>
      <c r="J354" s="15" t="n">
        <f aca="false">I354*(1+IF(J$3&lt;=$O$2,$D354,$D354-($D354-$I$346)*MIN(J$3-$O$2,$Q$2)/$Q$2))</f>
        <v>10288.836176878</v>
      </c>
      <c r="K354" s="15" t="n">
        <f aca="false">J354*(1+IF(K$3&lt;=$O$2,$D354,$D354-($D354-$I$346)*MIN(K$3-$O$2,$Q$2)/$Q$2))</f>
        <v>10842.9028660481</v>
      </c>
      <c r="L354" s="15" t="n">
        <f aca="false">K354*(1+IF(L$3&lt;=$O$2,$D354,$D354-($D354-$I$346)*MIN(L$3-$O$2,$Q$2)/$Q$2))</f>
        <v>11316.3853269513</v>
      </c>
      <c r="M354" s="15" t="n">
        <f aca="false">L354*(1+IF(M$3&lt;=$O$2,$D354,$D354-($D354-$I$346)*MIN(M$3-$O$2,$Q$2)/$Q$2))</f>
        <v>11695.3003441426</v>
      </c>
      <c r="N354" s="15" t="n">
        <f aca="false">M354*(1+IF(N$3&lt;=$O$2,$D354,$D354-($D354-$I$346)*MIN(N$3-$O$2,$Q$2)/$Q$2))</f>
        <v>11967.8008421611</v>
      </c>
      <c r="O354" s="15" t="n">
        <f aca="false">SUMPRODUCT(E354:N354,1/(1+$F$346)^$E$3:$N$3)*$E$2</f>
        <v>40106.008034889</v>
      </c>
      <c r="P354" s="15" t="n">
        <f aca="false">N354*$E$2*(1+$I$346)/($F$346-$I$346)/(1+$F$346)^$N$3</f>
        <v>66856.1239381152</v>
      </c>
      <c r="Q354" s="15" t="n">
        <f aca="false">O354+P354</f>
        <v>106962.131973004</v>
      </c>
      <c r="R354" s="15" t="n">
        <f aca="false">Q354-$G$2+$I$2</f>
        <v>105372.131973004</v>
      </c>
      <c r="S354" s="42" t="n">
        <f aca="false">R354/$K$2</f>
        <v>293.042249215764</v>
      </c>
      <c r="T354" s="43" t="n">
        <f aca="false">S354-$M$2</f>
        <v>15.0234495049899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0.0625</v>
      </c>
      <c r="C355" s="25" t="n">
        <f aca="false">IF(T354&gt;0,D354,C354)</f>
        <v>0.07421875</v>
      </c>
      <c r="D355" s="41" t="n">
        <f aca="false">(B355+C355)/2</f>
        <v>0.068359375</v>
      </c>
      <c r="E355" s="15" t="n">
        <f aca="false">$C$2*(1+IF(E$3&lt;=$O$2,$D355,$D355-($D355-$I$346)*MIN(E$3-$O$2,$Q$2)/$Q$2))</f>
        <v>7222.109375</v>
      </c>
      <c r="F355" s="15" t="n">
        <f aca="false">E355*(1+IF(F$3&lt;=$O$2,$D355,$D355-($D355-$I$346)*MIN(F$3-$O$2,$Q$2)/$Q$2))</f>
        <v>7715.80825805664</v>
      </c>
      <c r="G355" s="15" t="n">
        <f aca="false">F355*(1+IF(G$3&lt;=$O$2,$D355,$D355-($D355-$I$346)*MIN(G$3-$O$2,$Q$2)/$Q$2))</f>
        <v>8243.25608819723</v>
      </c>
      <c r="H355" s="15" t="n">
        <f aca="false">G355*(1+IF(H$3&lt;=$O$2,$D355,$D355-($D355-$I$346)*MIN(H$3-$O$2,$Q$2)/$Q$2))</f>
        <v>8806.75992235134</v>
      </c>
      <c r="I355" s="15" t="n">
        <f aca="false">H355*(1+IF(I$3&lt;=$O$2,$D355,$D355-($D355-$I$346)*MIN(I$3-$O$2,$Q$2)/$Q$2))</f>
        <v>9408.78452641833</v>
      </c>
      <c r="J355" s="15" t="n">
        <f aca="false">I355*(1+IF(J$3&lt;=$O$2,$D355,$D355-($D355-$I$346)*MIN(J$3-$O$2,$Q$2)/$Q$2))</f>
        <v>9967.17236609994</v>
      </c>
      <c r="K355" s="15" t="n">
        <f aca="false">J355*(1+IF(K$3&lt;=$O$2,$D355,$D355-($D355-$I$346)*MIN(K$3-$O$2,$Q$2)/$Q$2))</f>
        <v>10468.8762166303</v>
      </c>
      <c r="L355" s="15" t="n">
        <f aca="false">K355*(1+IF(L$3&lt;=$O$2,$D355,$D355-($D355-$I$346)*MIN(L$3-$O$2,$Q$2)/$Q$2))</f>
        <v>10901.4894401873</v>
      </c>
      <c r="M355" s="15" t="n">
        <f aca="false">L355*(1+IF(M$3&lt;=$O$2,$D355,$D355-($D355-$I$346)*MIN(M$3-$O$2,$Q$2)/$Q$2))</f>
        <v>11253.7370042924</v>
      </c>
      <c r="N355" s="15" t="n">
        <f aca="false">M355*(1+IF(N$3&lt;=$O$2,$D355,$D355-($D355-$I$346)*MIN(N$3-$O$2,$Q$2)/$Q$2))</f>
        <v>11515.9490764925</v>
      </c>
      <c r="O355" s="15" t="n">
        <f aca="false">SUMPRODUCT(E355:N355,1/(1+$F$346)^$E$3:$N$3)*$E$2</f>
        <v>39085.1222506483</v>
      </c>
      <c r="P355" s="15" t="n">
        <f aca="false">N355*$E$2*(1+$I$346)/($F$346-$I$346)/(1+$F$346)^$N$3</f>
        <v>64331.9293892907</v>
      </c>
      <c r="Q355" s="15" t="n">
        <f aca="false">O355+P355</f>
        <v>103417.051639939</v>
      </c>
      <c r="R355" s="15" t="n">
        <f aca="false">Q355-$G$2+$I$2</f>
        <v>101827.051639939</v>
      </c>
      <c r="S355" s="42" t="n">
        <f aca="false">R355/$K$2</f>
        <v>283.18330174075</v>
      </c>
      <c r="T355" s="43" t="n">
        <f aca="false">S355-$M$2</f>
        <v>5.16450202997652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0.0625</v>
      </c>
      <c r="C356" s="25" t="n">
        <f aca="false">IF(T355&gt;0,D355,C355)</f>
        <v>0.068359375</v>
      </c>
      <c r="D356" s="41" t="n">
        <f aca="false">(B356+C356)/2</f>
        <v>0.0654296875</v>
      </c>
      <c r="E356" s="15" t="n">
        <f aca="false">$C$2*(1+IF(E$3&lt;=$O$2,$D356,$D356-($D356-$I$346)*MIN(E$3-$O$2,$Q$2)/$Q$2))</f>
        <v>7202.3046875</v>
      </c>
      <c r="F356" s="15" t="n">
        <f aca="false">E356*(1+IF(F$3&lt;=$O$2,$D356,$D356-($D356-$I$346)*MIN(F$3-$O$2,$Q$2)/$Q$2))</f>
        <v>7673.54923248291</v>
      </c>
      <c r="G356" s="15" t="n">
        <f aca="false">F356*(1+IF(G$3&lt;=$O$2,$D356,$D356-($D356-$I$346)*MIN(G$3-$O$2,$Q$2)/$Q$2))</f>
        <v>8175.62716078013</v>
      </c>
      <c r="H356" s="15" t="n">
        <f aca="false">G356*(1+IF(H$3&lt;=$O$2,$D356,$D356-($D356-$I$346)*MIN(H$3-$O$2,$Q$2)/$Q$2))</f>
        <v>8710.55589102649</v>
      </c>
      <c r="I356" s="15" t="n">
        <f aca="false">H356*(1+IF(I$3&lt;=$O$2,$D356,$D356-($D356-$I$346)*MIN(I$3-$O$2,$Q$2)/$Q$2))</f>
        <v>9280.48484092764</v>
      </c>
      <c r="J356" s="15" t="n">
        <f aca="false">I356*(1+IF(J$3&lt;=$O$2,$D356,$D356-($D356-$I$346)*MIN(J$3-$O$2,$Q$2)/$Q$2))</f>
        <v>9809.50727867866</v>
      </c>
      <c r="K356" s="15" t="n">
        <f aca="false">J356*(1+IF(K$3&lt;=$O$2,$D356,$D356-($D356-$I$346)*MIN(K$3-$O$2,$Q$2)/$Q$2))</f>
        <v>10286.0316839797</v>
      </c>
      <c r="L356" s="15" t="n">
        <f aca="false">K356*(1+IF(L$3&lt;=$O$2,$D356,$D356-($D356-$I$346)*MIN(L$3-$O$2,$Q$2)/$Q$2))</f>
        <v>10699.0351424009</v>
      </c>
      <c r="M356" s="15" t="n">
        <f aca="false">L356*(1+IF(M$3&lt;=$O$2,$D356,$D356-($D356-$I$346)*MIN(M$3-$O$2,$Q$2)/$Q$2))</f>
        <v>11038.472062639</v>
      </c>
      <c r="N356" s="15" t="n">
        <f aca="false">M356*(1+IF(N$3&lt;=$O$2,$D356,$D356-($D356-$I$346)*MIN(N$3-$O$2,$Q$2)/$Q$2))</f>
        <v>11295.6684616985</v>
      </c>
      <c r="O356" s="15" t="n">
        <f aca="false">SUMPRODUCT(E356:N356,1/(1+$F$346)^$E$3:$N$3)*$E$2</f>
        <v>38584.4536431897</v>
      </c>
      <c r="P356" s="15" t="n">
        <f aca="false">N356*$E$2*(1+$I$346)/($F$346-$I$346)/(1+$F$346)^$N$3</f>
        <v>63101.368463515</v>
      </c>
      <c r="Q356" s="15" t="n">
        <f aca="false">O356+P356</f>
        <v>101685.822106705</v>
      </c>
      <c r="R356" s="15" t="n">
        <f aca="false">Q356-$G$2+$I$2</f>
        <v>100095.822106705</v>
      </c>
      <c r="S356" s="42" t="n">
        <f aca="false">R356/$K$2</f>
        <v>278.368713795831</v>
      </c>
      <c r="T356" s="43" t="n">
        <f aca="false">S356-$M$2</f>
        <v>0.34991408505681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0.0625</v>
      </c>
      <c r="C357" s="25" t="n">
        <f aca="false">IF(T356&gt;0,D356,C356)</f>
        <v>0.0654296875</v>
      </c>
      <c r="D357" s="41" t="n">
        <f aca="false">(B357+C357)/2</f>
        <v>0.06396484375</v>
      </c>
      <c r="E357" s="15" t="n">
        <f aca="false">$C$2*(1+IF(E$3&lt;=$O$2,$D357,$D357-($D357-$I$346)*MIN(E$3-$O$2,$Q$2)/$Q$2))</f>
        <v>7192.40234375</v>
      </c>
      <c r="F357" s="15" t="n">
        <f aca="false">E357*(1+IF(F$3&lt;=$O$2,$D357,$D357-($D357-$I$346)*MIN(F$3-$O$2,$Q$2)/$Q$2))</f>
        <v>7652.4632358551</v>
      </c>
      <c r="G357" s="15" t="n">
        <f aca="false">F357*(1+IF(G$3&lt;=$O$2,$D357,$D357-($D357-$I$346)*MIN(G$3-$O$2,$Q$2)/$Q$2))</f>
        <v>8141.95185103919</v>
      </c>
      <c r="H357" s="15" t="n">
        <f aca="false">G357*(1+IF(H$3&lt;=$O$2,$D357,$D357-($D357-$I$346)*MIN(H$3-$O$2,$Q$2)/$Q$2))</f>
        <v>8662.75052901094</v>
      </c>
      <c r="I357" s="15" t="n">
        <f aca="false">H357*(1+IF(I$3&lt;=$O$2,$D357,$D357-($D357-$I$346)*MIN(I$3-$O$2,$Q$2)/$Q$2))</f>
        <v>9216.86201304435</v>
      </c>
      <c r="J357" s="15" t="n">
        <f aca="false">I357*(1+IF(J$3&lt;=$O$2,$D357,$D357-($D357-$I$346)*MIN(J$3-$O$2,$Q$2)/$Q$2))</f>
        <v>9731.45670084889</v>
      </c>
      <c r="K357" s="15" t="n">
        <f aca="false">J357*(1+IF(K$3&lt;=$O$2,$D357,$D357-($D357-$I$346)*MIN(K$3-$O$2,$Q$2)/$Q$2))</f>
        <v>10195.6365416986</v>
      </c>
      <c r="L357" s="15" t="n">
        <f aca="false">K357*(1+IF(L$3&lt;=$O$2,$D357,$D357-($D357-$I$346)*MIN(L$3-$O$2,$Q$2)/$Q$2))</f>
        <v>10599.0364598802</v>
      </c>
      <c r="M357" s="15" t="n">
        <f aca="false">L357*(1+IF(M$3&lt;=$O$2,$D357,$D357-($D357-$I$346)*MIN(M$3-$O$2,$Q$2)/$Q$2))</f>
        <v>10932.1956417037</v>
      </c>
      <c r="N357" s="15" t="n">
        <f aca="false">M357*(1+IF(N$3&lt;=$O$2,$D357,$D357-($D357-$I$346)*MIN(N$3-$O$2,$Q$2)/$Q$2))</f>
        <v>11186.9158001554</v>
      </c>
      <c r="O357" s="15" t="n">
        <f aca="false">SUMPRODUCT(E357:N357,1/(1+$F$346)^$E$3:$N$3)*$E$2</f>
        <v>38336.5289792326</v>
      </c>
      <c r="P357" s="15" t="n">
        <f aca="false">N357*$E$2*(1+$I$346)/($F$346-$I$346)/(1+$F$346)^$N$3</f>
        <v>62493.839852819</v>
      </c>
      <c r="Q357" s="15" t="n">
        <f aca="false">O357+P357</f>
        <v>100830.368832052</v>
      </c>
      <c r="R357" s="15" t="n">
        <f aca="false">Q357-$G$2+$I$2</f>
        <v>99240.3688320516</v>
      </c>
      <c r="S357" s="42" t="n">
        <f aca="false">R357/$K$2</f>
        <v>275.989679159162</v>
      </c>
      <c r="T357" s="43" t="n">
        <f aca="false">S357-$M$2</f>
        <v>-2.02912055161147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0.06396484375</v>
      </c>
      <c r="C358" s="25" t="n">
        <f aca="false">IF(T357&gt;0,D357,C357)</f>
        <v>0.0654296875</v>
      </c>
      <c r="D358" s="41" t="n">
        <f aca="false">(B358+C358)/2</f>
        <v>0.064697265625</v>
      </c>
      <c r="E358" s="15" t="n">
        <f aca="false">$C$2*(1+IF(E$3&lt;=$O$2,$D358,$D358-($D358-$I$346)*MIN(E$3-$O$2,$Q$2)/$Q$2))</f>
        <v>7197.353515625</v>
      </c>
      <c r="F358" s="15" t="n">
        <f aca="false">E358*(1+IF(F$3&lt;=$O$2,$D358,$D358-($D358-$I$346)*MIN(F$3-$O$2,$Q$2)/$Q$2))</f>
        <v>7663.00260782242</v>
      </c>
      <c r="G358" s="15" t="n">
        <f aca="false">F358*(1+IF(G$3&lt;=$O$2,$D358,$D358-($D358-$I$346)*MIN(G$3-$O$2,$Q$2)/$Q$2))</f>
        <v>8158.77792302577</v>
      </c>
      <c r="H358" s="15" t="n">
        <f aca="false">G358*(1+IF(H$3&lt;=$O$2,$D358,$D358-($D358-$I$346)*MIN(H$3-$O$2,$Q$2)/$Q$2))</f>
        <v>8686.62854548716</v>
      </c>
      <c r="I358" s="15" t="n">
        <f aca="false">H358*(1+IF(I$3&lt;=$O$2,$D358,$D358-($D358-$I$346)*MIN(I$3-$O$2,$Q$2)/$Q$2))</f>
        <v>9248.62965988025</v>
      </c>
      <c r="J358" s="15" t="n">
        <f aca="false">I358*(1+IF(J$3&lt;=$O$2,$D358,$D358-($D358-$I$346)*MIN(J$3-$O$2,$Q$2)/$Q$2))</f>
        <v>9770.41711391331</v>
      </c>
      <c r="K358" s="15" t="n">
        <f aca="false">J358*(1+IF(K$3&lt;=$O$2,$D358,$D358-($D358-$I$346)*MIN(K$3-$O$2,$Q$2)/$Q$2))</f>
        <v>10240.7489641865</v>
      </c>
      <c r="L358" s="15" t="n">
        <f aca="false">K358*(1+IF(L$3&lt;=$O$2,$D358,$D358-($D358-$I$346)*MIN(L$3-$O$2,$Q$2)/$Q$2))</f>
        <v>10648.9340170798</v>
      </c>
      <c r="M358" s="15" t="n">
        <f aca="false">L358*(1+IF(M$3&lt;=$O$2,$D358,$D358-($D358-$I$346)*MIN(M$3-$O$2,$Q$2)/$Q$2))</f>
        <v>10985.2215297034</v>
      </c>
      <c r="N358" s="15" t="n">
        <f aca="false">M358*(1+IF(N$3&lt;=$O$2,$D358,$D358-($D358-$I$346)*MIN(N$3-$O$2,$Q$2)/$Q$2))</f>
        <v>11241.1771913455</v>
      </c>
      <c r="O358" s="15" t="n">
        <f aca="false">SUMPRODUCT(E358:N358,1/(1+$F$346)^$E$3:$N$3)*$E$2</f>
        <v>38460.2915092589</v>
      </c>
      <c r="P358" s="15" t="n">
        <f aca="false">N358*$E$2*(1+$I$346)/($F$346-$I$346)/(1+$F$346)^$N$3</f>
        <v>62796.9620673598</v>
      </c>
      <c r="Q358" s="15" t="n">
        <f aca="false">O358+P358</f>
        <v>101257.253576619</v>
      </c>
      <c r="R358" s="15" t="n">
        <f aca="false">Q358-$G$2+$I$2</f>
        <v>99667.2535766187</v>
      </c>
      <c r="S358" s="42" t="n">
        <f aca="false">R358/$K$2</f>
        <v>277.176855154955</v>
      </c>
      <c r="T358" s="43" t="n">
        <f aca="false">S358-$M$2</f>
        <v>-0.841944555818884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0.064697265625</v>
      </c>
      <c r="C359" s="25" t="n">
        <f aca="false">IF(T358&gt;0,D358,C358)</f>
        <v>0.0654296875</v>
      </c>
      <c r="D359" s="41" t="n">
        <f aca="false">(B359+C359)/2</f>
        <v>0.0650634765625</v>
      </c>
      <c r="E359" s="15" t="n">
        <f aca="false">$C$2*(1+IF(E$3&lt;=$O$2,$D359,$D359-($D359-$I$346)*MIN(E$3-$O$2,$Q$2)/$Q$2))</f>
        <v>7199.8291015625</v>
      </c>
      <c r="F359" s="15" t="n">
        <f aca="false">E359*(1+IF(F$3&lt;=$O$2,$D359,$D359-($D359-$I$346)*MIN(F$3-$O$2,$Q$2)/$Q$2))</f>
        <v>7668.27501356602</v>
      </c>
      <c r="G359" s="15" t="n">
        <f aca="false">F359*(1+IF(G$3&lt;=$O$2,$D359,$D359-($D359-$I$346)*MIN(G$3-$O$2,$Q$2)/$Q$2))</f>
        <v>8167.19964518597</v>
      </c>
      <c r="H359" s="15" t="n">
        <f aca="false">G359*(1+IF(H$3&lt;=$O$2,$D359,$D359-($D359-$I$346)*MIN(H$3-$O$2,$Q$2)/$Q$2))</f>
        <v>8698.58604788179</v>
      </c>
      <c r="I359" s="15" t="n">
        <f aca="false">H359*(1+IF(I$3&lt;=$O$2,$D359,$D359-($D359-$I$346)*MIN(I$3-$O$2,$Q$2)/$Q$2))</f>
        <v>9264.54629733504</v>
      </c>
      <c r="J359" s="15" t="n">
        <f aca="false">I359*(1+IF(J$3&lt;=$O$2,$D359,$D359-($D359-$I$346)*MIN(J$3-$O$2,$Q$2)/$Q$2))</f>
        <v>9789.9459557837</v>
      </c>
      <c r="K359" s="15" t="n">
        <f aca="false">J359*(1+IF(K$3&lt;=$O$2,$D359,$D359-($D359-$I$346)*MIN(K$3-$O$2,$Q$2)/$Q$2))</f>
        <v>10263.369003637</v>
      </c>
      <c r="L359" s="15" t="n">
        <f aca="false">K359*(1+IF(L$3&lt;=$O$2,$D359,$D359-($D359-$I$346)*MIN(L$3-$O$2,$Q$2)/$Q$2))</f>
        <v>10673.959089756</v>
      </c>
      <c r="M359" s="15" t="n">
        <f aca="false">L359*(1+IF(M$3&lt;=$O$2,$D359,$D359-($D359-$I$346)*MIN(M$3-$O$2,$Q$2)/$Q$2))</f>
        <v>11011.8186646021</v>
      </c>
      <c r="N359" s="15" t="n">
        <f aca="false">M359*(1+IF(N$3&lt;=$O$2,$D359,$D359-($D359-$I$346)*MIN(N$3-$O$2,$Q$2)/$Q$2))</f>
        <v>11268.3940394874</v>
      </c>
      <c r="O359" s="15" t="n">
        <f aca="false">SUMPRODUCT(E359:N359,1/(1+$F$346)^$E$3:$N$3)*$E$2</f>
        <v>38522.3225508536</v>
      </c>
      <c r="P359" s="15" t="n">
        <f aca="false">N359*$E$2*(1+$I$346)/($F$346-$I$346)/(1+$F$346)^$N$3</f>
        <v>62949.0044514682</v>
      </c>
      <c r="Q359" s="15" t="n">
        <f aca="false">O359+P359</f>
        <v>101471.327002322</v>
      </c>
      <c r="R359" s="15" t="n">
        <f aca="false">Q359-$G$2+$I$2</f>
        <v>99881.3270023218</v>
      </c>
      <c r="S359" s="42" t="n">
        <f aca="false">R359/$K$2</f>
        <v>277.772198126486</v>
      </c>
      <c r="T359" s="43" t="n">
        <f aca="false">S359-$M$2</f>
        <v>-0.246601584287816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0.0650634765625</v>
      </c>
      <c r="C360" s="25" t="n">
        <f aca="false">IF(T359&gt;0,D359,C359)</f>
        <v>0.0654296875</v>
      </c>
      <c r="D360" s="41" t="n">
        <f aca="false">(B360+C360)/2</f>
        <v>0.06524658203125</v>
      </c>
      <c r="E360" s="15" t="n">
        <f aca="false">$C$2*(1+IF(E$3&lt;=$O$2,$D360,$D360-($D360-$I$346)*MIN(E$3-$O$2,$Q$2)/$Q$2))</f>
        <v>7201.06689453125</v>
      </c>
      <c r="F360" s="15" t="n">
        <f aca="false">E360*(1+IF(F$3&lt;=$O$2,$D360,$D360-($D360-$I$346)*MIN(F$3-$O$2,$Q$2)/$Q$2))</f>
        <v>7670.9118963778</v>
      </c>
      <c r="G360" s="15" t="n">
        <f aca="false">F360*(1+IF(G$3&lt;=$O$2,$D360,$D360-($D360-$I$346)*MIN(G$3-$O$2,$Q$2)/$Q$2))</f>
        <v>8171.41267867931</v>
      </c>
      <c r="H360" s="15" t="n">
        <f aca="false">G360*(1+IF(H$3&lt;=$O$2,$D360,$D360-($D360-$I$346)*MIN(H$3-$O$2,$Q$2)/$Q$2))</f>
        <v>8704.56942632995</v>
      </c>
      <c r="I360" s="15" t="n">
        <f aca="false">H360*(1+IF(I$3&lt;=$O$2,$D360,$D360-($D360-$I$346)*MIN(I$3-$O$2,$Q$2)/$Q$2))</f>
        <v>9272.5128294517</v>
      </c>
      <c r="J360" s="15" t="n">
        <f aca="false">I360*(1+IF(J$3&lt;=$O$2,$D360,$D360-($D360-$I$346)*MIN(J$3-$O$2,$Q$2)/$Q$2))</f>
        <v>9799.72255440706</v>
      </c>
      <c r="K360" s="15" t="n">
        <f aca="false">J360*(1+IF(K$3&lt;=$O$2,$D360,$D360-($D360-$I$346)*MIN(K$3-$O$2,$Q$2)/$Q$2))</f>
        <v>10274.6950095319</v>
      </c>
      <c r="L360" s="15" t="n">
        <f aca="false">K360*(1+IF(L$3&lt;=$O$2,$D360,$D360-($D360-$I$346)*MIN(L$3-$O$2,$Q$2)/$Q$2))</f>
        <v>10686.4907380794</v>
      </c>
      <c r="M360" s="15" t="n">
        <f aca="false">L360*(1+IF(M$3&lt;=$O$2,$D360,$D360-($D360-$I$346)*MIN(M$3-$O$2,$Q$2)/$Q$2))</f>
        <v>11025.1383243508</v>
      </c>
      <c r="N360" s="15" t="n">
        <f aca="false">M360*(1+IF(N$3&lt;=$O$2,$D360,$D360-($D360-$I$346)*MIN(N$3-$O$2,$Q$2)/$Q$2))</f>
        <v>11282.0240473082</v>
      </c>
      <c r="O360" s="15" t="n">
        <f aca="false">SUMPRODUCT(E360:N360,1/(1+$F$346)^$E$3:$N$3)*$E$2</f>
        <v>38553.375581308</v>
      </c>
      <c r="P360" s="15" t="n">
        <f aca="false">N360*$E$2*(1+$I$346)/($F$346-$I$346)/(1+$F$346)^$N$3</f>
        <v>63025.1462175424</v>
      </c>
      <c r="Q360" s="15" t="n">
        <f aca="false">O360+P360</f>
        <v>101578.52179885</v>
      </c>
      <c r="R360" s="15" t="n">
        <f aca="false">Q360-$G$2+$I$2</f>
        <v>99988.5217988504</v>
      </c>
      <c r="S360" s="42" t="n">
        <f aca="false">R360/$K$2</f>
        <v>278.070309246483</v>
      </c>
      <c r="T360" s="43" t="n">
        <f aca="false">S360-$M$2</f>
        <v>0.0515095357095561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0.0650634765625</v>
      </c>
      <c r="C361" s="25" t="n">
        <f aca="false">IF(T360&gt;0,D360,C360)</f>
        <v>0.06524658203125</v>
      </c>
      <c r="D361" s="41" t="n">
        <f aca="false">(B361+C361)/2</f>
        <v>0.065155029296875</v>
      </c>
      <c r="E361" s="15" t="n">
        <f aca="false">$C$2*(1+IF(E$3&lt;=$O$2,$D361,$D361-($D361-$I$346)*MIN(E$3-$O$2,$Q$2)/$Q$2))</f>
        <v>7200.44799804688</v>
      </c>
      <c r="F361" s="15" t="n">
        <f aca="false">E361*(1+IF(F$3&lt;=$O$2,$D361,$D361-($D361-$I$346)*MIN(F$3-$O$2,$Q$2)/$Q$2))</f>
        <v>7669.59339831024</v>
      </c>
      <c r="G361" s="15" t="n">
        <f aca="false">F361*(1+IF(G$3&lt;=$O$2,$D361,$D361-($D361-$I$346)*MIN(G$3-$O$2,$Q$2)/$Q$2))</f>
        <v>8169.30598087227</v>
      </c>
      <c r="H361" s="15" t="n">
        <f aca="false">G361*(1+IF(H$3&lt;=$O$2,$D361,$D361-($D361-$I$346)*MIN(H$3-$O$2,$Q$2)/$Q$2))</f>
        <v>8701.57735139114</v>
      </c>
      <c r="I361" s="15" t="n">
        <f aca="false">H361*(1+IF(I$3&lt;=$O$2,$D361,$D361-($D361-$I$346)*MIN(I$3-$O$2,$Q$2)/$Q$2))</f>
        <v>9268.52887865005</v>
      </c>
      <c r="J361" s="15" t="n">
        <f aca="false">I361*(1+IF(J$3&lt;=$O$2,$D361,$D361-($D361-$I$346)*MIN(J$3-$O$2,$Q$2)/$Q$2))</f>
        <v>9794.83323972646</v>
      </c>
      <c r="K361" s="15" t="n">
        <f aca="false">J361*(1+IF(K$3&lt;=$O$2,$D361,$D361-($D361-$I$346)*MIN(K$3-$O$2,$Q$2)/$Q$2))</f>
        <v>10269.0306735361</v>
      </c>
      <c r="L361" s="15" t="n">
        <f aca="false">K361*(1+IF(L$3&lt;=$O$2,$D361,$D361-($D361-$I$346)*MIN(L$3-$O$2,$Q$2)/$Q$2))</f>
        <v>10680.2233201061</v>
      </c>
      <c r="M361" s="15" t="n">
        <f aca="false">L361*(1+IF(M$3&lt;=$O$2,$D361,$D361-($D361-$I$346)*MIN(M$3-$O$2,$Q$2)/$Q$2))</f>
        <v>11018.4767354566</v>
      </c>
      <c r="N361" s="15" t="n">
        <f aca="false">M361*(1+IF(N$3&lt;=$O$2,$D361,$D361-($D361-$I$346)*MIN(N$3-$O$2,$Q$2)/$Q$2))</f>
        <v>11275.2072433927</v>
      </c>
      <c r="O361" s="15" t="n">
        <f aca="false">SUMPRODUCT(E361:N361,1/(1+$F$346)^$E$3:$N$3)*$E$2</f>
        <v>38537.8459383242</v>
      </c>
      <c r="P361" s="15" t="n">
        <f aca="false">N361*$E$2*(1+$I$346)/($F$346-$I$346)/(1+$F$346)^$N$3</f>
        <v>62987.0652790773</v>
      </c>
      <c r="Q361" s="15" t="n">
        <f aca="false">O361+P361</f>
        <v>101524.911217402</v>
      </c>
      <c r="R361" s="15" t="n">
        <f aca="false">Q361-$G$2+$I$2</f>
        <v>99934.9112174015</v>
      </c>
      <c r="S361" s="42" t="n">
        <f aca="false">R361/$K$2</f>
        <v>277.921217023754</v>
      </c>
      <c r="T361" s="43" t="n">
        <f aca="false">S361-$M$2</f>
        <v>-0.0975826870194965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0.065155029296875</v>
      </c>
      <c r="C362" s="25" t="n">
        <f aca="false">IF(T361&gt;0,D361,C361)</f>
        <v>0.06524658203125</v>
      </c>
      <c r="D362" s="41" t="n">
        <f aca="false">(B362+C362)/2</f>
        <v>0.0652008056640625</v>
      </c>
      <c r="E362" s="15" t="n">
        <f aca="false">$C$2*(1+IF(E$3&lt;=$O$2,$D362,$D362-($D362-$I$346)*MIN(E$3-$O$2,$Q$2)/$Q$2))</f>
        <v>7200.75744628906</v>
      </c>
      <c r="F362" s="15" t="n">
        <f aca="false">E362*(1+IF(F$3&lt;=$O$2,$D362,$D362-($D362-$I$346)*MIN(F$3-$O$2,$Q$2)/$Q$2))</f>
        <v>7670.25263317861</v>
      </c>
      <c r="G362" s="15" t="n">
        <f aca="false">F362*(1+IF(G$3&lt;=$O$2,$D362,$D362-($D362-$I$346)*MIN(G$3-$O$2,$Q$2)/$Q$2))</f>
        <v>8170.35928450875</v>
      </c>
      <c r="H362" s="15" t="n">
        <f aca="false">G362*(1+IF(H$3&lt;=$O$2,$D362,$D362-($D362-$I$346)*MIN(H$3-$O$2,$Q$2)/$Q$2))</f>
        <v>8703.07329242357</v>
      </c>
      <c r="I362" s="15" t="n">
        <f aca="false">H362*(1+IF(I$3&lt;=$O$2,$D362,$D362-($D362-$I$346)*MIN(I$3-$O$2,$Q$2)/$Q$2))</f>
        <v>9270.52068284298</v>
      </c>
      <c r="J362" s="15" t="n">
        <f aca="false">I362*(1+IF(J$3&lt;=$O$2,$D362,$D362-($D362-$I$346)*MIN(J$3-$O$2,$Q$2)/$Q$2))</f>
        <v>9797.2776431824</v>
      </c>
      <c r="K362" s="15" t="n">
        <f aca="false">J362*(1+IF(K$3&lt;=$O$2,$D362,$D362-($D362-$I$346)*MIN(K$3-$O$2,$Q$2)/$Q$2))</f>
        <v>10271.8625082069</v>
      </c>
      <c r="L362" s="15" t="n">
        <f aca="false">K362*(1+IF(L$3&lt;=$O$2,$D362,$D362-($D362-$I$346)*MIN(L$3-$O$2,$Q$2)/$Q$2))</f>
        <v>10683.3566305538</v>
      </c>
      <c r="M362" s="15" t="n">
        <f aca="false">L362*(1+IF(M$3&lt;=$O$2,$D362,$D362-($D362-$I$346)*MIN(M$3-$O$2,$Q$2)/$Q$2))</f>
        <v>11021.8070900491</v>
      </c>
      <c r="N362" s="15" t="n">
        <f aca="false">M362*(1+IF(N$3&lt;=$O$2,$D362,$D362-($D362-$I$346)*MIN(N$3-$O$2,$Q$2)/$Q$2))</f>
        <v>11278.6151952472</v>
      </c>
      <c r="O362" s="15" t="n">
        <f aca="false">SUMPRODUCT(E362:N362,1/(1+$F$346)^$E$3:$N$3)*$E$2</f>
        <v>38545.6099777305</v>
      </c>
      <c r="P362" s="15" t="n">
        <f aca="false">N362*$E$2*(1+$I$346)/($F$346-$I$346)/(1+$F$346)^$N$3</f>
        <v>63006.1032338831</v>
      </c>
      <c r="Q362" s="15" t="n">
        <f aca="false">O362+P362</f>
        <v>101551.713211614</v>
      </c>
      <c r="R362" s="15" t="n">
        <f aca="false">Q362-$G$2+$I$2</f>
        <v>99961.7132116137</v>
      </c>
      <c r="S362" s="42" t="n">
        <f aca="false">R362/$K$2</f>
        <v>277.995753967444</v>
      </c>
      <c r="T362" s="43" t="n">
        <f aca="false">S362-$M$2</f>
        <v>-0.0230457433293054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0.0652008056640625</v>
      </c>
      <c r="C363" s="25" t="n">
        <f aca="false">IF(T362&gt;0,D362,C362)</f>
        <v>0.06524658203125</v>
      </c>
      <c r="D363" s="41" t="n">
        <f aca="false">(B363+C363)/2</f>
        <v>0.0652236938476563</v>
      </c>
      <c r="E363" s="15" t="n">
        <f aca="false">$C$2*(1+IF(E$3&lt;=$O$2,$D363,$D363-($D363-$I$346)*MIN(E$3-$O$2,$Q$2)/$Q$2))</f>
        <v>7200.91217041016</v>
      </c>
      <c r="F363" s="15" t="n">
        <f aca="false">E363*(1+IF(F$3&lt;=$O$2,$D363,$D363-($D363-$I$346)*MIN(F$3-$O$2,$Q$2)/$Q$2))</f>
        <v>7670.58226123685</v>
      </c>
      <c r="G363" s="15" t="n">
        <f aca="false">F363*(1+IF(G$3&lt;=$O$2,$D363,$D363-($D363-$I$346)*MIN(G$3-$O$2,$Q$2)/$Q$2))</f>
        <v>8170.88597027703</v>
      </c>
      <c r="H363" s="15" t="n">
        <f aca="false">G363*(1+IF(H$3&lt;=$O$2,$D363,$D363-($D363-$I$346)*MIN(H$3-$O$2,$Q$2)/$Q$2))</f>
        <v>8703.82133526648</v>
      </c>
      <c r="I363" s="15" t="n">
        <f aca="false">H363*(1+IF(I$3&lt;=$O$2,$D363,$D363-($D363-$I$346)*MIN(I$3-$O$2,$Q$2)/$Q$2))</f>
        <v>9271.5167133426</v>
      </c>
      <c r="J363" s="15" t="n">
        <f aca="false">I363*(1+IF(J$3&lt;=$O$2,$D363,$D363-($D363-$I$346)*MIN(J$3-$O$2,$Q$2)/$Q$2))</f>
        <v>9798.50003531837</v>
      </c>
      <c r="K363" s="15" t="n">
        <f aca="false">J363*(1+IF(K$3&lt;=$O$2,$D363,$D363-($D363-$I$346)*MIN(K$3-$O$2,$Q$2)/$Q$2))</f>
        <v>10273.2786755295</v>
      </c>
      <c r="L363" s="15" t="n">
        <f aca="false">K363*(1+IF(L$3&lt;=$O$2,$D363,$D363-($D363-$I$346)*MIN(L$3-$O$2,$Q$2)/$Q$2))</f>
        <v>10684.9235846711</v>
      </c>
      <c r="M363" s="15" t="n">
        <f aca="false">L363*(1+IF(M$3&lt;=$O$2,$D363,$D363-($D363-$I$346)*MIN(M$3-$O$2,$Q$2)/$Q$2))</f>
        <v>11023.4725972238</v>
      </c>
      <c r="N363" s="15" t="n">
        <f aca="false">M363*(1+IF(N$3&lt;=$O$2,$D363,$D363-($D363-$I$346)*MIN(N$3-$O$2,$Q$2)/$Q$2))</f>
        <v>11280.3195087391</v>
      </c>
      <c r="O363" s="15" t="n">
        <f aca="false">SUMPRODUCT(E363:N363,1/(1+$F$346)^$E$3:$N$3)*$E$2</f>
        <v>38549.4925839796</v>
      </c>
      <c r="P363" s="15" t="n">
        <f aca="false">N363*$E$2*(1+$I$346)/($F$346-$I$346)/(1+$F$346)^$N$3</f>
        <v>63015.6240970348</v>
      </c>
      <c r="Q363" s="15" t="n">
        <f aca="false">O363+P363</f>
        <v>101565.116681014</v>
      </c>
      <c r="R363" s="15" t="n">
        <f aca="false">Q363-$G$2+$I$2</f>
        <v>99975.1166810144</v>
      </c>
      <c r="S363" s="42" t="n">
        <f aca="false">R363/$K$2</f>
        <v>278.033029314796</v>
      </c>
      <c r="T363" s="43" t="n">
        <f aca="false">S363-$M$2</f>
        <v>0.0142296040224323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0.0652008056640625</v>
      </c>
      <c r="C364" s="25" t="n">
        <f aca="false">IF(T363&gt;0,D363,C363)</f>
        <v>0.0652236938476563</v>
      </c>
      <c r="D364" s="41" t="n">
        <f aca="false">(B364+C364)/2</f>
        <v>0.0652122497558594</v>
      </c>
      <c r="E364" s="15" t="n">
        <f aca="false">$C$2*(1+IF(E$3&lt;=$O$2,$D364,$D364-($D364-$I$346)*MIN(E$3-$O$2,$Q$2)/$Q$2))</f>
        <v>7200.83480834961</v>
      </c>
      <c r="F364" s="15" t="n">
        <f aca="false">E364*(1+IF(F$3&lt;=$O$2,$D364,$D364-($D364-$I$346)*MIN(F$3-$O$2,$Q$2)/$Q$2))</f>
        <v>7670.41744632239</v>
      </c>
      <c r="G364" s="15" t="n">
        <f aca="false">F364*(1+IF(G$3&lt;=$O$2,$D364,$D364-($D364-$I$346)*MIN(G$3-$O$2,$Q$2)/$Q$2))</f>
        <v>8170.62262456367</v>
      </c>
      <c r="H364" s="15" t="n">
        <f aca="false">G364*(1+IF(H$3&lt;=$O$2,$D364,$D364-($D364-$I$346)*MIN(H$3-$O$2,$Q$2)/$Q$2))</f>
        <v>8703.44730781759</v>
      </c>
      <c r="I364" s="15" t="n">
        <f aca="false">H364*(1+IF(I$3&lt;=$O$2,$D364,$D364-($D364-$I$346)*MIN(I$3-$O$2,$Q$2)/$Q$2))</f>
        <v>9271.01868739195</v>
      </c>
      <c r="J364" s="15" t="n">
        <f aca="false">I364*(1+IF(J$3&lt;=$O$2,$D364,$D364-($D364-$I$346)*MIN(J$3-$O$2,$Q$2)/$Q$2))</f>
        <v>9797.88882338195</v>
      </c>
      <c r="K364" s="15" t="n">
        <f aca="false">J364*(1+IF(K$3&lt;=$O$2,$D364,$D364-($D364-$I$346)*MIN(K$3-$O$2,$Q$2)/$Q$2))</f>
        <v>10272.5705710342</v>
      </c>
      <c r="L364" s="15" t="n">
        <f aca="false">K364*(1+IF(L$3&lt;=$O$2,$D364,$D364-($D364-$I$346)*MIN(L$3-$O$2,$Q$2)/$Q$2))</f>
        <v>10684.1400827024</v>
      </c>
      <c r="M364" s="15" t="n">
        <f aca="false">L364*(1+IF(M$3&lt;=$O$2,$D364,$D364-($D364-$I$346)*MIN(M$3-$O$2,$Q$2)/$Q$2))</f>
        <v>11022.639816144</v>
      </c>
      <c r="N364" s="15" t="n">
        <f aca="false">M364*(1+IF(N$3&lt;=$O$2,$D364,$D364-($D364-$I$346)*MIN(N$3-$O$2,$Q$2)/$Q$2))</f>
        <v>11279.4673238601</v>
      </c>
      <c r="O364" s="15" t="n">
        <f aca="false">SUMPRODUCT(E364:N364,1/(1+$F$346)^$E$3:$N$3)*$E$2</f>
        <v>38547.5512319724</v>
      </c>
      <c r="P364" s="15" t="n">
        <f aca="false">N364*$E$2*(1+$I$346)/($F$346-$I$346)/(1+$F$346)^$N$3</f>
        <v>63010.8635082984</v>
      </c>
      <c r="Q364" s="15" t="n">
        <f aca="false">O364+P364</f>
        <v>101558.414740271</v>
      </c>
      <c r="R364" s="15" t="n">
        <f aca="false">Q364-$G$2+$I$2</f>
        <v>99968.4147402708</v>
      </c>
      <c r="S364" s="42" t="n">
        <f aca="false">R364/$K$2</f>
        <v>278.014391068109</v>
      </c>
      <c r="T364" s="43" t="n">
        <f aca="false">S364-$M$2</f>
        <v>-0.00440864266425933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0.0652122497558594</v>
      </c>
      <c r="C365" s="25" t="n">
        <f aca="false">IF(T364&gt;0,D364,C364)</f>
        <v>0.0652236938476563</v>
      </c>
      <c r="D365" s="41" t="n">
        <f aca="false">(B365+C365)/2</f>
        <v>0.0652179718017578</v>
      </c>
      <c r="E365" s="15" t="n">
        <f aca="false">$C$2*(1+IF(E$3&lt;=$O$2,$D365,$D365-($D365-$I$346)*MIN(E$3-$O$2,$Q$2)/$Q$2))</f>
        <v>7200.87348937988</v>
      </c>
      <c r="F365" s="15" t="n">
        <f aca="false">E365*(1+IF(F$3&lt;=$O$2,$D365,$D365-($D365-$I$346)*MIN(F$3-$O$2,$Q$2)/$Q$2))</f>
        <v>7670.49985355829</v>
      </c>
      <c r="G365" s="15" t="n">
        <f aca="false">F365*(1+IF(G$3&lt;=$O$2,$D365,$D365-($D365-$I$346)*MIN(G$3-$O$2,$Q$2)/$Q$2))</f>
        <v>8170.75429671304</v>
      </c>
      <c r="H365" s="15" t="n">
        <f aca="false">G365*(1+IF(H$3&lt;=$O$2,$D365,$D365-($D365-$I$346)*MIN(H$3-$O$2,$Q$2)/$Q$2))</f>
        <v>8703.63432003516</v>
      </c>
      <c r="I365" s="15" t="n">
        <f aca="false">H365*(1+IF(I$3&lt;=$O$2,$D365,$D365-($D365-$I$346)*MIN(I$3-$O$2,$Q$2)/$Q$2))</f>
        <v>9271.26769769202</v>
      </c>
      <c r="J365" s="15" t="n">
        <f aca="false">I365*(1+IF(J$3&lt;=$O$2,$D365,$D365-($D365-$I$346)*MIN(J$3-$O$2,$Q$2)/$Q$2))</f>
        <v>9798.19442538297</v>
      </c>
      <c r="K365" s="15" t="n">
        <f aca="false">J365*(1+IF(K$3&lt;=$O$2,$D365,$D365-($D365-$I$346)*MIN(K$3-$O$2,$Q$2)/$Q$2))</f>
        <v>10272.9246180732</v>
      </c>
      <c r="L365" s="15" t="n">
        <f aca="false">K365*(1+IF(L$3&lt;=$O$2,$D365,$D365-($D365-$I$346)*MIN(L$3-$O$2,$Q$2)/$Q$2))</f>
        <v>10684.5318274591</v>
      </c>
      <c r="M365" s="15" t="n">
        <f aca="false">L365*(1+IF(M$3&lt;=$O$2,$D365,$D365-($D365-$I$346)*MIN(M$3-$O$2,$Q$2)/$Q$2))</f>
        <v>11023.0561998106</v>
      </c>
      <c r="N365" s="15" t="n">
        <f aca="false">M365*(1+IF(N$3&lt;=$O$2,$D365,$D365-($D365-$I$346)*MIN(N$3-$O$2,$Q$2)/$Q$2))</f>
        <v>11279.8934092662</v>
      </c>
      <c r="O365" s="15" t="n">
        <f aca="false">SUMPRODUCT(E365:N365,1/(1+$F$346)^$E$3:$N$3)*$E$2</f>
        <v>38548.521895755</v>
      </c>
      <c r="P365" s="15" t="n">
        <f aca="false">N365*$E$2*(1+$I$346)/($F$346-$I$346)/(1+$F$346)^$N$3</f>
        <v>63013.2437633754</v>
      </c>
      <c r="Q365" s="15" t="n">
        <f aca="false">O365+P365</f>
        <v>101561.76565913</v>
      </c>
      <c r="R365" s="15" t="n">
        <f aca="false">Q365-$G$2+$I$2</f>
        <v>99971.7656591304</v>
      </c>
      <c r="S365" s="42" t="n">
        <f aca="false">R365/$K$2</f>
        <v>278.023710048196</v>
      </c>
      <c r="T365" s="43" t="n">
        <f aca="false">S365-$M$2</f>
        <v>0.00491033742247282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0.0652122497558594</v>
      </c>
      <c r="C366" s="25" t="n">
        <f aca="false">IF(T365&gt;0,D365,C365)</f>
        <v>0.0652179718017578</v>
      </c>
      <c r="D366" s="41" t="n">
        <f aca="false">(B366+C366)/2</f>
        <v>0.0652151107788086</v>
      </c>
      <c r="E366" s="15" t="n">
        <f aca="false">$C$2*(1+IF(E$3&lt;=$O$2,$D366,$D366-($D366-$I$346)*MIN(E$3-$O$2,$Q$2)/$Q$2))</f>
        <v>7200.85414886475</v>
      </c>
      <c r="F366" s="15" t="n">
        <f aca="false">E366*(1+IF(F$3&lt;=$O$2,$D366,$D366-($D366-$I$346)*MIN(F$3-$O$2,$Q$2)/$Q$2))</f>
        <v>7670.458649885</v>
      </c>
      <c r="G366" s="15" t="n">
        <f aca="false">F366*(1+IF(G$3&lt;=$O$2,$D366,$D366-($D366-$I$346)*MIN(G$3-$O$2,$Q$2)/$Q$2))</f>
        <v>8170.68846046153</v>
      </c>
      <c r="H366" s="15" t="n">
        <f aca="false">G366*(1+IF(H$3&lt;=$O$2,$D366,$D366-($D366-$I$346)*MIN(H$3-$O$2,$Q$2)/$Q$2))</f>
        <v>8703.54081354966</v>
      </c>
      <c r="I366" s="15" t="n">
        <f aca="false">H366*(1+IF(I$3&lt;=$O$2,$D366,$D366-($D366-$I$346)*MIN(I$3-$O$2,$Q$2)/$Q$2))</f>
        <v>9271.14319187318</v>
      </c>
      <c r="J366" s="15" t="n">
        <f aca="false">I366*(1+IF(J$3&lt;=$O$2,$D366,$D366-($D366-$I$346)*MIN(J$3-$O$2,$Q$2)/$Q$2))</f>
        <v>9798.04162339067</v>
      </c>
      <c r="K366" s="15" t="n">
        <f aca="false">J366*(1+IF(K$3&lt;=$O$2,$D366,$D366-($D366-$I$346)*MIN(K$3-$O$2,$Q$2)/$Q$2))</f>
        <v>10272.7475932516</v>
      </c>
      <c r="L366" s="15" t="n">
        <f aca="false">K366*(1+IF(L$3&lt;=$O$2,$D366,$D366-($D366-$I$346)*MIN(L$3-$O$2,$Q$2)/$Q$2))</f>
        <v>10684.3359535239</v>
      </c>
      <c r="M366" s="15" t="n">
        <f aca="false">L366*(1+IF(M$3&lt;=$O$2,$D366,$D366-($D366-$I$346)*MIN(M$3-$O$2,$Q$2)/$Q$2))</f>
        <v>11022.848006259</v>
      </c>
      <c r="N366" s="15" t="n">
        <f aca="false">M366*(1+IF(N$3&lt;=$O$2,$D366,$D366-($D366-$I$346)*MIN(N$3-$O$2,$Q$2)/$Q$2))</f>
        <v>11279.6803648048</v>
      </c>
      <c r="O366" s="15" t="n">
        <f aca="false">SUMPRODUCT(E366:N366,1/(1+$F$346)^$E$3:$N$3)*$E$2</f>
        <v>38548.0365608085</v>
      </c>
      <c r="P366" s="15" t="n">
        <f aca="false">N366*$E$2*(1+$I$346)/($F$346-$I$346)/(1+$F$346)^$N$3</f>
        <v>63012.0536260142</v>
      </c>
      <c r="Q366" s="15" t="n">
        <f aca="false">O366+P366</f>
        <v>101560.090186823</v>
      </c>
      <c r="R366" s="15" t="n">
        <f aca="false">Q366-$G$2+$I$2</f>
        <v>99970.0901868227</v>
      </c>
      <c r="S366" s="42" t="n">
        <f aca="false">R366/$K$2</f>
        <v>278.019050522339</v>
      </c>
      <c r="T366" s="43" t="n">
        <f aca="false">S366-$M$2</f>
        <v>0.000250811565479125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0.0652122497558594</v>
      </c>
      <c r="C367" s="25" t="n">
        <f aca="false">IF(T366&gt;0,D366,C366)</f>
        <v>0.0652151107788086</v>
      </c>
      <c r="D367" s="41" t="n">
        <f aca="false">(B367+C367)/2</f>
        <v>0.065213680267334</v>
      </c>
      <c r="E367" s="15" t="n">
        <f aca="false">$C$2*(1+IF(E$3&lt;=$O$2,$D367,$D367-($D367-$I$346)*MIN(E$3-$O$2,$Q$2)/$Q$2))</f>
        <v>7200.84447860718</v>
      </c>
      <c r="F367" s="15" t="n">
        <f aca="false">E367*(1+IF(F$3&lt;=$O$2,$D367,$D367-($D367-$I$346)*MIN(F$3-$O$2,$Q$2)/$Q$2))</f>
        <v>7670.43804808986</v>
      </c>
      <c r="G367" s="15" t="n">
        <f aca="false">F367*(1+IF(G$3&lt;=$O$2,$D367,$D367-($D367-$I$346)*MIN(G$3-$O$2,$Q$2)/$Q$2))</f>
        <v>8170.65554246839</v>
      </c>
      <c r="H367" s="15" t="n">
        <f aca="false">G367*(1+IF(H$3&lt;=$O$2,$D367,$D367-($D367-$I$346)*MIN(H$3-$O$2,$Q$2)/$Q$2))</f>
        <v>8703.49406058944</v>
      </c>
      <c r="I367" s="15" t="n">
        <f aca="false">H367*(1+IF(I$3&lt;=$O$2,$D367,$D367-($D367-$I$346)*MIN(I$3-$O$2,$Q$2)/$Q$2))</f>
        <v>9271.08093946536</v>
      </c>
      <c r="J367" s="15" t="n">
        <f aca="false">I367*(1+IF(J$3&lt;=$O$2,$D367,$D367-($D367-$I$346)*MIN(J$3-$O$2,$Q$2)/$Q$2))</f>
        <v>9797.96522313837</v>
      </c>
      <c r="K367" s="15" t="n">
        <f aca="false">J367*(1+IF(K$3&lt;=$O$2,$D367,$D367-($D367-$I$346)*MIN(K$3-$O$2,$Q$2)/$Q$2))</f>
        <v>10272.6590818173</v>
      </c>
      <c r="L367" s="15" t="n">
        <f aca="false">K367*(1+IF(L$3&lt;=$O$2,$D367,$D367-($D367-$I$346)*MIN(L$3-$O$2,$Q$2)/$Q$2))</f>
        <v>10684.2380177239</v>
      </c>
      <c r="M367" s="15" t="n">
        <f aca="false">L367*(1+IF(M$3&lt;=$O$2,$D367,$D367-($D367-$I$346)*MIN(M$3-$O$2,$Q$2)/$Q$2))</f>
        <v>11022.7439107719</v>
      </c>
      <c r="N367" s="15" t="n">
        <f aca="false">M367*(1+IF(N$3&lt;=$O$2,$D367,$D367-($D367-$I$346)*MIN(N$3-$O$2,$Q$2)/$Q$2))</f>
        <v>11279.5738438929</v>
      </c>
      <c r="O367" s="15" t="n">
        <f aca="false">SUMPRODUCT(E367:N367,1/(1+$F$346)^$E$3:$N$3)*$E$2</f>
        <v>38547.7938956267</v>
      </c>
      <c r="P367" s="15" t="n">
        <f aca="false">N367*$E$2*(1+$I$346)/($F$346-$I$346)/(1+$F$346)^$N$3</f>
        <v>63011.4585647006</v>
      </c>
      <c r="Q367" s="15" t="n">
        <f aca="false">O367+P367</f>
        <v>101559.252460327</v>
      </c>
      <c r="R367" s="15" t="n">
        <f aca="false">Q367-$G$2+$I$2</f>
        <v>99969.2524603273</v>
      </c>
      <c r="S367" s="42" t="n">
        <f aca="false">R367/$K$2</f>
        <v>278.016720786271</v>
      </c>
      <c r="T367" s="43" t="n">
        <f aca="false">S367-$M$2</f>
        <v>-0.00207892450276859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0.065213680267334</v>
      </c>
      <c r="C368" s="25" t="n">
        <f aca="false">IF(T367&gt;0,D367,C367)</f>
        <v>0.0652151107788086</v>
      </c>
      <c r="D368" s="41" t="n">
        <f aca="false">(B368+C368)/2</f>
        <v>0.0652143955230713</v>
      </c>
      <c r="E368" s="15" t="n">
        <f aca="false">$C$2*(1+IF(E$3&lt;=$O$2,$D368,$D368-($D368-$I$346)*MIN(E$3-$O$2,$Q$2)/$Q$2))</f>
        <v>7200.84931373596</v>
      </c>
      <c r="F368" s="15" t="n">
        <f aca="false">E368*(1+IF(F$3&lt;=$O$2,$D368,$D368-($D368-$I$346)*MIN(F$3-$O$2,$Q$2)/$Q$2))</f>
        <v>7670.44834898398</v>
      </c>
      <c r="G368" s="15" t="n">
        <f aca="false">F368*(1+IF(G$3&lt;=$O$2,$D368,$D368-($D368-$I$346)*MIN(G$3-$O$2,$Q$2)/$Q$2))</f>
        <v>8170.67200145391</v>
      </c>
      <c r="H368" s="15" t="n">
        <f aca="false">G368*(1+IF(H$3&lt;=$O$2,$D368,$D368-($D368-$I$346)*MIN(H$3-$O$2,$Q$2)/$Q$2))</f>
        <v>8703.517437046</v>
      </c>
      <c r="I368" s="15" t="n">
        <f aca="false">H368*(1+IF(I$3&lt;=$O$2,$D368,$D368-($D368-$I$346)*MIN(I$3-$O$2,$Q$2)/$Q$2))</f>
        <v>9271.11206562747</v>
      </c>
      <c r="J368" s="15" t="n">
        <f aca="false">I368*(1+IF(J$3&lt;=$O$2,$D368,$D368-($D368-$I$346)*MIN(J$3-$O$2,$Q$2)/$Q$2))</f>
        <v>9798.00342320253</v>
      </c>
      <c r="K368" s="15" t="n">
        <f aca="false">J368*(1+IF(K$3&lt;=$O$2,$D368,$D368-($D368-$I$346)*MIN(K$3-$O$2,$Q$2)/$Q$2))</f>
        <v>10272.7033374531</v>
      </c>
      <c r="L368" s="15" t="n">
        <f aca="false">K368*(1+IF(L$3&lt;=$O$2,$D368,$D368-($D368-$I$346)*MIN(L$3-$O$2,$Q$2)/$Q$2))</f>
        <v>10684.2869855266</v>
      </c>
      <c r="M368" s="15" t="n">
        <f aca="false">L368*(1+IF(M$3&lt;=$O$2,$D368,$D368-($D368-$I$346)*MIN(M$3-$O$2,$Q$2)/$Q$2))</f>
        <v>11022.795958408</v>
      </c>
      <c r="N368" s="15" t="n">
        <f aca="false">M368*(1+IF(N$3&lt;=$O$2,$D368,$D368-($D368-$I$346)*MIN(N$3-$O$2,$Q$2)/$Q$2))</f>
        <v>11279.6271042389</v>
      </c>
      <c r="O368" s="15" t="n">
        <f aca="false">SUMPRODUCT(E368:N368,1/(1+$F$346)^$E$3:$N$3)*$E$2</f>
        <v>38547.9152280266</v>
      </c>
      <c r="P368" s="15" t="n">
        <f aca="false">N368*$E$2*(1+$I$346)/($F$346-$I$346)/(1+$F$346)^$N$3</f>
        <v>63011.7560947435</v>
      </c>
      <c r="Q368" s="15" t="n">
        <f aca="false">O368+P368</f>
        <v>101559.67132277</v>
      </c>
      <c r="R368" s="15" t="n">
        <f aca="false">Q368-$G$2+$I$2</f>
        <v>99969.6713227701</v>
      </c>
      <c r="S368" s="42" t="n">
        <f aca="false">R368/$K$2</f>
        <v>278.017885652067</v>
      </c>
      <c r="T368" s="43" t="n">
        <f aca="false">S368-$M$2</f>
        <v>-0.000914058706996457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0.0652143955230713</v>
      </c>
      <c r="C369" s="25" t="n">
        <f aca="false">IF(T368&gt;0,D368,C368)</f>
        <v>0.0652151107788086</v>
      </c>
      <c r="D369" s="41" t="n">
        <f aca="false">(B369+C369)/2</f>
        <v>0.0652147531509399</v>
      </c>
      <c r="E369" s="15" t="n">
        <f aca="false">$C$2*(1+IF(E$3&lt;=$O$2,$D369,$D369-($D369-$I$346)*MIN(E$3-$O$2,$Q$2)/$Q$2))</f>
        <v>7200.85173130035</v>
      </c>
      <c r="F369" s="15" t="n">
        <f aca="false">E369*(1+IF(F$3&lt;=$O$2,$D369,$D369-($D369-$I$346)*MIN(F$3-$O$2,$Q$2)/$Q$2))</f>
        <v>7670.45349943363</v>
      </c>
      <c r="G369" s="15" t="n">
        <f aca="false">F369*(1+IF(G$3&lt;=$O$2,$D369,$D369-($D369-$I$346)*MIN(G$3-$O$2,$Q$2)/$Q$2))</f>
        <v>8170.68023095495</v>
      </c>
      <c r="H369" s="15" t="n">
        <f aca="false">G369*(1+IF(H$3&lt;=$O$2,$D369,$D369-($D369-$I$346)*MIN(H$3-$O$2,$Q$2)/$Q$2))</f>
        <v>8703.52912529195</v>
      </c>
      <c r="I369" s="15" t="n">
        <f aca="false">H369*(1+IF(I$3&lt;=$O$2,$D369,$D369-($D369-$I$346)*MIN(I$3-$O$2,$Q$2)/$Q$2))</f>
        <v>9271.12762873988</v>
      </c>
      <c r="J369" s="15" t="n">
        <f aca="false">I369*(1+IF(J$3&lt;=$O$2,$D369,$D369-($D369-$I$346)*MIN(J$3-$O$2,$Q$2)/$Q$2))</f>
        <v>9798.02252328111</v>
      </c>
      <c r="K369" s="15" t="n">
        <f aca="false">J369*(1+IF(K$3&lt;=$O$2,$D369,$D369-($D369-$I$346)*MIN(K$3-$O$2,$Q$2)/$Q$2))</f>
        <v>10272.725465332</v>
      </c>
      <c r="L369" s="15" t="n">
        <f aca="false">K369*(1+IF(L$3&lt;=$O$2,$D369,$D369-($D369-$I$346)*MIN(L$3-$O$2,$Q$2)/$Q$2))</f>
        <v>10684.3114695009</v>
      </c>
      <c r="M369" s="15" t="n">
        <f aca="false">L369*(1+IF(M$3&lt;=$O$2,$D369,$D369-($D369-$I$346)*MIN(M$3-$O$2,$Q$2)/$Q$2))</f>
        <v>11022.8219823067</v>
      </c>
      <c r="N369" s="15" t="n">
        <f aca="false">M369*(1+IF(N$3&lt;=$O$2,$D369,$D369-($D369-$I$346)*MIN(N$3-$O$2,$Q$2)/$Q$2))</f>
        <v>11279.6537344944</v>
      </c>
      <c r="O369" s="15" t="n">
        <f aca="false">SUMPRODUCT(E369:N369,1/(1+$F$346)^$E$3:$N$3)*$E$2</f>
        <v>38547.9758943698</v>
      </c>
      <c r="P369" s="15" t="n">
        <f aca="false">N369*$E$2*(1+$I$346)/($F$346-$I$346)/(1+$F$346)^$N$3</f>
        <v>63011.9048602253</v>
      </c>
      <c r="Q369" s="15" t="n">
        <f aca="false">O369+P369</f>
        <v>101559.880754595</v>
      </c>
      <c r="R369" s="15" t="n">
        <f aca="false">Q369-$G$2+$I$2</f>
        <v>99969.8807545952</v>
      </c>
      <c r="S369" s="42" t="n">
        <f aca="false">R369/$K$2</f>
        <v>278.018468086643</v>
      </c>
      <c r="T369" s="43" t="n">
        <f aca="false">S369-$M$2</f>
        <v>-0.000331624130410546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0.0652147531509399</v>
      </c>
      <c r="C370" s="25" t="n">
        <f aca="false">IF(T369&gt;0,D369,C369)</f>
        <v>0.0652151107788086</v>
      </c>
      <c r="D370" s="41" t="n">
        <f aca="false">(B370+C370)/2</f>
        <v>0.0652149319648743</v>
      </c>
      <c r="E370" s="15" t="n">
        <f aca="false">$C$2*(1+IF(E$3&lt;=$O$2,$D370,$D370-($D370-$I$346)*MIN(E$3-$O$2,$Q$2)/$Q$2))</f>
        <v>7200.85294008255</v>
      </c>
      <c r="F370" s="15" t="n">
        <f aca="false">E370*(1+IF(F$3&lt;=$O$2,$D370,$D370-($D370-$I$346)*MIN(F$3-$O$2,$Q$2)/$Q$2))</f>
        <v>7670.4560746591</v>
      </c>
      <c r="G370" s="15" t="n">
        <f aca="false">F370*(1+IF(G$3&lt;=$O$2,$D370,$D370-($D370-$I$346)*MIN(G$3-$O$2,$Q$2)/$Q$2))</f>
        <v>8170.68434570755</v>
      </c>
      <c r="H370" s="15" t="n">
        <f aca="false">G370*(1+IF(H$3&lt;=$O$2,$D370,$D370-($D370-$I$346)*MIN(H$3-$O$2,$Q$2)/$Q$2))</f>
        <v>8703.53496941933</v>
      </c>
      <c r="I370" s="15" t="n">
        <f aca="false">H370*(1+IF(I$3&lt;=$O$2,$D370,$D370-($D370-$I$346)*MIN(I$3-$O$2,$Q$2)/$Q$2))</f>
        <v>9271.13541030392</v>
      </c>
      <c r="J370" s="15" t="n">
        <f aca="false">I370*(1+IF(J$3&lt;=$O$2,$D370,$D370-($D370-$I$346)*MIN(J$3-$O$2,$Q$2)/$Q$2))</f>
        <v>9798.03207333202</v>
      </c>
      <c r="K370" s="15" t="n">
        <f aca="false">J370*(1+IF(K$3&lt;=$O$2,$D370,$D370-($D370-$I$346)*MIN(K$3-$O$2,$Q$2)/$Q$2))</f>
        <v>10272.7365292867</v>
      </c>
      <c r="L370" s="15" t="n">
        <f aca="false">K370*(1+IF(L$3&lt;=$O$2,$D370,$D370-($D370-$I$346)*MIN(L$3-$O$2,$Q$2)/$Q$2))</f>
        <v>10684.3237115063</v>
      </c>
      <c r="M370" s="15" t="n">
        <f aca="false">L370*(1+IF(M$3&lt;=$O$2,$D370,$D370-($D370-$I$346)*MIN(M$3-$O$2,$Q$2)/$Q$2))</f>
        <v>11022.8349942761</v>
      </c>
      <c r="N370" s="15" t="n">
        <f aca="false">M370*(1+IF(N$3&lt;=$O$2,$D370,$D370-($D370-$I$346)*MIN(N$3-$O$2,$Q$2)/$Q$2))</f>
        <v>11279.6670496427</v>
      </c>
      <c r="O370" s="15" t="n">
        <f aca="false">SUMPRODUCT(E370:N370,1/(1+$F$346)^$E$3:$N$3)*$E$2</f>
        <v>38548.0062275772</v>
      </c>
      <c r="P370" s="15" t="n">
        <f aca="false">N370*$E$2*(1+$I$346)/($F$346-$I$346)/(1+$F$346)^$N$3</f>
        <v>63011.9792430814</v>
      </c>
      <c r="Q370" s="15" t="n">
        <f aca="false">O370+P370</f>
        <v>101559.985470659</v>
      </c>
      <c r="R370" s="15" t="n">
        <f aca="false">Q370-$G$2+$I$2</f>
        <v>99969.9854706587</v>
      </c>
      <c r="S370" s="42" t="n">
        <f aca="false">R370/$K$2</f>
        <v>278.018759304351</v>
      </c>
      <c r="T370" s="43" t="n">
        <f aca="false">S370-$M$2</f>
        <v>-4.04064223289424E-005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0.0652149319648743</v>
      </c>
      <c r="C371" s="25" t="n">
        <f aca="false">IF(T370&gt;0,D370,C370)</f>
        <v>0.0652151107788086</v>
      </c>
      <c r="D371" s="41" t="n">
        <f aca="false">(B371+C371)/2</f>
        <v>0.0652150213718414</v>
      </c>
      <c r="E371" s="15" t="n">
        <f aca="false">$C$2*(1+IF(E$3&lt;=$O$2,$D371,$D371-($D371-$I$346)*MIN(E$3-$O$2,$Q$2)/$Q$2))</f>
        <v>7200.85354447365</v>
      </c>
      <c r="F371" s="15" t="n">
        <f aca="false">E371*(1+IF(F$3&lt;=$O$2,$D371,$D371-($D371-$I$346)*MIN(F$3-$O$2,$Q$2)/$Q$2))</f>
        <v>7670.457362272</v>
      </c>
      <c r="G371" s="15" t="n">
        <f aca="false">F371*(1+IF(G$3&lt;=$O$2,$D371,$D371-($D371-$I$346)*MIN(G$3-$O$2,$Q$2)/$Q$2))</f>
        <v>8170.68640308436</v>
      </c>
      <c r="H371" s="15" t="n">
        <f aca="false">G371*(1+IF(H$3&lt;=$O$2,$D371,$D371-($D371-$I$346)*MIN(H$3-$O$2,$Q$2)/$Q$2))</f>
        <v>8703.53789148412</v>
      </c>
      <c r="I371" s="15" t="n">
        <f aca="false">H371*(1+IF(I$3&lt;=$O$2,$D371,$D371-($D371-$I$346)*MIN(I$3-$O$2,$Q$2)/$Q$2))</f>
        <v>9271.13930108789</v>
      </c>
      <c r="J371" s="15" t="n">
        <f aca="false">I371*(1+IF(J$3&lt;=$O$2,$D371,$D371-($D371-$I$346)*MIN(J$3-$O$2,$Q$2)/$Q$2))</f>
        <v>9798.03684836038</v>
      </c>
      <c r="K371" s="15" t="n">
        <f aca="false">J371*(1+IF(K$3&lt;=$O$2,$D371,$D371-($D371-$I$346)*MIN(K$3-$O$2,$Q$2)/$Q$2))</f>
        <v>10272.7420612678</v>
      </c>
      <c r="L371" s="15" t="n">
        <f aca="false">K371*(1+IF(L$3&lt;=$O$2,$D371,$D371-($D371-$I$346)*MIN(L$3-$O$2,$Q$2)/$Q$2))</f>
        <v>10684.3298325136</v>
      </c>
      <c r="M371" s="15" t="n">
        <f aca="false">L371*(1+IF(M$3&lt;=$O$2,$D371,$D371-($D371-$I$346)*MIN(M$3-$O$2,$Q$2)/$Q$2))</f>
        <v>11022.8415002659</v>
      </c>
      <c r="N371" s="15" t="n">
        <f aca="false">M371*(1+IF(N$3&lt;=$O$2,$D371,$D371-($D371-$I$346)*MIN(N$3-$O$2,$Q$2)/$Q$2))</f>
        <v>11279.673707222</v>
      </c>
      <c r="O371" s="15" t="n">
        <f aca="false">SUMPRODUCT(E371:N371,1/(1+$F$346)^$E$3:$N$3)*$E$2</f>
        <v>38548.0213941899</v>
      </c>
      <c r="P371" s="15" t="n">
        <f aca="false">N371*$E$2*(1+$I$346)/($F$346-$I$346)/(1+$F$346)^$N$3</f>
        <v>63012.0164345382</v>
      </c>
      <c r="Q371" s="15" t="n">
        <f aca="false">O371+P371</f>
        <v>101560.037828728</v>
      </c>
      <c r="R371" s="15" t="n">
        <f aca="false">Q371-$G$2+$I$2</f>
        <v>99970.0378287281</v>
      </c>
      <c r="S371" s="42" t="n">
        <f aca="false">R371/$K$2</f>
        <v>278.01890491331</v>
      </c>
      <c r="T371" s="43" t="n">
        <f aca="false">S371-$M$2</f>
        <v>0.000105202536531124</v>
      </c>
    </row>
    <row r="373" customFormat="false" ht="15" hidden="false" customHeight="false" outlineLevel="0" collapsed="false">
      <c r="A373" s="38" t="s">
        <v>199</v>
      </c>
      <c r="E373" s="5" t="s">
        <v>11</v>
      </c>
      <c r="F373" s="12" t="n">
        <f aca="false">Sensitivity!$B$12</f>
        <v>0.0774202832668642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167</v>
      </c>
      <c r="B374" s="28" t="s">
        <v>168</v>
      </c>
      <c r="C374" s="28" t="s">
        <v>169</v>
      </c>
      <c r="D374" s="28" t="s">
        <v>170</v>
      </c>
      <c r="E374" s="28" t="s">
        <v>171</v>
      </c>
      <c r="F374" s="28" t="s">
        <v>172</v>
      </c>
      <c r="G374" s="28" t="s">
        <v>173</v>
      </c>
      <c r="H374" s="28" t="s">
        <v>174</v>
      </c>
      <c r="I374" s="28" t="s">
        <v>175</v>
      </c>
      <c r="J374" s="28" t="s">
        <v>176</v>
      </c>
      <c r="K374" s="28" t="s">
        <v>177</v>
      </c>
      <c r="L374" s="28" t="s">
        <v>178</v>
      </c>
      <c r="M374" s="28" t="s">
        <v>179</v>
      </c>
      <c r="N374" s="28" t="s">
        <v>180</v>
      </c>
      <c r="O374" s="28" t="s">
        <v>181</v>
      </c>
      <c r="P374" s="28" t="s">
        <v>182</v>
      </c>
      <c r="Q374" s="28" t="s">
        <v>183</v>
      </c>
      <c r="R374" s="28" t="s">
        <v>184</v>
      </c>
      <c r="S374" s="28" t="s">
        <v>185</v>
      </c>
      <c r="T374" s="28" t="s">
        <v>186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8450</v>
      </c>
      <c r="F375" s="15" t="n">
        <f aca="false">E375*(1+IF(F$3&lt;=$O$2,$D375,$D375-($D375-$I$373)*MIN(F$3-$O$2,$Q$2)/$Q$2))</f>
        <v>10562.5</v>
      </c>
      <c r="G375" s="15" t="n">
        <f aca="false">F375*(1+IF(G$3&lt;=$O$2,$D375,$D375-($D375-$I$373)*MIN(G$3-$O$2,$Q$2)/$Q$2))</f>
        <v>13203.125</v>
      </c>
      <c r="H375" s="15" t="n">
        <f aca="false">G375*(1+IF(H$3&lt;=$O$2,$D375,$D375-($D375-$I$373)*MIN(H$3-$O$2,$Q$2)/$Q$2))</f>
        <v>16503.90625</v>
      </c>
      <c r="I375" s="15" t="n">
        <f aca="false">H375*(1+IF(I$3&lt;=$O$2,$D375,$D375-($D375-$I$373)*MIN(I$3-$O$2,$Q$2)/$Q$2))</f>
        <v>20629.8828125</v>
      </c>
      <c r="J375" s="15" t="n">
        <f aca="false">I375*(1+IF(J$3&lt;=$O$2,$D375,$D375-($D375-$I$373)*MIN(J$3-$O$2,$Q$2)/$Q$2))</f>
        <v>24872.6245117188</v>
      </c>
      <c r="K375" s="15" t="n">
        <f aca="false">J375*(1+IF(K$3&lt;=$O$2,$D375,$D375-($D375-$I$373)*MIN(K$3-$O$2,$Q$2)/$Q$2))</f>
        <v>28885.0762979492</v>
      </c>
      <c r="L375" s="15" t="n">
        <f aca="false">K375*(1+IF(L$3&lt;=$O$2,$D375,$D375-($D375-$I$373)*MIN(L$3-$O$2,$Q$2)/$Q$2))</f>
        <v>32264.0525232833</v>
      </c>
      <c r="M375" s="15" t="n">
        <f aca="false">L375*(1+IF(M$3&lt;=$O$2,$D375,$D375-($D375-$I$373)*MIN(M$3-$O$2,$Q$2)/$Q$2))</f>
        <v>34607.7132985746</v>
      </c>
      <c r="N375" s="15" t="n">
        <f aca="false">M375*(1+IF(N$3&lt;=$O$2,$D375,$D375-($D375-$I$373)*MIN(N$3-$O$2,$Q$2)/$Q$2))</f>
        <v>35587.1115849243</v>
      </c>
      <c r="O375" s="15" t="n">
        <f aca="false">SUMPRODUCT(E375:N375,1/(1+$F$373)^$E$3:$N$3)*$E$2</f>
        <v>86774.6185671673</v>
      </c>
      <c r="P375" s="15" t="n">
        <f aca="false">N375*$E$2*(1+$I$373)/($F$373-$I$373)/(1+$F$373)^$N$3</f>
        <v>220107.905417297</v>
      </c>
      <c r="Q375" s="15" t="n">
        <f aca="false">O375+P375</f>
        <v>306882.523984464</v>
      </c>
      <c r="R375" s="15" t="n">
        <f aca="false">Q375-$G$2+$I$2</f>
        <v>305292.523984464</v>
      </c>
      <c r="S375" s="42" t="n">
        <f aca="false">R375/$K$2</f>
        <v>849.025318383848</v>
      </c>
      <c r="T375" s="43" t="n">
        <f aca="false">S375-$M$2</f>
        <v>571.006518673075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5915</v>
      </c>
      <c r="F376" s="15" t="n">
        <f aca="false">E376*(1+IF(F$3&lt;=$O$2,$D376,$D376-($D376-$I$373)*MIN(F$3-$O$2,$Q$2)/$Q$2))</f>
        <v>5175.625</v>
      </c>
      <c r="G376" s="15" t="n">
        <f aca="false">F376*(1+IF(G$3&lt;=$O$2,$D376,$D376-($D376-$I$373)*MIN(G$3-$O$2,$Q$2)/$Q$2))</f>
        <v>4528.671875</v>
      </c>
      <c r="H376" s="15" t="n">
        <f aca="false">G376*(1+IF(H$3&lt;=$O$2,$D376,$D376-($D376-$I$373)*MIN(H$3-$O$2,$Q$2)/$Q$2))</f>
        <v>3962.587890625</v>
      </c>
      <c r="I376" s="15" t="n">
        <f aca="false">H376*(1+IF(I$3&lt;=$O$2,$D376,$D376-($D376-$I$373)*MIN(I$3-$O$2,$Q$2)/$Q$2))</f>
        <v>3467.26440429688</v>
      </c>
      <c r="J376" s="15" t="n">
        <f aca="false">I376*(1+IF(J$3&lt;=$O$2,$D376,$D376-($D376-$I$373)*MIN(J$3-$O$2,$Q$2)/$Q$2))</f>
        <v>3140.16268039551</v>
      </c>
      <c r="K376" s="15" t="n">
        <f aca="false">J376*(1+IF(K$3&lt;=$O$2,$D376,$D376-($D376-$I$373)*MIN(K$3-$O$2,$Q$2)/$Q$2))</f>
        <v>2940.19712090792</v>
      </c>
      <c r="L376" s="15" t="n">
        <f aca="false">K376*(1+IF(L$3&lt;=$O$2,$D376,$D376-($D376-$I$373)*MIN(L$3-$O$2,$Q$2)/$Q$2))</f>
        <v>2843.11181197554</v>
      </c>
      <c r="M376" s="15" t="n">
        <f aca="false">L376*(1+IF(M$3&lt;=$O$2,$D376,$D376-($D376-$I$373)*MIN(M$3-$O$2,$Q$2)/$Q$2))</f>
        <v>2836.40206809928</v>
      </c>
      <c r="N376" s="15" t="n">
        <f aca="false">M376*(1+IF(N$3&lt;=$O$2,$D376,$D376-($D376-$I$373)*MIN(N$3-$O$2,$Q$2)/$Q$2))</f>
        <v>2916.67224662649</v>
      </c>
      <c r="O376" s="15" t="n">
        <f aca="false">SUMPRODUCT(E376:N376,1/(1+$F$373)^$E$3:$N$3)*$E$2</f>
        <v>16845.7948759228</v>
      </c>
      <c r="P376" s="15" t="n">
        <f aca="false">N376*$E$2*(1+$I$373)/($F$373-$I$373)/(1+$F$373)^$N$3</f>
        <v>18039.7506401076</v>
      </c>
      <c r="Q376" s="15" t="n">
        <f aca="false">O376+P376</f>
        <v>34885.5455160304</v>
      </c>
      <c r="R376" s="15" t="n">
        <f aca="false">Q376-$G$2+$I$2</f>
        <v>33295.5455160304</v>
      </c>
      <c r="S376" s="42" t="n">
        <f aca="false">R376/$K$2</f>
        <v>92.5956546972311</v>
      </c>
      <c r="T376" s="43" t="n">
        <f aca="false">S376-$M$2</f>
        <v>-185.423145013543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7182.5</v>
      </c>
      <c r="F377" s="15" t="n">
        <f aca="false">E377*(1+IF(F$3&lt;=$O$2,$D377,$D377-($D377-$I$373)*MIN(F$3-$O$2,$Q$2)/$Q$2))</f>
        <v>7631.40625</v>
      </c>
      <c r="G377" s="15" t="n">
        <f aca="false">F377*(1+IF(G$3&lt;=$O$2,$D377,$D377-($D377-$I$373)*MIN(G$3-$O$2,$Q$2)/$Q$2))</f>
        <v>8108.369140625</v>
      </c>
      <c r="H377" s="15" t="n">
        <f aca="false">G377*(1+IF(H$3&lt;=$O$2,$D377,$D377-($D377-$I$373)*MIN(H$3-$O$2,$Q$2)/$Q$2))</f>
        <v>8615.14221191406</v>
      </c>
      <c r="I377" s="15" t="n">
        <f aca="false">H377*(1+IF(I$3&lt;=$O$2,$D377,$D377-($D377-$I$373)*MIN(I$3-$O$2,$Q$2)/$Q$2))</f>
        <v>9153.58860015869</v>
      </c>
      <c r="J377" s="15" t="n">
        <f aca="false">I377*(1+IF(J$3&lt;=$O$2,$D377,$D377-($D377-$I$373)*MIN(J$3-$O$2,$Q$2)/$Q$2))</f>
        <v>9663.07734164352</v>
      </c>
      <c r="K377" s="15" t="n">
        <f aca="false">J377*(1+IF(K$3&lt;=$O$2,$D377,$D377-($D377-$I$373)*MIN(K$3-$O$2,$Q$2)/$Q$2))</f>
        <v>10134.8287774626</v>
      </c>
      <c r="L377" s="15" t="n">
        <f aca="false">K377*(1+IF(L$3&lt;=$O$2,$D377,$D377-($D377-$I$373)*MIN(L$3-$O$2,$Q$2)/$Q$2))</f>
        <v>10560.2888895404</v>
      </c>
      <c r="M377" s="15" t="n">
        <f aca="false">L377*(1+IF(M$3&lt;=$O$2,$D377,$D377-($D377-$I$373)*MIN(M$3-$O$2,$Q$2)/$Q$2))</f>
        <v>10931.3774411189</v>
      </c>
      <c r="N377" s="15" t="n">
        <f aca="false">M377*(1+IF(N$3&lt;=$O$2,$D377,$D377-($D377-$I$373)*MIN(N$3-$O$2,$Q$2)/$Q$2))</f>
        <v>11240.7354227026</v>
      </c>
      <c r="O377" s="15" t="n">
        <f aca="false">SUMPRODUCT(E377:N377,1/(1+$F$373)^$E$3:$N$3)*$E$2</f>
        <v>38206.2995346819</v>
      </c>
      <c r="P377" s="15" t="n">
        <f aca="false">N377*$E$2*(1+$I$373)/($F$373-$I$373)/(1+$F$373)^$N$3</f>
        <v>69524.4603748398</v>
      </c>
      <c r="Q377" s="15" t="n">
        <f aca="false">O377+P377</f>
        <v>107730.759909522</v>
      </c>
      <c r="R377" s="15" t="n">
        <f aca="false">Q377-$G$2+$I$2</f>
        <v>106140.759909522</v>
      </c>
      <c r="S377" s="42" t="n">
        <f aca="false">R377/$K$2</f>
        <v>295.179820650542</v>
      </c>
      <c r="T377" s="43" t="n">
        <f aca="false">S377-$M$2</f>
        <v>17.1610209397679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6548.75</v>
      </c>
      <c r="F378" s="15" t="n">
        <f aca="false">E378*(1+IF(F$3&lt;=$O$2,$D378,$D378-($D378-$I$373)*MIN(F$3-$O$2,$Q$2)/$Q$2))</f>
        <v>6344.1015625</v>
      </c>
      <c r="G378" s="15" t="n">
        <f aca="false">F378*(1+IF(G$3&lt;=$O$2,$D378,$D378-($D378-$I$373)*MIN(G$3-$O$2,$Q$2)/$Q$2))</f>
        <v>6145.84838867188</v>
      </c>
      <c r="H378" s="15" t="n">
        <f aca="false">G378*(1+IF(H$3&lt;=$O$2,$D378,$D378-($D378-$I$373)*MIN(H$3-$O$2,$Q$2)/$Q$2))</f>
        <v>5953.79062652588</v>
      </c>
      <c r="I378" s="15" t="n">
        <f aca="false">H378*(1+IF(I$3&lt;=$O$2,$D378,$D378-($D378-$I$373)*MIN(I$3-$O$2,$Q$2)/$Q$2))</f>
        <v>5767.73466944695</v>
      </c>
      <c r="J378" s="15" t="n">
        <f aca="false">I378*(1+IF(J$3&lt;=$O$2,$D378,$D378-($D378-$I$373)*MIN(J$3-$O$2,$Q$2)/$Q$2))</f>
        <v>5656.18668093984</v>
      </c>
      <c r="K378" s="15" t="n">
        <f aca="false">J378*(1+IF(K$3&lt;=$O$2,$D378,$D378-($D378-$I$373)*MIN(K$3-$O$2,$Q$2)/$Q$2))</f>
        <v>5614.16121390046</v>
      </c>
      <c r="L378" s="15" t="n">
        <f aca="false">K378*(1+IF(L$3&lt;=$O$2,$D378,$D378-($D378-$I$373)*MIN(L$3-$O$2,$Q$2)/$Q$2))</f>
        <v>5639.31265613873</v>
      </c>
      <c r="M378" s="15" t="n">
        <f aca="false">L378*(1+IF(M$3&lt;=$O$2,$D378,$D378-($D378-$I$373)*MIN(M$3-$O$2,$Q$2)/$Q$2))</f>
        <v>5731.74099057285</v>
      </c>
      <c r="N378" s="15" t="n">
        <f aca="false">M378*(1+IF(N$3&lt;=$O$2,$D378,$D378-($D378-$I$373)*MIN(N$3-$O$2,$Q$2)/$Q$2))</f>
        <v>5893.94926060606</v>
      </c>
      <c r="O378" s="15" t="n">
        <f aca="false">SUMPRODUCT(E378:N378,1/(1+$F$373)^$E$3:$N$3)*$E$2</f>
        <v>25301.4081369077</v>
      </c>
      <c r="P378" s="15" t="n">
        <f aca="false">N378*$E$2*(1+$I$373)/($F$373-$I$373)/(1+$F$373)^$N$3</f>
        <v>36454.3445256007</v>
      </c>
      <c r="Q378" s="15" t="n">
        <f aca="false">O378+P378</f>
        <v>61755.7526625083</v>
      </c>
      <c r="R378" s="15" t="n">
        <f aca="false">Q378-$G$2+$I$2</f>
        <v>60165.7526625083</v>
      </c>
      <c r="S378" s="42" t="n">
        <f aca="false">R378/$K$2</f>
        <v>167.322300079282</v>
      </c>
      <c r="T378" s="43" t="n">
        <f aca="false">S378-$M$2</f>
        <v>-110.696499631491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41" t="n">
        <f aca="false">(B379+C379)/2</f>
        <v>0.015625</v>
      </c>
      <c r="E379" s="15" t="n">
        <f aca="false">$C$2*(1+IF(E$3&lt;=$O$2,$D379,$D379-($D379-$I$373)*MIN(E$3-$O$2,$Q$2)/$Q$2))</f>
        <v>6865.625</v>
      </c>
      <c r="F379" s="15" t="n">
        <f aca="false">E379*(1+IF(F$3&lt;=$O$2,$D379,$D379-($D379-$I$373)*MIN(F$3-$O$2,$Q$2)/$Q$2))</f>
        <v>6972.900390625</v>
      </c>
      <c r="G379" s="15" t="n">
        <f aca="false">F379*(1+IF(G$3&lt;=$O$2,$D379,$D379-($D379-$I$373)*MIN(G$3-$O$2,$Q$2)/$Q$2))</f>
        <v>7081.85195922852</v>
      </c>
      <c r="H379" s="15" t="n">
        <f aca="false">G379*(1+IF(H$3&lt;=$O$2,$D379,$D379-($D379-$I$373)*MIN(H$3-$O$2,$Q$2)/$Q$2))</f>
        <v>7192.50589609146</v>
      </c>
      <c r="I379" s="15" t="n">
        <f aca="false">H379*(1+IF(I$3&lt;=$O$2,$D379,$D379-($D379-$I$373)*MIN(I$3-$O$2,$Q$2)/$Q$2))</f>
        <v>7304.88880071789</v>
      </c>
      <c r="J379" s="15" t="n">
        <f aca="false">I379*(1+IF(J$3&lt;=$O$2,$D379,$D379-($D379-$I$373)*MIN(J$3-$O$2,$Q$2)/$Q$2))</f>
        <v>7437.54558133893</v>
      </c>
      <c r="K379" s="15" t="n">
        <f aca="false">J379*(1+IF(K$3&lt;=$O$2,$D379,$D379-($D379-$I$373)*MIN(K$3-$O$2,$Q$2)/$Q$2))</f>
        <v>7591.46558714474</v>
      </c>
      <c r="L379" s="15" t="n">
        <f aca="false">K379*(1+IF(L$3&lt;=$O$2,$D379,$D379-($D379-$I$373)*MIN(L$3-$O$2,$Q$2)/$Q$2))</f>
        <v>7767.81533273411</v>
      </c>
      <c r="M379" s="15" t="n">
        <f aca="false">L379*(1+IF(M$3&lt;=$O$2,$D379,$D379-($D379-$I$373)*MIN(M$3-$O$2,$Q$2)/$Q$2))</f>
        <v>7967.953094782</v>
      </c>
      <c r="N379" s="15" t="n">
        <f aca="false">M379*(1+IF(N$3&lt;=$O$2,$D379,$D379-($D379-$I$373)*MIN(N$3-$O$2,$Q$2)/$Q$2))</f>
        <v>8193.44616736434</v>
      </c>
      <c r="O379" s="15" t="n">
        <f aca="false">SUMPRODUCT(E379:N379,1/(1+$F$373)^$E$3:$N$3)*$E$2</f>
        <v>31080.9525635203</v>
      </c>
      <c r="P379" s="15" t="n">
        <f aca="false">N379*$E$2*(1+$I$373)/($F$373-$I$373)/(1+$F$373)^$N$3</f>
        <v>50676.8375889189</v>
      </c>
      <c r="Q379" s="15" t="n">
        <f aca="false">O379+P379</f>
        <v>81757.7901524392</v>
      </c>
      <c r="R379" s="15" t="n">
        <f aca="false">Q379-$G$2+$I$2</f>
        <v>80167.7901524392</v>
      </c>
      <c r="S379" s="42" t="n">
        <f aca="false">R379/$K$2</f>
        <v>222.948412460201</v>
      </c>
      <c r="T379" s="43" t="n">
        <f aca="false">S379-$M$2</f>
        <v>-55.0703872505723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0.015625</v>
      </c>
      <c r="C380" s="25" t="n">
        <f aca="false">IF(T379&gt;0,D379,C379)</f>
        <v>0.0625</v>
      </c>
      <c r="D380" s="41" t="n">
        <f aca="false">(B380+C380)/2</f>
        <v>0.0390625</v>
      </c>
      <c r="E380" s="15" t="n">
        <f aca="false">$C$2*(1+IF(E$3&lt;=$O$2,$D380,$D380-($D380-$I$373)*MIN(E$3-$O$2,$Q$2)/$Q$2))</f>
        <v>7024.0625</v>
      </c>
      <c r="F380" s="15" t="n">
        <f aca="false">E380*(1+IF(F$3&lt;=$O$2,$D380,$D380-($D380-$I$373)*MIN(F$3-$O$2,$Q$2)/$Q$2))</f>
        <v>7298.43994140625</v>
      </c>
      <c r="G380" s="15" t="n">
        <f aca="false">F380*(1+IF(G$3&lt;=$O$2,$D380,$D380-($D380-$I$373)*MIN(G$3-$O$2,$Q$2)/$Q$2))</f>
        <v>7583.53525161743</v>
      </c>
      <c r="H380" s="15" t="n">
        <f aca="false">G380*(1+IF(H$3&lt;=$O$2,$D380,$D380-($D380-$I$373)*MIN(H$3-$O$2,$Q$2)/$Q$2))</f>
        <v>7879.76709738374</v>
      </c>
      <c r="I380" s="15" t="n">
        <f aca="false">H380*(1+IF(I$3&lt;=$O$2,$D380,$D380-($D380-$I$373)*MIN(I$3-$O$2,$Q$2)/$Q$2))</f>
        <v>8187.57049962529</v>
      </c>
      <c r="J380" s="15" t="n">
        <f aca="false">I380*(1+IF(J$3&lt;=$O$2,$D380,$D380-($D380-$I$373)*MIN(J$3-$O$2,$Q$2)/$Q$2))</f>
        <v>8489.77372676646</v>
      </c>
      <c r="K380" s="15" t="n">
        <f aca="false">J380*(1+IF(K$3&lt;=$O$2,$D380,$D380-($D380-$I$373)*MIN(K$3-$O$2,$Q$2)/$Q$2))</f>
        <v>8784.85703707455</v>
      </c>
      <c r="L380" s="15" t="n">
        <f aca="false">K380*(1+IF(L$3&lt;=$O$2,$D380,$D380-($D380-$I$373)*MIN(L$3-$O$2,$Q$2)/$Q$2))</f>
        <v>9071.28730076836</v>
      </c>
      <c r="M380" s="15" t="n">
        <f aca="false">L380*(1+IF(M$3&lt;=$O$2,$D380,$D380-($D380-$I$373)*MIN(M$3-$O$2,$Q$2)/$Q$2))</f>
        <v>9347.53067729501</v>
      </c>
      <c r="N380" s="15" t="n">
        <f aca="false">M380*(1+IF(N$3&lt;=$O$2,$D380,$D380-($D380-$I$373)*MIN(N$3-$O$2,$Q$2)/$Q$2))</f>
        <v>9612.06579546246</v>
      </c>
      <c r="O380" s="15" t="n">
        <f aca="false">SUMPRODUCT(E380:N380,1/(1+$F$373)^$E$3:$N$3)*$E$2</f>
        <v>34458.4894329864</v>
      </c>
      <c r="P380" s="15" t="n">
        <f aca="false">N380*$E$2*(1+$I$373)/($F$373-$I$373)/(1+$F$373)^$N$3</f>
        <v>59451.0645777937</v>
      </c>
      <c r="Q380" s="15" t="n">
        <f aca="false">O380+P380</f>
        <v>93909.5540107801</v>
      </c>
      <c r="R380" s="15" t="n">
        <f aca="false">Q380-$G$2+$I$2</f>
        <v>92319.5540107801</v>
      </c>
      <c r="S380" s="42" t="n">
        <f aca="false">R380/$K$2</f>
        <v>256.742738780745</v>
      </c>
      <c r="T380" s="43" t="n">
        <f aca="false">S380-$M$2</f>
        <v>-21.2760609300291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0.0390625</v>
      </c>
      <c r="C381" s="25" t="n">
        <f aca="false">IF(T380&gt;0,D380,C380)</f>
        <v>0.0625</v>
      </c>
      <c r="D381" s="41" t="n">
        <f aca="false">(B381+C381)/2</f>
        <v>0.05078125</v>
      </c>
      <c r="E381" s="15" t="n">
        <f aca="false">$C$2*(1+IF(E$3&lt;=$O$2,$D381,$D381-($D381-$I$373)*MIN(E$3-$O$2,$Q$2)/$Q$2))</f>
        <v>7103.28125</v>
      </c>
      <c r="F381" s="15" t="n">
        <f aca="false">E381*(1+IF(F$3&lt;=$O$2,$D381,$D381-($D381-$I$373)*MIN(F$3-$O$2,$Q$2)/$Q$2))</f>
        <v>7463.99475097656</v>
      </c>
      <c r="G381" s="15" t="n">
        <f aca="false">F381*(1+IF(G$3&lt;=$O$2,$D381,$D381-($D381-$I$373)*MIN(G$3-$O$2,$Q$2)/$Q$2))</f>
        <v>7843.02573442459</v>
      </c>
      <c r="H381" s="15" t="n">
        <f aca="false">G381*(1+IF(H$3&lt;=$O$2,$D381,$D381-($D381-$I$373)*MIN(H$3-$O$2,$Q$2)/$Q$2))</f>
        <v>8241.30438500084</v>
      </c>
      <c r="I381" s="15" t="n">
        <f aca="false">H381*(1+IF(I$3&lt;=$O$2,$D381,$D381-($D381-$I$373)*MIN(I$3-$O$2,$Q$2)/$Q$2))</f>
        <v>8659.80812330166</v>
      </c>
      <c r="J381" s="15" t="n">
        <f aca="false">I381*(1+IF(J$3&lt;=$O$2,$D381,$D381-($D381-$I$373)*MIN(J$3-$O$2,$Q$2)/$Q$2))</f>
        <v>9060.62734228868</v>
      </c>
      <c r="K381" s="15" t="n">
        <f aca="false">J381*(1+IF(K$3&lt;=$O$2,$D381,$D381-($D381-$I$373)*MIN(K$3-$O$2,$Q$2)/$Q$2))</f>
        <v>9439.25963313875</v>
      </c>
      <c r="L381" s="15" t="n">
        <f aca="false">K381*(1+IF(L$3&lt;=$O$2,$D381,$D381-($D381-$I$373)*MIN(L$3-$O$2,$Q$2)/$Q$2))</f>
        <v>9791.27322300757</v>
      </c>
      <c r="M381" s="15" t="n">
        <f aca="false">L381*(1+IF(M$3&lt;=$O$2,$D381,$D381-($D381-$I$373)*MIN(M$3-$O$2,$Q$2)/$Q$2))</f>
        <v>10112.3902674476</v>
      </c>
      <c r="N381" s="15" t="n">
        <f aca="false">M381*(1+IF(N$3&lt;=$O$2,$D381,$D381-($D381-$I$373)*MIN(N$3-$O$2,$Q$2)/$Q$2))</f>
        <v>10398.5709120164</v>
      </c>
      <c r="O381" s="15" t="n">
        <f aca="false">SUMPRODUCT(E381:N381,1/(1+$F$373)^$E$3:$N$3)*$E$2</f>
        <v>36283.835515381</v>
      </c>
      <c r="P381" s="15" t="n">
        <f aca="false">N381*$E$2*(1+$I$373)/($F$373-$I$373)/(1+$F$373)^$N$3</f>
        <v>64315.6345328899</v>
      </c>
      <c r="Q381" s="15" t="n">
        <f aca="false">O381+P381</f>
        <v>100599.470048271</v>
      </c>
      <c r="R381" s="15" t="n">
        <f aca="false">Q381-$G$2+$I$2</f>
        <v>99009.4700482709</v>
      </c>
      <c r="S381" s="42" t="n">
        <f aca="false">R381/$K$2</f>
        <v>275.347544491548</v>
      </c>
      <c r="T381" s="43" t="n">
        <f aca="false">S381-$M$2</f>
        <v>-2.6712552192256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0.05078125</v>
      </c>
      <c r="C382" s="25" t="n">
        <f aca="false">IF(T381&gt;0,D381,C381)</f>
        <v>0.0625</v>
      </c>
      <c r="D382" s="41" t="n">
        <f aca="false">(B382+C382)/2</f>
        <v>0.056640625</v>
      </c>
      <c r="E382" s="15" t="n">
        <f aca="false">$C$2*(1+IF(E$3&lt;=$O$2,$D382,$D382-($D382-$I$373)*MIN(E$3-$O$2,$Q$2)/$Q$2))</f>
        <v>7142.890625</v>
      </c>
      <c r="F382" s="15" t="n">
        <f aca="false">E382*(1+IF(F$3&lt;=$O$2,$D382,$D382-($D382-$I$373)*MIN(F$3-$O$2,$Q$2)/$Q$2))</f>
        <v>7547.46841430664</v>
      </c>
      <c r="G382" s="15" t="n">
        <f aca="false">F382*(1+IF(G$3&lt;=$O$2,$D382,$D382-($D382-$I$373)*MIN(G$3-$O$2,$Q$2)/$Q$2))</f>
        <v>7974.96174246073</v>
      </c>
      <c r="H382" s="15" t="n">
        <f aca="false">G382*(1+IF(H$3&lt;=$O$2,$D382,$D382-($D382-$I$373)*MIN(H$3-$O$2,$Q$2)/$Q$2))</f>
        <v>8426.66855990479</v>
      </c>
      <c r="I382" s="15" t="n">
        <f aca="false">H382*(1+IF(I$3&lt;=$O$2,$D382,$D382-($D382-$I$373)*MIN(I$3-$O$2,$Q$2)/$Q$2))</f>
        <v>8903.96033380565</v>
      </c>
      <c r="J382" s="15" t="n">
        <f aca="false">I382*(1+IF(J$3&lt;=$O$2,$D382,$D382-($D382-$I$373)*MIN(J$3-$O$2,$Q$2)/$Q$2))</f>
        <v>9357.81745192056</v>
      </c>
      <c r="K382" s="15" t="n">
        <f aca="false">J382*(1+IF(K$3&lt;=$O$2,$D382,$D382-($D382-$I$373)*MIN(K$3-$O$2,$Q$2)/$Q$2))</f>
        <v>9781.76752294391</v>
      </c>
      <c r="L382" s="15" t="n">
        <f aca="false">K382*(1+IF(L$3&lt;=$O$2,$D382,$D382-($D382-$I$373)*MIN(L$3-$O$2,$Q$2)/$Q$2))</f>
        <v>10169.4801059252</v>
      </c>
      <c r="M382" s="15" t="n">
        <f aca="false">L382*(1+IF(M$3&lt;=$O$2,$D382,$D382-($D382-$I$373)*MIN(M$3-$O$2,$Q$2)/$Q$2))</f>
        <v>10514.9182773483</v>
      </c>
      <c r="N382" s="15" t="n">
        <f aca="false">M382*(1+IF(N$3&lt;=$O$2,$D382,$D382-($D382-$I$373)*MIN(N$3-$O$2,$Q$2)/$Q$2))</f>
        <v>10812.4904645972</v>
      </c>
      <c r="O382" s="15" t="n">
        <f aca="false">SUMPRODUCT(E382:N382,1/(1+$F$373)^$E$3:$N$3)*$E$2</f>
        <v>37232.6328386779</v>
      </c>
      <c r="P382" s="15" t="n">
        <f aca="false">N382*$E$2*(1+$I$373)/($F$373-$I$373)/(1+$F$373)^$N$3</f>
        <v>66875.7458111658</v>
      </c>
      <c r="Q382" s="15" t="n">
        <f aca="false">O382+P382</f>
        <v>104108.378649844</v>
      </c>
      <c r="R382" s="15" t="n">
        <f aca="false">Q382-$G$2+$I$2</f>
        <v>102518.378649844</v>
      </c>
      <c r="S382" s="42" t="n">
        <f aca="false">R382/$K$2</f>
        <v>285.105897574514</v>
      </c>
      <c r="T382" s="43" t="n">
        <f aca="false">S382-$M$2</f>
        <v>7.08709786374033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0.05078125</v>
      </c>
      <c r="C383" s="25" t="n">
        <f aca="false">IF(T382&gt;0,D382,C382)</f>
        <v>0.056640625</v>
      </c>
      <c r="D383" s="41" t="n">
        <f aca="false">(B383+C383)/2</f>
        <v>0.0537109375</v>
      </c>
      <c r="E383" s="15" t="n">
        <f aca="false">$C$2*(1+IF(E$3&lt;=$O$2,$D383,$D383-($D383-$I$373)*MIN(E$3-$O$2,$Q$2)/$Q$2))</f>
        <v>7123.0859375</v>
      </c>
      <c r="F383" s="15" t="n">
        <f aca="false">E383*(1+IF(F$3&lt;=$O$2,$D383,$D383-($D383-$I$373)*MIN(F$3-$O$2,$Q$2)/$Q$2))</f>
        <v>7505.67356109619</v>
      </c>
      <c r="G383" s="15" t="n">
        <f aca="false">F383*(1+IF(G$3&lt;=$O$2,$D383,$D383-($D383-$I$373)*MIN(G$3-$O$2,$Q$2)/$Q$2))</f>
        <v>7908.81032463163</v>
      </c>
      <c r="H383" s="15" t="n">
        <f aca="false">G383*(1+IF(H$3&lt;=$O$2,$D383,$D383-($D383-$I$373)*MIN(H$3-$O$2,$Q$2)/$Q$2))</f>
        <v>8333.59994167728</v>
      </c>
      <c r="I383" s="15" t="n">
        <f aca="false">H383*(1+IF(I$3&lt;=$O$2,$D383,$D383-($D383-$I$373)*MIN(I$3-$O$2,$Q$2)/$Q$2))</f>
        <v>8781.20540729471</v>
      </c>
      <c r="J383" s="15" t="n">
        <f aca="false">I383*(1+IF(J$3&lt;=$O$2,$D383,$D383-($D383-$I$373)*MIN(J$3-$O$2,$Q$2)/$Q$2))</f>
        <v>9208.22444974469</v>
      </c>
      <c r="K383" s="15" t="n">
        <f aca="false">J383*(1+IF(K$3&lt;=$O$2,$D383,$D383-($D383-$I$373)*MIN(K$3-$O$2,$Q$2)/$Q$2))</f>
        <v>9609.21097125953</v>
      </c>
      <c r="L383" s="15" t="n">
        <f aca="false">K383*(1+IF(L$3&lt;=$O$2,$D383,$D383-($D383-$I$373)*MIN(L$3-$O$2,$Q$2)/$Q$2))</f>
        <v>9978.82326551217</v>
      </c>
      <c r="M383" s="15" t="n">
        <f aca="false">L383*(1+IF(M$3&lt;=$O$2,$D383,$D383-($D383-$I$373)*MIN(M$3-$O$2,$Q$2)/$Q$2))</f>
        <v>10311.9382147909</v>
      </c>
      <c r="N383" s="15" t="n">
        <f aca="false">M383*(1+IF(N$3&lt;=$O$2,$D383,$D383-($D383-$I$373)*MIN(N$3-$O$2,$Q$2)/$Q$2))</f>
        <v>10603.7660662694</v>
      </c>
      <c r="O383" s="15" t="n">
        <f aca="false">SUMPRODUCT(E383:N383,1/(1+$F$373)^$E$3:$N$3)*$E$2</f>
        <v>36755.1628570615</v>
      </c>
      <c r="P383" s="15" t="n">
        <f aca="false">N383*$E$2*(1+$I$373)/($F$373-$I$373)/(1+$F$373)^$N$3</f>
        <v>65584.7759043842</v>
      </c>
      <c r="Q383" s="15" t="n">
        <f aca="false">O383+P383</f>
        <v>102339.938761446</v>
      </c>
      <c r="R383" s="15" t="n">
        <f aca="false">Q383-$G$2+$I$2</f>
        <v>100749.938761446</v>
      </c>
      <c r="S383" s="42" t="n">
        <f aca="false">R383/$K$2</f>
        <v>280.187826801952</v>
      </c>
      <c r="T383" s="43" t="n">
        <f aca="false">S383-$M$2</f>
        <v>2.16902709117784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0.05078125</v>
      </c>
      <c r="C384" s="25" t="n">
        <f aca="false">IF(T383&gt;0,D383,C383)</f>
        <v>0.0537109375</v>
      </c>
      <c r="D384" s="41" t="n">
        <f aca="false">(B384+C384)/2</f>
        <v>0.05224609375</v>
      </c>
      <c r="E384" s="15" t="n">
        <f aca="false">$C$2*(1+IF(E$3&lt;=$O$2,$D384,$D384-($D384-$I$373)*MIN(E$3-$O$2,$Q$2)/$Q$2))</f>
        <v>7113.18359375</v>
      </c>
      <c r="F384" s="15" t="n">
        <f aca="false">E384*(1+IF(F$3&lt;=$O$2,$D384,$D384-($D384-$I$373)*MIN(F$3-$O$2,$Q$2)/$Q$2))</f>
        <v>7484.81965065002</v>
      </c>
      <c r="G384" s="15" t="n">
        <f aca="false">F384*(1+IF(G$3&lt;=$O$2,$D384,$D384-($D384-$I$373)*MIN(G$3-$O$2,$Q$2)/$Q$2))</f>
        <v>7875.87223981973</v>
      </c>
      <c r="H384" s="15" t="n">
        <f aca="false">G384*(1+IF(H$3&lt;=$O$2,$D384,$D384-($D384-$I$373)*MIN(H$3-$O$2,$Q$2)/$Q$2))</f>
        <v>8287.35579922437</v>
      </c>
      <c r="I384" s="15" t="n">
        <f aca="false">H384*(1+IF(I$3&lt;=$O$2,$D384,$D384-($D384-$I$373)*MIN(I$3-$O$2,$Q$2)/$Q$2))</f>
        <v>8720.33776725025</v>
      </c>
      <c r="J384" s="15" t="n">
        <f aca="false">I384*(1+IF(J$3&lt;=$O$2,$D384,$D384-($D384-$I$373)*MIN(J$3-$O$2,$Q$2)/$Q$2))</f>
        <v>9134.17774662843</v>
      </c>
      <c r="K384" s="15" t="n">
        <f aca="false">J384*(1+IF(K$3&lt;=$O$2,$D384,$D384-($D384-$I$373)*MIN(K$3-$O$2,$Q$2)/$Q$2))</f>
        <v>9523.91170284797</v>
      </c>
      <c r="L384" s="15" t="n">
        <f aca="false">K384*(1+IF(L$3&lt;=$O$2,$D384,$D384-($D384-$I$373)*MIN(L$3-$O$2,$Q$2)/$Q$2))</f>
        <v>9884.66259703982</v>
      </c>
      <c r="M384" s="15" t="n">
        <f aca="false">L384*(1+IF(M$3&lt;=$O$2,$D384,$D384-($D384-$I$373)*MIN(M$3-$O$2,$Q$2)/$Q$2))</f>
        <v>10211.7383599832</v>
      </c>
      <c r="N384" s="15" t="n">
        <f aca="false">M384*(1+IF(N$3&lt;=$O$2,$D384,$D384-($D384-$I$373)*MIN(N$3-$O$2,$Q$2)/$Q$2))</f>
        <v>10500.7305555707</v>
      </c>
      <c r="O384" s="15" t="n">
        <f aca="false">SUMPRODUCT(E384:N384,1/(1+$F$373)^$E$3:$N$3)*$E$2</f>
        <v>36518.7359825386</v>
      </c>
      <c r="P384" s="15" t="n">
        <f aca="false">N384*$E$2*(1+$I$373)/($F$373-$I$373)/(1+$F$373)^$N$3</f>
        <v>64947.4965795541</v>
      </c>
      <c r="Q384" s="15" t="n">
        <f aca="false">O384+P384</f>
        <v>101466.232562093</v>
      </c>
      <c r="R384" s="15" t="n">
        <f aca="false">Q384-$G$2+$I$2</f>
        <v>99876.2325620927</v>
      </c>
      <c r="S384" s="42" t="n">
        <f aca="false">R384/$K$2</f>
        <v>277.758030374584</v>
      </c>
      <c r="T384" s="43" t="n">
        <f aca="false">S384-$M$2</f>
        <v>-0.260769336190208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0.05224609375</v>
      </c>
      <c r="C385" s="25" t="n">
        <f aca="false">IF(T384&gt;0,D384,C384)</f>
        <v>0.0537109375</v>
      </c>
      <c r="D385" s="41" t="n">
        <f aca="false">(B385+C385)/2</f>
        <v>0.052978515625</v>
      </c>
      <c r="E385" s="15" t="n">
        <f aca="false">$C$2*(1+IF(E$3&lt;=$O$2,$D385,$D385-($D385-$I$373)*MIN(E$3-$O$2,$Q$2)/$Q$2))</f>
        <v>7118.134765625</v>
      </c>
      <c r="F385" s="15" t="n">
        <f aca="false">E385*(1+IF(F$3&lt;=$O$2,$D385,$D385-($D385-$I$373)*MIN(F$3-$O$2,$Q$2)/$Q$2))</f>
        <v>7495.24297952652</v>
      </c>
      <c r="G385" s="15" t="n">
        <f aca="false">F385*(1+IF(G$3&lt;=$O$2,$D385,$D385-($D385-$I$373)*MIN(G$3-$O$2,$Q$2)/$Q$2))</f>
        <v>7892.32982683054</v>
      </c>
      <c r="H385" s="15" t="n">
        <f aca="false">G385*(1+IF(H$3&lt;=$O$2,$D385,$D385-($D385-$I$373)*MIN(H$3-$O$2,$Q$2)/$Q$2))</f>
        <v>8310.45374587893</v>
      </c>
      <c r="I385" s="15" t="n">
        <f aca="false">H385*(1+IF(I$3&lt;=$O$2,$D385,$D385-($D385-$I$373)*MIN(I$3-$O$2,$Q$2)/$Q$2))</f>
        <v>8750.72924950582</v>
      </c>
      <c r="J385" s="15" t="n">
        <f aca="false">I385*(1+IF(J$3&lt;=$O$2,$D385,$D385-($D385-$I$373)*MIN(J$3-$O$2,$Q$2)/$Q$2))</f>
        <v>9171.13889407809</v>
      </c>
      <c r="K385" s="15" t="n">
        <f aca="false">J385*(1+IF(K$3&lt;=$O$2,$D385,$D385-($D385-$I$373)*MIN(K$3-$O$2,$Q$2)/$Q$2))</f>
        <v>9566.48018147844</v>
      </c>
      <c r="L385" s="15" t="n">
        <f aca="false">K385*(1+IF(L$3&lt;=$O$2,$D385,$D385-($D385-$I$373)*MIN(L$3-$O$2,$Q$2)/$Q$2))</f>
        <v>9931.64618286822</v>
      </c>
      <c r="M385" s="15" t="n">
        <f aca="false">L385*(1+IF(M$3&lt;=$O$2,$D385,$D385-($D385-$I$373)*MIN(M$3-$O$2,$Q$2)/$Q$2))</f>
        <v>10261.7314269446</v>
      </c>
      <c r="N385" s="15" t="n">
        <f aca="false">M385*(1+IF(N$3&lt;=$O$2,$D385,$D385-($D385-$I$373)*MIN(N$3-$O$2,$Q$2)/$Q$2))</f>
        <v>10552.1384263271</v>
      </c>
      <c r="O385" s="15" t="n">
        <f aca="false">SUMPRODUCT(E385:N385,1/(1+$F$373)^$E$3:$N$3)*$E$2</f>
        <v>36636.7580424838</v>
      </c>
      <c r="P385" s="15" t="n">
        <f aca="false">N385*$E$2*(1+$I$373)/($F$373-$I$373)/(1+$F$373)^$N$3</f>
        <v>65265.4566007586</v>
      </c>
      <c r="Q385" s="15" t="n">
        <f aca="false">O385+P385</f>
        <v>101902.214643242</v>
      </c>
      <c r="R385" s="15" t="n">
        <f aca="false">Q385-$G$2+$I$2</f>
        <v>100312.214643242</v>
      </c>
      <c r="S385" s="42" t="n">
        <f aca="false">R385/$K$2</f>
        <v>278.970506266317</v>
      </c>
      <c r="T385" s="43" t="n">
        <f aca="false">S385-$M$2</f>
        <v>0.951706555543467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0.05224609375</v>
      </c>
      <c r="C386" s="25" t="n">
        <f aca="false">IF(T385&gt;0,D385,C385)</f>
        <v>0.052978515625</v>
      </c>
      <c r="D386" s="41" t="n">
        <f aca="false">(B386+C386)/2</f>
        <v>0.0526123046875</v>
      </c>
      <c r="E386" s="15" t="n">
        <f aca="false">$C$2*(1+IF(E$3&lt;=$O$2,$D386,$D386-($D386-$I$373)*MIN(E$3-$O$2,$Q$2)/$Q$2))</f>
        <v>7115.6591796875</v>
      </c>
      <c r="F386" s="15" t="n">
        <f aca="false">E386*(1+IF(F$3&lt;=$O$2,$D386,$D386-($D386-$I$373)*MIN(F$3-$O$2,$Q$2)/$Q$2))</f>
        <v>7490.03040850163</v>
      </c>
      <c r="G386" s="15" t="n">
        <f aca="false">F386*(1+IF(G$3&lt;=$O$2,$D386,$D386-($D386-$I$373)*MIN(G$3-$O$2,$Q$2)/$Q$2))</f>
        <v>7884.09817047235</v>
      </c>
      <c r="H386" s="15" t="n">
        <f aca="false">G386*(1+IF(H$3&lt;=$O$2,$D386,$D386-($D386-$I$373)*MIN(H$3-$O$2,$Q$2)/$Q$2))</f>
        <v>8298.89874560341</v>
      </c>
      <c r="I386" s="15" t="n">
        <f aca="false">H386*(1+IF(I$3&lt;=$O$2,$D386,$D386-($D386-$I$373)*MIN(I$3-$O$2,$Q$2)/$Q$2))</f>
        <v>8735.5229349778</v>
      </c>
      <c r="J386" s="15" t="n">
        <f aca="false">I386*(1+IF(J$3&lt;=$O$2,$D386,$D386-($D386-$I$373)*MIN(J$3-$O$2,$Q$2)/$Q$2))</f>
        <v>9152.64279019753</v>
      </c>
      <c r="K386" s="15" t="n">
        <f aca="false">J386*(1+IF(K$3&lt;=$O$2,$D386,$D386-($D386-$I$373)*MIN(K$3-$O$2,$Q$2)/$Q$2))</f>
        <v>9545.1756852868</v>
      </c>
      <c r="L386" s="15" t="n">
        <f aca="false">K386*(1+IF(L$3&lt;=$O$2,$D386,$D386-($D386-$I$373)*MIN(L$3-$O$2,$Q$2)/$Q$2))</f>
        <v>9908.13024500298</v>
      </c>
      <c r="M386" s="15" t="n">
        <f aca="false">L386*(1+IF(M$3&lt;=$O$2,$D386,$D386-($D386-$I$373)*MIN(M$3-$O$2,$Q$2)/$Q$2))</f>
        <v>10236.7082272166</v>
      </c>
      <c r="N386" s="15" t="n">
        <f aca="false">M386*(1+IF(N$3&lt;=$O$2,$D386,$D386-($D386-$I$373)*MIN(N$3-$O$2,$Q$2)/$Q$2))</f>
        <v>10526.4070700468</v>
      </c>
      <c r="O386" s="15" t="n">
        <f aca="false">SUMPRODUCT(E386:N386,1/(1+$F$373)^$E$3:$N$3)*$E$2</f>
        <v>36577.6992403496</v>
      </c>
      <c r="P386" s="15" t="n">
        <f aca="false">N386*$E$2*(1+$I$373)/($F$373-$I$373)/(1+$F$373)^$N$3</f>
        <v>65106.3069906282</v>
      </c>
      <c r="Q386" s="15" t="n">
        <f aca="false">O386+P386</f>
        <v>101684.006230978</v>
      </c>
      <c r="R386" s="15" t="n">
        <f aca="false">Q386-$G$2+$I$2</f>
        <v>100094.006230978</v>
      </c>
      <c r="S386" s="42" t="n">
        <f aca="false">R386/$K$2</f>
        <v>278.363663804933</v>
      </c>
      <c r="T386" s="43" t="n">
        <f aca="false">S386-$M$2</f>
        <v>0.344864094159277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0.05224609375</v>
      </c>
      <c r="C387" s="25" t="n">
        <f aca="false">IF(T386&gt;0,D386,C386)</f>
        <v>0.0526123046875</v>
      </c>
      <c r="D387" s="41" t="n">
        <f aca="false">(B387+C387)/2</f>
        <v>0.05242919921875</v>
      </c>
      <c r="E387" s="15" t="n">
        <f aca="false">$C$2*(1+IF(E$3&lt;=$O$2,$D387,$D387-($D387-$I$373)*MIN(E$3-$O$2,$Q$2)/$Q$2))</f>
        <v>7114.42138671875</v>
      </c>
      <c r="F387" s="15" t="n">
        <f aca="false">E387*(1+IF(F$3&lt;=$O$2,$D387,$D387-($D387-$I$373)*MIN(F$3-$O$2,$Q$2)/$Q$2))</f>
        <v>7487.42480292916</v>
      </c>
      <c r="G387" s="15" t="n">
        <f aca="false">F387*(1+IF(G$3&lt;=$O$2,$D387,$D387-($D387-$I$373)*MIN(G$3-$O$2,$Q$2)/$Q$2))</f>
        <v>7879.98448955735</v>
      </c>
      <c r="H387" s="15" t="n">
        <f aca="false">G387*(1+IF(H$3&lt;=$O$2,$D387,$D387-($D387-$I$373)*MIN(H$3-$O$2,$Q$2)/$Q$2))</f>
        <v>8293.12576620101</v>
      </c>
      <c r="I387" s="15" t="n">
        <f aca="false">H387*(1+IF(I$3&lt;=$O$2,$D387,$D387-($D387-$I$373)*MIN(I$3-$O$2,$Q$2)/$Q$2))</f>
        <v>8727.92770914331</v>
      </c>
      <c r="J387" s="15" t="n">
        <f aca="false">I387*(1+IF(J$3&lt;=$O$2,$D387,$D387-($D387-$I$373)*MIN(J$3-$O$2,$Q$2)/$Q$2))</f>
        <v>9143.40638848068</v>
      </c>
      <c r="K387" s="15" t="n">
        <f aca="false">J387*(1+IF(K$3&lt;=$O$2,$D387,$D387-($D387-$I$373)*MIN(K$3-$O$2,$Q$2)/$Q$2))</f>
        <v>9534.53863384607</v>
      </c>
      <c r="L387" s="15" t="n">
        <f aca="false">K387*(1+IF(L$3&lt;=$O$2,$D387,$D387-($D387-$I$373)*MIN(L$3-$O$2,$Q$2)/$Q$2))</f>
        <v>9896.39039004589</v>
      </c>
      <c r="M387" s="15" t="n">
        <f aca="false">L387*(1+IF(M$3&lt;=$O$2,$D387,$D387-($D387-$I$373)*MIN(M$3-$O$2,$Q$2)/$Q$2))</f>
        <v>10224.2166331378</v>
      </c>
      <c r="N387" s="15" t="n">
        <f aca="false">M387*(1+IF(N$3&lt;=$O$2,$D387,$D387-($D387-$I$373)*MIN(N$3-$O$2,$Q$2)/$Q$2))</f>
        <v>10513.5619638556</v>
      </c>
      <c r="O387" s="15" t="n">
        <f aca="false">SUMPRODUCT(E387:N387,1/(1+$F$373)^$E$3:$N$3)*$E$2</f>
        <v>36548.2056774143</v>
      </c>
      <c r="P387" s="15" t="n">
        <f aca="false">N387*$E$2*(1+$I$373)/($F$373-$I$373)/(1+$F$373)^$N$3</f>
        <v>65026.8594240039</v>
      </c>
      <c r="Q387" s="15" t="n">
        <f aca="false">O387+P387</f>
        <v>101575.065101418</v>
      </c>
      <c r="R387" s="15" t="n">
        <f aca="false">Q387-$G$2+$I$2</f>
        <v>99985.0651014182</v>
      </c>
      <c r="S387" s="42" t="n">
        <f aca="false">R387/$K$2</f>
        <v>278.060696093827</v>
      </c>
      <c r="T387" s="43" t="n">
        <f aca="false">S387-$M$2</f>
        <v>0.0418963830528583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0.05224609375</v>
      </c>
      <c r="C388" s="25" t="n">
        <f aca="false">IF(T387&gt;0,D387,C387)</f>
        <v>0.05242919921875</v>
      </c>
      <c r="D388" s="41" t="n">
        <f aca="false">(B388+C388)/2</f>
        <v>0.052337646484375</v>
      </c>
      <c r="E388" s="15" t="n">
        <f aca="false">$C$2*(1+IF(E$3&lt;=$O$2,$D388,$D388-($D388-$I$373)*MIN(E$3-$O$2,$Q$2)/$Q$2))</f>
        <v>7113.80249023438</v>
      </c>
      <c r="F388" s="15" t="n">
        <f aca="false">E388*(1+IF(F$3&lt;=$O$2,$D388,$D388-($D388-$I$373)*MIN(F$3-$O$2,$Q$2)/$Q$2))</f>
        <v>7486.12217012793</v>
      </c>
      <c r="G388" s="15" t="n">
        <f aca="false">F388*(1+IF(G$3&lt;=$O$2,$D388,$D388-($D388-$I$373)*MIN(G$3-$O$2,$Q$2)/$Q$2))</f>
        <v>7877.92818580693</v>
      </c>
      <c r="H388" s="15" t="n">
        <f aca="false">G388*(1+IF(H$3&lt;=$O$2,$D388,$D388-($D388-$I$373)*MIN(H$3-$O$2,$Q$2)/$Q$2))</f>
        <v>8290.24040622498</v>
      </c>
      <c r="I388" s="15" t="n">
        <f aca="false">H388*(1+IF(I$3&lt;=$O$2,$D388,$D388-($D388-$I$373)*MIN(I$3-$O$2,$Q$2)/$Q$2))</f>
        <v>8724.13207787647</v>
      </c>
      <c r="J388" s="15" t="n">
        <f aca="false">I388*(1+IF(J$3&lt;=$O$2,$D388,$D388-($D388-$I$373)*MIN(J$3-$O$2,$Q$2)/$Q$2))</f>
        <v>9138.79109789716</v>
      </c>
      <c r="K388" s="15" t="n">
        <f aca="false">J388*(1+IF(K$3&lt;=$O$2,$D388,$D388-($D388-$I$373)*MIN(K$3-$O$2,$Q$2)/$Q$2))</f>
        <v>9529.22390379114</v>
      </c>
      <c r="L388" s="15" t="n">
        <f aca="false">K388*(1+IF(L$3&lt;=$O$2,$D388,$D388-($D388-$I$373)*MIN(L$3-$O$2,$Q$2)/$Q$2))</f>
        <v>9890.52498645634</v>
      </c>
      <c r="M388" s="15" t="n">
        <f aca="false">L388*(1+IF(M$3&lt;=$O$2,$D388,$D388-($D388-$I$373)*MIN(M$3-$O$2,$Q$2)/$Q$2))</f>
        <v>10217.9758322069</v>
      </c>
      <c r="N388" s="15" t="n">
        <f aca="false">M388*(1+IF(N$3&lt;=$O$2,$D388,$D388-($D388-$I$373)*MIN(N$3-$O$2,$Q$2)/$Q$2))</f>
        <v>10507.1445482584</v>
      </c>
      <c r="O388" s="15" t="n">
        <f aca="false">SUMPRODUCT(E388:N388,1/(1+$F$373)^$E$3:$N$3)*$E$2</f>
        <v>36533.4678475947</v>
      </c>
      <c r="P388" s="15" t="n">
        <f aca="false">N388*$E$2*(1+$I$373)/($F$373-$I$373)/(1+$F$373)^$N$3</f>
        <v>64987.1674163533</v>
      </c>
      <c r="Q388" s="15" t="n">
        <f aca="false">O388+P388</f>
        <v>101520.635263948</v>
      </c>
      <c r="R388" s="15" t="n">
        <f aca="false">Q388-$G$2+$I$2</f>
        <v>99930.6352639479</v>
      </c>
      <c r="S388" s="42" t="n">
        <f aca="false">R388/$K$2</f>
        <v>277.90932550183</v>
      </c>
      <c r="T388" s="43" t="n">
        <f aca="false">S388-$M$2</f>
        <v>-0.109474208943936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0.052337646484375</v>
      </c>
      <c r="C389" s="25" t="n">
        <f aca="false">IF(T388&gt;0,D388,C388)</f>
        <v>0.05242919921875</v>
      </c>
      <c r="D389" s="41" t="n">
        <f aca="false">(B389+C389)/2</f>
        <v>0.0523834228515625</v>
      </c>
      <c r="E389" s="15" t="n">
        <f aca="false">$C$2*(1+IF(E$3&lt;=$O$2,$D389,$D389-($D389-$I$373)*MIN(E$3-$O$2,$Q$2)/$Q$2))</f>
        <v>7114.11193847656</v>
      </c>
      <c r="F389" s="15" t="n">
        <f aca="false">E389*(1+IF(F$3&lt;=$O$2,$D389,$D389-($D389-$I$373)*MIN(F$3-$O$2,$Q$2)/$Q$2))</f>
        <v>7486.77347236313</v>
      </c>
      <c r="G389" s="15" t="n">
        <f aca="false">F389*(1+IF(G$3&lt;=$O$2,$D389,$D389-($D389-$I$373)*MIN(G$3-$O$2,$Q$2)/$Q$2))</f>
        <v>7878.95629295979</v>
      </c>
      <c r="H389" s="15" t="n">
        <f aca="false">G389*(1+IF(H$3&lt;=$O$2,$D389,$D389-($D389-$I$373)*MIN(H$3-$O$2,$Q$2)/$Q$2))</f>
        <v>8291.68299208288</v>
      </c>
      <c r="I389" s="15" t="n">
        <f aca="false">H389*(1+IF(I$3&lt;=$O$2,$D389,$D389-($D389-$I$373)*MIN(I$3-$O$2,$Q$2)/$Q$2))</f>
        <v>8726.02972840827</v>
      </c>
      <c r="J389" s="15" t="n">
        <f aca="false">I389*(1+IF(J$3&lt;=$O$2,$D389,$D389-($D389-$I$373)*MIN(J$3-$O$2,$Q$2)/$Q$2))</f>
        <v>9141.09850073387</v>
      </c>
      <c r="K389" s="15" t="n">
        <f aca="false">J389*(1+IF(K$3&lt;=$O$2,$D389,$D389-($D389-$I$373)*MIN(K$3-$O$2,$Q$2)/$Q$2))</f>
        <v>9531.88095261721</v>
      </c>
      <c r="L389" s="15" t="n">
        <f aca="false">K389*(1+IF(L$3&lt;=$O$2,$D389,$D389-($D389-$I$373)*MIN(L$3-$O$2,$Q$2)/$Q$2))</f>
        <v>9893.45731139733</v>
      </c>
      <c r="M389" s="15" t="n">
        <f aca="false">L389*(1+IF(M$3&lt;=$O$2,$D389,$D389-($D389-$I$373)*MIN(M$3-$O$2,$Q$2)/$Q$2))</f>
        <v>10221.0958164887</v>
      </c>
      <c r="N389" s="15" t="n">
        <f aca="false">M389*(1+IF(N$3&lt;=$O$2,$D389,$D389-($D389-$I$373)*MIN(N$3-$O$2,$Q$2)/$Q$2))</f>
        <v>10510.3528280954</v>
      </c>
      <c r="O389" s="15" t="n">
        <f aca="false">SUMPRODUCT(E389:N389,1/(1+$F$373)^$E$3:$N$3)*$E$2</f>
        <v>36540.8360167683</v>
      </c>
      <c r="P389" s="15" t="n">
        <f aca="false">N389*$E$2*(1+$I$373)/($F$373-$I$373)/(1+$F$373)^$N$3</f>
        <v>65007.0107732166</v>
      </c>
      <c r="Q389" s="15" t="n">
        <f aca="false">O389+P389</f>
        <v>101547.846789985</v>
      </c>
      <c r="R389" s="15" t="n">
        <f aca="false">Q389-$G$2+$I$2</f>
        <v>99957.8467899849</v>
      </c>
      <c r="S389" s="42" t="n">
        <f aca="false">R389/$K$2</f>
        <v>277.985001362659</v>
      </c>
      <c r="T389" s="43" t="n">
        <f aca="false">S389-$M$2</f>
        <v>-0.0337983481148285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0.0523834228515625</v>
      </c>
      <c r="C390" s="25" t="n">
        <f aca="false">IF(T389&gt;0,D389,C389)</f>
        <v>0.05242919921875</v>
      </c>
      <c r="D390" s="41" t="n">
        <f aca="false">(B390+C390)/2</f>
        <v>0.0524063110351563</v>
      </c>
      <c r="E390" s="15" t="n">
        <f aca="false">$C$2*(1+IF(E$3&lt;=$O$2,$D390,$D390-($D390-$I$373)*MIN(E$3-$O$2,$Q$2)/$Q$2))</f>
        <v>7114.26666259766</v>
      </c>
      <c r="F390" s="15" t="n">
        <f aca="false">E390*(1+IF(F$3&lt;=$O$2,$D390,$D390-($D390-$I$373)*MIN(F$3-$O$2,$Q$2)/$Q$2))</f>
        <v>7487.09913410479</v>
      </c>
      <c r="G390" s="15" t="n">
        <f aca="false">F390*(1+IF(G$3&lt;=$O$2,$D390,$D390-($D390-$I$373)*MIN(G$3-$O$2,$Q$2)/$Q$2))</f>
        <v>7879.47038007774</v>
      </c>
      <c r="H390" s="15" t="n">
        <f aca="false">G390*(1+IF(H$3&lt;=$O$2,$D390,$D390-($D390-$I$373)*MIN(H$3-$O$2,$Q$2)/$Q$2))</f>
        <v>8292.40435560839</v>
      </c>
      <c r="I390" s="15" t="n">
        <f aca="false">H390*(1+IF(I$3&lt;=$O$2,$D390,$D390-($D390-$I$373)*MIN(I$3-$O$2,$Q$2)/$Q$2))</f>
        <v>8726.97867749769</v>
      </c>
      <c r="J390" s="15" t="n">
        <f aca="false">I390*(1+IF(J$3&lt;=$O$2,$D390,$D390-($D390-$I$373)*MIN(J$3-$O$2,$Q$2)/$Q$2))</f>
        <v>9142.25238398843</v>
      </c>
      <c r="K390" s="15" t="n">
        <f aca="false">J390*(1+IF(K$3&lt;=$O$2,$D390,$D390-($D390-$I$373)*MIN(K$3-$O$2,$Q$2)/$Q$2))</f>
        <v>9533.20971417349</v>
      </c>
      <c r="L390" s="15" t="n">
        <f aca="false">K390*(1+IF(L$3&lt;=$O$2,$D390,$D390-($D390-$I$373)*MIN(L$3-$O$2,$Q$2)/$Q$2))</f>
        <v>9894.9237564979</v>
      </c>
      <c r="M390" s="15" t="n">
        <f aca="false">L390*(1+IF(M$3&lt;=$O$2,$D390,$D390-($D390-$I$373)*MIN(M$3-$O$2,$Q$2)/$Q$2))</f>
        <v>10222.6561207554</v>
      </c>
      <c r="N390" s="15" t="n">
        <f aca="false">M390*(1+IF(N$3&lt;=$O$2,$D390,$D390-($D390-$I$373)*MIN(N$3-$O$2,$Q$2)/$Q$2))</f>
        <v>10511.9572889728</v>
      </c>
      <c r="O390" s="15" t="n">
        <f aca="false">SUMPRODUCT(E390:N390,1/(1+$F$373)^$E$3:$N$3)*$E$2</f>
        <v>36544.5206606397</v>
      </c>
      <c r="P390" s="15" t="n">
        <f aca="false">N390*$E$2*(1+$I$373)/($F$373-$I$373)/(1+$F$373)^$N$3</f>
        <v>65016.934436794</v>
      </c>
      <c r="Q390" s="15" t="n">
        <f aca="false">O390+P390</f>
        <v>101561.455097434</v>
      </c>
      <c r="R390" s="15" t="n">
        <f aca="false">Q390-$G$2+$I$2</f>
        <v>99971.4550974337</v>
      </c>
      <c r="S390" s="42" t="n">
        <f aca="false">R390/$K$2</f>
        <v>278.022846369191</v>
      </c>
      <c r="T390" s="43" t="n">
        <f aca="false">S390-$M$2</f>
        <v>0.00404665841728047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0.0523834228515625</v>
      </c>
      <c r="C391" s="25" t="n">
        <f aca="false">IF(T390&gt;0,D390,C390)</f>
        <v>0.0524063110351563</v>
      </c>
      <c r="D391" s="41" t="n">
        <f aca="false">(B391+C391)/2</f>
        <v>0.0523948669433594</v>
      </c>
      <c r="E391" s="15" t="n">
        <f aca="false">$C$2*(1+IF(E$3&lt;=$O$2,$D391,$D391-($D391-$I$373)*MIN(E$3-$O$2,$Q$2)/$Q$2))</f>
        <v>7114.18930053711</v>
      </c>
      <c r="F391" s="15" t="n">
        <f aca="false">E391*(1+IF(F$3&lt;=$O$2,$D391,$D391-($D391-$I$373)*MIN(F$3-$O$2,$Q$2)/$Q$2))</f>
        <v>7486.93630234862</v>
      </c>
      <c r="G391" s="15" t="n">
        <f aca="false">F391*(1+IF(G$3&lt;=$O$2,$D391,$D391-($D391-$I$373)*MIN(G$3-$O$2,$Q$2)/$Q$2))</f>
        <v>7879.21333372359</v>
      </c>
      <c r="H391" s="15" t="n">
        <f aca="false">G391*(1+IF(H$3&lt;=$O$2,$D391,$D391-($D391-$I$373)*MIN(H$3-$O$2,$Q$2)/$Q$2))</f>
        <v>8292.04366796238</v>
      </c>
      <c r="I391" s="15" t="n">
        <f aca="false">H391*(1+IF(I$3&lt;=$O$2,$D391,$D391-($D391-$I$373)*MIN(I$3-$O$2,$Q$2)/$Q$2))</f>
        <v>8726.50419263379</v>
      </c>
      <c r="J391" s="15" t="n">
        <f aca="false">I391*(1+IF(J$3&lt;=$O$2,$D391,$D391-($D391-$I$373)*MIN(J$3-$O$2,$Q$2)/$Q$2))</f>
        <v>9141.67542720707</v>
      </c>
      <c r="K391" s="15" t="n">
        <f aca="false">J391*(1+IF(K$3&lt;=$O$2,$D391,$D391-($D391-$I$373)*MIN(K$3-$O$2,$Q$2)/$Q$2))</f>
        <v>9532.54531363179</v>
      </c>
      <c r="L391" s="15" t="n">
        <f aca="false">K391*(1+IF(L$3&lt;=$O$2,$D391,$D391-($D391-$I$373)*MIN(L$3-$O$2,$Q$2)/$Q$2))</f>
        <v>9894.19051039297</v>
      </c>
      <c r="M391" s="15" t="n">
        <f aca="false">L391*(1+IF(M$3&lt;=$O$2,$D391,$D391-($D391-$I$373)*MIN(M$3-$O$2,$Q$2)/$Q$2))</f>
        <v>10221.8759426091</v>
      </c>
      <c r="N391" s="15" t="n">
        <f aca="false">M391*(1+IF(N$3&lt;=$O$2,$D391,$D391-($D391-$I$373)*MIN(N$3-$O$2,$Q$2)/$Q$2))</f>
        <v>10511.155031785</v>
      </c>
      <c r="O391" s="15" t="n">
        <f aca="false">SUMPRODUCT(E391:N391,1/(1+$F$373)^$E$3:$N$3)*$E$2</f>
        <v>36542.6782920933</v>
      </c>
      <c r="P391" s="15" t="n">
        <f aca="false">N391*$E$2*(1+$I$373)/($F$373-$I$373)/(1+$F$373)^$N$3</f>
        <v>65011.9724395607</v>
      </c>
      <c r="Q391" s="15" t="n">
        <f aca="false">O391+P391</f>
        <v>101554.650731654</v>
      </c>
      <c r="R391" s="15" t="n">
        <f aca="false">Q391-$G$2+$I$2</f>
        <v>99964.650731654</v>
      </c>
      <c r="S391" s="42" t="n">
        <f aca="false">R391/$K$2</f>
        <v>278.003923276194</v>
      </c>
      <c r="T391" s="43" t="n">
        <f aca="false">S391-$M$2</f>
        <v>-0.0148764345792642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0.0523948669433594</v>
      </c>
      <c r="C392" s="25" t="n">
        <f aca="false">IF(T391&gt;0,D391,C391)</f>
        <v>0.0524063110351563</v>
      </c>
      <c r="D392" s="41" t="n">
        <f aca="false">(B392+C392)/2</f>
        <v>0.0524005889892578</v>
      </c>
      <c r="E392" s="15" t="n">
        <f aca="false">$C$2*(1+IF(E$3&lt;=$O$2,$D392,$D392-($D392-$I$373)*MIN(E$3-$O$2,$Q$2)/$Q$2))</f>
        <v>7114.22798156738</v>
      </c>
      <c r="F392" s="15" t="n">
        <f aca="false">E392*(1+IF(F$3&lt;=$O$2,$D392,$D392-($D392-$I$373)*MIN(F$3-$O$2,$Q$2)/$Q$2))</f>
        <v>7487.01771800537</v>
      </c>
      <c r="G392" s="15" t="n">
        <f aca="false">F392*(1+IF(G$3&lt;=$O$2,$D392,$D392-($D392-$I$373)*MIN(G$3-$O$2,$Q$2)/$Q$2))</f>
        <v>7879.34185620186</v>
      </c>
      <c r="H392" s="15" t="n">
        <f aca="false">G392*(1+IF(H$3&lt;=$O$2,$D392,$D392-($D392-$I$373)*MIN(H$3-$O$2,$Q$2)/$Q$2))</f>
        <v>8292.22401031455</v>
      </c>
      <c r="I392" s="15" t="n">
        <f aca="false">H392*(1+IF(I$3&lt;=$O$2,$D392,$D392-($D392-$I$373)*MIN(I$3-$O$2,$Q$2)/$Q$2))</f>
        <v>8726.7414324859</v>
      </c>
      <c r="J392" s="15" t="n">
        <f aca="false">I392*(1+IF(J$3&lt;=$O$2,$D392,$D392-($D392-$I$373)*MIN(J$3-$O$2,$Q$2)/$Q$2))</f>
        <v>9141.96390180915</v>
      </c>
      <c r="K392" s="15" t="n">
        <f aca="false">J392*(1+IF(K$3&lt;=$O$2,$D392,$D392-($D392-$I$373)*MIN(K$3-$O$2,$Q$2)/$Q$2))</f>
        <v>9532.87750896163</v>
      </c>
      <c r="L392" s="15" t="n">
        <f aca="false">K392*(1+IF(L$3&lt;=$O$2,$D392,$D392-($D392-$I$373)*MIN(L$3-$O$2,$Q$2)/$Q$2))</f>
        <v>9894.55712755661</v>
      </c>
      <c r="M392" s="15" t="n">
        <f aca="false">L392*(1+IF(M$3&lt;=$O$2,$D392,$D392-($D392-$I$373)*MIN(M$3-$O$2,$Q$2)/$Q$2))</f>
        <v>10222.2660251789</v>
      </c>
      <c r="N392" s="15" t="n">
        <f aca="false">M392*(1+IF(N$3&lt;=$O$2,$D392,$D392-($D392-$I$373)*MIN(N$3-$O$2,$Q$2)/$Q$2))</f>
        <v>10511.5561536914</v>
      </c>
      <c r="O392" s="15" t="n">
        <f aca="false">SUMPRODUCT(E392:N392,1/(1+$F$373)^$E$3:$N$3)*$E$2</f>
        <v>36543.5994647135</v>
      </c>
      <c r="P392" s="15" t="n">
        <f aca="false">N392*$E$2*(1+$I$373)/($F$373-$I$373)/(1+$F$373)^$N$3</f>
        <v>65014.453396815</v>
      </c>
      <c r="Q392" s="15" t="n">
        <f aca="false">O392+P392</f>
        <v>101558.052861529</v>
      </c>
      <c r="R392" s="15" t="n">
        <f aca="false">Q392-$G$2+$I$2</f>
        <v>99968.0528615285</v>
      </c>
      <c r="S392" s="42" t="n">
        <f aca="false">R392/$K$2</f>
        <v>278.013384675256</v>
      </c>
      <c r="T392" s="43" t="n">
        <f aca="false">S392-$M$2</f>
        <v>-0.00541503551772848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0.0524005889892578</v>
      </c>
      <c r="C393" s="25" t="n">
        <f aca="false">IF(T392&gt;0,D392,C392)</f>
        <v>0.0524063110351563</v>
      </c>
      <c r="D393" s="41" t="n">
        <f aca="false">(B393+C393)/2</f>
        <v>0.052403450012207</v>
      </c>
      <c r="E393" s="15" t="n">
        <f aca="false">$C$2*(1+IF(E$3&lt;=$O$2,$D393,$D393-($D393-$I$373)*MIN(E$3-$O$2,$Q$2)/$Q$2))</f>
        <v>7114.24732208252</v>
      </c>
      <c r="F393" s="15" t="n">
        <f aca="false">E393*(1+IF(F$3&lt;=$O$2,$D393,$D393-($D393-$I$373)*MIN(F$3-$O$2,$Q$2)/$Q$2))</f>
        <v>7487.05842599975</v>
      </c>
      <c r="G393" s="15" t="n">
        <f aca="false">F393*(1+IF(G$3&lt;=$O$2,$D393,$D393-($D393-$I$373)*MIN(G$3-$O$2,$Q$2)/$Q$2))</f>
        <v>7879.4061179651</v>
      </c>
      <c r="H393" s="15" t="n">
        <f aca="false">G393*(1+IF(H$3&lt;=$O$2,$D393,$D393-($D393-$I$373)*MIN(H$3-$O$2,$Q$2)/$Q$2))</f>
        <v>8292.31418259376</v>
      </c>
      <c r="I393" s="15" t="n">
        <f aca="false">H393*(1+IF(I$3&lt;=$O$2,$D393,$D393-($D393-$I$373)*MIN(I$3-$O$2,$Q$2)/$Q$2))</f>
        <v>8726.86005434683</v>
      </c>
      <c r="J393" s="15" t="n">
        <f aca="false">I393*(1+IF(J$3&lt;=$O$2,$D393,$D393-($D393-$I$373)*MIN(J$3-$O$2,$Q$2)/$Q$2))</f>
        <v>9142.10814195163</v>
      </c>
      <c r="K393" s="15" t="n">
        <f aca="false">J393*(1+IF(K$3&lt;=$O$2,$D393,$D393-($D393-$I$373)*MIN(K$3-$O$2,$Q$2)/$Q$2))</f>
        <v>9533.04361033229</v>
      </c>
      <c r="L393" s="15" t="n">
        <f aca="false">K393*(1+IF(L$3&lt;=$O$2,$D393,$D393-($D393-$I$373)*MIN(L$3-$O$2,$Q$2)/$Q$2))</f>
        <v>9894.74044055503</v>
      </c>
      <c r="M393" s="15" t="n">
        <f aca="false">L393*(1+IF(M$3&lt;=$O$2,$D393,$D393-($D393-$I$373)*MIN(M$3-$O$2,$Q$2)/$Q$2))</f>
        <v>10222.4610713413</v>
      </c>
      <c r="N393" s="15" t="n">
        <f aca="false">M393*(1+IF(N$3&lt;=$O$2,$D393,$D393-($D393-$I$373)*MIN(N$3-$O$2,$Q$2)/$Q$2))</f>
        <v>10511.7567196602</v>
      </c>
      <c r="O393" s="15" t="n">
        <f aca="false">SUMPRODUCT(E393:N393,1/(1+$F$373)^$E$3:$N$3)*$E$2</f>
        <v>36544.0600597633</v>
      </c>
      <c r="P393" s="15" t="n">
        <f aca="false">N393*$E$2*(1+$I$373)/($F$373-$I$373)/(1+$F$373)^$N$3</f>
        <v>65015.6939064638</v>
      </c>
      <c r="Q393" s="15" t="n">
        <f aca="false">O393+P393</f>
        <v>101559.753966227</v>
      </c>
      <c r="R393" s="15" t="n">
        <f aca="false">Q393-$G$2+$I$2</f>
        <v>99969.7539662271</v>
      </c>
      <c r="S393" s="42" t="n">
        <f aca="false">R393/$K$2</f>
        <v>278.018115485364</v>
      </c>
      <c r="T393" s="43" t="n">
        <f aca="false">S393-$M$2</f>
        <v>-0.000684225409941064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0.052403450012207</v>
      </c>
      <c r="C394" s="25" t="n">
        <f aca="false">IF(T393&gt;0,D393,C393)</f>
        <v>0.0524063110351563</v>
      </c>
      <c r="D394" s="41" t="n">
        <f aca="false">(B394+C394)/2</f>
        <v>0.0524048805236816</v>
      </c>
      <c r="E394" s="15" t="n">
        <f aca="false">$C$2*(1+IF(E$3&lt;=$O$2,$D394,$D394-($D394-$I$373)*MIN(E$3-$O$2,$Q$2)/$Q$2))</f>
        <v>7114.25699234009</v>
      </c>
      <c r="F394" s="15" t="n">
        <f aca="false">E394*(1+IF(F$3&lt;=$O$2,$D394,$D394-($D394-$I$373)*MIN(F$3-$O$2,$Q$2)/$Q$2))</f>
        <v>7487.07878003844</v>
      </c>
      <c r="G394" s="15" t="n">
        <f aca="false">F394*(1+IF(G$3&lt;=$O$2,$D394,$D394-($D394-$I$373)*MIN(G$3-$O$2,$Q$2)/$Q$2))</f>
        <v>7879.43824897774</v>
      </c>
      <c r="H394" s="15" t="n">
        <f aca="false">G394*(1+IF(H$3&lt;=$O$2,$D394,$D394-($D394-$I$373)*MIN(H$3-$O$2,$Q$2)/$Q$2))</f>
        <v>8292.35926900915</v>
      </c>
      <c r="I394" s="15" t="n">
        <f aca="false">H394*(1+IF(I$3&lt;=$O$2,$D394,$D394-($D394-$I$373)*MIN(I$3-$O$2,$Q$2)/$Q$2))</f>
        <v>8726.91936576102</v>
      </c>
      <c r="J394" s="15" t="n">
        <f aca="false">I394*(1+IF(J$3&lt;=$O$2,$D394,$D394-($D394-$I$373)*MIN(J$3-$O$2,$Q$2)/$Q$2))</f>
        <v>9142.18026273323</v>
      </c>
      <c r="K394" s="15" t="n">
        <f aca="false">J394*(1+IF(K$3&lt;=$O$2,$D394,$D394-($D394-$I$373)*MIN(K$3-$O$2,$Q$2)/$Q$2))</f>
        <v>9533.12666194407</v>
      </c>
      <c r="L394" s="15" t="n">
        <f aca="false">K394*(1+IF(L$3&lt;=$O$2,$D394,$D394-($D394-$I$373)*MIN(L$3-$O$2,$Q$2)/$Q$2))</f>
        <v>9894.8320981584</v>
      </c>
      <c r="M394" s="15" t="n">
        <f aca="false">L394*(1+IF(M$3&lt;=$O$2,$D394,$D394-($D394-$I$373)*MIN(M$3-$O$2,$Q$2)/$Q$2))</f>
        <v>10222.5585956419</v>
      </c>
      <c r="N394" s="15" t="n">
        <f aca="false">M394*(1+IF(N$3&lt;=$O$2,$D394,$D394-($D394-$I$373)*MIN(N$3-$O$2,$Q$2)/$Q$2))</f>
        <v>10511.8570038986</v>
      </c>
      <c r="O394" s="15" t="n">
        <f aca="false">SUMPRODUCT(E394:N394,1/(1+$F$373)^$E$3:$N$3)*$E$2</f>
        <v>36544.2903594732</v>
      </c>
      <c r="P394" s="15" t="n">
        <f aca="false">N394*$E$2*(1+$I$373)/($F$373-$I$373)/(1+$F$373)^$N$3</f>
        <v>65016.3141690437</v>
      </c>
      <c r="Q394" s="15" t="n">
        <f aca="false">O394+P394</f>
        <v>101560.604528517</v>
      </c>
      <c r="R394" s="15" t="n">
        <f aca="false">Q394-$G$2+$I$2</f>
        <v>99970.6045285169</v>
      </c>
      <c r="S394" s="42" t="n">
        <f aca="false">R394/$K$2</f>
        <v>278.020480918062</v>
      </c>
      <c r="T394" s="43" t="n">
        <f aca="false">S394-$M$2</f>
        <v>0.00168120728875465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0.052403450012207</v>
      </c>
      <c r="C395" s="25" t="n">
        <f aca="false">IF(T394&gt;0,D394,C394)</f>
        <v>0.0524048805236816</v>
      </c>
      <c r="D395" s="41" t="n">
        <f aca="false">(B395+C395)/2</f>
        <v>0.0524041652679443</v>
      </c>
      <c r="E395" s="15" t="n">
        <f aca="false">$C$2*(1+IF(E$3&lt;=$O$2,$D395,$D395-($D395-$I$373)*MIN(E$3-$O$2,$Q$2)/$Q$2))</f>
        <v>7114.2521572113</v>
      </c>
      <c r="F395" s="15" t="n">
        <f aca="false">E395*(1+IF(F$3&lt;=$O$2,$D395,$D395-($D395-$I$373)*MIN(F$3-$O$2,$Q$2)/$Q$2))</f>
        <v>7487.06860301563</v>
      </c>
      <c r="G395" s="15" t="n">
        <f aca="false">F395*(1+IF(G$3&lt;=$O$2,$D395,$D395-($D395-$I$373)*MIN(G$3-$O$2,$Q$2)/$Q$2))</f>
        <v>7879.4221834605</v>
      </c>
      <c r="H395" s="15" t="n">
        <f aca="false">G395*(1+IF(H$3&lt;=$O$2,$D395,$D395-($D395-$I$373)*MIN(H$3-$O$2,$Q$2)/$Q$2))</f>
        <v>8292.33672577847</v>
      </c>
      <c r="I395" s="15" t="n">
        <f aca="false">H395*(1+IF(I$3&lt;=$O$2,$D395,$D395-($D395-$I$373)*MIN(I$3-$O$2,$Q$2)/$Q$2))</f>
        <v>8726.88971001361</v>
      </c>
      <c r="J395" s="15" t="n">
        <f aca="false">I395*(1+IF(J$3&lt;=$O$2,$D395,$D395-($D395-$I$373)*MIN(J$3-$O$2,$Q$2)/$Q$2))</f>
        <v>9142.14420228323</v>
      </c>
      <c r="K395" s="15" t="n">
        <f aca="false">J395*(1+IF(K$3&lt;=$O$2,$D395,$D395-($D395-$I$373)*MIN(K$3-$O$2,$Q$2)/$Q$2))</f>
        <v>9533.08513606098</v>
      </c>
      <c r="L395" s="15" t="n">
        <f aca="false">K395*(1+IF(L$3&lt;=$O$2,$D395,$D395-($D395-$I$373)*MIN(L$3-$O$2,$Q$2)/$Q$2))</f>
        <v>9894.7862692647</v>
      </c>
      <c r="M395" s="15" t="n">
        <f aca="false">L395*(1+IF(M$3&lt;=$O$2,$D395,$D395-($D395-$I$373)*MIN(M$3-$O$2,$Q$2)/$Q$2))</f>
        <v>10222.50983339</v>
      </c>
      <c r="N395" s="15" t="n">
        <f aca="false">M395*(1+IF(N$3&lt;=$O$2,$D395,$D395-($D395-$I$373)*MIN(N$3-$O$2,$Q$2)/$Q$2))</f>
        <v>10511.8068616749</v>
      </c>
      <c r="O395" s="15" t="n">
        <f aca="false">SUMPRODUCT(E395:N395,1/(1+$F$373)^$E$3:$N$3)*$E$2</f>
        <v>36544.1752094362</v>
      </c>
      <c r="P395" s="15" t="n">
        <f aca="false">N395*$E$2*(1+$I$373)/($F$373-$I$373)/(1+$F$373)^$N$3</f>
        <v>65016.0040371074</v>
      </c>
      <c r="Q395" s="15" t="n">
        <f aca="false">O395+P395</f>
        <v>101560.179246544</v>
      </c>
      <c r="R395" s="15" t="n">
        <f aca="false">Q395-$G$2+$I$2</f>
        <v>99970.1792465436</v>
      </c>
      <c r="S395" s="42" t="n">
        <f aca="false">R395/$K$2</f>
        <v>278.019298199409</v>
      </c>
      <c r="T395" s="43" t="n">
        <f aca="false">S395-$M$2</f>
        <v>0.000498488635628291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0.052403450012207</v>
      </c>
      <c r="C396" s="25" t="n">
        <f aca="false">IF(T395&gt;0,D395,C395)</f>
        <v>0.0524041652679443</v>
      </c>
      <c r="D396" s="41" t="n">
        <f aca="false">(B396+C396)/2</f>
        <v>0.0524038076400757</v>
      </c>
      <c r="E396" s="15" t="n">
        <f aca="false">$C$2*(1+IF(E$3&lt;=$O$2,$D396,$D396-($D396-$I$373)*MIN(E$3-$O$2,$Q$2)/$Q$2))</f>
        <v>7114.24973964691</v>
      </c>
      <c r="F396" s="15" t="n">
        <f aca="false">E396*(1+IF(F$3&lt;=$O$2,$D396,$D396-($D396-$I$373)*MIN(F$3-$O$2,$Q$2)/$Q$2))</f>
        <v>7487.06351450683</v>
      </c>
      <c r="G396" s="15" t="n">
        <f aca="false">F396*(1+IF(G$3&lt;=$O$2,$D396,$D396-($D396-$I$373)*MIN(G$3-$O$2,$Q$2)/$Q$2))</f>
        <v>7879.41415071007</v>
      </c>
      <c r="H396" s="15" t="n">
        <f aca="false">G396*(1+IF(H$3&lt;=$O$2,$D396,$D396-($D396-$I$373)*MIN(H$3-$O$2,$Q$2)/$Q$2))</f>
        <v>8292.32545418037</v>
      </c>
      <c r="I396" s="15" t="n">
        <f aca="false">H396*(1+IF(I$3&lt;=$O$2,$D396,$D396-($D396-$I$373)*MIN(I$3-$O$2,$Q$2)/$Q$2))</f>
        <v>8726.87488217015</v>
      </c>
      <c r="J396" s="15" t="n">
        <f aca="false">I396*(1+IF(J$3&lt;=$O$2,$D396,$D396-($D396-$I$373)*MIN(J$3-$O$2,$Q$2)/$Q$2))</f>
        <v>9142.12617210263</v>
      </c>
      <c r="K396" s="15" t="n">
        <f aca="false">J396*(1+IF(K$3&lt;=$O$2,$D396,$D396-($D396-$I$373)*MIN(K$3-$O$2,$Q$2)/$Q$2))</f>
        <v>9533.06437317733</v>
      </c>
      <c r="L396" s="15" t="n">
        <f aca="false">K396*(1+IF(L$3&lt;=$O$2,$D396,$D396-($D396-$I$373)*MIN(L$3-$O$2,$Q$2)/$Q$2))</f>
        <v>9894.76335488686</v>
      </c>
      <c r="M396" s="15" t="n">
        <f aca="false">L396*(1+IF(M$3&lt;=$O$2,$D396,$D396-($D396-$I$373)*MIN(M$3-$O$2,$Q$2)/$Q$2))</f>
        <v>10222.4854523402</v>
      </c>
      <c r="N396" s="15" t="n">
        <f aca="false">M396*(1+IF(N$3&lt;=$O$2,$D396,$D396-($D396-$I$373)*MIN(N$3-$O$2,$Q$2)/$Q$2))</f>
        <v>10511.7817906414</v>
      </c>
      <c r="O396" s="15" t="n">
        <f aca="false">SUMPRODUCT(E396:N396,1/(1+$F$373)^$E$3:$N$3)*$E$2</f>
        <v>36544.1176345543</v>
      </c>
      <c r="P396" s="15" t="n">
        <f aca="false">N396*$E$2*(1+$I$373)/($F$373-$I$373)/(1+$F$373)^$N$3</f>
        <v>65015.848971624</v>
      </c>
      <c r="Q396" s="15" t="n">
        <f aca="false">O396+P396</f>
        <v>101559.966606178</v>
      </c>
      <c r="R396" s="15" t="n">
        <f aca="false">Q396-$G$2+$I$2</f>
        <v>99969.9666061783</v>
      </c>
      <c r="S396" s="42" t="n">
        <f aca="false">R396/$K$2</f>
        <v>278.018706841811</v>
      </c>
      <c r="T396" s="43" t="n">
        <f aca="false">S396-$M$2</f>
        <v>-9.2868963008641E-005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0.0524038076400757</v>
      </c>
      <c r="C397" s="25" t="n">
        <f aca="false">IF(T396&gt;0,D396,C396)</f>
        <v>0.0524041652679443</v>
      </c>
      <c r="D397" s="41" t="n">
        <f aca="false">(B397+C397)/2</f>
        <v>0.05240398645401</v>
      </c>
      <c r="E397" s="15" t="n">
        <f aca="false">$C$2*(1+IF(E$3&lt;=$O$2,$D397,$D397-($D397-$I$373)*MIN(E$3-$O$2,$Q$2)/$Q$2))</f>
        <v>7114.25094842911</v>
      </c>
      <c r="F397" s="15" t="n">
        <f aca="false">E397*(1+IF(F$3&lt;=$O$2,$D397,$D397-($D397-$I$373)*MIN(F$3-$O$2,$Q$2)/$Q$2))</f>
        <v>7487.06605876102</v>
      </c>
      <c r="G397" s="15" t="n">
        <f aca="false">F397*(1+IF(G$3&lt;=$O$2,$D397,$D397-($D397-$I$373)*MIN(G$3-$O$2,$Q$2)/$Q$2))</f>
        <v>7879.41816708461</v>
      </c>
      <c r="H397" s="15" t="n">
        <f aca="false">G397*(1+IF(H$3&lt;=$O$2,$D397,$D397-($D397-$I$373)*MIN(H$3-$O$2,$Q$2)/$Q$2))</f>
        <v>8292.33108997799</v>
      </c>
      <c r="I397" s="15" t="n">
        <f aca="false">H397*(1+IF(I$3&lt;=$O$2,$D397,$D397-($D397-$I$373)*MIN(I$3-$O$2,$Q$2)/$Q$2))</f>
        <v>8726.88229608936</v>
      </c>
      <c r="J397" s="15" t="n">
        <f aca="false">I397*(1+IF(J$3&lt;=$O$2,$D397,$D397-($D397-$I$373)*MIN(J$3-$O$2,$Q$2)/$Q$2))</f>
        <v>9142.13518718923</v>
      </c>
      <c r="K397" s="15" t="n">
        <f aca="false">J397*(1+IF(K$3&lt;=$O$2,$D397,$D397-($D397-$I$373)*MIN(K$3-$O$2,$Q$2)/$Q$2))</f>
        <v>9533.07475461433</v>
      </c>
      <c r="L397" s="15" t="n">
        <f aca="false">K397*(1+IF(L$3&lt;=$O$2,$D397,$D397-($D397-$I$373)*MIN(L$3-$O$2,$Q$2)/$Q$2))</f>
        <v>9894.77481207003</v>
      </c>
      <c r="M397" s="15" t="n">
        <f aca="false">L397*(1+IF(M$3&lt;=$O$2,$D397,$D397-($D397-$I$373)*MIN(M$3-$O$2,$Q$2)/$Q$2))</f>
        <v>10222.4976428587</v>
      </c>
      <c r="N397" s="15" t="n">
        <f aca="false">M397*(1+IF(N$3&lt;=$O$2,$D397,$D397-($D397-$I$373)*MIN(N$3-$O$2,$Q$2)/$Q$2))</f>
        <v>10511.7943261516</v>
      </c>
      <c r="O397" s="15" t="n">
        <f aca="false">SUMPRODUCT(E397:N397,1/(1+$F$373)^$E$3:$N$3)*$E$2</f>
        <v>36544.1464219838</v>
      </c>
      <c r="P397" s="15" t="n">
        <f aca="false">N397*$E$2*(1+$I$373)/($F$373-$I$373)/(1+$F$373)^$N$3</f>
        <v>65015.9265043253</v>
      </c>
      <c r="Q397" s="15" t="n">
        <f aca="false">O397+P397</f>
        <v>101560.072926309</v>
      </c>
      <c r="R397" s="15" t="n">
        <f aca="false">Q397-$G$2+$I$2</f>
        <v>99970.0729263092</v>
      </c>
      <c r="S397" s="42" t="n">
        <f aca="false">R397/$K$2</f>
        <v>278.019002520466</v>
      </c>
      <c r="T397" s="43" t="n">
        <f aca="false">S397-$M$2</f>
        <v>0.000202809692268602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0.0524038076400757</v>
      </c>
      <c r="C398" s="25" t="n">
        <f aca="false">IF(T397&gt;0,D397,C397)</f>
        <v>0.05240398645401</v>
      </c>
      <c r="D398" s="41" t="n">
        <f aca="false">(B398+C398)/2</f>
        <v>0.0524038970470429</v>
      </c>
      <c r="E398" s="15" t="n">
        <f aca="false">$C$2*(1+IF(E$3&lt;=$O$2,$D398,$D398-($D398-$I$373)*MIN(E$3-$O$2,$Q$2)/$Q$2))</f>
        <v>7114.25034403801</v>
      </c>
      <c r="F398" s="15" t="n">
        <f aca="false">E398*(1+IF(F$3&lt;=$O$2,$D398,$D398-($D398-$I$373)*MIN(F$3-$O$2,$Q$2)/$Q$2))</f>
        <v>7487.06478663387</v>
      </c>
      <c r="G398" s="15" t="n">
        <f aca="false">F398*(1+IF(G$3&lt;=$O$2,$D398,$D398-($D398-$I$373)*MIN(G$3-$O$2,$Q$2)/$Q$2))</f>
        <v>7879.41615889717</v>
      </c>
      <c r="H398" s="15" t="n">
        <f aca="false">G398*(1+IF(H$3&lt;=$O$2,$D398,$D398-($D398-$I$373)*MIN(H$3-$O$2,$Q$2)/$Q$2))</f>
        <v>8292.32827207882</v>
      </c>
      <c r="I398" s="15" t="n">
        <f aca="false">H398*(1+IF(I$3&lt;=$O$2,$D398,$D398-($D398-$I$373)*MIN(I$3-$O$2,$Q$2)/$Q$2))</f>
        <v>8726.87858912912</v>
      </c>
      <c r="J398" s="15" t="n">
        <f aca="false">I398*(1+IF(J$3&lt;=$O$2,$D398,$D398-($D398-$I$373)*MIN(J$3-$O$2,$Q$2)/$Q$2))</f>
        <v>9142.130679645</v>
      </c>
      <c r="K398" s="15" t="n">
        <f aca="false">J398*(1+IF(K$3&lt;=$O$2,$D398,$D398-($D398-$I$373)*MIN(K$3-$O$2,$Q$2)/$Q$2))</f>
        <v>9533.06956389462</v>
      </c>
      <c r="L398" s="15" t="n">
        <f aca="false">K398*(1+IF(L$3&lt;=$O$2,$D398,$D398-($D398-$I$373)*MIN(L$3-$O$2,$Q$2)/$Q$2))</f>
        <v>9894.76908347701</v>
      </c>
      <c r="M398" s="15" t="n">
        <f aca="false">L398*(1+IF(M$3&lt;=$O$2,$D398,$D398-($D398-$I$373)*MIN(M$3-$O$2,$Q$2)/$Q$2))</f>
        <v>10222.4915475979</v>
      </c>
      <c r="N398" s="15" t="n">
        <f aca="false">M398*(1+IF(N$3&lt;=$O$2,$D398,$D398-($D398-$I$373)*MIN(N$3-$O$2,$Q$2)/$Q$2))</f>
        <v>10511.7880583949</v>
      </c>
      <c r="O398" s="15" t="n">
        <f aca="false">SUMPRODUCT(E398:N398,1/(1+$F$373)^$E$3:$N$3)*$E$2</f>
        <v>36544.1320282662</v>
      </c>
      <c r="P398" s="15" t="n">
        <f aca="false">N398*$E$2*(1+$I$373)/($F$373-$I$373)/(1+$F$373)^$N$3</f>
        <v>65015.8877379646</v>
      </c>
      <c r="Q398" s="15" t="n">
        <f aca="false">O398+P398</f>
        <v>101560.019766231</v>
      </c>
      <c r="R398" s="15" t="n">
        <f aca="false">Q398-$G$2+$I$2</f>
        <v>99970.0197662308</v>
      </c>
      <c r="S398" s="42" t="n">
        <f aca="false">R398/$K$2</f>
        <v>278.018854681102</v>
      </c>
      <c r="T398" s="43" t="n">
        <f aca="false">S398-$M$2</f>
        <v>5.49703286196746E-005</v>
      </c>
    </row>
    <row r="400" customFormat="false" ht="15" hidden="false" customHeight="false" outlineLevel="0" collapsed="false">
      <c r="A400" s="38" t="s">
        <v>200</v>
      </c>
      <c r="E400" s="5" t="s">
        <v>11</v>
      </c>
      <c r="F400" s="12" t="n">
        <f aca="false">Sensitivity!$B$12</f>
        <v>0.0774202832668642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167</v>
      </c>
      <c r="B401" s="28" t="s">
        <v>168</v>
      </c>
      <c r="C401" s="28" t="s">
        <v>169</v>
      </c>
      <c r="D401" s="28" t="s">
        <v>170</v>
      </c>
      <c r="E401" s="28" t="s">
        <v>171</v>
      </c>
      <c r="F401" s="28" t="s">
        <v>172</v>
      </c>
      <c r="G401" s="28" t="s">
        <v>173</v>
      </c>
      <c r="H401" s="28" t="s">
        <v>174</v>
      </c>
      <c r="I401" s="28" t="s">
        <v>175</v>
      </c>
      <c r="J401" s="28" t="s">
        <v>176</v>
      </c>
      <c r="K401" s="28" t="s">
        <v>177</v>
      </c>
      <c r="L401" s="28" t="s">
        <v>178</v>
      </c>
      <c r="M401" s="28" t="s">
        <v>179</v>
      </c>
      <c r="N401" s="28" t="s">
        <v>180</v>
      </c>
      <c r="O401" s="28" t="s">
        <v>181</v>
      </c>
      <c r="P401" s="28" t="s">
        <v>182</v>
      </c>
      <c r="Q401" s="28" t="s">
        <v>183</v>
      </c>
      <c r="R401" s="28" t="s">
        <v>184</v>
      </c>
      <c r="S401" s="28" t="s">
        <v>185</v>
      </c>
      <c r="T401" s="28" t="s">
        <v>186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8450</v>
      </c>
      <c r="F402" s="15" t="n">
        <f aca="false">E402*(1+IF(F$3&lt;=$O$2,$D402,$D402-($D402-$I$400)*MIN(F$3-$O$2,$Q$2)/$Q$2))</f>
        <v>10562.5</v>
      </c>
      <c r="G402" s="15" t="n">
        <f aca="false">F402*(1+IF(G$3&lt;=$O$2,$D402,$D402-($D402-$I$400)*MIN(G$3-$O$2,$Q$2)/$Q$2))</f>
        <v>13203.125</v>
      </c>
      <c r="H402" s="15" t="n">
        <f aca="false">G402*(1+IF(H$3&lt;=$O$2,$D402,$D402-($D402-$I$400)*MIN(H$3-$O$2,$Q$2)/$Q$2))</f>
        <v>16503.90625</v>
      </c>
      <c r="I402" s="15" t="n">
        <f aca="false">H402*(1+IF(I$3&lt;=$O$2,$D402,$D402-($D402-$I$400)*MIN(I$3-$O$2,$Q$2)/$Q$2))</f>
        <v>20629.8828125</v>
      </c>
      <c r="J402" s="15" t="n">
        <f aca="false">I402*(1+IF(J$3&lt;=$O$2,$D402,$D402-($D402-$I$400)*MIN(J$3-$O$2,$Q$2)/$Q$2))</f>
        <v>24893.2543945313</v>
      </c>
      <c r="K402" s="15" t="n">
        <f aca="false">J402*(1+IF(K$3&lt;=$O$2,$D402,$D402-($D402-$I$400)*MIN(K$3-$O$2,$Q$2)/$Q$2))</f>
        <v>28958.8207022461</v>
      </c>
      <c r="L402" s="15" t="n">
        <f aca="false">K402*(1+IF(L$3&lt;=$O$2,$D402,$D402-($D402-$I$400)*MIN(L$3-$O$2,$Q$2)/$Q$2))</f>
        <v>32433.3000101016</v>
      </c>
      <c r="M402" s="15" t="n">
        <f aca="false">L402*(1+IF(M$3&lt;=$O$2,$D402,$D402-($D402-$I$400)*MIN(M$3-$O$2,$Q$2)/$Q$2))</f>
        <v>34918.9881228758</v>
      </c>
      <c r="N402" s="15" t="n">
        <f aca="false">M402*(1+IF(N$3&lt;=$O$2,$D402,$D402-($D402-$I$400)*MIN(N$3-$O$2,$Q$2)/$Q$2))</f>
        <v>36081.7904273675</v>
      </c>
      <c r="O402" s="15" t="n">
        <f aca="false">SUMPRODUCT(E402:N402,1/(1+$F$400)^$E$3:$N$3)*$E$2</f>
        <v>87113.3676299563</v>
      </c>
      <c r="P402" s="15" t="n">
        <f aca="false">N402*$E$2*(1+$I$400)/($F$400-$I$400)/(1+$F$400)^$N$3</f>
        <v>249666.426221663</v>
      </c>
      <c r="Q402" s="15" t="n">
        <f aca="false">O402+P402</f>
        <v>336779.793851619</v>
      </c>
      <c r="R402" s="15" t="n">
        <f aca="false">Q402-$G$2+$I$2</f>
        <v>335189.793851619</v>
      </c>
      <c r="S402" s="42" t="n">
        <f aca="false">R402/$K$2</f>
        <v>932.170292707101</v>
      </c>
      <c r="T402" s="43" t="n">
        <f aca="false">S402-$M$2</f>
        <v>654.151492996327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5915</v>
      </c>
      <c r="F403" s="15" t="n">
        <f aca="false">E403*(1+IF(F$3&lt;=$O$2,$D403,$D403-($D403-$I$400)*MIN(F$3-$O$2,$Q$2)/$Q$2))</f>
        <v>5175.625</v>
      </c>
      <c r="G403" s="15" t="n">
        <f aca="false">F403*(1+IF(G$3&lt;=$O$2,$D403,$D403-($D403-$I$400)*MIN(G$3-$O$2,$Q$2)/$Q$2))</f>
        <v>4528.671875</v>
      </c>
      <c r="H403" s="15" t="n">
        <f aca="false">G403*(1+IF(H$3&lt;=$O$2,$D403,$D403-($D403-$I$400)*MIN(H$3-$O$2,$Q$2)/$Q$2))</f>
        <v>3962.587890625</v>
      </c>
      <c r="I403" s="15" t="n">
        <f aca="false">H403*(1+IF(I$3&lt;=$O$2,$D403,$D403-($D403-$I$400)*MIN(I$3-$O$2,$Q$2)/$Q$2))</f>
        <v>3467.26440429688</v>
      </c>
      <c r="J403" s="15" t="n">
        <f aca="false">I403*(1+IF(J$3&lt;=$O$2,$D403,$D403-($D403-$I$400)*MIN(J$3-$O$2,$Q$2)/$Q$2))</f>
        <v>3143.62994479981</v>
      </c>
      <c r="K403" s="15" t="n">
        <f aca="false">J403*(1+IF(K$3&lt;=$O$2,$D403,$D403-($D403-$I$400)*MIN(K$3-$O$2,$Q$2)/$Q$2))</f>
        <v>2949.73084980455</v>
      </c>
      <c r="L403" s="15" t="n">
        <f aca="false">K403*(1+IF(L$3&lt;=$O$2,$D403,$D403-($D403-$I$400)*MIN(L$3-$O$2,$Q$2)/$Q$2))</f>
        <v>2861.17992969342</v>
      </c>
      <c r="M403" s="15" t="n">
        <f aca="false">L403*(1+IF(M$3&lt;=$O$2,$D403,$D403-($D403-$I$400)*MIN(M$3-$O$2,$Q$2)/$Q$2))</f>
        <v>2865.87226477812</v>
      </c>
      <c r="N403" s="15" t="n">
        <f aca="false">M403*(1+IF(N$3&lt;=$O$2,$D403,$D403-($D403-$I$400)*MIN(N$3-$O$2,$Q$2)/$Q$2))</f>
        <v>2961.30581119523</v>
      </c>
      <c r="O403" s="15" t="n">
        <f aca="false">SUMPRODUCT(E403:N403,1/(1+$F$400)^$E$3:$N$3)*$E$2</f>
        <v>16879.463055608</v>
      </c>
      <c r="P403" s="15" t="n">
        <f aca="false">N403*$E$2*(1+$I$400)/($F$400-$I$400)/(1+$F$400)^$N$3</f>
        <v>20490.630594367</v>
      </c>
      <c r="Q403" s="15" t="n">
        <f aca="false">O403+P403</f>
        <v>37370.093649975</v>
      </c>
      <c r="R403" s="15" t="n">
        <f aca="false">Q403-$G$2+$I$2</f>
        <v>35780.093649975</v>
      </c>
      <c r="S403" s="42" t="n">
        <f aca="false">R403/$K$2</f>
        <v>99.505238472593</v>
      </c>
      <c r="T403" s="43" t="n">
        <f aca="false">S403-$M$2</f>
        <v>-178.513561238181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7182.5</v>
      </c>
      <c r="F404" s="15" t="n">
        <f aca="false">E404*(1+IF(F$3&lt;=$O$2,$D404,$D404-($D404-$I$400)*MIN(F$3-$O$2,$Q$2)/$Q$2))</f>
        <v>7631.40625</v>
      </c>
      <c r="G404" s="15" t="n">
        <f aca="false">F404*(1+IF(G$3&lt;=$O$2,$D404,$D404-($D404-$I$400)*MIN(G$3-$O$2,$Q$2)/$Q$2))</f>
        <v>8108.369140625</v>
      </c>
      <c r="H404" s="15" t="n">
        <f aca="false">G404*(1+IF(H$3&lt;=$O$2,$D404,$D404-($D404-$I$400)*MIN(H$3-$O$2,$Q$2)/$Q$2))</f>
        <v>8615.14221191406</v>
      </c>
      <c r="I404" s="15" t="n">
        <f aca="false">H404*(1+IF(I$3&lt;=$O$2,$D404,$D404-($D404-$I$400)*MIN(I$3-$O$2,$Q$2)/$Q$2))</f>
        <v>9153.58860015869</v>
      </c>
      <c r="J404" s="15" t="n">
        <f aca="false">I404*(1+IF(J$3&lt;=$O$2,$D404,$D404-($D404-$I$400)*MIN(J$3-$O$2,$Q$2)/$Q$2))</f>
        <v>9672.23093024368</v>
      </c>
      <c r="K404" s="15" t="n">
        <f aca="false">J404*(1+IF(K$3&lt;=$O$2,$D404,$D404-($D404-$I$400)*MIN(K$3-$O$2,$Q$2)/$Q$2))</f>
        <v>10163.7737061187</v>
      </c>
      <c r="L404" s="15" t="n">
        <f aca="false">K404*(1+IF(L$3&lt;=$O$2,$D404,$D404-($D404-$I$400)*MIN(L$3-$O$2,$Q$2)/$Q$2))</f>
        <v>10620.9402474199</v>
      </c>
      <c r="M404" s="15" t="n">
        <f aca="false">L404*(1+IF(M$3&lt;=$O$2,$D404,$D404-($D404-$I$400)*MIN(M$3-$O$2,$Q$2)/$Q$2))</f>
        <v>11036.6438487039</v>
      </c>
      <c r="N404" s="15" t="n">
        <f aca="false">M404*(1+IF(N$3&lt;=$O$2,$D404,$D404-($D404-$I$400)*MIN(N$3-$O$2,$Q$2)/$Q$2))</f>
        <v>11404.1640888657</v>
      </c>
      <c r="O404" s="15" t="n">
        <f aca="false">SUMPRODUCT(E404:N404,1/(1+$F$400)^$E$3:$N$3)*$E$2</f>
        <v>38323.2349114842</v>
      </c>
      <c r="P404" s="15" t="n">
        <f aca="false">N404*$E$2*(1+$I$400)/($F$400-$I$400)/(1+$F$400)^$N$3</f>
        <v>78910.6321606742</v>
      </c>
      <c r="Q404" s="15" t="n">
        <f aca="false">O404+P404</f>
        <v>117233.867072158</v>
      </c>
      <c r="R404" s="15" t="n">
        <f aca="false">Q404-$G$2+$I$2</f>
        <v>115643.867072158</v>
      </c>
      <c r="S404" s="42" t="n">
        <f aca="false">R404/$K$2</f>
        <v>321.608173625225</v>
      </c>
      <c r="T404" s="43" t="n">
        <f aca="false">S404-$M$2</f>
        <v>43.5893739144513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6548.75</v>
      </c>
      <c r="F405" s="15" t="n">
        <f aca="false">E405*(1+IF(F$3&lt;=$O$2,$D405,$D405-($D405-$I$400)*MIN(F$3-$O$2,$Q$2)/$Q$2))</f>
        <v>6344.1015625</v>
      </c>
      <c r="G405" s="15" t="n">
        <f aca="false">F405*(1+IF(G$3&lt;=$O$2,$D405,$D405-($D405-$I$400)*MIN(G$3-$O$2,$Q$2)/$Q$2))</f>
        <v>6145.84838867188</v>
      </c>
      <c r="H405" s="15" t="n">
        <f aca="false">G405*(1+IF(H$3&lt;=$O$2,$D405,$D405-($D405-$I$400)*MIN(H$3-$O$2,$Q$2)/$Q$2))</f>
        <v>5953.79062652588</v>
      </c>
      <c r="I405" s="15" t="n">
        <f aca="false">H405*(1+IF(I$3&lt;=$O$2,$D405,$D405-($D405-$I$400)*MIN(I$3-$O$2,$Q$2)/$Q$2))</f>
        <v>5767.73466944695</v>
      </c>
      <c r="J405" s="15" t="n">
        <f aca="false">I405*(1+IF(J$3&lt;=$O$2,$D405,$D405-($D405-$I$400)*MIN(J$3-$O$2,$Q$2)/$Q$2))</f>
        <v>5661.95441560929</v>
      </c>
      <c r="K405" s="15" t="n">
        <f aca="false">J405*(1+IF(K$3&lt;=$O$2,$D405,$D405-($D405-$I$400)*MIN(K$3-$O$2,$Q$2)/$Q$2))</f>
        <v>5631.21000313253</v>
      </c>
      <c r="L405" s="15" t="n">
        <f aca="false">K405*(1+IF(L$3&lt;=$O$2,$D405,$D405-($D405-$I$400)*MIN(L$3-$O$2,$Q$2)/$Q$2))</f>
        <v>5673.33145395596</v>
      </c>
      <c r="M405" s="15" t="n">
        <f aca="false">L405*(1+IF(M$3&lt;=$O$2,$D405,$D405-($D405-$I$400)*MIN(M$3-$O$2,$Q$2)/$Q$2))</f>
        <v>5789.01068230212</v>
      </c>
      <c r="N405" s="15" t="n">
        <f aca="false">M405*(1+IF(N$3&lt;=$O$2,$D405,$D405-($D405-$I$400)*MIN(N$3-$O$2,$Q$2)/$Q$2))</f>
        <v>5981.78473802278</v>
      </c>
      <c r="O405" s="15" t="n">
        <f aca="false">SUMPRODUCT(E405:N405,1/(1+$F$400)^$E$3:$N$3)*$E$2</f>
        <v>25365.8530002283</v>
      </c>
      <c r="P405" s="15" t="n">
        <f aca="false">N405*$E$2*(1+$I$400)/($F$400-$I$400)/(1+$F$400)^$N$3</f>
        <v>41390.7070652645</v>
      </c>
      <c r="Q405" s="15" t="n">
        <f aca="false">O405+P405</f>
        <v>66756.5600654928</v>
      </c>
      <c r="R405" s="15" t="n">
        <f aca="false">Q405-$G$2+$I$2</f>
        <v>65166.5600654928</v>
      </c>
      <c r="S405" s="42" t="n">
        <f aca="false">R405/$K$2</f>
        <v>181.229657003985</v>
      </c>
      <c r="T405" s="43" t="n">
        <f aca="false">S405-$M$2</f>
        <v>-96.7891427067892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6865.625</v>
      </c>
      <c r="F406" s="15" t="n">
        <f aca="false">E406*(1+IF(F$3&lt;=$O$2,$D406,$D406-($D406-$I$400)*MIN(F$3-$O$2,$Q$2)/$Q$2))</f>
        <v>6972.900390625</v>
      </c>
      <c r="G406" s="15" t="n">
        <f aca="false">F406*(1+IF(G$3&lt;=$O$2,$D406,$D406-($D406-$I$400)*MIN(G$3-$O$2,$Q$2)/$Q$2))</f>
        <v>7081.85195922852</v>
      </c>
      <c r="H406" s="15" t="n">
        <f aca="false">G406*(1+IF(H$3&lt;=$O$2,$D406,$D406-($D406-$I$400)*MIN(H$3-$O$2,$Q$2)/$Q$2))</f>
        <v>7192.50589609146</v>
      </c>
      <c r="I406" s="15" t="n">
        <f aca="false">H406*(1+IF(I$3&lt;=$O$2,$D406,$D406-($D406-$I$400)*MIN(I$3-$O$2,$Q$2)/$Q$2))</f>
        <v>7304.88880071789</v>
      </c>
      <c r="J406" s="15" t="n">
        <f aca="false">I406*(1+IF(J$3&lt;=$O$2,$D406,$D406-($D406-$I$400)*MIN(J$3-$O$2,$Q$2)/$Q$2))</f>
        <v>7444.85047013965</v>
      </c>
      <c r="K406" s="15" t="n">
        <f aca="false">J406*(1+IF(K$3&lt;=$O$2,$D406,$D406-($D406-$I$400)*MIN(K$3-$O$2,$Q$2)/$Q$2))</f>
        <v>7613.81135155946</v>
      </c>
      <c r="L406" s="15" t="n">
        <f aca="false">K406*(1+IF(L$3&lt;=$O$2,$D406,$D406-($D406-$I$400)*MIN(L$3-$O$2,$Q$2)/$Q$2))</f>
        <v>7813.52162331087</v>
      </c>
      <c r="M406" s="15" t="n">
        <f aca="false">L406*(1+IF(M$3&lt;=$O$2,$D406,$D406-($D406-$I$400)*MIN(M$3-$O$2,$Q$2)/$Q$2))</f>
        <v>8046.09109442872</v>
      </c>
      <c r="N406" s="15" t="n">
        <f aca="false">M406*(1+IF(N$3&lt;=$O$2,$D406,$D406-($D406-$I$400)*MIN(N$3-$O$2,$Q$2)/$Q$2))</f>
        <v>8314.02592787319</v>
      </c>
      <c r="O406" s="15" t="n">
        <f aca="false">SUMPRODUCT(E406:N406,1/(1+$F$400)^$E$3:$N$3)*$E$2</f>
        <v>31168.2923753783</v>
      </c>
      <c r="P406" s="15" t="n">
        <f aca="false">N406*$E$2*(1+$I$400)/($F$400-$I$400)/(1+$F$400)^$N$3</f>
        <v>57528.5515585704</v>
      </c>
      <c r="Q406" s="15" t="n">
        <f aca="false">O406+P406</f>
        <v>88696.8439339487</v>
      </c>
      <c r="R406" s="15" t="n">
        <f aca="false">Q406-$G$2+$I$2</f>
        <v>87106.8439339487</v>
      </c>
      <c r="S406" s="42" t="n">
        <f aca="false">R406/$K$2</f>
        <v>242.246075793839</v>
      </c>
      <c r="T406" s="43" t="n">
        <f aca="false">S406-$M$2</f>
        <v>-35.7727239169345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0.015625</v>
      </c>
      <c r="C407" s="25" t="n">
        <f aca="false">IF(T406&gt;0,D406,C406)</f>
        <v>0.0625</v>
      </c>
      <c r="D407" s="41" t="n">
        <f aca="false">(B407+C407)/2</f>
        <v>0.0390625</v>
      </c>
      <c r="E407" s="15" t="n">
        <f aca="false">$C$2*(1+IF(E$3&lt;=$O$2,$D407,$D407-($D407-$I$400)*MIN(E$3-$O$2,$Q$2)/$Q$2))</f>
        <v>7024.0625</v>
      </c>
      <c r="F407" s="15" t="n">
        <f aca="false">E407*(1+IF(F$3&lt;=$O$2,$D407,$D407-($D407-$I$400)*MIN(F$3-$O$2,$Q$2)/$Q$2))</f>
        <v>7298.43994140625</v>
      </c>
      <c r="G407" s="15" t="n">
        <f aca="false">F407*(1+IF(G$3&lt;=$O$2,$D407,$D407-($D407-$I$400)*MIN(G$3-$O$2,$Q$2)/$Q$2))</f>
        <v>7583.53525161743</v>
      </c>
      <c r="H407" s="15" t="n">
        <f aca="false">G407*(1+IF(H$3&lt;=$O$2,$D407,$D407-($D407-$I$400)*MIN(H$3-$O$2,$Q$2)/$Q$2))</f>
        <v>7879.76709738374</v>
      </c>
      <c r="I407" s="15" t="n">
        <f aca="false">H407*(1+IF(I$3&lt;=$O$2,$D407,$D407-($D407-$I$400)*MIN(I$3-$O$2,$Q$2)/$Q$2))</f>
        <v>8187.57049962529</v>
      </c>
      <c r="J407" s="15" t="n">
        <f aca="false">I407*(1+IF(J$3&lt;=$O$2,$D407,$D407-($D407-$I$400)*MIN(J$3-$O$2,$Q$2)/$Q$2))</f>
        <v>8497.96129726609</v>
      </c>
      <c r="K407" s="15" t="n">
        <f aca="false">J407*(1+IF(K$3&lt;=$O$2,$D407,$D407-($D407-$I$400)*MIN(K$3-$O$2,$Q$2)/$Q$2))</f>
        <v>8810.32510965034</v>
      </c>
      <c r="L407" s="15" t="n">
        <f aca="false">K407*(1+IF(L$3&lt;=$O$2,$D407,$D407-($D407-$I$400)*MIN(L$3-$O$2,$Q$2)/$Q$2))</f>
        <v>9124.01673517944</v>
      </c>
      <c r="M407" s="15" t="n">
        <f aca="false">L407*(1+IF(M$3&lt;=$O$2,$D407,$D407-($D407-$I$400)*MIN(M$3-$O$2,$Q$2)/$Q$2))</f>
        <v>9438.36192174821</v>
      </c>
      <c r="N407" s="15" t="n">
        <f aca="false">M407*(1+IF(N$3&lt;=$O$2,$D407,$D407-($D407-$I$400)*MIN(N$3-$O$2,$Q$2)/$Q$2))</f>
        <v>9752.65937374243</v>
      </c>
      <c r="O407" s="15" t="n">
        <f aca="false">SUMPRODUCT(E407:N407,1/(1+$F$400)^$E$3:$N$3)*$E$2</f>
        <v>34559.6967858645</v>
      </c>
      <c r="P407" s="15" t="n">
        <f aca="false">N407*$E$2*(1+$I$400)/($F$400-$I$400)/(1+$F$400)^$N$3</f>
        <v>67483.1149773717</v>
      </c>
      <c r="Q407" s="15" t="n">
        <f aca="false">O407+P407</f>
        <v>102042.811763236</v>
      </c>
      <c r="R407" s="15" t="n">
        <f aca="false">Q407-$G$2+$I$2</f>
        <v>100452.811763236</v>
      </c>
      <c r="S407" s="42" t="n">
        <f aca="false">R407/$K$2</f>
        <v>279.36150999287</v>
      </c>
      <c r="T407" s="43" t="n">
        <f aca="false">S407-$M$2</f>
        <v>1.34271028209645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0.015625</v>
      </c>
      <c r="C408" s="25" t="n">
        <f aca="false">IF(T407&gt;0,D407,C407)</f>
        <v>0.0390625</v>
      </c>
      <c r="D408" s="41" t="n">
        <f aca="false">(B408+C408)/2</f>
        <v>0.02734375</v>
      </c>
      <c r="E408" s="15" t="n">
        <f aca="false">$C$2*(1+IF(E$3&lt;=$O$2,$D408,$D408-($D408-$I$400)*MIN(E$3-$O$2,$Q$2)/$Q$2))</f>
        <v>6944.84375</v>
      </c>
      <c r="F408" s="15" t="n">
        <f aca="false">E408*(1+IF(F$3&lt;=$O$2,$D408,$D408-($D408-$I$400)*MIN(F$3-$O$2,$Q$2)/$Q$2))</f>
        <v>7134.74182128906</v>
      </c>
      <c r="G408" s="15" t="n">
        <f aca="false">F408*(1+IF(G$3&lt;=$O$2,$D408,$D408-($D408-$I$400)*MIN(G$3-$O$2,$Q$2)/$Q$2))</f>
        <v>7329.83241796494</v>
      </c>
      <c r="H408" s="15" t="n">
        <f aca="false">G408*(1+IF(H$3&lt;=$O$2,$D408,$D408-($D408-$I$400)*MIN(H$3-$O$2,$Q$2)/$Q$2))</f>
        <v>7530.25752314366</v>
      </c>
      <c r="I408" s="15" t="n">
        <f aca="false">H408*(1+IF(I$3&lt;=$O$2,$D408,$D408-($D408-$I$400)*MIN(I$3-$O$2,$Q$2)/$Q$2))</f>
        <v>7736.16300229212</v>
      </c>
      <c r="J408" s="15" t="n">
        <f aca="false">I408*(1+IF(J$3&lt;=$O$2,$D408,$D408-($D408-$I$400)*MIN(J$3-$O$2,$Q$2)/$Q$2))</f>
        <v>7956.91441356253</v>
      </c>
      <c r="K408" s="15" t="n">
        <f aca="false">J408*(1+IF(K$3&lt;=$O$2,$D408,$D408-($D408-$I$400)*MIN(K$3-$O$2,$Q$2)/$Q$2))</f>
        <v>8193.44364064869</v>
      </c>
      <c r="L408" s="15" t="n">
        <f aca="false">K408*(1+IF(L$3&lt;=$O$2,$D408,$D408-($D408-$I$400)*MIN(L$3-$O$2,$Q$2)/$Q$2))</f>
        <v>8446.76443440845</v>
      </c>
      <c r="M408" s="15" t="n">
        <f aca="false">L408*(1+IF(M$3&lt;=$O$2,$D408,$D408-($D408-$I$400)*MIN(M$3-$O$2,$Q$2)/$Q$2))</f>
        <v>8717.97948194176</v>
      </c>
      <c r="N408" s="15" t="n">
        <f aca="false">M408*(1+IF(N$3&lt;=$O$2,$D408,$D408-($D408-$I$400)*MIN(N$3-$O$2,$Q$2)/$Q$2))</f>
        <v>9008.28819869042</v>
      </c>
      <c r="O408" s="15" t="n">
        <f aca="false">SUMPRODUCT(E408:N408,1/(1+$F$400)^$E$3:$N$3)*$E$2</f>
        <v>32819.7173188956</v>
      </c>
      <c r="P408" s="15" t="n">
        <f aca="false">N408*$E$2*(1+$I$400)/($F$400-$I$400)/(1+$F$400)^$N$3</f>
        <v>62332.470043835</v>
      </c>
      <c r="Q408" s="15" t="n">
        <f aca="false">O408+P408</f>
        <v>95152.1873627305</v>
      </c>
      <c r="R408" s="15" t="n">
        <f aca="false">Q408-$G$2+$I$2</f>
        <v>93562.1873627305</v>
      </c>
      <c r="S408" s="42" t="n">
        <f aca="false">R408/$K$2</f>
        <v>260.198529847963</v>
      </c>
      <c r="T408" s="43" t="n">
        <f aca="false">S408-$M$2</f>
        <v>-17.8202698628107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0.02734375</v>
      </c>
      <c r="C409" s="25" t="n">
        <f aca="false">IF(T408&gt;0,D408,C408)</f>
        <v>0.0390625</v>
      </c>
      <c r="D409" s="41" t="n">
        <f aca="false">(B409+C409)/2</f>
        <v>0.033203125</v>
      </c>
      <c r="E409" s="15" t="n">
        <f aca="false">$C$2*(1+IF(E$3&lt;=$O$2,$D409,$D409-($D409-$I$400)*MIN(E$3-$O$2,$Q$2)/$Q$2))</f>
        <v>6984.453125</v>
      </c>
      <c r="F409" s="15" t="n">
        <f aca="false">E409*(1+IF(F$3&lt;=$O$2,$D409,$D409-($D409-$I$400)*MIN(F$3-$O$2,$Q$2)/$Q$2))</f>
        <v>7216.35879516602</v>
      </c>
      <c r="G409" s="15" t="n">
        <f aca="false">F409*(1+IF(G$3&lt;=$O$2,$D409,$D409-($D409-$I$400)*MIN(G$3-$O$2,$Q$2)/$Q$2))</f>
        <v>7455.96445828676</v>
      </c>
      <c r="H409" s="15" t="n">
        <f aca="false">G409*(1+IF(H$3&lt;=$O$2,$D409,$D409-($D409-$I$400)*MIN(H$3-$O$2,$Q$2)/$Q$2))</f>
        <v>7703.52577819082</v>
      </c>
      <c r="I409" s="15" t="n">
        <f aca="false">H409*(1+IF(I$3&lt;=$O$2,$D409,$D409-($D409-$I$400)*MIN(I$3-$O$2,$Q$2)/$Q$2))</f>
        <v>7959.30690754481</v>
      </c>
      <c r="J409" s="15" t="n">
        <f aca="false">I409*(1+IF(J$3&lt;=$O$2,$D409,$D409-($D409-$I$400)*MIN(J$3-$O$2,$Q$2)/$Q$2))</f>
        <v>8223.73498128071</v>
      </c>
      <c r="K409" s="15" t="n">
        <f aca="false">J409*(1+IF(K$3&lt;=$O$2,$D409,$D409-($D409-$I$400)*MIN(K$3-$O$2,$Q$2)/$Q$2))</f>
        <v>8497.10735156158</v>
      </c>
      <c r="L409" s="15" t="n">
        <f aca="false">K409*(1+IF(L$3&lt;=$O$2,$D409,$D409-($D409-$I$400)*MIN(L$3-$O$2,$Q$2)/$Q$2))</f>
        <v>8779.7317634587</v>
      </c>
      <c r="M409" s="15" t="n">
        <f aca="false">L409*(1+IF(M$3&lt;=$O$2,$D409,$D409-($D409-$I$400)*MIN(M$3-$O$2,$Q$2)/$Q$2))</f>
        <v>9071.92672387896</v>
      </c>
      <c r="N409" s="15" t="n">
        <f aca="false">M409*(1+IF(N$3&lt;=$O$2,$D409,$D409-($D409-$I$400)*MIN(N$3-$O$2,$Q$2)/$Q$2))</f>
        <v>9374.02188378413</v>
      </c>
      <c r="O409" s="15" t="n">
        <f aca="false">SUMPRODUCT(E409:N409,1/(1+$F$400)^$E$3:$N$3)*$E$2</f>
        <v>33678.3652049426</v>
      </c>
      <c r="P409" s="15" t="n">
        <f aca="false">N409*$E$2*(1+$I$400)/($F$400-$I$400)/(1+$F$400)^$N$3</f>
        <v>64863.1488439914</v>
      </c>
      <c r="Q409" s="15" t="n">
        <f aca="false">O409+P409</f>
        <v>98541.514048934</v>
      </c>
      <c r="R409" s="15" t="n">
        <f aca="false">Q409-$G$2+$I$2</f>
        <v>96951.514048934</v>
      </c>
      <c r="S409" s="42" t="n">
        <f aca="false">R409/$K$2</f>
        <v>269.624322957156</v>
      </c>
      <c r="T409" s="43" t="n">
        <f aca="false">S409-$M$2</f>
        <v>-8.39447675361816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0.033203125</v>
      </c>
      <c r="C410" s="25" t="n">
        <f aca="false">IF(T409&gt;0,D409,C409)</f>
        <v>0.0390625</v>
      </c>
      <c r="D410" s="41" t="n">
        <f aca="false">(B410+C410)/2</f>
        <v>0.0361328125</v>
      </c>
      <c r="E410" s="15" t="n">
        <f aca="false">$C$2*(1+IF(E$3&lt;=$O$2,$D410,$D410-($D410-$I$400)*MIN(E$3-$O$2,$Q$2)/$Q$2))</f>
        <v>7004.2578125</v>
      </c>
      <c r="F410" s="15" t="n">
        <f aca="false">E410*(1+IF(F$3&lt;=$O$2,$D410,$D410-($D410-$I$400)*MIN(F$3-$O$2,$Q$2)/$Q$2))</f>
        <v>7257.34134674072</v>
      </c>
      <c r="G410" s="15" t="n">
        <f aca="false">F410*(1+IF(G$3&lt;=$O$2,$D410,$D410-($D410-$I$400)*MIN(G$3-$O$2,$Q$2)/$Q$2))</f>
        <v>7519.569500871</v>
      </c>
      <c r="H410" s="15" t="n">
        <f aca="false">G410*(1+IF(H$3&lt;=$O$2,$D410,$D410-($D410-$I$400)*MIN(H$3-$O$2,$Q$2)/$Q$2))</f>
        <v>7791.27269572669</v>
      </c>
      <c r="I410" s="15" t="n">
        <f aca="false">H410*(1+IF(I$3&lt;=$O$2,$D410,$D410-($D410-$I$400)*MIN(I$3-$O$2,$Q$2)/$Q$2))</f>
        <v>8072.79329117776</v>
      </c>
      <c r="J410" s="15" t="n">
        <f aca="false">I410*(1+IF(J$3&lt;=$O$2,$D410,$D410-($D410-$I$400)*MIN(J$3-$O$2,$Q$2)/$Q$2))</f>
        <v>8359.91227557011</v>
      </c>
      <c r="K410" s="15" t="n">
        <f aca="false">J410*(1+IF(K$3&lt;=$O$2,$D410,$D410-($D410-$I$400)*MIN(K$3-$O$2,$Q$2)/$Q$2))</f>
        <v>8652.50659274248</v>
      </c>
      <c r="L410" s="15" t="n">
        <f aca="false">K410*(1+IF(L$3&lt;=$O$2,$D410,$D410-($D410-$I$400)*MIN(L$3-$O$2,$Q$2)/$Q$2))</f>
        <v>8950.4394338137</v>
      </c>
      <c r="M410" s="15" t="n">
        <f aca="false">L410*(1+IF(M$3&lt;=$O$2,$D410,$D410-($D410-$I$400)*MIN(M$3-$O$2,$Q$2)/$Q$2))</f>
        <v>9253.56005030142</v>
      </c>
      <c r="N410" s="15" t="n">
        <f aca="false">M410*(1+IF(N$3&lt;=$O$2,$D410,$D410-($D410-$I$400)*MIN(N$3-$O$2,$Q$2)/$Q$2))</f>
        <v>9561.70359997646</v>
      </c>
      <c r="O410" s="15" t="n">
        <f aca="false">SUMPRODUCT(E410:N410,1/(1+$F$400)^$E$3:$N$3)*$E$2</f>
        <v>34116.160829766</v>
      </c>
      <c r="P410" s="15" t="n">
        <f aca="false">N410*$E$2*(1+$I$400)/($F$400-$I$400)/(1+$F$400)^$N$3</f>
        <v>66161.8045590732</v>
      </c>
      <c r="Q410" s="15" t="n">
        <f aca="false">O410+P410</f>
        <v>100277.965388839</v>
      </c>
      <c r="R410" s="15" t="n">
        <f aca="false">Q410-$G$2+$I$2</f>
        <v>98687.9653888392</v>
      </c>
      <c r="S410" s="42" t="n">
        <f aca="false">R410/$K$2</f>
        <v>274.453432862893</v>
      </c>
      <c r="T410" s="43" t="n">
        <f aca="false">S410-$M$2</f>
        <v>-3.56536684788034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0.0361328125</v>
      </c>
      <c r="C411" s="25" t="n">
        <f aca="false">IF(T410&gt;0,D410,C410)</f>
        <v>0.0390625</v>
      </c>
      <c r="D411" s="41" t="n">
        <f aca="false">(B411+C411)/2</f>
        <v>0.03759765625</v>
      </c>
      <c r="E411" s="15" t="n">
        <f aca="false">$C$2*(1+IF(E$3&lt;=$O$2,$D411,$D411-($D411-$I$400)*MIN(E$3-$O$2,$Q$2)/$Q$2))</f>
        <v>7014.16015625</v>
      </c>
      <c r="F411" s="15" t="n">
        <f aca="false">E411*(1+IF(F$3&lt;=$O$2,$D411,$D411-($D411-$I$400)*MIN(F$3-$O$2,$Q$2)/$Q$2))</f>
        <v>7277.87613868713</v>
      </c>
      <c r="G411" s="15" t="n">
        <f aca="false">F411*(1+IF(G$3&lt;=$O$2,$D411,$D411-($D411-$I$400)*MIN(G$3-$O$2,$Q$2)/$Q$2))</f>
        <v>7551.50722397957</v>
      </c>
      <c r="H411" s="15" t="n">
        <f aca="false">G411*(1+IF(H$3&lt;=$O$2,$D411,$D411-($D411-$I$400)*MIN(H$3-$O$2,$Q$2)/$Q$2))</f>
        <v>7835.42619675615</v>
      </c>
      <c r="I411" s="15" t="n">
        <f aca="false">H411*(1+IF(I$3&lt;=$O$2,$D411,$D411-($D411-$I$400)*MIN(I$3-$O$2,$Q$2)/$Q$2))</f>
        <v>8130.01985747403</v>
      </c>
      <c r="J411" s="15" t="n">
        <f aca="false">I411*(1+IF(J$3&lt;=$O$2,$D411,$D411-($D411-$I$400)*MIN(J$3-$O$2,$Q$2)/$Q$2))</f>
        <v>8428.70154325039</v>
      </c>
      <c r="K411" s="15" t="n">
        <f aca="false">J411*(1+IF(K$3&lt;=$O$2,$D411,$D411-($D411-$I$400)*MIN(K$3-$O$2,$Q$2)/$Q$2))</f>
        <v>8731.11150176067</v>
      </c>
      <c r="L411" s="15" t="n">
        <f aca="false">K411*(1+IF(L$3&lt;=$O$2,$D411,$D411-($D411-$I$400)*MIN(L$3-$O$2,$Q$2)/$Q$2))</f>
        <v>9036.8668411353</v>
      </c>
      <c r="M411" s="15" t="n">
        <f aca="false">L411*(1+IF(M$3&lt;=$O$2,$D411,$D411-($D411-$I$400)*MIN(M$3-$O$2,$Q$2)/$Q$2))</f>
        <v>9345.56197639715</v>
      </c>
      <c r="N411" s="15" t="n">
        <f aca="false">M411*(1+IF(N$3&lt;=$O$2,$D411,$D411-($D411-$I$400)*MIN(N$3-$O$2,$Q$2)/$Q$2))</f>
        <v>9656.76919021117</v>
      </c>
      <c r="O411" s="15" t="n">
        <f aca="false">SUMPRODUCT(E411:N411,1/(1+$F$400)^$E$3:$N$3)*$E$2</f>
        <v>34337.2068880783</v>
      </c>
      <c r="P411" s="15" t="n">
        <f aca="false">N411*$E$2*(1+$I$400)/($F$400-$I$400)/(1+$F$400)^$N$3</f>
        <v>66819.6068989636</v>
      </c>
      <c r="Q411" s="15" t="n">
        <f aca="false">O411+P411</f>
        <v>101156.813787042</v>
      </c>
      <c r="R411" s="15" t="n">
        <f aca="false">Q411-$G$2+$I$2</f>
        <v>99566.8137870419</v>
      </c>
      <c r="S411" s="42" t="n">
        <f aca="false">R411/$K$2</f>
        <v>276.897529859953</v>
      </c>
      <c r="T411" s="43" t="n">
        <f aca="false">S411-$M$2</f>
        <v>-1.12126985082074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0.03759765625</v>
      </c>
      <c r="C412" s="25" t="n">
        <f aca="false">IF(T411&gt;0,D411,C411)</f>
        <v>0.0390625</v>
      </c>
      <c r="D412" s="41" t="n">
        <f aca="false">(B412+C412)/2</f>
        <v>0.038330078125</v>
      </c>
      <c r="E412" s="15" t="n">
        <f aca="false">$C$2*(1+IF(E$3&lt;=$O$2,$D412,$D412-($D412-$I$400)*MIN(E$3-$O$2,$Q$2)/$Q$2))</f>
        <v>7019.111328125</v>
      </c>
      <c r="F412" s="15" t="n">
        <f aca="false">E412*(1+IF(F$3&lt;=$O$2,$D412,$D412-($D412-$I$400)*MIN(F$3-$O$2,$Q$2)/$Q$2))</f>
        <v>7288.1544137001</v>
      </c>
      <c r="G412" s="15" t="n">
        <f aca="false">F412*(1+IF(G$3&lt;=$O$2,$D412,$D412-($D412-$I$400)*MIN(G$3-$O$2,$Q$2)/$Q$2))</f>
        <v>7567.50994176429</v>
      </c>
      <c r="H412" s="15" t="n">
        <f aca="false">G412*(1+IF(H$3&lt;=$O$2,$D412,$D412-($D412-$I$400)*MIN(H$3-$O$2,$Q$2)/$Q$2))</f>
        <v>7857.57318904383</v>
      </c>
      <c r="I412" s="15" t="n">
        <f aca="false">H412*(1+IF(I$3&lt;=$O$2,$D412,$D412-($D412-$I$400)*MIN(I$3-$O$2,$Q$2)/$Q$2))</f>
        <v>8158.75458325279</v>
      </c>
      <c r="J412" s="15" t="n">
        <f aca="false">I412*(1+IF(J$3&lt;=$O$2,$D412,$D412-($D412-$I$400)*MIN(J$3-$O$2,$Q$2)/$Q$2))</f>
        <v>8463.27244924028</v>
      </c>
      <c r="K412" s="15" t="n">
        <f aca="false">J412*(1+IF(K$3&lt;=$O$2,$D412,$D412-($D412-$I$400)*MIN(K$3-$O$2,$Q$2)/$Q$2))</f>
        <v>8770.64197476768</v>
      </c>
      <c r="L412" s="15" t="n">
        <f aca="false">K412*(1+IF(L$3&lt;=$O$2,$D412,$D412-($D412-$I$400)*MIN(L$3-$O$2,$Q$2)/$Q$2))</f>
        <v>9080.35115826324</v>
      </c>
      <c r="M412" s="15" t="n">
        <f aca="false">L412*(1+IF(M$3&lt;=$O$2,$D412,$D412-($D412-$I$400)*MIN(M$3-$O$2,$Q$2)/$Q$2))</f>
        <v>9391.8618269791</v>
      </c>
      <c r="N412" s="15" t="n">
        <f aca="false">M412*(1+IF(N$3&lt;=$O$2,$D412,$D412-($D412-$I$400)*MIN(N$3-$O$2,$Q$2)/$Q$2))</f>
        <v>9704.61082581751</v>
      </c>
      <c r="O412" s="15" t="n">
        <f aca="false">SUMPRODUCT(E412:N412,1/(1+$F$400)^$E$3:$N$3)*$E$2</f>
        <v>34448.2708072075</v>
      </c>
      <c r="P412" s="15" t="n">
        <f aca="false">N412*$E$2*(1+$I$400)/($F$400-$I$400)/(1+$F$400)^$N$3</f>
        <v>67150.6450776392</v>
      </c>
      <c r="Q412" s="15" t="n">
        <f aca="false">O412+P412</f>
        <v>101598.915884847</v>
      </c>
      <c r="R412" s="15" t="n">
        <f aca="false">Q412-$G$2+$I$2</f>
        <v>100008.915884847</v>
      </c>
      <c r="S412" s="42" t="n">
        <f aca="false">R412/$K$2</f>
        <v>278.127025654504</v>
      </c>
      <c r="T412" s="43" t="n">
        <f aca="false">S412-$M$2</f>
        <v>0.108225943730758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0.03759765625</v>
      </c>
      <c r="C413" s="25" t="n">
        <f aca="false">IF(T412&gt;0,D412,C412)</f>
        <v>0.038330078125</v>
      </c>
      <c r="D413" s="41" t="n">
        <f aca="false">(B413+C413)/2</f>
        <v>0.0379638671875</v>
      </c>
      <c r="E413" s="15" t="n">
        <f aca="false">$C$2*(1+IF(E$3&lt;=$O$2,$D413,$D413-($D413-$I$400)*MIN(E$3-$O$2,$Q$2)/$Q$2))</f>
        <v>7016.6357421875</v>
      </c>
      <c r="F413" s="15" t="n">
        <f aca="false">E413*(1+IF(F$3&lt;=$O$2,$D413,$D413-($D413-$I$400)*MIN(F$3-$O$2,$Q$2)/$Q$2))</f>
        <v>7283.01436960697</v>
      </c>
      <c r="G413" s="15" t="n">
        <f aca="false">F413*(1+IF(G$3&lt;=$O$2,$D413,$D413-($D413-$I$400)*MIN(G$3-$O$2,$Q$2)/$Q$2))</f>
        <v>7559.50575985939</v>
      </c>
      <c r="H413" s="15" t="n">
        <f aca="false">G413*(1+IF(H$3&lt;=$O$2,$D413,$D413-($D413-$I$400)*MIN(H$3-$O$2,$Q$2)/$Q$2))</f>
        <v>7846.49383252983</v>
      </c>
      <c r="I413" s="15" t="n">
        <f aca="false">H413*(1+IF(I$3&lt;=$O$2,$D413,$D413-($D413-$I$400)*MIN(I$3-$O$2,$Q$2)/$Q$2))</f>
        <v>8144.37708227553</v>
      </c>
      <c r="J413" s="15" t="n">
        <f aca="false">I413*(1+IF(J$3&lt;=$O$2,$D413,$D413-($D413-$I$400)*MIN(J$3-$O$2,$Q$2)/$Q$2))</f>
        <v>8445.97227354463</v>
      </c>
      <c r="K413" s="15" t="n">
        <f aca="false">J413*(1+IF(K$3&lt;=$O$2,$D413,$D413-($D413-$I$400)*MIN(K$3-$O$2,$Q$2)/$Q$2))</f>
        <v>8750.85768602553</v>
      </c>
      <c r="L413" s="15" t="n">
        <f aca="false">K413*(1+IF(L$3&lt;=$O$2,$D413,$D413-($D413-$I$400)*MIN(L$3-$O$2,$Q$2)/$Q$2))</f>
        <v>9058.58638217992</v>
      </c>
      <c r="M413" s="15" t="n">
        <f aca="false">L413*(1+IF(M$3&lt;=$O$2,$D413,$D413-($D413-$I$400)*MIN(M$3-$O$2,$Q$2)/$Q$2))</f>
        <v>9368.68691746511</v>
      </c>
      <c r="N413" s="15" t="n">
        <f aca="false">M413*(1+IF(N$3&lt;=$O$2,$D413,$D413-($D413-$I$400)*MIN(N$3-$O$2,$Q$2)/$Q$2))</f>
        <v>9680.6641918167</v>
      </c>
      <c r="O413" s="15" t="n">
        <f aca="false">SUMPRODUCT(E413:N413,1/(1+$F$400)^$E$3:$N$3)*$E$2</f>
        <v>34392.6936590443</v>
      </c>
      <c r="P413" s="15" t="n">
        <f aca="false">N413*$E$2*(1+$I$400)/($F$400-$I$400)/(1+$F$400)^$N$3</f>
        <v>66984.9473542112</v>
      </c>
      <c r="Q413" s="15" t="n">
        <f aca="false">O413+P413</f>
        <v>101377.641013256</v>
      </c>
      <c r="R413" s="15" t="n">
        <f aca="false">Q413-$G$2+$I$2</f>
        <v>99787.6410132555</v>
      </c>
      <c r="S413" s="42" t="n">
        <f aca="false">R413/$K$2</f>
        <v>277.511655301339</v>
      </c>
      <c r="T413" s="43" t="n">
        <f aca="false">S413-$M$2</f>
        <v>-0.507144409434545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0.0379638671875</v>
      </c>
      <c r="C414" s="25" t="n">
        <f aca="false">IF(T413&gt;0,D413,C413)</f>
        <v>0.038330078125</v>
      </c>
      <c r="D414" s="41" t="n">
        <f aca="false">(B414+C414)/2</f>
        <v>0.03814697265625</v>
      </c>
      <c r="E414" s="15" t="n">
        <f aca="false">$C$2*(1+IF(E$3&lt;=$O$2,$D414,$D414-($D414-$I$400)*MIN(E$3-$O$2,$Q$2)/$Q$2))</f>
        <v>7017.87353515625</v>
      </c>
      <c r="F414" s="15" t="n">
        <f aca="false">E414*(1+IF(F$3&lt;=$O$2,$D414,$D414-($D414-$I$400)*MIN(F$3-$O$2,$Q$2)/$Q$2))</f>
        <v>7285.58416500688</v>
      </c>
      <c r="G414" s="15" t="n">
        <f aca="false">F414*(1+IF(G$3&lt;=$O$2,$D414,$D414-($D414-$I$400)*MIN(G$3-$O$2,$Q$2)/$Q$2))</f>
        <v>7563.5071449342</v>
      </c>
      <c r="H414" s="15" t="n">
        <f aca="false">G414*(1+IF(H$3&lt;=$O$2,$D414,$D414-($D414-$I$400)*MIN(H$3-$O$2,$Q$2)/$Q$2))</f>
        <v>7852.03204517736</v>
      </c>
      <c r="I414" s="15" t="n">
        <f aca="false">H414*(1+IF(I$3&lt;=$O$2,$D414,$D414-($D414-$I$400)*MIN(I$3-$O$2,$Q$2)/$Q$2))</f>
        <v>8151.56329690074</v>
      </c>
      <c r="J414" s="15" t="n">
        <f aca="false">I414*(1+IF(J$3&lt;=$O$2,$D414,$D414-($D414-$I$400)*MIN(J$3-$O$2,$Q$2)/$Q$2))</f>
        <v>8454.61867821215</v>
      </c>
      <c r="K414" s="15" t="n">
        <f aca="false">J414*(1+IF(K$3&lt;=$O$2,$D414,$D414-($D414-$I$400)*MIN(K$3-$O$2,$Q$2)/$Q$2))</f>
        <v>8760.745063528</v>
      </c>
      <c r="L414" s="15" t="n">
        <f aca="false">K414*(1+IF(L$3&lt;=$O$2,$D414,$D414-($D414-$I$400)*MIN(L$3-$O$2,$Q$2)/$Q$2))</f>
        <v>9069.463110852</v>
      </c>
      <c r="M414" s="15" t="n">
        <f aca="false">L414*(1+IF(M$3&lt;=$O$2,$D414,$D414-($D414-$I$400)*MIN(M$3-$O$2,$Q$2)/$Q$2))</f>
        <v>9380.26812038441</v>
      </c>
      <c r="N414" s="15" t="n">
        <f aca="false">M414*(1+IF(N$3&lt;=$O$2,$D414,$D414-($D414-$I$400)*MIN(N$3-$O$2,$Q$2)/$Q$2))</f>
        <v>9692.63104879321</v>
      </c>
      <c r="O414" s="15" t="n">
        <f aca="false">SUMPRODUCT(E414:N414,1/(1+$F$400)^$E$3:$N$3)*$E$2</f>
        <v>34420.4709273781</v>
      </c>
      <c r="P414" s="15" t="n">
        <f aca="false">N414*$E$2*(1+$I$400)/($F$400-$I$400)/(1+$F$400)^$N$3</f>
        <v>67067.7515160625</v>
      </c>
      <c r="Q414" s="15" t="n">
        <f aca="false">O414+P414</f>
        <v>101488.222443441</v>
      </c>
      <c r="R414" s="15" t="n">
        <f aca="false">Q414-$G$2+$I$2</f>
        <v>99898.2224434406</v>
      </c>
      <c r="S414" s="42" t="n">
        <f aca="false">R414/$K$2</f>
        <v>277.81918472507</v>
      </c>
      <c r="T414" s="43" t="n">
        <f aca="false">S414-$M$2</f>
        <v>-0.199614985703931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0.03814697265625</v>
      </c>
      <c r="C415" s="25" t="n">
        <f aca="false">IF(T414&gt;0,D414,C414)</f>
        <v>0.038330078125</v>
      </c>
      <c r="D415" s="41" t="n">
        <f aca="false">(B415+C415)/2</f>
        <v>0.038238525390625</v>
      </c>
      <c r="E415" s="15" t="n">
        <f aca="false">$C$2*(1+IF(E$3&lt;=$O$2,$D415,$D415-($D415-$I$400)*MIN(E$3-$O$2,$Q$2)/$Q$2))</f>
        <v>7018.49243164063</v>
      </c>
      <c r="F415" s="15" t="n">
        <f aca="false">E415*(1+IF(F$3&lt;=$O$2,$D415,$D415-($D415-$I$400)*MIN(F$3-$O$2,$Q$2)/$Q$2))</f>
        <v>7286.86923269182</v>
      </c>
      <c r="G415" s="15" t="n">
        <f aca="false">F415*(1+IF(G$3&lt;=$O$2,$D415,$D415-($D415-$I$400)*MIN(G$3-$O$2,$Q$2)/$Q$2))</f>
        <v>7565.50836686428</v>
      </c>
      <c r="H415" s="15" t="n">
        <f aca="false">G415*(1+IF(H$3&lt;=$O$2,$D415,$D415-($D415-$I$400)*MIN(H$3-$O$2,$Q$2)/$Q$2))</f>
        <v>7854.8022506436</v>
      </c>
      <c r="I415" s="15" t="n">
        <f aca="false">H415*(1+IF(I$3&lt;=$O$2,$D415,$D415-($D415-$I$400)*MIN(I$3-$O$2,$Q$2)/$Q$2))</f>
        <v>8155.15830594317</v>
      </c>
      <c r="J415" s="15" t="n">
        <f aca="false">I415*(1+IF(J$3&lt;=$O$2,$D415,$D415-($D415-$I$400)*MIN(J$3-$O$2,$Q$2)/$Q$2))</f>
        <v>8458.94464261786</v>
      </c>
      <c r="K415" s="15" t="n">
        <f aca="false">J415*(1+IF(K$3&lt;=$O$2,$D415,$D415-($D415-$I$400)*MIN(K$3-$O$2,$Q$2)/$Q$2))</f>
        <v>8765.69232695431</v>
      </c>
      <c r="L415" s="15" t="n">
        <f aca="false">K415*(1+IF(L$3&lt;=$O$2,$D415,$D415-($D415-$I$400)*MIN(L$3-$O$2,$Q$2)/$Q$2))</f>
        <v>9074.90571909111</v>
      </c>
      <c r="M415" s="15" t="n">
        <f aca="false">L415*(1+IF(M$3&lt;=$O$2,$D415,$D415-($D415-$I$400)*MIN(M$3-$O$2,$Q$2)/$Q$2))</f>
        <v>9386.0634099991</v>
      </c>
      <c r="N415" s="15" t="n">
        <f aca="false">M415*(1+IF(N$3&lt;=$O$2,$D415,$D415-($D415-$I$400)*MIN(N$3-$O$2,$Q$2)/$Q$2))</f>
        <v>9698.61932155207</v>
      </c>
      <c r="O415" s="15" t="n">
        <f aca="false">SUMPRODUCT(E415:N415,1/(1+$F$400)^$E$3:$N$3)*$E$2</f>
        <v>34434.3680397804</v>
      </c>
      <c r="P415" s="15" t="n">
        <f aca="false">N415*$E$2*(1+$I$400)/($F$400-$I$400)/(1+$F$400)^$N$3</f>
        <v>67109.1871167142</v>
      </c>
      <c r="Q415" s="15" t="n">
        <f aca="false">O415+P415</f>
        <v>101543.555156495</v>
      </c>
      <c r="R415" s="15" t="n">
        <f aca="false">Q415-$G$2+$I$2</f>
        <v>99953.5551564946</v>
      </c>
      <c r="S415" s="42" t="n">
        <f aca="false">R415/$K$2</f>
        <v>277.973066234203</v>
      </c>
      <c r="T415" s="43" t="n">
        <f aca="false">S415-$M$2</f>
        <v>-0.0457334765710584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0.038238525390625</v>
      </c>
      <c r="C416" s="25" t="n">
        <f aca="false">IF(T415&gt;0,D415,C415)</f>
        <v>0.038330078125</v>
      </c>
      <c r="D416" s="41" t="n">
        <f aca="false">(B416+C416)/2</f>
        <v>0.0382843017578125</v>
      </c>
      <c r="E416" s="15" t="n">
        <f aca="false">$C$2*(1+IF(E$3&lt;=$O$2,$D416,$D416-($D416-$I$400)*MIN(E$3-$O$2,$Q$2)/$Q$2))</f>
        <v>7018.80187988281</v>
      </c>
      <c r="F416" s="15" t="n">
        <f aca="false">E416*(1+IF(F$3&lt;=$O$2,$D416,$D416-($D416-$I$400)*MIN(F$3-$O$2,$Q$2)/$Q$2))</f>
        <v>7287.51180903055</v>
      </c>
      <c r="G416" s="15" t="n">
        <f aca="false">F416*(1+IF(G$3&lt;=$O$2,$D416,$D416-($D416-$I$400)*MIN(G$3-$O$2,$Q$2)/$Q$2))</f>
        <v>7566.5091101911</v>
      </c>
      <c r="H416" s="15" t="n">
        <f aca="false">G416*(1+IF(H$3&lt;=$O$2,$D416,$D416-($D416-$I$400)*MIN(H$3-$O$2,$Q$2)/$Q$2))</f>
        <v>7856.18762821889</v>
      </c>
      <c r="I416" s="15" t="n">
        <f aca="false">H416*(1+IF(I$3&lt;=$O$2,$D416,$D416-($D416-$I$400)*MIN(I$3-$O$2,$Q$2)/$Q$2))</f>
        <v>8156.95628604361</v>
      </c>
      <c r="J416" s="15" t="n">
        <f aca="false">I416*(1+IF(J$3&lt;=$O$2,$D416,$D416-($D416-$I$400)*MIN(J$3-$O$2,$Q$2)/$Q$2))</f>
        <v>8461.10831561281</v>
      </c>
      <c r="K416" s="15" t="n">
        <f aca="false">J416*(1+IF(K$3&lt;=$O$2,$D416,$D416-($D416-$I$400)*MIN(K$3-$O$2,$Q$2)/$Q$2))</f>
        <v>8768.16685275304</v>
      </c>
      <c r="L416" s="15" t="n">
        <f aca="false">K416*(1+IF(L$3&lt;=$O$2,$D416,$D416-($D416-$I$400)*MIN(L$3-$O$2,$Q$2)/$Q$2))</f>
        <v>9077.62808473251</v>
      </c>
      <c r="M416" s="15" t="n">
        <f aca="false">L416*(1+IF(M$3&lt;=$O$2,$D416,$D416-($D416-$I$400)*MIN(M$3-$O$2,$Q$2)/$Q$2))</f>
        <v>9388.962227478</v>
      </c>
      <c r="N416" s="15" t="n">
        <f aca="false">M416*(1+IF(N$3&lt;=$O$2,$D416,$D416-($D416-$I$400)*MIN(N$3-$O$2,$Q$2)/$Q$2))</f>
        <v>9701.61466965302</v>
      </c>
      <c r="O416" s="15" t="n">
        <f aca="false">SUMPRODUCT(E416:N416,1/(1+$F$400)^$E$3:$N$3)*$E$2</f>
        <v>34441.3187164814</v>
      </c>
      <c r="P416" s="15" t="n">
        <f aca="false">N416*$E$2*(1+$I$400)/($F$400-$I$400)/(1+$F$400)^$N$3</f>
        <v>67129.9133014959</v>
      </c>
      <c r="Q416" s="15" t="n">
        <f aca="false">O416+P416</f>
        <v>101571.232017977</v>
      </c>
      <c r="R416" s="15" t="n">
        <f aca="false">Q416-$G$2+$I$2</f>
        <v>99981.2320179773</v>
      </c>
      <c r="S416" s="42" t="n">
        <f aca="false">R416/$K$2</f>
        <v>278.050036203285</v>
      </c>
      <c r="T416" s="43" t="n">
        <f aca="false">S416-$M$2</f>
        <v>0.0312364925116526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0.038238525390625</v>
      </c>
      <c r="C417" s="25" t="n">
        <f aca="false">IF(T416&gt;0,D416,C416)</f>
        <v>0.0382843017578125</v>
      </c>
      <c r="D417" s="41" t="n">
        <f aca="false">(B417+C417)/2</f>
        <v>0.0382614135742188</v>
      </c>
      <c r="E417" s="15" t="n">
        <f aca="false">$C$2*(1+IF(E$3&lt;=$O$2,$D417,$D417-($D417-$I$400)*MIN(E$3-$O$2,$Q$2)/$Q$2))</f>
        <v>7018.64715576172</v>
      </c>
      <c r="F417" s="15" t="n">
        <f aca="false">E417*(1+IF(F$3&lt;=$O$2,$D417,$D417-($D417-$I$400)*MIN(F$3-$O$2,$Q$2)/$Q$2))</f>
        <v>7287.19051731983</v>
      </c>
      <c r="G417" s="15" t="n">
        <f aca="false">F417*(1+IF(G$3&lt;=$O$2,$D417,$D417-($D417-$I$400)*MIN(G$3-$O$2,$Q$2)/$Q$2))</f>
        <v>7566.00872749713</v>
      </c>
      <c r="H417" s="15" t="n">
        <f aca="false">G417*(1+IF(H$3&lt;=$O$2,$D417,$D417-($D417-$I$400)*MIN(H$3-$O$2,$Q$2)/$Q$2))</f>
        <v>7855.49491652605</v>
      </c>
      <c r="I417" s="15" t="n">
        <f aca="false">H417*(1+IF(I$3&lt;=$O$2,$D417,$D417-($D417-$I$400)*MIN(I$3-$O$2,$Q$2)/$Q$2))</f>
        <v>8156.05725635742</v>
      </c>
      <c r="J417" s="15" t="n">
        <f aca="false">I417*(1+IF(J$3&lt;=$O$2,$D417,$D417-($D417-$I$400)*MIN(J$3-$O$2,$Q$2)/$Q$2))</f>
        <v>8460.02642154116</v>
      </c>
      <c r="K417" s="15" t="n">
        <f aca="false">J417*(1+IF(K$3&lt;=$O$2,$D417,$D417-($D417-$I$400)*MIN(K$3-$O$2,$Q$2)/$Q$2))</f>
        <v>8766.92951533414</v>
      </c>
      <c r="L417" s="15" t="n">
        <f aca="false">K417*(1+IF(L$3&lt;=$O$2,$D417,$D417-($D417-$I$400)*MIN(L$3-$O$2,$Q$2)/$Q$2))</f>
        <v>9076.2668134354</v>
      </c>
      <c r="M417" s="15" t="n">
        <f aca="false">L417*(1+IF(M$3&lt;=$O$2,$D417,$D417-($D417-$I$400)*MIN(M$3-$O$2,$Q$2)/$Q$2))</f>
        <v>9387.51272099708</v>
      </c>
      <c r="N417" s="15" t="n">
        <f aca="false">M417*(1+IF(N$3&lt;=$O$2,$D417,$D417-($D417-$I$400)*MIN(N$3-$O$2,$Q$2)/$Q$2))</f>
        <v>9700.11689460629</v>
      </c>
      <c r="O417" s="15" t="n">
        <f aca="false">SUMPRODUCT(E417:N417,1/(1+$F$400)^$E$3:$N$3)*$E$2</f>
        <v>34437.8432013946</v>
      </c>
      <c r="P417" s="15" t="n">
        <f aca="false">N417*$E$2*(1+$I$400)/($F$400-$I$400)/(1+$F$400)^$N$3</f>
        <v>67119.5495102657</v>
      </c>
      <c r="Q417" s="15" t="n">
        <f aca="false">O417+P417</f>
        <v>101557.39271166</v>
      </c>
      <c r="R417" s="15" t="n">
        <f aca="false">Q417-$G$2+$I$2</f>
        <v>99967.3927116603</v>
      </c>
      <c r="S417" s="42" t="n">
        <f aca="false">R417/$K$2</f>
        <v>278.011548783749</v>
      </c>
      <c r="T417" s="43" t="n">
        <f aca="false">S417-$M$2</f>
        <v>-0.0072509270251544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0.0382614135742188</v>
      </c>
      <c r="C418" s="25" t="n">
        <f aca="false">IF(T417&gt;0,D417,C417)</f>
        <v>0.0382843017578125</v>
      </c>
      <c r="D418" s="41" t="n">
        <f aca="false">(B418+C418)/2</f>
        <v>0.0382728576660156</v>
      </c>
      <c r="E418" s="15" t="n">
        <f aca="false">$C$2*(1+IF(E$3&lt;=$O$2,$D418,$D418-($D418-$I$400)*MIN(E$3-$O$2,$Q$2)/$Q$2))</f>
        <v>7018.72451782227</v>
      </c>
      <c r="F418" s="15" t="n">
        <f aca="false">E418*(1+IF(F$3&lt;=$O$2,$D418,$D418-($D418-$I$400)*MIN(F$3-$O$2,$Q$2)/$Q$2))</f>
        <v>7287.35116228985</v>
      </c>
      <c r="G418" s="15" t="n">
        <f aca="false">F418*(1+IF(G$3&lt;=$O$2,$D418,$D418-($D418-$I$400)*MIN(G$3-$O$2,$Q$2)/$Q$2))</f>
        <v>7566.25891608644</v>
      </c>
      <c r="H418" s="15" t="n">
        <f aca="false">G418*(1+IF(H$3&lt;=$O$2,$D418,$D418-($D418-$I$400)*MIN(H$3-$O$2,$Q$2)/$Q$2))</f>
        <v>7855.84126664604</v>
      </c>
      <c r="I418" s="15" t="n">
        <f aca="false">H418*(1+IF(I$3&lt;=$O$2,$D418,$D418-($D418-$I$400)*MIN(I$3-$O$2,$Q$2)/$Q$2))</f>
        <v>8156.5067612912</v>
      </c>
      <c r="J418" s="15" t="n">
        <f aca="false">I418*(1+IF(J$3&lt;=$O$2,$D418,$D418-($D418-$I$400)*MIN(J$3-$O$2,$Q$2)/$Q$2))</f>
        <v>8460.56735418283</v>
      </c>
      <c r="K418" s="15" t="n">
        <f aca="false">J418*(1+IF(K$3&lt;=$O$2,$D418,$D418-($D418-$I$400)*MIN(K$3-$O$2,$Q$2)/$Q$2))</f>
        <v>8767.54816541277</v>
      </c>
      <c r="L418" s="15" t="n">
        <f aca="false">K418*(1+IF(L$3&lt;=$O$2,$D418,$D418-($D418-$I$400)*MIN(L$3-$O$2,$Q$2)/$Q$2))</f>
        <v>9076.94742696363</v>
      </c>
      <c r="M418" s="15" t="n">
        <f aca="false">L418*(1+IF(M$3&lt;=$O$2,$D418,$D418-($D418-$I$400)*MIN(M$3-$O$2,$Q$2)/$Q$2))</f>
        <v>9388.23744980076</v>
      </c>
      <c r="N418" s="15" t="n">
        <f aca="false">M418*(1+IF(N$3&lt;=$O$2,$D418,$D418-($D418-$I$400)*MIN(N$3-$O$2,$Q$2)/$Q$2))</f>
        <v>9700.86575687912</v>
      </c>
      <c r="O418" s="15" t="n">
        <f aca="false">SUMPRODUCT(E418:N418,1/(1+$F$400)^$E$3:$N$3)*$E$2</f>
        <v>34439.5809147518</v>
      </c>
      <c r="P418" s="15" t="n">
        <f aca="false">N418*$E$2*(1+$I$400)/($F$400-$I$400)/(1+$F$400)^$N$3</f>
        <v>67124.7312311608</v>
      </c>
      <c r="Q418" s="15" t="n">
        <f aca="false">O418+P418</f>
        <v>101564.312145913</v>
      </c>
      <c r="R418" s="15" t="n">
        <f aca="false">Q418-$G$2+$I$2</f>
        <v>99974.3121459127</v>
      </c>
      <c r="S418" s="42" t="n">
        <f aca="false">R418/$K$2</f>
        <v>278.030791884734</v>
      </c>
      <c r="T418" s="43" t="n">
        <f aca="false">S418-$M$2</f>
        <v>0.0119921739603228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0.0382614135742188</v>
      </c>
      <c r="C419" s="25" t="n">
        <f aca="false">IF(T418&gt;0,D418,C418)</f>
        <v>0.0382728576660156</v>
      </c>
      <c r="D419" s="41" t="n">
        <f aca="false">(B419+C419)/2</f>
        <v>0.0382671356201172</v>
      </c>
      <c r="E419" s="15" t="n">
        <f aca="false">$C$2*(1+IF(E$3&lt;=$O$2,$D419,$D419-($D419-$I$400)*MIN(E$3-$O$2,$Q$2)/$Q$2))</f>
        <v>7018.68583679199</v>
      </c>
      <c r="F419" s="15" t="n">
        <f aca="false">E419*(1+IF(F$3&lt;=$O$2,$D419,$D419-($D419-$I$400)*MIN(F$3-$O$2,$Q$2)/$Q$2))</f>
        <v>7287.27083958351</v>
      </c>
      <c r="G419" s="15" t="n">
        <f aca="false">F419*(1+IF(G$3&lt;=$O$2,$D419,$D419-($D419-$I$400)*MIN(G$3-$O$2,$Q$2)/$Q$2))</f>
        <v>7566.13382110237</v>
      </c>
      <c r="H419" s="15" t="n">
        <f aca="false">G419*(1+IF(H$3&lt;=$O$2,$D419,$D419-($D419-$I$400)*MIN(H$3-$O$2,$Q$2)/$Q$2))</f>
        <v>7855.66809015445</v>
      </c>
      <c r="I419" s="15" t="n">
        <f aca="false">H419*(1+IF(I$3&lt;=$O$2,$D419,$D419-($D419-$I$400)*MIN(I$3-$O$2,$Q$2)/$Q$2))</f>
        <v>8156.28200634702</v>
      </c>
      <c r="J419" s="15" t="n">
        <f aca="false">I419*(1+IF(J$3&lt;=$O$2,$D419,$D419-($D419-$I$400)*MIN(J$3-$O$2,$Q$2)/$Q$2))</f>
        <v>8460.29688426354</v>
      </c>
      <c r="K419" s="15" t="n">
        <f aca="false">J419*(1+IF(K$3&lt;=$O$2,$D419,$D419-($D419-$I$400)*MIN(K$3-$O$2,$Q$2)/$Q$2))</f>
        <v>8767.23883571587</v>
      </c>
      <c r="L419" s="15" t="n">
        <f aca="false">K419*(1+IF(L$3&lt;=$O$2,$D419,$D419-($D419-$I$400)*MIN(L$3-$O$2,$Q$2)/$Q$2))</f>
        <v>9076.60711466959</v>
      </c>
      <c r="M419" s="15" t="n">
        <f aca="false">L419*(1+IF(M$3&lt;=$O$2,$D419,$D419-($D419-$I$400)*MIN(M$3-$O$2,$Q$2)/$Q$2))</f>
        <v>9387.8750792899</v>
      </c>
      <c r="N419" s="15" t="n">
        <f aca="false">M419*(1+IF(N$3&lt;=$O$2,$D419,$D419-($D419-$I$400)*MIN(N$3-$O$2,$Q$2)/$Q$2))</f>
        <v>9700.49131943026</v>
      </c>
      <c r="O419" s="15" t="n">
        <f aca="false">SUMPRODUCT(E419:N419,1/(1+$F$400)^$E$3:$N$3)*$E$2</f>
        <v>34438.7120470269</v>
      </c>
      <c r="P419" s="15" t="n">
        <f aca="false">N419*$E$2*(1+$I$400)/($F$400-$I$400)/(1+$F$400)^$N$3</f>
        <v>67122.1403270346</v>
      </c>
      <c r="Q419" s="15" t="n">
        <f aca="false">O419+P419</f>
        <v>101560.852374061</v>
      </c>
      <c r="R419" s="15" t="n">
        <f aca="false">Q419-$G$2+$I$2</f>
        <v>99970.8523740615</v>
      </c>
      <c r="S419" s="42" t="n">
        <f aca="false">R419/$K$2</f>
        <v>278.02117018205</v>
      </c>
      <c r="T419" s="43" t="n">
        <f aca="false">S419-$M$2</f>
        <v>0.00237047127615142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0.0382614135742188</v>
      </c>
      <c r="C420" s="25" t="n">
        <f aca="false">IF(T419&gt;0,D419,C419)</f>
        <v>0.0382671356201172</v>
      </c>
      <c r="D420" s="41" t="n">
        <f aca="false">(B420+C420)/2</f>
        <v>0.038264274597168</v>
      </c>
      <c r="E420" s="15" t="n">
        <f aca="false">$C$2*(1+IF(E$3&lt;=$O$2,$D420,$D420-($D420-$I$400)*MIN(E$3-$O$2,$Q$2)/$Q$2))</f>
        <v>7018.66649627686</v>
      </c>
      <c r="F420" s="15" t="n">
        <f aca="false">E420*(1+IF(F$3&lt;=$O$2,$D420,$D420-($D420-$I$400)*MIN(F$3-$O$2,$Q$2)/$Q$2))</f>
        <v>7287.23067839634</v>
      </c>
      <c r="G420" s="15" t="n">
        <f aca="false">F420*(1+IF(G$3&lt;=$O$2,$D420,$D420-($D420-$I$400)*MIN(G$3-$O$2,$Q$2)/$Q$2))</f>
        <v>7566.0712741274</v>
      </c>
      <c r="H420" s="15" t="n">
        <f aca="false">G420*(1+IF(H$3&lt;=$O$2,$D420,$D420-($D420-$I$400)*MIN(H$3-$O$2,$Q$2)/$Q$2))</f>
        <v>7855.58150298236</v>
      </c>
      <c r="I420" s="15" t="n">
        <f aca="false">H420*(1+IF(I$3&lt;=$O$2,$D420,$D420-($D420-$I$400)*MIN(I$3-$O$2,$Q$2)/$Q$2))</f>
        <v>8156.16963073291</v>
      </c>
      <c r="J420" s="15" t="n">
        <f aca="false">I420*(1+IF(J$3&lt;=$O$2,$D420,$D420-($D420-$I$400)*MIN(J$3-$O$2,$Q$2)/$Q$2))</f>
        <v>8460.16165200274</v>
      </c>
      <c r="K420" s="15" t="n">
        <f aca="false">J420*(1+IF(K$3&lt;=$O$2,$D420,$D420-($D420-$I$400)*MIN(K$3-$O$2,$Q$2)/$Q$2))</f>
        <v>8767.08417436062</v>
      </c>
      <c r="L420" s="15" t="n">
        <f aca="false">K420*(1+IF(L$3&lt;=$O$2,$D420,$D420-($D420-$I$400)*MIN(L$3-$O$2,$Q$2)/$Q$2))</f>
        <v>9076.43696267003</v>
      </c>
      <c r="M420" s="15" t="n">
        <f aca="false">L420*(1+IF(M$3&lt;=$O$2,$D420,$D420-($D420-$I$400)*MIN(M$3-$O$2,$Q$2)/$Q$2))</f>
        <v>9387.69389861626</v>
      </c>
      <c r="N420" s="15" t="n">
        <f aca="false">M420*(1+IF(N$3&lt;=$O$2,$D420,$D420-($D420-$I$400)*MIN(N$3-$O$2,$Q$2)/$Q$2))</f>
        <v>9700.30410544018</v>
      </c>
      <c r="O420" s="15" t="n">
        <f aca="false">SUMPRODUCT(E420:N420,1/(1+$F$400)^$E$3:$N$3)*$E$2</f>
        <v>34438.2776214492</v>
      </c>
      <c r="P420" s="15" t="n">
        <f aca="false">N420*$E$2*(1+$I$400)/($F$400-$I$400)/(1+$F$400)^$N$3</f>
        <v>67120.8449077306</v>
      </c>
      <c r="Q420" s="15" t="n">
        <f aca="false">O420+P420</f>
        <v>101559.12252918</v>
      </c>
      <c r="R420" s="15" t="n">
        <f aca="false">Q420-$G$2+$I$2</f>
        <v>99969.1225291798</v>
      </c>
      <c r="S420" s="42" t="n">
        <f aca="false">R420/$K$2</f>
        <v>278.016359444852</v>
      </c>
      <c r="T420" s="43" t="n">
        <f aca="false">S420-$M$2</f>
        <v>-0.00244026592179125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0.038264274597168</v>
      </c>
      <c r="C421" s="25" t="n">
        <f aca="false">IF(T420&gt;0,D420,C420)</f>
        <v>0.0382671356201172</v>
      </c>
      <c r="D421" s="41" t="n">
        <f aca="false">(B421+C421)/2</f>
        <v>0.0382657051086426</v>
      </c>
      <c r="E421" s="15" t="n">
        <f aca="false">$C$2*(1+IF(E$3&lt;=$O$2,$D421,$D421-($D421-$I$400)*MIN(E$3-$O$2,$Q$2)/$Q$2))</f>
        <v>7018.67616653442</v>
      </c>
      <c r="F421" s="15" t="n">
        <f aca="false">E421*(1+IF(F$3&lt;=$O$2,$D421,$D421-($D421-$I$400)*MIN(F$3-$O$2,$Q$2)/$Q$2))</f>
        <v>7287.25075897609</v>
      </c>
      <c r="G421" s="15" t="n">
        <f aca="false">F421*(1+IF(G$3&lt;=$O$2,$D421,$D421-($D421-$I$400)*MIN(G$3-$O$2,$Q$2)/$Q$2))</f>
        <v>7566.1025475718</v>
      </c>
      <c r="H421" s="15" t="n">
        <f aca="false">G421*(1+IF(H$3&lt;=$O$2,$D421,$D421-($D421-$I$400)*MIN(H$3-$O$2,$Q$2)/$Q$2))</f>
        <v>7855.62479647893</v>
      </c>
      <c r="I421" s="15" t="n">
        <f aca="false">H421*(1+IF(I$3&lt;=$O$2,$D421,$D421-($D421-$I$400)*MIN(I$3-$O$2,$Q$2)/$Q$2))</f>
        <v>8156.22581838513</v>
      </c>
      <c r="J421" s="15" t="n">
        <f aca="false">I421*(1+IF(J$3&lt;=$O$2,$D421,$D421-($D421-$I$400)*MIN(J$3-$O$2,$Q$2)/$Q$2))</f>
        <v>8460.22926790824</v>
      </c>
      <c r="K421" s="15" t="n">
        <f aca="false">J421*(1+IF(K$3&lt;=$O$2,$D421,$D421-($D421-$I$400)*MIN(K$3-$O$2,$Q$2)/$Q$2))</f>
        <v>8767.16150474714</v>
      </c>
      <c r="L421" s="15" t="n">
        <f aca="false">K421*(1+IF(L$3&lt;=$O$2,$D421,$D421-($D421-$I$400)*MIN(L$3-$O$2,$Q$2)/$Q$2))</f>
        <v>9076.52203832419</v>
      </c>
      <c r="M421" s="15" t="n">
        <f aca="false">L421*(1+IF(M$3&lt;=$O$2,$D421,$D421-($D421-$I$400)*MIN(M$3-$O$2,$Q$2)/$Q$2))</f>
        <v>9387.78448857127</v>
      </c>
      <c r="N421" s="15" t="n">
        <f aca="false">M421*(1+IF(N$3&lt;=$O$2,$D421,$D421-($D421-$I$400)*MIN(N$3-$O$2,$Q$2)/$Q$2))</f>
        <v>9700.39771204069</v>
      </c>
      <c r="O421" s="15" t="n">
        <f aca="false">SUMPRODUCT(E421:N421,1/(1+$F$400)^$E$3:$N$3)*$E$2</f>
        <v>34438.4948335477</v>
      </c>
      <c r="P421" s="15" t="n">
        <f aca="false">N421*$E$2*(1+$I$400)/($F$400-$I$400)/(1+$F$400)^$N$3</f>
        <v>67121.4926146527</v>
      </c>
      <c r="Q421" s="15" t="n">
        <f aca="false">O421+P421</f>
        <v>101559.9874482</v>
      </c>
      <c r="R421" s="15" t="n">
        <f aca="false">Q421-$G$2+$I$2</f>
        <v>99969.9874482003</v>
      </c>
      <c r="S421" s="42" t="n">
        <f aca="false">R421/$K$2</f>
        <v>278.018764803939</v>
      </c>
      <c r="T421" s="43" t="n">
        <f aca="false">S421-$M$2</f>
        <v>-3.49068347986758E-005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0.0382657051086426</v>
      </c>
      <c r="C422" s="25" t="n">
        <f aca="false">IF(T421&gt;0,D421,C421)</f>
        <v>0.0382671356201172</v>
      </c>
      <c r="D422" s="41" t="n">
        <f aca="false">(B422+C422)/2</f>
        <v>0.0382664203643799</v>
      </c>
      <c r="E422" s="15" t="n">
        <f aca="false">$C$2*(1+IF(E$3&lt;=$O$2,$D422,$D422-($D422-$I$400)*MIN(E$3-$O$2,$Q$2)/$Q$2))</f>
        <v>7018.68100166321</v>
      </c>
      <c r="F422" s="15" t="n">
        <f aca="false">E422*(1+IF(F$3&lt;=$O$2,$D422,$D422-($D422-$I$400)*MIN(F$3-$O$2,$Q$2)/$Q$2))</f>
        <v>7287.26079927634</v>
      </c>
      <c r="G422" s="15" t="n">
        <f aca="false">F422*(1+IF(G$3&lt;=$O$2,$D422,$D422-($D422-$I$400)*MIN(G$3-$O$2,$Q$2)/$Q$2))</f>
        <v>7566.11818432631</v>
      </c>
      <c r="H422" s="15" t="n">
        <f aca="false">G422*(1+IF(H$3&lt;=$O$2,$D422,$D422-($D422-$I$400)*MIN(H$3-$O$2,$Q$2)/$Q$2))</f>
        <v>7855.64644329432</v>
      </c>
      <c r="I422" s="15" t="n">
        <f aca="false">H422*(1+IF(I$3&lt;=$O$2,$D422,$D422-($D422-$I$400)*MIN(I$3-$O$2,$Q$2)/$Q$2))</f>
        <v>8156.25391232737</v>
      </c>
      <c r="J422" s="15" t="n">
        <f aca="false">I422*(1+IF(J$3&lt;=$O$2,$D422,$D422-($D422-$I$400)*MIN(J$3-$O$2,$Q$2)/$Q$2))</f>
        <v>8460.26307602966</v>
      </c>
      <c r="K422" s="15" t="n">
        <f aca="false">J422*(1+IF(K$3&lt;=$O$2,$D422,$D422-($D422-$I$400)*MIN(K$3-$O$2,$Q$2)/$Q$2))</f>
        <v>8767.20017015873</v>
      </c>
      <c r="L422" s="15" t="n">
        <f aca="false">K422*(1+IF(L$3&lt;=$O$2,$D422,$D422-($D422-$I$400)*MIN(L$3-$O$2,$Q$2)/$Q$2))</f>
        <v>9076.56457641048</v>
      </c>
      <c r="M422" s="15" t="n">
        <f aca="false">L422*(1+IF(M$3&lt;=$O$2,$D422,$D422-($D422-$I$400)*MIN(M$3-$O$2,$Q$2)/$Q$2))</f>
        <v>9387.82978383513</v>
      </c>
      <c r="N422" s="15" t="n">
        <f aca="false">M422*(1+IF(N$3&lt;=$O$2,$D422,$D422-($D422-$I$400)*MIN(N$3-$O$2,$Q$2)/$Q$2))</f>
        <v>9700.44451563684</v>
      </c>
      <c r="O422" s="15" t="n">
        <f aca="false">SUMPRODUCT(E422:N422,1/(1+$F$400)^$E$3:$N$3)*$E$2</f>
        <v>34438.6034401147</v>
      </c>
      <c r="P422" s="15" t="n">
        <f aca="false">N422*$E$2*(1+$I$400)/($F$400-$I$400)/(1+$F$400)^$N$3</f>
        <v>67121.8164701611</v>
      </c>
      <c r="Q422" s="15" t="n">
        <f aca="false">O422+P422</f>
        <v>101560.419910276</v>
      </c>
      <c r="R422" s="15" t="n">
        <f aca="false">Q422-$G$2+$I$2</f>
        <v>99970.4199102758</v>
      </c>
      <c r="S422" s="42" t="n">
        <f aca="false">R422/$K$2</f>
        <v>278.019967490616</v>
      </c>
      <c r="T422" s="43" t="n">
        <f aca="false">S422-$M$2</f>
        <v>0.00116777984266037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0.0382657051086426</v>
      </c>
      <c r="C423" s="25" t="n">
        <f aca="false">IF(T422&gt;0,D422,C422)</f>
        <v>0.0382664203643799</v>
      </c>
      <c r="D423" s="41" t="n">
        <f aca="false">(B423+C423)/2</f>
        <v>0.0382660627365112</v>
      </c>
      <c r="E423" s="15" t="n">
        <f aca="false">$C$2*(1+IF(E$3&lt;=$O$2,$D423,$D423-($D423-$I$400)*MIN(E$3-$O$2,$Q$2)/$Q$2))</f>
        <v>7018.67858409882</v>
      </c>
      <c r="F423" s="15" t="n">
        <f aca="false">E423*(1+IF(F$3&lt;=$O$2,$D423,$D423-($D423-$I$400)*MIN(F$3-$O$2,$Q$2)/$Q$2))</f>
        <v>7287.25577912535</v>
      </c>
      <c r="G423" s="15" t="n">
        <f aca="false">F423*(1+IF(G$3&lt;=$O$2,$D423,$D423-($D423-$I$400)*MIN(G$3-$O$2,$Q$2)/$Q$2))</f>
        <v>7566.11036594636</v>
      </c>
      <c r="H423" s="15" t="n">
        <f aca="false">G423*(1+IF(H$3&lt;=$O$2,$D423,$D423-($D423-$I$400)*MIN(H$3-$O$2,$Q$2)/$Q$2))</f>
        <v>7855.63561988104</v>
      </c>
      <c r="I423" s="15" t="n">
        <f aca="false">H423*(1+IF(I$3&lt;=$O$2,$D423,$D423-($D423-$I$400)*MIN(I$3-$O$2,$Q$2)/$Q$2))</f>
        <v>8156.23986534658</v>
      </c>
      <c r="J423" s="15" t="n">
        <f aca="false">I423*(1+IF(J$3&lt;=$O$2,$D423,$D423-($D423-$I$400)*MIN(J$3-$O$2,$Q$2)/$Q$2))</f>
        <v>8460.24617195489</v>
      </c>
      <c r="K423" s="15" t="n">
        <f aca="false">J423*(1+IF(K$3&lt;=$O$2,$D423,$D423-($D423-$I$400)*MIN(K$3-$O$2,$Q$2)/$Q$2))</f>
        <v>8767.18083743474</v>
      </c>
      <c r="L423" s="15" t="n">
        <f aca="false">K423*(1+IF(L$3&lt;=$O$2,$D423,$D423-($D423-$I$400)*MIN(L$3-$O$2,$Q$2)/$Q$2))</f>
        <v>9076.54330734574</v>
      </c>
      <c r="M423" s="15" t="n">
        <f aca="false">L423*(1+IF(M$3&lt;=$O$2,$D423,$D423-($D423-$I$400)*MIN(M$3-$O$2,$Q$2)/$Q$2))</f>
        <v>9387.80713617934</v>
      </c>
      <c r="N423" s="15" t="n">
        <f aca="false">M423*(1+IF(N$3&lt;=$O$2,$D423,$D423-($D423-$I$400)*MIN(N$3-$O$2,$Q$2)/$Q$2))</f>
        <v>9700.42111381411</v>
      </c>
      <c r="O423" s="15" t="n">
        <f aca="false">SUMPRODUCT(E423:N423,1/(1+$F$400)^$E$3:$N$3)*$E$2</f>
        <v>34438.549136788</v>
      </c>
      <c r="P423" s="15" t="n">
        <f aca="false">N423*$E$2*(1+$I$400)/($F$400-$I$400)/(1+$F$400)^$N$3</f>
        <v>67121.6545422363</v>
      </c>
      <c r="Q423" s="15" t="n">
        <f aca="false">O423+P423</f>
        <v>101560.203679024</v>
      </c>
      <c r="R423" s="15" t="n">
        <f aca="false">Q423-$G$2+$I$2</f>
        <v>99970.2036790243</v>
      </c>
      <c r="S423" s="42" t="n">
        <f aca="false">R423/$K$2</f>
        <v>278.019366146683</v>
      </c>
      <c r="T423" s="43" t="n">
        <f aca="false">S423-$M$2</f>
        <v>0.000566435909490792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0.0382657051086426</v>
      </c>
      <c r="C424" s="25" t="n">
        <f aca="false">IF(T423&gt;0,D423,C423)</f>
        <v>0.0382660627365112</v>
      </c>
      <c r="D424" s="41" t="n">
        <f aca="false">(B424+C424)/2</f>
        <v>0.0382658839225769</v>
      </c>
      <c r="E424" s="15" t="n">
        <f aca="false">$C$2*(1+IF(E$3&lt;=$O$2,$D424,$D424-($D424-$I$400)*MIN(E$3-$O$2,$Q$2)/$Q$2))</f>
        <v>7018.67737531662</v>
      </c>
      <c r="F424" s="15" t="n">
        <f aca="false">E424*(1+IF(F$3&lt;=$O$2,$D424,$D424-($D424-$I$400)*MIN(F$3-$O$2,$Q$2)/$Q$2))</f>
        <v>7287.2532690505</v>
      </c>
      <c r="G424" s="15" t="n">
        <f aca="false">F424*(1+IF(G$3&lt;=$O$2,$D424,$D424-($D424-$I$400)*MIN(G$3-$O$2,$Q$2)/$Q$2))</f>
        <v>7566.10645675841</v>
      </c>
      <c r="H424" s="15" t="n">
        <f aca="false">G424*(1+IF(H$3&lt;=$O$2,$D424,$D424-($D424-$I$400)*MIN(H$3-$O$2,$Q$2)/$Q$2))</f>
        <v>7855.63020817859</v>
      </c>
      <c r="I424" s="15" t="n">
        <f aca="false">H424*(1+IF(I$3&lt;=$O$2,$D424,$D424-($D424-$I$400)*MIN(I$3-$O$2,$Q$2)/$Q$2))</f>
        <v>8156.23284186344</v>
      </c>
      <c r="J424" s="15" t="n">
        <f aca="false">I424*(1+IF(J$3&lt;=$O$2,$D424,$D424-($D424-$I$400)*MIN(J$3-$O$2,$Q$2)/$Q$2))</f>
        <v>8460.23771992805</v>
      </c>
      <c r="K424" s="15" t="n">
        <f aca="false">J424*(1+IF(K$3&lt;=$O$2,$D424,$D424-($D424-$I$400)*MIN(K$3-$O$2,$Q$2)/$Q$2))</f>
        <v>8767.1711710864</v>
      </c>
      <c r="L424" s="15" t="n">
        <f aca="false">K424*(1+IF(L$3&lt;=$O$2,$D424,$D424-($D424-$I$400)*MIN(L$3-$O$2,$Q$2)/$Q$2))</f>
        <v>9076.53267282957</v>
      </c>
      <c r="M424" s="15" t="n">
        <f aca="false">L424*(1+IF(M$3&lt;=$O$2,$D424,$D424-($D424-$I$400)*MIN(M$3-$O$2,$Q$2)/$Q$2))</f>
        <v>9387.79581236934</v>
      </c>
      <c r="N424" s="15" t="n">
        <f aca="false">M424*(1+IF(N$3&lt;=$O$2,$D424,$D424-($D424-$I$400)*MIN(N$3-$O$2,$Q$2)/$Q$2))</f>
        <v>9700.40941292124</v>
      </c>
      <c r="O424" s="15" t="n">
        <f aca="false">SUMPRODUCT(E424:N424,1/(1+$F$400)^$E$3:$N$3)*$E$2</f>
        <v>34438.5219851571</v>
      </c>
      <c r="P424" s="15" t="n">
        <f aca="false">N424*$E$2*(1+$I$400)/($F$400-$I$400)/(1+$F$400)^$N$3</f>
        <v>67121.5735784018</v>
      </c>
      <c r="Q424" s="15" t="n">
        <f aca="false">O424+P424</f>
        <v>101560.095563559</v>
      </c>
      <c r="R424" s="15" t="n">
        <f aca="false">Q424-$G$2+$I$2</f>
        <v>99970.0955635589</v>
      </c>
      <c r="S424" s="42" t="n">
        <f aca="false">R424/$K$2</f>
        <v>278.019065475163</v>
      </c>
      <c r="T424" s="43" t="n">
        <f aca="false">S424-$M$2</f>
        <v>0.000265764388814205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0.0382657051086426</v>
      </c>
      <c r="C425" s="25" t="n">
        <f aca="false">IF(T424&gt;0,D424,C424)</f>
        <v>0.0382658839225769</v>
      </c>
      <c r="D425" s="41" t="n">
        <f aca="false">(B425+C425)/2</f>
        <v>0.0382657945156097</v>
      </c>
      <c r="E425" s="15" t="n">
        <f aca="false">$C$2*(1+IF(E$3&lt;=$O$2,$D425,$D425-($D425-$I$400)*MIN(E$3-$O$2,$Q$2)/$Q$2))</f>
        <v>7018.67677092552</v>
      </c>
      <c r="F425" s="15" t="n">
        <f aca="false">E425*(1+IF(F$3&lt;=$O$2,$D425,$D425-($D425-$I$400)*MIN(F$3-$O$2,$Q$2)/$Q$2))</f>
        <v>7287.25201401324</v>
      </c>
      <c r="G425" s="15" t="n">
        <f aca="false">F425*(1+IF(G$3&lt;=$O$2,$D425,$D425-($D425-$I$400)*MIN(G$3-$O$2,$Q$2)/$Q$2))</f>
        <v>7566.10450216494</v>
      </c>
      <c r="H425" s="15" t="n">
        <f aca="false">G425*(1+IF(H$3&lt;=$O$2,$D425,$D425-($D425-$I$400)*MIN(H$3-$O$2,$Q$2)/$Q$2))</f>
        <v>7855.62750232841</v>
      </c>
      <c r="I425" s="15" t="n">
        <f aca="false">H425*(1+IF(I$3&lt;=$O$2,$D425,$D425-($D425-$I$400)*MIN(I$3-$O$2,$Q$2)/$Q$2))</f>
        <v>8156.22933012368</v>
      </c>
      <c r="J425" s="15" t="n">
        <f aca="false">I425*(1+IF(J$3&lt;=$O$2,$D425,$D425-($D425-$I$400)*MIN(J$3-$O$2,$Q$2)/$Q$2))</f>
        <v>8460.23349391727</v>
      </c>
      <c r="K425" s="15" t="n">
        <f aca="false">J425*(1+IF(K$3&lt;=$O$2,$D425,$D425-($D425-$I$400)*MIN(K$3-$O$2,$Q$2)/$Q$2))</f>
        <v>8767.16633791563</v>
      </c>
      <c r="L425" s="15" t="n">
        <f aca="false">K425*(1+IF(L$3&lt;=$O$2,$D425,$D425-($D425-$I$400)*MIN(L$3-$O$2,$Q$2)/$Q$2))</f>
        <v>9076.52735557553</v>
      </c>
      <c r="M425" s="15" t="n">
        <f aca="false">L425*(1+IF(M$3&lt;=$O$2,$D425,$D425-($D425-$I$400)*MIN(M$3-$O$2,$Q$2)/$Q$2))</f>
        <v>9387.79015046881</v>
      </c>
      <c r="N425" s="15" t="n">
        <f aca="false">M425*(1+IF(N$3&lt;=$O$2,$D425,$D425-($D425-$I$400)*MIN(N$3-$O$2,$Q$2)/$Q$2))</f>
        <v>9700.40356247943</v>
      </c>
      <c r="O425" s="15" t="n">
        <f aca="false">SUMPRODUCT(E425:N425,1/(1+$F$400)^$E$3:$N$3)*$E$2</f>
        <v>34438.5084093497</v>
      </c>
      <c r="P425" s="15" t="n">
        <f aca="false">N425*$E$2*(1+$I$400)/($F$400-$I$400)/(1+$F$400)^$N$3</f>
        <v>67121.5330965166</v>
      </c>
      <c r="Q425" s="15" t="n">
        <f aca="false">O425+P425</f>
        <v>101560.041505866</v>
      </c>
      <c r="R425" s="15" t="n">
        <f aca="false">Q425-$G$2+$I$2</f>
        <v>99970.0415058663</v>
      </c>
      <c r="S425" s="42" t="n">
        <f aca="false">R425/$K$2</f>
        <v>278.018915139513</v>
      </c>
      <c r="T425" s="43" t="n">
        <f aca="false">S425-$M$2</f>
        <v>0.000115428739775325</v>
      </c>
    </row>
    <row r="427" customFormat="false" ht="15" hidden="false" customHeight="false" outlineLevel="0" collapsed="false">
      <c r="A427" s="38" t="s">
        <v>201</v>
      </c>
      <c r="E427" s="5" t="s">
        <v>11</v>
      </c>
      <c r="F427" s="12" t="n">
        <f aca="false">Sensitivity!$B$12</f>
        <v>0.0774202832668642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167</v>
      </c>
      <c r="B428" s="28" t="s">
        <v>168</v>
      </c>
      <c r="C428" s="28" t="s">
        <v>169</v>
      </c>
      <c r="D428" s="28" t="s">
        <v>170</v>
      </c>
      <c r="E428" s="28" t="s">
        <v>171</v>
      </c>
      <c r="F428" s="28" t="s">
        <v>172</v>
      </c>
      <c r="G428" s="28" t="s">
        <v>173</v>
      </c>
      <c r="H428" s="28" t="s">
        <v>174</v>
      </c>
      <c r="I428" s="28" t="s">
        <v>175</v>
      </c>
      <c r="J428" s="28" t="s">
        <v>176</v>
      </c>
      <c r="K428" s="28" t="s">
        <v>177</v>
      </c>
      <c r="L428" s="28" t="s">
        <v>178</v>
      </c>
      <c r="M428" s="28" t="s">
        <v>179</v>
      </c>
      <c r="N428" s="28" t="s">
        <v>180</v>
      </c>
      <c r="O428" s="28" t="s">
        <v>181</v>
      </c>
      <c r="P428" s="28" t="s">
        <v>182</v>
      </c>
      <c r="Q428" s="28" t="s">
        <v>183</v>
      </c>
      <c r="R428" s="28" t="s">
        <v>184</v>
      </c>
      <c r="S428" s="28" t="s">
        <v>185</v>
      </c>
      <c r="T428" s="28" t="s">
        <v>186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8450</v>
      </c>
      <c r="F429" s="15" t="n">
        <f aca="false">E429*(1+IF(F$3&lt;=$O$2,$D429,$D429-($D429-$I$427)*MIN(F$3-$O$2,$Q$2)/$Q$2))</f>
        <v>10562.5</v>
      </c>
      <c r="G429" s="15" t="n">
        <f aca="false">F429*(1+IF(G$3&lt;=$O$2,$D429,$D429-($D429-$I$427)*MIN(G$3-$O$2,$Q$2)/$Q$2))</f>
        <v>13203.125</v>
      </c>
      <c r="H429" s="15" t="n">
        <f aca="false">G429*(1+IF(H$3&lt;=$O$2,$D429,$D429-($D429-$I$427)*MIN(H$3-$O$2,$Q$2)/$Q$2))</f>
        <v>16503.90625</v>
      </c>
      <c r="I429" s="15" t="n">
        <f aca="false">H429*(1+IF(I$3&lt;=$O$2,$D429,$D429-($D429-$I$427)*MIN(I$3-$O$2,$Q$2)/$Q$2))</f>
        <v>20629.8828125</v>
      </c>
      <c r="J429" s="15" t="n">
        <f aca="false">I429*(1+IF(J$3&lt;=$O$2,$D429,$D429-($D429-$I$427)*MIN(J$3-$O$2,$Q$2)/$Q$2))</f>
        <v>24913.8842773438</v>
      </c>
      <c r="K429" s="15" t="n">
        <f aca="false">J429*(1+IF(K$3&lt;=$O$2,$D429,$D429-($D429-$I$427)*MIN(K$3-$O$2,$Q$2)/$Q$2))</f>
        <v>29032.6476260742</v>
      </c>
      <c r="L429" s="15" t="n">
        <f aca="false">K429*(1+IF(L$3&lt;=$O$2,$D429,$D429-($D429-$I$427)*MIN(L$3-$O$2,$Q$2)/$Q$2))</f>
        <v>32603.0826311288</v>
      </c>
      <c r="M429" s="15" t="n">
        <f aca="false">L429*(1+IF(M$3&lt;=$O$2,$D429,$D429-($D429-$I$427)*MIN(M$3-$O$2,$Q$2)/$Q$2))</f>
        <v>35232.1952145031</v>
      </c>
      <c r="N429" s="15" t="n">
        <f aca="false">M429*(1+IF(N$3&lt;=$O$2,$D429,$D429-($D429-$I$427)*MIN(N$3-$O$2,$Q$2)/$Q$2))</f>
        <v>36581.5882912185</v>
      </c>
      <c r="O429" s="15" t="n">
        <f aca="false">SUMPRODUCT(E429:N429,1/(1+$F$427)^$E$3:$N$3)*$E$2</f>
        <v>87454.4582209047</v>
      </c>
      <c r="P429" s="15" t="n">
        <f aca="false">N429*$E$2*(1+$I$427)/($F$427-$I$427)/(1+$F$427)^$N$3</f>
        <v>286858.252606832</v>
      </c>
      <c r="Q429" s="15" t="n">
        <f aca="false">O429+P429</f>
        <v>374312.710827736</v>
      </c>
      <c r="R429" s="15" t="n">
        <f aca="false">Q429-$G$2+$I$2</f>
        <v>372722.710827736</v>
      </c>
      <c r="S429" s="42" t="n">
        <f aca="false">R429/$K$2</f>
        <v>1036.55017194431</v>
      </c>
      <c r="T429" s="43" t="n">
        <f aca="false">S429-$M$2</f>
        <v>758.53137223354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5915</v>
      </c>
      <c r="F430" s="15" t="n">
        <f aca="false">E430*(1+IF(F$3&lt;=$O$2,$D430,$D430-($D430-$I$427)*MIN(F$3-$O$2,$Q$2)/$Q$2))</f>
        <v>5175.625</v>
      </c>
      <c r="G430" s="15" t="n">
        <f aca="false">F430*(1+IF(G$3&lt;=$O$2,$D430,$D430-($D430-$I$427)*MIN(G$3-$O$2,$Q$2)/$Q$2))</f>
        <v>4528.671875</v>
      </c>
      <c r="H430" s="15" t="n">
        <f aca="false">G430*(1+IF(H$3&lt;=$O$2,$D430,$D430-($D430-$I$427)*MIN(H$3-$O$2,$Q$2)/$Q$2))</f>
        <v>3962.587890625</v>
      </c>
      <c r="I430" s="15" t="n">
        <f aca="false">H430*(1+IF(I$3&lt;=$O$2,$D430,$D430-($D430-$I$427)*MIN(I$3-$O$2,$Q$2)/$Q$2))</f>
        <v>3467.26440429688</v>
      </c>
      <c r="J430" s="15" t="n">
        <f aca="false">I430*(1+IF(J$3&lt;=$O$2,$D430,$D430-($D430-$I$427)*MIN(J$3-$O$2,$Q$2)/$Q$2))</f>
        <v>3147.0972092041</v>
      </c>
      <c r="K430" s="15" t="n">
        <f aca="false">J430*(1+IF(K$3&lt;=$O$2,$D430,$D430-($D430-$I$427)*MIN(K$3-$O$2,$Q$2)/$Q$2))</f>
        <v>2959.2784477588</v>
      </c>
      <c r="L430" s="15" t="n">
        <f aca="false">K430*(1+IF(L$3&lt;=$O$2,$D430,$D430-($D430-$I$427)*MIN(L$3-$O$2,$Q$2)/$Q$2))</f>
        <v>2879.31874410036</v>
      </c>
      <c r="M430" s="15" t="n">
        <f aca="false">L430*(1+IF(M$3&lt;=$O$2,$D430,$D430-($D430-$I$427)*MIN(M$3-$O$2,$Q$2)/$Q$2))</f>
        <v>2895.55810181708</v>
      </c>
      <c r="N430" s="15" t="n">
        <f aca="false">M430*(1+IF(N$3&lt;=$O$2,$D430,$D430-($D430-$I$427)*MIN(N$3-$O$2,$Q$2)/$Q$2))</f>
        <v>3006.45797711668</v>
      </c>
      <c r="O430" s="15" t="n">
        <f aca="false">SUMPRODUCT(E430:N430,1/(1+$F$427)^$E$3:$N$3)*$E$2</f>
        <v>16913.3824711403</v>
      </c>
      <c r="P430" s="15" t="n">
        <f aca="false">N430*$E$2*(1+$I$427)/($F$427-$I$427)/(1+$F$427)^$N$3</f>
        <v>23575.4466150008</v>
      </c>
      <c r="Q430" s="15" t="n">
        <f aca="false">O430+P430</f>
        <v>40488.8290861411</v>
      </c>
      <c r="R430" s="15" t="n">
        <f aca="false">Q430-$G$2+$I$2</f>
        <v>38898.8290861411</v>
      </c>
      <c r="S430" s="42" t="n">
        <f aca="false">R430/$K$2</f>
        <v>108.178511280219</v>
      </c>
      <c r="T430" s="43" t="n">
        <f aca="false">S430-$M$2</f>
        <v>-169.840288430555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7182.5</v>
      </c>
      <c r="F431" s="15" t="n">
        <f aca="false">E431*(1+IF(F$3&lt;=$O$2,$D431,$D431-($D431-$I$427)*MIN(F$3-$O$2,$Q$2)/$Q$2))</f>
        <v>7631.40625</v>
      </c>
      <c r="G431" s="15" t="n">
        <f aca="false">F431*(1+IF(G$3&lt;=$O$2,$D431,$D431-($D431-$I$427)*MIN(G$3-$O$2,$Q$2)/$Q$2))</f>
        <v>8108.369140625</v>
      </c>
      <c r="H431" s="15" t="n">
        <f aca="false">G431*(1+IF(H$3&lt;=$O$2,$D431,$D431-($D431-$I$427)*MIN(H$3-$O$2,$Q$2)/$Q$2))</f>
        <v>8615.14221191406</v>
      </c>
      <c r="I431" s="15" t="n">
        <f aca="false">H431*(1+IF(I$3&lt;=$O$2,$D431,$D431-($D431-$I$427)*MIN(I$3-$O$2,$Q$2)/$Q$2))</f>
        <v>9153.58860015869</v>
      </c>
      <c r="J431" s="15" t="n">
        <f aca="false">I431*(1+IF(J$3&lt;=$O$2,$D431,$D431-($D431-$I$427)*MIN(J$3-$O$2,$Q$2)/$Q$2))</f>
        <v>9681.38451884384</v>
      </c>
      <c r="K431" s="15" t="n">
        <f aca="false">J431*(1+IF(K$3&lt;=$O$2,$D431,$D431-($D431-$I$427)*MIN(K$3-$O$2,$Q$2)/$Q$2))</f>
        <v>10192.7552491292</v>
      </c>
      <c r="L431" s="15" t="n">
        <f aca="false">K431*(1+IF(L$3&lt;=$O$2,$D431,$D431-($D431-$I$427)*MIN(L$3-$O$2,$Q$2)/$Q$2))</f>
        <v>10681.8036459824</v>
      </c>
      <c r="M431" s="15" t="n">
        <f aca="false">L431*(1+IF(M$3&lt;=$O$2,$D431,$D431-($D431-$I$427)*MIN(M$3-$O$2,$Q$2)/$Q$2))</f>
        <v>11142.6166552701</v>
      </c>
      <c r="N431" s="15" t="n">
        <f aca="false">M431*(1+IF(N$3&lt;=$O$2,$D431,$D431-($D431-$I$427)*MIN(N$3-$O$2,$Q$2)/$Q$2))</f>
        <v>11569.3788731669</v>
      </c>
      <c r="O431" s="15" t="n">
        <f aca="false">SUMPRODUCT(E431:N431,1/(1+$F$427)^$E$3:$N$3)*$E$2</f>
        <v>38441.0091134525</v>
      </c>
      <c r="P431" s="15" t="n">
        <f aca="false">N431*$E$2*(1+$I$427)/($F$427-$I$427)/(1+$F$427)^$N$3</f>
        <v>90722.463466676</v>
      </c>
      <c r="Q431" s="15" t="n">
        <f aca="false">O431+P431</f>
        <v>129163.472580128</v>
      </c>
      <c r="R431" s="15" t="n">
        <f aca="false">Q431-$G$2+$I$2</f>
        <v>127573.472580128</v>
      </c>
      <c r="S431" s="42" t="n">
        <f aca="false">R431/$K$2</f>
        <v>354.784672618412</v>
      </c>
      <c r="T431" s="43" t="n">
        <f aca="false">S431-$M$2</f>
        <v>76.765872907638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6548.75</v>
      </c>
      <c r="F432" s="15" t="n">
        <f aca="false">E432*(1+IF(F$3&lt;=$O$2,$D432,$D432-($D432-$I$427)*MIN(F$3-$O$2,$Q$2)/$Q$2))</f>
        <v>6344.1015625</v>
      </c>
      <c r="G432" s="15" t="n">
        <f aca="false">F432*(1+IF(G$3&lt;=$O$2,$D432,$D432-($D432-$I$427)*MIN(G$3-$O$2,$Q$2)/$Q$2))</f>
        <v>6145.84838867188</v>
      </c>
      <c r="H432" s="15" t="n">
        <f aca="false">G432*(1+IF(H$3&lt;=$O$2,$D432,$D432-($D432-$I$427)*MIN(H$3-$O$2,$Q$2)/$Q$2))</f>
        <v>5953.79062652588</v>
      </c>
      <c r="I432" s="15" t="n">
        <f aca="false">H432*(1+IF(I$3&lt;=$O$2,$D432,$D432-($D432-$I$427)*MIN(I$3-$O$2,$Q$2)/$Q$2))</f>
        <v>5767.73466944695</v>
      </c>
      <c r="J432" s="15" t="n">
        <f aca="false">I432*(1+IF(J$3&lt;=$O$2,$D432,$D432-($D432-$I$427)*MIN(J$3-$O$2,$Q$2)/$Q$2))</f>
        <v>5667.72215027874</v>
      </c>
      <c r="K432" s="15" t="n">
        <f aca="false">J432*(1+IF(K$3&lt;=$O$2,$D432,$D432-($D432-$I$427)*MIN(K$3-$O$2,$Q$2)/$Q$2))</f>
        <v>5648.28186330328</v>
      </c>
      <c r="L432" s="15" t="n">
        <f aca="false">K432*(1+IF(L$3&lt;=$O$2,$D432,$D432-($D432-$I$427)*MIN(L$3-$O$2,$Q$2)/$Q$2))</f>
        <v>5707.4758572307</v>
      </c>
      <c r="M432" s="15" t="n">
        <f aca="false">L432*(1+IF(M$3&lt;=$O$2,$D432,$D432-($D432-$I$427)*MIN(M$3-$O$2,$Q$2)/$Q$2))</f>
        <v>5846.68119338855</v>
      </c>
      <c r="N432" s="15" t="n">
        <f aca="false">M432*(1+IF(N$3&lt;=$O$2,$D432,$D432-($D432-$I$427)*MIN(N$3-$O$2,$Q$2)/$Q$2))</f>
        <v>6070.60908309534</v>
      </c>
      <c r="O432" s="15" t="n">
        <f aca="false">SUMPRODUCT(E432:N432,1/(1+$F$427)^$E$3:$N$3)*$E$2</f>
        <v>25430.7692186987</v>
      </c>
      <c r="P432" s="15" t="n">
        <f aca="false">N432*$E$2*(1+$I$427)/($F$427-$I$427)/(1+$F$427)^$N$3</f>
        <v>47603.2997794662</v>
      </c>
      <c r="Q432" s="15" t="n">
        <f aca="false">O432+P432</f>
        <v>73034.068998165</v>
      </c>
      <c r="R432" s="15" t="n">
        <f aca="false">Q432-$G$2+$I$2</f>
        <v>71444.068998165</v>
      </c>
      <c r="S432" s="42" t="n">
        <f aca="false">R432/$K$2</f>
        <v>198.687549358043</v>
      </c>
      <c r="T432" s="43" t="n">
        <f aca="false">S432-$M$2</f>
        <v>-79.3312503527311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41" t="n">
        <f aca="false">(B433+C433)/2</f>
        <v>0.015625</v>
      </c>
      <c r="E433" s="15" t="n">
        <f aca="false">$C$2*(1+IF(E$3&lt;=$O$2,$D433,$D433-($D433-$I$427)*MIN(E$3-$O$2,$Q$2)/$Q$2))</f>
        <v>6865.625</v>
      </c>
      <c r="F433" s="15" t="n">
        <f aca="false">E433*(1+IF(F$3&lt;=$O$2,$D433,$D433-($D433-$I$427)*MIN(F$3-$O$2,$Q$2)/$Q$2))</f>
        <v>6972.900390625</v>
      </c>
      <c r="G433" s="15" t="n">
        <f aca="false">F433*(1+IF(G$3&lt;=$O$2,$D433,$D433-($D433-$I$427)*MIN(G$3-$O$2,$Q$2)/$Q$2))</f>
        <v>7081.85195922852</v>
      </c>
      <c r="H433" s="15" t="n">
        <f aca="false">G433*(1+IF(H$3&lt;=$O$2,$D433,$D433-($D433-$I$427)*MIN(H$3-$O$2,$Q$2)/$Q$2))</f>
        <v>7192.50589609146</v>
      </c>
      <c r="I433" s="15" t="n">
        <f aca="false">H433*(1+IF(I$3&lt;=$O$2,$D433,$D433-($D433-$I$427)*MIN(I$3-$O$2,$Q$2)/$Q$2))</f>
        <v>7304.88880071789</v>
      </c>
      <c r="J433" s="15" t="n">
        <f aca="false">I433*(1+IF(J$3&lt;=$O$2,$D433,$D433-($D433-$I$427)*MIN(J$3-$O$2,$Q$2)/$Q$2))</f>
        <v>7452.15535894036</v>
      </c>
      <c r="K433" s="15" t="n">
        <f aca="false">J433*(1+IF(K$3&lt;=$O$2,$D433,$D433-($D433-$I$427)*MIN(K$3-$O$2,$Q$2)/$Q$2))</f>
        <v>7636.18633552939</v>
      </c>
      <c r="L433" s="15" t="n">
        <f aca="false">K433*(1+IF(L$3&lt;=$O$2,$D433,$D433-($D433-$I$427)*MIN(L$3-$O$2,$Q$2)/$Q$2))</f>
        <v>7859.39206211692</v>
      </c>
      <c r="M433" s="15" t="n">
        <f aca="false">L433*(1+IF(M$3&lt;=$O$2,$D433,$D433-($D433-$I$427)*MIN(M$3-$O$2,$Q$2)/$Q$2))</f>
        <v>8124.7644350943</v>
      </c>
      <c r="N433" s="15" t="n">
        <f aca="false">M433*(1+IF(N$3&lt;=$O$2,$D433,$D433-($D433-$I$427)*MIN(N$3-$O$2,$Q$2)/$Q$2))</f>
        <v>8435.94291295841</v>
      </c>
      <c r="O433" s="15" t="n">
        <f aca="false">SUMPRODUCT(E433:N433,1/(1+$F$427)^$E$3:$N$3)*$E$2</f>
        <v>31256.264776866</v>
      </c>
      <c r="P433" s="15" t="n">
        <f aca="false">N433*$E$2*(1+$I$427)/($F$427-$I$427)/(1+$F$427)^$N$3</f>
        <v>66151.3060569636</v>
      </c>
      <c r="Q433" s="15" t="n">
        <f aca="false">O433+P433</f>
        <v>97407.5708338296</v>
      </c>
      <c r="R433" s="15" t="n">
        <f aca="false">Q433-$G$2+$I$2</f>
        <v>95817.5708338296</v>
      </c>
      <c r="S433" s="42" t="n">
        <f aca="false">R433/$K$2</f>
        <v>266.470801584709</v>
      </c>
      <c r="T433" s="43" t="n">
        <f aca="false">S433-$M$2</f>
        <v>-11.5479981260647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0.015625</v>
      </c>
      <c r="C434" s="25" t="n">
        <f aca="false">IF(T433&gt;0,D433,C433)</f>
        <v>0.0625</v>
      </c>
      <c r="D434" s="41" t="n">
        <f aca="false">(B434+C434)/2</f>
        <v>0.0390625</v>
      </c>
      <c r="E434" s="15" t="n">
        <f aca="false">$C$2*(1+IF(E$3&lt;=$O$2,$D434,$D434-($D434-$I$427)*MIN(E$3-$O$2,$Q$2)/$Q$2))</f>
        <v>7024.0625</v>
      </c>
      <c r="F434" s="15" t="n">
        <f aca="false">E434*(1+IF(F$3&lt;=$O$2,$D434,$D434-($D434-$I$427)*MIN(F$3-$O$2,$Q$2)/$Q$2))</f>
        <v>7298.43994140625</v>
      </c>
      <c r="G434" s="15" t="n">
        <f aca="false">F434*(1+IF(G$3&lt;=$O$2,$D434,$D434-($D434-$I$427)*MIN(G$3-$O$2,$Q$2)/$Q$2))</f>
        <v>7583.53525161743</v>
      </c>
      <c r="H434" s="15" t="n">
        <f aca="false">G434*(1+IF(H$3&lt;=$O$2,$D434,$D434-($D434-$I$427)*MIN(H$3-$O$2,$Q$2)/$Q$2))</f>
        <v>7879.76709738374</v>
      </c>
      <c r="I434" s="15" t="n">
        <f aca="false">H434*(1+IF(I$3&lt;=$O$2,$D434,$D434-($D434-$I$427)*MIN(I$3-$O$2,$Q$2)/$Q$2))</f>
        <v>8187.57049962529</v>
      </c>
      <c r="J434" s="15" t="n">
        <f aca="false">I434*(1+IF(J$3&lt;=$O$2,$D434,$D434-($D434-$I$427)*MIN(J$3-$O$2,$Q$2)/$Q$2))</f>
        <v>8506.14886776571</v>
      </c>
      <c r="K434" s="15" t="n">
        <f aca="false">J434*(1+IF(K$3&lt;=$O$2,$D434,$D434-($D434-$I$427)*MIN(K$3-$O$2,$Q$2)/$Q$2))</f>
        <v>8835.82593250814</v>
      </c>
      <c r="L434" s="15" t="n">
        <f aca="false">K434*(1+IF(L$3&lt;=$O$2,$D434,$D434-($D434-$I$427)*MIN(L$3-$O$2,$Q$2)/$Q$2))</f>
        <v>9176.93299263262</v>
      </c>
      <c r="M434" s="15" t="n">
        <f aca="false">L434*(1+IF(M$3&lt;=$O$2,$D434,$D434-($D434-$I$427)*MIN(M$3-$O$2,$Q$2)/$Q$2))</f>
        <v>9529.80900853182</v>
      </c>
      <c r="N434" s="15" t="n">
        <f aca="false">M434*(1+IF(N$3&lt;=$O$2,$D434,$D434-($D434-$I$427)*MIN(N$3-$O$2,$Q$2)/$Q$2))</f>
        <v>9894.80069355859</v>
      </c>
      <c r="O434" s="15" t="n">
        <f aca="false">SUMPRODUCT(E434:N434,1/(1+$F$427)^$E$3:$N$3)*$E$2</f>
        <v>34661.6336325047</v>
      </c>
      <c r="P434" s="15" t="n">
        <f aca="false">N434*$E$2*(1+$I$427)/($F$427-$I$427)/(1+$F$427)^$N$3</f>
        <v>77591.0880154005</v>
      </c>
      <c r="Q434" s="15" t="n">
        <f aca="false">O434+P434</f>
        <v>112252.721647905</v>
      </c>
      <c r="R434" s="15" t="n">
        <f aca="false">Q434-$G$2+$I$2</f>
        <v>110662.721647905</v>
      </c>
      <c r="S434" s="42" t="n">
        <f aca="false">R434/$K$2</f>
        <v>307.755497101911</v>
      </c>
      <c r="T434" s="43" t="n">
        <f aca="false">S434-$M$2</f>
        <v>29.7366973911375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0.015625</v>
      </c>
      <c r="C435" s="25" t="n">
        <f aca="false">IF(T434&gt;0,D434,C434)</f>
        <v>0.0390625</v>
      </c>
      <c r="D435" s="41" t="n">
        <f aca="false">(B435+C435)/2</f>
        <v>0.02734375</v>
      </c>
      <c r="E435" s="15" t="n">
        <f aca="false">$C$2*(1+IF(E$3&lt;=$O$2,$D435,$D435-($D435-$I$427)*MIN(E$3-$O$2,$Q$2)/$Q$2))</f>
        <v>6944.84375</v>
      </c>
      <c r="F435" s="15" t="n">
        <f aca="false">E435*(1+IF(F$3&lt;=$O$2,$D435,$D435-($D435-$I$427)*MIN(F$3-$O$2,$Q$2)/$Q$2))</f>
        <v>7134.74182128906</v>
      </c>
      <c r="G435" s="15" t="n">
        <f aca="false">F435*(1+IF(G$3&lt;=$O$2,$D435,$D435-($D435-$I$427)*MIN(G$3-$O$2,$Q$2)/$Q$2))</f>
        <v>7329.83241796494</v>
      </c>
      <c r="H435" s="15" t="n">
        <f aca="false">G435*(1+IF(H$3&lt;=$O$2,$D435,$D435-($D435-$I$427)*MIN(H$3-$O$2,$Q$2)/$Q$2))</f>
        <v>7530.25752314366</v>
      </c>
      <c r="I435" s="15" t="n">
        <f aca="false">H435*(1+IF(I$3&lt;=$O$2,$D435,$D435-($D435-$I$427)*MIN(I$3-$O$2,$Q$2)/$Q$2))</f>
        <v>7736.16300229212</v>
      </c>
      <c r="J435" s="15" t="n">
        <f aca="false">I435*(1+IF(J$3&lt;=$O$2,$D435,$D435-($D435-$I$427)*MIN(J$3-$O$2,$Q$2)/$Q$2))</f>
        <v>7964.65057656482</v>
      </c>
      <c r="K435" s="15" t="n">
        <f aca="false">J435*(1+IF(K$3&lt;=$O$2,$D435,$D435-($D435-$I$427)*MIN(K$3-$O$2,$Q$2)/$Q$2))</f>
        <v>8217.33907191956</v>
      </c>
      <c r="L435" s="15" t="n">
        <f aca="false">K435*(1+IF(L$3&lt;=$O$2,$D435,$D435-($D435-$I$427)*MIN(L$3-$O$2,$Q$2)/$Q$2))</f>
        <v>8496.05066989139</v>
      </c>
      <c r="M435" s="15" t="n">
        <f aca="false">L435*(1+IF(M$3&lt;=$O$2,$D435,$D435-($D435-$I$427)*MIN(M$3-$O$2,$Q$2)/$Q$2))</f>
        <v>8802.83243951784</v>
      </c>
      <c r="N435" s="15" t="n">
        <f aca="false">M435*(1+IF(N$3&lt;=$O$2,$D435,$D435-($D435-$I$427)*MIN(N$3-$O$2,$Q$2)/$Q$2))</f>
        <v>9139.98092195137</v>
      </c>
      <c r="O435" s="15" t="n">
        <f aca="false">SUMPRODUCT(E435:N435,1/(1+$F$427)^$E$3:$N$3)*$E$2</f>
        <v>32914.45013196</v>
      </c>
      <c r="P435" s="15" t="n">
        <f aca="false">N435*$E$2*(1+$I$427)/($F$427-$I$427)/(1+$F$427)^$N$3</f>
        <v>71672.0918528333</v>
      </c>
      <c r="Q435" s="15" t="n">
        <f aca="false">O435+P435</f>
        <v>104586.541984793</v>
      </c>
      <c r="R435" s="15" t="n">
        <f aca="false">Q435-$G$2+$I$2</f>
        <v>102996.541984793</v>
      </c>
      <c r="S435" s="42" t="n">
        <f aca="false">R435/$K$2</f>
        <v>286.435680473868</v>
      </c>
      <c r="T435" s="43" t="n">
        <f aca="false">S435-$M$2</f>
        <v>8.41688076309396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0.015625</v>
      </c>
      <c r="C436" s="25" t="n">
        <f aca="false">IF(T435&gt;0,D435,C435)</f>
        <v>0.02734375</v>
      </c>
      <c r="D436" s="41" t="n">
        <f aca="false">(B436+C436)/2</f>
        <v>0.021484375</v>
      </c>
      <c r="E436" s="15" t="n">
        <f aca="false">$C$2*(1+IF(E$3&lt;=$O$2,$D436,$D436-($D436-$I$427)*MIN(E$3-$O$2,$Q$2)/$Q$2))</f>
        <v>6905.234375</v>
      </c>
      <c r="F436" s="15" t="n">
        <f aca="false">E436*(1+IF(F$3&lt;=$O$2,$D436,$D436-($D436-$I$427)*MIN(F$3-$O$2,$Q$2)/$Q$2))</f>
        <v>7053.58901977539</v>
      </c>
      <c r="G436" s="15" t="n">
        <f aca="false">F436*(1+IF(G$3&lt;=$O$2,$D436,$D436-($D436-$I$427)*MIN(G$3-$O$2,$Q$2)/$Q$2))</f>
        <v>7205.13097137213</v>
      </c>
      <c r="H436" s="15" t="n">
        <f aca="false">G436*(1+IF(H$3&lt;=$O$2,$D436,$D436-($D436-$I$427)*MIN(H$3-$O$2,$Q$2)/$Q$2))</f>
        <v>7359.9287070852</v>
      </c>
      <c r="I436" s="15" t="n">
        <f aca="false">H436*(1+IF(I$3&lt;=$O$2,$D436,$D436-($D436-$I$427)*MIN(I$3-$O$2,$Q$2)/$Q$2))</f>
        <v>7518.05217540148</v>
      </c>
      <c r="J436" s="15" t="n">
        <f aca="false">I436*(1+IF(J$3&lt;=$O$2,$D436,$D436-($D436-$I$427)*MIN(J$3-$O$2,$Q$2)/$Q$2))</f>
        <v>7704.85697682977</v>
      </c>
      <c r="K436" s="15" t="n">
        <f aca="false">J436*(1+IF(K$3&lt;=$O$2,$D436,$D436-($D436-$I$427)*MIN(K$3-$O$2,$Q$2)/$Q$2))</f>
        <v>7922.21580768175</v>
      </c>
      <c r="L436" s="15" t="n">
        <f aca="false">K436*(1+IF(L$3&lt;=$O$2,$D436,$D436-($D436-$I$427)*MIN(L$3-$O$2,$Q$2)/$Q$2))</f>
        <v>8172.34986903954</v>
      </c>
      <c r="M436" s="15" t="n">
        <f aca="false">L436*(1+IF(M$3&lt;=$O$2,$D436,$D436-($D436-$I$427)*MIN(M$3-$O$2,$Q$2)/$Q$2))</f>
        <v>8457.86623487044</v>
      </c>
      <c r="N436" s="15" t="n">
        <f aca="false">M436*(1+IF(N$3&lt;=$O$2,$D436,$D436-($D436-$I$427)*MIN(N$3-$O$2,$Q$2)/$Q$2))</f>
        <v>8781.80251166598</v>
      </c>
      <c r="O436" s="15" t="n">
        <f aca="false">SUMPRODUCT(E436:N436,1/(1+$F$427)^$E$3:$N$3)*$E$2</f>
        <v>32074.5038099645</v>
      </c>
      <c r="P436" s="15" t="n">
        <f aca="false">N436*$E$2*(1+$I$427)/($F$427-$I$427)/(1+$F$427)^$N$3</f>
        <v>68863.3993467011</v>
      </c>
      <c r="Q436" s="15" t="n">
        <f aca="false">O436+P436</f>
        <v>100937.903156666</v>
      </c>
      <c r="R436" s="15" t="n">
        <f aca="false">Q436-$G$2+$I$2</f>
        <v>99347.9031566656</v>
      </c>
      <c r="S436" s="42" t="n">
        <f aca="false">R436/$K$2</f>
        <v>276.288734514338</v>
      </c>
      <c r="T436" s="43" t="n">
        <f aca="false">S436-$M$2</f>
        <v>-1.73006519643576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0.021484375</v>
      </c>
      <c r="C437" s="25" t="n">
        <f aca="false">IF(T436&gt;0,D436,C436)</f>
        <v>0.02734375</v>
      </c>
      <c r="D437" s="41" t="n">
        <f aca="false">(B437+C437)/2</f>
        <v>0.0244140625</v>
      </c>
      <c r="E437" s="15" t="n">
        <f aca="false">$C$2*(1+IF(E$3&lt;=$O$2,$D437,$D437-($D437-$I$427)*MIN(E$3-$O$2,$Q$2)/$Q$2))</f>
        <v>6925.0390625</v>
      </c>
      <c r="F437" s="15" t="n">
        <f aca="false">E437*(1+IF(F$3&lt;=$O$2,$D437,$D437-($D437-$I$427)*MIN(F$3-$O$2,$Q$2)/$Q$2))</f>
        <v>7094.10739898682</v>
      </c>
      <c r="G437" s="15" t="n">
        <f aca="false">F437*(1+IF(G$3&lt;=$O$2,$D437,$D437-($D437-$I$427)*MIN(G$3-$O$2,$Q$2)/$Q$2))</f>
        <v>7267.30338040739</v>
      </c>
      <c r="H437" s="15" t="n">
        <f aca="false">G437*(1+IF(H$3&lt;=$O$2,$D437,$D437-($D437-$I$427)*MIN(H$3-$O$2,$Q$2)/$Q$2))</f>
        <v>7444.72777934312</v>
      </c>
      <c r="I437" s="15" t="n">
        <f aca="false">H437*(1+IF(I$3&lt;=$O$2,$D437,$D437-($D437-$I$427)*MIN(I$3-$O$2,$Q$2)/$Q$2))</f>
        <v>7626.48382864349</v>
      </c>
      <c r="J437" s="15" t="n">
        <f aca="false">I437*(1+IF(J$3&lt;=$O$2,$D437,$D437-($D437-$I$427)*MIN(J$3-$O$2,$Q$2)/$Q$2))</f>
        <v>7833.85745704909</v>
      </c>
      <c r="K437" s="15" t="n">
        <f aca="false">J437*(1+IF(K$3&lt;=$O$2,$D437,$D437-($D437-$I$427)*MIN(K$3-$O$2,$Q$2)/$Q$2))</f>
        <v>8068.62592463458</v>
      </c>
      <c r="L437" s="15" t="n">
        <f aca="false">K437*(1+IF(L$3&lt;=$O$2,$D437,$D437-($D437-$I$427)*MIN(L$3-$O$2,$Q$2)/$Q$2))</f>
        <v>8332.83812342794</v>
      </c>
      <c r="M437" s="15" t="n">
        <f aca="false">L437*(1+IF(M$3&lt;=$O$2,$D437,$D437-($D437-$I$427)*MIN(M$3-$O$2,$Q$2)/$Q$2))</f>
        <v>8628.84396967932</v>
      </c>
      <c r="N437" s="15" t="n">
        <f aca="false">M437*(1+IF(N$3&lt;=$O$2,$D437,$D437-($D437-$I$427)*MIN(N$3-$O$2,$Q$2)/$Q$2))</f>
        <v>8959.32869371804</v>
      </c>
      <c r="O437" s="15" t="n">
        <f aca="false">SUMPRODUCT(E437:N437,1/(1+$F$427)^$E$3:$N$3)*$E$2</f>
        <v>32491.7301207728</v>
      </c>
      <c r="P437" s="15" t="n">
        <f aca="false">N437*$E$2*(1+$I$427)/($F$427-$I$427)/(1+$F$427)^$N$3</f>
        <v>70255.4889949147</v>
      </c>
      <c r="Q437" s="15" t="n">
        <f aca="false">O437+P437</f>
        <v>102747.219115687</v>
      </c>
      <c r="R437" s="15" t="n">
        <f aca="false">Q437-$G$2+$I$2</f>
        <v>101157.219115687</v>
      </c>
      <c r="S437" s="42" t="n">
        <f aca="false">R437/$K$2</f>
        <v>281.320482550997</v>
      </c>
      <c r="T437" s="43" t="n">
        <f aca="false">S437-$M$2</f>
        <v>3.30168284022324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0.021484375</v>
      </c>
      <c r="C438" s="25" t="n">
        <f aca="false">IF(T437&gt;0,D437,C437)</f>
        <v>0.0244140625</v>
      </c>
      <c r="D438" s="41" t="n">
        <f aca="false">(B438+C438)/2</f>
        <v>0.02294921875</v>
      </c>
      <c r="E438" s="15" t="n">
        <f aca="false">$C$2*(1+IF(E$3&lt;=$O$2,$D438,$D438-($D438-$I$427)*MIN(E$3-$O$2,$Q$2)/$Q$2))</f>
        <v>6915.13671875</v>
      </c>
      <c r="F438" s="15" t="n">
        <f aca="false">E438*(1+IF(F$3&lt;=$O$2,$D438,$D438-($D438-$I$427)*MIN(F$3-$O$2,$Q$2)/$Q$2))</f>
        <v>7073.83370399475</v>
      </c>
      <c r="G438" s="15" t="n">
        <f aca="false">F438*(1+IF(G$3&lt;=$O$2,$D438,$D438-($D438-$I$427)*MIN(G$3-$O$2,$Q$2)/$Q$2))</f>
        <v>7236.17266106885</v>
      </c>
      <c r="H438" s="15" t="n">
        <f aca="false">G438*(1+IF(H$3&lt;=$O$2,$D438,$D438-($D438-$I$427)*MIN(H$3-$O$2,$Q$2)/$Q$2))</f>
        <v>7402.23717038049</v>
      </c>
      <c r="I438" s="15" t="n">
        <f aca="false">H438*(1+IF(I$3&lt;=$O$2,$D438,$D438-($D438-$I$427)*MIN(I$3-$O$2,$Q$2)/$Q$2))</f>
        <v>7572.11273044293</v>
      </c>
      <c r="J438" s="15" t="n">
        <f aca="false">I438*(1+IF(J$3&lt;=$O$2,$D438,$D438-($D438-$I$427)*MIN(J$3-$O$2,$Q$2)/$Q$2))</f>
        <v>7769.1343711186</v>
      </c>
      <c r="K438" s="15" t="n">
        <f aca="false">J438*(1+IF(K$3&lt;=$O$2,$D438,$D438-($D438-$I$427)*MIN(K$3-$O$2,$Q$2)/$Q$2))</f>
        <v>7995.1348481927</v>
      </c>
      <c r="L438" s="15" t="n">
        <f aca="false">K438*(1+IF(L$3&lt;=$O$2,$D438,$D438-($D438-$I$427)*MIN(L$3-$O$2,$Q$2)/$Q$2))</f>
        <v>8252.25588643094</v>
      </c>
      <c r="M438" s="15" t="n">
        <f aca="false">L438*(1+IF(M$3&lt;=$O$2,$D438,$D438-($D438-$I$427)*MIN(M$3-$O$2,$Q$2)/$Q$2))</f>
        <v>8542.98157189492</v>
      </c>
      <c r="N438" s="15" t="n">
        <f aca="false">M438*(1+IF(N$3&lt;=$O$2,$D438,$D438-($D438-$I$427)*MIN(N$3-$O$2,$Q$2)/$Q$2))</f>
        <v>8870.1777660985</v>
      </c>
      <c r="O438" s="15" t="n">
        <f aca="false">SUMPRODUCT(E438:N438,1/(1+$F$427)^$E$3:$N$3)*$E$2</f>
        <v>32282.4344606451</v>
      </c>
      <c r="P438" s="15" t="n">
        <f aca="false">N438*$E$2*(1+$I$427)/($F$427-$I$427)/(1+$F$427)^$N$3</f>
        <v>69556.4029106355</v>
      </c>
      <c r="Q438" s="15" t="n">
        <f aca="false">O438+P438</f>
        <v>101838.837371281</v>
      </c>
      <c r="R438" s="15" t="n">
        <f aca="false">Q438-$G$2+$I$2</f>
        <v>100248.837371281</v>
      </c>
      <c r="S438" s="42" t="n">
        <f aca="false">R438/$K$2</f>
        <v>278.794252659438</v>
      </c>
      <c r="T438" s="43" t="n">
        <f aca="false">S438-$M$2</f>
        <v>0.77545294866411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0.021484375</v>
      </c>
      <c r="C439" s="25" t="n">
        <f aca="false">IF(T438&gt;0,D438,C438)</f>
        <v>0.02294921875</v>
      </c>
      <c r="D439" s="41" t="n">
        <f aca="false">(B439+C439)/2</f>
        <v>0.022216796875</v>
      </c>
      <c r="E439" s="15" t="n">
        <f aca="false">$C$2*(1+IF(E$3&lt;=$O$2,$D439,$D439-($D439-$I$427)*MIN(E$3-$O$2,$Q$2)/$Q$2))</f>
        <v>6910.185546875</v>
      </c>
      <c r="F439" s="15" t="n">
        <f aca="false">E439*(1+IF(F$3&lt;=$O$2,$D439,$D439-($D439-$I$427)*MIN(F$3-$O$2,$Q$2)/$Q$2))</f>
        <v>7063.70773553848</v>
      </c>
      <c r="G439" s="15" t="n">
        <f aca="false">F439*(1+IF(G$3&lt;=$O$2,$D439,$D439-($D439-$I$427)*MIN(G$3-$O$2,$Q$2)/$Q$2))</f>
        <v>7220.64069548331</v>
      </c>
      <c r="H439" s="15" t="n">
        <f aca="false">G439*(1+IF(H$3&lt;=$O$2,$D439,$D439-($D439-$I$427)*MIN(H$3-$O$2,$Q$2)/$Q$2))</f>
        <v>7381.06020312222</v>
      </c>
      <c r="I439" s="15" t="n">
        <f aca="false">H439*(1+IF(I$3&lt;=$O$2,$D439,$D439-($D439-$I$427)*MIN(I$3-$O$2,$Q$2)/$Q$2))</f>
        <v>7545.04371837713</v>
      </c>
      <c r="J439" s="15" t="n">
        <f aca="false">I439*(1+IF(J$3&lt;=$O$2,$D439,$D439-($D439-$I$427)*MIN(J$3-$O$2,$Q$2)/$Q$2))</f>
        <v>7736.94011622324</v>
      </c>
      <c r="K439" s="15" t="n">
        <f aca="false">J439*(1+IF(K$3&lt;=$O$2,$D439,$D439-($D439-$I$427)*MIN(K$3-$O$2,$Q$2)/$Q$2))</f>
        <v>7958.60405500149</v>
      </c>
      <c r="L439" s="15" t="n">
        <f aca="false">K439*(1+IF(L$3&lt;=$O$2,$D439,$D439-($D439-$I$427)*MIN(L$3-$O$2,$Q$2)/$Q$2))</f>
        <v>8212.21865206483</v>
      </c>
      <c r="M439" s="15" t="n">
        <f aca="false">L439*(1+IF(M$3&lt;=$O$2,$D439,$D439-($D439-$I$427)*MIN(M$3-$O$2,$Q$2)/$Q$2))</f>
        <v>8500.3308703013</v>
      </c>
      <c r="N439" s="15" t="n">
        <f aca="false">M439*(1+IF(N$3&lt;=$O$2,$D439,$D439-($D439-$I$427)*MIN(N$3-$O$2,$Q$2)/$Q$2))</f>
        <v>8825.89354263384</v>
      </c>
      <c r="O439" s="15" t="n">
        <f aca="false">SUMPRODUCT(E439:N439,1/(1+$F$427)^$E$3:$N$3)*$E$2</f>
        <v>32178.2990326475</v>
      </c>
      <c r="P439" s="15" t="n">
        <f aca="false">N439*$E$2*(1+$I$427)/($F$427-$I$427)/(1+$F$427)^$N$3</f>
        <v>69209.1436593424</v>
      </c>
      <c r="Q439" s="15" t="n">
        <f aca="false">O439+P439</f>
        <v>101387.44269199</v>
      </c>
      <c r="R439" s="15" t="n">
        <f aca="false">Q439-$G$2+$I$2</f>
        <v>99797.4426919899</v>
      </c>
      <c r="S439" s="42" t="n">
        <f aca="false">R439/$K$2</f>
        <v>277.538913988514</v>
      </c>
      <c r="T439" s="43" t="n">
        <f aca="false">S439-$M$2</f>
        <v>-0.479885722259496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0.022216796875</v>
      </c>
      <c r="C440" s="25" t="n">
        <f aca="false">IF(T439&gt;0,D439,C439)</f>
        <v>0.02294921875</v>
      </c>
      <c r="D440" s="41" t="n">
        <f aca="false">(B440+C440)/2</f>
        <v>0.0225830078125</v>
      </c>
      <c r="E440" s="15" t="n">
        <f aca="false">$C$2*(1+IF(E$3&lt;=$O$2,$D440,$D440-($D440-$I$427)*MIN(E$3-$O$2,$Q$2)/$Q$2))</f>
        <v>6912.6611328125</v>
      </c>
      <c r="F440" s="15" t="n">
        <f aca="false">E440*(1+IF(F$3&lt;=$O$2,$D440,$D440-($D440-$I$427)*MIN(F$3-$O$2,$Q$2)/$Q$2))</f>
        <v>7068.76981317997</v>
      </c>
      <c r="G440" s="15" t="n">
        <f aca="false">F440*(1+IF(G$3&lt;=$O$2,$D440,$D440-($D440-$I$427)*MIN(G$3-$O$2,$Q$2)/$Q$2))</f>
        <v>7228.40389709578</v>
      </c>
      <c r="H440" s="15" t="n">
        <f aca="false">G440*(1+IF(H$3&lt;=$O$2,$D440,$D440-($D440-$I$427)*MIN(H$3-$O$2,$Q$2)/$Q$2))</f>
        <v>7391.6429987758</v>
      </c>
      <c r="I440" s="15" t="n">
        <f aca="false">H440*(1+IF(I$3&lt;=$O$2,$D440,$D440-($D440-$I$427)*MIN(I$3-$O$2,$Q$2)/$Q$2))</f>
        <v>7558.56853036436</v>
      </c>
      <c r="J440" s="15" t="n">
        <f aca="false">I440*(1+IF(J$3&lt;=$O$2,$D440,$D440-($D440-$I$427)*MIN(J$3-$O$2,$Q$2)/$Q$2))</f>
        <v>7753.02333504498</v>
      </c>
      <c r="K440" s="15" t="n">
        <f aca="false">J440*(1+IF(K$3&lt;=$O$2,$D440,$D440-($D440-$I$427)*MIN(K$3-$O$2,$Q$2)/$Q$2))</f>
        <v>7976.85160446536</v>
      </c>
      <c r="L440" s="15" t="n">
        <f aca="false">K440*(1+IF(L$3&lt;=$O$2,$D440,$D440-($D440-$I$427)*MIN(L$3-$O$2,$Q$2)/$Q$2))</f>
        <v>8232.21617517709</v>
      </c>
      <c r="M440" s="15" t="n">
        <f aca="false">L440*(1+IF(M$3&lt;=$O$2,$D440,$D440-($D440-$I$427)*MIN(M$3-$O$2,$Q$2)/$Q$2))</f>
        <v>8521.63291922416</v>
      </c>
      <c r="N440" s="15" t="n">
        <f aca="false">M440*(1+IF(N$3&lt;=$O$2,$D440,$D440-($D440-$I$427)*MIN(N$3-$O$2,$Q$2)/$Q$2))</f>
        <v>8848.01146003044</v>
      </c>
      <c r="O440" s="15" t="n">
        <f aca="false">SUMPRODUCT(E440:N440,1/(1+$F$427)^$E$3:$N$3)*$E$2</f>
        <v>32230.3241556508</v>
      </c>
      <c r="P440" s="15" t="n">
        <f aca="false">N440*$E$2*(1+$I$427)/($F$427-$I$427)/(1+$F$427)^$N$3</f>
        <v>69382.5835626398</v>
      </c>
      <c r="Q440" s="15" t="n">
        <f aca="false">O440+P440</f>
        <v>101612.907718291</v>
      </c>
      <c r="R440" s="15" t="n">
        <f aca="false">Q440-$G$2+$I$2</f>
        <v>100022.907718291</v>
      </c>
      <c r="S440" s="42" t="n">
        <f aca="false">R440/$K$2</f>
        <v>278.165937255383</v>
      </c>
      <c r="T440" s="43" t="n">
        <f aca="false">S440-$M$2</f>
        <v>0.147137544609166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0.022216796875</v>
      </c>
      <c r="C441" s="25" t="n">
        <f aca="false">IF(T440&gt;0,D440,C440)</f>
        <v>0.0225830078125</v>
      </c>
      <c r="D441" s="41" t="n">
        <f aca="false">(B441+C441)/2</f>
        <v>0.02239990234375</v>
      </c>
      <c r="E441" s="15" t="n">
        <f aca="false">$C$2*(1+IF(E$3&lt;=$O$2,$D441,$D441-($D441-$I$427)*MIN(E$3-$O$2,$Q$2)/$Q$2))</f>
        <v>6911.42333984375</v>
      </c>
      <c r="F441" s="15" t="n">
        <f aca="false">E441*(1+IF(F$3&lt;=$O$2,$D441,$D441-($D441-$I$427)*MIN(F$3-$O$2,$Q$2)/$Q$2))</f>
        <v>7066.23854771256</v>
      </c>
      <c r="G441" s="15" t="n">
        <f aca="false">F441*(1+IF(G$3&lt;=$O$2,$D441,$D441-($D441-$I$427)*MIN(G$3-$O$2,$Q$2)/$Q$2))</f>
        <v>7224.52160111897</v>
      </c>
      <c r="H441" s="15" t="n">
        <f aca="false">G441*(1+IF(H$3&lt;=$O$2,$D441,$D441-($D441-$I$427)*MIN(H$3-$O$2,$Q$2)/$Q$2))</f>
        <v>7386.35017946435</v>
      </c>
      <c r="I441" s="15" t="n">
        <f aca="false">H441*(1+IF(I$3&lt;=$O$2,$D441,$D441-($D441-$I$427)*MIN(I$3-$O$2,$Q$2)/$Q$2))</f>
        <v>7551.80370216109</v>
      </c>
      <c r="J441" s="15" t="n">
        <f aca="false">I441*(1+IF(J$3&lt;=$O$2,$D441,$D441-($D441-$I$427)*MIN(J$3-$O$2,$Q$2)/$Q$2))</f>
        <v>7744.9782508777</v>
      </c>
      <c r="K441" s="15" t="n">
        <f aca="false">J441*(1+IF(K$3&lt;=$O$2,$D441,$D441-($D441-$I$427)*MIN(K$3-$O$2,$Q$2)/$Q$2))</f>
        <v>7967.72337156563</v>
      </c>
      <c r="L441" s="15" t="n">
        <f aca="false">K441*(1+IF(L$3&lt;=$O$2,$D441,$D441-($D441-$I$427)*MIN(L$3-$O$2,$Q$2)/$Q$2))</f>
        <v>8222.21214481424</v>
      </c>
      <c r="M441" s="15" t="n">
        <f aca="false">L441*(1+IF(M$3&lt;=$O$2,$D441,$D441-($D441-$I$427)*MIN(M$3-$O$2,$Q$2)/$Q$2))</f>
        <v>8510.97607475004</v>
      </c>
      <c r="N441" s="15" t="n">
        <f aca="false">M441*(1+IF(N$3&lt;=$O$2,$D441,$D441-($D441-$I$427)*MIN(N$3-$O$2,$Q$2)/$Q$2))</f>
        <v>8836.94645841296</v>
      </c>
      <c r="O441" s="15" t="n">
        <f aca="false">SUMPRODUCT(E441:N441,1/(1+$F$427)^$E$3:$N$3)*$E$2</f>
        <v>32204.3009545735</v>
      </c>
      <c r="P441" s="15" t="n">
        <f aca="false">N441*$E$2*(1+$I$427)/($F$427-$I$427)/(1+$F$427)^$N$3</f>
        <v>69295.8162248245</v>
      </c>
      <c r="Q441" s="15" t="n">
        <f aca="false">O441+P441</f>
        <v>101500.117179398</v>
      </c>
      <c r="R441" s="15" t="n">
        <f aca="false">Q441-$G$2+$I$2</f>
        <v>99910.117179398</v>
      </c>
      <c r="S441" s="42" t="n">
        <f aca="false">R441/$K$2</f>
        <v>277.852264251065</v>
      </c>
      <c r="T441" s="43" t="n">
        <f aca="false">S441-$M$2</f>
        <v>-0.166535459708541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0.02239990234375</v>
      </c>
      <c r="C442" s="25" t="n">
        <f aca="false">IF(T441&gt;0,D441,C441)</f>
        <v>0.0225830078125</v>
      </c>
      <c r="D442" s="41" t="n">
        <f aca="false">(B442+C442)/2</f>
        <v>0.022491455078125</v>
      </c>
      <c r="E442" s="15" t="n">
        <f aca="false">$C$2*(1+IF(E$3&lt;=$O$2,$D442,$D442-($D442-$I$427)*MIN(E$3-$O$2,$Q$2)/$Q$2))</f>
        <v>6912.04223632813</v>
      </c>
      <c r="F442" s="15" t="n">
        <f aca="false">E442*(1+IF(F$3&lt;=$O$2,$D442,$D442-($D442-$I$427)*MIN(F$3-$O$2,$Q$2)/$Q$2))</f>
        <v>7067.5041237846</v>
      </c>
      <c r="G442" s="15" t="n">
        <f aca="false">F442*(1+IF(G$3&lt;=$O$2,$D442,$D442-($D442-$I$427)*MIN(G$3-$O$2,$Q$2)/$Q$2))</f>
        <v>7226.46257529917</v>
      </c>
      <c r="H442" s="15" t="n">
        <f aca="false">G442*(1+IF(H$3&lt;=$O$2,$D442,$D442-($D442-$I$427)*MIN(H$3-$O$2,$Q$2)/$Q$2))</f>
        <v>7388.99623368526</v>
      </c>
      <c r="I442" s="15" t="n">
        <f aca="false">H442*(1+IF(I$3&lt;=$O$2,$D442,$D442-($D442-$I$427)*MIN(I$3-$O$2,$Q$2)/$Q$2))</f>
        <v>7555.18551054763</v>
      </c>
      <c r="J442" s="15" t="n">
        <f aca="false">I442*(1+IF(J$3&lt;=$O$2,$D442,$D442-($D442-$I$427)*MIN(J$3-$O$2,$Q$2)/$Q$2))</f>
        <v>7748.99992397233</v>
      </c>
      <c r="K442" s="15" t="n">
        <f aca="false">J442*(1+IF(K$3&lt;=$O$2,$D442,$D442-($D442-$I$427)*MIN(K$3-$O$2,$Q$2)/$Q$2))</f>
        <v>7972.28637302183</v>
      </c>
      <c r="L442" s="15" t="n">
        <f aca="false">K442*(1+IF(L$3&lt;=$O$2,$D442,$D442-($D442-$I$427)*MIN(L$3-$O$2,$Q$2)/$Q$2))</f>
        <v>8227.21284220538</v>
      </c>
      <c r="M442" s="15" t="n">
        <f aca="false">L442*(1+IF(M$3&lt;=$O$2,$D442,$D442-($D442-$I$427)*MIN(M$3-$O$2,$Q$2)/$Q$2))</f>
        <v>8516.30304130228</v>
      </c>
      <c r="N442" s="15" t="n">
        <f aca="false">M442*(1+IF(N$3&lt;=$O$2,$D442,$D442-($D442-$I$427)*MIN(N$3-$O$2,$Q$2)/$Q$2))</f>
        <v>8842.47744778416</v>
      </c>
      <c r="O442" s="15" t="n">
        <f aca="false">SUMPRODUCT(E442:N442,1/(1+$F$427)^$E$3:$N$3)*$E$2</f>
        <v>32217.309894197</v>
      </c>
      <c r="P442" s="15" t="n">
        <f aca="false">N442*$E$2*(1+$I$427)/($F$427-$I$427)/(1+$F$427)^$N$3</f>
        <v>69339.1880416406</v>
      </c>
      <c r="Q442" s="15" t="n">
        <f aca="false">O442+P442</f>
        <v>101556.497935838</v>
      </c>
      <c r="R442" s="15" t="n">
        <f aca="false">Q442-$G$2+$I$2</f>
        <v>99966.4979358376</v>
      </c>
      <c r="S442" s="42" t="n">
        <f aca="false">R442/$K$2</f>
        <v>278.009060392229</v>
      </c>
      <c r="T442" s="43" t="n">
        <f aca="false">S442-$M$2</f>
        <v>-0.00973931854497323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0.022491455078125</v>
      </c>
      <c r="C443" s="25" t="n">
        <f aca="false">IF(T442&gt;0,D442,C442)</f>
        <v>0.0225830078125</v>
      </c>
      <c r="D443" s="41" t="n">
        <f aca="false">(B443+C443)/2</f>
        <v>0.0225372314453125</v>
      </c>
      <c r="E443" s="15" t="n">
        <f aca="false">$C$2*(1+IF(E$3&lt;=$O$2,$D443,$D443-($D443-$I$427)*MIN(E$3-$O$2,$Q$2)/$Q$2))</f>
        <v>6912.35168457031</v>
      </c>
      <c r="F443" s="15" t="n">
        <f aca="false">E443*(1+IF(F$3&lt;=$O$2,$D443,$D443-($D443-$I$427)*MIN(F$3-$O$2,$Q$2)/$Q$2))</f>
        <v>7068.13695431687</v>
      </c>
      <c r="G443" s="15" t="n">
        <f aca="false">F443*(1+IF(G$3&lt;=$O$2,$D443,$D443-($D443-$I$427)*MIN(G$3-$O$2,$Q$2)/$Q$2))</f>
        <v>7227.43319274348</v>
      </c>
      <c r="H443" s="15" t="n">
        <f aca="false">G443*(1+IF(H$3&lt;=$O$2,$D443,$D443-($D443-$I$427)*MIN(H$3-$O$2,$Q$2)/$Q$2))</f>
        <v>7390.31952736387</v>
      </c>
      <c r="I443" s="15" t="n">
        <f aca="false">H443*(1+IF(I$3&lt;=$O$2,$D443,$D443-($D443-$I$427)*MIN(I$3-$O$2,$Q$2)/$Q$2))</f>
        <v>7556.87686900688</v>
      </c>
      <c r="J443" s="15" t="n">
        <f aca="false">I443*(1+IF(J$3&lt;=$O$2,$D443,$D443-($D443-$I$427)*MIN(J$3-$O$2,$Q$2)/$Q$2))</f>
        <v>7751.0114122239</v>
      </c>
      <c r="K443" s="15" t="n">
        <f aca="false">J443*(1+IF(K$3&lt;=$O$2,$D443,$D443-($D443-$I$427)*MIN(K$3-$O$2,$Q$2)/$Q$2))</f>
        <v>7974.5687099387</v>
      </c>
      <c r="L443" s="15" t="n">
        <f aca="false">K443*(1+IF(L$3&lt;=$O$2,$D443,$D443-($D443-$I$427)*MIN(L$3-$O$2,$Q$2)/$Q$2))</f>
        <v>8229.71417917007</v>
      </c>
      <c r="M443" s="15" t="n">
        <f aca="false">L443*(1+IF(M$3&lt;=$O$2,$D443,$D443-($D443-$I$427)*MIN(M$3-$O$2,$Q$2)/$Q$2))</f>
        <v>8518.96761625678</v>
      </c>
      <c r="N443" s="15" t="n">
        <f aca="false">M443*(1+IF(N$3&lt;=$O$2,$D443,$D443-($D443-$I$427)*MIN(N$3-$O$2,$Q$2)/$Q$2))</f>
        <v>8845.24407595942</v>
      </c>
      <c r="O443" s="15" t="n">
        <f aca="false">SUMPRODUCT(E443:N443,1/(1+$F$427)^$E$3:$N$3)*$E$2</f>
        <v>32223.8163595675</v>
      </c>
      <c r="P443" s="15" t="n">
        <f aca="false">N443*$E$2*(1+$I$427)/($F$427-$I$427)/(1+$F$427)^$N$3</f>
        <v>69360.8828384233</v>
      </c>
      <c r="Q443" s="15" t="n">
        <f aca="false">O443+P443</f>
        <v>101584.699197991</v>
      </c>
      <c r="R443" s="15" t="n">
        <f aca="false">Q443-$G$2+$I$2</f>
        <v>99994.6991979908</v>
      </c>
      <c r="S443" s="42" t="n">
        <f aca="false">R443/$K$2</f>
        <v>278.087488731272</v>
      </c>
      <c r="T443" s="43" t="n">
        <f aca="false">S443-$M$2</f>
        <v>0.0686890204982547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0.022491455078125</v>
      </c>
      <c r="C444" s="25" t="n">
        <f aca="false">IF(T443&gt;0,D443,C443)</f>
        <v>0.0225372314453125</v>
      </c>
      <c r="D444" s="41" t="n">
        <f aca="false">(B444+C444)/2</f>
        <v>0.0225143432617188</v>
      </c>
      <c r="E444" s="15" t="n">
        <f aca="false">$C$2*(1+IF(E$3&lt;=$O$2,$D444,$D444-($D444-$I$427)*MIN(E$3-$O$2,$Q$2)/$Q$2))</f>
        <v>6912.19696044922</v>
      </c>
      <c r="F444" s="15" t="n">
        <f aca="false">E444*(1+IF(F$3&lt;=$O$2,$D444,$D444-($D444-$I$427)*MIN(F$3-$O$2,$Q$2)/$Q$2))</f>
        <v>7067.82053550938</v>
      </c>
      <c r="G444" s="15" t="n">
        <f aca="false">F444*(1+IF(G$3&lt;=$O$2,$D444,$D444-($D444-$I$427)*MIN(G$3-$O$2,$Q$2)/$Q$2))</f>
        <v>7226.94787315807</v>
      </c>
      <c r="H444" s="15" t="n">
        <f aca="false">G444*(1+IF(H$3&lt;=$O$2,$D444,$D444-($D444-$I$427)*MIN(H$3-$O$2,$Q$2)/$Q$2))</f>
        <v>7389.65785830889</v>
      </c>
      <c r="I444" s="15" t="n">
        <f aca="false">H444*(1+IF(I$3&lt;=$O$2,$D444,$D444-($D444-$I$427)*MIN(I$3-$O$2,$Q$2)/$Q$2))</f>
        <v>7556.03115191752</v>
      </c>
      <c r="J444" s="15" t="n">
        <f aca="false">I444*(1+IF(J$3&lt;=$O$2,$D444,$D444-($D444-$I$427)*MIN(J$3-$O$2,$Q$2)/$Q$2))</f>
        <v>7750.00561378161</v>
      </c>
      <c r="K444" s="15" t="n">
        <f aca="false">J444*(1+IF(K$3&lt;=$O$2,$D444,$D444-($D444-$I$427)*MIN(K$3-$O$2,$Q$2)/$Q$2))</f>
        <v>7973.4274717861</v>
      </c>
      <c r="L444" s="15" t="n">
        <f aca="false">K444*(1+IF(L$3&lt;=$O$2,$D444,$D444-($D444-$I$427)*MIN(L$3-$O$2,$Q$2)/$Q$2))</f>
        <v>8228.46342831663</v>
      </c>
      <c r="M444" s="15" t="n">
        <f aca="false">L444*(1+IF(M$3&lt;=$O$2,$D444,$D444-($D444-$I$427)*MIN(M$3-$O$2,$Q$2)/$Q$2))</f>
        <v>8517.63523778858</v>
      </c>
      <c r="N444" s="15" t="n">
        <f aca="false">M444*(1+IF(N$3&lt;=$O$2,$D444,$D444-($D444-$I$427)*MIN(N$3-$O$2,$Q$2)/$Q$2))</f>
        <v>8843.86066739588</v>
      </c>
      <c r="O444" s="15" t="n">
        <f aca="false">SUMPRODUCT(E444:N444,1/(1+$F$427)^$E$3:$N$3)*$E$2</f>
        <v>32220.5629605591</v>
      </c>
      <c r="P444" s="15" t="n">
        <f aca="false">N444*$E$2*(1+$I$427)/($F$427-$I$427)/(1+$F$427)^$N$3</f>
        <v>69350.0346991895</v>
      </c>
      <c r="Q444" s="15" t="n">
        <f aca="false">O444+P444</f>
        <v>101570.597659749</v>
      </c>
      <c r="R444" s="15" t="n">
        <f aca="false">Q444-$G$2+$I$2</f>
        <v>99980.5976597486</v>
      </c>
      <c r="S444" s="42" t="n">
        <f aca="false">R444/$K$2</f>
        <v>278.048272038903</v>
      </c>
      <c r="T444" s="43" t="n">
        <f aca="false">S444-$M$2</f>
        <v>0.029472328128918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0.022491455078125</v>
      </c>
      <c r="C445" s="25" t="n">
        <f aca="false">IF(T444&gt;0,D444,C444)</f>
        <v>0.0225143432617188</v>
      </c>
      <c r="D445" s="41" t="n">
        <f aca="false">(B445+C445)/2</f>
        <v>0.0225028991699219</v>
      </c>
      <c r="E445" s="15" t="n">
        <f aca="false">$C$2*(1+IF(E$3&lt;=$O$2,$D445,$D445-($D445-$I$427)*MIN(E$3-$O$2,$Q$2)/$Q$2))</f>
        <v>6912.11959838867</v>
      </c>
      <c r="F445" s="15" t="n">
        <f aca="false">E445*(1+IF(F$3&lt;=$O$2,$D445,$D445-($D445-$I$427)*MIN(F$3-$O$2,$Q$2)/$Q$2))</f>
        <v>7067.66232876165</v>
      </c>
      <c r="G445" s="15" t="n">
        <f aca="false">F445*(1+IF(G$3&lt;=$O$2,$D445,$D445-($D445-$I$427)*MIN(G$3-$O$2,$Q$2)/$Q$2))</f>
        <v>7226.70522151283</v>
      </c>
      <c r="H445" s="15" t="n">
        <f aca="false">G445*(1+IF(H$3&lt;=$O$2,$D445,$D445-($D445-$I$427)*MIN(H$3-$O$2,$Q$2)/$Q$2))</f>
        <v>7389.32704044328</v>
      </c>
      <c r="I445" s="15" t="n">
        <f aca="false">H445*(1+IF(I$3&lt;=$O$2,$D445,$D445-($D445-$I$427)*MIN(I$3-$O$2,$Q$2)/$Q$2))</f>
        <v>7555.60832176796</v>
      </c>
      <c r="J445" s="15" t="n">
        <f aca="false">I445*(1+IF(J$3&lt;=$O$2,$D445,$D445-($D445-$I$427)*MIN(J$3-$O$2,$Q$2)/$Q$2))</f>
        <v>7749.50275529843</v>
      </c>
      <c r="K445" s="15" t="n">
        <f aca="false">J445*(1+IF(K$3&lt;=$O$2,$D445,$D445-($D445-$I$427)*MIN(K$3-$O$2,$Q$2)/$Q$2))</f>
        <v>7972.85690498131</v>
      </c>
      <c r="L445" s="15" t="n">
        <f aca="false">K445*(1+IF(L$3&lt;=$O$2,$D445,$D445-($D445-$I$427)*MIN(L$3-$O$2,$Q$2)/$Q$2))</f>
        <v>8227.83811466939</v>
      </c>
      <c r="M445" s="15" t="n">
        <f aca="false">L445*(1+IF(M$3&lt;=$O$2,$D445,$D445-($D445-$I$427)*MIN(M$3-$O$2,$Q$2)/$Q$2))</f>
        <v>8516.96911679903</v>
      </c>
      <c r="N445" s="15" t="n">
        <f aca="false">M445*(1+IF(N$3&lt;=$O$2,$D445,$D445-($D445-$I$427)*MIN(N$3-$O$2,$Q$2)/$Q$2))</f>
        <v>8843.16903397243</v>
      </c>
      <c r="O445" s="15" t="n">
        <f aca="false">SUMPRODUCT(E445:N445,1/(1+$F$427)^$E$3:$N$3)*$E$2</f>
        <v>32218.9363857993</v>
      </c>
      <c r="P445" s="15" t="n">
        <f aca="false">N445*$E$2*(1+$I$427)/($F$427-$I$427)/(1+$F$427)^$N$3</f>
        <v>69344.6111852153</v>
      </c>
      <c r="Q445" s="15" t="n">
        <f aca="false">O445+P445</f>
        <v>101563.547571015</v>
      </c>
      <c r="R445" s="15" t="n">
        <f aca="false">Q445-$G$2+$I$2</f>
        <v>99973.5475710146</v>
      </c>
      <c r="S445" s="42" t="n">
        <f aca="false">R445/$K$2</f>
        <v>278.02866558489</v>
      </c>
      <c r="T445" s="43" t="n">
        <f aca="false">S445-$M$2</f>
        <v>0.00986587411580331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0.022491455078125</v>
      </c>
      <c r="C446" s="25" t="n">
        <f aca="false">IF(T445&gt;0,D445,C445)</f>
        <v>0.0225028991699219</v>
      </c>
      <c r="D446" s="41" t="n">
        <f aca="false">(B446+C446)/2</f>
        <v>0.0224971771240234</v>
      </c>
      <c r="E446" s="15" t="n">
        <f aca="false">$C$2*(1+IF(E$3&lt;=$O$2,$D446,$D446-($D446-$I$427)*MIN(E$3-$O$2,$Q$2)/$Q$2))</f>
        <v>6912.0809173584</v>
      </c>
      <c r="F446" s="15" t="n">
        <f aca="false">E446*(1+IF(F$3&lt;=$O$2,$D446,$D446-($D446-$I$427)*MIN(F$3-$O$2,$Q$2)/$Q$2))</f>
        <v>7067.58322605179</v>
      </c>
      <c r="G446" s="15" t="n">
        <f aca="false">F446*(1+IF(G$3&lt;=$O$2,$D446,$D446-($D446-$I$427)*MIN(G$3-$O$2,$Q$2)/$Q$2))</f>
        <v>7226.58389772706</v>
      </c>
      <c r="H446" s="15" t="n">
        <f aca="false">G446*(1+IF(H$3&lt;=$O$2,$D446,$D446-($D446-$I$427)*MIN(H$3-$O$2,$Q$2)/$Q$2))</f>
        <v>7389.16163567584</v>
      </c>
      <c r="I446" s="15" t="n">
        <f aca="false">H446*(1+IF(I$3&lt;=$O$2,$D446,$D446-($D446-$I$427)*MIN(I$3-$O$2,$Q$2)/$Q$2))</f>
        <v>7555.39691379168</v>
      </c>
      <c r="J446" s="15" t="n">
        <f aca="false">I446*(1+IF(J$3&lt;=$O$2,$D446,$D446-($D446-$I$427)*MIN(J$3-$O$2,$Q$2)/$Q$2))</f>
        <v>7749.25133624082</v>
      </c>
      <c r="K446" s="15" t="n">
        <f aca="false">J446*(1+IF(K$3&lt;=$O$2,$D446,$D446-($D446-$I$427)*MIN(K$3-$O$2,$Q$2)/$Q$2))</f>
        <v>7972.57163464602</v>
      </c>
      <c r="L446" s="15" t="n">
        <f aca="false">K446*(1+IF(L$3&lt;=$O$2,$D446,$D446-($D446-$I$427)*MIN(L$3-$O$2,$Q$2)/$Q$2))</f>
        <v>8227.52547328962</v>
      </c>
      <c r="M446" s="15" t="n">
        <f aca="false">L446*(1+IF(M$3&lt;=$O$2,$D446,$D446-($D446-$I$427)*MIN(M$3-$O$2,$Q$2)/$Q$2))</f>
        <v>8516.63607336422</v>
      </c>
      <c r="N446" s="15" t="n">
        <f aca="false">M446*(1+IF(N$3&lt;=$O$2,$D446,$D446-($D446-$I$427)*MIN(N$3-$O$2,$Q$2)/$Q$2))</f>
        <v>8842.82323497407</v>
      </c>
      <c r="O446" s="15" t="n">
        <f aca="false">SUMPRODUCT(E446:N446,1/(1+$F$427)^$E$3:$N$3)*$E$2</f>
        <v>32218.1231296037</v>
      </c>
      <c r="P446" s="15" t="n">
        <f aca="false">N446*$E$2*(1+$I$427)/($F$427-$I$427)/(1+$F$427)^$N$3</f>
        <v>69341.8995671294</v>
      </c>
      <c r="Q446" s="15" t="n">
        <f aca="false">O446+P446</f>
        <v>101560.022696733</v>
      </c>
      <c r="R446" s="15" t="n">
        <f aca="false">Q446-$G$2+$I$2</f>
        <v>99970.022696733</v>
      </c>
      <c r="S446" s="42" t="n">
        <f aca="false">R446/$K$2</f>
        <v>278.018862830895</v>
      </c>
      <c r="T446" s="43" t="n">
        <f aca="false">S446-$M$2</f>
        <v>6.31201207852428E-005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0.022491455078125</v>
      </c>
      <c r="C447" s="25" t="n">
        <f aca="false">IF(T446&gt;0,D446,C446)</f>
        <v>0.0224971771240234</v>
      </c>
      <c r="D447" s="41" t="n">
        <f aca="false">(B447+C447)/2</f>
        <v>0.0224943161010742</v>
      </c>
      <c r="E447" s="15" t="n">
        <f aca="false">$C$2*(1+IF(E$3&lt;=$O$2,$D447,$D447-($D447-$I$427)*MIN(E$3-$O$2,$Q$2)/$Q$2))</f>
        <v>6912.06157684326</v>
      </c>
      <c r="F447" s="15" t="n">
        <f aca="false">E447*(1+IF(F$3&lt;=$O$2,$D447,$D447-($D447-$I$427)*MIN(F$3-$O$2,$Q$2)/$Q$2))</f>
        <v>7067.54367486286</v>
      </c>
      <c r="G447" s="15" t="n">
        <f aca="false">F447*(1+IF(G$3&lt;=$O$2,$D447,$D447-($D447-$I$427)*MIN(G$3-$O$2,$Q$2)/$Q$2))</f>
        <v>7226.52323634338</v>
      </c>
      <c r="H447" s="15" t="n">
        <f aca="false">G447*(1+IF(H$3&lt;=$O$2,$D447,$D447-($D447-$I$427)*MIN(H$3-$O$2,$Q$2)/$Q$2))</f>
        <v>7389.07893433344</v>
      </c>
      <c r="I447" s="15" t="n">
        <f aca="false">H447*(1+IF(I$3&lt;=$O$2,$D447,$D447-($D447-$I$427)*MIN(I$3-$O$2,$Q$2)/$Q$2))</f>
        <v>7555.29121157813</v>
      </c>
      <c r="J447" s="15" t="n">
        <f aca="false">I447*(1+IF(J$3&lt;=$O$2,$D447,$D447-($D447-$I$427)*MIN(J$3-$O$2,$Q$2)/$Q$2))</f>
        <v>7749.12562925794</v>
      </c>
      <c r="K447" s="15" t="n">
        <f aca="false">J447*(1+IF(K$3&lt;=$O$2,$D447,$D447-($D447-$I$427)*MIN(K$3-$O$2,$Q$2)/$Q$2))</f>
        <v>7972.42900274505</v>
      </c>
      <c r="L447" s="15" t="n">
        <f aca="false">K447*(1+IF(L$3&lt;=$O$2,$D447,$D447-($D447-$I$427)*MIN(L$3-$O$2,$Q$2)/$Q$2))</f>
        <v>8227.36915646058</v>
      </c>
      <c r="M447" s="15" t="n">
        <f aca="false">L447*(1+IF(M$3&lt;=$O$2,$D447,$D447-($D447-$I$427)*MIN(M$3-$O$2,$Q$2)/$Q$2))</f>
        <v>8516.46955591166</v>
      </c>
      <c r="N447" s="15" t="n">
        <f aca="false">M447*(1+IF(N$3&lt;=$O$2,$D447,$D447-($D447-$I$427)*MIN(N$3-$O$2,$Q$2)/$Q$2))</f>
        <v>8842.65033990308</v>
      </c>
      <c r="O447" s="15" t="n">
        <f aca="false">SUMPRODUCT(E447:N447,1/(1+$F$427)^$E$3:$N$3)*$E$2</f>
        <v>32217.7165093018</v>
      </c>
      <c r="P447" s="15" t="n">
        <f aca="false">N447*$E$2*(1+$I$427)/($F$427-$I$427)/(1+$F$427)^$N$3</f>
        <v>69340.5437928105</v>
      </c>
      <c r="Q447" s="15" t="n">
        <f aca="false">O447+P447</f>
        <v>101558.260302112</v>
      </c>
      <c r="R447" s="15" t="n">
        <f aca="false">Q447-$G$2+$I$2</f>
        <v>99968.2603021123</v>
      </c>
      <c r="S447" s="42" t="n">
        <f aca="false">R447/$K$2</f>
        <v>278.013961572146</v>
      </c>
      <c r="T447" s="43" t="n">
        <f aca="false">S447-$M$2</f>
        <v>-0.00483813862769011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0.0224943161010742</v>
      </c>
      <c r="C448" s="25" t="n">
        <f aca="false">IF(T447&gt;0,D447,C447)</f>
        <v>0.0224971771240234</v>
      </c>
      <c r="D448" s="41" t="n">
        <f aca="false">(B448+C448)/2</f>
        <v>0.0224957466125488</v>
      </c>
      <c r="E448" s="15" t="n">
        <f aca="false">$C$2*(1+IF(E$3&lt;=$O$2,$D448,$D448-($D448-$I$427)*MIN(E$3-$O$2,$Q$2)/$Q$2))</f>
        <v>6912.07124710083</v>
      </c>
      <c r="F448" s="15" t="n">
        <f aca="false">E448*(1+IF(F$3&lt;=$O$2,$D448,$D448-($D448-$I$427)*MIN(F$3-$O$2,$Q$2)/$Q$2))</f>
        <v>7067.5634504435</v>
      </c>
      <c r="G448" s="15" t="n">
        <f aca="false">F448*(1+IF(G$3&lt;=$O$2,$D448,$D448-($D448-$I$427)*MIN(G$3-$O$2,$Q$2)/$Q$2))</f>
        <v>7226.55356699278</v>
      </c>
      <c r="H448" s="15" t="n">
        <f aca="false">G448*(1+IF(H$3&lt;=$O$2,$D448,$D448-($D448-$I$427)*MIN(H$3-$O$2,$Q$2)/$Q$2))</f>
        <v>7389.12028491786</v>
      </c>
      <c r="I448" s="15" t="n">
        <f aca="false">H448*(1+IF(I$3&lt;=$O$2,$D448,$D448-($D448-$I$427)*MIN(I$3-$O$2,$Q$2)/$Q$2))</f>
        <v>7555.34406253702</v>
      </c>
      <c r="J448" s="15" t="n">
        <f aca="false">I448*(1+IF(J$3&lt;=$O$2,$D448,$D448-($D448-$I$427)*MIN(J$3-$O$2,$Q$2)/$Q$2))</f>
        <v>7749.18848253722</v>
      </c>
      <c r="K448" s="15" t="n">
        <f aca="false">J448*(1+IF(K$3&lt;=$O$2,$D448,$D448-($D448-$I$427)*MIN(K$3-$O$2,$Q$2)/$Q$2))</f>
        <v>7972.50031842332</v>
      </c>
      <c r="L448" s="15" t="n">
        <f aca="false">K448*(1+IF(L$3&lt;=$O$2,$D448,$D448-($D448-$I$427)*MIN(L$3-$O$2,$Q$2)/$Q$2))</f>
        <v>8227.44731455337</v>
      </c>
      <c r="M448" s="15" t="n">
        <f aca="false">L448*(1+IF(M$3&lt;=$O$2,$D448,$D448-($D448-$I$427)*MIN(M$3-$O$2,$Q$2)/$Q$2))</f>
        <v>8516.55281428254</v>
      </c>
      <c r="N448" s="15" t="n">
        <f aca="false">M448*(1+IF(N$3&lt;=$O$2,$D448,$D448-($D448-$I$427)*MIN(N$3-$O$2,$Q$2)/$Q$2))</f>
        <v>8842.73678706956</v>
      </c>
      <c r="O448" s="15" t="n">
        <f aca="false">SUMPRODUCT(E448:N448,1/(1+$F$427)^$E$3:$N$3)*$E$2</f>
        <v>32217.9198188031</v>
      </c>
      <c r="P448" s="15" t="n">
        <f aca="false">N448*$E$2*(1+$I$427)/($F$427-$I$427)/(1+$F$427)^$N$3</f>
        <v>69341.2216770763</v>
      </c>
      <c r="Q448" s="15" t="n">
        <f aca="false">O448+P448</f>
        <v>101559.141495879</v>
      </c>
      <c r="R448" s="15" t="n">
        <f aca="false">Q448-$G$2+$I$2</f>
        <v>99969.1414958794</v>
      </c>
      <c r="S448" s="42" t="n">
        <f aca="false">R448/$K$2</f>
        <v>278.016412191666</v>
      </c>
      <c r="T448" s="43" t="n">
        <f aca="false">S448-$M$2</f>
        <v>-0.0023875191074012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0.0224957466125488</v>
      </c>
      <c r="C449" s="25" t="n">
        <f aca="false">IF(T448&gt;0,D448,C448)</f>
        <v>0.0224971771240234</v>
      </c>
      <c r="D449" s="41" t="n">
        <f aca="false">(B449+C449)/2</f>
        <v>0.0224964618682861</v>
      </c>
      <c r="E449" s="15" t="n">
        <f aca="false">$C$2*(1+IF(E$3&lt;=$O$2,$D449,$D449-($D449-$I$427)*MIN(E$3-$O$2,$Q$2)/$Q$2))</f>
        <v>6912.07608222961</v>
      </c>
      <c r="F449" s="15" t="n">
        <f aca="false">E449*(1+IF(F$3&lt;=$O$2,$D449,$D449-($D449-$I$427)*MIN(F$3-$O$2,$Q$2)/$Q$2))</f>
        <v>7067.57333824419</v>
      </c>
      <c r="G449" s="15" t="n">
        <f aca="false">F449*(1+IF(G$3&lt;=$O$2,$D449,$D449-($D449-$I$427)*MIN(G$3-$O$2,$Q$2)/$Q$2))</f>
        <v>7226.56873234931</v>
      </c>
      <c r="H449" s="15" t="n">
        <f aca="false">G449*(1+IF(H$3&lt;=$O$2,$D449,$D449-($D449-$I$427)*MIN(H$3-$O$2,$Q$2)/$Q$2))</f>
        <v>7389.14096027516</v>
      </c>
      <c r="I449" s="15" t="n">
        <f aca="false">H449*(1+IF(I$3&lt;=$O$2,$D449,$D449-($D449-$I$427)*MIN(I$3-$O$2,$Q$2)/$Q$2))</f>
        <v>7555.37048812738</v>
      </c>
      <c r="J449" s="15" t="n">
        <f aca="false">I449*(1+IF(J$3&lt;=$O$2,$D449,$D449-($D449-$I$427)*MIN(J$3-$O$2,$Q$2)/$Q$2))</f>
        <v>7749.21990933598</v>
      </c>
      <c r="K449" s="15" t="n">
        <f aca="false">J449*(1+IF(K$3&lt;=$O$2,$D449,$D449-($D449-$I$427)*MIN(K$3-$O$2,$Q$2)/$Q$2))</f>
        <v>7972.53597646661</v>
      </c>
      <c r="L449" s="15" t="n">
        <f aca="false">K449*(1+IF(L$3&lt;=$O$2,$D449,$D449-($D449-$I$427)*MIN(L$3-$O$2,$Q$2)/$Q$2))</f>
        <v>8227.48639384106</v>
      </c>
      <c r="M449" s="15" t="n">
        <f aca="false">L449*(1+IF(M$3&lt;=$O$2,$D449,$D449-($D449-$I$427)*MIN(M$3-$O$2,$Q$2)/$Q$2))</f>
        <v>8516.59444373453</v>
      </c>
      <c r="N449" s="15" t="n">
        <f aca="false">M449*(1+IF(N$3&lt;=$O$2,$D449,$D449-($D449-$I$427)*MIN(N$3-$O$2,$Q$2)/$Q$2))</f>
        <v>8842.78001092956</v>
      </c>
      <c r="O449" s="15" t="n">
        <f aca="false">SUMPRODUCT(E449:N449,1/(1+$F$427)^$E$3:$N$3)*$E$2</f>
        <v>32218.021474041</v>
      </c>
      <c r="P449" s="15" t="n">
        <f aca="false">N449*$E$2*(1+$I$427)/($F$427-$I$427)/(1+$F$427)^$N$3</f>
        <v>69341.5606213794</v>
      </c>
      <c r="Q449" s="15" t="n">
        <f aca="false">O449+P449</f>
        <v>101559.58209542</v>
      </c>
      <c r="R449" s="15" t="n">
        <f aca="false">Q449-$G$2+$I$2</f>
        <v>99969.5820954204</v>
      </c>
      <c r="S449" s="42" t="n">
        <f aca="false">R449/$K$2</f>
        <v>278.017637508817</v>
      </c>
      <c r="T449" s="43" t="n">
        <f aca="false">S449-$M$2</f>
        <v>-0.00116220195673122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0.0224964618682861</v>
      </c>
      <c r="C450" s="25" t="n">
        <f aca="false">IF(T449&gt;0,D449,C449)</f>
        <v>0.0224971771240234</v>
      </c>
      <c r="D450" s="41" t="n">
        <f aca="false">(B450+C450)/2</f>
        <v>0.0224968194961548</v>
      </c>
      <c r="E450" s="15" t="n">
        <f aca="false">$C$2*(1+IF(E$3&lt;=$O$2,$D450,$D450-($D450-$I$427)*MIN(E$3-$O$2,$Q$2)/$Q$2))</f>
        <v>6912.07849979401</v>
      </c>
      <c r="F450" s="15" t="n">
        <f aca="false">E450*(1+IF(F$3&lt;=$O$2,$D450,$D450-($D450-$I$427)*MIN(F$3-$O$2,$Q$2)/$Q$2))</f>
        <v>7067.57828214713</v>
      </c>
      <c r="G450" s="15" t="n">
        <f aca="false">F450*(1+IF(G$3&lt;=$O$2,$D450,$D450-($D450-$I$427)*MIN(G$3-$O$2,$Q$2)/$Q$2))</f>
        <v>7226.57631503553</v>
      </c>
      <c r="H450" s="15" t="n">
        <f aca="false">G450*(1+IF(H$3&lt;=$O$2,$D450,$D450-($D450-$I$427)*MIN(H$3-$O$2,$Q$2)/$Q$2))</f>
        <v>7389.15129797007</v>
      </c>
      <c r="I450" s="15" t="n">
        <f aca="false">H450*(1+IF(I$3&lt;=$O$2,$D450,$D450-($D450-$I$427)*MIN(I$3-$O$2,$Q$2)/$Q$2))</f>
        <v>7555.38370095028</v>
      </c>
      <c r="J450" s="15" t="n">
        <f aca="false">I450*(1+IF(J$3&lt;=$O$2,$D450,$D450-($D450-$I$427)*MIN(J$3-$O$2,$Q$2)/$Q$2))</f>
        <v>7749.23562277514</v>
      </c>
      <c r="K450" s="15" t="n">
        <f aca="false">J450*(1+IF(K$3&lt;=$O$2,$D450,$D450-($D450-$I$427)*MIN(K$3-$O$2,$Q$2)/$Q$2))</f>
        <v>7972.5538055393</v>
      </c>
      <c r="L450" s="15" t="n">
        <f aca="false">K450*(1+IF(L$3&lt;=$O$2,$D450,$D450-($D450-$I$427)*MIN(L$3-$O$2,$Q$2)/$Q$2))</f>
        <v>8227.50593354523</v>
      </c>
      <c r="M450" s="15" t="n">
        <f aca="false">L450*(1+IF(M$3&lt;=$O$2,$D450,$D450-($D450-$I$427)*MIN(M$3-$O$2,$Q$2)/$Q$2))</f>
        <v>8516.61525852716</v>
      </c>
      <c r="N450" s="15" t="n">
        <f aca="false">M450*(1+IF(N$3&lt;=$O$2,$D450,$D450-($D450-$I$427)*MIN(N$3-$O$2,$Q$2)/$Q$2))</f>
        <v>8842.80162292875</v>
      </c>
      <c r="O450" s="15" t="n">
        <f aca="false">SUMPRODUCT(E450:N450,1/(1+$F$427)^$E$3:$N$3)*$E$2</f>
        <v>32218.0723017817</v>
      </c>
      <c r="P450" s="15" t="n">
        <f aca="false">N450*$E$2*(1+$I$427)/($F$427-$I$427)/(1+$F$427)^$N$3</f>
        <v>69341.7300940735</v>
      </c>
      <c r="Q450" s="15" t="n">
        <f aca="false">O450+P450</f>
        <v>101559.802395855</v>
      </c>
      <c r="R450" s="15" t="n">
        <f aca="false">Q450-$G$2+$I$2</f>
        <v>99969.8023958553</v>
      </c>
      <c r="S450" s="42" t="n">
        <f aca="false">R450/$K$2</f>
        <v>278.01825016924</v>
      </c>
      <c r="T450" s="43" t="n">
        <f aca="false">S450-$M$2</f>
        <v>-0.000549541533871434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0.0224968194961548</v>
      </c>
      <c r="C451" s="25" t="n">
        <f aca="false">IF(T450&gt;0,D450,C450)</f>
        <v>0.0224971771240234</v>
      </c>
      <c r="D451" s="41" t="n">
        <f aca="false">(B451+C451)/2</f>
        <v>0.0224969983100891</v>
      </c>
      <c r="E451" s="15" t="n">
        <f aca="false">$C$2*(1+IF(E$3&lt;=$O$2,$D451,$D451-($D451-$I$427)*MIN(E$3-$O$2,$Q$2)/$Q$2))</f>
        <v>6912.0797085762</v>
      </c>
      <c r="F451" s="15" t="n">
        <f aca="false">E451*(1+IF(F$3&lt;=$O$2,$D451,$D451-($D451-$I$427)*MIN(F$3-$O$2,$Q$2)/$Q$2))</f>
        <v>7067.58075409924</v>
      </c>
      <c r="G451" s="15" t="n">
        <f aca="false">F451*(1+IF(G$3&lt;=$O$2,$D451,$D451-($D451-$I$427)*MIN(G$3-$O$2,$Q$2)/$Q$2))</f>
        <v>7226.58010638063</v>
      </c>
      <c r="H451" s="15" t="n">
        <f aca="false">G451*(1+IF(H$3&lt;=$O$2,$D451,$D451-($D451-$I$427)*MIN(H$3-$O$2,$Q$2)/$Q$2))</f>
        <v>7389.1564668216</v>
      </c>
      <c r="I451" s="15" t="n">
        <f aca="false">H451*(1+IF(I$3&lt;=$O$2,$D451,$D451-($D451-$I$427)*MIN(I$3-$O$2,$Q$2)/$Q$2))</f>
        <v>7555.39030736867</v>
      </c>
      <c r="J451" s="15" t="n">
        <f aca="false">I451*(1+IF(J$3&lt;=$O$2,$D451,$D451-($D451-$I$427)*MIN(J$3-$O$2,$Q$2)/$Q$2))</f>
        <v>7749.24347950467</v>
      </c>
      <c r="K451" s="15" t="n">
        <f aca="false">J451*(1+IF(K$3&lt;=$O$2,$D451,$D451-($D451-$I$427)*MIN(K$3-$O$2,$Q$2)/$Q$2))</f>
        <v>7972.56272008841</v>
      </c>
      <c r="L451" s="15" t="n">
        <f aca="false">K451*(1+IF(L$3&lt;=$O$2,$D451,$D451-($D451-$I$427)*MIN(L$3-$O$2,$Q$2)/$Q$2))</f>
        <v>8227.5157034124</v>
      </c>
      <c r="M451" s="15" t="n">
        <f aca="false">L451*(1+IF(M$3&lt;=$O$2,$D451,$D451-($D451-$I$427)*MIN(M$3-$O$2,$Q$2)/$Q$2))</f>
        <v>8516.62566594014</v>
      </c>
      <c r="N451" s="15" t="n">
        <f aca="false">M451*(1+IF(N$3&lt;=$O$2,$D451,$D451-($D451-$I$427)*MIN(N$3-$O$2,$Q$2)/$Q$2))</f>
        <v>8842.81242894565</v>
      </c>
      <c r="O451" s="15" t="n">
        <f aca="false">SUMPRODUCT(E451:N451,1/(1+$F$427)^$E$3:$N$3)*$E$2</f>
        <v>32218.0977156826</v>
      </c>
      <c r="P451" s="15" t="n">
        <f aca="false">N451*$E$2*(1+$I$427)/($F$427-$I$427)/(1+$F$427)^$N$3</f>
        <v>69341.8148305562</v>
      </c>
      <c r="Q451" s="15" t="n">
        <f aca="false">O451+P451</f>
        <v>101559.912546239</v>
      </c>
      <c r="R451" s="15" t="n">
        <f aca="false">Q451-$G$2+$I$2</f>
        <v>99969.9125462388</v>
      </c>
      <c r="S451" s="42" t="n">
        <f aca="false">R451/$K$2</f>
        <v>278.018556499913</v>
      </c>
      <c r="T451" s="43" t="n">
        <f aca="false">S451-$M$2</f>
        <v>-0.000243210860503496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0.0224969983100891</v>
      </c>
      <c r="C452" s="25" t="n">
        <f aca="false">IF(T451&gt;0,D451,C451)</f>
        <v>0.0224971771240234</v>
      </c>
      <c r="D452" s="41" t="n">
        <f aca="false">(B452+C452)/2</f>
        <v>0.0224970877170563</v>
      </c>
      <c r="E452" s="15" t="n">
        <f aca="false">$C$2*(1+IF(E$3&lt;=$O$2,$D452,$D452-($D452-$I$427)*MIN(E$3-$O$2,$Q$2)/$Q$2))</f>
        <v>6912.0803129673</v>
      </c>
      <c r="F452" s="15" t="n">
        <f aca="false">E452*(1+IF(F$3&lt;=$O$2,$D452,$D452-($D452-$I$427)*MIN(F$3-$O$2,$Q$2)/$Q$2))</f>
        <v>7067.58199007546</v>
      </c>
      <c r="G452" s="15" t="n">
        <f aca="false">F452*(1+IF(G$3&lt;=$O$2,$D452,$D452-($D452-$I$427)*MIN(G$3-$O$2,$Q$2)/$Q$2))</f>
        <v>7226.58200205368</v>
      </c>
      <c r="H452" s="15" t="n">
        <f aca="false">G452*(1+IF(H$3&lt;=$O$2,$D452,$D452-($D452-$I$427)*MIN(H$3-$O$2,$Q$2)/$Q$2))</f>
        <v>7389.15905124838</v>
      </c>
      <c r="I452" s="15" t="n">
        <f aca="false">H452*(1+IF(I$3&lt;=$O$2,$D452,$D452-($D452-$I$427)*MIN(I$3-$O$2,$Q$2)/$Q$2))</f>
        <v>7555.39361057959</v>
      </c>
      <c r="J452" s="15" t="n">
        <f aca="false">I452*(1+IF(J$3&lt;=$O$2,$D452,$D452-($D452-$I$427)*MIN(J$3-$O$2,$Q$2)/$Q$2))</f>
        <v>7749.24740787191</v>
      </c>
      <c r="K452" s="15" t="n">
        <f aca="false">J452*(1+IF(K$3&lt;=$O$2,$D452,$D452-($D452-$I$427)*MIN(K$3-$O$2,$Q$2)/$Q$2))</f>
        <v>7972.56717736615</v>
      </c>
      <c r="L452" s="15" t="n">
        <f aca="false">K452*(1+IF(L$3&lt;=$O$2,$D452,$D452-($D452-$I$427)*MIN(L$3-$O$2,$Q$2)/$Q$2))</f>
        <v>8227.52058834975</v>
      </c>
      <c r="M452" s="15" t="n">
        <f aca="false">L452*(1+IF(M$3&lt;=$O$2,$D452,$D452-($D452-$I$427)*MIN(M$3-$O$2,$Q$2)/$Q$2))</f>
        <v>8516.63086965079</v>
      </c>
      <c r="N452" s="15" t="n">
        <f aca="false">M452*(1+IF(N$3&lt;=$O$2,$D452,$D452-($D452-$I$427)*MIN(N$3-$O$2,$Q$2)/$Q$2))</f>
        <v>8842.81783195841</v>
      </c>
      <c r="O452" s="15" t="n">
        <f aca="false">SUMPRODUCT(E452:N452,1/(1+$F$427)^$E$3:$N$3)*$E$2</f>
        <v>32218.1104226406</v>
      </c>
      <c r="P452" s="15" t="n">
        <f aca="false">N452*$E$2*(1+$I$427)/($F$427-$I$427)/(1+$F$427)^$N$3</f>
        <v>69341.8571988315</v>
      </c>
      <c r="Q452" s="15" t="n">
        <f aca="false">O452+P452</f>
        <v>101559.967621472</v>
      </c>
      <c r="R452" s="15" t="n">
        <f aca="false">Q452-$G$2+$I$2</f>
        <v>99969.9676214721</v>
      </c>
      <c r="S452" s="42" t="n">
        <f aca="false">R452/$K$2</f>
        <v>278.018709665365</v>
      </c>
      <c r="T452" s="43" t="n">
        <f aca="false">S452-$M$2</f>
        <v>-9.00454083989644E-005</v>
      </c>
    </row>
    <row r="454" customFormat="false" ht="15" hidden="false" customHeight="false" outlineLevel="0" collapsed="false">
      <c r="A454" s="38" t="s">
        <v>202</v>
      </c>
      <c r="E454" s="5" t="s">
        <v>11</v>
      </c>
      <c r="F454" s="12" t="n">
        <f aca="false">Sensitivity!$B$13</f>
        <v>0.0824202832668642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167</v>
      </c>
      <c r="B455" s="28" t="s">
        <v>168</v>
      </c>
      <c r="C455" s="28" t="s">
        <v>169</v>
      </c>
      <c r="D455" s="28" t="s">
        <v>170</v>
      </c>
      <c r="E455" s="28" t="s">
        <v>171</v>
      </c>
      <c r="F455" s="28" t="s">
        <v>172</v>
      </c>
      <c r="G455" s="28" t="s">
        <v>173</v>
      </c>
      <c r="H455" s="28" t="s">
        <v>174</v>
      </c>
      <c r="I455" s="28" t="s">
        <v>175</v>
      </c>
      <c r="J455" s="28" t="s">
        <v>176</v>
      </c>
      <c r="K455" s="28" t="s">
        <v>177</v>
      </c>
      <c r="L455" s="28" t="s">
        <v>178</v>
      </c>
      <c r="M455" s="28" t="s">
        <v>179</v>
      </c>
      <c r="N455" s="28" t="s">
        <v>180</v>
      </c>
      <c r="O455" s="28" t="s">
        <v>181</v>
      </c>
      <c r="P455" s="28" t="s">
        <v>182</v>
      </c>
      <c r="Q455" s="28" t="s">
        <v>183</v>
      </c>
      <c r="R455" s="28" t="s">
        <v>184</v>
      </c>
      <c r="S455" s="28" t="s">
        <v>185</v>
      </c>
      <c r="T455" s="28" t="s">
        <v>186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8450</v>
      </c>
      <c r="F456" s="15" t="n">
        <f aca="false">E456*(1+IF(F$3&lt;=$O$2,$D456,$D456-($D456-$I$454)*MIN(F$3-$O$2,$Q$2)/$Q$2))</f>
        <v>10562.5</v>
      </c>
      <c r="G456" s="15" t="n">
        <f aca="false">F456*(1+IF(G$3&lt;=$O$2,$D456,$D456-($D456-$I$454)*MIN(G$3-$O$2,$Q$2)/$Q$2))</f>
        <v>13203.125</v>
      </c>
      <c r="H456" s="15" t="n">
        <f aca="false">G456*(1+IF(H$3&lt;=$O$2,$D456,$D456-($D456-$I$454)*MIN(H$3-$O$2,$Q$2)/$Q$2))</f>
        <v>16503.90625</v>
      </c>
      <c r="I456" s="15" t="n">
        <f aca="false">H456*(1+IF(I$3&lt;=$O$2,$D456,$D456-($D456-$I$454)*MIN(I$3-$O$2,$Q$2)/$Q$2))</f>
        <v>20629.8828125</v>
      </c>
      <c r="J456" s="15" t="n">
        <f aca="false">I456*(1+IF(J$3&lt;=$O$2,$D456,$D456-($D456-$I$454)*MIN(J$3-$O$2,$Q$2)/$Q$2))</f>
        <v>24831.3647460938</v>
      </c>
      <c r="K456" s="15" t="n">
        <f aca="false">J456*(1+IF(K$3&lt;=$O$2,$D456,$D456-($D456-$I$454)*MIN(K$3-$O$2,$Q$2)/$Q$2))</f>
        <v>28737.8350479492</v>
      </c>
      <c r="L456" s="15" t="n">
        <f aca="false">K456*(1+IF(L$3&lt;=$O$2,$D456,$D456-($D456-$I$454)*MIN(L$3-$O$2,$Q$2)/$Q$2))</f>
        <v>31927.1599815706</v>
      </c>
      <c r="M456" s="15" t="n">
        <f aca="false">L456*(1+IF(M$3&lt;=$O$2,$D456,$D456-($D456-$I$454)*MIN(M$3-$O$2,$Q$2)/$Q$2))</f>
        <v>33990.9316027794</v>
      </c>
      <c r="N456" s="15" t="n">
        <f aca="false">M456*(1+IF(N$3&lt;=$O$2,$D456,$D456-($D456-$I$454)*MIN(N$3-$O$2,$Q$2)/$Q$2))</f>
        <v>34612.9656511102</v>
      </c>
      <c r="O456" s="15" t="n">
        <f aca="false">SUMPRODUCT(E456:N456,1/(1+$F$454)^$E$3:$N$3)*$E$2</f>
        <v>83684.1779347508</v>
      </c>
      <c r="P456" s="15" t="n">
        <f aca="false">N456*$E$2*(1+$I$454)/($F$454-$I$454)/(1+$F$454)^$N$3</f>
        <v>155058.402210241</v>
      </c>
      <c r="Q456" s="15" t="n">
        <f aca="false">O456+P456</f>
        <v>238742.580144992</v>
      </c>
      <c r="R456" s="15" t="n">
        <f aca="false">Q456-$G$2+$I$2</f>
        <v>237152.580144992</v>
      </c>
      <c r="S456" s="42" t="n">
        <f aca="false">R456/$K$2</f>
        <v>659.526614786674</v>
      </c>
      <c r="T456" s="43" t="n">
        <f aca="false">S456-$M$2</f>
        <v>381.507815075901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5915</v>
      </c>
      <c r="F457" s="15" t="n">
        <f aca="false">E457*(1+IF(F$3&lt;=$O$2,$D457,$D457-($D457-$I$454)*MIN(F$3-$O$2,$Q$2)/$Q$2))</f>
        <v>5175.625</v>
      </c>
      <c r="G457" s="15" t="n">
        <f aca="false">F457*(1+IF(G$3&lt;=$O$2,$D457,$D457-($D457-$I$454)*MIN(G$3-$O$2,$Q$2)/$Q$2))</f>
        <v>4528.671875</v>
      </c>
      <c r="H457" s="15" t="n">
        <f aca="false">G457*(1+IF(H$3&lt;=$O$2,$D457,$D457-($D457-$I$454)*MIN(H$3-$O$2,$Q$2)/$Q$2))</f>
        <v>3962.587890625</v>
      </c>
      <c r="I457" s="15" t="n">
        <f aca="false">H457*(1+IF(I$3&lt;=$O$2,$D457,$D457-($D457-$I$454)*MIN(I$3-$O$2,$Q$2)/$Q$2))</f>
        <v>3467.26440429688</v>
      </c>
      <c r="J457" s="15" t="n">
        <f aca="false">I457*(1+IF(J$3&lt;=$O$2,$D457,$D457-($D457-$I$454)*MIN(J$3-$O$2,$Q$2)/$Q$2))</f>
        <v>3133.22815158691</v>
      </c>
      <c r="K457" s="15" t="n">
        <f aca="false">J457*(1+IF(K$3&lt;=$O$2,$D457,$D457-($D457-$I$454)*MIN(K$3-$O$2,$Q$2)/$Q$2))</f>
        <v>2921.17127028751</v>
      </c>
      <c r="L457" s="15" t="n">
        <f aca="false">K457*(1+IF(L$3&lt;=$O$2,$D457,$D457-($D457-$I$454)*MIN(L$3-$O$2,$Q$2)/$Q$2))</f>
        <v>2807.18716732089</v>
      </c>
      <c r="M457" s="15" t="n">
        <f aca="false">L457*(1+IF(M$3&lt;=$O$2,$D457,$D457-($D457-$I$454)*MIN(M$3-$O$2,$Q$2)/$Q$2))</f>
        <v>2778.10470826745</v>
      </c>
      <c r="N457" s="15" t="n">
        <f aca="false">M457*(1+IF(N$3&lt;=$O$2,$D457,$D457-($D457-$I$454)*MIN(N$3-$O$2,$Q$2)/$Q$2))</f>
        <v>2828.94402442874</v>
      </c>
      <c r="O457" s="15" t="n">
        <f aca="false">SUMPRODUCT(E457:N457,1/(1+$F$454)^$E$3:$N$3)*$E$2</f>
        <v>16461.5561681913</v>
      </c>
      <c r="P457" s="15" t="n">
        <f aca="false">N457*$E$2*(1+$I$454)/($F$454-$I$454)/(1+$F$454)^$N$3</f>
        <v>12673.0412178958</v>
      </c>
      <c r="Q457" s="15" t="n">
        <f aca="false">O457+P457</f>
        <v>29134.5973860871</v>
      </c>
      <c r="R457" s="15" t="n">
        <f aca="false">Q457-$G$2+$I$2</f>
        <v>27544.5973860871</v>
      </c>
      <c r="S457" s="42" t="n">
        <f aca="false">R457/$K$2</f>
        <v>76.6021396798685</v>
      </c>
      <c r="T457" s="43" t="n">
        <f aca="false">S457-$M$2</f>
        <v>-201.416660030905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7182.5</v>
      </c>
      <c r="F458" s="15" t="n">
        <f aca="false">E458*(1+IF(F$3&lt;=$O$2,$D458,$D458-($D458-$I$454)*MIN(F$3-$O$2,$Q$2)/$Q$2))</f>
        <v>7631.40625</v>
      </c>
      <c r="G458" s="15" t="n">
        <f aca="false">F458*(1+IF(G$3&lt;=$O$2,$D458,$D458-($D458-$I$454)*MIN(G$3-$O$2,$Q$2)/$Q$2))</f>
        <v>8108.369140625</v>
      </c>
      <c r="H458" s="15" t="n">
        <f aca="false">G458*(1+IF(H$3&lt;=$O$2,$D458,$D458-($D458-$I$454)*MIN(H$3-$O$2,$Q$2)/$Q$2))</f>
        <v>8615.14221191406</v>
      </c>
      <c r="I458" s="15" t="n">
        <f aca="false">H458*(1+IF(I$3&lt;=$O$2,$D458,$D458-($D458-$I$454)*MIN(I$3-$O$2,$Q$2)/$Q$2))</f>
        <v>9153.58860015869</v>
      </c>
      <c r="J458" s="15" t="n">
        <f aca="false">I458*(1+IF(J$3&lt;=$O$2,$D458,$D458-($D458-$I$454)*MIN(J$3-$O$2,$Q$2)/$Q$2))</f>
        <v>9644.77016444321</v>
      </c>
      <c r="K458" s="15" t="n">
        <f aca="false">J458*(1+IF(K$3&lt;=$O$2,$D458,$D458-($D458-$I$454)*MIN(K$3-$O$2,$Q$2)/$Q$2))</f>
        <v>10077.0487632136</v>
      </c>
      <c r="L458" s="15" t="n">
        <f aca="false">K458*(1+IF(L$3&lt;=$O$2,$D458,$D458-($D458-$I$454)*MIN(L$3-$O$2,$Q$2)/$Q$2))</f>
        <v>10439.620977714</v>
      </c>
      <c r="M458" s="15" t="n">
        <f aca="false">L458*(1+IF(M$3&lt;=$O$2,$D458,$D458-($D458-$I$454)*MIN(M$3-$O$2,$Q$2)/$Q$2))</f>
        <v>10722.9522910491</v>
      </c>
      <c r="N458" s="15" t="n">
        <f aca="false">M458*(1+IF(N$3&lt;=$O$2,$D458,$D458-($D458-$I$454)*MIN(N$3-$O$2,$Q$2)/$Q$2))</f>
        <v>10919.1823179753</v>
      </c>
      <c r="O458" s="15" t="n">
        <f aca="false">SUMPRODUCT(E458:N458,1/(1+$F$454)^$E$3:$N$3)*$E$2</f>
        <v>37059.9844961415</v>
      </c>
      <c r="P458" s="15" t="n">
        <f aca="false">N458*$E$2*(1+$I$454)/($F$454-$I$454)/(1+$F$454)^$N$3</f>
        <v>48915.512780202</v>
      </c>
      <c r="Q458" s="15" t="n">
        <f aca="false">O458+P458</f>
        <v>85975.4972763435</v>
      </c>
      <c r="R458" s="15" t="n">
        <f aca="false">Q458-$G$2+$I$2</f>
        <v>84385.4972763435</v>
      </c>
      <c r="S458" s="42" t="n">
        <f aca="false">R458/$K$2</f>
        <v>234.677950042671</v>
      </c>
      <c r="T458" s="43" t="n">
        <f aca="false">S458-$M$2</f>
        <v>-43.3408496681031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7816.25</v>
      </c>
      <c r="F459" s="15" t="n">
        <f aca="false">E459*(1+IF(F$3&lt;=$O$2,$D459,$D459-($D459-$I$454)*MIN(F$3-$O$2,$Q$2)/$Q$2))</f>
        <v>9037.5390625</v>
      </c>
      <c r="G459" s="15" t="n">
        <f aca="false">F459*(1+IF(G$3&lt;=$O$2,$D459,$D459-($D459-$I$454)*MIN(G$3-$O$2,$Q$2)/$Q$2))</f>
        <v>10449.6545410156</v>
      </c>
      <c r="H459" s="15" t="n">
        <f aca="false">G459*(1+IF(H$3&lt;=$O$2,$D459,$D459-($D459-$I$454)*MIN(H$3-$O$2,$Q$2)/$Q$2))</f>
        <v>12082.4130630493</v>
      </c>
      <c r="I459" s="15" t="n">
        <f aca="false">H459*(1+IF(I$3&lt;=$O$2,$D459,$D459-($D459-$I$454)*MIN(I$3-$O$2,$Q$2)/$Q$2))</f>
        <v>13970.2901041508</v>
      </c>
      <c r="J459" s="15" t="n">
        <f aca="false">I459*(1+IF(J$3&lt;=$O$2,$D459,$D459-($D459-$I$454)*MIN(J$3-$O$2,$Q$2)/$Q$2))</f>
        <v>15767.7076289508</v>
      </c>
      <c r="K459" s="15" t="n">
        <f aca="false">J459*(1+IF(K$3&lt;=$O$2,$D459,$D459-($D459-$I$454)*MIN(K$3-$O$2,$Q$2)/$Q$2))</f>
        <v>17361.3498390089</v>
      </c>
      <c r="L459" s="15" t="n">
        <f aca="false">K459*(1+IF(L$3&lt;=$O$2,$D459,$D459-($D459-$I$454)*MIN(L$3-$O$2,$Q$2)/$Q$2))</f>
        <v>18637.0618251792</v>
      </c>
      <c r="M459" s="15" t="n">
        <f aca="false">L459*(1+IF(M$3&lt;=$O$2,$D459,$D459-($D459-$I$454)*MIN(M$3-$O$2,$Q$2)/$Q$2))</f>
        <v>19492.3165923367</v>
      </c>
      <c r="N459" s="15" t="n">
        <f aca="false">M459*(1+IF(N$3&lt;=$O$2,$D459,$D459-($D459-$I$454)*MIN(N$3-$O$2,$Q$2)/$Q$2))</f>
        <v>19849.0259859765</v>
      </c>
      <c r="O459" s="15" t="n">
        <f aca="false">SUMPRODUCT(E459:N459,1/(1+$F$454)^$E$3:$N$3)*$E$2</f>
        <v>55796.241256786</v>
      </c>
      <c r="P459" s="15" t="n">
        <f aca="false">N459*$E$2*(1+$I$454)/($F$454-$I$454)/(1+$F$454)^$N$3</f>
        <v>88919.2300318351</v>
      </c>
      <c r="Q459" s="15" t="n">
        <f aca="false">O459+P459</f>
        <v>144715.471288621</v>
      </c>
      <c r="R459" s="15" t="n">
        <f aca="false">Q459-$G$2+$I$2</f>
        <v>143125.471288621</v>
      </c>
      <c r="S459" s="42" t="n">
        <f aca="false">R459/$K$2</f>
        <v>398.035127895381</v>
      </c>
      <c r="T459" s="43" t="n">
        <f aca="false">S459-$M$2</f>
        <v>120.016328184607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41" t="n">
        <f aca="false">(B460+C460)/2</f>
        <v>0.109375</v>
      </c>
      <c r="E460" s="15" t="n">
        <f aca="false">$C$2*(1+IF(E$3&lt;=$O$2,$D460,$D460-($D460-$I$454)*MIN(E$3-$O$2,$Q$2)/$Q$2))</f>
        <v>7499.375</v>
      </c>
      <c r="F460" s="15" t="n">
        <f aca="false">E460*(1+IF(F$3&lt;=$O$2,$D460,$D460-($D460-$I$454)*MIN(F$3-$O$2,$Q$2)/$Q$2))</f>
        <v>8319.619140625</v>
      </c>
      <c r="G460" s="15" t="n">
        <f aca="false">F460*(1+IF(G$3&lt;=$O$2,$D460,$D460-($D460-$I$454)*MIN(G$3-$O$2,$Q$2)/$Q$2))</f>
        <v>9229.57748413086</v>
      </c>
      <c r="H460" s="15" t="n">
        <f aca="false">G460*(1+IF(H$3&lt;=$O$2,$D460,$D460-($D460-$I$454)*MIN(H$3-$O$2,$Q$2)/$Q$2))</f>
        <v>10239.0625214577</v>
      </c>
      <c r="I460" s="15" t="n">
        <f aca="false">H460*(1+IF(I$3&lt;=$O$2,$D460,$D460-($D460-$I$454)*MIN(I$3-$O$2,$Q$2)/$Q$2))</f>
        <v>11358.9599847421</v>
      </c>
      <c r="J460" s="15" t="n">
        <f aca="false">I460*(1+IF(J$3&lt;=$O$2,$D460,$D460-($D460-$I$454)*MIN(J$3-$O$2,$Q$2)/$Q$2))</f>
        <v>12394.4427769512</v>
      </c>
      <c r="K460" s="15" t="n">
        <f aca="false">J460*(1+IF(K$3&lt;=$O$2,$D460,$D460-($D460-$I$454)*MIN(K$3-$O$2,$Q$2)/$Q$2))</f>
        <v>13298.5554053159</v>
      </c>
      <c r="L460" s="15" t="n">
        <f aca="false">K460*(1+IF(L$3&lt;=$O$2,$D460,$D460-($D460-$I$454)*MIN(L$3-$O$2,$Q$2)/$Q$2))</f>
        <v>14026.3853426488</v>
      </c>
      <c r="M460" s="15" t="n">
        <f aca="false">L460*(1+IF(M$3&lt;=$O$2,$D460,$D460-($D460-$I$454)*MIN(M$3-$O$2,$Q$2)/$Q$2))</f>
        <v>14538.5588034357</v>
      </c>
      <c r="N460" s="15" t="n">
        <f aca="false">M460*(1+IF(N$3&lt;=$O$2,$D460,$D460-($D460-$I$454)*MIN(N$3-$O$2,$Q$2)/$Q$2))</f>
        <v>14804.6144295385</v>
      </c>
      <c r="O460" s="15" t="n">
        <f aca="false">SUMPRODUCT(E460:N460,1/(1+$F$454)^$E$3:$N$3)*$E$2</f>
        <v>45483.454454356</v>
      </c>
      <c r="P460" s="15" t="n">
        <f aca="false">N460*$E$2*(1+$I$454)/($F$454-$I$454)/(1+$F$454)^$N$3</f>
        <v>66321.3860933439</v>
      </c>
      <c r="Q460" s="15" t="n">
        <f aca="false">O460+P460</f>
        <v>111804.8405477</v>
      </c>
      <c r="R460" s="15" t="n">
        <f aca="false">Q460-$G$2+$I$2</f>
        <v>110214.8405477</v>
      </c>
      <c r="S460" s="42" t="n">
        <f aca="false">R460/$K$2</f>
        <v>306.50992977279</v>
      </c>
      <c r="T460" s="43" t="n">
        <f aca="false">S460-$M$2</f>
        <v>28.4911300620165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0.0625</v>
      </c>
      <c r="C461" s="25" t="n">
        <f aca="false">IF(T460&gt;0,D460,C460)</f>
        <v>0.109375</v>
      </c>
      <c r="D461" s="41" t="n">
        <f aca="false">(B461+C461)/2</f>
        <v>0.0859375</v>
      </c>
      <c r="E461" s="15" t="n">
        <f aca="false">$C$2*(1+IF(E$3&lt;=$O$2,$D461,$D461-($D461-$I$454)*MIN(E$3-$O$2,$Q$2)/$Q$2))</f>
        <v>7340.9375</v>
      </c>
      <c r="F461" s="15" t="n">
        <f aca="false">E461*(1+IF(F$3&lt;=$O$2,$D461,$D461-($D461-$I$454)*MIN(F$3-$O$2,$Q$2)/$Q$2))</f>
        <v>7971.79931640625</v>
      </c>
      <c r="G461" s="15" t="n">
        <f aca="false">F461*(1+IF(G$3&lt;=$O$2,$D461,$D461-($D461-$I$454)*MIN(G$3-$O$2,$Q$2)/$Q$2))</f>
        <v>8656.87582015991</v>
      </c>
      <c r="H461" s="15" t="n">
        <f aca="false">G461*(1+IF(H$3&lt;=$O$2,$D461,$D461-($D461-$I$454)*MIN(H$3-$O$2,$Q$2)/$Q$2))</f>
        <v>9400.82608595491</v>
      </c>
      <c r="I461" s="15" t="n">
        <f aca="false">H461*(1+IF(I$3&lt;=$O$2,$D461,$D461-($D461-$I$454)*MIN(I$3-$O$2,$Q$2)/$Q$2))</f>
        <v>10208.7095777167</v>
      </c>
      <c r="J461" s="15" t="n">
        <f aca="false">I461*(1+IF(J$3&lt;=$O$2,$D461,$D461-($D461-$I$454)*MIN(J$3-$O$2,$Q$2)/$Q$2))</f>
        <v>10947.9222382391</v>
      </c>
      <c r="K461" s="15" t="n">
        <f aca="false">J461*(1+IF(K$3&lt;=$O$2,$D461,$D461-($D461-$I$454)*MIN(K$3-$O$2,$Q$2)/$Q$2))</f>
        <v>11592.5632694322</v>
      </c>
      <c r="L461" s="15" t="n">
        <f aca="false">K461*(1+IF(L$3&lt;=$O$2,$D461,$D461-($D461-$I$454)*MIN(L$3-$O$2,$Q$2)/$Q$2))</f>
        <v>12118.3439765173</v>
      </c>
      <c r="M461" s="15" t="n">
        <f aca="false">L461*(1+IF(M$3&lt;=$O$2,$D461,$D461-($D461-$I$454)*MIN(M$3-$O$2,$Q$2)/$Q$2))</f>
        <v>12504.0405694299</v>
      </c>
      <c r="N461" s="15" t="n">
        <f aca="false">M461*(1+IF(N$3&lt;=$O$2,$D461,$D461-($D461-$I$454)*MIN(N$3-$O$2,$Q$2)/$Q$2))</f>
        <v>12732.8645118505</v>
      </c>
      <c r="O461" s="15" t="n">
        <f aca="false">SUMPRODUCT(E461:N461,1/(1+$F$454)^$E$3:$N$3)*$E$2</f>
        <v>41057.1366231697</v>
      </c>
      <c r="P461" s="15" t="n">
        <f aca="false">N461*$E$2*(1+$I$454)/($F$454-$I$454)/(1+$F$454)^$N$3</f>
        <v>57040.4063803096</v>
      </c>
      <c r="Q461" s="15" t="n">
        <f aca="false">O461+P461</f>
        <v>98097.5430034794</v>
      </c>
      <c r="R461" s="15" t="n">
        <f aca="false">Q461-$G$2+$I$2</f>
        <v>96507.5430034794</v>
      </c>
      <c r="S461" s="42" t="n">
        <f aca="false">R461/$K$2</f>
        <v>268.389629577505</v>
      </c>
      <c r="T461" s="43" t="n">
        <f aca="false">S461-$M$2</f>
        <v>-9.62917013326836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0.0859375</v>
      </c>
      <c r="C462" s="25" t="n">
        <f aca="false">IF(T461&gt;0,D461,C461)</f>
        <v>0.109375</v>
      </c>
      <c r="D462" s="41" t="n">
        <f aca="false">(B462+C462)/2</f>
        <v>0.09765625</v>
      </c>
      <c r="E462" s="15" t="n">
        <f aca="false">$C$2*(1+IF(E$3&lt;=$O$2,$D462,$D462-($D462-$I$454)*MIN(E$3-$O$2,$Q$2)/$Q$2))</f>
        <v>7420.15625</v>
      </c>
      <c r="F462" s="15" t="n">
        <f aca="false">E462*(1+IF(F$3&lt;=$O$2,$D462,$D462-($D462-$I$454)*MIN(F$3-$O$2,$Q$2)/$Q$2))</f>
        <v>8144.78088378906</v>
      </c>
      <c r="G462" s="15" t="n">
        <f aca="false">F462*(1+IF(G$3&lt;=$O$2,$D462,$D462-($D462-$I$454)*MIN(G$3-$O$2,$Q$2)/$Q$2))</f>
        <v>8940.16964197159</v>
      </c>
      <c r="H462" s="15" t="n">
        <f aca="false">G462*(1+IF(H$3&lt;=$O$2,$D462,$D462-($D462-$I$454)*MIN(H$3-$O$2,$Q$2)/$Q$2))</f>
        <v>9813.23308357038</v>
      </c>
      <c r="I462" s="15" t="n">
        <f aca="false">H462*(1+IF(I$3&lt;=$O$2,$D462,$D462-($D462-$I$454)*MIN(I$3-$O$2,$Q$2)/$Q$2))</f>
        <v>10771.5566268878</v>
      </c>
      <c r="J462" s="15" t="n">
        <f aca="false">I462*(1+IF(J$3&lt;=$O$2,$D462,$D462-($D462-$I$454)*MIN(J$3-$O$2,$Q$2)/$Q$2))</f>
        <v>11652.5083856178</v>
      </c>
      <c r="K462" s="15" t="n">
        <f aca="false">J462*(1+IF(K$3&lt;=$O$2,$D462,$D462-($D462-$I$454)*MIN(K$3-$O$2,$Q$2)/$Q$2))</f>
        <v>12420.5689102203</v>
      </c>
      <c r="L462" s="15" t="n">
        <f aca="false">K462*(1+IF(L$3&lt;=$O$2,$D462,$D462-($D462-$I$454)*MIN(L$3-$O$2,$Q$2)/$Q$2))</f>
        <v>13042.12522991</v>
      </c>
      <c r="M462" s="15" t="n">
        <f aca="false">L462*(1+IF(M$3&lt;=$O$2,$D462,$D462-($D462-$I$454)*MIN(M$3-$O$2,$Q$2)/$Q$2))</f>
        <v>13487.7909516726</v>
      </c>
      <c r="N462" s="15" t="n">
        <f aca="false">M462*(1+IF(N$3&lt;=$O$2,$D462,$D462-($D462-$I$454)*MIN(N$3-$O$2,$Q$2)/$Q$2))</f>
        <v>13734.6175260882</v>
      </c>
      <c r="O462" s="15" t="n">
        <f aca="false">SUMPRODUCT(E462:N462,1/(1+$F$454)^$E$3:$N$3)*$E$2</f>
        <v>43214.0882989487</v>
      </c>
      <c r="P462" s="15" t="n">
        <f aca="false">N462*$E$2*(1+$I$454)/($F$454-$I$454)/(1+$F$454)^$N$3</f>
        <v>61528.037499893</v>
      </c>
      <c r="Q462" s="15" t="n">
        <f aca="false">O462+P462</f>
        <v>104742.125798842</v>
      </c>
      <c r="R462" s="15" t="n">
        <f aca="false">Q462-$G$2+$I$2</f>
        <v>103152.125798842</v>
      </c>
      <c r="S462" s="42" t="n">
        <f aca="false">R462/$K$2</f>
        <v>286.868362530846</v>
      </c>
      <c r="T462" s="43" t="n">
        <f aca="false">S462-$M$2</f>
        <v>8.84956282007255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0.0859375</v>
      </c>
      <c r="C463" s="25" t="n">
        <f aca="false">IF(T462&gt;0,D462,C462)</f>
        <v>0.09765625</v>
      </c>
      <c r="D463" s="41" t="n">
        <f aca="false">(B463+C463)/2</f>
        <v>0.091796875</v>
      </c>
      <c r="E463" s="15" t="n">
        <f aca="false">$C$2*(1+IF(E$3&lt;=$O$2,$D463,$D463-($D463-$I$454)*MIN(E$3-$O$2,$Q$2)/$Q$2))</f>
        <v>7380.546875</v>
      </c>
      <c r="F463" s="15" t="n">
        <f aca="false">E463*(1+IF(F$3&lt;=$O$2,$D463,$D463-($D463-$I$454)*MIN(F$3-$O$2,$Q$2)/$Q$2))</f>
        <v>8058.05801391602</v>
      </c>
      <c r="G463" s="15" t="n">
        <f aca="false">F463*(1+IF(G$3&lt;=$O$2,$D463,$D463-($D463-$I$454)*MIN(G$3-$O$2,$Q$2)/$Q$2))</f>
        <v>8797.76255816221</v>
      </c>
      <c r="H463" s="15" t="n">
        <f aca="false">G463*(1+IF(H$3&lt;=$O$2,$D463,$D463-($D463-$I$454)*MIN(H$3-$O$2,$Q$2)/$Q$2))</f>
        <v>9605.36966799351</v>
      </c>
      <c r="I463" s="15" t="n">
        <f aca="false">H463*(1+IF(I$3&lt;=$O$2,$D463,$D463-($D463-$I$454)*MIN(I$3-$O$2,$Q$2)/$Q$2))</f>
        <v>10487.1125867351</v>
      </c>
      <c r="J463" s="15" t="n">
        <f aca="false">I463*(1+IF(J$3&lt;=$O$2,$D463,$D463-($D463-$I$454)*MIN(J$3-$O$2,$Q$2)/$Q$2))</f>
        <v>11295.6427493909</v>
      </c>
      <c r="K463" s="15" t="n">
        <f aca="false">J463*(1+IF(K$3&lt;=$O$2,$D463,$D463-($D463-$I$454)*MIN(K$3-$O$2,$Q$2)/$Q$2))</f>
        <v>12000.4696776227</v>
      </c>
      <c r="L463" s="15" t="n">
        <f aca="false">K463*(1+IF(L$3&lt;=$O$2,$D463,$D463-($D463-$I$454)*MIN(L$3-$O$2,$Q$2)/$Q$2))</f>
        <v>12572.8770806583</v>
      </c>
      <c r="M463" s="15" t="n">
        <f aca="false">L463*(1+IF(M$3&lt;=$O$2,$D463,$D463-($D463-$I$454)*MIN(M$3-$O$2,$Q$2)/$Q$2))</f>
        <v>12987.7741662718</v>
      </c>
      <c r="N463" s="15" t="n">
        <f aca="false">M463*(1+IF(N$3&lt;=$O$2,$D463,$D463-($D463-$I$454)*MIN(N$3-$O$2,$Q$2)/$Q$2))</f>
        <v>13225.4504335146</v>
      </c>
      <c r="O463" s="15" t="n">
        <f aca="false">SUMPRODUCT(E463:N463,1/(1+$F$454)^$E$3:$N$3)*$E$2</f>
        <v>42121.8890421371</v>
      </c>
      <c r="P463" s="15" t="n">
        <f aca="false">N463*$E$2*(1+$I$454)/($F$454-$I$454)/(1+$F$454)^$N$3</f>
        <v>59247.0819577328</v>
      </c>
      <c r="Q463" s="15" t="n">
        <f aca="false">O463+P463</f>
        <v>101368.97099987</v>
      </c>
      <c r="R463" s="15" t="n">
        <f aca="false">Q463-$G$2+$I$2</f>
        <v>99778.9709998699</v>
      </c>
      <c r="S463" s="42" t="n">
        <f aca="false">R463/$K$2</f>
        <v>277.48754380074</v>
      </c>
      <c r="T463" s="43" t="n">
        <f aca="false">S463-$M$2</f>
        <v>-0.53125591003419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0.091796875</v>
      </c>
      <c r="C464" s="25" t="n">
        <f aca="false">IF(T463&gt;0,D463,C463)</f>
        <v>0.09765625</v>
      </c>
      <c r="D464" s="41" t="n">
        <f aca="false">(B464+C464)/2</f>
        <v>0.0947265625</v>
      </c>
      <c r="E464" s="15" t="n">
        <f aca="false">$C$2*(1+IF(E$3&lt;=$O$2,$D464,$D464-($D464-$I$454)*MIN(E$3-$O$2,$Q$2)/$Q$2))</f>
        <v>7400.3515625</v>
      </c>
      <c r="F464" s="15" t="n">
        <f aca="false">E464*(1+IF(F$3&lt;=$O$2,$D464,$D464-($D464-$I$454)*MIN(F$3-$O$2,$Q$2)/$Q$2))</f>
        <v>8101.36142730713</v>
      </c>
      <c r="G464" s="15" t="n">
        <f aca="false">F464*(1+IF(G$3&lt;=$O$2,$D464,$D464-($D464-$I$454)*MIN(G$3-$O$2,$Q$2)/$Q$2))</f>
        <v>8868.77554688603</v>
      </c>
      <c r="H464" s="15" t="n">
        <f aca="false">G464*(1+IF(H$3&lt;=$O$2,$D464,$D464-($D464-$I$454)*MIN(H$3-$O$2,$Q$2)/$Q$2))</f>
        <v>9708.8841680266</v>
      </c>
      <c r="I464" s="15" t="n">
        <f aca="false">H464*(1+IF(I$3&lt;=$O$2,$D464,$D464-($D464-$I$454)*MIN(I$3-$O$2,$Q$2)/$Q$2))</f>
        <v>10628.5733909744</v>
      </c>
      <c r="J464" s="15" t="n">
        <f aca="false">I464*(1+IF(J$3&lt;=$O$2,$D464,$D464-($D464-$I$454)*MIN(J$3-$O$2,$Q$2)/$Q$2))</f>
        <v>11472.9205468702</v>
      </c>
      <c r="K464" s="15" t="n">
        <f aca="false">J464*(1+IF(K$3&lt;=$O$2,$D464,$D464-($D464-$I$454)*MIN(K$3-$O$2,$Q$2)/$Q$2))</f>
        <v>12208.9765204176</v>
      </c>
      <c r="L464" s="15" t="n">
        <f aca="false">K464*(1+IF(L$3&lt;=$O$2,$D464,$D464-($D464-$I$454)*MIN(L$3-$O$2,$Q$2)/$Q$2))</f>
        <v>12805.6368335808</v>
      </c>
      <c r="M464" s="15" t="n">
        <f aca="false">L464*(1+IF(M$3&lt;=$O$2,$D464,$D464-($D464-$I$454)*MIN(M$3-$O$2,$Q$2)/$Q$2))</f>
        <v>13235.7181483981</v>
      </c>
      <c r="N464" s="15" t="n">
        <f aca="false">M464*(1+IF(N$3&lt;=$O$2,$D464,$D464-($D464-$I$454)*MIN(N$3-$O$2,$Q$2)/$Q$2))</f>
        <v>13477.9317905138</v>
      </c>
      <c r="O464" s="15" t="n">
        <f aca="false">SUMPRODUCT(E464:N464,1/(1+$F$454)^$E$3:$N$3)*$E$2</f>
        <v>42664.5172889676</v>
      </c>
      <c r="P464" s="15" t="n">
        <f aca="false">N464*$E$2*(1+$I$454)/($F$454-$I$454)/(1+$F$454)^$N$3</f>
        <v>60378.14238748</v>
      </c>
      <c r="Q464" s="15" t="n">
        <f aca="false">O464+P464</f>
        <v>103042.659676448</v>
      </c>
      <c r="R464" s="15" t="n">
        <f aca="false">Q464-$G$2+$I$2</f>
        <v>101452.659676448</v>
      </c>
      <c r="S464" s="42" t="n">
        <f aca="false">R464/$K$2</f>
        <v>282.142109339918</v>
      </c>
      <c r="T464" s="43" t="n">
        <f aca="false">S464-$M$2</f>
        <v>4.12330962914399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0.091796875</v>
      </c>
      <c r="C465" s="25" t="n">
        <f aca="false">IF(T464&gt;0,D464,C464)</f>
        <v>0.0947265625</v>
      </c>
      <c r="D465" s="41" t="n">
        <f aca="false">(B465+C465)/2</f>
        <v>0.09326171875</v>
      </c>
      <c r="E465" s="15" t="n">
        <f aca="false">$C$2*(1+IF(E$3&lt;=$O$2,$D465,$D465-($D465-$I$454)*MIN(E$3-$O$2,$Q$2)/$Q$2))</f>
        <v>7390.44921875</v>
      </c>
      <c r="F465" s="15" t="n">
        <f aca="false">E465*(1+IF(F$3&lt;=$O$2,$D465,$D465-($D465-$I$454)*MIN(F$3-$O$2,$Q$2)/$Q$2))</f>
        <v>8079.69521522522</v>
      </c>
      <c r="G465" s="15" t="n">
        <f aca="false">F465*(1+IF(G$3&lt;=$O$2,$D465,$D465-($D465-$I$454)*MIN(G$3-$O$2,$Q$2)/$Q$2))</f>
        <v>8833.22147797328</v>
      </c>
      <c r="H465" s="15" t="n">
        <f aca="false">G465*(1+IF(H$3&lt;=$O$2,$D465,$D465-($D465-$I$454)*MIN(H$3-$O$2,$Q$2)/$Q$2))</f>
        <v>9657.02289510848</v>
      </c>
      <c r="I465" s="15" t="n">
        <f aca="false">H465*(1+IF(I$3&lt;=$O$2,$D465,$D465-($D465-$I$454)*MIN(I$3-$O$2,$Q$2)/$Q$2))</f>
        <v>10557.6534483144</v>
      </c>
      <c r="J465" s="15" t="n">
        <f aca="false">I465*(1+IF(J$3&lt;=$O$2,$D465,$D465-($D465-$I$454)*MIN(J$3-$O$2,$Q$2)/$Q$2))</f>
        <v>11383.9943851806</v>
      </c>
      <c r="K465" s="15" t="n">
        <f aca="false">J465*(1+IF(K$3&lt;=$O$2,$D465,$D465-($D465-$I$454)*MIN(K$3-$O$2,$Q$2)/$Q$2))</f>
        <v>12104.3397536415</v>
      </c>
      <c r="L465" s="15" t="n">
        <f aca="false">K465*(1+IF(L$3&lt;=$O$2,$D465,$D465-($D465-$I$454)*MIN(L$3-$O$2,$Q$2)/$Q$2))</f>
        <v>12688.7940160399</v>
      </c>
      <c r="M465" s="15" t="n">
        <f aca="false">L465*(1+IF(M$3&lt;=$O$2,$D465,$D465-($D465-$I$454)*MIN(M$3-$O$2,$Q$2)/$Q$2))</f>
        <v>13111.2337081948</v>
      </c>
      <c r="N465" s="15" t="n">
        <f aca="false">M465*(1+IF(N$3&lt;=$O$2,$D465,$D465-($D465-$I$454)*MIN(N$3-$O$2,$Q$2)/$Q$2))</f>
        <v>13351.1692850548</v>
      </c>
      <c r="O465" s="15" t="n">
        <f aca="false">SUMPRODUCT(E465:N465,1/(1+$F$454)^$E$3:$N$3)*$E$2</f>
        <v>42392.3404183402</v>
      </c>
      <c r="P465" s="15" t="n">
        <f aca="false">N465*$E$2*(1+$I$454)/($F$454-$I$454)/(1+$F$454)^$N$3</f>
        <v>59810.2745036712</v>
      </c>
      <c r="Q465" s="15" t="n">
        <f aca="false">O465+P465</f>
        <v>102202.614922011</v>
      </c>
      <c r="R465" s="15" t="n">
        <f aca="false">Q465-$G$2+$I$2</f>
        <v>100612.614922011</v>
      </c>
      <c r="S465" s="42" t="n">
        <f aca="false">R465/$K$2</f>
        <v>279.805926141642</v>
      </c>
      <c r="T465" s="43" t="n">
        <f aca="false">S465-$M$2</f>
        <v>1.78712643086783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0.091796875</v>
      </c>
      <c r="C466" s="25" t="n">
        <f aca="false">IF(T465&gt;0,D465,C465)</f>
        <v>0.09326171875</v>
      </c>
      <c r="D466" s="41" t="n">
        <f aca="false">(B466+C466)/2</f>
        <v>0.092529296875</v>
      </c>
      <c r="E466" s="15" t="n">
        <f aca="false">$C$2*(1+IF(E$3&lt;=$O$2,$D466,$D466-($D466-$I$454)*MIN(E$3-$O$2,$Q$2)/$Q$2))</f>
        <v>7385.498046875</v>
      </c>
      <c r="F466" s="15" t="n">
        <f aca="false">E466*(1+IF(F$3&lt;=$O$2,$D466,$D466-($D466-$I$454)*MIN(F$3-$O$2,$Q$2)/$Q$2))</f>
        <v>8068.87298822403</v>
      </c>
      <c r="G466" s="15" t="n">
        <f aca="false">F466*(1+IF(G$3&lt;=$O$2,$D466,$D466-($D466-$I$454)*MIN(G$3-$O$2,$Q$2)/$Q$2))</f>
        <v>8815.48013239808</v>
      </c>
      <c r="H466" s="15" t="n">
        <f aca="false">G466*(1+IF(H$3&lt;=$O$2,$D466,$D466-($D466-$I$454)*MIN(H$3-$O$2,$Q$2)/$Q$2))</f>
        <v>9631.17031066441</v>
      </c>
      <c r="I466" s="15" t="n">
        <f aca="false">H466*(1+IF(I$3&lt;=$O$2,$D466,$D466-($D466-$I$454)*MIN(I$3-$O$2,$Q$2)/$Q$2))</f>
        <v>10522.3357275936</v>
      </c>
      <c r="J466" s="15" t="n">
        <f aca="false">I466*(1+IF(J$3&lt;=$O$2,$D466,$D466-($D466-$I$454)*MIN(J$3-$O$2,$Q$2)/$Q$2))</f>
        <v>11339.7469374421</v>
      </c>
      <c r="K466" s="15" t="n">
        <f aca="false">J466*(1+IF(K$3&lt;=$O$2,$D466,$D466-($D466-$I$454)*MIN(K$3-$O$2,$Q$2)/$Q$2))</f>
        <v>12052.3091715413</v>
      </c>
      <c r="L466" s="15" t="n">
        <f aca="false">K466*(1+IF(L$3&lt;=$O$2,$D466,$D466-($D466-$I$454)*MIN(L$3-$O$2,$Q$2)/$Q$2))</f>
        <v>12630.72020359</v>
      </c>
      <c r="M466" s="15" t="n">
        <f aca="false">L466*(1+IF(M$3&lt;=$O$2,$D466,$D466-($D466-$I$454)*MIN(M$3-$O$2,$Q$2)/$Q$2))</f>
        <v>13049.3762792632</v>
      </c>
      <c r="N466" s="15" t="n">
        <f aca="false">M466*(1+IF(N$3&lt;=$O$2,$D466,$D466-($D466-$I$454)*MIN(N$3-$O$2,$Q$2)/$Q$2))</f>
        <v>13288.1798651737</v>
      </c>
      <c r="O466" s="15" t="n">
        <f aca="false">SUMPRODUCT(E466:N466,1/(1+$F$454)^$E$3:$N$3)*$E$2</f>
        <v>42256.8996778691</v>
      </c>
      <c r="P466" s="15" t="n">
        <f aca="false">N466*$E$2*(1+$I$454)/($F$454-$I$454)/(1+$F$454)^$N$3</f>
        <v>59528.0958859427</v>
      </c>
      <c r="Q466" s="15" t="n">
        <f aca="false">O466+P466</f>
        <v>101784.995563812</v>
      </c>
      <c r="R466" s="15" t="n">
        <f aca="false">Q466-$G$2+$I$2</f>
        <v>100194.995563812</v>
      </c>
      <c r="S466" s="42" t="n">
        <f aca="false">R466/$K$2</f>
        <v>278.64451739199</v>
      </c>
      <c r="T466" s="43" t="n">
        <f aca="false">S466-$M$2</f>
        <v>0.625717681216599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0.091796875</v>
      </c>
      <c r="C467" s="25" t="n">
        <f aca="false">IF(T466&gt;0,D466,C466)</f>
        <v>0.092529296875</v>
      </c>
      <c r="D467" s="41" t="n">
        <f aca="false">(B467+C467)/2</f>
        <v>0.0921630859375</v>
      </c>
      <c r="E467" s="15" t="n">
        <f aca="false">$C$2*(1+IF(E$3&lt;=$O$2,$D467,$D467-($D467-$I$454)*MIN(E$3-$O$2,$Q$2)/$Q$2))</f>
        <v>7383.0224609375</v>
      </c>
      <c r="F467" s="15" t="n">
        <f aca="false">E467*(1+IF(F$3&lt;=$O$2,$D467,$D467-($D467-$I$454)*MIN(F$3-$O$2,$Q$2)/$Q$2))</f>
        <v>8063.46459448338</v>
      </c>
      <c r="G467" s="15" t="n">
        <f aca="false">F467*(1+IF(G$3&lt;=$O$2,$D467,$D467-($D467-$I$454)*MIN(G$3-$O$2,$Q$2)/$Q$2))</f>
        <v>8806.61837485874</v>
      </c>
      <c r="H467" s="15" t="n">
        <f aca="false">G467*(1+IF(H$3&lt;=$O$2,$D467,$D467-($D467-$I$454)*MIN(H$3-$O$2,$Q$2)/$Q$2))</f>
        <v>9618.26350095961</v>
      </c>
      <c r="I467" s="15" t="n">
        <f aca="false">H467*(1+IF(I$3&lt;=$O$2,$D467,$D467-($D467-$I$454)*MIN(I$3-$O$2,$Q$2)/$Q$2))</f>
        <v>10504.7123465681</v>
      </c>
      <c r="J467" s="15" t="n">
        <f aca="false">I467*(1+IF(J$3&lt;=$O$2,$D467,$D467-($D467-$I$454)*MIN(J$3-$O$2,$Q$2)/$Q$2))</f>
        <v>11317.6769591529</v>
      </c>
      <c r="K467" s="15" t="n">
        <f aca="false">J467*(1+IF(K$3&lt;=$O$2,$D467,$D467-($D467-$I$454)*MIN(K$3-$O$2,$Q$2)/$Q$2))</f>
        <v>12026.3655750134</v>
      </c>
      <c r="L467" s="15" t="n">
        <f aca="false">K467*(1+IF(L$3&lt;=$O$2,$D467,$D467-($D467-$I$454)*MIN(L$3-$O$2,$Q$2)/$Q$2))</f>
        <v>12601.7698546294</v>
      </c>
      <c r="M467" s="15" t="n">
        <f aca="false">L467*(1+IF(M$3&lt;=$O$2,$D467,$D467-($D467-$I$454)*MIN(M$3-$O$2,$Q$2)/$Q$2))</f>
        <v>13018.5433649165</v>
      </c>
      <c r="N467" s="15" t="n">
        <f aca="false">M467*(1+IF(N$3&lt;=$O$2,$D467,$D467-($D467-$I$454)*MIN(N$3-$O$2,$Q$2)/$Q$2))</f>
        <v>13256.7827084945</v>
      </c>
      <c r="O467" s="15" t="n">
        <f aca="false">SUMPRODUCT(E467:N467,1/(1+$F$454)^$E$3:$N$3)*$E$2</f>
        <v>42189.340676038</v>
      </c>
      <c r="P467" s="15" t="n">
        <f aca="false">N467*$E$2*(1+$I$454)/($F$454-$I$454)/(1+$F$454)^$N$3</f>
        <v>59387.4435940332</v>
      </c>
      <c r="Q467" s="15" t="n">
        <f aca="false">O467+P467</f>
        <v>101576.784270071</v>
      </c>
      <c r="R467" s="15" t="n">
        <f aca="false">Q467-$G$2+$I$2</f>
        <v>99986.7842700712</v>
      </c>
      <c r="S467" s="42" t="n">
        <f aca="false">R467/$K$2</f>
        <v>278.065477140195</v>
      </c>
      <c r="T467" s="43" t="n">
        <f aca="false">S467-$M$2</f>
        <v>0.0466774294209813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0.091796875</v>
      </c>
      <c r="C468" s="25" t="n">
        <f aca="false">IF(T467&gt;0,D467,C467)</f>
        <v>0.0921630859375</v>
      </c>
      <c r="D468" s="41" t="n">
        <f aca="false">(B468+C468)/2</f>
        <v>0.09197998046875</v>
      </c>
      <c r="E468" s="15" t="n">
        <f aca="false">$C$2*(1+IF(E$3&lt;=$O$2,$D468,$D468-($D468-$I$454)*MIN(E$3-$O$2,$Q$2)/$Q$2))</f>
        <v>7381.78466796875</v>
      </c>
      <c r="F468" s="15" t="n">
        <f aca="false">E468*(1+IF(F$3&lt;=$O$2,$D468,$D468-($D468-$I$454)*MIN(F$3-$O$2,$Q$2)/$Q$2))</f>
        <v>8060.76107755303</v>
      </c>
      <c r="G468" s="15" t="n">
        <f aca="false">F468*(1+IF(G$3&lt;=$O$2,$D468,$D468-($D468-$I$454)*MIN(G$3-$O$2,$Q$2)/$Q$2))</f>
        <v>8802.18972402962</v>
      </c>
      <c r="H468" s="15" t="n">
        <f aca="false">G468*(1+IF(H$3&lt;=$O$2,$D468,$D468-($D468-$I$454)*MIN(H$3-$O$2,$Q$2)/$Q$2))</f>
        <v>9611.8149629281</v>
      </c>
      <c r="I468" s="15" t="n">
        <f aca="false">H468*(1+IF(I$3&lt;=$O$2,$D468,$D468-($D468-$I$454)*MIN(I$3-$O$2,$Q$2)/$Q$2))</f>
        <v>10495.9095154875</v>
      </c>
      <c r="J468" s="15" t="n">
        <f aca="false">I468*(1+IF(J$3&lt;=$O$2,$D468,$D468-($D468-$I$454)*MIN(J$3-$O$2,$Q$2)/$Q$2))</f>
        <v>11306.6553861032</v>
      </c>
      <c r="K468" s="15" t="n">
        <f aca="false">J468*(1+IF(K$3&lt;=$O$2,$D468,$D468-($D468-$I$454)*MIN(K$3-$O$2,$Q$2)/$Q$2))</f>
        <v>12013.4116684779</v>
      </c>
      <c r="L468" s="15" t="n">
        <f aca="false">K468*(1+IF(L$3&lt;=$O$2,$D468,$D468-($D468-$I$454)*MIN(L$3-$O$2,$Q$2)/$Q$2))</f>
        <v>12587.3162768496</v>
      </c>
      <c r="M468" s="15" t="n">
        <f aca="false">L468*(1+IF(M$3&lt;=$O$2,$D468,$D468-($D468-$I$454)*MIN(M$3-$O$2,$Q$2)/$Q$2))</f>
        <v>13003.1508082024</v>
      </c>
      <c r="N468" s="15" t="n">
        <f aca="false">M468*(1+IF(N$3&lt;=$O$2,$D468,$D468-($D468-$I$454)*MIN(N$3-$O$2,$Q$2)/$Q$2))</f>
        <v>13241.1084679925</v>
      </c>
      <c r="O468" s="15" t="n">
        <f aca="false">SUMPRODUCT(E468:N468,1/(1+$F$454)^$E$3:$N$3)*$E$2</f>
        <v>42155.6014479762</v>
      </c>
      <c r="P468" s="15" t="n">
        <f aca="false">N468*$E$2*(1+$I$454)/($F$454-$I$454)/(1+$F$454)^$N$3</f>
        <v>59317.2264761879</v>
      </c>
      <c r="Q468" s="15" t="n">
        <f aca="false">O468+P468</f>
        <v>101472.827924164</v>
      </c>
      <c r="R468" s="15" t="n">
        <f aca="false">Q468-$G$2+$I$2</f>
        <v>99882.8279241641</v>
      </c>
      <c r="S468" s="42" t="n">
        <f aca="false">R468/$K$2</f>
        <v>277.776372223606</v>
      </c>
      <c r="T468" s="43" t="n">
        <f aca="false">S468-$M$2</f>
        <v>-0.242427487168186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0.09197998046875</v>
      </c>
      <c r="C469" s="25" t="n">
        <f aca="false">IF(T468&gt;0,D468,C468)</f>
        <v>0.0921630859375</v>
      </c>
      <c r="D469" s="41" t="n">
        <f aca="false">(B469+C469)/2</f>
        <v>0.092071533203125</v>
      </c>
      <c r="E469" s="15" t="n">
        <f aca="false">$C$2*(1+IF(E$3&lt;=$O$2,$D469,$D469-($D469-$I$454)*MIN(E$3-$O$2,$Q$2)/$Q$2))</f>
        <v>7382.40356445313</v>
      </c>
      <c r="F469" s="15" t="n">
        <f aca="false">E469*(1+IF(F$3&lt;=$O$2,$D469,$D469-($D469-$I$454)*MIN(F$3-$O$2,$Q$2)/$Q$2))</f>
        <v>8062.11277935654</v>
      </c>
      <c r="G469" s="15" t="n">
        <f aca="false">F469*(1+IF(G$3&lt;=$O$2,$D469,$D469-($D469-$I$454)*MIN(G$3-$O$2,$Q$2)/$Q$2))</f>
        <v>8804.4038638084</v>
      </c>
      <c r="H469" s="15" t="n">
        <f aca="false">G469*(1+IF(H$3&lt;=$O$2,$D469,$D469-($D469-$I$454)*MIN(H$3-$O$2,$Q$2)/$Q$2))</f>
        <v>9615.03882648876</v>
      </c>
      <c r="I469" s="15" t="n">
        <f aca="false">H469*(1+IF(I$3&lt;=$O$2,$D469,$D469-($D469-$I$454)*MIN(I$3-$O$2,$Q$2)/$Q$2))</f>
        <v>10500.3101930512</v>
      </c>
      <c r="J469" s="15" t="n">
        <f aca="false">I469*(1+IF(J$3&lt;=$O$2,$D469,$D469-($D469-$I$454)*MIN(J$3-$O$2,$Q$2)/$Q$2))</f>
        <v>11312.1650552238</v>
      </c>
      <c r="K469" s="15" t="n">
        <f aca="false">J469*(1+IF(K$3&lt;=$O$2,$D469,$D469-($D469-$I$454)*MIN(K$3-$O$2,$Q$2)/$Q$2))</f>
        <v>12019.8871317168</v>
      </c>
      <c r="L469" s="15" t="n">
        <f aca="false">K469*(1+IF(L$3&lt;=$O$2,$D469,$D469-($D469-$I$454)*MIN(L$3-$O$2,$Q$2)/$Q$2))</f>
        <v>12594.5412672813</v>
      </c>
      <c r="M469" s="15" t="n">
        <f aca="false">L469*(1+IF(M$3&lt;=$O$2,$D469,$D469-($D469-$I$454)*MIN(M$3-$O$2,$Q$2)/$Q$2))</f>
        <v>13010.8450963281</v>
      </c>
      <c r="N469" s="15" t="n">
        <f aca="false">M469*(1+IF(N$3&lt;=$O$2,$D469,$D469-($D469-$I$454)*MIN(N$3-$O$2,$Q$2)/$Q$2))</f>
        <v>13248.9435615909</v>
      </c>
      <c r="O469" s="15" t="n">
        <f aca="false">SUMPRODUCT(E469:N469,1/(1+$F$454)^$E$3:$N$3)*$E$2</f>
        <v>42172.4677079948</v>
      </c>
      <c r="P469" s="15" t="n">
        <f aca="false">N469*$E$2*(1+$I$454)/($F$454-$I$454)/(1+$F$454)^$N$3</f>
        <v>59352.3259561566</v>
      </c>
      <c r="Q469" s="15" t="n">
        <f aca="false">O469+P469</f>
        <v>101524.793664151</v>
      </c>
      <c r="R469" s="15" t="n">
        <f aca="false">Q469-$G$2+$I$2</f>
        <v>99934.7936641514</v>
      </c>
      <c r="S469" s="42" t="n">
        <f aca="false">R469/$K$2</f>
        <v>277.920890105544</v>
      </c>
      <c r="T469" s="43" t="n">
        <f aca="false">S469-$M$2</f>
        <v>-0.0979096052300292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0.092071533203125</v>
      </c>
      <c r="C470" s="25" t="n">
        <f aca="false">IF(T469&gt;0,D469,C469)</f>
        <v>0.0921630859375</v>
      </c>
      <c r="D470" s="41" t="n">
        <f aca="false">(B470+C470)/2</f>
        <v>0.0921173095703125</v>
      </c>
      <c r="E470" s="15" t="n">
        <f aca="false">$C$2*(1+IF(E$3&lt;=$O$2,$D470,$D470-($D470-$I$454)*MIN(E$3-$O$2,$Q$2)/$Q$2))</f>
        <v>7382.71301269531</v>
      </c>
      <c r="F470" s="15" t="n">
        <f aca="false">E470*(1+IF(F$3&lt;=$O$2,$D470,$D470-($D470-$I$454)*MIN(F$3-$O$2,$Q$2)/$Q$2))</f>
        <v>8062.78867275454</v>
      </c>
      <c r="G470" s="15" t="n">
        <f aca="false">F470*(1+IF(G$3&lt;=$O$2,$D470,$D470-($D470-$I$454)*MIN(G$3-$O$2,$Q$2)/$Q$2))</f>
        <v>8805.51107292268</v>
      </c>
      <c r="H470" s="15" t="n">
        <f aca="false">G470*(1+IF(H$3&lt;=$O$2,$D470,$D470-($D470-$I$454)*MIN(H$3-$O$2,$Q$2)/$Q$2))</f>
        <v>9616.65106235191</v>
      </c>
      <c r="I470" s="15" t="n">
        <f aca="false">H470*(1+IF(I$3&lt;=$O$2,$D470,$D470-($D470-$I$454)*MIN(I$3-$O$2,$Q$2)/$Q$2))</f>
        <v>10502.5110852923</v>
      </c>
      <c r="J470" s="15" t="n">
        <f aca="false">I470*(1+IF(J$3&lt;=$O$2,$D470,$D470-($D470-$I$454)*MIN(J$3-$O$2,$Q$2)/$Q$2))</f>
        <v>11314.920727792</v>
      </c>
      <c r="K470" s="15" t="n">
        <f aca="false">J470*(1+IF(K$3&lt;=$O$2,$D470,$D470-($D470-$I$454)*MIN(K$3-$O$2,$Q$2)/$Q$2))</f>
        <v>12023.1259807868</v>
      </c>
      <c r="L470" s="15" t="n">
        <f aca="false">K470*(1+IF(L$3&lt;=$O$2,$D470,$D470-($D470-$I$454)*MIN(L$3-$O$2,$Q$2)/$Q$2))</f>
        <v>12598.1551112459</v>
      </c>
      <c r="M470" s="15" t="n">
        <f aca="false">L470*(1+IF(M$3&lt;=$O$2,$D470,$D470-($D470-$I$454)*MIN(M$3-$O$2,$Q$2)/$Q$2))</f>
        <v>13014.693732954</v>
      </c>
      <c r="N470" s="15" t="n">
        <f aca="false">M470*(1+IF(N$3&lt;=$O$2,$D470,$D470-($D470-$I$454)*MIN(N$3-$O$2,$Q$2)/$Q$2))</f>
        <v>13252.862628267</v>
      </c>
      <c r="O470" s="15" t="n">
        <f aca="false">SUMPRODUCT(E470:N470,1/(1+$F$454)^$E$3:$N$3)*$E$2</f>
        <v>42180.903353359</v>
      </c>
      <c r="P470" s="15" t="n">
        <f aca="false">N470*$E$2*(1+$I$454)/($F$454-$I$454)/(1+$F$454)^$N$3</f>
        <v>59369.8825048525</v>
      </c>
      <c r="Q470" s="15" t="n">
        <f aca="false">O470+P470</f>
        <v>101550.785858211</v>
      </c>
      <c r="R470" s="15" t="n">
        <f aca="false">Q470-$G$2+$I$2</f>
        <v>99960.7858582115</v>
      </c>
      <c r="S470" s="42" t="n">
        <f aca="false">R470/$K$2</f>
        <v>277.993174976949</v>
      </c>
      <c r="T470" s="43" t="n">
        <f aca="false">S470-$M$2</f>
        <v>-0.0256247338243156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0.0921173095703125</v>
      </c>
      <c r="C471" s="25" t="n">
        <f aca="false">IF(T470&gt;0,D470,C470)</f>
        <v>0.0921630859375</v>
      </c>
      <c r="D471" s="41" t="n">
        <f aca="false">(B471+C471)/2</f>
        <v>0.0921401977539063</v>
      </c>
      <c r="E471" s="15" t="n">
        <f aca="false">$C$2*(1+IF(E$3&lt;=$O$2,$D471,$D471-($D471-$I$454)*MIN(E$3-$O$2,$Q$2)/$Q$2))</f>
        <v>7382.86773681641</v>
      </c>
      <c r="F471" s="15" t="n">
        <f aca="false">E471*(1+IF(F$3&lt;=$O$2,$D471,$D471-($D471-$I$454)*MIN(F$3-$O$2,$Q$2)/$Q$2))</f>
        <v>8063.1266300776</v>
      </c>
      <c r="G471" s="15" t="n">
        <f aca="false">F471*(1+IF(G$3&lt;=$O$2,$D471,$D471-($D471-$I$454)*MIN(G$3-$O$2,$Q$2)/$Q$2))</f>
        <v>8806.06471228774</v>
      </c>
      <c r="H471" s="15" t="n">
        <f aca="false">G471*(1+IF(H$3&lt;=$O$2,$D471,$D471-($D471-$I$454)*MIN(H$3-$O$2,$Q$2)/$Q$2))</f>
        <v>9617.45725631163</v>
      </c>
      <c r="I471" s="15" t="n">
        <f aca="false">H471*(1+IF(I$3&lt;=$O$2,$D471,$D471-($D471-$I$454)*MIN(I$3-$O$2,$Q$2)/$Q$2))</f>
        <v>10503.6116697979</v>
      </c>
      <c r="J471" s="15" t="n">
        <f aca="false">I471*(1+IF(J$3&lt;=$O$2,$D471,$D471-($D471-$I$454)*MIN(J$3-$O$2,$Q$2)/$Q$2))</f>
        <v>11316.2987736177</v>
      </c>
      <c r="K471" s="15" t="n">
        <f aca="false">J471*(1+IF(K$3&lt;=$O$2,$D471,$D471-($D471-$I$454)*MIN(K$3-$O$2,$Q$2)/$Q$2))</f>
        <v>12024.7456847467</v>
      </c>
      <c r="L471" s="15" t="n">
        <f aca="false">K471*(1+IF(L$3&lt;=$O$2,$D471,$D471-($D471-$I$454)*MIN(L$3-$O$2,$Q$2)/$Q$2))</f>
        <v>12599.9623704984</v>
      </c>
      <c r="M471" s="15" t="n">
        <f aca="false">L471*(1+IF(M$3&lt;=$O$2,$D471,$D471-($D471-$I$454)*MIN(M$3-$O$2,$Q$2)/$Q$2))</f>
        <v>13016.6184245044</v>
      </c>
      <c r="N471" s="15" t="n">
        <f aca="false">M471*(1+IF(N$3&lt;=$O$2,$D471,$D471-($D471-$I$454)*MIN(N$3-$O$2,$Q$2)/$Q$2))</f>
        <v>13254.8225416728</v>
      </c>
      <c r="O471" s="15" t="n">
        <f aca="false">SUMPRODUCT(E471:N471,1/(1+$F$454)^$E$3:$N$3)*$E$2</f>
        <v>42185.1218050148</v>
      </c>
      <c r="P471" s="15" t="n">
        <f aca="false">N471*$E$2*(1+$I$454)/($F$454-$I$454)/(1+$F$454)^$N$3</f>
        <v>59378.6624818192</v>
      </c>
      <c r="Q471" s="15" t="n">
        <f aca="false">O471+P471</f>
        <v>101563.784286834</v>
      </c>
      <c r="R471" s="15" t="n">
        <f aca="false">Q471-$G$2+$I$2</f>
        <v>99973.784286834</v>
      </c>
      <c r="S471" s="42" t="n">
        <f aca="false">R471/$K$2</f>
        <v>278.029323896863</v>
      </c>
      <c r="T471" s="43" t="n">
        <f aca="false">S471-$M$2</f>
        <v>0.0105241860894125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0.0921173095703125</v>
      </c>
      <c r="C472" s="25" t="n">
        <f aca="false">IF(T471&gt;0,D471,C471)</f>
        <v>0.0921401977539063</v>
      </c>
      <c r="D472" s="41" t="n">
        <f aca="false">(B472+C472)/2</f>
        <v>0.0921287536621094</v>
      </c>
      <c r="E472" s="15" t="n">
        <f aca="false">$C$2*(1+IF(E$3&lt;=$O$2,$D472,$D472-($D472-$I$454)*MIN(E$3-$O$2,$Q$2)/$Q$2))</f>
        <v>7382.79037475586</v>
      </c>
      <c r="F472" s="15" t="n">
        <f aca="false">E472*(1+IF(F$3&lt;=$O$2,$D472,$D472-($D472-$I$454)*MIN(F$3-$O$2,$Q$2)/$Q$2))</f>
        <v>8062.95765053073</v>
      </c>
      <c r="G472" s="15" t="n">
        <f aca="false">F472*(1+IF(G$3&lt;=$O$2,$D472,$D472-($D472-$I$454)*MIN(G$3-$O$2,$Q$2)/$Q$2))</f>
        <v>8805.7878897045</v>
      </c>
      <c r="H472" s="15" t="n">
        <f aca="false">G472*(1+IF(H$3&lt;=$O$2,$D472,$D472-($D472-$I$454)*MIN(H$3-$O$2,$Q$2)/$Q$2))</f>
        <v>9617.05415299587</v>
      </c>
      <c r="I472" s="15" t="n">
        <f aca="false">H472*(1+IF(I$3&lt;=$O$2,$D472,$D472-($D472-$I$454)*MIN(I$3-$O$2,$Q$2)/$Q$2))</f>
        <v>10503.0613660124</v>
      </c>
      <c r="J472" s="15" t="n">
        <f aca="false">I472*(1+IF(J$3&lt;=$O$2,$D472,$D472-($D472-$I$454)*MIN(J$3-$O$2,$Q$2)/$Q$2))</f>
        <v>11315.6097332419</v>
      </c>
      <c r="K472" s="15" t="n">
        <f aca="false">J472*(1+IF(K$3&lt;=$O$2,$D472,$D472-($D472-$I$454)*MIN(K$3-$O$2,$Q$2)/$Q$2))</f>
        <v>12023.9358094795</v>
      </c>
      <c r="L472" s="15" t="n">
        <f aca="false">K472*(1+IF(L$3&lt;=$O$2,$D472,$D472-($D472-$I$454)*MIN(L$3-$O$2,$Q$2)/$Q$2))</f>
        <v>12599.0587127638</v>
      </c>
      <c r="M472" s="15" t="n">
        <f aca="false">L472*(1+IF(M$3&lt;=$O$2,$D472,$D472-($D472-$I$454)*MIN(M$3-$O$2,$Q$2)/$Q$2))</f>
        <v>13015.6560476232</v>
      </c>
      <c r="N472" s="15" t="n">
        <f aca="false">M472*(1+IF(N$3&lt;=$O$2,$D472,$D472-($D472-$I$454)*MIN(N$3-$O$2,$Q$2)/$Q$2))</f>
        <v>13253.8425532947</v>
      </c>
      <c r="O472" s="15" t="n">
        <f aca="false">SUMPRODUCT(E472:N472,1/(1+$F$454)^$E$3:$N$3)*$E$2</f>
        <v>42183.0125267684</v>
      </c>
      <c r="P472" s="15" t="n">
        <f aca="false">N472*$E$2*(1+$I$454)/($F$454-$I$454)/(1+$F$454)^$N$3</f>
        <v>59374.2723514378</v>
      </c>
      <c r="Q472" s="15" t="n">
        <f aca="false">O472+P472</f>
        <v>101557.284878206</v>
      </c>
      <c r="R472" s="15" t="n">
        <f aca="false">Q472-$G$2+$I$2</f>
        <v>99967.2848782062</v>
      </c>
      <c r="S472" s="42" t="n">
        <f aca="false">R472/$K$2</f>
        <v>278.011248896508</v>
      </c>
      <c r="T472" s="43" t="n">
        <f aca="false">S472-$M$2</f>
        <v>-0.00755081426598281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0.0921287536621094</v>
      </c>
      <c r="C473" s="25" t="n">
        <f aca="false">IF(T472&gt;0,D472,C472)</f>
        <v>0.0921401977539063</v>
      </c>
      <c r="D473" s="41" t="n">
        <f aca="false">(B473+C473)/2</f>
        <v>0.0921344757080078</v>
      </c>
      <c r="E473" s="15" t="n">
        <f aca="false">$C$2*(1+IF(E$3&lt;=$O$2,$D473,$D473-($D473-$I$454)*MIN(E$3-$O$2,$Q$2)/$Q$2))</f>
        <v>7382.82905578613</v>
      </c>
      <c r="F473" s="15" t="n">
        <f aca="false">E473*(1+IF(F$3&lt;=$O$2,$D473,$D473-($D473-$I$454)*MIN(F$3-$O$2,$Q$2)/$Q$2))</f>
        <v>8063.04214008283</v>
      </c>
      <c r="G473" s="15" t="n">
        <f aca="false">F473*(1+IF(G$3&lt;=$O$2,$D473,$D473-($D473-$I$454)*MIN(G$3-$O$2,$Q$2)/$Q$2))</f>
        <v>8805.92630027094</v>
      </c>
      <c r="H473" s="15" t="n">
        <f aca="false">G473*(1+IF(H$3&lt;=$O$2,$D473,$D473-($D473-$I$454)*MIN(H$3-$O$2,$Q$2)/$Q$2))</f>
        <v>9617.25570306976</v>
      </c>
      <c r="I473" s="15" t="n">
        <f aca="false">H473*(1+IF(I$3&lt;=$O$2,$D473,$D473-($D473-$I$454)*MIN(I$3-$O$2,$Q$2)/$Q$2))</f>
        <v>10503.3365150219</v>
      </c>
      <c r="J473" s="15" t="n">
        <f aca="false">I473*(1+IF(J$3&lt;=$O$2,$D473,$D473-($D473-$I$454)*MIN(J$3-$O$2,$Q$2)/$Q$2))</f>
        <v>11315.954249064</v>
      </c>
      <c r="K473" s="15" t="n">
        <f aca="false">J473*(1+IF(K$3&lt;=$O$2,$D473,$D473-($D473-$I$454)*MIN(K$3-$O$2,$Q$2)/$Q$2))</f>
        <v>12024.3407412911</v>
      </c>
      <c r="L473" s="15" t="n">
        <f aca="false">K473*(1+IF(L$3&lt;=$O$2,$D473,$D473-($D473-$I$454)*MIN(L$3-$O$2,$Q$2)/$Q$2))</f>
        <v>12599.5105346038</v>
      </c>
      <c r="M473" s="15" t="n">
        <f aca="false">L473*(1+IF(M$3&lt;=$O$2,$D473,$D473-($D473-$I$454)*MIN(M$3-$O$2,$Q$2)/$Q$2))</f>
        <v>13016.1372282871</v>
      </c>
      <c r="N473" s="15" t="n">
        <f aca="false">M473*(1+IF(N$3&lt;=$O$2,$D473,$D473-($D473-$I$454)*MIN(N$3-$O$2,$Q$2)/$Q$2))</f>
        <v>13254.3325395647</v>
      </c>
      <c r="O473" s="15" t="n">
        <f aca="false">SUMPRODUCT(E473:N473,1/(1+$F$454)^$E$3:$N$3)*$E$2</f>
        <v>42184.0671527867</v>
      </c>
      <c r="P473" s="15" t="n">
        <f aca="false">N473*$E$2*(1+$I$454)/($F$454-$I$454)/(1+$F$454)^$N$3</f>
        <v>59376.467381153</v>
      </c>
      <c r="Q473" s="15" t="n">
        <f aca="false">O473+P473</f>
        <v>101560.53453394</v>
      </c>
      <c r="R473" s="15" t="n">
        <f aca="false">Q473-$G$2+$I$2</f>
        <v>99970.5345339397</v>
      </c>
      <c r="S473" s="42" t="n">
        <f aca="false">R473/$K$2</f>
        <v>278.020286261582</v>
      </c>
      <c r="T473" s="43" t="n">
        <f aca="false">S473-$M$2</f>
        <v>0.00148655080852222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0.0921287536621094</v>
      </c>
      <c r="C474" s="25" t="n">
        <f aca="false">IF(T473&gt;0,D473,C473)</f>
        <v>0.0921344757080078</v>
      </c>
      <c r="D474" s="41" t="n">
        <f aca="false">(B474+C474)/2</f>
        <v>0.0921316146850586</v>
      </c>
      <c r="E474" s="15" t="n">
        <f aca="false">$C$2*(1+IF(E$3&lt;=$O$2,$D474,$D474-($D474-$I$454)*MIN(E$3-$O$2,$Q$2)/$Q$2))</f>
        <v>7382.809715271</v>
      </c>
      <c r="F474" s="15" t="n">
        <f aca="false">E474*(1+IF(F$3&lt;=$O$2,$D474,$D474-($D474-$I$454)*MIN(F$3-$O$2,$Q$2)/$Q$2))</f>
        <v>8062.99989525145</v>
      </c>
      <c r="G474" s="15" t="n">
        <f aca="false">F474*(1+IF(G$3&lt;=$O$2,$D474,$D474-($D474-$I$454)*MIN(G$3-$O$2,$Q$2)/$Q$2))</f>
        <v>8805.85709480642</v>
      </c>
      <c r="H474" s="15" t="n">
        <f aca="false">G474*(1+IF(H$3&lt;=$O$2,$D474,$D474-($D474-$I$454)*MIN(H$3-$O$2,$Q$2)/$Q$2))</f>
        <v>9617.15492763682</v>
      </c>
      <c r="I474" s="15" t="n">
        <f aca="false">H474*(1+IF(I$3&lt;=$O$2,$D474,$D474-($D474-$I$454)*MIN(I$3-$O$2,$Q$2)/$Q$2))</f>
        <v>10503.1989397964</v>
      </c>
      <c r="J474" s="15" t="n">
        <f aca="false">I474*(1+IF(J$3&lt;=$O$2,$D474,$D474-($D474-$I$454)*MIN(J$3-$O$2,$Q$2)/$Q$2))</f>
        <v>11315.7819900615</v>
      </c>
      <c r="K474" s="15" t="n">
        <f aca="false">J474*(1+IF(K$3&lt;=$O$2,$D474,$D474-($D474-$I$454)*MIN(K$3-$O$2,$Q$2)/$Q$2))</f>
        <v>12024.1382739298</v>
      </c>
      <c r="L474" s="15" t="n">
        <f aca="false">K474*(1+IF(L$3&lt;=$O$2,$D474,$D474-($D474-$I$454)*MIN(L$3-$O$2,$Q$2)/$Q$2))</f>
        <v>12599.284621927</v>
      </c>
      <c r="M474" s="15" t="n">
        <f aca="false">L474*(1+IF(M$3&lt;=$O$2,$D474,$D474-($D474-$I$454)*MIN(M$3-$O$2,$Q$2)/$Q$2))</f>
        <v>13015.896636011</v>
      </c>
      <c r="N474" s="15" t="n">
        <f aca="false">M474*(1+IF(N$3&lt;=$O$2,$D474,$D474-($D474-$I$454)*MIN(N$3-$O$2,$Q$2)/$Q$2))</f>
        <v>13254.08754445</v>
      </c>
      <c r="O474" s="15" t="n">
        <f aca="false">SUMPRODUCT(E474:N474,1/(1+$F$454)^$E$3:$N$3)*$E$2</f>
        <v>42183.5398365014</v>
      </c>
      <c r="P474" s="15" t="n">
        <f aca="false">N474*$E$2*(1+$I$454)/($F$454-$I$454)/(1+$F$454)^$N$3</f>
        <v>59375.3698574267</v>
      </c>
      <c r="Q474" s="15" t="n">
        <f aca="false">O474+P474</f>
        <v>101558.909693928</v>
      </c>
      <c r="R474" s="15" t="n">
        <f aca="false">Q474-$G$2+$I$2</f>
        <v>99968.909693928</v>
      </c>
      <c r="S474" s="42" t="n">
        <f aca="false">R474/$K$2</f>
        <v>278.01576754527</v>
      </c>
      <c r="T474" s="43" t="n">
        <f aca="false">S474-$M$2</f>
        <v>-0.0030321655040666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0.0921316146850586</v>
      </c>
      <c r="C475" s="25" t="n">
        <f aca="false">IF(T474&gt;0,D474,C474)</f>
        <v>0.0921344757080078</v>
      </c>
      <c r="D475" s="41" t="n">
        <f aca="false">(B475+C475)/2</f>
        <v>0.0921330451965332</v>
      </c>
      <c r="E475" s="15" t="n">
        <f aca="false">$C$2*(1+IF(E$3&lt;=$O$2,$D475,$D475-($D475-$I$454)*MIN(E$3-$O$2,$Q$2)/$Q$2))</f>
        <v>7382.81938552856</v>
      </c>
      <c r="F475" s="15" t="n">
        <f aca="false">E475*(1+IF(F$3&lt;=$O$2,$D475,$D475-($D475-$I$454)*MIN(F$3-$O$2,$Q$2)/$Q$2))</f>
        <v>8063.02101765331</v>
      </c>
      <c r="G475" s="15" t="n">
        <f aca="false">F475*(1+IF(G$3&lt;=$O$2,$D475,$D475-($D475-$I$454)*MIN(G$3-$O$2,$Q$2)/$Q$2))</f>
        <v>8805.89169749336</v>
      </c>
      <c r="H475" s="15" t="n">
        <f aca="false">G475*(1+IF(H$3&lt;=$O$2,$D475,$D475-($D475-$I$454)*MIN(H$3-$O$2,$Q$2)/$Q$2))</f>
        <v>9617.20531525429</v>
      </c>
      <c r="I475" s="15" t="n">
        <f aca="false">H475*(1+IF(I$3&lt;=$O$2,$D475,$D475-($D475-$I$454)*MIN(I$3-$O$2,$Q$2)/$Q$2))</f>
        <v>10503.267727229</v>
      </c>
      <c r="J475" s="15" t="n">
        <f aca="false">I475*(1+IF(J$3&lt;=$O$2,$D475,$D475-($D475-$I$454)*MIN(J$3-$O$2,$Q$2)/$Q$2))</f>
        <v>11315.8681192899</v>
      </c>
      <c r="K475" s="15" t="n">
        <f aca="false">J475*(1+IF(K$3&lt;=$O$2,$D475,$D475-($D475-$I$454)*MIN(K$3-$O$2,$Q$2)/$Q$2))</f>
        <v>12024.2395072466</v>
      </c>
      <c r="L475" s="15" t="n">
        <f aca="false">K475*(1+IF(L$3&lt;=$O$2,$D475,$D475-($D475-$I$454)*MIN(L$3-$O$2,$Q$2)/$Q$2))</f>
        <v>12599.3975778262</v>
      </c>
      <c r="M475" s="15" t="n">
        <f aca="false">L475*(1+IF(M$3&lt;=$O$2,$D475,$D475-($D475-$I$454)*MIN(M$3-$O$2,$Q$2)/$Q$2))</f>
        <v>13016.016931663</v>
      </c>
      <c r="N475" s="15" t="n">
        <f aca="false">M475*(1+IF(N$3&lt;=$O$2,$D475,$D475-($D475-$I$454)*MIN(N$3-$O$2,$Q$2)/$Q$2))</f>
        <v>13254.2100415124</v>
      </c>
      <c r="O475" s="15" t="n">
        <f aca="false">SUMPRODUCT(E475:N475,1/(1+$F$454)^$E$3:$N$3)*$E$2</f>
        <v>42183.803493825</v>
      </c>
      <c r="P475" s="15" t="n">
        <f aca="false">N475*$E$2*(1+$I$454)/($F$454-$I$454)/(1+$F$454)^$N$3</f>
        <v>59375.9186170727</v>
      </c>
      <c r="Q475" s="15" t="n">
        <f aca="false">O475+P475</f>
        <v>101559.722110898</v>
      </c>
      <c r="R475" s="15" t="n">
        <f aca="false">Q475-$G$2+$I$2</f>
        <v>99969.7221108976</v>
      </c>
      <c r="S475" s="42" t="n">
        <f aca="false">R475/$K$2</f>
        <v>278.018026894982</v>
      </c>
      <c r="T475" s="43" t="n">
        <f aca="false">S475-$M$2</f>
        <v>-0.00077281579171995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0.0921330451965332</v>
      </c>
      <c r="C476" s="25" t="n">
        <f aca="false">IF(T475&gt;0,D475,C475)</f>
        <v>0.0921344757080078</v>
      </c>
      <c r="D476" s="41" t="n">
        <f aca="false">(B476+C476)/2</f>
        <v>0.0921337604522705</v>
      </c>
      <c r="E476" s="15" t="n">
        <f aca="false">$C$2*(1+IF(E$3&lt;=$O$2,$D476,$D476-($D476-$I$454)*MIN(E$3-$O$2,$Q$2)/$Q$2))</f>
        <v>7382.82422065735</v>
      </c>
      <c r="F476" s="15" t="n">
        <f aca="false">E476*(1+IF(F$3&lt;=$O$2,$D476,$D476-($D476-$I$454)*MIN(F$3-$O$2,$Q$2)/$Q$2))</f>
        <v>8063.03157886461</v>
      </c>
      <c r="G476" s="15" t="n">
        <f aca="false">F476*(1+IF(G$3&lt;=$O$2,$D476,$D476-($D476-$I$454)*MIN(G$3-$O$2,$Q$2)/$Q$2))</f>
        <v>8805.90899887082</v>
      </c>
      <c r="H476" s="15" t="n">
        <f aca="false">G476*(1+IF(H$3&lt;=$O$2,$D476,$D476-($D476-$I$454)*MIN(H$3-$O$2,$Q$2)/$Q$2))</f>
        <v>9617.23050913728</v>
      </c>
      <c r="I476" s="15" t="n">
        <f aca="false">H476*(1+IF(I$3&lt;=$O$2,$D476,$D476-($D476-$I$454)*MIN(I$3-$O$2,$Q$2)/$Q$2))</f>
        <v>10503.3021210804</v>
      </c>
      <c r="J476" s="15" t="n">
        <f aca="false">I476*(1+IF(J$3&lt;=$O$2,$D476,$D476-($D476-$I$454)*MIN(J$3-$O$2,$Q$2)/$Q$2))</f>
        <v>11315.9111841087</v>
      </c>
      <c r="K476" s="15" t="n">
        <f aca="false">J476*(1+IF(K$3&lt;=$O$2,$D476,$D476-($D476-$I$454)*MIN(K$3-$O$2,$Q$2)/$Q$2))</f>
        <v>12024.2901241779</v>
      </c>
      <c r="L476" s="15" t="n">
        <f aca="false">K476*(1+IF(L$3&lt;=$O$2,$D476,$D476-($D476-$I$454)*MIN(L$3-$O$2,$Q$2)/$Q$2))</f>
        <v>12599.4540561052</v>
      </c>
      <c r="M476" s="15" t="n">
        <f aca="false">L476*(1+IF(M$3&lt;=$O$2,$D476,$D476-($D476-$I$454)*MIN(M$3-$O$2,$Q$2)/$Q$2))</f>
        <v>13016.0770798535</v>
      </c>
      <c r="N476" s="15" t="n">
        <f aca="false">M476*(1+IF(N$3&lt;=$O$2,$D476,$D476-($D476-$I$454)*MIN(N$3-$O$2,$Q$2)/$Q$2))</f>
        <v>13254.2712904148</v>
      </c>
      <c r="O476" s="15" t="n">
        <f aca="false">SUMPRODUCT(E476:N476,1/(1+$F$454)^$E$3:$N$3)*$E$2</f>
        <v>42183.9353231011</v>
      </c>
      <c r="P476" s="15" t="n">
        <f aca="false">N476*$E$2*(1+$I$454)/($F$454-$I$454)/(1+$F$454)^$N$3</f>
        <v>59376.1929985586</v>
      </c>
      <c r="Q476" s="15" t="n">
        <f aca="false">O476+P476</f>
        <v>101560.12832166</v>
      </c>
      <c r="R476" s="15" t="n">
        <f aca="false">Q476-$G$2+$I$2</f>
        <v>99970.1283216596</v>
      </c>
      <c r="S476" s="42" t="n">
        <f aca="false">R476/$K$2</f>
        <v>278.019156576171</v>
      </c>
      <c r="T476" s="43" t="n">
        <f aca="false">S476-$M$2</f>
        <v>0.000356865397520778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0.0921330451965332</v>
      </c>
      <c r="C477" s="25" t="n">
        <f aca="false">IF(T476&gt;0,D476,C476)</f>
        <v>0.0921337604522705</v>
      </c>
      <c r="D477" s="41" t="n">
        <f aca="false">(B477+C477)/2</f>
        <v>0.0921334028244019</v>
      </c>
      <c r="E477" s="15" t="n">
        <f aca="false">$C$2*(1+IF(E$3&lt;=$O$2,$D477,$D477-($D477-$I$454)*MIN(E$3-$O$2,$Q$2)/$Q$2))</f>
        <v>7382.82180309296</v>
      </c>
      <c r="F477" s="15" t="n">
        <f aca="false">E477*(1+IF(F$3&lt;=$O$2,$D477,$D477-($D477-$I$454)*MIN(F$3-$O$2,$Q$2)/$Q$2))</f>
        <v>8063.0262982581</v>
      </c>
      <c r="G477" s="15" t="n">
        <f aca="false">F477*(1+IF(G$3&lt;=$O$2,$D477,$D477-($D477-$I$454)*MIN(G$3-$O$2,$Q$2)/$Q$2))</f>
        <v>8805.90034817926</v>
      </c>
      <c r="H477" s="15" t="n">
        <f aca="false">G477*(1+IF(H$3&lt;=$O$2,$D477,$D477-($D477-$I$454)*MIN(H$3-$O$2,$Q$2)/$Q$2))</f>
        <v>9617.2179121896</v>
      </c>
      <c r="I477" s="15" t="n">
        <f aca="false">H477*(1+IF(I$3&lt;=$O$2,$D477,$D477-($D477-$I$454)*MIN(I$3-$O$2,$Q$2)/$Q$2))</f>
        <v>10503.2849241434</v>
      </c>
      <c r="J477" s="15" t="n">
        <f aca="false">I477*(1+IF(J$3&lt;=$O$2,$D477,$D477-($D477-$I$454)*MIN(J$3-$O$2,$Q$2)/$Q$2))</f>
        <v>11315.8896516822</v>
      </c>
      <c r="K477" s="15" t="n">
        <f aca="false">J477*(1+IF(K$3&lt;=$O$2,$D477,$D477-($D477-$I$454)*MIN(K$3-$O$2,$Q$2)/$Q$2))</f>
        <v>12024.2648156895</v>
      </c>
      <c r="L477" s="15" t="n">
        <f aca="false">K477*(1+IF(L$3&lt;=$O$2,$D477,$D477-($D477-$I$454)*MIN(L$3-$O$2,$Q$2)/$Q$2))</f>
        <v>12599.4258169383</v>
      </c>
      <c r="M477" s="15" t="n">
        <f aca="false">L477*(1+IF(M$3&lt;=$O$2,$D477,$D477-($D477-$I$454)*MIN(M$3-$O$2,$Q$2)/$Q$2))</f>
        <v>13016.0470057279</v>
      </c>
      <c r="N477" s="15" t="n">
        <f aca="false">M477*(1+IF(N$3&lt;=$O$2,$D477,$D477-($D477-$I$454)*MIN(N$3-$O$2,$Q$2)/$Q$2))</f>
        <v>13254.2406659327</v>
      </c>
      <c r="O477" s="15" t="n">
        <f aca="false">SUMPRODUCT(E477:N477,1/(1+$F$454)^$E$3:$N$3)*$E$2</f>
        <v>42183.8694084118</v>
      </c>
      <c r="P477" s="15" t="n">
        <f aca="false">N477*$E$2*(1+$I$454)/($F$454-$I$454)/(1+$F$454)^$N$3</f>
        <v>59376.055807677</v>
      </c>
      <c r="Q477" s="15" t="n">
        <f aca="false">O477+P477</f>
        <v>101559.925216089</v>
      </c>
      <c r="R477" s="15" t="n">
        <f aca="false">Q477-$G$2+$I$2</f>
        <v>99969.9252160889</v>
      </c>
      <c r="S477" s="42" t="n">
        <f aca="false">R477/$K$2</f>
        <v>278.018591735049</v>
      </c>
      <c r="T477" s="43" t="n">
        <f aca="false">S477-$M$2</f>
        <v>-0.000207975724833887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0.0921334028244019</v>
      </c>
      <c r="C478" s="25" t="n">
        <f aca="false">IF(T477&gt;0,D477,C477)</f>
        <v>0.0921337604522705</v>
      </c>
      <c r="D478" s="41" t="n">
        <f aca="false">(B478+C478)/2</f>
        <v>0.0921335816383362</v>
      </c>
      <c r="E478" s="15" t="n">
        <f aca="false">$C$2*(1+IF(E$3&lt;=$O$2,$D478,$D478-($D478-$I$454)*MIN(E$3-$O$2,$Q$2)/$Q$2))</f>
        <v>7382.82301187515</v>
      </c>
      <c r="F478" s="15" t="n">
        <f aca="false">E478*(1+IF(F$3&lt;=$O$2,$D478,$D478-($D478-$I$454)*MIN(F$3-$O$2,$Q$2)/$Q$2))</f>
        <v>8063.02893856114</v>
      </c>
      <c r="G478" s="15" t="n">
        <f aca="false">F478*(1+IF(G$3&lt;=$O$2,$D478,$D478-($D478-$I$454)*MIN(G$3-$O$2,$Q$2)/$Q$2))</f>
        <v>8805.90467352433</v>
      </c>
      <c r="H478" s="15" t="n">
        <f aca="false">G478*(1+IF(H$3&lt;=$O$2,$D478,$D478-($D478-$I$454)*MIN(H$3-$O$2,$Q$2)/$Q$2))</f>
        <v>9617.22421066189</v>
      </c>
      <c r="I478" s="15" t="n">
        <f aca="false">H478*(1+IF(I$3&lt;=$O$2,$D478,$D478-($D478-$I$454)*MIN(I$3-$O$2,$Q$2)/$Q$2))</f>
        <v>10503.2935226091</v>
      </c>
      <c r="J478" s="15" t="n">
        <f aca="false">I478*(1+IF(J$3&lt;=$O$2,$D478,$D478-($D478-$I$454)*MIN(J$3-$O$2,$Q$2)/$Q$2))</f>
        <v>11315.9004178912</v>
      </c>
      <c r="K478" s="15" t="n">
        <f aca="false">J478*(1+IF(K$3&lt;=$O$2,$D478,$D478-($D478-$I$454)*MIN(K$3-$O$2,$Q$2)/$Q$2))</f>
        <v>12024.277469928</v>
      </c>
      <c r="L478" s="15" t="n">
        <f aca="false">K478*(1+IF(L$3&lt;=$O$2,$D478,$D478-($D478-$I$454)*MIN(L$3-$O$2,$Q$2)/$Q$2))</f>
        <v>12599.4399365149</v>
      </c>
      <c r="M478" s="15" t="n">
        <f aca="false">L478*(1+IF(M$3&lt;=$O$2,$D478,$D478-($D478-$I$454)*MIN(M$3-$O$2,$Q$2)/$Q$2))</f>
        <v>13016.0620427831</v>
      </c>
      <c r="N478" s="15" t="n">
        <f aca="false">M478*(1+IF(N$3&lt;=$O$2,$D478,$D478-($D478-$I$454)*MIN(N$3-$O$2,$Q$2)/$Q$2))</f>
        <v>13254.255978166</v>
      </c>
      <c r="O478" s="15" t="n">
        <f aca="false">SUMPRODUCT(E478:N478,1/(1+$F$454)^$E$3:$N$3)*$E$2</f>
        <v>42183.9023657437</v>
      </c>
      <c r="P478" s="15" t="n">
        <f aca="false">N478*$E$2*(1+$I$454)/($F$454-$I$454)/(1+$F$454)^$N$3</f>
        <v>59376.1244030831</v>
      </c>
      <c r="Q478" s="15" t="n">
        <f aca="false">O478+P478</f>
        <v>101560.026768827</v>
      </c>
      <c r="R478" s="15" t="n">
        <f aca="false">Q478-$G$2+$I$2</f>
        <v>99970.0267688268</v>
      </c>
      <c r="S478" s="42" t="n">
        <f aca="false">R478/$K$2</f>
        <v>278.018874155478</v>
      </c>
      <c r="T478" s="43" t="n">
        <f aca="false">S478-$M$2</f>
        <v>7.44447043530272E-005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0.0921334028244019</v>
      </c>
      <c r="C479" s="25" t="n">
        <f aca="false">IF(T478&gt;0,D478,C478)</f>
        <v>0.0921335816383362</v>
      </c>
      <c r="D479" s="41" t="n">
        <f aca="false">(B479+C479)/2</f>
        <v>0.092133492231369</v>
      </c>
      <c r="E479" s="15" t="n">
        <f aca="false">$C$2*(1+IF(E$3&lt;=$O$2,$D479,$D479-($D479-$I$454)*MIN(E$3-$O$2,$Q$2)/$Q$2))</f>
        <v>7382.82240748406</v>
      </c>
      <c r="F479" s="15" t="n">
        <f aca="false">E479*(1+IF(F$3&lt;=$O$2,$D479,$D479-($D479-$I$454)*MIN(F$3-$O$2,$Q$2)/$Q$2))</f>
        <v>8063.02761840956</v>
      </c>
      <c r="G479" s="15" t="n">
        <f aca="false">F479*(1+IF(G$3&lt;=$O$2,$D479,$D479-($D479-$I$454)*MIN(G$3-$O$2,$Q$2)/$Q$2))</f>
        <v>8805.90251085161</v>
      </c>
      <c r="H479" s="15" t="n">
        <f aca="false">G479*(1+IF(H$3&lt;=$O$2,$D479,$D479-($D479-$I$454)*MIN(H$3-$O$2,$Q$2)/$Q$2))</f>
        <v>9617.22106142535</v>
      </c>
      <c r="I479" s="15" t="n">
        <f aca="false">H479*(1+IF(I$3&lt;=$O$2,$D479,$D479-($D479-$I$454)*MIN(I$3-$O$2,$Q$2)/$Q$2))</f>
        <v>10503.2892233755</v>
      </c>
      <c r="J479" s="15" t="n">
        <f aca="false">I479*(1+IF(J$3&lt;=$O$2,$D479,$D479-($D479-$I$454)*MIN(J$3-$O$2,$Q$2)/$Q$2))</f>
        <v>11315.8950347857</v>
      </c>
      <c r="K479" s="15" t="n">
        <f aca="false">J479*(1+IF(K$3&lt;=$O$2,$D479,$D479-($D479-$I$454)*MIN(K$3-$O$2,$Q$2)/$Q$2))</f>
        <v>12024.2711428073</v>
      </c>
      <c r="L479" s="15" t="n">
        <f aca="false">K479*(1+IF(L$3&lt;=$O$2,$D479,$D479-($D479-$I$454)*MIN(L$3-$O$2,$Q$2)/$Q$2))</f>
        <v>12599.4328767248</v>
      </c>
      <c r="M479" s="15" t="n">
        <f aca="false">L479*(1+IF(M$3&lt;=$O$2,$D479,$D479-($D479-$I$454)*MIN(M$3-$O$2,$Q$2)/$Q$2))</f>
        <v>13016.0545242536</v>
      </c>
      <c r="N479" s="15" t="n">
        <f aca="false">M479*(1+IF(N$3&lt;=$O$2,$D479,$D479-($D479-$I$454)*MIN(N$3-$O$2,$Q$2)/$Q$2))</f>
        <v>13254.2483220474</v>
      </c>
      <c r="O479" s="15" t="n">
        <f aca="false">SUMPRODUCT(E479:N479,1/(1+$F$454)^$E$3:$N$3)*$E$2</f>
        <v>42183.8858870745</v>
      </c>
      <c r="P479" s="15" t="n">
        <f aca="false">N479*$E$2*(1+$I$454)/($F$454-$I$454)/(1+$F$454)^$N$3</f>
        <v>59376.0901053714</v>
      </c>
      <c r="Q479" s="15" t="n">
        <f aca="false">O479+P479</f>
        <v>101559.975992446</v>
      </c>
      <c r="R479" s="15" t="n">
        <f aca="false">Q479-$G$2+$I$2</f>
        <v>99969.975992446</v>
      </c>
      <c r="S479" s="42" t="n">
        <f aca="false">R479/$K$2</f>
        <v>278.01873294523</v>
      </c>
      <c r="T479" s="43" t="n">
        <f aca="false">S479-$M$2</f>
        <v>-6.67655432948777E-005</v>
      </c>
    </row>
    <row r="481" customFormat="false" ht="15" hidden="false" customHeight="false" outlineLevel="0" collapsed="false">
      <c r="A481" s="38" t="s">
        <v>203</v>
      </c>
      <c r="E481" s="5" t="s">
        <v>11</v>
      </c>
      <c r="F481" s="12" t="n">
        <f aca="false">Sensitivity!$B$13</f>
        <v>0.0824202832668642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167</v>
      </c>
      <c r="B482" s="28" t="s">
        <v>168</v>
      </c>
      <c r="C482" s="28" t="s">
        <v>169</v>
      </c>
      <c r="D482" s="28" t="s">
        <v>170</v>
      </c>
      <c r="E482" s="28" t="s">
        <v>171</v>
      </c>
      <c r="F482" s="28" t="s">
        <v>172</v>
      </c>
      <c r="G482" s="28" t="s">
        <v>173</v>
      </c>
      <c r="H482" s="28" t="s">
        <v>174</v>
      </c>
      <c r="I482" s="28" t="s">
        <v>175</v>
      </c>
      <c r="J482" s="28" t="s">
        <v>176</v>
      </c>
      <c r="K482" s="28" t="s">
        <v>177</v>
      </c>
      <c r="L482" s="28" t="s">
        <v>178</v>
      </c>
      <c r="M482" s="28" t="s">
        <v>179</v>
      </c>
      <c r="N482" s="28" t="s">
        <v>180</v>
      </c>
      <c r="O482" s="28" t="s">
        <v>181</v>
      </c>
      <c r="P482" s="28" t="s">
        <v>182</v>
      </c>
      <c r="Q482" s="28" t="s">
        <v>183</v>
      </c>
      <c r="R482" s="28" t="s">
        <v>184</v>
      </c>
      <c r="S482" s="28" t="s">
        <v>185</v>
      </c>
      <c r="T482" s="28" t="s">
        <v>186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8450</v>
      </c>
      <c r="F483" s="15" t="n">
        <f aca="false">E483*(1+IF(F$3&lt;=$O$2,$D483,$D483-($D483-$I$481)*MIN(F$3-$O$2,$Q$2)/$Q$2))</f>
        <v>10562.5</v>
      </c>
      <c r="G483" s="15" t="n">
        <f aca="false">F483*(1+IF(G$3&lt;=$O$2,$D483,$D483-($D483-$I$481)*MIN(G$3-$O$2,$Q$2)/$Q$2))</f>
        <v>13203.125</v>
      </c>
      <c r="H483" s="15" t="n">
        <f aca="false">G483*(1+IF(H$3&lt;=$O$2,$D483,$D483-($D483-$I$481)*MIN(H$3-$O$2,$Q$2)/$Q$2))</f>
        <v>16503.90625</v>
      </c>
      <c r="I483" s="15" t="n">
        <f aca="false">H483*(1+IF(I$3&lt;=$O$2,$D483,$D483-($D483-$I$481)*MIN(I$3-$O$2,$Q$2)/$Q$2))</f>
        <v>20629.8828125</v>
      </c>
      <c r="J483" s="15" t="n">
        <f aca="false">I483*(1+IF(J$3&lt;=$O$2,$D483,$D483-($D483-$I$481)*MIN(J$3-$O$2,$Q$2)/$Q$2))</f>
        <v>24851.9946289063</v>
      </c>
      <c r="K483" s="15" t="n">
        <f aca="false">J483*(1+IF(K$3&lt;=$O$2,$D483,$D483-($D483-$I$481)*MIN(K$3-$O$2,$Q$2)/$Q$2))</f>
        <v>28811.4144131836</v>
      </c>
      <c r="L483" s="15" t="n">
        <f aca="false">K483*(1+IF(L$3&lt;=$O$2,$D483,$D483-($D483-$I$481)*MIN(L$3-$O$2,$Q$2)/$Q$2))</f>
        <v>32095.3394279983</v>
      </c>
      <c r="M483" s="15" t="n">
        <f aca="false">L483*(1+IF(M$3&lt;=$O$2,$D483,$D483-($D483-$I$481)*MIN(M$3-$O$2,$Q$2)/$Q$2))</f>
        <v>34298.3635263361</v>
      </c>
      <c r="N483" s="15" t="n">
        <f aca="false">M483*(1+IF(N$3&lt;=$O$2,$D483,$D483-($D483-$I$481)*MIN(N$3-$O$2,$Q$2)/$Q$2))</f>
        <v>35097.5153964997</v>
      </c>
      <c r="O483" s="15" t="n">
        <f aca="false">SUMPRODUCT(E483:N483,1/(1+$F$481)^$E$3:$N$3)*$E$2</f>
        <v>84004.6229821174</v>
      </c>
      <c r="P483" s="15" t="n">
        <f aca="false">N483*$E$2*(1+$I$481)/($F$481-$I$481)/(1+$F$481)^$N$3</f>
        <v>171363.775782451</v>
      </c>
      <c r="Q483" s="15" t="n">
        <f aca="false">O483+P483</f>
        <v>255368.398764568</v>
      </c>
      <c r="R483" s="15" t="n">
        <f aca="false">Q483-$G$2+$I$2</f>
        <v>253778.398764568</v>
      </c>
      <c r="S483" s="42" t="n">
        <f aca="false">R483/$K$2</f>
        <v>705.763387186629</v>
      </c>
      <c r="T483" s="43" t="n">
        <f aca="false">S483-$M$2</f>
        <v>427.744587475856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5915</v>
      </c>
      <c r="F484" s="15" t="n">
        <f aca="false">E484*(1+IF(F$3&lt;=$O$2,$D484,$D484-($D484-$I$481)*MIN(F$3-$O$2,$Q$2)/$Q$2))</f>
        <v>5175.625</v>
      </c>
      <c r="G484" s="15" t="n">
        <f aca="false">F484*(1+IF(G$3&lt;=$O$2,$D484,$D484-($D484-$I$481)*MIN(G$3-$O$2,$Q$2)/$Q$2))</f>
        <v>4528.671875</v>
      </c>
      <c r="H484" s="15" t="n">
        <f aca="false">G484*(1+IF(H$3&lt;=$O$2,$D484,$D484-($D484-$I$481)*MIN(H$3-$O$2,$Q$2)/$Q$2))</f>
        <v>3962.587890625</v>
      </c>
      <c r="I484" s="15" t="n">
        <f aca="false">H484*(1+IF(I$3&lt;=$O$2,$D484,$D484-($D484-$I$481)*MIN(I$3-$O$2,$Q$2)/$Q$2))</f>
        <v>3467.26440429688</v>
      </c>
      <c r="J484" s="15" t="n">
        <f aca="false">I484*(1+IF(J$3&lt;=$O$2,$D484,$D484-($D484-$I$481)*MIN(J$3-$O$2,$Q$2)/$Q$2))</f>
        <v>3136.69541599121</v>
      </c>
      <c r="K484" s="15" t="n">
        <f aca="false">J484*(1+IF(K$3&lt;=$O$2,$D484,$D484-($D484-$I$481)*MIN(K$3-$O$2,$Q$2)/$Q$2))</f>
        <v>2930.67726106891</v>
      </c>
      <c r="L484" s="15" t="n">
        <f aca="false">K484*(1+IF(L$3&lt;=$O$2,$D484,$D484-($D484-$I$481)*MIN(L$3-$O$2,$Q$2)/$Q$2))</f>
        <v>2825.11426612521</v>
      </c>
      <c r="M484" s="15" t="n">
        <f aca="false">L484*(1+IF(M$3&lt;=$O$2,$D484,$D484-($D484-$I$481)*MIN(M$3-$O$2,$Q$2)/$Q$2))</f>
        <v>2807.14653939265</v>
      </c>
      <c r="N484" s="15" t="n">
        <f aca="false">M484*(1+IF(N$3&lt;=$O$2,$D484,$D484-($D484-$I$481)*MIN(N$3-$O$2,$Q$2)/$Q$2))</f>
        <v>2872.5530537605</v>
      </c>
      <c r="O484" s="15" t="n">
        <f aca="false">SUMPRODUCT(E484:N484,1/(1+$F$481)^$E$3:$N$3)*$E$2</f>
        <v>16493.3930143074</v>
      </c>
      <c r="P484" s="15" t="n">
        <f aca="false">N484*$E$2*(1+$I$481)/($F$481-$I$481)/(1+$F$481)^$N$3</f>
        <v>14025.2531231</v>
      </c>
      <c r="Q484" s="15" t="n">
        <f aca="false">O484+P484</f>
        <v>30518.6461374075</v>
      </c>
      <c r="R484" s="15" t="n">
        <f aca="false">Q484-$G$2+$I$2</f>
        <v>28928.6461374075</v>
      </c>
      <c r="S484" s="42" t="n">
        <f aca="false">R484/$K$2</f>
        <v>80.4512101268354</v>
      </c>
      <c r="T484" s="43" t="n">
        <f aca="false">S484-$M$2</f>
        <v>-197.567589583938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7182.5</v>
      </c>
      <c r="F485" s="15" t="n">
        <f aca="false">E485*(1+IF(F$3&lt;=$O$2,$D485,$D485-($D485-$I$481)*MIN(F$3-$O$2,$Q$2)/$Q$2))</f>
        <v>7631.40625</v>
      </c>
      <c r="G485" s="15" t="n">
        <f aca="false">F485*(1+IF(G$3&lt;=$O$2,$D485,$D485-($D485-$I$481)*MIN(G$3-$O$2,$Q$2)/$Q$2))</f>
        <v>8108.369140625</v>
      </c>
      <c r="H485" s="15" t="n">
        <f aca="false">G485*(1+IF(H$3&lt;=$O$2,$D485,$D485-($D485-$I$481)*MIN(H$3-$O$2,$Q$2)/$Q$2))</f>
        <v>8615.14221191406</v>
      </c>
      <c r="I485" s="15" t="n">
        <f aca="false">H485*(1+IF(I$3&lt;=$O$2,$D485,$D485-($D485-$I$481)*MIN(I$3-$O$2,$Q$2)/$Q$2))</f>
        <v>9153.58860015869</v>
      </c>
      <c r="J485" s="15" t="n">
        <f aca="false">I485*(1+IF(J$3&lt;=$O$2,$D485,$D485-($D485-$I$481)*MIN(J$3-$O$2,$Q$2)/$Q$2))</f>
        <v>9653.92375304337</v>
      </c>
      <c r="K485" s="15" t="n">
        <f aca="false">J485*(1+IF(K$3&lt;=$O$2,$D485,$D485-($D485-$I$481)*MIN(K$3-$O$2,$Q$2)/$Q$2))</f>
        <v>10105.9204631609</v>
      </c>
      <c r="L485" s="15" t="n">
        <f aca="false">K485*(1+IF(L$3&lt;=$O$2,$D485,$D485-($D485-$I$481)*MIN(L$3-$O$2,$Q$2)/$Q$2))</f>
        <v>10499.8492428149</v>
      </c>
      <c r="M485" s="15" t="n">
        <f aca="false">L485*(1+IF(M$3&lt;=$O$2,$D485,$D485-($D485-$I$481)*MIN(M$3-$O$2,$Q$2)/$Q$2))</f>
        <v>10826.8145482361</v>
      </c>
      <c r="N485" s="15" t="n">
        <f aca="false">M485*(1+IF(N$3&lt;=$O$2,$D485,$D485-($D485-$I$481)*MIN(N$3-$O$2,$Q$2)/$Q$2))</f>
        <v>11079.07932721</v>
      </c>
      <c r="O485" s="15" t="n">
        <f aca="false">SUMPRODUCT(E485:N485,1/(1+$F$481)^$E$3:$N$3)*$E$2</f>
        <v>37170.5793338936</v>
      </c>
      <c r="P485" s="15" t="n">
        <f aca="false">N485*$E$2*(1+$I$481)/($F$481-$I$481)/(1+$F$481)^$N$3</f>
        <v>54093.654330111</v>
      </c>
      <c r="Q485" s="15" t="n">
        <f aca="false">O485+P485</f>
        <v>91264.2336640046</v>
      </c>
      <c r="R485" s="15" t="n">
        <f aca="false">Q485-$G$2+$I$2</f>
        <v>89674.2336640046</v>
      </c>
      <c r="S485" s="42" t="n">
        <f aca="false">R485/$K$2</f>
        <v>249.386043895669</v>
      </c>
      <c r="T485" s="43" t="n">
        <f aca="false">S485-$M$2</f>
        <v>-28.6327558151048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41" t="n">
        <f aca="false">(B486+C486)/2</f>
        <v>0.15625</v>
      </c>
      <c r="E486" s="15" t="n">
        <f aca="false">$C$2*(1+IF(E$3&lt;=$O$2,$D486,$D486-($D486-$I$481)*MIN(E$3-$O$2,$Q$2)/$Q$2))</f>
        <v>7816.25</v>
      </c>
      <c r="F486" s="15" t="n">
        <f aca="false">E486*(1+IF(F$3&lt;=$O$2,$D486,$D486-($D486-$I$481)*MIN(F$3-$O$2,$Q$2)/$Q$2))</f>
        <v>9037.5390625</v>
      </c>
      <c r="G486" s="15" t="n">
        <f aca="false">F486*(1+IF(G$3&lt;=$O$2,$D486,$D486-($D486-$I$481)*MIN(G$3-$O$2,$Q$2)/$Q$2))</f>
        <v>10449.6545410156</v>
      </c>
      <c r="H486" s="15" t="n">
        <f aca="false">G486*(1+IF(H$3&lt;=$O$2,$D486,$D486-($D486-$I$481)*MIN(H$3-$O$2,$Q$2)/$Q$2))</f>
        <v>12082.4130630493</v>
      </c>
      <c r="I486" s="15" t="n">
        <f aca="false">H486*(1+IF(I$3&lt;=$O$2,$D486,$D486-($D486-$I$481)*MIN(I$3-$O$2,$Q$2)/$Q$2))</f>
        <v>13970.2901041508</v>
      </c>
      <c r="J486" s="15" t="n">
        <f aca="false">I486*(1+IF(J$3&lt;=$O$2,$D486,$D486-($D486-$I$481)*MIN(J$3-$O$2,$Q$2)/$Q$2))</f>
        <v>15781.677919055</v>
      </c>
      <c r="K486" s="15" t="n">
        <f aca="false">J486*(1+IF(K$3&lt;=$O$2,$D486,$D486-($D486-$I$481)*MIN(K$3-$O$2,$Q$2)/$Q$2))</f>
        <v>17408.295462172</v>
      </c>
      <c r="L486" s="15" t="n">
        <f aca="false">K486*(1+IF(L$3&lt;=$O$2,$D486,$D486-($D486-$I$481)*MIN(L$3-$O$2,$Q$2)/$Q$2))</f>
        <v>18739.6818991189</v>
      </c>
      <c r="M486" s="15" t="n">
        <f aca="false">L486*(1+IF(M$3&lt;=$O$2,$D486,$D486-($D486-$I$481)*MIN(M$3-$O$2,$Q$2)/$Q$2))</f>
        <v>19674.6046290659</v>
      </c>
      <c r="N486" s="15" t="n">
        <f aca="false">M486*(1+IF(N$3&lt;=$O$2,$D486,$D486-($D486-$I$481)*MIN(N$3-$O$2,$Q$2)/$Q$2))</f>
        <v>20133.0229169231</v>
      </c>
      <c r="O486" s="15" t="n">
        <f aca="false">SUMPRODUCT(E486:N486,1/(1+$F$481)^$E$3:$N$3)*$E$2</f>
        <v>55988.1296281568</v>
      </c>
      <c r="P486" s="15" t="n">
        <f aca="false">N486*$E$2*(1+$I$481)/($F$481-$I$481)/(1+$F$481)^$N$3</f>
        <v>98299.5743710861</v>
      </c>
      <c r="Q486" s="15" t="n">
        <f aca="false">O486+P486</f>
        <v>154287.703999243</v>
      </c>
      <c r="R486" s="15" t="n">
        <f aca="false">Q486-$G$2+$I$2</f>
        <v>152697.703999243</v>
      </c>
      <c r="S486" s="42" t="n">
        <f aca="false">R486/$K$2</f>
        <v>424.655720560773</v>
      </c>
      <c r="T486" s="43" t="n">
        <f aca="false">S486-$M$2</f>
        <v>146.63692085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0.0625</v>
      </c>
      <c r="C487" s="25" t="n">
        <f aca="false">IF(T486&gt;0,D486,C486)</f>
        <v>0.15625</v>
      </c>
      <c r="D487" s="41" t="n">
        <f aca="false">(B487+C487)/2</f>
        <v>0.109375</v>
      </c>
      <c r="E487" s="15" t="n">
        <f aca="false">$C$2*(1+IF(E$3&lt;=$O$2,$D487,$D487-($D487-$I$481)*MIN(E$3-$O$2,$Q$2)/$Q$2))</f>
        <v>7499.375</v>
      </c>
      <c r="F487" s="15" t="n">
        <f aca="false">E487*(1+IF(F$3&lt;=$O$2,$D487,$D487-($D487-$I$481)*MIN(F$3-$O$2,$Q$2)/$Q$2))</f>
        <v>8319.619140625</v>
      </c>
      <c r="G487" s="15" t="n">
        <f aca="false">F487*(1+IF(G$3&lt;=$O$2,$D487,$D487-($D487-$I$481)*MIN(G$3-$O$2,$Q$2)/$Q$2))</f>
        <v>9229.57748413086</v>
      </c>
      <c r="H487" s="15" t="n">
        <f aca="false">G487*(1+IF(H$3&lt;=$O$2,$D487,$D487-($D487-$I$481)*MIN(H$3-$O$2,$Q$2)/$Q$2))</f>
        <v>10239.0625214577</v>
      </c>
      <c r="I487" s="15" t="n">
        <f aca="false">H487*(1+IF(I$3&lt;=$O$2,$D487,$D487-($D487-$I$481)*MIN(I$3-$O$2,$Q$2)/$Q$2))</f>
        <v>11358.9599847421</v>
      </c>
      <c r="J487" s="15" t="n">
        <f aca="false">I487*(1+IF(J$3&lt;=$O$2,$D487,$D487-($D487-$I$481)*MIN(J$3-$O$2,$Q$2)/$Q$2))</f>
        <v>12405.8017369359</v>
      </c>
      <c r="K487" s="15" t="n">
        <f aca="false">J487*(1+IF(K$3&lt;=$O$2,$D487,$D487-($D487-$I$481)*MIN(K$3-$O$2,$Q$2)/$Q$2))</f>
        <v>13335.5545481106</v>
      </c>
      <c r="L487" s="15" t="n">
        <f aca="false">K487*(1+IF(L$3&lt;=$O$2,$D487,$D487-($D487-$I$481)*MIN(L$3-$O$2,$Q$2)/$Q$2))</f>
        <v>14105.416112173</v>
      </c>
      <c r="M487" s="15" t="n">
        <f aca="false">L487*(1+IF(M$3&lt;=$O$2,$D487,$D487-($D487-$I$481)*MIN(M$3-$O$2,$Q$2)/$Q$2))</f>
        <v>14676.8970459577</v>
      </c>
      <c r="N487" s="15" t="n">
        <f aca="false">M487*(1+IF(N$3&lt;=$O$2,$D487,$D487-($D487-$I$481)*MIN(N$3-$O$2,$Q$2)/$Q$2))</f>
        <v>15018.8687471285</v>
      </c>
      <c r="O487" s="15" t="n">
        <f aca="false">SUMPRODUCT(E487:N487,1/(1+$F$481)^$E$3:$N$3)*$E$2</f>
        <v>45629.8847892424</v>
      </c>
      <c r="P487" s="15" t="n">
        <f aca="false">N487*$E$2*(1+$I$481)/($F$481-$I$481)/(1+$F$481)^$N$3</f>
        <v>73329.6937807076</v>
      </c>
      <c r="Q487" s="15" t="n">
        <f aca="false">O487+P487</f>
        <v>118959.57856995</v>
      </c>
      <c r="R487" s="15" t="n">
        <f aca="false">Q487-$G$2+$I$2</f>
        <v>117369.57856995</v>
      </c>
      <c r="S487" s="42" t="n">
        <f aca="false">R487/$K$2</f>
        <v>326.407415790506</v>
      </c>
      <c r="T487" s="43" t="n">
        <f aca="false">S487-$M$2</f>
        <v>48.388616079732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0.0625</v>
      </c>
      <c r="C488" s="25" t="n">
        <f aca="false">IF(T487&gt;0,D487,C487)</f>
        <v>0.109375</v>
      </c>
      <c r="D488" s="41" t="n">
        <f aca="false">(B488+C488)/2</f>
        <v>0.0859375</v>
      </c>
      <c r="E488" s="15" t="n">
        <f aca="false">$C$2*(1+IF(E$3&lt;=$O$2,$D488,$D488-($D488-$I$481)*MIN(E$3-$O$2,$Q$2)/$Q$2))</f>
        <v>7340.9375</v>
      </c>
      <c r="F488" s="15" t="n">
        <f aca="false">E488*(1+IF(F$3&lt;=$O$2,$D488,$D488-($D488-$I$481)*MIN(F$3-$O$2,$Q$2)/$Q$2))</f>
        <v>7971.79931640625</v>
      </c>
      <c r="G488" s="15" t="n">
        <f aca="false">F488*(1+IF(G$3&lt;=$O$2,$D488,$D488-($D488-$I$481)*MIN(G$3-$O$2,$Q$2)/$Q$2))</f>
        <v>8656.87582015991</v>
      </c>
      <c r="H488" s="15" t="n">
        <f aca="false">G488*(1+IF(H$3&lt;=$O$2,$D488,$D488-($D488-$I$481)*MIN(H$3-$O$2,$Q$2)/$Q$2))</f>
        <v>9400.82608595491</v>
      </c>
      <c r="I488" s="15" t="n">
        <f aca="false">H488*(1+IF(I$3&lt;=$O$2,$D488,$D488-($D488-$I$481)*MIN(I$3-$O$2,$Q$2)/$Q$2))</f>
        <v>10208.7095777167</v>
      </c>
      <c r="J488" s="15" t="n">
        <f aca="false">I488*(1+IF(J$3&lt;=$O$2,$D488,$D488-($D488-$I$481)*MIN(J$3-$O$2,$Q$2)/$Q$2))</f>
        <v>10958.1309478168</v>
      </c>
      <c r="K488" s="15" t="n">
        <f aca="false">J488*(1+IF(K$3&lt;=$O$2,$D488,$D488-($D488-$I$481)*MIN(K$3-$O$2,$Q$2)/$Q$2))</f>
        <v>11625.2893552473</v>
      </c>
      <c r="L488" s="15" t="n">
        <f aca="false">K488*(1+IF(L$3&lt;=$O$2,$D488,$D488-($D488-$I$481)*MIN(L$3-$O$2,$Q$2)/$Q$2))</f>
        <v>12187.4302220203</v>
      </c>
      <c r="M488" s="15" t="n">
        <f aca="false">L488*(1+IF(M$3&lt;=$O$2,$D488,$D488-($D488-$I$481)*MIN(M$3-$O$2,$Q$2)/$Q$2))</f>
        <v>12624.0753782997</v>
      </c>
      <c r="N488" s="15" t="n">
        <f aca="false">M488*(1+IF(N$3&lt;=$O$2,$D488,$D488-($D488-$I$481)*MIN(N$3-$O$2,$Q$2)/$Q$2))</f>
        <v>12918.2163346141</v>
      </c>
      <c r="O488" s="15" t="n">
        <f aca="false">SUMPRODUCT(E488:N488,1/(1+$F$481)^$E$3:$N$3)*$E$2</f>
        <v>41184.5647760068</v>
      </c>
      <c r="P488" s="15" t="n">
        <f aca="false">N488*$E$2*(1+$I$481)/($F$481-$I$481)/(1+$F$481)^$N$3</f>
        <v>63073.2489882967</v>
      </c>
      <c r="Q488" s="15" t="n">
        <f aca="false">O488+P488</f>
        <v>104257.813764303</v>
      </c>
      <c r="R488" s="15" t="n">
        <f aca="false">Q488-$G$2+$I$2</f>
        <v>102667.813764303</v>
      </c>
      <c r="S488" s="42" t="n">
        <f aca="false">R488/$K$2</f>
        <v>285.521479960797</v>
      </c>
      <c r="T488" s="43" t="n">
        <f aca="false">S488-$M$2</f>
        <v>7.50268025002362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0.0625</v>
      </c>
      <c r="C489" s="25" t="n">
        <f aca="false">IF(T488&gt;0,D488,C488)</f>
        <v>0.0859375</v>
      </c>
      <c r="D489" s="41" t="n">
        <f aca="false">(B489+C489)/2</f>
        <v>0.07421875</v>
      </c>
      <c r="E489" s="15" t="n">
        <f aca="false">$C$2*(1+IF(E$3&lt;=$O$2,$D489,$D489-($D489-$I$481)*MIN(E$3-$O$2,$Q$2)/$Q$2))</f>
        <v>7261.71875</v>
      </c>
      <c r="F489" s="15" t="n">
        <f aca="false">E489*(1+IF(F$3&lt;=$O$2,$D489,$D489-($D489-$I$481)*MIN(F$3-$O$2,$Q$2)/$Q$2))</f>
        <v>7800.67443847656</v>
      </c>
      <c r="G489" s="15" t="n">
        <f aca="false">F489*(1+IF(G$3&lt;=$O$2,$D489,$D489-($D489-$I$481)*MIN(G$3-$O$2,$Q$2)/$Q$2))</f>
        <v>8379.63074445725</v>
      </c>
      <c r="H489" s="15" t="n">
        <f aca="false">G489*(1+IF(H$3&lt;=$O$2,$D489,$D489-($D489-$I$481)*MIN(H$3-$O$2,$Q$2)/$Q$2))</f>
        <v>9001.55646377243</v>
      </c>
      <c r="I489" s="15" t="n">
        <f aca="false">H489*(1+IF(I$3&lt;=$O$2,$D489,$D489-($D489-$I$481)*MIN(I$3-$O$2,$Q$2)/$Q$2))</f>
        <v>9669.64073256804</v>
      </c>
      <c r="J489" s="15" t="n">
        <f aca="false">I489*(1+IF(J$3&lt;=$O$2,$D489,$D489-($D489-$I$481)*MIN(J$3-$O$2,$Q$2)/$Q$2))</f>
        <v>10288.836176878</v>
      </c>
      <c r="K489" s="15" t="n">
        <f aca="false">J489*(1+IF(K$3&lt;=$O$2,$D489,$D489-($D489-$I$481)*MIN(K$3-$O$2,$Q$2)/$Q$2))</f>
        <v>10842.9028660481</v>
      </c>
      <c r="L489" s="15" t="n">
        <f aca="false">K489*(1+IF(L$3&lt;=$O$2,$D489,$D489-($D489-$I$481)*MIN(L$3-$O$2,$Q$2)/$Q$2))</f>
        <v>11316.3853269513</v>
      </c>
      <c r="M489" s="15" t="n">
        <f aca="false">L489*(1+IF(M$3&lt;=$O$2,$D489,$D489-($D489-$I$481)*MIN(M$3-$O$2,$Q$2)/$Q$2))</f>
        <v>11695.3003441426</v>
      </c>
      <c r="N489" s="15" t="n">
        <f aca="false">M489*(1+IF(N$3&lt;=$O$2,$D489,$D489-($D489-$I$481)*MIN(N$3-$O$2,$Q$2)/$Q$2))</f>
        <v>11967.8008421611</v>
      </c>
      <c r="O489" s="15" t="n">
        <f aca="false">SUMPRODUCT(E489:N489,1/(1+$F$481)^$E$3:$N$3)*$E$2</f>
        <v>39126.178547069</v>
      </c>
      <c r="P489" s="15" t="n">
        <f aca="false">N489*$E$2*(1+$I$481)/($F$481-$I$481)/(1+$F$481)^$N$3</f>
        <v>58432.841098765</v>
      </c>
      <c r="Q489" s="15" t="n">
        <f aca="false">O489+P489</f>
        <v>97559.019645834</v>
      </c>
      <c r="R489" s="15" t="n">
        <f aca="false">Q489-$G$2+$I$2</f>
        <v>95969.019645834</v>
      </c>
      <c r="S489" s="42" t="n">
        <f aca="false">R489/$K$2</f>
        <v>266.891984108777</v>
      </c>
      <c r="T489" s="43" t="n">
        <f aca="false">S489-$M$2</f>
        <v>-11.1268156019968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0.07421875</v>
      </c>
      <c r="C490" s="25" t="n">
        <f aca="false">IF(T489&gt;0,D489,C489)</f>
        <v>0.0859375</v>
      </c>
      <c r="D490" s="41" t="n">
        <f aca="false">(B490+C490)/2</f>
        <v>0.080078125</v>
      </c>
      <c r="E490" s="15" t="n">
        <f aca="false">$C$2*(1+IF(E$3&lt;=$O$2,$D490,$D490-($D490-$I$481)*MIN(E$3-$O$2,$Q$2)/$Q$2))</f>
        <v>7301.328125</v>
      </c>
      <c r="F490" s="15" t="n">
        <f aca="false">E490*(1+IF(F$3&lt;=$O$2,$D490,$D490-($D490-$I$481)*MIN(F$3-$O$2,$Q$2)/$Q$2))</f>
        <v>7886.00479125977</v>
      </c>
      <c r="G490" s="15" t="n">
        <f aca="false">F490*(1+IF(G$3&lt;=$O$2,$D490,$D490-($D490-$I$481)*MIN(G$3-$O$2,$Q$2)/$Q$2))</f>
        <v>8517.50126868486</v>
      </c>
      <c r="H490" s="15" t="n">
        <f aca="false">G490*(1+IF(H$3&lt;=$O$2,$D490,$D490-($D490-$I$481)*MIN(H$3-$O$2,$Q$2)/$Q$2))</f>
        <v>9199.56679996627</v>
      </c>
      <c r="I490" s="15" t="n">
        <f aca="false">H490*(1+IF(I$3&lt;=$O$2,$D490,$D490-($D490-$I$481)*MIN(I$3-$O$2,$Q$2)/$Q$2))</f>
        <v>9936.25086011982</v>
      </c>
      <c r="J490" s="15" t="n">
        <f aca="false">I490*(1+IF(J$3&lt;=$O$2,$D490,$D490-($D490-$I$481)*MIN(J$3-$O$2,$Q$2)/$Q$2))</f>
        <v>10619.0948598544</v>
      </c>
      <c r="K490" s="15" t="n">
        <f aca="false">J490*(1+IF(K$3&lt;=$O$2,$D490,$D490-($D490-$I$481)*MIN(K$3-$O$2,$Q$2)/$Q$2))</f>
        <v>11228.2791472928</v>
      </c>
      <c r="L490" s="15" t="n">
        <f aca="false">K490*(1+IF(L$3&lt;=$O$2,$D490,$D490-($D490-$I$481)*MIN(L$3-$O$2,$Q$2)/$Q$2))</f>
        <v>11744.9063062087</v>
      </c>
      <c r="M490" s="15" t="n">
        <f aca="false">L490*(1+IF(M$3&lt;=$O$2,$D490,$D490-($D490-$I$481)*MIN(M$3-$O$2,$Q$2)/$Q$2))</f>
        <v>12151.9333748168</v>
      </c>
      <c r="N490" s="15" t="n">
        <f aca="false">M490*(1+IF(N$3&lt;=$O$2,$D490,$D490-($D490-$I$481)*MIN(N$3-$O$2,$Q$2)/$Q$2))</f>
        <v>12435.07342245</v>
      </c>
      <c r="O490" s="15" t="n">
        <f aca="false">SUMPRODUCT(E490:N490,1/(1+$F$481)^$E$3:$N$3)*$E$2</f>
        <v>40142.2159511941</v>
      </c>
      <c r="P490" s="15" t="n">
        <f aca="false">N490*$E$2*(1+$I$481)/($F$481-$I$481)/(1+$F$481)^$N$3</f>
        <v>60714.3015603765</v>
      </c>
      <c r="Q490" s="15" t="n">
        <f aca="false">O490+P490</f>
        <v>100856.517511571</v>
      </c>
      <c r="R490" s="15" t="n">
        <f aca="false">Q490-$G$2+$I$2</f>
        <v>99266.5175115706</v>
      </c>
      <c r="S490" s="42" t="n">
        <f aca="false">R490/$K$2</f>
        <v>276.06239922012</v>
      </c>
      <c r="T490" s="43" t="n">
        <f aca="false">S490-$M$2</f>
        <v>-1.95640049065406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0.080078125</v>
      </c>
      <c r="C491" s="25" t="n">
        <f aca="false">IF(T490&gt;0,D490,C490)</f>
        <v>0.0859375</v>
      </c>
      <c r="D491" s="41" t="n">
        <f aca="false">(B491+C491)/2</f>
        <v>0.0830078125</v>
      </c>
      <c r="E491" s="15" t="n">
        <f aca="false">$C$2*(1+IF(E$3&lt;=$O$2,$D491,$D491-($D491-$I$481)*MIN(E$3-$O$2,$Q$2)/$Q$2))</f>
        <v>7321.1328125</v>
      </c>
      <c r="F491" s="15" t="n">
        <f aca="false">E491*(1+IF(F$3&lt;=$O$2,$D491,$D491-($D491-$I$481)*MIN(F$3-$O$2,$Q$2)/$Q$2))</f>
        <v>7928.8440322876</v>
      </c>
      <c r="G491" s="15" t="n">
        <f aca="false">F491*(1+IF(G$3&lt;=$O$2,$D491,$D491-($D491-$I$481)*MIN(G$3-$O$2,$Q$2)/$Q$2))</f>
        <v>8587.00003106147</v>
      </c>
      <c r="H491" s="15" t="n">
        <f aca="false">G491*(1+IF(H$3&lt;=$O$2,$D491,$D491-($D491-$I$481)*MIN(H$3-$O$2,$Q$2)/$Q$2))</f>
        <v>9299.78811957732</v>
      </c>
      <c r="I491" s="15" t="n">
        <f aca="false">H491*(1+IF(I$3&lt;=$O$2,$D491,$D491-($D491-$I$481)*MIN(I$3-$O$2,$Q$2)/$Q$2))</f>
        <v>10071.7431880969</v>
      </c>
      <c r="J491" s="15" t="n">
        <f aca="false">I491*(1+IF(J$3&lt;=$O$2,$D491,$D491-($D491-$I$481)*MIN(J$3-$O$2,$Q$2)/$Q$2))</f>
        <v>10787.504207438</v>
      </c>
      <c r="K491" s="15" t="n">
        <f aca="false">J491*(1+IF(K$3&lt;=$O$2,$D491,$D491-($D491-$I$481)*MIN(K$3-$O$2,$Q$2)/$Q$2))</f>
        <v>11425.3120226077</v>
      </c>
      <c r="L491" s="15" t="n">
        <f aca="false">K491*(1+IF(L$3&lt;=$O$2,$D491,$D491-($D491-$I$481)*MIN(L$3-$O$2,$Q$2)/$Q$2))</f>
        <v>11964.3939479344</v>
      </c>
      <c r="M491" s="15" t="n">
        <f aca="false">L491*(1+IF(M$3&lt;=$O$2,$D491,$D491-($D491-$I$481)*MIN(M$3-$O$2,$Q$2)/$Q$2))</f>
        <v>12386.0378850252</v>
      </c>
      <c r="N491" s="15" t="n">
        <f aca="false">M491*(1+IF(N$3&lt;=$O$2,$D491,$D491-($D491-$I$481)*MIN(N$3-$O$2,$Q$2)/$Q$2))</f>
        <v>12674.6325677463</v>
      </c>
      <c r="O491" s="15" t="n">
        <f aca="false">SUMPRODUCT(E491:N491,1/(1+$F$481)^$E$3:$N$3)*$E$2</f>
        <v>40660.0623230488</v>
      </c>
      <c r="P491" s="15" t="n">
        <f aca="false">N491*$E$2*(1+$I$481)/($F$481-$I$481)/(1+$F$481)^$N$3</f>
        <v>61883.9501579315</v>
      </c>
      <c r="Q491" s="15" t="n">
        <f aca="false">O491+P491</f>
        <v>102544.01248098</v>
      </c>
      <c r="R491" s="15" t="n">
        <f aca="false">Q491-$G$2+$I$2</f>
        <v>100954.01248098</v>
      </c>
      <c r="S491" s="42" t="n">
        <f aca="false">R491/$K$2</f>
        <v>280.755360367596</v>
      </c>
      <c r="T491" s="43" t="n">
        <f aca="false">S491-$M$2</f>
        <v>2.73656065682252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0.080078125</v>
      </c>
      <c r="C492" s="25" t="n">
        <f aca="false">IF(T491&gt;0,D491,C491)</f>
        <v>0.0830078125</v>
      </c>
      <c r="D492" s="41" t="n">
        <f aca="false">(B492+C492)/2</f>
        <v>0.08154296875</v>
      </c>
      <c r="E492" s="15" t="n">
        <f aca="false">$C$2*(1+IF(E$3&lt;=$O$2,$D492,$D492-($D492-$I$481)*MIN(E$3-$O$2,$Q$2)/$Q$2))</f>
        <v>7311.23046875</v>
      </c>
      <c r="F492" s="15" t="n">
        <f aca="false">E492*(1+IF(F$3&lt;=$O$2,$D492,$D492-($D492-$I$481)*MIN(F$3-$O$2,$Q$2)/$Q$2))</f>
        <v>7907.40990638733</v>
      </c>
      <c r="G492" s="15" t="n">
        <f aca="false">F492*(1+IF(G$3&lt;=$O$2,$D492,$D492-($D492-$I$481)*MIN(G$3-$O$2,$Q$2)/$Q$2))</f>
        <v>8552.20358527731</v>
      </c>
      <c r="H492" s="15" t="n">
        <f aca="false">G492*(1+IF(H$3&lt;=$O$2,$D492,$D492-($D492-$I$481)*MIN(H$3-$O$2,$Q$2)/$Q$2))</f>
        <v>9249.57565497522</v>
      </c>
      <c r="I492" s="15" t="n">
        <f aca="false">H492*(1+IF(I$3&lt;=$O$2,$D492,$D492-($D492-$I$481)*MIN(I$3-$O$2,$Q$2)/$Q$2))</f>
        <v>10003.8135135596</v>
      </c>
      <c r="J492" s="15" t="n">
        <f aca="false">I492*(1+IF(J$3&lt;=$O$2,$D492,$D492-($D492-$I$481)*MIN(J$3-$O$2,$Q$2)/$Q$2))</f>
        <v>10703.0238067064</v>
      </c>
      <c r="K492" s="15" t="n">
        <f aca="false">J492*(1+IF(K$3&lt;=$O$2,$D492,$D492-($D492-$I$481)*MIN(K$3-$O$2,$Q$2)/$Q$2))</f>
        <v>11326.4297900654</v>
      </c>
      <c r="L492" s="15" t="n">
        <f aca="false">K492*(1+IF(L$3&lt;=$O$2,$D492,$D492-($D492-$I$481)*MIN(L$3-$O$2,$Q$2)/$Q$2))</f>
        <v>11854.2095626987</v>
      </c>
      <c r="M492" s="15" t="n">
        <f aca="false">L492*(1+IF(M$3&lt;=$O$2,$D492,$D492-($D492-$I$481)*MIN(M$3-$O$2,$Q$2)/$Q$2))</f>
        <v>12268.4975169328</v>
      </c>
      <c r="N492" s="15" t="n">
        <f aca="false">M492*(1+IF(N$3&lt;=$O$2,$D492,$D492-($D492-$I$481)*MIN(N$3-$O$2,$Q$2)/$Q$2))</f>
        <v>12554.3535090773</v>
      </c>
      <c r="O492" s="15" t="n">
        <f aca="false">SUMPRODUCT(E492:N492,1/(1+$F$481)^$E$3:$N$3)*$E$2</f>
        <v>40400.3120475326</v>
      </c>
      <c r="P492" s="15" t="n">
        <f aca="false">N492*$E$2*(1+$I$481)/($F$481-$I$481)/(1+$F$481)^$N$3</f>
        <v>61296.6871164249</v>
      </c>
      <c r="Q492" s="15" t="n">
        <f aca="false">O492+P492</f>
        <v>101696.999163958</v>
      </c>
      <c r="R492" s="15" t="n">
        <f aca="false">Q492-$G$2+$I$2</f>
        <v>100106.999163958</v>
      </c>
      <c r="S492" s="42" t="n">
        <f aca="false">R492/$K$2</f>
        <v>278.399797441342</v>
      </c>
      <c r="T492" s="43" t="n">
        <f aca="false">S492-$M$2</f>
        <v>0.380997730567799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0.080078125</v>
      </c>
      <c r="C493" s="25" t="n">
        <f aca="false">IF(T492&gt;0,D492,C492)</f>
        <v>0.08154296875</v>
      </c>
      <c r="D493" s="41" t="n">
        <f aca="false">(B493+C493)/2</f>
        <v>0.080810546875</v>
      </c>
      <c r="E493" s="15" t="n">
        <f aca="false">$C$2*(1+IF(E$3&lt;=$O$2,$D493,$D493-($D493-$I$481)*MIN(E$3-$O$2,$Q$2)/$Q$2))</f>
        <v>7306.279296875</v>
      </c>
      <c r="F493" s="15" t="n">
        <f aca="false">E493*(1+IF(F$3&lt;=$O$2,$D493,$D493-($D493-$I$481)*MIN(F$3-$O$2,$Q$2)/$Q$2))</f>
        <v>7896.70372247696</v>
      </c>
      <c r="G493" s="15" t="n">
        <f aca="false">F493*(1+IF(G$3&lt;=$O$2,$D493,$D493-($D493-$I$481)*MIN(G$3-$O$2,$Q$2)/$Q$2))</f>
        <v>8534.84066880017</v>
      </c>
      <c r="H493" s="15" t="n">
        <f aca="false">G493*(1+IF(H$3&lt;=$O$2,$D493,$D493-($D493-$I$481)*MIN(H$3-$O$2,$Q$2)/$Q$2))</f>
        <v>9224.5458107369</v>
      </c>
      <c r="I493" s="15" t="n">
        <f aca="false">H493*(1+IF(I$3&lt;=$O$2,$D493,$D493-($D493-$I$481)*MIN(I$3-$O$2,$Q$2)/$Q$2))</f>
        <v>9969.98640237604</v>
      </c>
      <c r="J493" s="15" t="n">
        <f aca="false">I493*(1+IF(J$3&lt;=$O$2,$D493,$D493-($D493-$I$481)*MIN(J$3-$O$2,$Q$2)/$Q$2))</f>
        <v>10660.990581821</v>
      </c>
      <c r="K493" s="15" t="n">
        <f aca="false">J493*(1+IF(K$3&lt;=$O$2,$D493,$D493-($D493-$I$481)*MIN(K$3-$O$2,$Q$2)/$Q$2))</f>
        <v>11277.2633015313</v>
      </c>
      <c r="L493" s="15" t="n">
        <f aca="false">K493*(1+IF(L$3&lt;=$O$2,$D493,$D493-($D493-$I$481)*MIN(L$3-$O$2,$Q$2)/$Q$2))</f>
        <v>11799.4481683467</v>
      </c>
      <c r="M493" s="15" t="n">
        <f aca="false">L493*(1+IF(M$3&lt;=$O$2,$D493,$D493-($D493-$I$481)*MIN(M$3-$O$2,$Q$2)/$Q$2))</f>
        <v>12210.0938540661</v>
      </c>
      <c r="N493" s="15" t="n">
        <f aca="false">M493*(1+IF(N$3&lt;=$O$2,$D493,$D493-($D493-$I$481)*MIN(N$3-$O$2,$Q$2)/$Q$2))</f>
        <v>12494.5890408659</v>
      </c>
      <c r="O493" s="15" t="n">
        <f aca="false">SUMPRODUCT(E493:N493,1/(1+$F$481)^$E$3:$N$3)*$E$2</f>
        <v>40271.0578392743</v>
      </c>
      <c r="P493" s="15" t="n">
        <f aca="false">N493*$E$2*(1+$I$481)/($F$481-$I$481)/(1+$F$481)^$N$3</f>
        <v>61004.8868332812</v>
      </c>
      <c r="Q493" s="15" t="n">
        <f aca="false">O493+P493</f>
        <v>101275.944672556</v>
      </c>
      <c r="R493" s="15" t="n">
        <f aca="false">Q493-$G$2+$I$2</f>
        <v>99685.9446725556</v>
      </c>
      <c r="S493" s="42" t="n">
        <f aca="false">R493/$K$2</f>
        <v>277.228835509638</v>
      </c>
      <c r="T493" s="43" t="n">
        <f aca="false">S493-$M$2</f>
        <v>-0.789964201135831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0.080810546875</v>
      </c>
      <c r="C494" s="25" t="n">
        <f aca="false">IF(T493&gt;0,D493,C493)</f>
        <v>0.08154296875</v>
      </c>
      <c r="D494" s="41" t="n">
        <f aca="false">(B494+C494)/2</f>
        <v>0.0811767578125</v>
      </c>
      <c r="E494" s="15" t="n">
        <f aca="false">$C$2*(1+IF(E$3&lt;=$O$2,$D494,$D494-($D494-$I$481)*MIN(E$3-$O$2,$Q$2)/$Q$2))</f>
        <v>7308.7548828125</v>
      </c>
      <c r="F494" s="15" t="n">
        <f aca="false">E494*(1+IF(F$3&lt;=$O$2,$D494,$D494-($D494-$I$481)*MIN(F$3-$O$2,$Q$2)/$Q$2))</f>
        <v>7902.0559078455</v>
      </c>
      <c r="G494" s="15" t="n">
        <f aca="false">F494*(1+IF(G$3&lt;=$O$2,$D494,$D494-($D494-$I$481)*MIN(G$3-$O$2,$Q$2)/$Q$2))</f>
        <v>8543.51918649751</v>
      </c>
      <c r="H494" s="15" t="n">
        <f aca="false">G494*(1+IF(H$3&lt;=$O$2,$D494,$D494-($D494-$I$481)*MIN(H$3-$O$2,$Q$2)/$Q$2))</f>
        <v>9237.05437436626</v>
      </c>
      <c r="I494" s="15" t="n">
        <f aca="false">H494*(1+IF(I$3&lt;=$O$2,$D494,$D494-($D494-$I$481)*MIN(I$3-$O$2,$Q$2)/$Q$2))</f>
        <v>9986.88850021508</v>
      </c>
      <c r="J494" s="15" t="n">
        <f aca="false">I494*(1+IF(J$3&lt;=$O$2,$D494,$D494-($D494-$I$481)*MIN(J$3-$O$2,$Q$2)/$Q$2))</f>
        <v>10681.989983892</v>
      </c>
      <c r="K494" s="15" t="n">
        <f aca="false">J494*(1+IF(K$3&lt;=$O$2,$D494,$D494-($D494-$I$481)*MIN(K$3-$O$2,$Q$2)/$Q$2))</f>
        <v>11301.8237188687</v>
      </c>
      <c r="L494" s="15" t="n">
        <f aca="false">K494*(1+IF(L$3&lt;=$O$2,$D494,$D494-($D494-$I$481)*MIN(L$3-$O$2,$Q$2)/$Q$2))</f>
        <v>11826.8013772049</v>
      </c>
      <c r="M494" s="15" t="n">
        <f aca="false">L494*(1+IF(M$3&lt;=$O$2,$D494,$D494-($D494-$I$481)*MIN(M$3-$O$2,$Q$2)/$Q$2))</f>
        <v>12239.2652330948</v>
      </c>
      <c r="N494" s="15" t="n">
        <f aca="false">M494*(1+IF(N$3&lt;=$O$2,$D494,$D494-($D494-$I$481)*MIN(N$3-$O$2,$Q$2)/$Q$2))</f>
        <v>12524.4401130259</v>
      </c>
      <c r="O494" s="15" t="n">
        <f aca="false">SUMPRODUCT(E494:N494,1/(1+$F$481)^$E$3:$N$3)*$E$2</f>
        <v>40335.6333269656</v>
      </c>
      <c r="P494" s="15" t="n">
        <f aca="false">N494*$E$2*(1+$I$481)/($F$481-$I$481)/(1+$F$481)^$N$3</f>
        <v>61150.6348265139</v>
      </c>
      <c r="Q494" s="15" t="n">
        <f aca="false">O494+P494</f>
        <v>101486.26815348</v>
      </c>
      <c r="R494" s="15" t="n">
        <f aca="false">Q494-$G$2+$I$2</f>
        <v>99896.2681534795</v>
      </c>
      <c r="S494" s="42" t="n">
        <f aca="false">R494/$K$2</f>
        <v>277.8137498011</v>
      </c>
      <c r="T494" s="43" t="n">
        <f aca="false">S494-$M$2</f>
        <v>-0.205049909673733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0.0811767578125</v>
      </c>
      <c r="C495" s="25" t="n">
        <f aca="false">IF(T494&gt;0,D494,C494)</f>
        <v>0.08154296875</v>
      </c>
      <c r="D495" s="41" t="n">
        <f aca="false">(B495+C495)/2</f>
        <v>0.08135986328125</v>
      </c>
      <c r="E495" s="15" t="n">
        <f aca="false">$C$2*(1+IF(E$3&lt;=$O$2,$D495,$D495-($D495-$I$481)*MIN(E$3-$O$2,$Q$2)/$Q$2))</f>
        <v>7309.99267578125</v>
      </c>
      <c r="F495" s="15" t="n">
        <f aca="false">E495*(1+IF(F$3&lt;=$O$2,$D495,$D495-($D495-$I$481)*MIN(F$3-$O$2,$Q$2)/$Q$2))</f>
        <v>7904.73268046975</v>
      </c>
      <c r="G495" s="15" t="n">
        <f aca="false">F495*(1+IF(G$3&lt;=$O$2,$D495,$D495-($D495-$I$481)*MIN(G$3-$O$2,$Q$2)/$Q$2))</f>
        <v>8547.8606506276</v>
      </c>
      <c r="H495" s="15" t="n">
        <f aca="false">G495*(1+IF(H$3&lt;=$O$2,$D495,$D495-($D495-$I$481)*MIN(H$3-$O$2,$Q$2)/$Q$2))</f>
        <v>9243.31342450984</v>
      </c>
      <c r="I495" s="15" t="n">
        <f aca="false">H495*(1+IF(I$3&lt;=$O$2,$D495,$D495-($D495-$I$481)*MIN(I$3-$O$2,$Q$2)/$Q$2))</f>
        <v>9995.3481409937</v>
      </c>
      <c r="J495" s="15" t="n">
        <f aca="false">I495*(1+IF(J$3&lt;=$O$2,$D495,$D495-($D495-$I$481)*MIN(J$3-$O$2,$Q$2)/$Q$2))</f>
        <v>10692.5025898905</v>
      </c>
      <c r="K495" s="15" t="n">
        <f aca="false">J495*(1+IF(K$3&lt;=$O$2,$D495,$D495-($D495-$I$481)*MIN(K$3-$O$2,$Q$2)/$Q$2))</f>
        <v>11314.121043337</v>
      </c>
      <c r="L495" s="15" t="n">
        <f aca="false">K495*(1+IF(L$3&lt;=$O$2,$D495,$D495-($D495-$I$481)*MIN(L$3-$O$2,$Q$2)/$Q$2))</f>
        <v>11840.4985920163</v>
      </c>
      <c r="M495" s="15" t="n">
        <f aca="false">L495*(1+IF(M$3&lt;=$O$2,$D495,$D495-($D495-$I$481)*MIN(M$3-$O$2,$Q$2)/$Q$2))</f>
        <v>12253.8737550971</v>
      </c>
      <c r="N495" s="15" t="n">
        <f aca="false">M495*(1+IF(N$3&lt;=$O$2,$D495,$D495-($D495-$I$481)*MIN(N$3-$O$2,$Q$2)/$Q$2))</f>
        <v>12539.3890135909</v>
      </c>
      <c r="O495" s="15" t="n">
        <f aca="false">SUMPRODUCT(E495:N495,1/(1+$F$481)^$E$3:$N$3)*$E$2</f>
        <v>40367.959773577</v>
      </c>
      <c r="P495" s="15" t="n">
        <f aca="false">N495*$E$2*(1+$I$481)/($F$481-$I$481)/(1+$F$481)^$N$3</f>
        <v>61223.6229003325</v>
      </c>
      <c r="Q495" s="15" t="n">
        <f aca="false">O495+P495</f>
        <v>101591.582673909</v>
      </c>
      <c r="R495" s="15" t="n">
        <f aca="false">Q495-$G$2+$I$2</f>
        <v>100001.582673909</v>
      </c>
      <c r="S495" s="42" t="n">
        <f aca="false">R495/$K$2</f>
        <v>278.10663183133</v>
      </c>
      <c r="T495" s="43" t="n">
        <f aca="false">S495-$M$2</f>
        <v>0.087832120555845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0.0811767578125</v>
      </c>
      <c r="C496" s="25" t="n">
        <f aca="false">IF(T495&gt;0,D495,C495)</f>
        <v>0.08135986328125</v>
      </c>
      <c r="D496" s="41" t="n">
        <f aca="false">(B496+C496)/2</f>
        <v>0.081268310546875</v>
      </c>
      <c r="E496" s="15" t="n">
        <f aca="false">$C$2*(1+IF(E$3&lt;=$O$2,$D496,$D496-($D496-$I$481)*MIN(E$3-$O$2,$Q$2)/$Q$2))</f>
        <v>7309.37377929688</v>
      </c>
      <c r="F496" s="15" t="n">
        <f aca="false">E496*(1+IF(F$3&lt;=$O$2,$D496,$D496-($D496-$I$481)*MIN(F$3-$O$2,$Q$2)/$Q$2))</f>
        <v>7903.39423749596</v>
      </c>
      <c r="G496" s="15" t="n">
        <f aca="false">F496*(1+IF(G$3&lt;=$O$2,$D496,$D496-($D496-$I$481)*MIN(G$3-$O$2,$Q$2)/$Q$2))</f>
        <v>8545.68973476316</v>
      </c>
      <c r="H496" s="15" t="n">
        <f aca="false">G496*(1+IF(H$3&lt;=$O$2,$D496,$D496-($D496-$I$481)*MIN(H$3-$O$2,$Q$2)/$Q$2))</f>
        <v>9240.18350196514</v>
      </c>
      <c r="I496" s="15" t="n">
        <f aca="false">H496*(1+IF(I$3&lt;=$O$2,$D496,$D496-($D496-$I$481)*MIN(I$3-$O$2,$Q$2)/$Q$2))</f>
        <v>9991.11760431295</v>
      </c>
      <c r="J496" s="15" t="n">
        <f aca="false">I496*(1+IF(J$3&lt;=$O$2,$D496,$D496-($D496-$I$481)*MIN(J$3-$O$2,$Q$2)/$Q$2))</f>
        <v>10687.2452108912</v>
      </c>
      <c r="K496" s="15" t="n">
        <f aca="false">J496*(1+IF(K$3&lt;=$O$2,$D496,$D496-($D496-$I$481)*MIN(K$3-$O$2,$Q$2)/$Q$2))</f>
        <v>11307.9709538703</v>
      </c>
      <c r="L496" s="15" t="n">
        <f aca="false">K496*(1+IF(L$3&lt;=$O$2,$D496,$D496-($D496-$I$481)*MIN(L$3-$O$2,$Q$2)/$Q$2))</f>
        <v>11833.648265859</v>
      </c>
      <c r="M496" s="15" t="n">
        <f aca="false">L496*(1+IF(M$3&lt;=$O$2,$D496,$D496-($D496-$I$481)*MIN(M$3-$O$2,$Q$2)/$Q$2))</f>
        <v>12246.5675899691</v>
      </c>
      <c r="N496" s="15" t="n">
        <f aca="false">M496*(1+IF(N$3&lt;=$O$2,$D496,$D496-($D496-$I$481)*MIN(N$3-$O$2,$Q$2)/$Q$2))</f>
        <v>12531.9126148154</v>
      </c>
      <c r="O496" s="15" t="n">
        <f aca="false">SUMPRODUCT(E496:N496,1/(1+$F$481)^$E$3:$N$3)*$E$2</f>
        <v>40351.7933230491</v>
      </c>
      <c r="P496" s="15" t="n">
        <f aca="false">N496*$E$2*(1+$I$481)/($F$481-$I$481)/(1+$F$481)^$N$3</f>
        <v>61187.1193498975</v>
      </c>
      <c r="Q496" s="15" t="n">
        <f aca="false">O496+P496</f>
        <v>101538.912672947</v>
      </c>
      <c r="R496" s="15" t="n">
        <f aca="false">Q496-$G$2+$I$2</f>
        <v>99948.9126729466</v>
      </c>
      <c r="S496" s="42" t="n">
        <f aca="false">R496/$K$2</f>
        <v>277.960155383911</v>
      </c>
      <c r="T496" s="43" t="n">
        <f aca="false">S496-$M$2</f>
        <v>-0.0586443268631456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0.081268310546875</v>
      </c>
      <c r="C497" s="25" t="n">
        <f aca="false">IF(T496&gt;0,D496,C496)</f>
        <v>0.08135986328125</v>
      </c>
      <c r="D497" s="41" t="n">
        <f aca="false">(B497+C497)/2</f>
        <v>0.0813140869140625</v>
      </c>
      <c r="E497" s="15" t="n">
        <f aca="false">$C$2*(1+IF(E$3&lt;=$O$2,$D497,$D497-($D497-$I$481)*MIN(E$3-$O$2,$Q$2)/$Q$2))</f>
        <v>7309.68322753906</v>
      </c>
      <c r="F497" s="15" t="n">
        <f aca="false">E497*(1+IF(F$3&lt;=$O$2,$D497,$D497-($D497-$I$481)*MIN(F$3-$O$2,$Q$2)/$Q$2))</f>
        <v>7904.06344481744</v>
      </c>
      <c r="G497" s="15" t="n">
        <f aca="false">F497*(1+IF(G$3&lt;=$O$2,$D497,$D497-($D497-$I$481)*MIN(G$3-$O$2,$Q$2)/$Q$2))</f>
        <v>8546.77514674359</v>
      </c>
      <c r="H497" s="15" t="n">
        <f aca="false">G497*(1+IF(H$3&lt;=$O$2,$D497,$D497-($D497-$I$481)*MIN(H$3-$O$2,$Q$2)/$Q$2))</f>
        <v>9241.74836386085</v>
      </c>
      <c r="I497" s="15" t="n">
        <f aca="false">H497*(1+IF(I$3&lt;=$O$2,$D497,$D497-($D497-$I$481)*MIN(I$3-$O$2,$Q$2)/$Q$2))</f>
        <v>9993.23269355772</v>
      </c>
      <c r="J497" s="15" t="n">
        <f aca="false">I497*(1+IF(J$3&lt;=$O$2,$D497,$D497-($D497-$I$481)*MIN(J$3-$O$2,$Q$2)/$Q$2))</f>
        <v>10689.8736313468</v>
      </c>
      <c r="K497" s="15" t="n">
        <f aca="false">J497*(1+IF(K$3&lt;=$O$2,$D497,$D497-($D497-$I$481)*MIN(K$3-$O$2,$Q$2)/$Q$2))</f>
        <v>11311.0456417268</v>
      </c>
      <c r="L497" s="15" t="n">
        <f aca="false">K497*(1+IF(L$3&lt;=$O$2,$D497,$D497-($D497-$I$481)*MIN(L$3-$O$2,$Q$2)/$Q$2))</f>
        <v>11837.0729991582</v>
      </c>
      <c r="M497" s="15" t="n">
        <f aca="false">L497*(1+IF(M$3&lt;=$O$2,$D497,$D497-($D497-$I$481)*MIN(M$3-$O$2,$Q$2)/$Q$2))</f>
        <v>12250.2201963949</v>
      </c>
      <c r="N497" s="15" t="n">
        <f aca="false">M497*(1+IF(N$3&lt;=$O$2,$D497,$D497-($D497-$I$481)*MIN(N$3-$O$2,$Q$2)/$Q$2))</f>
        <v>12535.6503269709</v>
      </c>
      <c r="O497" s="15" t="n">
        <f aca="false">SUMPRODUCT(E497:N497,1/(1+$F$481)^$E$3:$N$3)*$E$2</f>
        <v>40359.875741358</v>
      </c>
      <c r="P497" s="15" t="n">
        <f aca="false">N497*$E$2*(1+$I$481)/($F$481-$I$481)/(1+$F$481)^$N$3</f>
        <v>61205.3687462014</v>
      </c>
      <c r="Q497" s="15" t="n">
        <f aca="false">O497+P497</f>
        <v>101565.244487559</v>
      </c>
      <c r="R497" s="15" t="n">
        <f aca="false">Q497-$G$2+$I$2</f>
        <v>99975.2444875594</v>
      </c>
      <c r="S497" s="42" t="n">
        <f aca="false">R497/$K$2</f>
        <v>278.033384747648</v>
      </c>
      <c r="T497" s="43" t="n">
        <f aca="false">S497-$M$2</f>
        <v>0.0145850368747347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0.081268310546875</v>
      </c>
      <c r="C498" s="25" t="n">
        <f aca="false">IF(T497&gt;0,D497,C497)</f>
        <v>0.0813140869140625</v>
      </c>
      <c r="D498" s="41" t="n">
        <f aca="false">(B498+C498)/2</f>
        <v>0.0812911987304688</v>
      </c>
      <c r="E498" s="15" t="n">
        <f aca="false">$C$2*(1+IF(E$3&lt;=$O$2,$D498,$D498-($D498-$I$481)*MIN(E$3-$O$2,$Q$2)/$Q$2))</f>
        <v>7309.52850341797</v>
      </c>
      <c r="F498" s="15" t="n">
        <f aca="false">E498*(1+IF(F$3&lt;=$O$2,$D498,$D498-($D498-$I$481)*MIN(F$3-$O$2,$Q$2)/$Q$2))</f>
        <v>7903.72883761535</v>
      </c>
      <c r="G498" s="15" t="n">
        <f aca="false">F498*(1+IF(G$3&lt;=$O$2,$D498,$D498-($D498-$I$481)*MIN(G$3-$O$2,$Q$2)/$Q$2))</f>
        <v>8546.23242926567</v>
      </c>
      <c r="H498" s="15" t="n">
        <f aca="false">G498*(1+IF(H$3&lt;=$O$2,$D498,$D498-($D498-$I$481)*MIN(H$3-$O$2,$Q$2)/$Q$2))</f>
        <v>9240.96590806988</v>
      </c>
      <c r="I498" s="15" t="n">
        <f aca="false">H498*(1+IF(I$3&lt;=$O$2,$D498,$D498-($D498-$I$481)*MIN(I$3-$O$2,$Q$2)/$Q$2))</f>
        <v>9992.17510416428</v>
      </c>
      <c r="J498" s="15" t="n">
        <f aca="false">I498*(1+IF(J$3&lt;=$O$2,$D498,$D498-($D498-$I$481)*MIN(J$3-$O$2,$Q$2)/$Q$2))</f>
        <v>10688.5593538635</v>
      </c>
      <c r="K498" s="15" t="n">
        <f aca="false">J498*(1+IF(K$3&lt;=$O$2,$D498,$D498-($D498-$I$481)*MIN(K$3-$O$2,$Q$2)/$Q$2))</f>
        <v>11309.5082085879</v>
      </c>
      <c r="L498" s="15" t="n">
        <f aca="false">K498*(1+IF(L$3&lt;=$O$2,$D498,$D498-($D498-$I$481)*MIN(L$3-$O$2,$Q$2)/$Q$2))</f>
        <v>11835.3605250752</v>
      </c>
      <c r="M498" s="15" t="n">
        <f aca="false">L498*(1+IF(M$3&lt;=$O$2,$D498,$D498-($D498-$I$481)*MIN(M$3-$O$2,$Q$2)/$Q$2))</f>
        <v>12248.3937741608</v>
      </c>
      <c r="N498" s="15" t="n">
        <f aca="false">M498*(1+IF(N$3&lt;=$O$2,$D498,$D498-($D498-$I$481)*MIN(N$3-$O$2,$Q$2)/$Q$2))</f>
        <v>12533.7813490987</v>
      </c>
      <c r="O498" s="15" t="n">
        <f aca="false">SUMPRODUCT(E498:N498,1/(1+$F$481)^$E$3:$N$3)*$E$2</f>
        <v>40355.8343304835</v>
      </c>
      <c r="P498" s="15" t="n">
        <f aca="false">N498*$E$2*(1+$I$481)/($F$481-$I$481)/(1+$F$481)^$N$3</f>
        <v>61196.2434533876</v>
      </c>
      <c r="Q498" s="15" t="n">
        <f aca="false">O498+P498</f>
        <v>101552.077783871</v>
      </c>
      <c r="R498" s="15" t="n">
        <f aca="false">Q498-$G$2+$I$2</f>
        <v>99962.0777838711</v>
      </c>
      <c r="S498" s="42" t="n">
        <f aca="false">R498/$K$2</f>
        <v>277.996767851024</v>
      </c>
      <c r="T498" s="43" t="n">
        <f aca="false">S498-$M$2</f>
        <v>-0.0220318597500864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0.0812911987304688</v>
      </c>
      <c r="C499" s="25" t="n">
        <f aca="false">IF(T498&gt;0,D498,C498)</f>
        <v>0.0813140869140625</v>
      </c>
      <c r="D499" s="41" t="n">
        <f aca="false">(B499+C499)/2</f>
        <v>0.0813026428222656</v>
      </c>
      <c r="E499" s="15" t="n">
        <f aca="false">$C$2*(1+IF(E$3&lt;=$O$2,$D499,$D499-($D499-$I$481)*MIN(E$3-$O$2,$Q$2)/$Q$2))</f>
        <v>7309.60586547852</v>
      </c>
      <c r="F499" s="15" t="n">
        <f aca="false">E499*(1+IF(F$3&lt;=$O$2,$D499,$D499-($D499-$I$481)*MIN(F$3-$O$2,$Q$2)/$Q$2))</f>
        <v>7903.89614033105</v>
      </c>
      <c r="G499" s="15" t="n">
        <f aca="false">F499*(1+IF(G$3&lt;=$O$2,$D499,$D499-($D499-$I$481)*MIN(G$3-$O$2,$Q$2)/$Q$2))</f>
        <v>8546.50378513267</v>
      </c>
      <c r="H499" s="15" t="n">
        <f aca="false">G499*(1+IF(H$3&lt;=$O$2,$D499,$D499-($D499-$I$481)*MIN(H$3-$O$2,$Q$2)/$Q$2))</f>
        <v>9241.35712975446</v>
      </c>
      <c r="I499" s="15" t="n">
        <f aca="false">H499*(1+IF(I$3&lt;=$O$2,$D499,$D499-($D499-$I$481)*MIN(I$3-$O$2,$Q$2)/$Q$2))</f>
        <v>9992.70388766788</v>
      </c>
      <c r="J499" s="15" t="n">
        <f aca="false">I499*(1+IF(J$3&lt;=$O$2,$D499,$D499-($D499-$I$481)*MIN(J$3-$O$2,$Q$2)/$Q$2))</f>
        <v>10689.2164757906</v>
      </c>
      <c r="K499" s="15" t="n">
        <f aca="false">J499*(1+IF(K$3&lt;=$O$2,$D499,$D499-($D499-$I$481)*MIN(K$3-$O$2,$Q$2)/$Q$2))</f>
        <v>11310.2769028536</v>
      </c>
      <c r="L499" s="15" t="n">
        <f aca="false">K499*(1+IF(L$3&lt;=$O$2,$D499,$D499-($D499-$I$481)*MIN(L$3-$O$2,$Q$2)/$Q$2))</f>
        <v>11836.216735257</v>
      </c>
      <c r="M499" s="15" t="n">
        <f aca="false">L499*(1+IF(M$3&lt;=$O$2,$D499,$D499-($D499-$I$481)*MIN(M$3-$O$2,$Q$2)/$Q$2))</f>
        <v>12249.3069555208</v>
      </c>
      <c r="N499" s="15" t="n">
        <f aca="false">M499*(1+IF(N$3&lt;=$O$2,$D499,$D499-($D499-$I$481)*MIN(N$3-$O$2,$Q$2)/$Q$2))</f>
        <v>12534.7158075845</v>
      </c>
      <c r="O499" s="15" t="n">
        <f aca="false">SUMPRODUCT(E499:N499,1/(1+$F$481)^$E$3:$N$3)*$E$2</f>
        <v>40357.8549854884</v>
      </c>
      <c r="P499" s="15" t="n">
        <f aca="false">N499*$E$2*(1+$I$481)/($F$481-$I$481)/(1+$F$481)^$N$3</f>
        <v>61200.8059511207</v>
      </c>
      <c r="Q499" s="15" t="n">
        <f aca="false">O499+P499</f>
        <v>101558.660936609</v>
      </c>
      <c r="R499" s="15" t="n">
        <f aca="false">Q499-$G$2+$I$2</f>
        <v>99968.6609366091</v>
      </c>
      <c r="S499" s="42" t="n">
        <f aca="false">R499/$K$2</f>
        <v>278.015075745617</v>
      </c>
      <c r="T499" s="43" t="n">
        <f aca="false">S499-$M$2</f>
        <v>-0.00372396515632545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0.0813026428222656</v>
      </c>
      <c r="C500" s="25" t="n">
        <f aca="false">IF(T499&gt;0,D499,C499)</f>
        <v>0.0813140869140625</v>
      </c>
      <c r="D500" s="41" t="n">
        <f aca="false">(B500+C500)/2</f>
        <v>0.0813083648681641</v>
      </c>
      <c r="E500" s="15" t="n">
        <f aca="false">$C$2*(1+IF(E$3&lt;=$O$2,$D500,$D500-($D500-$I$481)*MIN(E$3-$O$2,$Q$2)/$Q$2))</f>
        <v>7309.64454650879</v>
      </c>
      <c r="F500" s="15" t="n">
        <f aca="false">E500*(1+IF(F$3&lt;=$O$2,$D500,$D500-($D500-$I$481)*MIN(F$3-$O$2,$Q$2)/$Q$2))</f>
        <v>7903.97979235291</v>
      </c>
      <c r="G500" s="15" t="n">
        <f aca="false">F500*(1+IF(G$3&lt;=$O$2,$D500,$D500-($D500-$I$481)*MIN(G$3-$O$2,$Q$2)/$Q$2))</f>
        <v>8546.63946522014</v>
      </c>
      <c r="H500" s="15" t="n">
        <f aca="false">G500*(1+IF(H$3&lt;=$O$2,$D500,$D500-($D500-$I$481)*MIN(H$3-$O$2,$Q$2)/$Q$2))</f>
        <v>9241.55274525491</v>
      </c>
      <c r="I500" s="15" t="n">
        <f aca="false">H500*(1+IF(I$3&lt;=$O$2,$D500,$D500-($D500-$I$481)*MIN(I$3-$O$2,$Q$2)/$Q$2))</f>
        <v>9992.96828781448</v>
      </c>
      <c r="J500" s="15" t="n">
        <f aca="false">I500*(1+IF(J$3&lt;=$O$2,$D500,$D500-($D500-$I$481)*MIN(J$3-$O$2,$Q$2)/$Q$2))</f>
        <v>10689.545049365</v>
      </c>
      <c r="K500" s="15" t="n">
        <f aca="false">J500*(1+IF(K$3&lt;=$O$2,$D500,$D500-($D500-$I$481)*MIN(K$3-$O$2,$Q$2)/$Q$2))</f>
        <v>11310.6612667141</v>
      </c>
      <c r="L500" s="15" t="n">
        <f aca="false">K500*(1+IF(L$3&lt;=$O$2,$D500,$D500-($D500-$I$481)*MIN(L$3-$O$2,$Q$2)/$Q$2))</f>
        <v>11836.6448604925</v>
      </c>
      <c r="M500" s="15" t="n">
        <f aca="false">L500*(1+IF(M$3&lt;=$O$2,$D500,$D500-($D500-$I$481)*MIN(M$3-$O$2,$Q$2)/$Q$2))</f>
        <v>12249.7635685184</v>
      </c>
      <c r="N500" s="15" t="n">
        <f aca="false">M500*(1+IF(N$3&lt;=$O$2,$D500,$D500-($D500-$I$481)*MIN(N$3-$O$2,$Q$2)/$Q$2))</f>
        <v>12535.1830596649</v>
      </c>
      <c r="O500" s="15" t="n">
        <f aca="false">SUMPRODUCT(E500:N500,1/(1+$F$481)^$E$3:$N$3)*$E$2</f>
        <v>40358.8653508148</v>
      </c>
      <c r="P500" s="15" t="n">
        <f aca="false">N500*$E$2*(1+$I$481)/($F$481-$I$481)/(1+$F$481)^$N$3</f>
        <v>61203.0873114916</v>
      </c>
      <c r="Q500" s="15" t="n">
        <f aca="false">O500+P500</f>
        <v>101561.952662306</v>
      </c>
      <c r="R500" s="15" t="n">
        <f aca="false">Q500-$G$2+$I$2</f>
        <v>99971.9526623064</v>
      </c>
      <c r="S500" s="42" t="n">
        <f aca="false">R500/$K$2</f>
        <v>278.0242301082</v>
      </c>
      <c r="T500" s="43" t="n">
        <f aca="false">S500-$M$2</f>
        <v>0.00543039742586871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0.0813026428222656</v>
      </c>
      <c r="C501" s="25" t="n">
        <f aca="false">IF(T500&gt;0,D500,C500)</f>
        <v>0.0813083648681641</v>
      </c>
      <c r="D501" s="41" t="n">
        <f aca="false">(B501+C501)/2</f>
        <v>0.0813055038452148</v>
      </c>
      <c r="E501" s="15" t="n">
        <f aca="false">$C$2*(1+IF(E$3&lt;=$O$2,$D501,$D501-($D501-$I$481)*MIN(E$3-$O$2,$Q$2)/$Q$2))</f>
        <v>7309.62520599365</v>
      </c>
      <c r="F501" s="15" t="n">
        <f aca="false">E501*(1+IF(F$3&lt;=$O$2,$D501,$D501-($D501-$I$481)*MIN(F$3-$O$2,$Q$2)/$Q$2))</f>
        <v>7903.93796628665</v>
      </c>
      <c r="G501" s="15" t="n">
        <f aca="false">F501*(1+IF(G$3&lt;=$O$2,$D501,$D501-($D501-$I$481)*MIN(G$3-$O$2,$Q$2)/$Q$2))</f>
        <v>8546.57162499691</v>
      </c>
      <c r="H501" s="15" t="n">
        <f aca="false">G501*(1+IF(H$3&lt;=$O$2,$D501,$D501-($D501-$I$481)*MIN(H$3-$O$2,$Q$2)/$Q$2))</f>
        <v>9241.4549371165</v>
      </c>
      <c r="I501" s="15" t="n">
        <f aca="false">H501*(1+IF(I$3&lt;=$O$2,$D501,$D501-($D501-$I$481)*MIN(I$3-$O$2,$Q$2)/$Q$2))</f>
        <v>9992.8360870416</v>
      </c>
      <c r="J501" s="15" t="n">
        <f aca="false">I501*(1+IF(J$3&lt;=$O$2,$D501,$D501-($D501-$I$481)*MIN(J$3-$O$2,$Q$2)/$Q$2))</f>
        <v>10689.3807615269</v>
      </c>
      <c r="K501" s="15" t="n">
        <f aca="false">J501*(1+IF(K$3&lt;=$O$2,$D501,$D501-($D501-$I$481)*MIN(K$3-$O$2,$Q$2)/$Q$2))</f>
        <v>11310.4690833899</v>
      </c>
      <c r="L501" s="15" t="n">
        <f aca="false">K501*(1+IF(L$3&lt;=$O$2,$D501,$D501-($D501-$I$481)*MIN(L$3-$O$2,$Q$2)/$Q$2))</f>
        <v>11836.430796196</v>
      </c>
      <c r="M501" s="15" t="n">
        <f aca="false">L501*(1+IF(M$3&lt;=$O$2,$D501,$D501-($D501-$I$481)*MIN(M$3-$O$2,$Q$2)/$Q$2))</f>
        <v>12249.5352601598</v>
      </c>
      <c r="N501" s="15" t="n">
        <f aca="false">M501*(1+IF(N$3&lt;=$O$2,$D501,$D501-($D501-$I$481)*MIN(N$3-$O$2,$Q$2)/$Q$2))</f>
        <v>12534.9494317215</v>
      </c>
      <c r="O501" s="15" t="n">
        <f aca="false">SUMPRODUCT(E501:N501,1/(1+$F$481)^$E$3:$N$3)*$E$2</f>
        <v>40358.3601649995</v>
      </c>
      <c r="P501" s="15" t="n">
        <f aca="false">N501*$E$2*(1+$I$481)/($F$481-$I$481)/(1+$F$481)^$N$3</f>
        <v>61201.9466220139</v>
      </c>
      <c r="Q501" s="15" t="n">
        <f aca="false">O501+P501</f>
        <v>101560.306787013</v>
      </c>
      <c r="R501" s="15" t="n">
        <f aca="false">Q501-$G$2+$I$2</f>
        <v>99970.3067870134</v>
      </c>
      <c r="S501" s="42" t="n">
        <f aca="false">R501/$K$2</f>
        <v>278.019652892301</v>
      </c>
      <c r="T501" s="43" t="n">
        <f aca="false">S501-$M$2</f>
        <v>0.000853181526849767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0.0813026428222656</v>
      </c>
      <c r="C502" s="25" t="n">
        <f aca="false">IF(T501&gt;0,D501,C501)</f>
        <v>0.0813055038452148</v>
      </c>
      <c r="D502" s="41" t="n">
        <f aca="false">(B502+C502)/2</f>
        <v>0.0813040733337402</v>
      </c>
      <c r="E502" s="15" t="n">
        <f aca="false">$C$2*(1+IF(E$3&lt;=$O$2,$D502,$D502-($D502-$I$481)*MIN(E$3-$O$2,$Q$2)/$Q$2))</f>
        <v>7309.61553573608</v>
      </c>
      <c r="F502" s="15" t="n">
        <f aca="false">E502*(1+IF(F$3&lt;=$O$2,$D502,$D502-($D502-$I$481)*MIN(F$3-$O$2,$Q$2)/$Q$2))</f>
        <v>7903.91705329502</v>
      </c>
      <c r="G502" s="15" t="n">
        <f aca="false">F502*(1+IF(G$3&lt;=$O$2,$D502,$D502-($D502-$I$481)*MIN(G$3-$O$2,$Q$2)/$Q$2))</f>
        <v>8546.53770501992</v>
      </c>
      <c r="H502" s="15" t="n">
        <f aca="false">G502*(1+IF(H$3&lt;=$O$2,$D502,$D502-($D502-$I$481)*MIN(H$3-$O$2,$Q$2)/$Q$2))</f>
        <v>9241.40603333843</v>
      </c>
      <c r="I502" s="15" t="n">
        <f aca="false">H502*(1+IF(I$3&lt;=$O$2,$D502,$D502-($D502-$I$481)*MIN(I$3-$O$2,$Q$2)/$Q$2))</f>
        <v>9992.76998717985</v>
      </c>
      <c r="J502" s="15" t="n">
        <f aca="false">I502*(1+IF(J$3&lt;=$O$2,$D502,$D502-($D502-$I$481)*MIN(J$3-$O$2,$Q$2)/$Q$2))</f>
        <v>10689.298618396</v>
      </c>
      <c r="K502" s="15" t="n">
        <f aca="false">J502*(1+IF(K$3&lt;=$O$2,$D502,$D502-($D502-$I$481)*MIN(K$3-$O$2,$Q$2)/$Q$2))</f>
        <v>11310.3729927732</v>
      </c>
      <c r="L502" s="15" t="n">
        <f aca="false">K502*(1+IF(L$3&lt;=$O$2,$D502,$D502-($D502-$I$481)*MIN(L$3-$O$2,$Q$2)/$Q$2))</f>
        <v>11836.3237653068</v>
      </c>
      <c r="M502" s="15" t="n">
        <f aca="false">L502*(1+IF(M$3&lt;=$O$2,$D502,$D502-($D502-$I$481)*MIN(M$3-$O$2,$Q$2)/$Q$2))</f>
        <v>12249.4211073754</v>
      </c>
      <c r="N502" s="15" t="n">
        <f aca="false">M502*(1+IF(N$3&lt;=$O$2,$D502,$D502-($D502-$I$481)*MIN(N$3-$O$2,$Q$2)/$Q$2))</f>
        <v>12534.8326191772</v>
      </c>
      <c r="O502" s="15" t="n">
        <f aca="false">SUMPRODUCT(E502:N502,1/(1+$F$481)^$E$3:$N$3)*$E$2</f>
        <v>40358.107574456</v>
      </c>
      <c r="P502" s="15" t="n">
        <f aca="false">N502*$E$2*(1+$I$481)/($F$481-$I$481)/(1+$F$481)^$N$3</f>
        <v>61201.3762842443</v>
      </c>
      <c r="Q502" s="15" t="n">
        <f aca="false">O502+P502</f>
        <v>101559.4838587</v>
      </c>
      <c r="R502" s="15" t="n">
        <f aca="false">Q502-$G$2+$I$2</f>
        <v>99969.4838587002</v>
      </c>
      <c r="S502" s="42" t="n">
        <f aca="false">R502/$K$2</f>
        <v>278.017364310307</v>
      </c>
      <c r="T502" s="43" t="n">
        <f aca="false">S502-$M$2</f>
        <v>-0.00143540046667567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0.0813040733337402</v>
      </c>
      <c r="C503" s="25" t="n">
        <f aca="false">IF(T502&gt;0,D502,C502)</f>
        <v>0.0813055038452148</v>
      </c>
      <c r="D503" s="41" t="n">
        <f aca="false">(B503+C503)/2</f>
        <v>0.0813047885894775</v>
      </c>
      <c r="E503" s="15" t="n">
        <f aca="false">$C$2*(1+IF(E$3&lt;=$O$2,$D503,$D503-($D503-$I$481)*MIN(E$3-$O$2,$Q$2)/$Q$2))</f>
        <v>7309.62037086487</v>
      </c>
      <c r="F503" s="15" t="n">
        <f aca="false">E503*(1+IF(F$3&lt;=$O$2,$D503,$D503-($D503-$I$481)*MIN(F$3-$O$2,$Q$2)/$Q$2))</f>
        <v>7903.92750978737</v>
      </c>
      <c r="G503" s="15" t="n">
        <f aca="false">F503*(1+IF(G$3&lt;=$O$2,$D503,$D503-($D503-$I$481)*MIN(G$3-$O$2,$Q$2)/$Q$2))</f>
        <v>8546.55466499719</v>
      </c>
      <c r="H503" s="15" t="n">
        <f aca="false">G503*(1+IF(H$3&lt;=$O$2,$D503,$D503-($D503-$I$481)*MIN(H$3-$O$2,$Q$2)/$Q$2))</f>
        <v>9241.4304852032</v>
      </c>
      <c r="I503" s="15" t="n">
        <f aca="false">H503*(1+IF(I$3&lt;=$O$2,$D503,$D503-($D503-$I$481)*MIN(I$3-$O$2,$Q$2)/$Q$2))</f>
        <v>9992.803037067</v>
      </c>
      <c r="J503" s="15" t="n">
        <f aca="false">I503*(1+IF(J$3&lt;=$O$2,$D503,$D503-($D503-$I$481)*MIN(J$3-$O$2,$Q$2)/$Q$2))</f>
        <v>10689.3396898958</v>
      </c>
      <c r="K503" s="15" t="n">
        <f aca="false">J503*(1+IF(K$3&lt;=$O$2,$D503,$D503-($D503-$I$481)*MIN(K$3-$O$2,$Q$2)/$Q$2))</f>
        <v>11310.4210379944</v>
      </c>
      <c r="L503" s="15" t="n">
        <f aca="false">K503*(1+IF(L$3&lt;=$O$2,$D503,$D503-($D503-$I$481)*MIN(L$3-$O$2,$Q$2)/$Q$2))</f>
        <v>11836.3772806464</v>
      </c>
      <c r="M503" s="15" t="n">
        <f aca="false">L503*(1+IF(M$3&lt;=$O$2,$D503,$D503-($D503-$I$481)*MIN(M$3-$O$2,$Q$2)/$Q$2))</f>
        <v>12249.4781836513</v>
      </c>
      <c r="N503" s="15" t="n">
        <f aca="false">M503*(1+IF(N$3&lt;=$O$2,$D503,$D503-($D503-$I$481)*MIN(N$3-$O$2,$Q$2)/$Q$2))</f>
        <v>12534.8910253304</v>
      </c>
      <c r="O503" s="15" t="n">
        <f aca="false">SUMPRODUCT(E503:N503,1/(1+$F$481)^$E$3:$N$3)*$E$2</f>
        <v>40358.2338695307</v>
      </c>
      <c r="P503" s="15" t="n">
        <f aca="false">N503*$E$2*(1+$I$481)/($F$481-$I$481)/(1+$F$481)^$N$3</f>
        <v>61201.6614525483</v>
      </c>
      <c r="Q503" s="15" t="n">
        <f aca="false">O503+P503</f>
        <v>101559.895322079</v>
      </c>
      <c r="R503" s="15" t="n">
        <f aca="false">Q503-$G$2+$I$2</f>
        <v>99969.8953220791</v>
      </c>
      <c r="S503" s="42" t="n">
        <f aca="false">R503/$K$2</f>
        <v>278.018508599141</v>
      </c>
      <c r="T503" s="43" t="n">
        <f aca="false">S503-$M$2</f>
        <v>-0.000291111632805041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0.0813047885894775</v>
      </c>
      <c r="C504" s="25" t="n">
        <f aca="false">IF(T503&gt;0,D503,C503)</f>
        <v>0.0813055038452148</v>
      </c>
      <c r="D504" s="41" t="n">
        <f aca="false">(B504+C504)/2</f>
        <v>0.0813051462173462</v>
      </c>
      <c r="E504" s="15" t="n">
        <f aca="false">$C$2*(1+IF(E$3&lt;=$O$2,$D504,$D504-($D504-$I$481)*MIN(E$3-$O$2,$Q$2)/$Q$2))</f>
        <v>7309.62278842926</v>
      </c>
      <c r="F504" s="15" t="n">
        <f aca="false">E504*(1+IF(F$3&lt;=$O$2,$D504,$D504-($D504-$I$481)*MIN(F$3-$O$2,$Q$2)/$Q$2))</f>
        <v>7903.93273803615</v>
      </c>
      <c r="G504" s="15" t="n">
        <f aca="false">F504*(1+IF(G$3&lt;=$O$2,$D504,$D504-($D504-$I$481)*MIN(G$3-$O$2,$Q$2)/$Q$2))</f>
        <v>8546.56314499425</v>
      </c>
      <c r="H504" s="15" t="n">
        <f aca="false">G504*(1+IF(H$3&lt;=$O$2,$D504,$D504-($D504-$I$481)*MIN(H$3-$O$2,$Q$2)/$Q$2))</f>
        <v>9241.44271115379</v>
      </c>
      <c r="I504" s="15" t="n">
        <f aca="false">H504*(1+IF(I$3&lt;=$O$2,$D504,$D504-($D504-$I$481)*MIN(I$3-$O$2,$Q$2)/$Q$2))</f>
        <v>9992.81956204337</v>
      </c>
      <c r="J504" s="15" t="n">
        <f aca="false">I504*(1+IF(J$3&lt;=$O$2,$D504,$D504-($D504-$I$481)*MIN(J$3-$O$2,$Q$2)/$Q$2))</f>
        <v>10689.3602256949</v>
      </c>
      <c r="K504" s="15" t="n">
        <f aca="false">J504*(1+IF(K$3&lt;=$O$2,$D504,$D504-($D504-$I$481)*MIN(K$3-$O$2,$Q$2)/$Q$2))</f>
        <v>11310.4450606704</v>
      </c>
      <c r="L504" s="15" t="n">
        <f aca="false">K504*(1+IF(L$3&lt;=$O$2,$D504,$D504-($D504-$I$481)*MIN(L$3-$O$2,$Q$2)/$Q$2))</f>
        <v>11836.404038395</v>
      </c>
      <c r="M504" s="15" t="n">
        <f aca="false">L504*(1+IF(M$3&lt;=$O$2,$D504,$D504-($D504-$I$481)*MIN(M$3-$O$2,$Q$2)/$Q$2))</f>
        <v>12249.5067218765</v>
      </c>
      <c r="N504" s="15" t="n">
        <f aca="false">M504*(1+IF(N$3&lt;=$O$2,$D504,$D504-($D504-$I$481)*MIN(N$3-$O$2,$Q$2)/$Q$2))</f>
        <v>12534.9202284962</v>
      </c>
      <c r="O504" s="15" t="n">
        <f aca="false">SUMPRODUCT(E504:N504,1/(1+$F$481)^$E$3:$N$3)*$E$2</f>
        <v>40358.2970172159</v>
      </c>
      <c r="P504" s="15" t="n">
        <f aca="false">N504*$E$2*(1+$I$481)/($F$481-$I$481)/(1+$F$481)^$N$3</f>
        <v>61201.8040371359</v>
      </c>
      <c r="Q504" s="15" t="n">
        <f aca="false">O504+P504</f>
        <v>101560.101054352</v>
      </c>
      <c r="R504" s="15" t="n">
        <f aca="false">Q504-$G$2+$I$2</f>
        <v>99970.1010543518</v>
      </c>
      <c r="S504" s="42" t="n">
        <f aca="false">R504/$K$2</f>
        <v>278.01908074518</v>
      </c>
      <c r="T504" s="43" t="n">
        <f aca="false">S504-$M$2</f>
        <v>0.000281034406270919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0.0813047885894775</v>
      </c>
      <c r="C505" s="25" t="n">
        <f aca="false">IF(T504&gt;0,D504,C504)</f>
        <v>0.0813051462173462</v>
      </c>
      <c r="D505" s="41" t="n">
        <f aca="false">(B505+C505)/2</f>
        <v>0.0813049674034119</v>
      </c>
      <c r="E505" s="15" t="n">
        <f aca="false">$C$2*(1+IF(E$3&lt;=$O$2,$D505,$D505-($D505-$I$481)*MIN(E$3-$O$2,$Q$2)/$Q$2))</f>
        <v>7309.62157964706</v>
      </c>
      <c r="F505" s="15" t="n">
        <f aca="false">E505*(1+IF(F$3&lt;=$O$2,$D505,$D505-($D505-$I$481)*MIN(F$3-$O$2,$Q$2)/$Q$2))</f>
        <v>7903.93012391155</v>
      </c>
      <c r="G505" s="15" t="n">
        <f aca="false">F505*(1+IF(G$3&lt;=$O$2,$D505,$D505-($D505-$I$481)*MIN(G$3-$O$2,$Q$2)/$Q$2))</f>
        <v>8546.55890499502</v>
      </c>
      <c r="H505" s="15" t="n">
        <f aca="false">G505*(1+IF(H$3&lt;=$O$2,$D505,$D505-($D505-$I$481)*MIN(H$3-$O$2,$Q$2)/$Q$2))</f>
        <v>9241.43659817698</v>
      </c>
      <c r="I505" s="15" t="n">
        <f aca="false">H505*(1+IF(I$3&lt;=$O$2,$D505,$D505-($D505-$I$481)*MIN(I$3-$O$2,$Q$2)/$Q$2))</f>
        <v>9992.81129955245</v>
      </c>
      <c r="J505" s="15" t="n">
        <f aca="false">I505*(1+IF(J$3&lt;=$O$2,$D505,$D505-($D505-$I$481)*MIN(J$3-$O$2,$Q$2)/$Q$2))</f>
        <v>10689.3499577912</v>
      </c>
      <c r="K505" s="15" t="n">
        <f aca="false">J505*(1+IF(K$3&lt;=$O$2,$D505,$D505-($D505-$I$481)*MIN(K$3-$O$2,$Q$2)/$Q$2))</f>
        <v>11310.433049327</v>
      </c>
      <c r="L505" s="15" t="n">
        <f aca="false">K505*(1+IF(L$3&lt;=$O$2,$D505,$D505-($D505-$I$481)*MIN(L$3-$O$2,$Q$2)/$Q$2))</f>
        <v>11836.3906595141</v>
      </c>
      <c r="M505" s="15" t="n">
        <f aca="false">L505*(1+IF(M$3&lt;=$O$2,$D505,$D505-($D505-$I$481)*MIN(M$3-$O$2,$Q$2)/$Q$2))</f>
        <v>12249.4924527567</v>
      </c>
      <c r="N505" s="15" t="n">
        <f aca="false">M505*(1+IF(N$3&lt;=$O$2,$D505,$D505-($D505-$I$481)*MIN(N$3-$O$2,$Q$2)/$Q$2))</f>
        <v>12534.9056269059</v>
      </c>
      <c r="O505" s="15" t="n">
        <f aca="false">SUMPRODUCT(E505:N505,1/(1+$F$481)^$E$3:$N$3)*$E$2</f>
        <v>40358.265443361</v>
      </c>
      <c r="P505" s="15" t="n">
        <f aca="false">N505*$E$2*(1+$I$481)/($F$481-$I$481)/(1+$F$481)^$N$3</f>
        <v>61201.7327448058</v>
      </c>
      <c r="Q505" s="15" t="n">
        <f aca="false">O505+P505</f>
        <v>101559.998188167</v>
      </c>
      <c r="R505" s="15" t="n">
        <f aca="false">Q505-$G$2+$I$2</f>
        <v>99969.9981881668</v>
      </c>
      <c r="S505" s="42" t="n">
        <f aca="false">R505/$K$2</f>
        <v>278.018794672025</v>
      </c>
      <c r="T505" s="43" t="n">
        <f aca="false">S505-$M$2</f>
        <v>-5.03874849755448E-006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0.0813049674034119</v>
      </c>
      <c r="C506" s="25" t="n">
        <f aca="false">IF(T505&gt;0,D505,C505)</f>
        <v>0.0813051462173462</v>
      </c>
      <c r="D506" s="41" t="n">
        <f aca="false">(B506+C506)/2</f>
        <v>0.081305056810379</v>
      </c>
      <c r="E506" s="15" t="n">
        <f aca="false">$C$2*(1+IF(E$3&lt;=$O$2,$D506,$D506-($D506-$I$481)*MIN(E$3-$O$2,$Q$2)/$Q$2))</f>
        <v>7309.62218403816</v>
      </c>
      <c r="F506" s="15" t="n">
        <f aca="false">E506*(1+IF(F$3&lt;=$O$2,$D506,$D506-($D506-$I$481)*MIN(F$3-$O$2,$Q$2)/$Q$2))</f>
        <v>7903.93143097379</v>
      </c>
      <c r="G506" s="15" t="n">
        <f aca="false">F506*(1+IF(G$3&lt;=$O$2,$D506,$D506-($D506-$I$481)*MIN(G$3-$O$2,$Q$2)/$Q$2))</f>
        <v>8546.56102499446</v>
      </c>
      <c r="H506" s="15" t="n">
        <f aca="false">G506*(1+IF(H$3&lt;=$O$2,$D506,$D506-($D506-$I$481)*MIN(H$3-$O$2,$Q$2)/$Q$2))</f>
        <v>9241.439654665</v>
      </c>
      <c r="I506" s="15" t="n">
        <f aca="false">H506*(1+IF(I$3&lt;=$O$2,$D506,$D506-($D506-$I$481)*MIN(I$3-$O$2,$Q$2)/$Q$2))</f>
        <v>9992.81543079723</v>
      </c>
      <c r="J506" s="15" t="n">
        <f aca="false">I506*(1+IF(J$3&lt;=$O$2,$D506,$D506-($D506-$I$481)*MIN(J$3-$O$2,$Q$2)/$Q$2))</f>
        <v>10689.355091742</v>
      </c>
      <c r="K506" s="15" t="n">
        <f aca="false">J506*(1+IF(K$3&lt;=$O$2,$D506,$D506-($D506-$I$481)*MIN(K$3-$O$2,$Q$2)/$Q$2))</f>
        <v>11310.4390549973</v>
      </c>
      <c r="L506" s="15" t="n">
        <f aca="false">K506*(1+IF(L$3&lt;=$O$2,$D506,$D506-($D506-$I$481)*MIN(L$3-$O$2,$Q$2)/$Q$2))</f>
        <v>11836.3973489529</v>
      </c>
      <c r="M506" s="15" t="n">
        <f aca="false">L506*(1+IF(M$3&lt;=$O$2,$D506,$D506-($D506-$I$481)*MIN(M$3-$O$2,$Q$2)/$Q$2))</f>
        <v>12249.4995873148</v>
      </c>
      <c r="N506" s="15" t="n">
        <f aca="false">M506*(1+IF(N$3&lt;=$O$2,$D506,$D506-($D506-$I$481)*MIN(N$3-$O$2,$Q$2)/$Q$2))</f>
        <v>12534.9129276992</v>
      </c>
      <c r="O506" s="15" t="n">
        <f aca="false">SUMPRODUCT(E506:N506,1/(1+$F$481)^$E$3:$N$3)*$E$2</f>
        <v>40358.2812302854</v>
      </c>
      <c r="P506" s="15" t="n">
        <f aca="false">N506*$E$2*(1+$I$481)/($F$481-$I$481)/(1+$F$481)^$N$3</f>
        <v>61201.7683909618</v>
      </c>
      <c r="Q506" s="15" t="n">
        <f aca="false">O506+P506</f>
        <v>101560.049621247</v>
      </c>
      <c r="R506" s="15" t="n">
        <f aca="false">Q506-$G$2+$I$2</f>
        <v>99970.0496212472</v>
      </c>
      <c r="S506" s="42" t="n">
        <f aca="false">R506/$K$2</f>
        <v>278.018937708569</v>
      </c>
      <c r="T506" s="43" t="n">
        <f aca="false">S506-$M$2</f>
        <v>0.00013799779509327</v>
      </c>
    </row>
    <row r="508" customFormat="false" ht="15" hidden="false" customHeight="false" outlineLevel="0" collapsed="false">
      <c r="A508" s="38" t="s">
        <v>204</v>
      </c>
      <c r="E508" s="5" t="s">
        <v>11</v>
      </c>
      <c r="F508" s="12" t="n">
        <f aca="false">Sensitivity!$B$13</f>
        <v>0.0824202832668642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167</v>
      </c>
      <c r="B509" s="28" t="s">
        <v>168</v>
      </c>
      <c r="C509" s="28" t="s">
        <v>169</v>
      </c>
      <c r="D509" s="28" t="s">
        <v>170</v>
      </c>
      <c r="E509" s="28" t="s">
        <v>171</v>
      </c>
      <c r="F509" s="28" t="s">
        <v>172</v>
      </c>
      <c r="G509" s="28" t="s">
        <v>173</v>
      </c>
      <c r="H509" s="28" t="s">
        <v>174</v>
      </c>
      <c r="I509" s="28" t="s">
        <v>175</v>
      </c>
      <c r="J509" s="28" t="s">
        <v>176</v>
      </c>
      <c r="K509" s="28" t="s">
        <v>177</v>
      </c>
      <c r="L509" s="28" t="s">
        <v>178</v>
      </c>
      <c r="M509" s="28" t="s">
        <v>179</v>
      </c>
      <c r="N509" s="28" t="s">
        <v>180</v>
      </c>
      <c r="O509" s="28" t="s">
        <v>181</v>
      </c>
      <c r="P509" s="28" t="s">
        <v>182</v>
      </c>
      <c r="Q509" s="28" t="s">
        <v>183</v>
      </c>
      <c r="R509" s="28" t="s">
        <v>184</v>
      </c>
      <c r="S509" s="28" t="s">
        <v>185</v>
      </c>
      <c r="T509" s="28" t="s">
        <v>186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8450</v>
      </c>
      <c r="F510" s="15" t="n">
        <f aca="false">E510*(1+IF(F$3&lt;=$O$2,$D510,$D510-($D510-$I$508)*MIN(F$3-$O$2,$Q$2)/$Q$2))</f>
        <v>10562.5</v>
      </c>
      <c r="G510" s="15" t="n">
        <f aca="false">F510*(1+IF(G$3&lt;=$O$2,$D510,$D510-($D510-$I$508)*MIN(G$3-$O$2,$Q$2)/$Q$2))</f>
        <v>13203.125</v>
      </c>
      <c r="H510" s="15" t="n">
        <f aca="false">G510*(1+IF(H$3&lt;=$O$2,$D510,$D510-($D510-$I$508)*MIN(H$3-$O$2,$Q$2)/$Q$2))</f>
        <v>16503.90625</v>
      </c>
      <c r="I510" s="15" t="n">
        <f aca="false">H510*(1+IF(I$3&lt;=$O$2,$D510,$D510-($D510-$I$508)*MIN(I$3-$O$2,$Q$2)/$Q$2))</f>
        <v>20629.8828125</v>
      </c>
      <c r="J510" s="15" t="n">
        <f aca="false">I510*(1+IF(J$3&lt;=$O$2,$D510,$D510-($D510-$I$508)*MIN(J$3-$O$2,$Q$2)/$Q$2))</f>
        <v>24872.6245117188</v>
      </c>
      <c r="K510" s="15" t="n">
        <f aca="false">J510*(1+IF(K$3&lt;=$O$2,$D510,$D510-($D510-$I$508)*MIN(K$3-$O$2,$Q$2)/$Q$2))</f>
        <v>28885.0762979492</v>
      </c>
      <c r="L510" s="15" t="n">
        <f aca="false">K510*(1+IF(L$3&lt;=$O$2,$D510,$D510-($D510-$I$508)*MIN(L$3-$O$2,$Q$2)/$Q$2))</f>
        <v>32264.0525232833</v>
      </c>
      <c r="M510" s="15" t="n">
        <f aca="false">L510*(1+IF(M$3&lt;=$O$2,$D510,$D510-($D510-$I$508)*MIN(M$3-$O$2,$Q$2)/$Q$2))</f>
        <v>34607.7132985746</v>
      </c>
      <c r="N510" s="15" t="n">
        <f aca="false">M510*(1+IF(N$3&lt;=$O$2,$D510,$D510-($D510-$I$508)*MIN(N$3-$O$2,$Q$2)/$Q$2))</f>
        <v>35587.1115849243</v>
      </c>
      <c r="O510" s="15" t="n">
        <f aca="false">SUMPRODUCT(E510:N510,1/(1+$F$508)^$E$3:$N$3)*$E$2</f>
        <v>84327.2830129996</v>
      </c>
      <c r="P510" s="15" t="n">
        <f aca="false">N510*$E$2*(1+$I$508)/($F$508-$I$508)/(1+$F$508)^$N$3</f>
        <v>190734.254610632</v>
      </c>
      <c r="Q510" s="15" t="n">
        <f aca="false">O510+P510</f>
        <v>275061.537623631</v>
      </c>
      <c r="R510" s="15" t="n">
        <f aca="false">Q510-$G$2+$I$2</f>
        <v>273471.537623631</v>
      </c>
      <c r="S510" s="42" t="n">
        <f aca="false">R510/$K$2</f>
        <v>760.530445585492</v>
      </c>
      <c r="T510" s="43" t="n">
        <f aca="false">S510-$M$2</f>
        <v>482.511645874718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5915</v>
      </c>
      <c r="F511" s="15" t="n">
        <f aca="false">E511*(1+IF(F$3&lt;=$O$2,$D511,$D511-($D511-$I$508)*MIN(F$3-$O$2,$Q$2)/$Q$2))</f>
        <v>5175.625</v>
      </c>
      <c r="G511" s="15" t="n">
        <f aca="false">F511*(1+IF(G$3&lt;=$O$2,$D511,$D511-($D511-$I$508)*MIN(G$3-$O$2,$Q$2)/$Q$2))</f>
        <v>4528.671875</v>
      </c>
      <c r="H511" s="15" t="n">
        <f aca="false">G511*(1+IF(H$3&lt;=$O$2,$D511,$D511-($D511-$I$508)*MIN(H$3-$O$2,$Q$2)/$Q$2))</f>
        <v>3962.587890625</v>
      </c>
      <c r="I511" s="15" t="n">
        <f aca="false">H511*(1+IF(I$3&lt;=$O$2,$D511,$D511-($D511-$I$508)*MIN(I$3-$O$2,$Q$2)/$Q$2))</f>
        <v>3467.26440429688</v>
      </c>
      <c r="J511" s="15" t="n">
        <f aca="false">I511*(1+IF(J$3&lt;=$O$2,$D511,$D511-($D511-$I$508)*MIN(J$3-$O$2,$Q$2)/$Q$2))</f>
        <v>3140.16268039551</v>
      </c>
      <c r="K511" s="15" t="n">
        <f aca="false">J511*(1+IF(K$3&lt;=$O$2,$D511,$D511-($D511-$I$508)*MIN(K$3-$O$2,$Q$2)/$Q$2))</f>
        <v>2940.19712090792</v>
      </c>
      <c r="L511" s="15" t="n">
        <f aca="false">K511*(1+IF(L$3&lt;=$O$2,$D511,$D511-($D511-$I$508)*MIN(L$3-$O$2,$Q$2)/$Q$2))</f>
        <v>2843.11181197554</v>
      </c>
      <c r="M511" s="15" t="n">
        <f aca="false">L511*(1+IF(M$3&lt;=$O$2,$D511,$D511-($D511-$I$508)*MIN(M$3-$O$2,$Q$2)/$Q$2))</f>
        <v>2836.40206809928</v>
      </c>
      <c r="N511" s="15" t="n">
        <f aca="false">M511*(1+IF(N$3&lt;=$O$2,$D511,$D511-($D511-$I$508)*MIN(N$3-$O$2,$Q$2)/$Q$2))</f>
        <v>2916.67224662649</v>
      </c>
      <c r="O511" s="15" t="n">
        <f aca="false">SUMPRODUCT(E511:N511,1/(1+$F$508)^$E$3:$N$3)*$E$2</f>
        <v>16525.4672613586</v>
      </c>
      <c r="P511" s="15" t="n">
        <f aca="false">N511*$E$2*(1+$I$508)/($F$508-$I$508)/(1+$F$508)^$N$3</f>
        <v>15632.325359597</v>
      </c>
      <c r="Q511" s="15" t="n">
        <f aca="false">O511+P511</f>
        <v>32157.7926209556</v>
      </c>
      <c r="R511" s="15" t="n">
        <f aca="false">Q511-$G$2+$I$2</f>
        <v>30567.7926209556</v>
      </c>
      <c r="S511" s="42" t="n">
        <f aca="false">R511/$K$2</f>
        <v>85.0097130567763</v>
      </c>
      <c r="T511" s="43" t="n">
        <f aca="false">S511-$M$2</f>
        <v>-193.009086653997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7182.5</v>
      </c>
      <c r="F512" s="15" t="n">
        <f aca="false">E512*(1+IF(F$3&lt;=$O$2,$D512,$D512-($D512-$I$508)*MIN(F$3-$O$2,$Q$2)/$Q$2))</f>
        <v>7631.40625</v>
      </c>
      <c r="G512" s="15" t="n">
        <f aca="false">F512*(1+IF(G$3&lt;=$O$2,$D512,$D512-($D512-$I$508)*MIN(G$3-$O$2,$Q$2)/$Q$2))</f>
        <v>8108.369140625</v>
      </c>
      <c r="H512" s="15" t="n">
        <f aca="false">G512*(1+IF(H$3&lt;=$O$2,$D512,$D512-($D512-$I$508)*MIN(H$3-$O$2,$Q$2)/$Q$2))</f>
        <v>8615.14221191406</v>
      </c>
      <c r="I512" s="15" t="n">
        <f aca="false">H512*(1+IF(I$3&lt;=$O$2,$D512,$D512-($D512-$I$508)*MIN(I$3-$O$2,$Q$2)/$Q$2))</f>
        <v>9153.58860015869</v>
      </c>
      <c r="J512" s="15" t="n">
        <f aca="false">I512*(1+IF(J$3&lt;=$O$2,$D512,$D512-($D512-$I$508)*MIN(J$3-$O$2,$Q$2)/$Q$2))</f>
        <v>9663.07734164352</v>
      </c>
      <c r="K512" s="15" t="n">
        <f aca="false">J512*(1+IF(K$3&lt;=$O$2,$D512,$D512-($D512-$I$508)*MIN(K$3-$O$2,$Q$2)/$Q$2))</f>
        <v>10134.8287774626</v>
      </c>
      <c r="L512" s="15" t="n">
        <f aca="false">K512*(1+IF(L$3&lt;=$O$2,$D512,$D512-($D512-$I$508)*MIN(L$3-$O$2,$Q$2)/$Q$2))</f>
        <v>10560.2888895404</v>
      </c>
      <c r="M512" s="15" t="n">
        <f aca="false">L512*(1+IF(M$3&lt;=$O$2,$D512,$D512-($D512-$I$508)*MIN(M$3-$O$2,$Q$2)/$Q$2))</f>
        <v>10931.3774411189</v>
      </c>
      <c r="N512" s="15" t="n">
        <f aca="false">M512*(1+IF(N$3&lt;=$O$2,$D512,$D512-($D512-$I$508)*MIN(N$3-$O$2,$Q$2)/$Q$2))</f>
        <v>11240.7354227026</v>
      </c>
      <c r="O512" s="15" t="n">
        <f aca="false">SUMPRODUCT(E512:N512,1/(1+$F$508)^$E$3:$N$3)*$E$2</f>
        <v>37281.9672649141</v>
      </c>
      <c r="P512" s="15" t="n">
        <f aca="false">N512*$E$2*(1+$I$508)/($F$508-$I$508)/(1+$F$508)^$N$3</f>
        <v>60246.3419097141</v>
      </c>
      <c r="Q512" s="15" t="n">
        <f aca="false">O512+P512</f>
        <v>97528.3091746282</v>
      </c>
      <c r="R512" s="15" t="n">
        <f aca="false">Q512-$G$2+$I$2</f>
        <v>95938.3091746282</v>
      </c>
      <c r="S512" s="42" t="n">
        <f aca="false">R512/$K$2</f>
        <v>266.806577603393</v>
      </c>
      <c r="T512" s="43" t="n">
        <f aca="false">S512-$M$2</f>
        <v>-11.2122221073803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41" t="n">
        <f aca="false">(B513+C513)/2</f>
        <v>0.15625</v>
      </c>
      <c r="E513" s="15" t="n">
        <f aca="false">$C$2*(1+IF(E$3&lt;=$O$2,$D513,$D513-($D513-$I$508)*MIN(E$3-$O$2,$Q$2)/$Q$2))</f>
        <v>7816.25</v>
      </c>
      <c r="F513" s="15" t="n">
        <f aca="false">E513*(1+IF(F$3&lt;=$O$2,$D513,$D513-($D513-$I$508)*MIN(F$3-$O$2,$Q$2)/$Q$2))</f>
        <v>9037.5390625</v>
      </c>
      <c r="G513" s="15" t="n">
        <f aca="false">F513*(1+IF(G$3&lt;=$O$2,$D513,$D513-($D513-$I$508)*MIN(G$3-$O$2,$Q$2)/$Q$2))</f>
        <v>10449.6545410156</v>
      </c>
      <c r="H513" s="15" t="n">
        <f aca="false">G513*(1+IF(H$3&lt;=$O$2,$D513,$D513-($D513-$I$508)*MIN(H$3-$O$2,$Q$2)/$Q$2))</f>
        <v>12082.4130630493</v>
      </c>
      <c r="I513" s="15" t="n">
        <f aca="false">H513*(1+IF(I$3&lt;=$O$2,$D513,$D513-($D513-$I$508)*MIN(I$3-$O$2,$Q$2)/$Q$2))</f>
        <v>13970.2901041508</v>
      </c>
      <c r="J513" s="15" t="n">
        <f aca="false">I513*(1+IF(J$3&lt;=$O$2,$D513,$D513-($D513-$I$508)*MIN(J$3-$O$2,$Q$2)/$Q$2))</f>
        <v>15795.6482091591</v>
      </c>
      <c r="K513" s="15" t="n">
        <f aca="false">J513*(1+IF(K$3&lt;=$O$2,$D513,$D513-($D513-$I$508)*MIN(K$3-$O$2,$Q$2)/$Q$2))</f>
        <v>17455.2969664955</v>
      </c>
      <c r="L513" s="15" t="n">
        <f aca="false">K513*(1+IF(L$3&lt;=$O$2,$D513,$D513-($D513-$I$508)*MIN(L$3-$O$2,$Q$2)/$Q$2))</f>
        <v>18842.6439693925</v>
      </c>
      <c r="M513" s="15" t="n">
        <f aca="false">L513*(1+IF(M$3&lt;=$O$2,$D513,$D513-($D513-$I$508)*MIN(M$3-$O$2,$Q$2)/$Q$2))</f>
        <v>19858.0740529031</v>
      </c>
      <c r="N513" s="15" t="n">
        <f aca="false">M513*(1+IF(N$3&lt;=$O$2,$D513,$D513-($D513-$I$508)*MIN(N$3-$O$2,$Q$2)/$Q$2))</f>
        <v>20420.0575486002</v>
      </c>
      <c r="O513" s="15" t="n">
        <f aca="false">SUMPRODUCT(E513:N513,1/(1+$F$508)^$E$3:$N$3)*$E$2</f>
        <v>56181.3686165809</v>
      </c>
      <c r="P513" s="15" t="n">
        <f aca="false">N513*$E$2*(1+$I$508)/($F$508-$I$508)/(1+$F$508)^$N$3</f>
        <v>109444.242091522</v>
      </c>
      <c r="Q513" s="15" t="n">
        <f aca="false">O513+P513</f>
        <v>165625.610708103</v>
      </c>
      <c r="R513" s="15" t="n">
        <f aca="false">Q513-$G$2+$I$2</f>
        <v>164035.610708103</v>
      </c>
      <c r="S513" s="42" t="n">
        <f aca="false">R513/$K$2</f>
        <v>456.186691996504</v>
      </c>
      <c r="T513" s="43" t="n">
        <f aca="false">S513-$M$2</f>
        <v>178.167892285731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41" t="n">
        <f aca="false">(B514+C514)/2</f>
        <v>0.109375</v>
      </c>
      <c r="E514" s="15" t="n">
        <f aca="false">$C$2*(1+IF(E$3&lt;=$O$2,$D514,$D514-($D514-$I$508)*MIN(E$3-$O$2,$Q$2)/$Q$2))</f>
        <v>7499.375</v>
      </c>
      <c r="F514" s="15" t="n">
        <f aca="false">E514*(1+IF(F$3&lt;=$O$2,$D514,$D514-($D514-$I$508)*MIN(F$3-$O$2,$Q$2)/$Q$2))</f>
        <v>8319.619140625</v>
      </c>
      <c r="G514" s="15" t="n">
        <f aca="false">F514*(1+IF(G$3&lt;=$O$2,$D514,$D514-($D514-$I$508)*MIN(G$3-$O$2,$Q$2)/$Q$2))</f>
        <v>9229.57748413086</v>
      </c>
      <c r="H514" s="15" t="n">
        <f aca="false">G514*(1+IF(H$3&lt;=$O$2,$D514,$D514-($D514-$I$508)*MIN(H$3-$O$2,$Q$2)/$Q$2))</f>
        <v>10239.0625214577</v>
      </c>
      <c r="I514" s="15" t="n">
        <f aca="false">H514*(1+IF(I$3&lt;=$O$2,$D514,$D514-($D514-$I$508)*MIN(I$3-$O$2,$Q$2)/$Q$2))</f>
        <v>11358.9599847421</v>
      </c>
      <c r="J514" s="15" t="n">
        <f aca="false">I514*(1+IF(J$3&lt;=$O$2,$D514,$D514-($D514-$I$508)*MIN(J$3-$O$2,$Q$2)/$Q$2))</f>
        <v>12417.1606969207</v>
      </c>
      <c r="K514" s="15" t="n">
        <f aca="false">J514*(1+IF(K$3&lt;=$O$2,$D514,$D514-($D514-$I$508)*MIN(K$3-$O$2,$Q$2)/$Q$2))</f>
        <v>13372.5991267452</v>
      </c>
      <c r="L514" s="15" t="n">
        <f aca="false">K514*(1+IF(L$3&lt;=$O$2,$D514,$D514-($D514-$I$508)*MIN(L$3-$O$2,$Q$2)/$Q$2))</f>
        <v>14184.7170717125</v>
      </c>
      <c r="M514" s="15" t="n">
        <f aca="false">L514*(1+IF(M$3&lt;=$O$2,$D514,$D514-($D514-$I$508)*MIN(M$3-$O$2,$Q$2)/$Q$2))</f>
        <v>14816.1497521598</v>
      </c>
      <c r="N514" s="15" t="n">
        <f aca="false">M514*(1+IF(N$3&lt;=$O$2,$D514,$D514-($D514-$I$508)*MIN(N$3-$O$2,$Q$2)/$Q$2))</f>
        <v>15235.4467901459</v>
      </c>
      <c r="O514" s="15" t="n">
        <f aca="false">SUMPRODUCT(E514:N514,1/(1+$F$508)^$E$3:$N$3)*$E$2</f>
        <v>45777.3553725244</v>
      </c>
      <c r="P514" s="15" t="n">
        <f aca="false">N514*$E$2*(1+$I$508)/($F$508-$I$508)/(1+$F$508)^$N$3</f>
        <v>81656.5733423964</v>
      </c>
      <c r="Q514" s="15" t="n">
        <f aca="false">O514+P514</f>
        <v>127433.928714921</v>
      </c>
      <c r="R514" s="15" t="n">
        <f aca="false">Q514-$G$2+$I$2</f>
        <v>125843.928714921</v>
      </c>
      <c r="S514" s="42" t="n">
        <f aca="false">R514/$K$2</f>
        <v>349.974772553871</v>
      </c>
      <c r="T514" s="43" t="n">
        <f aca="false">S514-$M$2</f>
        <v>71.9559728430971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0.0625</v>
      </c>
      <c r="C515" s="25" t="n">
        <f aca="false">IF(T514&gt;0,D514,C514)</f>
        <v>0.109375</v>
      </c>
      <c r="D515" s="41" t="n">
        <f aca="false">(B515+C515)/2</f>
        <v>0.0859375</v>
      </c>
      <c r="E515" s="15" t="n">
        <f aca="false">$C$2*(1+IF(E$3&lt;=$O$2,$D515,$D515-($D515-$I$508)*MIN(E$3-$O$2,$Q$2)/$Q$2))</f>
        <v>7340.9375</v>
      </c>
      <c r="F515" s="15" t="n">
        <f aca="false">E515*(1+IF(F$3&lt;=$O$2,$D515,$D515-($D515-$I$508)*MIN(F$3-$O$2,$Q$2)/$Q$2))</f>
        <v>7971.79931640625</v>
      </c>
      <c r="G515" s="15" t="n">
        <f aca="false">F515*(1+IF(G$3&lt;=$O$2,$D515,$D515-($D515-$I$508)*MIN(G$3-$O$2,$Q$2)/$Q$2))</f>
        <v>8656.87582015991</v>
      </c>
      <c r="H515" s="15" t="n">
        <f aca="false">G515*(1+IF(H$3&lt;=$O$2,$D515,$D515-($D515-$I$508)*MIN(H$3-$O$2,$Q$2)/$Q$2))</f>
        <v>9400.82608595491</v>
      </c>
      <c r="I515" s="15" t="n">
        <f aca="false">H515*(1+IF(I$3&lt;=$O$2,$D515,$D515-($D515-$I$508)*MIN(I$3-$O$2,$Q$2)/$Q$2))</f>
        <v>10208.7095777167</v>
      </c>
      <c r="J515" s="15" t="n">
        <f aca="false">I515*(1+IF(J$3&lt;=$O$2,$D515,$D515-($D515-$I$508)*MIN(J$3-$O$2,$Q$2)/$Q$2))</f>
        <v>10968.3396573946</v>
      </c>
      <c r="K515" s="15" t="n">
        <f aca="false">J515*(1+IF(K$3&lt;=$O$2,$D515,$D515-($D515-$I$508)*MIN(K$3-$O$2,$Q$2)/$Q$2))</f>
        <v>11658.0562759007</v>
      </c>
      <c r="L515" s="15" t="n">
        <f aca="false">K515*(1+IF(L$3&lt;=$O$2,$D515,$D515-($D515-$I$508)*MIN(L$3-$O$2,$Q$2)/$Q$2))</f>
        <v>12256.7557559495</v>
      </c>
      <c r="M515" s="15" t="n">
        <f aca="false">L515*(1+IF(M$3&lt;=$O$2,$D515,$D515-($D515-$I$508)*MIN(M$3-$O$2,$Q$2)/$Q$2))</f>
        <v>12744.9116958196</v>
      </c>
      <c r="N515" s="15" t="n">
        <f aca="false">M515*(1+IF(N$3&lt;=$O$2,$D515,$D515-($D515-$I$508)*MIN(N$3-$O$2,$Q$2)/$Q$2))</f>
        <v>13105.5926968113</v>
      </c>
      <c r="O515" s="15" t="n">
        <f aca="false">SUMPRODUCT(E515:N515,1/(1+$F$508)^$E$3:$N$3)*$E$2</f>
        <v>41312.9024344881</v>
      </c>
      <c r="P515" s="15" t="n">
        <f aca="false">N515*$E$2*(1+$I$508)/($F$508-$I$508)/(1+$F$508)^$N$3</f>
        <v>70241.3132993851</v>
      </c>
      <c r="Q515" s="15" t="n">
        <f aca="false">O515+P515</f>
        <v>111554.215733873</v>
      </c>
      <c r="R515" s="15" t="n">
        <f aca="false">Q515-$G$2+$I$2</f>
        <v>109964.215733873</v>
      </c>
      <c r="S515" s="42" t="n">
        <f aca="false">R515/$K$2</f>
        <v>305.812936575653</v>
      </c>
      <c r="T515" s="43" t="n">
        <f aca="false">S515-$M$2</f>
        <v>27.7941368648791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0.0625</v>
      </c>
      <c r="C516" s="25" t="n">
        <f aca="false">IF(T515&gt;0,D515,C515)</f>
        <v>0.0859375</v>
      </c>
      <c r="D516" s="41" t="n">
        <f aca="false">(B516+C516)/2</f>
        <v>0.07421875</v>
      </c>
      <c r="E516" s="15" t="n">
        <f aca="false">$C$2*(1+IF(E$3&lt;=$O$2,$D516,$D516-($D516-$I$508)*MIN(E$3-$O$2,$Q$2)/$Q$2))</f>
        <v>7261.71875</v>
      </c>
      <c r="F516" s="15" t="n">
        <f aca="false">E516*(1+IF(F$3&lt;=$O$2,$D516,$D516-($D516-$I$508)*MIN(F$3-$O$2,$Q$2)/$Q$2))</f>
        <v>7800.67443847656</v>
      </c>
      <c r="G516" s="15" t="n">
        <f aca="false">F516*(1+IF(G$3&lt;=$O$2,$D516,$D516-($D516-$I$508)*MIN(G$3-$O$2,$Q$2)/$Q$2))</f>
        <v>8379.63074445725</v>
      </c>
      <c r="H516" s="15" t="n">
        <f aca="false">G516*(1+IF(H$3&lt;=$O$2,$D516,$D516-($D516-$I$508)*MIN(H$3-$O$2,$Q$2)/$Q$2))</f>
        <v>9001.55646377243</v>
      </c>
      <c r="I516" s="15" t="n">
        <f aca="false">H516*(1+IF(I$3&lt;=$O$2,$D516,$D516-($D516-$I$508)*MIN(I$3-$O$2,$Q$2)/$Q$2))</f>
        <v>9669.64073256804</v>
      </c>
      <c r="J516" s="15" t="n">
        <f aca="false">I516*(1+IF(J$3&lt;=$O$2,$D516,$D516-($D516-$I$508)*MIN(J$3-$O$2,$Q$2)/$Q$2))</f>
        <v>10298.5058176106</v>
      </c>
      <c r="K516" s="15" t="n">
        <f aca="false">J516*(1+IF(K$3&lt;=$O$2,$D516,$D516-($D516-$I$508)*MIN(K$3-$O$2,$Q$2)/$Q$2))</f>
        <v>10873.6902406564</v>
      </c>
      <c r="L516" s="15" t="n">
        <f aca="false">K516*(1+IF(L$3&lt;=$O$2,$D516,$D516-($D516-$I$508)*MIN(L$3-$O$2,$Q$2)/$Q$2))</f>
        <v>11381.1381799623</v>
      </c>
      <c r="M516" s="15" t="n">
        <f aca="false">L516*(1+IF(M$3&lt;=$O$2,$D516,$D516-($D516-$I$508)*MIN(M$3-$O$2,$Q$2)/$Q$2))</f>
        <v>11807.7459182154</v>
      </c>
      <c r="N516" s="15" t="n">
        <f aca="false">M516*(1+IF(N$3&lt;=$O$2,$D516,$D516-($D516-$I$508)*MIN(N$3-$O$2,$Q$2)/$Q$2))</f>
        <v>12141.9051277009</v>
      </c>
      <c r="O516" s="15" t="n">
        <f aca="false">SUMPRODUCT(E516:N516,1/(1+$F$508)^$E$3:$N$3)*$E$2</f>
        <v>39245.7822681514</v>
      </c>
      <c r="P516" s="15" t="n">
        <f aca="false">N516*$E$2*(1+$I$508)/($F$508-$I$508)/(1+$F$508)^$N$3</f>
        <v>65076.2908520542</v>
      </c>
      <c r="Q516" s="15" t="n">
        <f aca="false">O516+P516</f>
        <v>104322.073120206</v>
      </c>
      <c r="R516" s="15" t="n">
        <f aca="false">Q516-$G$2+$I$2</f>
        <v>102732.073120206</v>
      </c>
      <c r="S516" s="42" t="n">
        <f aca="false">R516/$K$2</f>
        <v>285.700186662789</v>
      </c>
      <c r="T516" s="43" t="n">
        <f aca="false">S516-$M$2</f>
        <v>7.6813869520152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0.0625</v>
      </c>
      <c r="C517" s="25" t="n">
        <f aca="false">IF(T516&gt;0,D516,C516)</f>
        <v>0.07421875</v>
      </c>
      <c r="D517" s="41" t="n">
        <f aca="false">(B517+C517)/2</f>
        <v>0.068359375</v>
      </c>
      <c r="E517" s="15" t="n">
        <f aca="false">$C$2*(1+IF(E$3&lt;=$O$2,$D517,$D517-($D517-$I$508)*MIN(E$3-$O$2,$Q$2)/$Q$2))</f>
        <v>7222.109375</v>
      </c>
      <c r="F517" s="15" t="n">
        <f aca="false">E517*(1+IF(F$3&lt;=$O$2,$D517,$D517-($D517-$I$508)*MIN(F$3-$O$2,$Q$2)/$Q$2))</f>
        <v>7715.80825805664</v>
      </c>
      <c r="G517" s="15" t="n">
        <f aca="false">F517*(1+IF(G$3&lt;=$O$2,$D517,$D517-($D517-$I$508)*MIN(G$3-$O$2,$Q$2)/$Q$2))</f>
        <v>8243.25608819723</v>
      </c>
      <c r="H517" s="15" t="n">
        <f aca="false">G517*(1+IF(H$3&lt;=$O$2,$D517,$D517-($D517-$I$508)*MIN(H$3-$O$2,$Q$2)/$Q$2))</f>
        <v>8806.75992235134</v>
      </c>
      <c r="I517" s="15" t="n">
        <f aca="false">H517*(1+IF(I$3&lt;=$O$2,$D517,$D517-($D517-$I$508)*MIN(I$3-$O$2,$Q$2)/$Q$2))</f>
        <v>9408.78452641833</v>
      </c>
      <c r="J517" s="15" t="n">
        <f aca="false">I517*(1+IF(J$3&lt;=$O$2,$D517,$D517-($D517-$I$508)*MIN(J$3-$O$2,$Q$2)/$Q$2))</f>
        <v>9976.58115062635</v>
      </c>
      <c r="K517" s="15" t="n">
        <f aca="false">J517*(1+IF(K$3&lt;=$O$2,$D517,$D517-($D517-$I$508)*MIN(K$3-$O$2,$Q$2)/$Q$2))</f>
        <v>10498.7117605076</v>
      </c>
      <c r="L517" s="15" t="n">
        <f aca="false">K517*(1+IF(L$3&lt;=$O$2,$D517,$D517-($D517-$I$508)*MIN(L$3-$O$2,$Q$2)/$Q$2))</f>
        <v>10964.0540359024</v>
      </c>
      <c r="M517" s="15" t="n">
        <f aca="false">L517*(1+IF(M$3&lt;=$O$2,$D517,$D517-($D517-$I$508)*MIN(M$3-$O$2,$Q$2)/$Q$2))</f>
        <v>11362.1793955473</v>
      </c>
      <c r="N517" s="15" t="n">
        <f aca="false">M517*(1+IF(N$3&lt;=$O$2,$D517,$D517-($D517-$I$508)*MIN(N$3-$O$2,$Q$2)/$Q$2))</f>
        <v>11683.7290724413</v>
      </c>
      <c r="O517" s="15" t="n">
        <f aca="false">SUMPRODUCT(E517:N517,1/(1+$F$508)^$E$3:$N$3)*$E$2</f>
        <v>38251.2674634123</v>
      </c>
      <c r="P517" s="15" t="n">
        <f aca="false">N517*$E$2*(1+$I$508)/($F$508-$I$508)/(1+$F$508)^$N$3</f>
        <v>62620.6302353775</v>
      </c>
      <c r="Q517" s="15" t="n">
        <f aca="false">O517+P517</f>
        <v>100871.89769879</v>
      </c>
      <c r="R517" s="15" t="n">
        <f aca="false">Q517-$G$2+$I$2</f>
        <v>99281.8976987898</v>
      </c>
      <c r="S517" s="42" t="n">
        <f aca="false">R517/$K$2</f>
        <v>276.105171863813</v>
      </c>
      <c r="T517" s="43" t="n">
        <f aca="false">S517-$M$2</f>
        <v>-1.91362784696088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0.068359375</v>
      </c>
      <c r="C518" s="25" t="n">
        <f aca="false">IF(T517&gt;0,D517,C517)</f>
        <v>0.07421875</v>
      </c>
      <c r="D518" s="41" t="n">
        <f aca="false">(B518+C518)/2</f>
        <v>0.0712890625</v>
      </c>
      <c r="E518" s="15" t="n">
        <f aca="false">$C$2*(1+IF(E$3&lt;=$O$2,$D518,$D518-($D518-$I$508)*MIN(E$3-$O$2,$Q$2)/$Q$2))</f>
        <v>7241.9140625</v>
      </c>
      <c r="F518" s="15" t="n">
        <f aca="false">E518*(1+IF(F$3&lt;=$O$2,$D518,$D518-($D518-$I$508)*MIN(F$3-$O$2,$Q$2)/$Q$2))</f>
        <v>7758.18332672119</v>
      </c>
      <c r="G518" s="15" t="n">
        <f aca="false">F518*(1+IF(G$3&lt;=$O$2,$D518,$D518-($D518-$I$508)*MIN(G$3-$O$2,$Q$2)/$Q$2))</f>
        <v>8311.25694278628</v>
      </c>
      <c r="H518" s="15" t="n">
        <f aca="false">G518*(1+IF(H$3&lt;=$O$2,$D518,$D518-($D518-$I$508)*MIN(H$3-$O$2,$Q$2)/$Q$2))</f>
        <v>8903.75865843413</v>
      </c>
      <c r="I518" s="15" t="n">
        <f aca="false">H518*(1+IF(I$3&lt;=$O$2,$D518,$D518-($D518-$I$508)*MIN(I$3-$O$2,$Q$2)/$Q$2))</f>
        <v>9538.49926592015</v>
      </c>
      <c r="J518" s="15" t="n">
        <f aca="false">I518*(1+IF(J$3&lt;=$O$2,$D518,$D518-($D518-$I$508)*MIN(J$3-$O$2,$Q$2)/$Q$2))</f>
        <v>10136.4797080248</v>
      </c>
      <c r="K518" s="15" t="n">
        <f aca="false">J518*(1+IF(K$3&lt;=$O$2,$D518,$D518-($D518-$I$508)*MIN(K$3-$O$2,$Q$2)/$Q$2))</f>
        <v>10684.7967395808</v>
      </c>
      <c r="L518" s="15" t="n">
        <f aca="false">K518*(1+IF(L$3&lt;=$O$2,$D518,$D518-($D518-$I$508)*MIN(L$3-$O$2,$Q$2)/$Q$2))</f>
        <v>11170.908245246</v>
      </c>
      <c r="M518" s="15" t="n">
        <f aca="false">L518*(1+IF(M$3&lt;=$O$2,$D518,$D518-($D518-$I$508)*MIN(M$3-$O$2,$Q$2)/$Q$2))</f>
        <v>11583.0903231338</v>
      </c>
      <c r="N518" s="15" t="n">
        <f aca="false">M518*(1+IF(N$3&lt;=$O$2,$D518,$D518-($D518-$I$508)*MIN(N$3-$O$2,$Q$2)/$Q$2))</f>
        <v>11910.8917792785</v>
      </c>
      <c r="O518" s="15" t="n">
        <f aca="false">SUMPRODUCT(E518:N518,1/(1+$F$508)^$E$3:$N$3)*$E$2</f>
        <v>38745.3353031072</v>
      </c>
      <c r="P518" s="15" t="n">
        <f aca="false">N518*$E$2*(1+$I$508)/($F$508-$I$508)/(1+$F$508)^$N$3</f>
        <v>63838.1415093826</v>
      </c>
      <c r="Q518" s="15" t="n">
        <f aca="false">O518+P518</f>
        <v>102583.47681249</v>
      </c>
      <c r="R518" s="15" t="n">
        <f aca="false">Q518-$G$2+$I$2</f>
        <v>100993.47681249</v>
      </c>
      <c r="S518" s="42" t="n">
        <f aca="false">R518/$K$2</f>
        <v>280.865111553729</v>
      </c>
      <c r="T518" s="43" t="n">
        <f aca="false">S518-$M$2</f>
        <v>2.84631184295506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0.068359375</v>
      </c>
      <c r="C519" s="25" t="n">
        <f aca="false">IF(T518&gt;0,D518,C518)</f>
        <v>0.0712890625</v>
      </c>
      <c r="D519" s="41" t="n">
        <f aca="false">(B519+C519)/2</f>
        <v>0.06982421875</v>
      </c>
      <c r="E519" s="15" t="n">
        <f aca="false">$C$2*(1+IF(E$3&lt;=$O$2,$D519,$D519-($D519-$I$508)*MIN(E$3-$O$2,$Q$2)/$Q$2))</f>
        <v>7232.01171875</v>
      </c>
      <c r="F519" s="15" t="n">
        <f aca="false">E519*(1+IF(F$3&lt;=$O$2,$D519,$D519-($D519-$I$508)*MIN(F$3-$O$2,$Q$2)/$Q$2))</f>
        <v>7736.98128700256</v>
      </c>
      <c r="G519" s="15" t="n">
        <f aca="false">F519*(1+IF(G$3&lt;=$O$2,$D519,$D519-($D519-$I$508)*MIN(G$3-$O$2,$Q$2)/$Q$2))</f>
        <v>8277.20996085089</v>
      </c>
      <c r="H519" s="15" t="n">
        <f aca="false">G519*(1+IF(H$3&lt;=$O$2,$D519,$D519-($D519-$I$508)*MIN(H$3-$O$2,$Q$2)/$Q$2))</f>
        <v>8855.15967979702</v>
      </c>
      <c r="I519" s="15" t="n">
        <f aca="false">H519*(1+IF(I$3&lt;=$O$2,$D519,$D519-($D519-$I$508)*MIN(I$3-$O$2,$Q$2)/$Q$2))</f>
        <v>9473.46428634535</v>
      </c>
      <c r="J519" s="15" t="n">
        <f aca="false">I519*(1+IF(J$3&lt;=$O$2,$D519,$D519-($D519-$I$508)*MIN(J$3-$O$2,$Q$2)/$Q$2))</f>
        <v>10056.2658883261</v>
      </c>
      <c r="K519" s="15" t="n">
        <f aca="false">J519*(1+IF(K$3&lt;=$O$2,$D519,$D519-($D519-$I$508)*MIN(K$3-$O$2,$Q$2)/$Q$2))</f>
        <v>10591.4053636988</v>
      </c>
      <c r="L519" s="15" t="n">
        <f aca="false">K519*(1+IF(L$3&lt;=$O$2,$D519,$D519-($D519-$I$508)*MIN(L$3-$O$2,$Q$2)/$Q$2))</f>
        <v>11067.0620687683</v>
      </c>
      <c r="M519" s="15" t="n">
        <f aca="false">L519*(1+IF(M$3&lt;=$O$2,$D519,$D519-($D519-$I$508)*MIN(M$3-$O$2,$Q$2)/$Q$2))</f>
        <v>11472.1701465671</v>
      </c>
      <c r="N519" s="15" t="n">
        <f aca="false">M519*(1+IF(N$3&lt;=$O$2,$D519,$D519-($D519-$I$508)*MIN(N$3-$O$2,$Q$2)/$Q$2))</f>
        <v>11796.832561715</v>
      </c>
      <c r="O519" s="15" t="n">
        <f aca="false">SUMPRODUCT(E519:N519,1/(1+$F$508)^$E$3:$N$3)*$E$2</f>
        <v>38497.508740251</v>
      </c>
      <c r="P519" s="15" t="n">
        <f aca="false">N519*$E$2*(1+$I$508)/($F$508-$I$508)/(1+$F$508)^$N$3</f>
        <v>63226.8246906086</v>
      </c>
      <c r="Q519" s="15" t="n">
        <f aca="false">O519+P519</f>
        <v>101724.33343086</v>
      </c>
      <c r="R519" s="15" t="n">
        <f aca="false">Q519-$G$2+$I$2</f>
        <v>100134.33343086</v>
      </c>
      <c r="S519" s="42" t="n">
        <f aca="false">R519/$K$2</f>
        <v>278.475814647254</v>
      </c>
      <c r="T519" s="43" t="n">
        <f aca="false">S519-$M$2</f>
        <v>0.457014936480277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0.068359375</v>
      </c>
      <c r="C520" s="25" t="n">
        <f aca="false">IF(T519&gt;0,D519,C519)</f>
        <v>0.06982421875</v>
      </c>
      <c r="D520" s="41" t="n">
        <f aca="false">(B520+C520)/2</f>
        <v>0.069091796875</v>
      </c>
      <c r="E520" s="15" t="n">
        <f aca="false">$C$2*(1+IF(E$3&lt;=$O$2,$D520,$D520-($D520-$I$508)*MIN(E$3-$O$2,$Q$2)/$Q$2))</f>
        <v>7227.060546875</v>
      </c>
      <c r="F520" s="15" t="n">
        <f aca="false">E520*(1+IF(F$3&lt;=$O$2,$D520,$D520-($D520-$I$508)*MIN(F$3-$O$2,$Q$2)/$Q$2))</f>
        <v>7726.39114618301</v>
      </c>
      <c r="G520" s="15" t="n">
        <f aca="false">F520*(1+IF(G$3&lt;=$O$2,$D520,$D520-($D520-$I$508)*MIN(G$3-$O$2,$Q$2)/$Q$2))</f>
        <v>8260.22139383189</v>
      </c>
      <c r="H520" s="15" t="n">
        <f aca="false">G520*(1+IF(H$3&lt;=$O$2,$D520,$D520-($D520-$I$508)*MIN(H$3-$O$2,$Q$2)/$Q$2))</f>
        <v>8830.93493251705</v>
      </c>
      <c r="I520" s="15" t="n">
        <f aca="false">H520*(1+IF(I$3&lt;=$O$2,$D520,$D520-($D520-$I$508)*MIN(I$3-$O$2,$Q$2)/$Q$2))</f>
        <v>9441.08009509086</v>
      </c>
      <c r="J520" s="15" t="n">
        <f aca="false">I520*(1+IF(J$3&lt;=$O$2,$D520,$D520-($D520-$I$508)*MIN(J$3-$O$2,$Q$2)/$Q$2))</f>
        <v>10016.3575589976</v>
      </c>
      <c r="K520" s="15" t="n">
        <f aca="false">J520*(1+IF(K$3&lt;=$O$2,$D520,$D520-($D520-$I$508)*MIN(K$3-$O$2,$Q$2)/$Q$2))</f>
        <v>10544.9716117016</v>
      </c>
      <c r="L520" s="15" t="n">
        <f aca="false">K520*(1+IF(L$3&lt;=$O$2,$D520,$D520-($D520-$I$508)*MIN(L$3-$O$2,$Q$2)/$Q$2))</f>
        <v>11015.4536443276</v>
      </c>
      <c r="M520" s="15" t="n">
        <f aca="false">L520*(1+IF(M$3&lt;=$O$2,$D520,$D520-($D520-$I$508)*MIN(M$3-$O$2,$Q$2)/$Q$2))</f>
        <v>11417.0590119712</v>
      </c>
      <c r="N520" s="15" t="n">
        <f aca="false">M520*(1+IF(N$3&lt;=$O$2,$D520,$D520-($D520-$I$508)*MIN(N$3-$O$2,$Q$2)/$Q$2))</f>
        <v>11740.16178201</v>
      </c>
      <c r="O520" s="15" t="n">
        <f aca="false">SUMPRODUCT(E520:N520,1/(1+$F$508)^$E$3:$N$3)*$E$2</f>
        <v>38374.1905318537</v>
      </c>
      <c r="P520" s="15" t="n">
        <f aca="false">N520*$E$2*(1+$I$508)/($F$508-$I$508)/(1+$F$508)^$N$3</f>
        <v>62923.0894773856</v>
      </c>
      <c r="Q520" s="15" t="n">
        <f aca="false">O520+P520</f>
        <v>101297.280009239</v>
      </c>
      <c r="R520" s="15" t="n">
        <f aca="false">Q520-$G$2+$I$2</f>
        <v>99707.2800092393</v>
      </c>
      <c r="S520" s="42" t="n">
        <f aca="false">R520/$K$2</f>
        <v>277.288169556814</v>
      </c>
      <c r="T520" s="43" t="n">
        <f aca="false">S520-$M$2</f>
        <v>-0.730630153959339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0.069091796875</v>
      </c>
      <c r="C521" s="25" t="n">
        <f aca="false">IF(T520&gt;0,D520,C520)</f>
        <v>0.06982421875</v>
      </c>
      <c r="D521" s="41" t="n">
        <f aca="false">(B521+C521)/2</f>
        <v>0.0694580078125</v>
      </c>
      <c r="E521" s="15" t="n">
        <f aca="false">$C$2*(1+IF(E$3&lt;=$O$2,$D521,$D521-($D521-$I$508)*MIN(E$3-$O$2,$Q$2)/$Q$2))</f>
        <v>7229.5361328125</v>
      </c>
      <c r="F521" s="15" t="n">
        <f aca="false">E521*(1+IF(F$3&lt;=$O$2,$D521,$D521-($D521-$I$508)*MIN(F$3-$O$2,$Q$2)/$Q$2))</f>
        <v>7731.68531000614</v>
      </c>
      <c r="G521" s="15" t="n">
        <f aca="false">F521*(1+IF(G$3&lt;=$O$2,$D521,$D521-($D521-$I$508)*MIN(G$3-$O$2,$Q$2)/$Q$2))</f>
        <v>8268.71276867234</v>
      </c>
      <c r="H521" s="15" t="n">
        <f aca="false">G521*(1+IF(H$3&lt;=$O$2,$D521,$D521-($D521-$I$508)*MIN(H$3-$O$2,$Q$2)/$Q$2))</f>
        <v>8843.0410847581</v>
      </c>
      <c r="I521" s="15" t="n">
        <f aca="false">H521*(1+IF(I$3&lt;=$O$2,$D521,$D521-($D521-$I$508)*MIN(I$3-$O$2,$Q$2)/$Q$2))</f>
        <v>9457.26110150949</v>
      </c>
      <c r="J521" s="15" t="n">
        <f aca="false">I521*(1+IF(J$3&lt;=$O$2,$D521,$D521-($D521-$I$508)*MIN(J$3-$O$2,$Q$2)/$Q$2))</f>
        <v>10036.2952117228</v>
      </c>
      <c r="K521" s="15" t="n">
        <f aca="false">J521*(1+IF(K$3&lt;=$O$2,$D521,$D521-($D521-$I$508)*MIN(K$3-$O$2,$Q$2)/$Q$2))</f>
        <v>10568.1667162542</v>
      </c>
      <c r="L521" s="15" t="n">
        <f aca="false">K521*(1+IF(L$3&lt;=$O$2,$D521,$D521-($D521-$I$508)*MIN(L$3-$O$2,$Q$2)/$Q$2))</f>
        <v>11041.2317096327</v>
      </c>
      <c r="M521" s="15" t="n">
        <f aca="false">L521*(1+IF(M$3&lt;=$O$2,$D521,$D521-($D521-$I$508)*MIN(M$3-$O$2,$Q$2)/$Q$2))</f>
        <v>11444.5855872083</v>
      </c>
      <c r="N521" s="15" t="n">
        <f aca="false">M521*(1+IF(N$3&lt;=$O$2,$D521,$D521-($D521-$I$508)*MIN(N$3-$O$2,$Q$2)/$Q$2))</f>
        <v>11768.4673593263</v>
      </c>
      <c r="O521" s="15" t="n">
        <f aca="false">SUMPRODUCT(E521:N521,1/(1+$F$508)^$E$3:$N$3)*$E$2</f>
        <v>38435.8001698306</v>
      </c>
      <c r="P521" s="15" t="n">
        <f aca="false">N521*$E$2*(1+$I$508)/($F$508-$I$508)/(1+$F$508)^$N$3</f>
        <v>63074.7972994116</v>
      </c>
      <c r="Q521" s="15" t="n">
        <f aca="false">O521+P521</f>
        <v>101510.597469242</v>
      </c>
      <c r="R521" s="15" t="n">
        <f aca="false">Q521-$G$2+$I$2</f>
        <v>99920.5974692422</v>
      </c>
      <c r="S521" s="42" t="n">
        <f aca="false">R521/$K$2</f>
        <v>277.881410170872</v>
      </c>
      <c r="T521" s="43" t="n">
        <f aca="false">S521-$M$2</f>
        <v>-0.137389539901562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0.0694580078125</v>
      </c>
      <c r="C522" s="25" t="n">
        <f aca="false">IF(T521&gt;0,D521,C521)</f>
        <v>0.06982421875</v>
      </c>
      <c r="D522" s="41" t="n">
        <f aca="false">(B522+C522)/2</f>
        <v>0.06964111328125</v>
      </c>
      <c r="E522" s="15" t="n">
        <f aca="false">$C$2*(1+IF(E$3&lt;=$O$2,$D522,$D522-($D522-$I$508)*MIN(E$3-$O$2,$Q$2)/$Q$2))</f>
        <v>7230.77392578125</v>
      </c>
      <c r="F522" s="15" t="n">
        <f aca="false">E522*(1+IF(F$3&lt;=$O$2,$D522,$D522-($D522-$I$508)*MIN(F$3-$O$2,$Q$2)/$Q$2))</f>
        <v>7734.33307185769</v>
      </c>
      <c r="G522" s="15" t="n">
        <f aca="false">F522*(1+IF(G$3&lt;=$O$2,$D522,$D522-($D522-$I$508)*MIN(G$3-$O$2,$Q$2)/$Q$2))</f>
        <v>8272.96063746985</v>
      </c>
      <c r="H522" s="15" t="n">
        <f aca="false">G522*(1+IF(H$3&lt;=$O$2,$D522,$D522-($D522-$I$508)*MIN(H$3-$O$2,$Q$2)/$Q$2))</f>
        <v>8849.09882639521</v>
      </c>
      <c r="I522" s="15" t="n">
        <f aca="false">H522*(1+IF(I$3&lt;=$O$2,$D522,$D522-($D522-$I$508)*MIN(I$3-$O$2,$Q$2)/$Q$2))</f>
        <v>9465.35992020118</v>
      </c>
      <c r="J522" s="15" t="n">
        <f aca="false">I522*(1+IF(J$3&lt;=$O$2,$D522,$D522-($D522-$I$508)*MIN(J$3-$O$2,$Q$2)/$Q$2))</f>
        <v>10046.2764193099</v>
      </c>
      <c r="K522" s="15" t="n">
        <f aca="false">J522*(1+IF(K$3&lt;=$O$2,$D522,$D522-($D522-$I$508)*MIN(K$3-$O$2,$Q$2)/$Q$2))</f>
        <v>10579.7805928797</v>
      </c>
      <c r="L522" s="15" t="n">
        <f aca="false">K522*(1+IF(L$3&lt;=$O$2,$D522,$D522-($D522-$I$508)*MIN(L$3-$O$2,$Q$2)/$Q$2))</f>
        <v>11054.1403468506</v>
      </c>
      <c r="M522" s="15" t="n">
        <f aca="false">L522*(1+IF(M$3&lt;=$O$2,$D522,$D522-($D522-$I$508)*MIN(M$3-$O$2,$Q$2)/$Q$2))</f>
        <v>11458.3706123276</v>
      </c>
      <c r="N522" s="15" t="n">
        <f aca="false">M522*(1+IF(N$3&lt;=$O$2,$D522,$D522-($D522-$I$508)*MIN(N$3-$O$2,$Q$2)/$Q$2))</f>
        <v>11782.6425006565</v>
      </c>
      <c r="O522" s="15" t="n">
        <f aca="false">SUMPRODUCT(E522:N522,1/(1+$F$508)^$E$3:$N$3)*$E$2</f>
        <v>38466.642079259</v>
      </c>
      <c r="P522" s="15" t="n">
        <f aca="false">N522*$E$2*(1+$I$508)/($F$508-$I$508)/(1+$F$508)^$N$3</f>
        <v>63150.7710127931</v>
      </c>
      <c r="Q522" s="15" t="n">
        <f aca="false">O522+P522</f>
        <v>101617.413092052</v>
      </c>
      <c r="R522" s="15" t="n">
        <f aca="false">Q522-$G$2+$I$2</f>
        <v>100027.413092052</v>
      </c>
      <c r="S522" s="42" t="n">
        <f aca="false">R522/$K$2</f>
        <v>278.178466800301</v>
      </c>
      <c r="T522" s="43" t="n">
        <f aca="false">S522-$M$2</f>
        <v>0.159667089526863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0.0694580078125</v>
      </c>
      <c r="C523" s="25" t="n">
        <f aca="false">IF(T522&gt;0,D522,C522)</f>
        <v>0.06964111328125</v>
      </c>
      <c r="D523" s="41" t="n">
        <f aca="false">(B523+C523)/2</f>
        <v>0.069549560546875</v>
      </c>
      <c r="E523" s="15" t="n">
        <f aca="false">$C$2*(1+IF(E$3&lt;=$O$2,$D523,$D523-($D523-$I$508)*MIN(E$3-$O$2,$Q$2)/$Q$2))</f>
        <v>7230.15502929688</v>
      </c>
      <c r="F523" s="15" t="n">
        <f aca="false">E523*(1+IF(F$3&lt;=$O$2,$D523,$D523-($D523-$I$508)*MIN(F$3-$O$2,$Q$2)/$Q$2))</f>
        <v>7733.00913427025</v>
      </c>
      <c r="G523" s="15" t="n">
        <f aca="false">F523*(1+IF(G$3&lt;=$O$2,$D523,$D523-($D523-$I$508)*MIN(G$3-$O$2,$Q$2)/$Q$2))</f>
        <v>8270.83652126372</v>
      </c>
      <c r="H523" s="15" t="n">
        <f aca="false">G523*(1+IF(H$3&lt;=$O$2,$D523,$D523-($D523-$I$508)*MIN(H$3-$O$2,$Q$2)/$Q$2))</f>
        <v>8846.06956667265</v>
      </c>
      <c r="I523" s="15" t="n">
        <f aca="false">H523*(1+IF(I$3&lt;=$O$2,$D523,$D523-($D523-$I$508)*MIN(I$3-$O$2,$Q$2)/$Q$2))</f>
        <v>9461.30981760182</v>
      </c>
      <c r="J523" s="15" t="n">
        <f aca="false">I523*(1+IF(J$3&lt;=$O$2,$D523,$D523-($D523-$I$508)*MIN(J$3-$O$2,$Q$2)/$Q$2))</f>
        <v>10041.2847831791</v>
      </c>
      <c r="K523" s="15" t="n">
        <f aca="false">J523*(1+IF(K$3&lt;=$O$2,$D523,$D523-($D523-$I$508)*MIN(K$3-$O$2,$Q$2)/$Q$2))</f>
        <v>10573.9722933223</v>
      </c>
      <c r="L523" s="15" t="n">
        <f aca="false">K523*(1+IF(L$3&lt;=$O$2,$D523,$D523-($D523-$I$508)*MIN(L$3-$O$2,$Q$2)/$Q$2))</f>
        <v>11047.6843933571</v>
      </c>
      <c r="M523" s="15" t="n">
        <f aca="false">L523*(1+IF(M$3&lt;=$O$2,$D523,$D523-($D523-$I$508)*MIN(M$3-$O$2,$Q$2)/$Q$2))</f>
        <v>11451.4762869464</v>
      </c>
      <c r="N523" s="15" t="n">
        <f aca="false">M523*(1+IF(N$3&lt;=$O$2,$D523,$D523-($D523-$I$508)*MIN(N$3-$O$2,$Q$2)/$Q$2))</f>
        <v>11775.553065867</v>
      </c>
      <c r="O523" s="15" t="n">
        <f aca="false">SUMPRODUCT(E523:N523,1/(1+$F$508)^$E$3:$N$3)*$E$2</f>
        <v>38451.2180317531</v>
      </c>
      <c r="P523" s="15" t="n">
        <f aca="false">N523*$E$2*(1+$I$508)/($F$508-$I$508)/(1+$F$508)^$N$3</f>
        <v>63112.7741650591</v>
      </c>
      <c r="Q523" s="15" t="n">
        <f aca="false">O523+P523</f>
        <v>101563.992196812</v>
      </c>
      <c r="R523" s="15" t="n">
        <f aca="false">Q523-$G$2+$I$2</f>
        <v>99973.9921968121</v>
      </c>
      <c r="S523" s="42" t="n">
        <f aca="false">R523/$K$2</f>
        <v>278.029902099149</v>
      </c>
      <c r="T523" s="43" t="n">
        <f aca="false">S523-$M$2</f>
        <v>0.0111023883756616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0.0694580078125</v>
      </c>
      <c r="C524" s="25" t="n">
        <f aca="false">IF(T523&gt;0,D523,C523)</f>
        <v>0.069549560546875</v>
      </c>
      <c r="D524" s="41" t="n">
        <f aca="false">(B524+C524)/2</f>
        <v>0.0695037841796875</v>
      </c>
      <c r="E524" s="15" t="n">
        <f aca="false">$C$2*(1+IF(E$3&lt;=$O$2,$D524,$D524-($D524-$I$508)*MIN(E$3-$O$2,$Q$2)/$Q$2))</f>
        <v>7229.84558105469</v>
      </c>
      <c r="F524" s="15" t="n">
        <f aca="false">E524*(1+IF(F$3&lt;=$O$2,$D524,$D524-($D524-$I$508)*MIN(F$3-$O$2,$Q$2)/$Q$2))</f>
        <v>7732.34720797278</v>
      </c>
      <c r="G524" s="15" t="n">
        <f aca="false">F524*(1+IF(G$3&lt;=$O$2,$D524,$D524-($D524-$I$508)*MIN(G$3-$O$2,$Q$2)/$Q$2))</f>
        <v>8269.77459951813</v>
      </c>
      <c r="H524" s="15" t="n">
        <f aca="false">G524*(1+IF(H$3&lt;=$O$2,$D524,$D524-($D524-$I$508)*MIN(H$3-$O$2,$Q$2)/$Q$2))</f>
        <v>8844.5552284977</v>
      </c>
      <c r="I524" s="15" t="n">
        <f aca="false">H524*(1+IF(I$3&lt;=$O$2,$D524,$D524-($D524-$I$508)*MIN(I$3-$O$2,$Q$2)/$Q$2))</f>
        <v>9459.28528626453</v>
      </c>
      <c r="J524" s="15" t="n">
        <f aca="false">I524*(1+IF(J$3&lt;=$O$2,$D524,$D524-($D524-$I$508)*MIN(J$3-$O$2,$Q$2)/$Q$2))</f>
        <v>10038.7897394093</v>
      </c>
      <c r="K524" s="15" t="n">
        <f aca="false">J524*(1+IF(K$3&lt;=$O$2,$D524,$D524-($D524-$I$508)*MIN(K$3-$O$2,$Q$2)/$Q$2))</f>
        <v>10571.0691645433</v>
      </c>
      <c r="L524" s="15" t="n">
        <f aca="false">K524*(1+IF(L$3&lt;=$O$2,$D524,$D524-($D524-$I$508)*MIN(L$3-$O$2,$Q$2)/$Q$2))</f>
        <v>11044.4576428616</v>
      </c>
      <c r="M524" s="15" t="n">
        <f aca="false">L524*(1+IF(M$3&lt;=$O$2,$D524,$D524-($D524-$I$508)*MIN(M$3-$O$2,$Q$2)/$Q$2))</f>
        <v>11448.0304839742</v>
      </c>
      <c r="N524" s="15" t="n">
        <f aca="false">M524*(1+IF(N$3&lt;=$O$2,$D524,$D524-($D524-$I$508)*MIN(N$3-$O$2,$Q$2)/$Q$2))</f>
        <v>11772.0097466707</v>
      </c>
      <c r="O524" s="15" t="n">
        <f aca="false">SUMPRODUCT(E524:N524,1/(1+$F$508)^$E$3:$N$3)*$E$2</f>
        <v>38443.5083277381</v>
      </c>
      <c r="P524" s="15" t="n">
        <f aca="false">N524*$E$2*(1+$I$508)/($F$508-$I$508)/(1+$F$508)^$N$3</f>
        <v>63093.7832350382</v>
      </c>
      <c r="Q524" s="15" t="n">
        <f aca="false">O524+P524</f>
        <v>101537.291562776</v>
      </c>
      <c r="R524" s="15" t="n">
        <f aca="false">Q524-$G$2+$I$2</f>
        <v>99947.2915627763</v>
      </c>
      <c r="S524" s="42" t="n">
        <f aca="false">R524/$K$2</f>
        <v>277.95564704037</v>
      </c>
      <c r="T524" s="43" t="n">
        <f aca="false">S524-$M$2</f>
        <v>-0.0631526704035537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0.0695037841796875</v>
      </c>
      <c r="C525" s="25" t="n">
        <f aca="false">IF(T524&gt;0,D524,C524)</f>
        <v>0.069549560546875</v>
      </c>
      <c r="D525" s="41" t="n">
        <f aca="false">(B525+C525)/2</f>
        <v>0.0695266723632813</v>
      </c>
      <c r="E525" s="15" t="n">
        <f aca="false">$C$2*(1+IF(E$3&lt;=$O$2,$D525,$D525-($D525-$I$508)*MIN(E$3-$O$2,$Q$2)/$Q$2))</f>
        <v>7230.00030517578</v>
      </c>
      <c r="F525" s="15" t="n">
        <f aca="false">E525*(1+IF(F$3&lt;=$O$2,$D525,$D525-($D525-$I$508)*MIN(F$3-$O$2,$Q$2)/$Q$2))</f>
        <v>7732.67816758016</v>
      </c>
      <c r="G525" s="15" t="n">
        <f aca="false">F525*(1+IF(G$3&lt;=$O$2,$D525,$D525-($D525-$I$508)*MIN(G$3-$O$2,$Q$2)/$Q$2))</f>
        <v>8270.30554902821</v>
      </c>
      <c r="H525" s="15" t="n">
        <f aca="false">G525*(1+IF(H$3&lt;=$O$2,$D525,$D525-($D525-$I$508)*MIN(H$3-$O$2,$Q$2)/$Q$2))</f>
        <v>8845.31237327972</v>
      </c>
      <c r="I525" s="15" t="n">
        <f aca="false">H525*(1+IF(I$3&lt;=$O$2,$D525,$D525-($D525-$I$508)*MIN(I$3-$O$2,$Q$2)/$Q$2))</f>
        <v>9460.29750860762</v>
      </c>
      <c r="J525" s="15" t="n">
        <f aca="false">I525*(1+IF(J$3&lt;=$O$2,$D525,$D525-($D525-$I$508)*MIN(J$3-$O$2,$Q$2)/$Q$2))</f>
        <v>10040.0371967784</v>
      </c>
      <c r="K525" s="15" t="n">
        <f aca="false">J525*(1+IF(K$3&lt;=$O$2,$D525,$D525-($D525-$I$508)*MIN(K$3-$O$2,$Q$2)/$Q$2))</f>
        <v>10572.5206438633</v>
      </c>
      <c r="L525" s="15" t="n">
        <f aca="false">K525*(1+IF(L$3&lt;=$O$2,$D525,$D525-($D525-$I$508)*MIN(L$3-$O$2,$Q$2)/$Q$2))</f>
        <v>11046.0709159401</v>
      </c>
      <c r="M525" s="15" t="n">
        <f aca="false">L525*(1+IF(M$3&lt;=$O$2,$D525,$D525-($D525-$I$508)*MIN(M$3-$O$2,$Q$2)/$Q$2))</f>
        <v>11449.7532721718</v>
      </c>
      <c r="N525" s="15" t="n">
        <f aca="false">M525*(1+IF(N$3&lt;=$O$2,$D525,$D525-($D525-$I$508)*MIN(N$3-$O$2,$Q$2)/$Q$2))</f>
        <v>11773.7812897742</v>
      </c>
      <c r="O525" s="15" t="n">
        <f aca="false">SUMPRODUCT(E525:N525,1/(1+$F$508)^$E$3:$N$3)*$E$2</f>
        <v>38447.3629864641</v>
      </c>
      <c r="P525" s="15" t="n">
        <f aca="false">N525*$E$2*(1+$I$508)/($F$508-$I$508)/(1+$F$508)^$N$3</f>
        <v>63103.2780756789</v>
      </c>
      <c r="Q525" s="15" t="n">
        <f aca="false">O525+P525</f>
        <v>101550.641062143</v>
      </c>
      <c r="R525" s="15" t="n">
        <f aca="false">Q525-$G$2+$I$2</f>
        <v>99960.6410621431</v>
      </c>
      <c r="S525" s="42" t="n">
        <f aca="false">R525/$K$2</f>
        <v>277.992772295854</v>
      </c>
      <c r="T525" s="43" t="n">
        <f aca="false">S525-$M$2</f>
        <v>-0.0260274149200086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0.0695266723632813</v>
      </c>
      <c r="C526" s="25" t="n">
        <f aca="false">IF(T525&gt;0,D525,C525)</f>
        <v>0.069549560546875</v>
      </c>
      <c r="D526" s="41" t="n">
        <f aca="false">(B526+C526)/2</f>
        <v>0.0695381164550781</v>
      </c>
      <c r="E526" s="15" t="n">
        <f aca="false">$C$2*(1+IF(E$3&lt;=$O$2,$D526,$D526-($D526-$I$508)*MIN(E$3-$O$2,$Q$2)/$Q$2))</f>
        <v>7230.07766723633</v>
      </c>
      <c r="F526" s="15" t="n">
        <f aca="false">E526*(1+IF(F$3&lt;=$O$2,$D526,$D526-($D526-$I$508)*MIN(F$3-$O$2,$Q$2)/$Q$2))</f>
        <v>7732.84365003987</v>
      </c>
      <c r="G526" s="15" t="n">
        <f aca="false">F526*(1+IF(G$3&lt;=$O$2,$D526,$D526-($D526-$I$508)*MIN(G$3-$O$2,$Q$2)/$Q$2))</f>
        <v>8270.57103230525</v>
      </c>
      <c r="H526" s="15" t="n">
        <f aca="false">G526*(1+IF(H$3&lt;=$O$2,$D526,$D526-($D526-$I$508)*MIN(H$3-$O$2,$Q$2)/$Q$2))</f>
        <v>8845.69096389969</v>
      </c>
      <c r="I526" s="15" t="n">
        <f aca="false">H526*(1+IF(I$3&lt;=$O$2,$D526,$D526-($D526-$I$508)*MIN(I$3-$O$2,$Q$2)/$Q$2))</f>
        <v>9460.80365227298</v>
      </c>
      <c r="J526" s="15" t="n">
        <f aca="false">I526*(1+IF(J$3&lt;=$O$2,$D526,$D526-($D526-$I$508)*MIN(J$3-$O$2,$Q$2)/$Q$2))</f>
        <v>10040.6609738492</v>
      </c>
      <c r="K526" s="15" t="n">
        <f aca="false">J526*(1+IF(K$3&lt;=$O$2,$D526,$D526-($D526-$I$508)*MIN(K$3-$O$2,$Q$2)/$Q$2))</f>
        <v>10573.2464473244</v>
      </c>
      <c r="L526" s="15" t="n">
        <f aca="false">K526*(1+IF(L$3&lt;=$O$2,$D526,$D526-($D526-$I$508)*MIN(L$3-$O$2,$Q$2)/$Q$2))</f>
        <v>11046.8776291049</v>
      </c>
      <c r="M526" s="15" t="n">
        <f aca="false">L526*(1+IF(M$3&lt;=$O$2,$D526,$D526-($D526-$I$508)*MIN(M$3-$O$2,$Q$2)/$Q$2))</f>
        <v>11450.6147512354</v>
      </c>
      <c r="N526" s="15" t="n">
        <f aca="false">M526*(1+IF(N$3&lt;=$O$2,$D526,$D526-($D526-$I$508)*MIN(N$3-$O$2,$Q$2)/$Q$2))</f>
        <v>11774.6671486953</v>
      </c>
      <c r="O526" s="15" t="n">
        <f aca="false">SUMPRODUCT(E526:N526,1/(1+$F$508)^$E$3:$N$3)*$E$2</f>
        <v>38449.290460786</v>
      </c>
      <c r="P526" s="15" t="n">
        <f aca="false">N526*$E$2*(1+$I$508)/($F$508-$I$508)/(1+$F$508)^$N$3</f>
        <v>63108.0259642677</v>
      </c>
      <c r="Q526" s="15" t="n">
        <f aca="false">O526+P526</f>
        <v>101557.316425054</v>
      </c>
      <c r="R526" s="15" t="n">
        <f aca="false">Q526-$G$2+$I$2</f>
        <v>99967.3164250537</v>
      </c>
      <c r="S526" s="42" t="n">
        <f aca="false">R526/$K$2</f>
        <v>278.011336628994</v>
      </c>
      <c r="T526" s="43" t="n">
        <f aca="false">S526-$M$2</f>
        <v>-0.0074630817795196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0.0695381164550781</v>
      </c>
      <c r="C527" s="25" t="n">
        <f aca="false">IF(T526&gt;0,D526,C526)</f>
        <v>0.069549560546875</v>
      </c>
      <c r="D527" s="41" t="n">
        <f aca="false">(B527+C527)/2</f>
        <v>0.0695438385009766</v>
      </c>
      <c r="E527" s="15" t="n">
        <f aca="false">$C$2*(1+IF(E$3&lt;=$O$2,$D527,$D527-($D527-$I$508)*MIN(E$3-$O$2,$Q$2)/$Q$2))</f>
        <v>7230.1163482666</v>
      </c>
      <c r="F527" s="15" t="n">
        <f aca="false">E527*(1+IF(F$3&lt;=$O$2,$D527,$D527-($D527-$I$508)*MIN(F$3-$O$2,$Q$2)/$Q$2))</f>
        <v>7732.92639193372</v>
      </c>
      <c r="G527" s="15" t="n">
        <f aca="false">F527*(1+IF(G$3&lt;=$O$2,$D527,$D527-($D527-$I$508)*MIN(G$3-$O$2,$Q$2)/$Q$2))</f>
        <v>8270.7037760743</v>
      </c>
      <c r="H527" s="15" t="n">
        <f aca="false">G527*(1+IF(H$3&lt;=$O$2,$D527,$D527-($D527-$I$508)*MIN(H$3-$O$2,$Q$2)/$Q$2))</f>
        <v>8845.88026376703</v>
      </c>
      <c r="I527" s="15" t="n">
        <f aca="false">H527*(1+IF(I$3&lt;=$O$2,$D527,$D527-($D527-$I$508)*MIN(I$3-$O$2,$Q$2)/$Q$2))</f>
        <v>9461.05673222942</v>
      </c>
      <c r="J527" s="15" t="n">
        <f aca="false">I527*(1+IF(J$3&lt;=$O$2,$D527,$D527-($D527-$I$508)*MIN(J$3-$O$2,$Q$2)/$Q$2))</f>
        <v>10040.9728744816</v>
      </c>
      <c r="K527" s="15" t="n">
        <f aca="false">J527*(1+IF(K$3&lt;=$O$2,$D527,$D527-($D527-$I$508)*MIN(K$3-$O$2,$Q$2)/$Q$2))</f>
        <v>10573.6093650061</v>
      </c>
      <c r="L527" s="15" t="n">
        <f aca="false">K527*(1+IF(L$3&lt;=$O$2,$D527,$D527-($D527-$I$508)*MIN(L$3-$O$2,$Q$2)/$Q$2))</f>
        <v>11047.2810048449</v>
      </c>
      <c r="M527" s="15" t="n">
        <f aca="false">L527*(1+IF(M$3&lt;=$O$2,$D527,$D527-($D527-$I$508)*MIN(M$3-$O$2,$Q$2)/$Q$2))</f>
        <v>11451.0455120098</v>
      </c>
      <c r="N527" s="15" t="n">
        <f aca="false">M527*(1+IF(N$3&lt;=$O$2,$D527,$D527-($D527-$I$508)*MIN(N$3-$O$2,$Q$2)/$Q$2))</f>
        <v>11775.1100999996</v>
      </c>
      <c r="O527" s="15" t="n">
        <f aca="false">SUMPRODUCT(E527:N527,1/(1+$F$508)^$E$3:$N$3)*$E$2</f>
        <v>38450.2542341886</v>
      </c>
      <c r="P527" s="15" t="n">
        <f aca="false">N527*$E$2*(1+$I$508)/($F$508-$I$508)/(1+$F$508)^$N$3</f>
        <v>63110.400025637</v>
      </c>
      <c r="Q527" s="15" t="n">
        <f aca="false">O527+P527</f>
        <v>101560.654259826</v>
      </c>
      <c r="R527" s="15" t="n">
        <f aca="false">Q527-$G$2+$I$2</f>
        <v>99970.6542598256</v>
      </c>
      <c r="S527" s="42" t="n">
        <f aca="false">R527/$K$2</f>
        <v>278.020619221941</v>
      </c>
      <c r="T527" s="43" t="n">
        <f aca="false">S527-$M$2</f>
        <v>0.00181951116746859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0.0695381164550781</v>
      </c>
      <c r="C528" s="25" t="n">
        <f aca="false">IF(T527&gt;0,D527,C527)</f>
        <v>0.0695438385009766</v>
      </c>
      <c r="D528" s="41" t="n">
        <f aca="false">(B528+C528)/2</f>
        <v>0.0695409774780273</v>
      </c>
      <c r="E528" s="15" t="n">
        <f aca="false">$C$2*(1+IF(E$3&lt;=$O$2,$D528,$D528-($D528-$I$508)*MIN(E$3-$O$2,$Q$2)/$Q$2))</f>
        <v>7230.09700775147</v>
      </c>
      <c r="F528" s="15" t="n">
        <f aca="false">E528*(1+IF(F$3&lt;=$O$2,$D528,$D528-($D528-$I$508)*MIN(F$3-$O$2,$Q$2)/$Q$2))</f>
        <v>7732.88502093146</v>
      </c>
      <c r="G528" s="15" t="n">
        <f aca="false">F528*(1+IF(G$3&lt;=$O$2,$D528,$D528-($D528-$I$508)*MIN(G$3-$O$2,$Q$2)/$Q$2))</f>
        <v>8270.63740401223</v>
      </c>
      <c r="H528" s="15" t="n">
        <f aca="false">G528*(1+IF(H$3&lt;=$O$2,$D528,$D528-($D528-$I$508)*MIN(H$3-$O$2,$Q$2)/$Q$2))</f>
        <v>8845.78561345358</v>
      </c>
      <c r="I528" s="15" t="n">
        <f aca="false">H528*(1+IF(I$3&lt;=$O$2,$D528,$D528-($D528-$I$508)*MIN(I$3-$O$2,$Q$2)/$Q$2))</f>
        <v>9460.93019157421</v>
      </c>
      <c r="J528" s="15" t="n">
        <f aca="false">I528*(1+IF(J$3&lt;=$O$2,$D528,$D528-($D528-$I$508)*MIN(J$3-$O$2,$Q$2)/$Q$2))</f>
        <v>10040.8169231573</v>
      </c>
      <c r="K528" s="15" t="n">
        <f aca="false">J528*(1+IF(K$3&lt;=$O$2,$D528,$D528-($D528-$I$508)*MIN(K$3-$O$2,$Q$2)/$Q$2))</f>
        <v>10573.427904836</v>
      </c>
      <c r="L528" s="15" t="n">
        <f aca="false">K528*(1+IF(L$3&lt;=$O$2,$D528,$D528-($D528-$I$508)*MIN(L$3-$O$2,$Q$2)/$Q$2))</f>
        <v>11047.0793153784</v>
      </c>
      <c r="M528" s="15" t="n">
        <f aca="false">L528*(1+IF(M$3&lt;=$O$2,$D528,$D528-($D528-$I$508)*MIN(M$3-$O$2,$Q$2)/$Q$2))</f>
        <v>11450.8301298523</v>
      </c>
      <c r="N528" s="15" t="n">
        <f aca="false">M528*(1+IF(N$3&lt;=$O$2,$D528,$D528-($D528-$I$508)*MIN(N$3-$O$2,$Q$2)/$Q$2))</f>
        <v>11774.8886225271</v>
      </c>
      <c r="O528" s="15" t="n">
        <f aca="false">SUMPRODUCT(E528:N528,1/(1+$F$508)^$E$3:$N$3)*$E$2</f>
        <v>38449.7723444671</v>
      </c>
      <c r="P528" s="15" t="n">
        <f aca="false">N528*$E$2*(1+$I$508)/($F$508-$I$508)/(1+$F$508)^$N$3</f>
        <v>63109.2129851959</v>
      </c>
      <c r="Q528" s="15" t="n">
        <f aca="false">O528+P528</f>
        <v>101558.985329663</v>
      </c>
      <c r="R528" s="15" t="n">
        <f aca="false">Q528-$G$2+$I$2</f>
        <v>99968.985329663</v>
      </c>
      <c r="S528" s="42" t="n">
        <f aca="false">R528/$K$2</f>
        <v>278.015977889935</v>
      </c>
      <c r="T528" s="43" t="n">
        <f aca="false">S528-$M$2</f>
        <v>-0.0028218208382782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0.0695409774780273</v>
      </c>
      <c r="C529" s="25" t="n">
        <f aca="false">IF(T528&gt;0,D528,C528)</f>
        <v>0.0695438385009766</v>
      </c>
      <c r="D529" s="41" t="n">
        <f aca="false">(B529+C529)/2</f>
        <v>0.069542407989502</v>
      </c>
      <c r="E529" s="15" t="n">
        <f aca="false">$C$2*(1+IF(E$3&lt;=$O$2,$D529,$D529-($D529-$I$508)*MIN(E$3-$O$2,$Q$2)/$Q$2))</f>
        <v>7230.10667800903</v>
      </c>
      <c r="F529" s="15" t="n">
        <f aca="false">E529*(1+IF(F$3&lt;=$O$2,$D529,$D529-($D529-$I$508)*MIN(F$3-$O$2,$Q$2)/$Q$2))</f>
        <v>7732.90570641876</v>
      </c>
      <c r="G529" s="15" t="n">
        <f aca="false">F529*(1+IF(G$3&lt;=$O$2,$D529,$D529-($D529-$I$508)*MIN(G$3-$O$2,$Q$2)/$Q$2))</f>
        <v>8270.67058999888</v>
      </c>
      <c r="H529" s="15" t="n">
        <f aca="false">G529*(1+IF(H$3&lt;=$O$2,$D529,$D529-($D529-$I$508)*MIN(H$3-$O$2,$Q$2)/$Q$2))</f>
        <v>8845.83293851536</v>
      </c>
      <c r="I529" s="15" t="n">
        <f aca="false">H529*(1+IF(I$3&lt;=$O$2,$D529,$D529-($D529-$I$508)*MIN(I$3-$O$2,$Q$2)/$Q$2))</f>
        <v>9460.99346173257</v>
      </c>
      <c r="J529" s="15" t="n">
        <f aca="false">I529*(1+IF(J$3&lt;=$O$2,$D529,$D529-($D529-$I$508)*MIN(J$3-$O$2,$Q$2)/$Q$2))</f>
        <v>10040.8948985674</v>
      </c>
      <c r="K529" s="15" t="n">
        <f aca="false">J529*(1+IF(K$3&lt;=$O$2,$D529,$D529-($D529-$I$508)*MIN(K$3-$O$2,$Q$2)/$Q$2))</f>
        <v>10573.5186345887</v>
      </c>
      <c r="L529" s="15" t="n">
        <f aca="false">K529*(1+IF(L$3&lt;=$O$2,$D529,$D529-($D529-$I$508)*MIN(L$3-$O$2,$Q$2)/$Q$2))</f>
        <v>11047.1801597125</v>
      </c>
      <c r="M529" s="15" t="n">
        <f aca="false">L529*(1+IF(M$3&lt;=$O$2,$D529,$D529-($D529-$I$508)*MIN(M$3-$O$2,$Q$2)/$Q$2))</f>
        <v>11450.9378204885</v>
      </c>
      <c r="N529" s="15" t="n">
        <f aca="false">M529*(1+IF(N$3&lt;=$O$2,$D529,$D529-($D529-$I$508)*MIN(N$3-$O$2,$Q$2)/$Q$2))</f>
        <v>11774.9993608083</v>
      </c>
      <c r="O529" s="15" t="n">
        <f aca="false">SUMPRODUCT(E529:N529,1/(1+$F$508)^$E$3:$N$3)*$E$2</f>
        <v>38450.0132885728</v>
      </c>
      <c r="P529" s="15" t="n">
        <f aca="false">N529*$E$2*(1+$I$508)/($F$508-$I$508)/(1+$F$508)^$N$3</f>
        <v>63109.8065029773</v>
      </c>
      <c r="Q529" s="15" t="n">
        <f aca="false">O529+P529</f>
        <v>101559.81979155</v>
      </c>
      <c r="R529" s="15" t="n">
        <f aca="false">Q529-$G$2+$I$2</f>
        <v>99969.8197915501</v>
      </c>
      <c r="S529" s="42" t="n">
        <f aca="false">R529/$K$2</f>
        <v>278.018298547055</v>
      </c>
      <c r="T529" s="43" t="n">
        <f aca="false">S529-$M$2</f>
        <v>-0.000501163718467979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0.069542407989502</v>
      </c>
      <c r="C530" s="25" t="n">
        <f aca="false">IF(T529&gt;0,D529,C529)</f>
        <v>0.0695438385009766</v>
      </c>
      <c r="D530" s="41" t="n">
        <f aca="false">(B530+C530)/2</f>
        <v>0.0695431232452393</v>
      </c>
      <c r="E530" s="15" t="n">
        <f aca="false">$C$2*(1+IF(E$3&lt;=$O$2,$D530,$D530-($D530-$I$508)*MIN(E$3-$O$2,$Q$2)/$Q$2))</f>
        <v>7230.11151313782</v>
      </c>
      <c r="F530" s="15" t="n">
        <f aca="false">E530*(1+IF(F$3&lt;=$O$2,$D530,$D530-($D530-$I$508)*MIN(F$3-$O$2,$Q$2)/$Q$2))</f>
        <v>7732.91604917278</v>
      </c>
      <c r="G530" s="15" t="n">
        <f aca="false">F530*(1+IF(G$3&lt;=$O$2,$D530,$D530-($D530-$I$508)*MIN(G$3-$O$2,$Q$2)/$Q$2))</f>
        <v>8270.6871830255</v>
      </c>
      <c r="H530" s="15" t="n">
        <f aca="false">G530*(1+IF(H$3&lt;=$O$2,$D530,$D530-($D530-$I$508)*MIN(H$3-$O$2,$Q$2)/$Q$2))</f>
        <v>8845.85660111746</v>
      </c>
      <c r="I530" s="15" t="n">
        <f aca="false">H530*(1+IF(I$3&lt;=$O$2,$D530,$D530-($D530-$I$508)*MIN(I$3-$O$2,$Q$2)/$Q$2))</f>
        <v>9461.02509693868</v>
      </c>
      <c r="J530" s="15" t="n">
        <f aca="false">I530*(1+IF(J$3&lt;=$O$2,$D530,$D530-($D530-$I$508)*MIN(J$3-$O$2,$Q$2)/$Q$2))</f>
        <v>10040.9338864615</v>
      </c>
      <c r="K530" s="15" t="n">
        <f aca="false">J530*(1+IF(K$3&lt;=$O$2,$D530,$D530-($D530-$I$508)*MIN(K$3-$O$2,$Q$2)/$Q$2))</f>
        <v>10573.5639997144</v>
      </c>
      <c r="L530" s="15" t="n">
        <f aca="false">K530*(1+IF(L$3&lt;=$O$2,$D530,$D530-($D530-$I$508)*MIN(L$3-$O$2,$Q$2)/$Q$2))</f>
        <v>11047.2305821789</v>
      </c>
      <c r="M530" s="15" t="n">
        <f aca="false">L530*(1+IF(M$3&lt;=$O$2,$D530,$D530-($D530-$I$508)*MIN(M$3-$O$2,$Q$2)/$Q$2))</f>
        <v>11450.9916661385</v>
      </c>
      <c r="N530" s="15" t="n">
        <f aca="false">M530*(1+IF(N$3&lt;=$O$2,$D530,$D530-($D530-$I$508)*MIN(N$3-$O$2,$Q$2)/$Q$2))</f>
        <v>11775.0547302902</v>
      </c>
      <c r="O530" s="15" t="n">
        <f aca="false">SUMPRODUCT(E530:N530,1/(1+$F$508)^$E$3:$N$3)*$E$2</f>
        <v>38450.1337611919</v>
      </c>
      <c r="P530" s="15" t="n">
        <f aca="false">N530*$E$2*(1+$I$508)/($F$508-$I$508)/(1+$F$508)^$N$3</f>
        <v>63110.1032636974</v>
      </c>
      <c r="Q530" s="15" t="n">
        <f aca="false">O530+P530</f>
        <v>101560.237024889</v>
      </c>
      <c r="R530" s="15" t="n">
        <f aca="false">Q530-$G$2+$I$2</f>
        <v>99970.2370248893</v>
      </c>
      <c r="S530" s="42" t="n">
        <f aca="false">R530/$K$2</f>
        <v>278.019458882277</v>
      </c>
      <c r="T530" s="43" t="n">
        <f aca="false">S530-$M$2</f>
        <v>0.000659171503627931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0.069542407989502</v>
      </c>
      <c r="C531" s="25" t="n">
        <f aca="false">IF(T530&gt;0,D530,C530)</f>
        <v>0.0695431232452393</v>
      </c>
      <c r="D531" s="41" t="n">
        <f aca="false">(B531+C531)/2</f>
        <v>0.0695427656173706</v>
      </c>
      <c r="E531" s="15" t="n">
        <f aca="false">$C$2*(1+IF(E$3&lt;=$O$2,$D531,$D531-($D531-$I$508)*MIN(E$3-$O$2,$Q$2)/$Q$2))</f>
        <v>7230.10909557343</v>
      </c>
      <c r="F531" s="15" t="n">
        <f aca="false">E531*(1+IF(F$3&lt;=$O$2,$D531,$D531-($D531-$I$508)*MIN(F$3-$O$2,$Q$2)/$Q$2))</f>
        <v>7732.91087779491</v>
      </c>
      <c r="G531" s="15" t="n">
        <f aca="false">F531*(1+IF(G$3&lt;=$O$2,$D531,$D531-($D531-$I$508)*MIN(G$3-$O$2,$Q$2)/$Q$2))</f>
        <v>8270.67888650942</v>
      </c>
      <c r="H531" s="15" t="n">
        <f aca="false">G531*(1+IF(H$3&lt;=$O$2,$D531,$D531-($D531-$I$508)*MIN(H$3-$O$2,$Q$2)/$Q$2))</f>
        <v>8845.84476981048</v>
      </c>
      <c r="I531" s="15" t="n">
        <f aca="false">H531*(1+IF(I$3&lt;=$O$2,$D531,$D531-($D531-$I$508)*MIN(I$3-$O$2,$Q$2)/$Q$2))</f>
        <v>9461.00927932505</v>
      </c>
      <c r="J531" s="15" t="n">
        <f aca="false">I531*(1+IF(J$3&lt;=$O$2,$D531,$D531-($D531-$I$508)*MIN(J$3-$O$2,$Q$2)/$Q$2))</f>
        <v>10040.9143924987</v>
      </c>
      <c r="K531" s="15" t="n">
        <f aca="false">J531*(1+IF(K$3&lt;=$O$2,$D531,$D531-($D531-$I$508)*MIN(K$3-$O$2,$Q$2)/$Q$2))</f>
        <v>10573.5413171308</v>
      </c>
      <c r="L531" s="15" t="n">
        <f aca="false">K531*(1+IF(L$3&lt;=$O$2,$D531,$D531-($D531-$I$508)*MIN(L$3-$O$2,$Q$2)/$Q$2))</f>
        <v>11047.2053709208</v>
      </c>
      <c r="M531" s="15" t="n">
        <f aca="false">L531*(1+IF(M$3&lt;=$O$2,$D531,$D531-($D531-$I$508)*MIN(M$3-$O$2,$Q$2)/$Q$2))</f>
        <v>11450.9647432858</v>
      </c>
      <c r="N531" s="15" t="n">
        <f aca="false">M531*(1+IF(N$3&lt;=$O$2,$D531,$D531-($D531-$I$508)*MIN(N$3-$O$2,$Q$2)/$Q$2))</f>
        <v>11775.0270455208</v>
      </c>
      <c r="O531" s="15" t="n">
        <f aca="false">SUMPRODUCT(E531:N531,1/(1+$F$508)^$E$3:$N$3)*$E$2</f>
        <v>38450.0735248352</v>
      </c>
      <c r="P531" s="15" t="n">
        <f aca="false">N531*$E$2*(1+$I$508)/($F$508-$I$508)/(1+$F$508)^$N$3</f>
        <v>63109.9548831849</v>
      </c>
      <c r="Q531" s="15" t="n">
        <f aca="false">O531+P531</f>
        <v>101560.02840802</v>
      </c>
      <c r="R531" s="15" t="n">
        <f aca="false">Q531-$G$2+$I$2</f>
        <v>99970.0284080201</v>
      </c>
      <c r="S531" s="42" t="n">
        <f aca="false">R531/$K$2</f>
        <v>278.018878714111</v>
      </c>
      <c r="T531" s="43" t="n">
        <f aca="false">S531-$M$2</f>
        <v>7.90033374755694E-005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0.069542407989502</v>
      </c>
      <c r="C532" s="25" t="n">
        <f aca="false">IF(T531&gt;0,D531,C531)</f>
        <v>0.0695427656173706</v>
      </c>
      <c r="D532" s="41" t="n">
        <f aca="false">(B532+C532)/2</f>
        <v>0.0695425868034363</v>
      </c>
      <c r="E532" s="15" t="n">
        <f aca="false">$C$2*(1+IF(E$3&lt;=$O$2,$D532,$D532-($D532-$I$508)*MIN(E$3-$O$2,$Q$2)/$Q$2))</f>
        <v>7230.10788679123</v>
      </c>
      <c r="F532" s="15" t="n">
        <f aca="false">E532*(1+IF(F$3&lt;=$O$2,$D532,$D532-($D532-$I$508)*MIN(F$3-$O$2,$Q$2)/$Q$2))</f>
        <v>7732.90829210662</v>
      </c>
      <c r="G532" s="15" t="n">
        <f aca="false">F532*(1+IF(G$3&lt;=$O$2,$D532,$D532-($D532-$I$508)*MIN(G$3-$O$2,$Q$2)/$Q$2))</f>
        <v>8270.67473825345</v>
      </c>
      <c r="H532" s="15" t="n">
        <f aca="false">G532*(1+IF(H$3&lt;=$O$2,$D532,$D532-($D532-$I$508)*MIN(H$3-$O$2,$Q$2)/$Q$2))</f>
        <v>8845.83885416143</v>
      </c>
      <c r="I532" s="15" t="n">
        <f aca="false">H532*(1+IF(I$3&lt;=$O$2,$D532,$D532-($D532-$I$508)*MIN(I$3-$O$2,$Q$2)/$Q$2))</f>
        <v>9461.00137052616</v>
      </c>
      <c r="J532" s="15" t="n">
        <f aca="false">I532*(1+IF(J$3&lt;=$O$2,$D532,$D532-($D532-$I$508)*MIN(J$3-$O$2,$Q$2)/$Q$2))</f>
        <v>10040.9046455291</v>
      </c>
      <c r="K532" s="15" t="n">
        <f aca="false">J532*(1+IF(K$3&lt;=$O$2,$D532,$D532-($D532-$I$508)*MIN(K$3-$O$2,$Q$2)/$Q$2))</f>
        <v>10573.5299758546</v>
      </c>
      <c r="L532" s="15" t="n">
        <f aca="false">K532*(1+IF(L$3&lt;=$O$2,$D532,$D532-($D532-$I$508)*MIN(L$3-$O$2,$Q$2)/$Q$2))</f>
        <v>11047.1927653104</v>
      </c>
      <c r="M532" s="15" t="n">
        <f aca="false">L532*(1+IF(M$3&lt;=$O$2,$D532,$D532-($D532-$I$508)*MIN(M$3-$O$2,$Q$2)/$Q$2))</f>
        <v>11450.9512818802</v>
      </c>
      <c r="N532" s="15" t="n">
        <f aca="false">M532*(1+IF(N$3&lt;=$O$2,$D532,$D532-($D532-$I$508)*MIN(N$3-$O$2,$Q$2)/$Q$2))</f>
        <v>11775.0132031574</v>
      </c>
      <c r="O532" s="15" t="n">
        <f aca="false">SUMPRODUCT(E532:N532,1/(1+$F$508)^$E$3:$N$3)*$E$2</f>
        <v>38450.0434066922</v>
      </c>
      <c r="P532" s="15" t="n">
        <f aca="false">N532*$E$2*(1+$I$508)/($F$508-$I$508)/(1+$F$508)^$N$3</f>
        <v>63109.880693043</v>
      </c>
      <c r="Q532" s="15" t="n">
        <f aca="false">O532+P532</f>
        <v>101559.924099735</v>
      </c>
      <c r="R532" s="15" t="n">
        <f aca="false">Q532-$G$2+$I$2</f>
        <v>99969.9240997352</v>
      </c>
      <c r="S532" s="42" t="n">
        <f aca="false">R532/$K$2</f>
        <v>278.018588630444</v>
      </c>
      <c r="T532" s="43" t="n">
        <f aca="false">S532-$M$2</f>
        <v>-0.000211080329336255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0.0695425868034363</v>
      </c>
      <c r="C533" s="25" t="n">
        <f aca="false">IF(T532&gt;0,D532,C532)</f>
        <v>0.0695427656173706</v>
      </c>
      <c r="D533" s="41" t="n">
        <f aca="false">(B533+C533)/2</f>
        <v>0.0695426762104034</v>
      </c>
      <c r="E533" s="15" t="n">
        <f aca="false">$C$2*(1+IF(E$3&lt;=$O$2,$D533,$D533-($D533-$I$508)*MIN(E$3-$O$2,$Q$2)/$Q$2))</f>
        <v>7230.10849118233</v>
      </c>
      <c r="F533" s="15" t="n">
        <f aca="false">E533*(1+IF(F$3&lt;=$O$2,$D533,$D533-($D533-$I$508)*MIN(F$3-$O$2,$Q$2)/$Q$2))</f>
        <v>7732.90958495071</v>
      </c>
      <c r="G533" s="15" t="n">
        <f aca="false">F533*(1+IF(G$3&lt;=$O$2,$D533,$D533-($D533-$I$508)*MIN(G$3-$O$2,$Q$2)/$Q$2))</f>
        <v>8270.67681238126</v>
      </c>
      <c r="H533" s="15" t="n">
        <f aca="false">G533*(1+IF(H$3&lt;=$O$2,$D533,$D533-($D533-$I$508)*MIN(H$3-$O$2,$Q$2)/$Q$2))</f>
        <v>8845.84181198558</v>
      </c>
      <c r="I533" s="15" t="n">
        <f aca="false">H533*(1+IF(I$3&lt;=$O$2,$D533,$D533-($D533-$I$508)*MIN(I$3-$O$2,$Q$2)/$Q$2))</f>
        <v>9461.00532492495</v>
      </c>
      <c r="J533" s="15" t="n">
        <f aca="false">I533*(1+IF(J$3&lt;=$O$2,$D533,$D533-($D533-$I$508)*MIN(J$3-$O$2,$Q$2)/$Q$2))</f>
        <v>10040.9095190129</v>
      </c>
      <c r="K533" s="15" t="n">
        <f aca="false">J533*(1+IF(K$3&lt;=$O$2,$D533,$D533-($D533-$I$508)*MIN(K$3-$O$2,$Q$2)/$Q$2))</f>
        <v>10573.5356464914</v>
      </c>
      <c r="L533" s="15" t="n">
        <f aca="false">K533*(1+IF(L$3&lt;=$O$2,$D533,$D533-($D533-$I$508)*MIN(L$3-$O$2,$Q$2)/$Q$2))</f>
        <v>11047.199068114</v>
      </c>
      <c r="M533" s="15" t="n">
        <f aca="false">L533*(1+IF(M$3&lt;=$O$2,$D533,$D533-($D533-$I$508)*MIN(M$3-$O$2,$Q$2)/$Q$2))</f>
        <v>11450.9580125813</v>
      </c>
      <c r="N533" s="15" t="n">
        <f aca="false">M533*(1+IF(N$3&lt;=$O$2,$D533,$D533-($D533-$I$508)*MIN(N$3-$O$2,$Q$2)/$Q$2))</f>
        <v>11775.0201243373</v>
      </c>
      <c r="O533" s="15" t="n">
        <f aca="false">SUMPRODUCT(E533:N533,1/(1+$F$508)^$E$3:$N$3)*$E$2</f>
        <v>38450.0584657607</v>
      </c>
      <c r="P533" s="15" t="n">
        <f aca="false">N533*$E$2*(1+$I$508)/($F$508-$I$508)/(1+$F$508)^$N$3</f>
        <v>63109.9177881044</v>
      </c>
      <c r="Q533" s="15" t="n">
        <f aca="false">O533+P533</f>
        <v>101559.976253865</v>
      </c>
      <c r="R533" s="15" t="n">
        <f aca="false">Q533-$G$2+$I$2</f>
        <v>99969.9762538651</v>
      </c>
      <c r="S533" s="42" t="n">
        <f aca="false">R533/$K$2</f>
        <v>278.018733672243</v>
      </c>
      <c r="T533" s="43" t="n">
        <f aca="false">S533-$M$2</f>
        <v>-6.60385306900935E-005</v>
      </c>
    </row>
    <row r="535" customFormat="false" ht="15" hidden="false" customHeight="false" outlineLevel="0" collapsed="false">
      <c r="A535" s="38" t="s">
        <v>205</v>
      </c>
      <c r="E535" s="5" t="s">
        <v>11</v>
      </c>
      <c r="F535" s="12" t="n">
        <f aca="false">Sensitivity!$B$13</f>
        <v>0.0824202832668642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167</v>
      </c>
      <c r="B536" s="28" t="s">
        <v>168</v>
      </c>
      <c r="C536" s="28" t="s">
        <v>169</v>
      </c>
      <c r="D536" s="28" t="s">
        <v>170</v>
      </c>
      <c r="E536" s="28" t="s">
        <v>171</v>
      </c>
      <c r="F536" s="28" t="s">
        <v>172</v>
      </c>
      <c r="G536" s="28" t="s">
        <v>173</v>
      </c>
      <c r="H536" s="28" t="s">
        <v>174</v>
      </c>
      <c r="I536" s="28" t="s">
        <v>175</v>
      </c>
      <c r="J536" s="28" t="s">
        <v>176</v>
      </c>
      <c r="K536" s="28" t="s">
        <v>177</v>
      </c>
      <c r="L536" s="28" t="s">
        <v>178</v>
      </c>
      <c r="M536" s="28" t="s">
        <v>179</v>
      </c>
      <c r="N536" s="28" t="s">
        <v>180</v>
      </c>
      <c r="O536" s="28" t="s">
        <v>181</v>
      </c>
      <c r="P536" s="28" t="s">
        <v>182</v>
      </c>
      <c r="Q536" s="28" t="s">
        <v>183</v>
      </c>
      <c r="R536" s="28" t="s">
        <v>184</v>
      </c>
      <c r="S536" s="28" t="s">
        <v>185</v>
      </c>
      <c r="T536" s="28" t="s">
        <v>186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8450</v>
      </c>
      <c r="F537" s="15" t="n">
        <f aca="false">E537*(1+IF(F$3&lt;=$O$2,$D537,$D537-($D537-$I$535)*MIN(F$3-$O$2,$Q$2)/$Q$2))</f>
        <v>10562.5</v>
      </c>
      <c r="G537" s="15" t="n">
        <f aca="false">F537*(1+IF(G$3&lt;=$O$2,$D537,$D537-($D537-$I$535)*MIN(G$3-$O$2,$Q$2)/$Q$2))</f>
        <v>13203.125</v>
      </c>
      <c r="H537" s="15" t="n">
        <f aca="false">G537*(1+IF(H$3&lt;=$O$2,$D537,$D537-($D537-$I$535)*MIN(H$3-$O$2,$Q$2)/$Q$2))</f>
        <v>16503.90625</v>
      </c>
      <c r="I537" s="15" t="n">
        <f aca="false">H537*(1+IF(I$3&lt;=$O$2,$D537,$D537-($D537-$I$535)*MIN(I$3-$O$2,$Q$2)/$Q$2))</f>
        <v>20629.8828125</v>
      </c>
      <c r="J537" s="15" t="n">
        <f aca="false">I537*(1+IF(J$3&lt;=$O$2,$D537,$D537-($D537-$I$535)*MIN(J$3-$O$2,$Q$2)/$Q$2))</f>
        <v>24893.2543945313</v>
      </c>
      <c r="K537" s="15" t="n">
        <f aca="false">J537*(1+IF(K$3&lt;=$O$2,$D537,$D537-($D537-$I$535)*MIN(K$3-$O$2,$Q$2)/$Q$2))</f>
        <v>28958.8207022461</v>
      </c>
      <c r="L537" s="15" t="n">
        <f aca="false">K537*(1+IF(L$3&lt;=$O$2,$D537,$D537-($D537-$I$535)*MIN(L$3-$O$2,$Q$2)/$Q$2))</f>
        <v>32433.3000101016</v>
      </c>
      <c r="M537" s="15" t="n">
        <f aca="false">L537*(1+IF(M$3&lt;=$O$2,$D537,$D537-($D537-$I$535)*MIN(M$3-$O$2,$Q$2)/$Q$2))</f>
        <v>34918.9881228758</v>
      </c>
      <c r="N537" s="15" t="n">
        <f aca="false">M537*(1+IF(N$3&lt;=$O$2,$D537,$D537-($D537-$I$535)*MIN(N$3-$O$2,$Q$2)/$Q$2))</f>
        <v>36081.7904273675</v>
      </c>
      <c r="O537" s="15" t="n">
        <f aca="false">SUMPRODUCT(E537:N537,1/(1+$F$535)^$E$3:$N$3)*$E$2</f>
        <v>84652.1706867571</v>
      </c>
      <c r="P537" s="15" t="n">
        <f aca="false">N537*$E$2*(1+$I$535)/($F$535-$I$535)/(1+$F$535)^$N$3</f>
        <v>214106.488141989</v>
      </c>
      <c r="Q537" s="15" t="n">
        <f aca="false">O537+P537</f>
        <v>298758.658828746</v>
      </c>
      <c r="R537" s="15" t="n">
        <f aca="false">Q537-$G$2+$I$2</f>
        <v>297168.658828746</v>
      </c>
      <c r="S537" s="42" t="n">
        <f aca="false">R537/$K$2</f>
        <v>826.432668192741</v>
      </c>
      <c r="T537" s="43" t="n">
        <f aca="false">S537-$M$2</f>
        <v>548.413868481968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5915</v>
      </c>
      <c r="F538" s="15" t="n">
        <f aca="false">E538*(1+IF(F$3&lt;=$O$2,$D538,$D538-($D538-$I$535)*MIN(F$3-$O$2,$Q$2)/$Q$2))</f>
        <v>5175.625</v>
      </c>
      <c r="G538" s="15" t="n">
        <f aca="false">F538*(1+IF(G$3&lt;=$O$2,$D538,$D538-($D538-$I$535)*MIN(G$3-$O$2,$Q$2)/$Q$2))</f>
        <v>4528.671875</v>
      </c>
      <c r="H538" s="15" t="n">
        <f aca="false">G538*(1+IF(H$3&lt;=$O$2,$D538,$D538-($D538-$I$535)*MIN(H$3-$O$2,$Q$2)/$Q$2))</f>
        <v>3962.587890625</v>
      </c>
      <c r="I538" s="15" t="n">
        <f aca="false">H538*(1+IF(I$3&lt;=$O$2,$D538,$D538-($D538-$I$535)*MIN(I$3-$O$2,$Q$2)/$Q$2))</f>
        <v>3467.26440429688</v>
      </c>
      <c r="J538" s="15" t="n">
        <f aca="false">I538*(1+IF(J$3&lt;=$O$2,$D538,$D538-($D538-$I$535)*MIN(J$3-$O$2,$Q$2)/$Q$2))</f>
        <v>3143.62994479981</v>
      </c>
      <c r="K538" s="15" t="n">
        <f aca="false">J538*(1+IF(K$3&lt;=$O$2,$D538,$D538-($D538-$I$535)*MIN(K$3-$O$2,$Q$2)/$Q$2))</f>
        <v>2949.73084980455</v>
      </c>
      <c r="L538" s="15" t="n">
        <f aca="false">K538*(1+IF(L$3&lt;=$O$2,$D538,$D538-($D538-$I$535)*MIN(L$3-$O$2,$Q$2)/$Q$2))</f>
        <v>2861.17992969342</v>
      </c>
      <c r="M538" s="15" t="n">
        <f aca="false">L538*(1+IF(M$3&lt;=$O$2,$D538,$D538-($D538-$I$535)*MIN(M$3-$O$2,$Q$2)/$Q$2))</f>
        <v>2865.87226477812</v>
      </c>
      <c r="N538" s="15" t="n">
        <f aca="false">M538*(1+IF(N$3&lt;=$O$2,$D538,$D538-($D538-$I$535)*MIN(N$3-$O$2,$Q$2)/$Q$2))</f>
        <v>2961.30581119523</v>
      </c>
      <c r="O538" s="15" t="n">
        <f aca="false">SUMPRODUCT(E538:N538,1/(1+$F$535)^$E$3:$N$3)*$E$2</f>
        <v>16557.7804339401</v>
      </c>
      <c r="P538" s="15" t="n">
        <f aca="false">N538*$E$2*(1+$I$535)/($F$535-$I$535)/(1+$F$535)^$N$3</f>
        <v>17572.1542650657</v>
      </c>
      <c r="Q538" s="15" t="n">
        <f aca="false">O538+P538</f>
        <v>34129.9346990058</v>
      </c>
      <c r="R538" s="15" t="n">
        <f aca="false">Q538-$G$2+$I$2</f>
        <v>32539.9346990058</v>
      </c>
      <c r="S538" s="42" t="n">
        <f aca="false">R538/$K$2</f>
        <v>90.4942841620942</v>
      </c>
      <c r="T538" s="43" t="n">
        <f aca="false">S538-$M$2</f>
        <v>-187.524515548679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7182.5</v>
      </c>
      <c r="F539" s="15" t="n">
        <f aca="false">E539*(1+IF(F$3&lt;=$O$2,$D539,$D539-($D539-$I$535)*MIN(F$3-$O$2,$Q$2)/$Q$2))</f>
        <v>7631.40625</v>
      </c>
      <c r="G539" s="15" t="n">
        <f aca="false">F539*(1+IF(G$3&lt;=$O$2,$D539,$D539-($D539-$I$535)*MIN(G$3-$O$2,$Q$2)/$Q$2))</f>
        <v>8108.369140625</v>
      </c>
      <c r="H539" s="15" t="n">
        <f aca="false">G539*(1+IF(H$3&lt;=$O$2,$D539,$D539-($D539-$I$535)*MIN(H$3-$O$2,$Q$2)/$Q$2))</f>
        <v>8615.14221191406</v>
      </c>
      <c r="I539" s="15" t="n">
        <f aca="false">H539*(1+IF(I$3&lt;=$O$2,$D539,$D539-($D539-$I$535)*MIN(I$3-$O$2,$Q$2)/$Q$2))</f>
        <v>9153.58860015869</v>
      </c>
      <c r="J539" s="15" t="n">
        <f aca="false">I539*(1+IF(J$3&lt;=$O$2,$D539,$D539-($D539-$I$535)*MIN(J$3-$O$2,$Q$2)/$Q$2))</f>
        <v>9672.23093024368</v>
      </c>
      <c r="K539" s="15" t="n">
        <f aca="false">J539*(1+IF(K$3&lt;=$O$2,$D539,$D539-($D539-$I$535)*MIN(K$3-$O$2,$Q$2)/$Q$2))</f>
        <v>10163.7737061187</v>
      </c>
      <c r="L539" s="15" t="n">
        <f aca="false">K539*(1+IF(L$3&lt;=$O$2,$D539,$D539-($D539-$I$535)*MIN(L$3-$O$2,$Q$2)/$Q$2))</f>
        <v>10620.9402474199</v>
      </c>
      <c r="M539" s="15" t="n">
        <f aca="false">L539*(1+IF(M$3&lt;=$O$2,$D539,$D539-($D539-$I$535)*MIN(M$3-$O$2,$Q$2)/$Q$2))</f>
        <v>11036.6438487039</v>
      </c>
      <c r="N539" s="15" t="n">
        <f aca="false">M539*(1+IF(N$3&lt;=$O$2,$D539,$D539-($D539-$I$535)*MIN(N$3-$O$2,$Q$2)/$Q$2))</f>
        <v>11404.1640888657</v>
      </c>
      <c r="O539" s="15" t="n">
        <f aca="false">SUMPRODUCT(E539:N539,1/(1+$F$535)^$E$3:$N$3)*$E$2</f>
        <v>37394.1530808812</v>
      </c>
      <c r="P539" s="15" t="n">
        <f aca="false">N539*$E$2*(1+$I$535)/($F$535-$I$535)/(1+$F$535)^$N$3</f>
        <v>67671.4069435432</v>
      </c>
      <c r="Q539" s="15" t="n">
        <f aca="false">O539+P539</f>
        <v>105065.560024424</v>
      </c>
      <c r="R539" s="15" t="n">
        <f aca="false">Q539-$G$2+$I$2</f>
        <v>103475.560024424</v>
      </c>
      <c r="S539" s="42" t="n">
        <f aca="false">R539/$K$2</f>
        <v>287.767840326004</v>
      </c>
      <c r="T539" s="43" t="n">
        <f aca="false">S539-$M$2</f>
        <v>9.74904061523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6548.75</v>
      </c>
      <c r="F540" s="15" t="n">
        <f aca="false">E540*(1+IF(F$3&lt;=$O$2,$D540,$D540-($D540-$I$535)*MIN(F$3-$O$2,$Q$2)/$Q$2))</f>
        <v>6344.1015625</v>
      </c>
      <c r="G540" s="15" t="n">
        <f aca="false">F540*(1+IF(G$3&lt;=$O$2,$D540,$D540-($D540-$I$535)*MIN(G$3-$O$2,$Q$2)/$Q$2))</f>
        <v>6145.84838867188</v>
      </c>
      <c r="H540" s="15" t="n">
        <f aca="false">G540*(1+IF(H$3&lt;=$O$2,$D540,$D540-($D540-$I$535)*MIN(H$3-$O$2,$Q$2)/$Q$2))</f>
        <v>5953.79062652588</v>
      </c>
      <c r="I540" s="15" t="n">
        <f aca="false">H540*(1+IF(I$3&lt;=$O$2,$D540,$D540-($D540-$I$535)*MIN(I$3-$O$2,$Q$2)/$Q$2))</f>
        <v>5767.73466944695</v>
      </c>
      <c r="J540" s="15" t="n">
        <f aca="false">I540*(1+IF(J$3&lt;=$O$2,$D540,$D540-($D540-$I$535)*MIN(J$3-$O$2,$Q$2)/$Q$2))</f>
        <v>5661.95441560929</v>
      </c>
      <c r="K540" s="15" t="n">
        <f aca="false">J540*(1+IF(K$3&lt;=$O$2,$D540,$D540-($D540-$I$535)*MIN(K$3-$O$2,$Q$2)/$Q$2))</f>
        <v>5631.21000313253</v>
      </c>
      <c r="L540" s="15" t="n">
        <f aca="false">K540*(1+IF(L$3&lt;=$O$2,$D540,$D540-($D540-$I$535)*MIN(L$3-$O$2,$Q$2)/$Q$2))</f>
        <v>5673.33145395596</v>
      </c>
      <c r="M540" s="15" t="n">
        <f aca="false">L540*(1+IF(M$3&lt;=$O$2,$D540,$D540-($D540-$I$535)*MIN(M$3-$O$2,$Q$2)/$Q$2))</f>
        <v>5789.01068230212</v>
      </c>
      <c r="N540" s="15" t="n">
        <f aca="false">M540*(1+IF(N$3&lt;=$O$2,$D540,$D540-($D540-$I$535)*MIN(N$3-$O$2,$Q$2)/$Q$2))</f>
        <v>5981.78473802278</v>
      </c>
      <c r="O540" s="15" t="n">
        <f aca="false">SUMPRODUCT(E540:N540,1/(1+$F$535)^$E$3:$N$3)*$E$2</f>
        <v>24813.6321901715</v>
      </c>
      <c r="P540" s="15" t="n">
        <f aca="false">N540*$E$2*(1+$I$535)/($F$535-$I$535)/(1+$F$535)^$N$3</f>
        <v>35495.4371141179</v>
      </c>
      <c r="Q540" s="15" t="n">
        <f aca="false">O540+P540</f>
        <v>60309.0693042894</v>
      </c>
      <c r="R540" s="15" t="n">
        <f aca="false">Q540-$G$2+$I$2</f>
        <v>58719.0693042894</v>
      </c>
      <c r="S540" s="42" t="n">
        <f aca="false">R540/$K$2</f>
        <v>163.299041393541</v>
      </c>
      <c r="T540" s="43" t="n">
        <f aca="false">S540-$M$2</f>
        <v>-114.719758317233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41" t="n">
        <f aca="false">(B541+C541)/2</f>
        <v>0.015625</v>
      </c>
      <c r="E541" s="15" t="n">
        <f aca="false">$C$2*(1+IF(E$3&lt;=$O$2,$D541,$D541-($D541-$I$535)*MIN(E$3-$O$2,$Q$2)/$Q$2))</f>
        <v>6865.625</v>
      </c>
      <c r="F541" s="15" t="n">
        <f aca="false">E541*(1+IF(F$3&lt;=$O$2,$D541,$D541-($D541-$I$535)*MIN(F$3-$O$2,$Q$2)/$Q$2))</f>
        <v>6972.900390625</v>
      </c>
      <c r="G541" s="15" t="n">
        <f aca="false">F541*(1+IF(G$3&lt;=$O$2,$D541,$D541-($D541-$I$535)*MIN(G$3-$O$2,$Q$2)/$Q$2))</f>
        <v>7081.85195922852</v>
      </c>
      <c r="H541" s="15" t="n">
        <f aca="false">G541*(1+IF(H$3&lt;=$O$2,$D541,$D541-($D541-$I$535)*MIN(H$3-$O$2,$Q$2)/$Q$2))</f>
        <v>7192.50589609146</v>
      </c>
      <c r="I541" s="15" t="n">
        <f aca="false">H541*(1+IF(I$3&lt;=$O$2,$D541,$D541-($D541-$I$535)*MIN(I$3-$O$2,$Q$2)/$Q$2))</f>
        <v>7304.88880071789</v>
      </c>
      <c r="J541" s="15" t="n">
        <f aca="false">I541*(1+IF(J$3&lt;=$O$2,$D541,$D541-($D541-$I$535)*MIN(J$3-$O$2,$Q$2)/$Q$2))</f>
        <v>7444.85047013965</v>
      </c>
      <c r="K541" s="15" t="n">
        <f aca="false">J541*(1+IF(K$3&lt;=$O$2,$D541,$D541-($D541-$I$535)*MIN(K$3-$O$2,$Q$2)/$Q$2))</f>
        <v>7613.81135155946</v>
      </c>
      <c r="L541" s="15" t="n">
        <f aca="false">K541*(1+IF(L$3&lt;=$O$2,$D541,$D541-($D541-$I$535)*MIN(L$3-$O$2,$Q$2)/$Q$2))</f>
        <v>7813.52162331087</v>
      </c>
      <c r="M541" s="15" t="n">
        <f aca="false">L541*(1+IF(M$3&lt;=$O$2,$D541,$D541-($D541-$I$535)*MIN(M$3-$O$2,$Q$2)/$Q$2))</f>
        <v>8046.09109442872</v>
      </c>
      <c r="N541" s="15" t="n">
        <f aca="false">M541*(1+IF(N$3&lt;=$O$2,$D541,$D541-($D541-$I$535)*MIN(N$3-$O$2,$Q$2)/$Q$2))</f>
        <v>8314.02592787319</v>
      </c>
      <c r="O541" s="15" t="n">
        <f aca="false">SUMPRODUCT(E541:N541,1/(1+$F$535)^$E$3:$N$3)*$E$2</f>
        <v>30450.0921284078</v>
      </c>
      <c r="P541" s="15" t="n">
        <f aca="false">N541*$E$2*(1+$I$535)/($F$535-$I$535)/(1+$F$535)^$N$3</f>
        <v>49334.7717132185</v>
      </c>
      <c r="Q541" s="15" t="n">
        <f aca="false">O541+P541</f>
        <v>79784.8638416263</v>
      </c>
      <c r="R541" s="15" t="n">
        <f aca="false">Q541-$G$2+$I$2</f>
        <v>78194.8638416263</v>
      </c>
      <c r="S541" s="42" t="n">
        <f aca="false">R541/$K$2</f>
        <v>217.461660386079</v>
      </c>
      <c r="T541" s="43" t="n">
        <f aca="false">S541-$M$2</f>
        <v>-60.5571393246946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0.015625</v>
      </c>
      <c r="C542" s="25" t="n">
        <f aca="false">IF(T541&gt;0,D541,C541)</f>
        <v>0.0625</v>
      </c>
      <c r="D542" s="41" t="n">
        <f aca="false">(B542+C542)/2</f>
        <v>0.0390625</v>
      </c>
      <c r="E542" s="15" t="n">
        <f aca="false">$C$2*(1+IF(E$3&lt;=$O$2,$D542,$D542-($D542-$I$535)*MIN(E$3-$O$2,$Q$2)/$Q$2))</f>
        <v>7024.0625</v>
      </c>
      <c r="F542" s="15" t="n">
        <f aca="false">E542*(1+IF(F$3&lt;=$O$2,$D542,$D542-($D542-$I$535)*MIN(F$3-$O$2,$Q$2)/$Q$2))</f>
        <v>7298.43994140625</v>
      </c>
      <c r="G542" s="15" t="n">
        <f aca="false">F542*(1+IF(G$3&lt;=$O$2,$D542,$D542-($D542-$I$535)*MIN(G$3-$O$2,$Q$2)/$Q$2))</f>
        <v>7583.53525161743</v>
      </c>
      <c r="H542" s="15" t="n">
        <f aca="false">G542*(1+IF(H$3&lt;=$O$2,$D542,$D542-($D542-$I$535)*MIN(H$3-$O$2,$Q$2)/$Q$2))</f>
        <v>7879.76709738374</v>
      </c>
      <c r="I542" s="15" t="n">
        <f aca="false">H542*(1+IF(I$3&lt;=$O$2,$D542,$D542-($D542-$I$535)*MIN(I$3-$O$2,$Q$2)/$Q$2))</f>
        <v>8187.57049962529</v>
      </c>
      <c r="J542" s="15" t="n">
        <f aca="false">I542*(1+IF(J$3&lt;=$O$2,$D542,$D542-($D542-$I$535)*MIN(J$3-$O$2,$Q$2)/$Q$2))</f>
        <v>8497.96129726609</v>
      </c>
      <c r="K542" s="15" t="n">
        <f aca="false">J542*(1+IF(K$3&lt;=$O$2,$D542,$D542-($D542-$I$535)*MIN(K$3-$O$2,$Q$2)/$Q$2))</f>
        <v>8810.32510965034</v>
      </c>
      <c r="L542" s="15" t="n">
        <f aca="false">K542*(1+IF(L$3&lt;=$O$2,$D542,$D542-($D542-$I$535)*MIN(L$3-$O$2,$Q$2)/$Q$2))</f>
        <v>9124.01673517944</v>
      </c>
      <c r="M542" s="15" t="n">
        <f aca="false">L542*(1+IF(M$3&lt;=$O$2,$D542,$D542-($D542-$I$535)*MIN(M$3-$O$2,$Q$2)/$Q$2))</f>
        <v>9438.36192174821</v>
      </c>
      <c r="N542" s="15" t="n">
        <f aca="false">M542*(1+IF(N$3&lt;=$O$2,$D542,$D542-($D542-$I$535)*MIN(N$3-$O$2,$Q$2)/$Q$2))</f>
        <v>9752.65937374243</v>
      </c>
      <c r="O542" s="15" t="n">
        <f aca="false">SUMPRODUCT(E542:N542,1/(1+$F$535)^$E$3:$N$3)*$E$2</f>
        <v>33742.2756046356</v>
      </c>
      <c r="P542" s="15" t="n">
        <f aca="false">N542*$E$2*(1+$I$535)/($F$535-$I$535)/(1+$F$535)^$N$3</f>
        <v>57871.5086980063</v>
      </c>
      <c r="Q542" s="15" t="n">
        <f aca="false">O542+P542</f>
        <v>91613.7843026419</v>
      </c>
      <c r="R542" s="15" t="n">
        <f aca="false">Q542-$G$2+$I$2</f>
        <v>90023.7843026419</v>
      </c>
      <c r="S542" s="42" t="n">
        <f aca="false">R542/$K$2</f>
        <v>250.358152018026</v>
      </c>
      <c r="T542" s="43" t="n">
        <f aca="false">S542-$M$2</f>
        <v>-27.6606476927475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0.0390625</v>
      </c>
      <c r="C543" s="25" t="n">
        <f aca="false">IF(T542&gt;0,D542,C542)</f>
        <v>0.0625</v>
      </c>
      <c r="D543" s="41" t="n">
        <f aca="false">(B543+C543)/2</f>
        <v>0.05078125</v>
      </c>
      <c r="E543" s="15" t="n">
        <f aca="false">$C$2*(1+IF(E$3&lt;=$O$2,$D543,$D543-($D543-$I$535)*MIN(E$3-$O$2,$Q$2)/$Q$2))</f>
        <v>7103.28125</v>
      </c>
      <c r="F543" s="15" t="n">
        <f aca="false">E543*(1+IF(F$3&lt;=$O$2,$D543,$D543-($D543-$I$535)*MIN(F$3-$O$2,$Q$2)/$Q$2))</f>
        <v>7463.99475097656</v>
      </c>
      <c r="G543" s="15" t="n">
        <f aca="false">F543*(1+IF(G$3&lt;=$O$2,$D543,$D543-($D543-$I$535)*MIN(G$3-$O$2,$Q$2)/$Q$2))</f>
        <v>7843.02573442459</v>
      </c>
      <c r="H543" s="15" t="n">
        <f aca="false">G543*(1+IF(H$3&lt;=$O$2,$D543,$D543-($D543-$I$535)*MIN(H$3-$O$2,$Q$2)/$Q$2))</f>
        <v>8241.30438500084</v>
      </c>
      <c r="I543" s="15" t="n">
        <f aca="false">H543*(1+IF(I$3&lt;=$O$2,$D543,$D543-($D543-$I$535)*MIN(I$3-$O$2,$Q$2)/$Q$2))</f>
        <v>8659.80812330166</v>
      </c>
      <c r="J543" s="15" t="n">
        <f aca="false">I543*(1+IF(J$3&lt;=$O$2,$D543,$D543-($D543-$I$535)*MIN(J$3-$O$2,$Q$2)/$Q$2))</f>
        <v>9069.28715041198</v>
      </c>
      <c r="K543" s="15" t="n">
        <f aca="false">J543*(1+IF(K$3&lt;=$O$2,$D543,$D543-($D543-$I$535)*MIN(K$3-$O$2,$Q$2)/$Q$2))</f>
        <v>9466.41989811959</v>
      </c>
      <c r="L543" s="15" t="n">
        <f aca="false">K543*(1+IF(L$3&lt;=$O$2,$D543,$D543-($D543-$I$535)*MIN(L$3-$O$2,$Q$2)/$Q$2))</f>
        <v>9847.84562186457</v>
      </c>
      <c r="M543" s="15" t="n">
        <f aca="false">L543*(1+IF(M$3&lt;=$O$2,$D543,$D543-($D543-$I$535)*MIN(M$3-$O$2,$Q$2)/$Q$2))</f>
        <v>10210.2094113281</v>
      </c>
      <c r="N543" s="15" t="n">
        <f aca="false">M543*(1+IF(N$3&lt;=$O$2,$D543,$D543-($D543-$I$535)*MIN(N$3-$O$2,$Q$2)/$Q$2))</f>
        <v>10550.2093847253</v>
      </c>
      <c r="O543" s="15" t="n">
        <f aca="false">SUMPRODUCT(E543:N543,1/(1+$F$535)^$E$3:$N$3)*$E$2</f>
        <v>35521.0472298805</v>
      </c>
      <c r="P543" s="15" t="n">
        <f aca="false">N543*$E$2*(1+$I$535)/($F$535-$I$535)/(1+$F$535)^$N$3</f>
        <v>62604.1073286894</v>
      </c>
      <c r="Q543" s="15" t="n">
        <f aca="false">O543+P543</f>
        <v>98125.1545585699</v>
      </c>
      <c r="R543" s="15" t="n">
        <f aca="false">Q543-$G$2+$I$2</f>
        <v>96535.1545585699</v>
      </c>
      <c r="S543" s="42" t="n">
        <f aca="false">R543/$K$2</f>
        <v>268.466417928055</v>
      </c>
      <c r="T543" s="43" t="n">
        <f aca="false">S543-$M$2</f>
        <v>-9.55238178271901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0.05078125</v>
      </c>
      <c r="C544" s="25" t="n">
        <f aca="false">IF(T543&gt;0,D543,C543)</f>
        <v>0.0625</v>
      </c>
      <c r="D544" s="41" t="n">
        <f aca="false">(B544+C544)/2</f>
        <v>0.056640625</v>
      </c>
      <c r="E544" s="15" t="n">
        <f aca="false">$C$2*(1+IF(E$3&lt;=$O$2,$D544,$D544-($D544-$I$535)*MIN(E$3-$O$2,$Q$2)/$Q$2))</f>
        <v>7142.890625</v>
      </c>
      <c r="F544" s="15" t="n">
        <f aca="false">E544*(1+IF(F$3&lt;=$O$2,$D544,$D544-($D544-$I$535)*MIN(F$3-$O$2,$Q$2)/$Q$2))</f>
        <v>7547.46841430664</v>
      </c>
      <c r="G544" s="15" t="n">
        <f aca="false">F544*(1+IF(G$3&lt;=$O$2,$D544,$D544-($D544-$I$535)*MIN(G$3-$O$2,$Q$2)/$Q$2))</f>
        <v>7974.96174246073</v>
      </c>
      <c r="H544" s="15" t="n">
        <f aca="false">G544*(1+IF(H$3&lt;=$O$2,$D544,$D544-($D544-$I$535)*MIN(H$3-$O$2,$Q$2)/$Q$2))</f>
        <v>8426.66855990479</v>
      </c>
      <c r="I544" s="15" t="n">
        <f aca="false">H544*(1+IF(I$3&lt;=$O$2,$D544,$D544-($D544-$I$535)*MIN(I$3-$O$2,$Q$2)/$Q$2))</f>
        <v>8903.96033380565</v>
      </c>
      <c r="J544" s="15" t="n">
        <f aca="false">I544*(1+IF(J$3&lt;=$O$2,$D544,$D544-($D544-$I$535)*MIN(J$3-$O$2,$Q$2)/$Q$2))</f>
        <v>9366.72141225436</v>
      </c>
      <c r="K544" s="15" t="n">
        <f aca="false">J544*(1+IF(K$3&lt;=$O$2,$D544,$D544-($D544-$I$535)*MIN(K$3-$O$2,$Q$2)/$Q$2))</f>
        <v>9809.80831446017</v>
      </c>
      <c r="L544" s="15" t="n">
        <f aca="false">K544*(1+IF(L$3&lt;=$O$2,$D544,$D544-($D544-$I$535)*MIN(L$3-$O$2,$Q$2)/$Q$2))</f>
        <v>10228.0617542076</v>
      </c>
      <c r="M544" s="15" t="n">
        <f aca="false">L544*(1+IF(M$3&lt;=$O$2,$D544,$D544-($D544-$I$535)*MIN(M$3-$O$2,$Q$2)/$Q$2))</f>
        <v>10616.402081399</v>
      </c>
      <c r="N544" s="15" t="n">
        <f aca="false">M544*(1+IF(N$3&lt;=$O$2,$D544,$D544-($D544-$I$535)*MIN(N$3-$O$2,$Q$2)/$Q$2))</f>
        <v>10969.9282707096</v>
      </c>
      <c r="O544" s="15" t="n">
        <f aca="false">SUMPRODUCT(E544:N544,1/(1+$F$535)^$E$3:$N$3)*$E$2</f>
        <v>36445.5224540721</v>
      </c>
      <c r="P544" s="15" t="n">
        <f aca="false">N544*$E$2*(1+$I$535)/($F$535-$I$535)/(1+$F$535)^$N$3</f>
        <v>65094.6859729466</v>
      </c>
      <c r="Q544" s="15" t="n">
        <f aca="false">O544+P544</f>
        <v>101540.208427019</v>
      </c>
      <c r="R544" s="15" t="n">
        <f aca="false">Q544-$G$2+$I$2</f>
        <v>99950.2084270187</v>
      </c>
      <c r="S544" s="42" t="n">
        <f aca="false">R544/$K$2</f>
        <v>277.963758904885</v>
      </c>
      <c r="T544" s="43" t="n">
        <f aca="false">S544-$M$2</f>
        <v>-0.0550408058882681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0.056640625</v>
      </c>
      <c r="C545" s="25" t="n">
        <f aca="false">IF(T544&gt;0,D544,C544)</f>
        <v>0.0625</v>
      </c>
      <c r="D545" s="41" t="n">
        <f aca="false">(B545+C545)/2</f>
        <v>0.0595703125</v>
      </c>
      <c r="E545" s="15" t="n">
        <f aca="false">$C$2*(1+IF(E$3&lt;=$O$2,$D545,$D545-($D545-$I$535)*MIN(E$3-$O$2,$Q$2)/$Q$2))</f>
        <v>7162.6953125</v>
      </c>
      <c r="F545" s="15" t="n">
        <f aca="false">E545*(1+IF(F$3&lt;=$O$2,$D545,$D545-($D545-$I$535)*MIN(F$3-$O$2,$Q$2)/$Q$2))</f>
        <v>7589.37931060791</v>
      </c>
      <c r="G545" s="15" t="n">
        <f aca="false">F545*(1+IF(G$3&lt;=$O$2,$D545,$D545-($D545-$I$535)*MIN(G$3-$O$2,$Q$2)/$Q$2))</f>
        <v>8041.48100782186</v>
      </c>
      <c r="H545" s="15" t="n">
        <f aca="false">G545*(1+IF(H$3&lt;=$O$2,$D545,$D545-($D545-$I$535)*MIN(H$3-$O$2,$Q$2)/$Q$2))</f>
        <v>8520.51454442062</v>
      </c>
      <c r="I545" s="15" t="n">
        <f aca="false">H545*(1+IF(I$3&lt;=$O$2,$D545,$D545-($D545-$I$535)*MIN(I$3-$O$2,$Q$2)/$Q$2))</f>
        <v>9028.08425849255</v>
      </c>
      <c r="J545" s="15" t="n">
        <f aca="false">I545*(1+IF(J$3&lt;=$O$2,$D545,$D545-($D545-$I$535)*MIN(J$3-$O$2,$Q$2)/$Q$2))</f>
        <v>9518.4559400979</v>
      </c>
      <c r="K545" s="15" t="n">
        <f aca="false">J545*(1+IF(K$3&lt;=$O$2,$D545,$D545-($D545-$I$535)*MIN(K$3-$O$2,$Q$2)/$Q$2))</f>
        <v>9985.45221014147</v>
      </c>
      <c r="L545" s="15" t="n">
        <f aca="false">K545*(1+IF(L$3&lt;=$O$2,$D545,$D545-($D545-$I$535)*MIN(L$3-$O$2,$Q$2)/$Q$2))</f>
        <v>10422.8961487449</v>
      </c>
      <c r="M545" s="15" t="n">
        <f aca="false">L545*(1+IF(M$3&lt;=$O$2,$D545,$D545-($D545-$I$535)*MIN(M$3-$O$2,$Q$2)/$Q$2))</f>
        <v>10824.7411382946</v>
      </c>
      <c r="N545" s="15" t="n">
        <f aca="false">M545*(1+IF(N$3&lt;=$O$2,$D545,$D545-($D545-$I$535)*MIN(N$3-$O$2,$Q$2)/$Q$2))</f>
        <v>11185.2050181998</v>
      </c>
      <c r="O545" s="15" t="n">
        <f aca="false">SUMPRODUCT(E545:N545,1/(1+$F$535)^$E$3:$N$3)*$E$2</f>
        <v>36916.7819442028</v>
      </c>
      <c r="P545" s="15" t="n">
        <f aca="false">N545*$E$2*(1+$I$535)/($F$535-$I$535)/(1+$F$535)^$N$3</f>
        <v>66372.1211511297</v>
      </c>
      <c r="Q545" s="15" t="n">
        <f aca="false">O545+P545</f>
        <v>103288.903095333</v>
      </c>
      <c r="R545" s="15" t="n">
        <f aca="false">Q545-$G$2+$I$2</f>
        <v>101698.903095333</v>
      </c>
      <c r="S545" s="42" t="n">
        <f aca="false">R545/$K$2</f>
        <v>282.826917780001</v>
      </c>
      <c r="T545" s="43" t="n">
        <f aca="false">S545-$M$2</f>
        <v>4.80811806922679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0.056640625</v>
      </c>
      <c r="C546" s="25" t="n">
        <f aca="false">IF(T545&gt;0,D545,C545)</f>
        <v>0.0595703125</v>
      </c>
      <c r="D546" s="41" t="n">
        <f aca="false">(B546+C546)/2</f>
        <v>0.05810546875</v>
      </c>
      <c r="E546" s="15" t="n">
        <f aca="false">$C$2*(1+IF(E$3&lt;=$O$2,$D546,$D546-($D546-$I$535)*MIN(E$3-$O$2,$Q$2)/$Q$2))</f>
        <v>7152.79296875</v>
      </c>
      <c r="F546" s="15" t="n">
        <f aca="false">E546*(1+IF(F$3&lt;=$O$2,$D546,$D546-($D546-$I$535)*MIN(F$3-$O$2,$Q$2)/$Q$2))</f>
        <v>7568.40935707092</v>
      </c>
      <c r="G546" s="15" t="n">
        <f aca="false">F546*(1+IF(G$3&lt;=$O$2,$D546,$D546-($D546-$I$535)*MIN(G$3-$O$2,$Q$2)/$Q$2))</f>
        <v>8008.17533045542</v>
      </c>
      <c r="H546" s="15" t="n">
        <f aca="false">G546*(1+IF(H$3&lt;=$O$2,$D546,$D546-($D546-$I$535)*MIN(H$3-$O$2,$Q$2)/$Q$2))</f>
        <v>8473.49411186371</v>
      </c>
      <c r="I546" s="15" t="n">
        <f aca="false">H546*(1+IF(I$3&lt;=$O$2,$D546,$D546-($D546-$I$535)*MIN(I$3-$O$2,$Q$2)/$Q$2))</f>
        <v>8965.85045918392</v>
      </c>
      <c r="J546" s="15" t="n">
        <f aca="false">I546*(1+IF(J$3&lt;=$O$2,$D546,$D546-($D546-$I$535)*MIN(J$3-$O$2,$Q$2)/$Q$2))</f>
        <v>9442.33497818071</v>
      </c>
      <c r="K546" s="15" t="n">
        <f aca="false">J546*(1+IF(K$3&lt;=$O$2,$D546,$D546-($D546-$I$535)*MIN(K$3-$O$2,$Q$2)/$Q$2))</f>
        <v>9897.29766009111</v>
      </c>
      <c r="L546" s="15" t="n">
        <f aca="false">K546*(1+IF(L$3&lt;=$O$2,$D546,$D546-($D546-$I$535)*MIN(L$3-$O$2,$Q$2)/$Q$2))</f>
        <v>10325.0805152989</v>
      </c>
      <c r="M546" s="15" t="n">
        <f aca="false">L546*(1+IF(M$3&lt;=$O$2,$D546,$D546-($D546-$I$535)*MIN(M$3-$O$2,$Q$2)/$Q$2))</f>
        <v>10720.129388871</v>
      </c>
      <c r="N546" s="15" t="n">
        <f aca="false">M546*(1+IF(N$3&lt;=$O$2,$D546,$D546-($D546-$I$535)*MIN(N$3-$O$2,$Q$2)/$Q$2))</f>
        <v>11077.1096975204</v>
      </c>
      <c r="O546" s="15" t="n">
        <f aca="false">SUMPRODUCT(E546:N546,1/(1+$F$535)^$E$3:$N$3)*$E$2</f>
        <v>36680.3928227473</v>
      </c>
      <c r="P546" s="15" t="n">
        <f aca="false">N546*$E$2*(1+$I$535)/($F$535-$I$535)/(1+$F$535)^$N$3</f>
        <v>65730.6920751023</v>
      </c>
      <c r="Q546" s="15" t="n">
        <f aca="false">O546+P546</f>
        <v>102411.08489785</v>
      </c>
      <c r="R546" s="15" t="n">
        <f aca="false">Q546-$G$2+$I$2</f>
        <v>100821.08489785</v>
      </c>
      <c r="S546" s="42" t="n">
        <f aca="false">R546/$K$2</f>
        <v>280.38568579412</v>
      </c>
      <c r="T546" s="43" t="n">
        <f aca="false">S546-$M$2</f>
        <v>2.36688608334617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0.056640625</v>
      </c>
      <c r="C547" s="25" t="n">
        <f aca="false">IF(T546&gt;0,D546,C546)</f>
        <v>0.05810546875</v>
      </c>
      <c r="D547" s="41" t="n">
        <f aca="false">(B547+C547)/2</f>
        <v>0.057373046875</v>
      </c>
      <c r="E547" s="15" t="n">
        <f aca="false">$C$2*(1+IF(E$3&lt;=$O$2,$D547,$D547-($D547-$I$535)*MIN(E$3-$O$2,$Q$2)/$Q$2))</f>
        <v>7147.841796875</v>
      </c>
      <c r="F547" s="15" t="n">
        <f aca="false">E547*(1+IF(F$3&lt;=$O$2,$D547,$D547-($D547-$I$535)*MIN(F$3-$O$2,$Q$2)/$Q$2))</f>
        <v>7557.93525934219</v>
      </c>
      <c r="G547" s="15" t="n">
        <f aca="false">F547*(1+IF(G$3&lt;=$O$2,$D547,$D547-($D547-$I$535)*MIN(G$3-$O$2,$Q$2)/$Q$2))</f>
        <v>7991.55703325465</v>
      </c>
      <c r="H547" s="15" t="n">
        <f aca="false">G547*(1+IF(H$3&lt;=$O$2,$D547,$D547-($D547-$I$535)*MIN(H$3-$O$2,$Q$2)/$Q$2))</f>
        <v>8450.0570095278</v>
      </c>
      <c r="I547" s="15" t="n">
        <f aca="false">H547*(1+IF(I$3&lt;=$O$2,$D547,$D547-($D547-$I$535)*MIN(I$3-$O$2,$Q$2)/$Q$2))</f>
        <v>8934.86252643187</v>
      </c>
      <c r="J547" s="15" t="n">
        <f aca="false">I547*(1+IF(J$3&lt;=$O$2,$D547,$D547-($D547-$I$535)*MIN(J$3-$O$2,$Q$2)/$Q$2))</f>
        <v>9404.46494009843</v>
      </c>
      <c r="K547" s="15" t="n">
        <f aca="false">J547*(1+IF(K$3&lt;=$O$2,$D547,$D547-($D547-$I$535)*MIN(K$3-$O$2,$Q$2)/$Q$2))</f>
        <v>9853.47009780608</v>
      </c>
      <c r="L547" s="15" t="n">
        <f aca="false">K547*(1+IF(L$3&lt;=$O$2,$D547,$D547-($D547-$I$535)*MIN(L$3-$O$2,$Q$2)/$Q$2))</f>
        <v>10276.4718710814</v>
      </c>
      <c r="M547" s="15" t="n">
        <f aca="false">L547*(1+IF(M$3&lt;=$O$2,$D547,$D547-($D547-$I$535)*MIN(M$3-$O$2,$Q$2)/$Q$2))</f>
        <v>10668.1555822008</v>
      </c>
      <c r="N547" s="15" t="n">
        <f aca="false">M547*(1+IF(N$3&lt;=$O$2,$D547,$D547-($D547-$I$535)*MIN(N$3-$O$2,$Q$2)/$Q$2))</f>
        <v>11023.4051630881</v>
      </c>
      <c r="O547" s="15" t="n">
        <f aca="false">SUMPRODUCT(E547:N547,1/(1+$F$535)^$E$3:$N$3)*$E$2</f>
        <v>36562.7683641332</v>
      </c>
      <c r="P547" s="15" t="n">
        <f aca="false">N547*$E$2*(1+$I$535)/($F$535-$I$535)/(1+$F$535)^$N$3</f>
        <v>65412.0136190608</v>
      </c>
      <c r="Q547" s="15" t="n">
        <f aca="false">O547+P547</f>
        <v>101974.781983194</v>
      </c>
      <c r="R547" s="15" t="n">
        <f aca="false">Q547-$G$2+$I$2</f>
        <v>100384.781983194</v>
      </c>
      <c r="S547" s="42" t="n">
        <f aca="false">R547/$K$2</f>
        <v>279.17231765725</v>
      </c>
      <c r="T547" s="43" t="n">
        <f aca="false">S547-$M$2</f>
        <v>1.15351794647654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0.056640625</v>
      </c>
      <c r="C548" s="25" t="n">
        <f aca="false">IF(T547&gt;0,D547,C547)</f>
        <v>0.057373046875</v>
      </c>
      <c r="D548" s="41" t="n">
        <f aca="false">(B548+C548)/2</f>
        <v>0.0570068359375</v>
      </c>
      <c r="E548" s="15" t="n">
        <f aca="false">$C$2*(1+IF(E$3&lt;=$O$2,$D548,$D548-($D548-$I$535)*MIN(E$3-$O$2,$Q$2)/$Q$2))</f>
        <v>7145.3662109375</v>
      </c>
      <c r="F548" s="15" t="n">
        <f aca="false">E548*(1+IF(F$3&lt;=$O$2,$D548,$D548-($D548-$I$535)*MIN(F$3-$O$2,$Q$2)/$Q$2))</f>
        <v>7552.70093023777</v>
      </c>
      <c r="G548" s="15" t="n">
        <f aca="false">F548*(1+IF(G$3&lt;=$O$2,$D548,$D548-($D548-$I$535)*MIN(G$3-$O$2,$Q$2)/$Q$2))</f>
        <v>7983.25651305284</v>
      </c>
      <c r="H548" s="15" t="n">
        <f aca="false">G548*(1+IF(H$3&lt;=$O$2,$D548,$D548-($D548-$I$535)*MIN(H$3-$O$2,$Q$2)/$Q$2))</f>
        <v>8438.35670733942</v>
      </c>
      <c r="I548" s="15" t="n">
        <f aca="false">H548*(1+IF(I$3&lt;=$O$2,$D548,$D548-($D548-$I$535)*MIN(I$3-$O$2,$Q$2)/$Q$2))</f>
        <v>8919.40072373682</v>
      </c>
      <c r="J548" s="15" t="n">
        <f aca="false">I548*(1+IF(J$3&lt;=$O$2,$D548,$D548-($D548-$I$535)*MIN(J$3-$O$2,$Q$2)/$Q$2))</f>
        <v>9385.57738353202</v>
      </c>
      <c r="K548" s="15" t="n">
        <f aca="false">J548*(1+IF(K$3&lt;=$O$2,$D548,$D548-($D548-$I$535)*MIN(K$3-$O$2,$Q$2)/$Q$2))</f>
        <v>9831.6185163297</v>
      </c>
      <c r="L548" s="15" t="n">
        <f aca="false">K548*(1+IF(L$3&lt;=$O$2,$D548,$D548-($D548-$I$535)*MIN(L$3-$O$2,$Q$2)/$Q$2))</f>
        <v>10252.2420397902</v>
      </c>
      <c r="M548" s="15" t="n">
        <f aca="false">L548*(1+IF(M$3&lt;=$O$2,$D548,$D548-($D548-$I$535)*MIN(M$3-$O$2,$Q$2)/$Q$2))</f>
        <v>10642.2513437209</v>
      </c>
      <c r="N548" s="15" t="n">
        <f aca="false">M548*(1+IF(N$3&lt;=$O$2,$D548,$D548-($D548-$I$535)*MIN(N$3-$O$2,$Q$2)/$Q$2))</f>
        <v>10996.6383134669</v>
      </c>
      <c r="O548" s="15" t="n">
        <f aca="false">SUMPRODUCT(E548:N548,1/(1+$F$535)^$E$3:$N$3)*$E$2</f>
        <v>36504.0981615987</v>
      </c>
      <c r="P548" s="15" t="n">
        <f aca="false">N548*$E$2*(1+$I$535)/($F$535-$I$535)/(1+$F$535)^$N$3</f>
        <v>65253.1812522865</v>
      </c>
      <c r="Q548" s="15" t="n">
        <f aca="false">O548+P548</f>
        <v>101757.279413885</v>
      </c>
      <c r="R548" s="15" t="n">
        <f aca="false">Q548-$G$2+$I$2</f>
        <v>100167.279413885</v>
      </c>
      <c r="S548" s="42" t="n">
        <f aca="false">R548/$K$2</f>
        <v>278.567438160869</v>
      </c>
      <c r="T548" s="43" t="n">
        <f aca="false">S548-$M$2</f>
        <v>0.548638450095268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0.056640625</v>
      </c>
      <c r="C549" s="25" t="n">
        <f aca="false">IF(T548&gt;0,D548,C548)</f>
        <v>0.0570068359375</v>
      </c>
      <c r="D549" s="41" t="n">
        <f aca="false">(B549+C549)/2</f>
        <v>0.05682373046875</v>
      </c>
      <c r="E549" s="15" t="n">
        <f aca="false">$C$2*(1+IF(E$3&lt;=$O$2,$D549,$D549-($D549-$I$535)*MIN(E$3-$O$2,$Q$2)/$Q$2))</f>
        <v>7144.12841796875</v>
      </c>
      <c r="F549" s="15" t="n">
        <f aca="false">E549*(1+IF(F$3&lt;=$O$2,$D549,$D549-($D549-$I$535)*MIN(F$3-$O$2,$Q$2)/$Q$2))</f>
        <v>7550.08444562554</v>
      </c>
      <c r="G549" s="15" t="n">
        <f aca="false">F549*(1+IF(G$3&lt;=$O$2,$D549,$D549-($D549-$I$535)*MIN(G$3-$O$2,$Q$2)/$Q$2))</f>
        <v>7979.10840918007</v>
      </c>
      <c r="H549" s="15" t="n">
        <f aca="false">G549*(1+IF(H$3&lt;=$O$2,$D549,$D549-($D549-$I$535)*MIN(H$3-$O$2,$Q$2)/$Q$2))</f>
        <v>8432.51111480426</v>
      </c>
      <c r="I549" s="15" t="n">
        <f aca="false">H549*(1+IF(I$3&lt;=$O$2,$D549,$D549-($D549-$I$535)*MIN(I$3-$O$2,$Q$2)/$Q$2))</f>
        <v>8911.67785356663</v>
      </c>
      <c r="J549" s="15" t="n">
        <f aca="false">I549*(1+IF(J$3&lt;=$O$2,$D549,$D549-($D549-$I$535)*MIN(J$3-$O$2,$Q$2)/$Q$2))</f>
        <v>9376.1454523717</v>
      </c>
      <c r="K549" s="15" t="n">
        <f aca="false">J549*(1+IF(K$3&lt;=$O$2,$D549,$D549-($D549-$I$535)*MIN(K$3-$O$2,$Q$2)/$Q$2))</f>
        <v>9820.70824701011</v>
      </c>
      <c r="L549" s="15" t="n">
        <f aca="false">K549*(1+IF(L$3&lt;=$O$2,$D549,$D549-($D549-$I$535)*MIN(L$3-$O$2,$Q$2)/$Q$2))</f>
        <v>10240.1457091615</v>
      </c>
      <c r="M549" s="15" t="n">
        <f aca="false">L549*(1+IF(M$3&lt;=$O$2,$D549,$D549-($D549-$I$535)*MIN(M$3-$O$2,$Q$2)/$Q$2))</f>
        <v>10629.3198468012</v>
      </c>
      <c r="N549" s="15" t="n">
        <f aca="false">M549*(1+IF(N$3&lt;=$O$2,$D549,$D549-($D549-$I$535)*MIN(N$3-$O$2,$Q$2)/$Q$2))</f>
        <v>10983.2761976997</v>
      </c>
      <c r="O549" s="15" t="n">
        <f aca="false">SUMPRODUCT(E549:N549,1/(1+$F$535)^$E$3:$N$3)*$E$2</f>
        <v>36474.7985048324</v>
      </c>
      <c r="P549" s="15" t="n">
        <f aca="false">N549*$E$2*(1+$I$535)/($F$535-$I$535)/(1+$F$535)^$N$3</f>
        <v>65173.8915150764</v>
      </c>
      <c r="Q549" s="15" t="n">
        <f aca="false">O549+P549</f>
        <v>101648.690019909</v>
      </c>
      <c r="R549" s="15" t="n">
        <f aca="false">Q549-$G$2+$I$2</f>
        <v>100058.690019909</v>
      </c>
      <c r="S549" s="42" t="n">
        <f aca="false">R549/$K$2</f>
        <v>278.265448634265</v>
      </c>
      <c r="T549" s="43" t="n">
        <f aca="false">S549-$M$2</f>
        <v>0.246648923490909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0.056640625</v>
      </c>
      <c r="C550" s="25" t="n">
        <f aca="false">IF(T549&gt;0,D549,C549)</f>
        <v>0.05682373046875</v>
      </c>
      <c r="D550" s="41" t="n">
        <f aca="false">(B550+C550)/2</f>
        <v>0.056732177734375</v>
      </c>
      <c r="E550" s="15" t="n">
        <f aca="false">$C$2*(1+IF(E$3&lt;=$O$2,$D550,$D550-($D550-$I$535)*MIN(E$3-$O$2,$Q$2)/$Q$2))</f>
        <v>7143.50952148438</v>
      </c>
      <c r="F550" s="15" t="n">
        <f aca="false">E550*(1+IF(F$3&lt;=$O$2,$D550,$D550-($D550-$I$535)*MIN(F$3-$O$2,$Q$2)/$Q$2))</f>
        <v>7548.77637330443</v>
      </c>
      <c r="G550" s="15" t="n">
        <f aca="false">F550*(1+IF(G$3&lt;=$O$2,$D550,$D550-($D550-$I$535)*MIN(G$3-$O$2,$Q$2)/$Q$2))</f>
        <v>7977.03489619178</v>
      </c>
      <c r="H550" s="15" t="n">
        <f aca="false">G550*(1+IF(H$3&lt;=$O$2,$D550,$D550-($D550-$I$535)*MIN(H$3-$O$2,$Q$2)/$Q$2))</f>
        <v>8429.58945771585</v>
      </c>
      <c r="I550" s="15" t="n">
        <f aca="false">H550*(1+IF(I$3&lt;=$O$2,$D550,$D550-($D550-$I$535)*MIN(I$3-$O$2,$Q$2)/$Q$2))</f>
        <v>8907.8184250588</v>
      </c>
      <c r="J550" s="15" t="n">
        <f aca="false">I550*(1+IF(J$3&lt;=$O$2,$D550,$D550-($D550-$I$535)*MIN(J$3-$O$2,$Q$2)/$Q$2))</f>
        <v>9371.43244626247</v>
      </c>
      <c r="K550" s="15" t="n">
        <f aca="false">J550*(1+IF(K$3&lt;=$O$2,$D550,$D550-($D550-$I$535)*MIN(K$3-$O$2,$Q$2)/$Q$2))</f>
        <v>9815.25698914692</v>
      </c>
      <c r="L550" s="15" t="n">
        <f aca="false">K550*(1+IF(L$3&lt;=$O$2,$D550,$D550-($D550-$I$535)*MIN(L$3-$O$2,$Q$2)/$Q$2))</f>
        <v>10234.1021853968</v>
      </c>
      <c r="M550" s="15" t="n">
        <f aca="false">L550*(1+IF(M$3&lt;=$O$2,$D550,$D550-($D550-$I$535)*MIN(M$3-$O$2,$Q$2)/$Q$2))</f>
        <v>10622.8592484425</v>
      </c>
      <c r="N550" s="15" t="n">
        <f aca="false">M550*(1+IF(N$3&lt;=$O$2,$D550,$D550-($D550-$I$535)*MIN(N$3-$O$2,$Q$2)/$Q$2))</f>
        <v>10976.6004614157</v>
      </c>
      <c r="O550" s="15" t="n">
        <f aca="false">SUMPRODUCT(E550:N550,1/(1+$F$535)^$E$3:$N$3)*$E$2</f>
        <v>36460.15752981</v>
      </c>
      <c r="P550" s="15" t="n">
        <f aca="false">N550*$E$2*(1+$I$535)/($F$535-$I$535)/(1+$F$535)^$N$3</f>
        <v>65134.278224422</v>
      </c>
      <c r="Q550" s="15" t="n">
        <f aca="false">O550+P550</f>
        <v>101594.435754232</v>
      </c>
      <c r="R550" s="15" t="n">
        <f aca="false">Q550-$G$2+$I$2</f>
        <v>100004.435754232</v>
      </c>
      <c r="S550" s="42" t="n">
        <f aca="false">R550/$K$2</f>
        <v>278.114566311341</v>
      </c>
      <c r="T550" s="43" t="n">
        <f aca="false">S550-$M$2</f>
        <v>0.0957666005672877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0.056640625</v>
      </c>
      <c r="C551" s="25" t="n">
        <f aca="false">IF(T550&gt;0,D550,C550)</f>
        <v>0.056732177734375</v>
      </c>
      <c r="D551" s="41" t="n">
        <f aca="false">(B551+C551)/2</f>
        <v>0.0566864013671875</v>
      </c>
      <c r="E551" s="15" t="n">
        <f aca="false">$C$2*(1+IF(E$3&lt;=$O$2,$D551,$D551-($D551-$I$535)*MIN(E$3-$O$2,$Q$2)/$Q$2))</f>
        <v>7143.20007324219</v>
      </c>
      <c r="F551" s="15" t="n">
        <f aca="false">E551*(1+IF(F$3&lt;=$O$2,$D551,$D551-($D551-$I$535)*MIN(F$3-$O$2,$Q$2)/$Q$2))</f>
        <v>7548.12237964012</v>
      </c>
      <c r="G551" s="15" t="n">
        <f aca="false">F551*(1+IF(G$3&lt;=$O$2,$D551,$D551-($D551-$I$535)*MIN(G$3-$O$2,$Q$2)/$Q$2))</f>
        <v>7975.99827442105</v>
      </c>
      <c r="H551" s="15" t="n">
        <f aca="false">G551*(1+IF(H$3&lt;=$O$2,$D551,$D551-($D551-$I$535)*MIN(H$3-$O$2,$Q$2)/$Q$2))</f>
        <v>8428.12891390887</v>
      </c>
      <c r="I551" s="15" t="n">
        <f aca="false">H551*(1+IF(I$3&lt;=$O$2,$D551,$D551-($D551-$I$535)*MIN(I$3-$O$2,$Q$2)/$Q$2))</f>
        <v>8905.88921229711</v>
      </c>
      <c r="J551" s="15" t="n">
        <f aca="false">I551*(1+IF(J$3&lt;=$O$2,$D551,$D551-($D551-$I$535)*MIN(J$3-$O$2,$Q$2)/$Q$2))</f>
        <v>9369.07668278699</v>
      </c>
      <c r="K551" s="15" t="n">
        <f aca="false">J551*(1+IF(K$3&lt;=$O$2,$D551,$D551-($D551-$I$535)*MIN(K$3-$O$2,$Q$2)/$Q$2))</f>
        <v>9812.53232896997</v>
      </c>
      <c r="L551" s="15" t="n">
        <f aca="false">K551*(1+IF(L$3&lt;=$O$2,$D551,$D551-($D551-$I$535)*MIN(L$3-$O$2,$Q$2)/$Q$2))</f>
        <v>10231.0815833142</v>
      </c>
      <c r="M551" s="15" t="n">
        <f aca="false">L551*(1+IF(M$3&lt;=$O$2,$D551,$D551-($D551-$I$535)*MIN(M$3-$O$2,$Q$2)/$Q$2))</f>
        <v>10619.6302361041</v>
      </c>
      <c r="N551" s="15" t="n">
        <f aca="false">M551*(1+IF(N$3&lt;=$O$2,$D551,$D551-($D551-$I$535)*MIN(N$3-$O$2,$Q$2)/$Q$2))</f>
        <v>10973.2639229664</v>
      </c>
      <c r="O551" s="15" t="n">
        <f aca="false">SUMPRODUCT(E551:N551,1/(1+$F$535)^$E$3:$N$3)*$E$2</f>
        <v>36452.839254669</v>
      </c>
      <c r="P551" s="15" t="n">
        <f aca="false">N551*$E$2*(1+$I$535)/($F$535-$I$535)/(1+$F$535)^$N$3</f>
        <v>65114.4794693862</v>
      </c>
      <c r="Q551" s="15" t="n">
        <f aca="false">O551+P551</f>
        <v>101567.318724055</v>
      </c>
      <c r="R551" s="15" t="n">
        <f aca="false">Q551-$G$2+$I$2</f>
        <v>99977.3187240552</v>
      </c>
      <c r="S551" s="42" t="n">
        <f aca="false">R551/$K$2</f>
        <v>278.039153245606</v>
      </c>
      <c r="T551" s="43" t="n">
        <f aca="false">S551-$M$2</f>
        <v>0.0203535348327364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0.056640625</v>
      </c>
      <c r="C552" s="25" t="n">
        <f aca="false">IF(T551&gt;0,D551,C551)</f>
        <v>0.0566864013671875</v>
      </c>
      <c r="D552" s="41" t="n">
        <f aca="false">(B552+C552)/2</f>
        <v>0.0566635131835938</v>
      </c>
      <c r="E552" s="15" t="n">
        <f aca="false">$C$2*(1+IF(E$3&lt;=$O$2,$D552,$D552-($D552-$I$535)*MIN(E$3-$O$2,$Q$2)/$Q$2))</f>
        <v>7143.04534912109</v>
      </c>
      <c r="F552" s="15" t="n">
        <f aca="false">E552*(1+IF(F$3&lt;=$O$2,$D552,$D552-($D552-$I$535)*MIN(F$3-$O$2,$Q$2)/$Q$2))</f>
        <v>7547.79539343203</v>
      </c>
      <c r="G552" s="15" t="n">
        <f aca="false">F552*(1+IF(G$3&lt;=$O$2,$D552,$D552-($D552-$I$535)*MIN(G$3-$O$2,$Q$2)/$Q$2))</f>
        <v>7975.47999721483</v>
      </c>
      <c r="H552" s="15" t="n">
        <f aca="false">G552*(1+IF(H$3&lt;=$O$2,$D552,$D552-($D552-$I$535)*MIN(H$3-$O$2,$Q$2)/$Q$2))</f>
        <v>8427.3987131825</v>
      </c>
      <c r="I552" s="15" t="n">
        <f aca="false">H552*(1+IF(I$3&lt;=$O$2,$D552,$D552-($D552-$I$535)*MIN(I$3-$O$2,$Q$2)/$Q$2))</f>
        <v>8904.92473127032</v>
      </c>
      <c r="J552" s="15" t="n">
        <f aca="false">I552*(1+IF(J$3&lt;=$O$2,$D552,$D552-($D552-$I$535)*MIN(J$3-$O$2,$Q$2)/$Q$2))</f>
        <v>9367.89898590797</v>
      </c>
      <c r="K552" s="15" t="n">
        <f aca="false">J552*(1+IF(K$3&lt;=$O$2,$D552,$D552-($D552-$I$535)*MIN(K$3-$O$2,$Q$2)/$Q$2))</f>
        <v>9811.17024101461</v>
      </c>
      <c r="L552" s="15" t="n">
        <f aca="false">K552*(1+IF(L$3&lt;=$O$2,$D552,$D552-($D552-$I$535)*MIN(L$3-$O$2,$Q$2)/$Q$2))</f>
        <v>10229.5715721494</v>
      </c>
      <c r="M552" s="15" t="n">
        <f aca="false">L552*(1+IF(M$3&lt;=$O$2,$D552,$D552-($D552-$I$535)*MIN(M$3-$O$2,$Q$2)/$Q$2))</f>
        <v>10618.0160515596</v>
      </c>
      <c r="N552" s="15" t="n">
        <f aca="false">M552*(1+IF(N$3&lt;=$O$2,$D552,$D552-($D552-$I$535)*MIN(N$3-$O$2,$Q$2)/$Q$2))</f>
        <v>10971.5959860766</v>
      </c>
      <c r="O552" s="15" t="n">
        <f aca="false">SUMPRODUCT(E552:N552,1/(1+$F$535)^$E$3:$N$3)*$E$2</f>
        <v>36449.1806700698</v>
      </c>
      <c r="P552" s="15" t="n">
        <f aca="false">N552*$E$2*(1+$I$535)/($F$535-$I$535)/(1+$F$535)^$N$3</f>
        <v>65104.5820639167</v>
      </c>
      <c r="Q552" s="15" t="n">
        <f aca="false">O552+P552</f>
        <v>101553.762733987</v>
      </c>
      <c r="R552" s="15" t="n">
        <f aca="false">Q552-$G$2+$I$2</f>
        <v>99963.7627339866</v>
      </c>
      <c r="S552" s="42" t="n">
        <f aca="false">R552/$K$2</f>
        <v>278.001453734876</v>
      </c>
      <c r="T552" s="43" t="n">
        <f aca="false">S552-$M$2</f>
        <v>-0.0173459758980812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0.0566635131835938</v>
      </c>
      <c r="C553" s="25" t="n">
        <f aca="false">IF(T552&gt;0,D552,C552)</f>
        <v>0.0566864013671875</v>
      </c>
      <c r="D553" s="41" t="n">
        <f aca="false">(B553+C553)/2</f>
        <v>0.0566749572753906</v>
      </c>
      <c r="E553" s="15" t="n">
        <f aca="false">$C$2*(1+IF(E$3&lt;=$O$2,$D553,$D553-($D553-$I$535)*MIN(E$3-$O$2,$Q$2)/$Q$2))</f>
        <v>7143.12271118164</v>
      </c>
      <c r="F553" s="15" t="n">
        <f aca="false">E553*(1+IF(F$3&lt;=$O$2,$D553,$D553-($D553-$I$535)*MIN(F$3-$O$2,$Q$2)/$Q$2))</f>
        <v>7547.95888565073</v>
      </c>
      <c r="G553" s="15" t="n">
        <f aca="false">F553*(1+IF(G$3&lt;=$O$2,$D553,$D553-($D553-$I$535)*MIN(G$3-$O$2,$Q$2)/$Q$2))</f>
        <v>7975.73913301139</v>
      </c>
      <c r="H553" s="15" t="n">
        <f aca="false">G553*(1+IF(H$3&lt;=$O$2,$D553,$D553-($D553-$I$535)*MIN(H$3-$O$2,$Q$2)/$Q$2))</f>
        <v>8427.76380761448</v>
      </c>
      <c r="I553" s="15" t="n">
        <f aca="false">H553*(1+IF(I$3&lt;=$O$2,$D553,$D553-($D553-$I$535)*MIN(I$3-$O$2,$Q$2)/$Q$2))</f>
        <v>8905.40696133811</v>
      </c>
      <c r="J553" s="15" t="n">
        <f aca="false">I553*(1+IF(J$3&lt;=$O$2,$D553,$D553-($D553-$I$535)*MIN(J$3-$O$2,$Q$2)/$Q$2))</f>
        <v>9368.48781894366</v>
      </c>
      <c r="K553" s="15" t="n">
        <f aca="false">J553*(1+IF(K$3&lt;=$O$2,$D553,$D553-($D553-$I$535)*MIN(K$3-$O$2,$Q$2)/$Q$2))</f>
        <v>9811.85126481618</v>
      </c>
      <c r="L553" s="15" t="n">
        <f aca="false">K553*(1+IF(L$3&lt;=$O$2,$D553,$D553-($D553-$I$535)*MIN(L$3-$O$2,$Q$2)/$Q$2))</f>
        <v>10230.3265535776</v>
      </c>
      <c r="M553" s="15" t="n">
        <f aca="false">L553*(1+IF(M$3&lt;=$O$2,$D553,$D553-($D553-$I$535)*MIN(M$3-$O$2,$Q$2)/$Q$2))</f>
        <v>10618.8231170324</v>
      </c>
      <c r="N553" s="15" t="n">
        <f aca="false">M553*(1+IF(N$3&lt;=$O$2,$D553,$D553-($D553-$I$535)*MIN(N$3-$O$2,$Q$2)/$Q$2))</f>
        <v>10972.4299268295</v>
      </c>
      <c r="O553" s="15" t="n">
        <f aca="false">SUMPRODUCT(E553:N553,1/(1+$F$535)^$E$3:$N$3)*$E$2</f>
        <v>36451.0099162921</v>
      </c>
      <c r="P553" s="15" t="n">
        <f aca="false">N553*$E$2*(1+$I$535)/($F$535-$I$535)/(1+$F$535)^$N$3</f>
        <v>65109.5306023297</v>
      </c>
      <c r="Q553" s="15" t="n">
        <f aca="false">O553+P553</f>
        <v>101560.540518622</v>
      </c>
      <c r="R553" s="15" t="n">
        <f aca="false">Q553-$G$2+$I$2</f>
        <v>99970.5405186217</v>
      </c>
      <c r="S553" s="42" t="n">
        <f aca="false">R553/$K$2</f>
        <v>278.020302905116</v>
      </c>
      <c r="T553" s="43" t="n">
        <f aca="false">S553-$M$2</f>
        <v>0.00150319434266066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0.0566635131835938</v>
      </c>
      <c r="C554" s="25" t="n">
        <f aca="false">IF(T553&gt;0,D553,C553)</f>
        <v>0.0566749572753906</v>
      </c>
      <c r="D554" s="41" t="n">
        <f aca="false">(B554+C554)/2</f>
        <v>0.0566692352294922</v>
      </c>
      <c r="E554" s="15" t="n">
        <f aca="false">$C$2*(1+IF(E$3&lt;=$O$2,$D554,$D554-($D554-$I$535)*MIN(E$3-$O$2,$Q$2)/$Q$2))</f>
        <v>7143.08403015137</v>
      </c>
      <c r="F554" s="15" t="n">
        <f aca="false">E554*(1+IF(F$3&lt;=$O$2,$D554,$D554-($D554-$I$535)*MIN(F$3-$O$2,$Q$2)/$Q$2))</f>
        <v>7547.87713932004</v>
      </c>
      <c r="G554" s="15" t="n">
        <f aca="false">F554*(1+IF(G$3&lt;=$O$2,$D554,$D554-($D554-$I$535)*MIN(G$3-$O$2,$Q$2)/$Q$2))</f>
        <v>7975.60956441148</v>
      </c>
      <c r="H554" s="15" t="n">
        <f aca="false">G554*(1+IF(H$3&lt;=$O$2,$D554,$D554-($D554-$I$535)*MIN(H$3-$O$2,$Q$2)/$Q$2))</f>
        <v>8427.5812589157</v>
      </c>
      <c r="I554" s="15" t="n">
        <f aca="false">H554*(1+IF(I$3&lt;=$O$2,$D554,$D554-($D554-$I$535)*MIN(I$3-$O$2,$Q$2)/$Q$2))</f>
        <v>8905.16584369285</v>
      </c>
      <c r="J554" s="15" t="n">
        <f aca="false">I554*(1+IF(J$3&lt;=$O$2,$D554,$D554-($D554-$I$535)*MIN(J$3-$O$2,$Q$2)/$Q$2))</f>
        <v>9368.19339857494</v>
      </c>
      <c r="K554" s="15" t="n">
        <f aca="false">J554*(1+IF(K$3&lt;=$O$2,$D554,$D554-($D554-$I$535)*MIN(K$3-$O$2,$Q$2)/$Q$2))</f>
        <v>9811.51074787149</v>
      </c>
      <c r="L554" s="15" t="n">
        <f aca="false">K554*(1+IF(L$3&lt;=$O$2,$D554,$D554-($D554-$I$535)*MIN(L$3-$O$2,$Q$2)/$Q$2))</f>
        <v>10229.9490568251</v>
      </c>
      <c r="M554" s="15" t="n">
        <f aca="false">L554*(1+IF(M$3&lt;=$O$2,$D554,$D554-($D554-$I$535)*MIN(M$3-$O$2,$Q$2)/$Q$2))</f>
        <v>10618.4195775963</v>
      </c>
      <c r="N554" s="15" t="n">
        <f aca="false">M554*(1+IF(N$3&lt;=$O$2,$D554,$D554-($D554-$I$535)*MIN(N$3-$O$2,$Q$2)/$Q$2))</f>
        <v>10972.0129495303</v>
      </c>
      <c r="O554" s="15" t="n">
        <f aca="false">SUMPRODUCT(E554:N554,1/(1+$F$535)^$E$3:$N$3)*$E$2</f>
        <v>36450.0952816619</v>
      </c>
      <c r="P554" s="15" t="n">
        <f aca="false">N554*$E$2*(1+$I$535)/($F$535-$I$535)/(1+$F$535)^$N$3</f>
        <v>65107.0562920439</v>
      </c>
      <c r="Q554" s="15" t="n">
        <f aca="false">O554+P554</f>
        <v>101557.151573706</v>
      </c>
      <c r="R554" s="15" t="n">
        <f aca="false">Q554-$G$2+$I$2</f>
        <v>99967.1515737058</v>
      </c>
      <c r="S554" s="42" t="n">
        <f aca="false">R554/$K$2</f>
        <v>278.010878173719</v>
      </c>
      <c r="T554" s="43" t="n">
        <f aca="false">S554-$M$2</f>
        <v>-0.00792153705486953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0.0566692352294922</v>
      </c>
      <c r="C555" s="25" t="n">
        <f aca="false">IF(T554&gt;0,D554,C554)</f>
        <v>0.0566749572753906</v>
      </c>
      <c r="D555" s="41" t="n">
        <f aca="false">(B555+C555)/2</f>
        <v>0.0566720962524414</v>
      </c>
      <c r="E555" s="15" t="n">
        <f aca="false">$C$2*(1+IF(E$3&lt;=$O$2,$D555,$D555-($D555-$I$535)*MIN(E$3-$O$2,$Q$2)/$Q$2))</f>
        <v>7143.1033706665</v>
      </c>
      <c r="F555" s="15" t="n">
        <f aca="false">E555*(1+IF(F$3&lt;=$O$2,$D555,$D555-($D555-$I$535)*MIN(F$3-$O$2,$Q$2)/$Q$2))</f>
        <v>7547.91801243006</v>
      </c>
      <c r="G555" s="15" t="n">
        <f aca="false">F555*(1+IF(G$3&lt;=$O$2,$D555,$D555-($D555-$I$535)*MIN(G$3-$O$2,$Q$2)/$Q$2))</f>
        <v>7975.67434853603</v>
      </c>
      <c r="H555" s="15" t="n">
        <f aca="false">G555*(1+IF(H$3&lt;=$O$2,$D555,$D555-($D555-$I$535)*MIN(H$3-$O$2,$Q$2)/$Q$2))</f>
        <v>8427.67253289439</v>
      </c>
      <c r="I555" s="15" t="n">
        <f aca="false">H555*(1+IF(I$3&lt;=$O$2,$D555,$D555-($D555-$I$535)*MIN(I$3-$O$2,$Q$2)/$Q$2))</f>
        <v>8905.28640186264</v>
      </c>
      <c r="J555" s="15" t="n">
        <f aca="false">I555*(1+IF(J$3&lt;=$O$2,$D555,$D555-($D555-$I$535)*MIN(J$3-$O$2,$Q$2)/$Q$2))</f>
        <v>9368.34060779658</v>
      </c>
      <c r="K555" s="15" t="n">
        <f aca="false">J555*(1+IF(K$3&lt;=$O$2,$D555,$D555-($D555-$I$535)*MIN(K$3-$O$2,$Q$2)/$Q$2))</f>
        <v>9811.68100508285</v>
      </c>
      <c r="L555" s="15" t="n">
        <f aca="false">K555*(1+IF(L$3&lt;=$O$2,$D555,$D555-($D555-$I$535)*MIN(L$3-$O$2,$Q$2)/$Q$2))</f>
        <v>10230.1378036917</v>
      </c>
      <c r="M555" s="15" t="n">
        <f aca="false">L555*(1+IF(M$3&lt;=$O$2,$D555,$D555-($D555-$I$535)*MIN(M$3-$O$2,$Q$2)/$Q$2))</f>
        <v>10618.6213456394</v>
      </c>
      <c r="N555" s="15" t="n">
        <f aca="false">M555*(1+IF(N$3&lt;=$O$2,$D555,$D555-($D555-$I$535)*MIN(N$3-$O$2,$Q$2)/$Q$2))</f>
        <v>10972.2214364492</v>
      </c>
      <c r="O555" s="15" t="n">
        <f aca="false">SUMPRODUCT(E555:N555,1/(1+$F$535)^$E$3:$N$3)*$E$2</f>
        <v>36450.5525960972</v>
      </c>
      <c r="P555" s="15" t="n">
        <f aca="false">N555*$E$2*(1+$I$535)/($F$535-$I$535)/(1+$F$535)^$N$3</f>
        <v>65108.2934369168</v>
      </c>
      <c r="Q555" s="15" t="n">
        <f aca="false">O555+P555</f>
        <v>101558.846033014</v>
      </c>
      <c r="R555" s="15" t="n">
        <f aca="false">Q555-$G$2+$I$2</f>
        <v>99968.846033014</v>
      </c>
      <c r="S555" s="42" t="n">
        <f aca="false">R555/$K$2</f>
        <v>278.015590502848</v>
      </c>
      <c r="T555" s="43" t="n">
        <f aca="false">S555-$M$2</f>
        <v>-0.00320920792580637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0.0566720962524414</v>
      </c>
      <c r="C556" s="25" t="n">
        <f aca="false">IF(T555&gt;0,D555,C555)</f>
        <v>0.0566749572753906</v>
      </c>
      <c r="D556" s="41" t="n">
        <f aca="false">(B556+C556)/2</f>
        <v>0.056673526763916</v>
      </c>
      <c r="E556" s="15" t="n">
        <f aca="false">$C$2*(1+IF(E$3&lt;=$O$2,$D556,$D556-($D556-$I$535)*MIN(E$3-$O$2,$Q$2)/$Q$2))</f>
        <v>7143.11304092407</v>
      </c>
      <c r="F556" s="15" t="n">
        <f aca="false">E556*(1+IF(F$3&lt;=$O$2,$D556,$D556-($D556-$I$535)*MIN(F$3-$O$2,$Q$2)/$Q$2))</f>
        <v>7547.93844902656</v>
      </c>
      <c r="G556" s="15" t="n">
        <f aca="false">F556*(1+IF(G$3&lt;=$O$2,$D556,$D556-($D556-$I$535)*MIN(G$3-$O$2,$Q$2)/$Q$2))</f>
        <v>7975.70674072986</v>
      </c>
      <c r="H556" s="15" t="n">
        <f aca="false">G556*(1+IF(H$3&lt;=$O$2,$D556,$D556-($D556-$I$535)*MIN(H$3-$O$2,$Q$2)/$Q$2))</f>
        <v>8427.71817016176</v>
      </c>
      <c r="I556" s="15" t="n">
        <f aca="false">H556*(1+IF(I$3&lt;=$O$2,$D556,$D556-($D556-$I$535)*MIN(I$3-$O$2,$Q$2)/$Q$2))</f>
        <v>8905.34668143716</v>
      </c>
      <c r="J556" s="15" t="n">
        <f aca="false">I556*(1+IF(J$3&lt;=$O$2,$D556,$D556-($D556-$I$535)*MIN(J$3-$O$2,$Q$2)/$Q$2))</f>
        <v>9368.41421312943</v>
      </c>
      <c r="K556" s="15" t="n">
        <f aca="false">J556*(1+IF(K$3&lt;=$O$2,$D556,$D556-($D556-$I$535)*MIN(K$3-$O$2,$Q$2)/$Q$2))</f>
        <v>9811.76613463426</v>
      </c>
      <c r="L556" s="15" t="n">
        <f aca="false">K556*(1+IF(L$3&lt;=$O$2,$D556,$D556-($D556-$I$535)*MIN(L$3-$O$2,$Q$2)/$Q$2))</f>
        <v>10230.2321782572</v>
      </c>
      <c r="M556" s="15" t="n">
        <f aca="false">L556*(1+IF(M$3&lt;=$O$2,$D556,$D556-($D556-$I$535)*MIN(M$3-$O$2,$Q$2)/$Q$2))</f>
        <v>10618.7222309171</v>
      </c>
      <c r="N556" s="15" t="n">
        <f aca="false">M556*(1+IF(N$3&lt;=$O$2,$D556,$D556-($D556-$I$535)*MIN(N$3-$O$2,$Q$2)/$Q$2))</f>
        <v>10972.3256812067</v>
      </c>
      <c r="O556" s="15" t="n">
        <f aca="false">SUMPRODUCT(E556:N556,1/(1+$F$535)^$E$3:$N$3)*$E$2</f>
        <v>36450.7812554747</v>
      </c>
      <c r="P556" s="15" t="n">
        <f aca="false">N556*$E$2*(1+$I$535)/($F$535-$I$535)/(1+$F$535)^$N$3</f>
        <v>65108.9120170557</v>
      </c>
      <c r="Q556" s="15" t="n">
        <f aca="false">O556+P556</f>
        <v>101559.69327253</v>
      </c>
      <c r="R556" s="15" t="n">
        <f aca="false">Q556-$G$2+$I$2</f>
        <v>99969.6932725304</v>
      </c>
      <c r="S556" s="42" t="n">
        <f aca="false">R556/$K$2</f>
        <v>278.01794669484</v>
      </c>
      <c r="T556" s="43" t="n">
        <f aca="false">S556-$M$2</f>
        <v>-0.000853015934126233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0.056673526763916</v>
      </c>
      <c r="C557" s="25" t="n">
        <f aca="false">IF(T556&gt;0,D556,C556)</f>
        <v>0.0566749572753906</v>
      </c>
      <c r="D557" s="41" t="n">
        <f aca="false">(B557+C557)/2</f>
        <v>0.0566742420196533</v>
      </c>
      <c r="E557" s="15" t="n">
        <f aca="false">$C$2*(1+IF(E$3&lt;=$O$2,$D557,$D557-($D557-$I$535)*MIN(E$3-$O$2,$Q$2)/$Q$2))</f>
        <v>7143.11787605286</v>
      </c>
      <c r="F557" s="15" t="n">
        <f aca="false">E557*(1+IF(F$3&lt;=$O$2,$D557,$D557-($D557-$I$535)*MIN(F$3-$O$2,$Q$2)/$Q$2))</f>
        <v>7547.94866733519</v>
      </c>
      <c r="G557" s="15" t="n">
        <f aca="false">F557*(1+IF(G$3&lt;=$O$2,$D557,$D557-($D557-$I$535)*MIN(G$3-$O$2,$Q$2)/$Q$2))</f>
        <v>7975.72293685966</v>
      </c>
      <c r="H557" s="15" t="n">
        <f aca="false">G557*(1+IF(H$3&lt;=$O$2,$D557,$D557-($D557-$I$535)*MIN(H$3-$O$2,$Q$2)/$Q$2))</f>
        <v>8427.74098886495</v>
      </c>
      <c r="I557" s="15" t="n">
        <f aca="false">H557*(1+IF(I$3&lt;=$O$2,$D557,$D557-($D557-$I$535)*MIN(I$3-$O$2,$Q$2)/$Q$2))</f>
        <v>8905.37682134683</v>
      </c>
      <c r="J557" s="15" t="n">
        <f aca="false">I557*(1+IF(J$3&lt;=$O$2,$D557,$D557-($D557-$I$535)*MIN(J$3-$O$2,$Q$2)/$Q$2))</f>
        <v>9368.45101597638</v>
      </c>
      <c r="K557" s="15" t="n">
        <f aca="false">J557*(1+IF(K$3&lt;=$O$2,$D557,$D557-($D557-$I$535)*MIN(K$3-$O$2,$Q$2)/$Q$2))</f>
        <v>9811.80869964641</v>
      </c>
      <c r="L557" s="15" t="n">
        <f aca="false">K557*(1+IF(L$3&lt;=$O$2,$D557,$D557-($D557-$I$535)*MIN(L$3-$O$2,$Q$2)/$Q$2))</f>
        <v>10230.2793658231</v>
      </c>
      <c r="M557" s="15" t="n">
        <f aca="false">L557*(1+IF(M$3&lt;=$O$2,$D557,$D557-($D557-$I$535)*MIN(M$3-$O$2,$Q$2)/$Q$2))</f>
        <v>10618.7726738701</v>
      </c>
      <c r="N557" s="15" t="n">
        <f aca="false">M557*(1+IF(N$3&lt;=$O$2,$D557,$D557-($D557-$I$535)*MIN(N$3-$O$2,$Q$2)/$Q$2))</f>
        <v>10972.3778039099</v>
      </c>
      <c r="O557" s="15" t="n">
        <f aca="false">SUMPRODUCT(E557:N557,1/(1+$F$535)^$E$3:$N$3)*$E$2</f>
        <v>36450.8955857034</v>
      </c>
      <c r="P557" s="15" t="n">
        <f aca="false">N557*$E$2*(1+$I$535)/($F$535-$I$535)/(1+$F$535)^$N$3</f>
        <v>65109.2213090508</v>
      </c>
      <c r="Q557" s="15" t="n">
        <f aca="false">O557+P557</f>
        <v>101560.116894754</v>
      </c>
      <c r="R557" s="15" t="n">
        <f aca="false">Q557-$G$2+$I$2</f>
        <v>99970.1168947542</v>
      </c>
      <c r="S557" s="42" t="n">
        <f aca="false">R557/$K$2</f>
        <v>278.019124797692</v>
      </c>
      <c r="T557" s="43" t="n">
        <f aca="false">S557-$M$2</f>
        <v>0.000325086918678608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0.056673526763916</v>
      </c>
      <c r="C558" s="25" t="n">
        <f aca="false">IF(T557&gt;0,D557,C557)</f>
        <v>0.0566742420196533</v>
      </c>
      <c r="D558" s="41" t="n">
        <f aca="false">(B558+C558)/2</f>
        <v>0.0566738843917847</v>
      </c>
      <c r="E558" s="15" t="n">
        <f aca="false">$C$2*(1+IF(E$3&lt;=$O$2,$D558,$D558-($D558-$I$535)*MIN(E$3-$O$2,$Q$2)/$Q$2))</f>
        <v>7143.11545848846</v>
      </c>
      <c r="F558" s="15" t="n">
        <f aca="false">E558*(1+IF(F$3&lt;=$O$2,$D558,$D558-($D558-$I$535)*MIN(F$3-$O$2,$Q$2)/$Q$2))</f>
        <v>7547.94355818001</v>
      </c>
      <c r="G558" s="15" t="n">
        <f aca="false">F558*(1+IF(G$3&lt;=$O$2,$D558,$D558-($D558-$I$535)*MIN(G$3-$O$2,$Q$2)/$Q$2))</f>
        <v>7975.71483879202</v>
      </c>
      <c r="H558" s="15" t="n">
        <f aca="false">G558*(1+IF(H$3&lt;=$O$2,$D558,$D558-($D558-$I$535)*MIN(H$3-$O$2,$Q$2)/$Q$2))</f>
        <v>8427.72957950756</v>
      </c>
      <c r="I558" s="15" t="n">
        <f aca="false">H558*(1+IF(I$3&lt;=$O$2,$D558,$D558-($D558-$I$535)*MIN(I$3-$O$2,$Q$2)/$Q$2))</f>
        <v>8905.3617513818</v>
      </c>
      <c r="J558" s="15" t="n">
        <f aca="false">I558*(1+IF(J$3&lt;=$O$2,$D558,$D558-($D558-$I$535)*MIN(J$3-$O$2,$Q$2)/$Q$2))</f>
        <v>9368.43261453787</v>
      </c>
      <c r="K558" s="15" t="n">
        <f aca="false">J558*(1+IF(K$3&lt;=$O$2,$D558,$D558-($D558-$I$535)*MIN(K$3-$O$2,$Q$2)/$Q$2))</f>
        <v>9811.78741712064</v>
      </c>
      <c r="L558" s="15" t="n">
        <f aca="false">K558*(1+IF(L$3&lt;=$O$2,$D558,$D558-($D558-$I$535)*MIN(L$3-$O$2,$Q$2)/$Q$2))</f>
        <v>10230.2557720166</v>
      </c>
      <c r="M558" s="15" t="n">
        <f aca="false">L558*(1+IF(M$3&lt;=$O$2,$D558,$D558-($D558-$I$535)*MIN(M$3-$O$2,$Q$2)/$Q$2))</f>
        <v>10618.7474523674</v>
      </c>
      <c r="N558" s="15" t="n">
        <f aca="false">M558*(1+IF(N$3&lt;=$O$2,$D558,$D558-($D558-$I$535)*MIN(N$3-$O$2,$Q$2)/$Q$2))</f>
        <v>10972.3517425313</v>
      </c>
      <c r="O558" s="15" t="n">
        <f aca="false">SUMPRODUCT(E558:N558,1/(1+$F$535)^$E$3:$N$3)*$E$2</f>
        <v>36450.838420544</v>
      </c>
      <c r="P558" s="15" t="n">
        <f aca="false">N558*$E$2*(1+$I$535)/($F$535-$I$535)/(1+$F$535)^$N$3</f>
        <v>65109.0666628928</v>
      </c>
      <c r="Q558" s="15" t="n">
        <f aca="false">O558+P558</f>
        <v>101559.905083437</v>
      </c>
      <c r="R558" s="15" t="n">
        <f aca="false">Q558-$G$2+$I$2</f>
        <v>99969.9050834369</v>
      </c>
      <c r="S558" s="42" t="n">
        <f aca="false">R558/$K$2</f>
        <v>278.018535745695</v>
      </c>
      <c r="T558" s="43" t="n">
        <f aca="false">S558-$M$2</f>
        <v>-0.000263965079057016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0.0566738843917847</v>
      </c>
      <c r="C559" s="25" t="n">
        <f aca="false">IF(T558&gt;0,D558,C558)</f>
        <v>0.0566742420196533</v>
      </c>
      <c r="D559" s="41" t="n">
        <f aca="false">(B559+C559)/2</f>
        <v>0.056674063205719</v>
      </c>
      <c r="E559" s="15" t="n">
        <f aca="false">$C$2*(1+IF(E$3&lt;=$O$2,$D559,$D559-($D559-$I$535)*MIN(E$3-$O$2,$Q$2)/$Q$2))</f>
        <v>7143.11666727066</v>
      </c>
      <c r="F559" s="15" t="n">
        <f aca="false">E559*(1+IF(F$3&lt;=$O$2,$D559,$D559-($D559-$I$535)*MIN(F$3-$O$2,$Q$2)/$Q$2))</f>
        <v>7547.94611275738</v>
      </c>
      <c r="G559" s="15" t="n">
        <f aca="false">F559*(1+IF(G$3&lt;=$O$2,$D559,$D559-($D559-$I$535)*MIN(G$3-$O$2,$Q$2)/$Q$2))</f>
        <v>7975.71888782516</v>
      </c>
      <c r="H559" s="15" t="n">
        <f aca="false">G559*(1+IF(H$3&lt;=$O$2,$D559,$D559-($D559-$I$535)*MIN(H$3-$O$2,$Q$2)/$Q$2))</f>
        <v>8427.7352841848</v>
      </c>
      <c r="I559" s="15" t="n">
        <f aca="false">H559*(1+IF(I$3&lt;=$O$2,$D559,$D559-($D559-$I$535)*MIN(I$3-$O$2,$Q$2)/$Q$2))</f>
        <v>8905.36928636176</v>
      </c>
      <c r="J559" s="15" t="n">
        <f aca="false">I559*(1+IF(J$3&lt;=$O$2,$D559,$D559-($D559-$I$535)*MIN(J$3-$O$2,$Q$2)/$Q$2))</f>
        <v>9368.44181525336</v>
      </c>
      <c r="K559" s="15" t="n">
        <f aca="false">J559*(1+IF(K$3&lt;=$O$2,$D559,$D559-($D559-$I$535)*MIN(K$3-$O$2,$Q$2)/$Q$2))</f>
        <v>9811.7980583786</v>
      </c>
      <c r="L559" s="15" t="n">
        <f aca="false">K559*(1+IF(L$3&lt;=$O$2,$D559,$D559-($D559-$I$535)*MIN(L$3-$O$2,$Q$2)/$Q$2))</f>
        <v>10230.2675689139</v>
      </c>
      <c r="M559" s="15" t="n">
        <f aca="false">L559*(1+IF(M$3&lt;=$O$2,$D559,$D559-($D559-$I$535)*MIN(M$3-$O$2,$Q$2)/$Q$2))</f>
        <v>10618.7600631122</v>
      </c>
      <c r="N559" s="15" t="n">
        <f aca="false">M559*(1+IF(N$3&lt;=$O$2,$D559,$D559-($D559-$I$535)*MIN(N$3-$O$2,$Q$2)/$Q$2))</f>
        <v>10972.3647732138</v>
      </c>
      <c r="O559" s="15" t="n">
        <f aca="false">SUMPRODUCT(E559:N559,1/(1+$F$535)^$E$3:$N$3)*$E$2</f>
        <v>36450.8670031125</v>
      </c>
      <c r="P559" s="15" t="n">
        <f aca="false">N559*$E$2*(1+$I$535)/($F$535-$I$535)/(1+$F$535)^$N$3</f>
        <v>65109.1439859317</v>
      </c>
      <c r="Q559" s="15" t="n">
        <f aca="false">O559+P559</f>
        <v>101560.010989044</v>
      </c>
      <c r="R559" s="15" t="n">
        <f aca="false">Q559-$G$2+$I$2</f>
        <v>99970.0109890442</v>
      </c>
      <c r="S559" s="42" t="n">
        <f aca="false">R559/$K$2</f>
        <v>278.018830271551</v>
      </c>
      <c r="T559" s="43" t="n">
        <f aca="false">S559-$M$2</f>
        <v>3.05607769632843E-005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0.0566738843917847</v>
      </c>
      <c r="C560" s="25" t="n">
        <f aca="false">IF(T559&gt;0,D559,C559)</f>
        <v>0.056674063205719</v>
      </c>
      <c r="D560" s="41" t="n">
        <f aca="false">(B560+C560)/2</f>
        <v>0.0566739737987518</v>
      </c>
      <c r="E560" s="15" t="n">
        <f aca="false">$C$2*(1+IF(E$3&lt;=$O$2,$D560,$D560-($D560-$I$535)*MIN(E$3-$O$2,$Q$2)/$Q$2))</f>
        <v>7143.11606287956</v>
      </c>
      <c r="F560" s="15" t="n">
        <f aca="false">E560*(1+IF(F$3&lt;=$O$2,$D560,$D560-($D560-$I$535)*MIN(F$3-$O$2,$Q$2)/$Q$2))</f>
        <v>7547.94483546864</v>
      </c>
      <c r="G560" s="15" t="n">
        <f aca="false">F560*(1+IF(G$3&lt;=$O$2,$D560,$D560-($D560-$I$535)*MIN(G$3-$O$2,$Q$2)/$Q$2))</f>
        <v>7975.71686330842</v>
      </c>
      <c r="H560" s="15" t="n">
        <f aca="false">G560*(1+IF(H$3&lt;=$O$2,$D560,$D560-($D560-$I$535)*MIN(H$3-$O$2,$Q$2)/$Q$2))</f>
        <v>8427.73243184582</v>
      </c>
      <c r="I560" s="15" t="n">
        <f aca="false">H560*(1+IF(I$3&lt;=$O$2,$D560,$D560-($D560-$I$535)*MIN(I$3-$O$2,$Q$2)/$Q$2))</f>
        <v>8905.36551887114</v>
      </c>
      <c r="J560" s="15" t="n">
        <f aca="false">I560*(1+IF(J$3&lt;=$O$2,$D560,$D560-($D560-$I$535)*MIN(J$3-$O$2,$Q$2)/$Q$2))</f>
        <v>9368.43721489467</v>
      </c>
      <c r="K560" s="15" t="n">
        <f aca="false">J560*(1+IF(K$3&lt;=$O$2,$D560,$D560-($D560-$I$535)*MIN(K$3-$O$2,$Q$2)/$Q$2))</f>
        <v>9811.79273774838</v>
      </c>
      <c r="L560" s="15" t="n">
        <f aca="false">K560*(1+IF(L$3&lt;=$O$2,$D560,$D560-($D560-$I$535)*MIN(L$3-$O$2,$Q$2)/$Q$2))</f>
        <v>10230.2616704638</v>
      </c>
      <c r="M560" s="15" t="n">
        <f aca="false">L560*(1+IF(M$3&lt;=$O$2,$D560,$D560-($D560-$I$535)*MIN(M$3-$O$2,$Q$2)/$Q$2))</f>
        <v>10618.7537577382</v>
      </c>
      <c r="N560" s="15" t="n">
        <f aca="false">M560*(1+IF(N$3&lt;=$O$2,$D560,$D560-($D560-$I$535)*MIN(N$3-$O$2,$Q$2)/$Q$2))</f>
        <v>10972.3582578709</v>
      </c>
      <c r="O560" s="15" t="n">
        <f aca="false">SUMPRODUCT(E560:N560,1/(1+$F$535)^$E$3:$N$3)*$E$2</f>
        <v>36450.8527118254</v>
      </c>
      <c r="P560" s="15" t="n">
        <f aca="false">N560*$E$2*(1+$I$535)/($F$535-$I$535)/(1+$F$535)^$N$3</f>
        <v>65109.1053244022</v>
      </c>
      <c r="Q560" s="15" t="n">
        <f aca="false">O560+P560</f>
        <v>101559.958036228</v>
      </c>
      <c r="R560" s="15" t="n">
        <f aca="false">Q560-$G$2+$I$2</f>
        <v>99969.9580362276</v>
      </c>
      <c r="S560" s="42" t="n">
        <f aca="false">R560/$K$2</f>
        <v>278.018683008587</v>
      </c>
      <c r="T560" s="43" t="n">
        <f aca="false">S560-$M$2</f>
        <v>-0.000116702186915063</v>
      </c>
    </row>
    <row r="562" customFormat="false" ht="15" hidden="false" customHeight="false" outlineLevel="0" collapsed="false">
      <c r="A562" s="38" t="s">
        <v>206</v>
      </c>
      <c r="E562" s="5" t="s">
        <v>11</v>
      </c>
      <c r="F562" s="12" t="n">
        <f aca="false">Sensitivity!$B$13</f>
        <v>0.0824202832668642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167</v>
      </c>
      <c r="B563" s="28" t="s">
        <v>168</v>
      </c>
      <c r="C563" s="28" t="s">
        <v>169</v>
      </c>
      <c r="D563" s="28" t="s">
        <v>170</v>
      </c>
      <c r="E563" s="28" t="s">
        <v>171</v>
      </c>
      <c r="F563" s="28" t="s">
        <v>172</v>
      </c>
      <c r="G563" s="28" t="s">
        <v>173</v>
      </c>
      <c r="H563" s="28" t="s">
        <v>174</v>
      </c>
      <c r="I563" s="28" t="s">
        <v>175</v>
      </c>
      <c r="J563" s="28" t="s">
        <v>176</v>
      </c>
      <c r="K563" s="28" t="s">
        <v>177</v>
      </c>
      <c r="L563" s="28" t="s">
        <v>178</v>
      </c>
      <c r="M563" s="28" t="s">
        <v>179</v>
      </c>
      <c r="N563" s="28" t="s">
        <v>180</v>
      </c>
      <c r="O563" s="28" t="s">
        <v>181</v>
      </c>
      <c r="P563" s="28" t="s">
        <v>182</v>
      </c>
      <c r="Q563" s="28" t="s">
        <v>183</v>
      </c>
      <c r="R563" s="28" t="s">
        <v>184</v>
      </c>
      <c r="S563" s="28" t="s">
        <v>185</v>
      </c>
      <c r="T563" s="28" t="s">
        <v>186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8450</v>
      </c>
      <c r="F564" s="15" t="n">
        <f aca="false">E564*(1+IF(F$3&lt;=$O$2,$D564,$D564-($D564-$I$562)*MIN(F$3-$O$2,$Q$2)/$Q$2))</f>
        <v>10562.5</v>
      </c>
      <c r="G564" s="15" t="n">
        <f aca="false">F564*(1+IF(G$3&lt;=$O$2,$D564,$D564-($D564-$I$562)*MIN(G$3-$O$2,$Q$2)/$Q$2))</f>
        <v>13203.125</v>
      </c>
      <c r="H564" s="15" t="n">
        <f aca="false">G564*(1+IF(H$3&lt;=$O$2,$D564,$D564-($D564-$I$562)*MIN(H$3-$O$2,$Q$2)/$Q$2))</f>
        <v>16503.90625</v>
      </c>
      <c r="I564" s="15" t="n">
        <f aca="false">H564*(1+IF(I$3&lt;=$O$2,$D564,$D564-($D564-$I$562)*MIN(I$3-$O$2,$Q$2)/$Q$2))</f>
        <v>20629.8828125</v>
      </c>
      <c r="J564" s="15" t="n">
        <f aca="false">I564*(1+IF(J$3&lt;=$O$2,$D564,$D564-($D564-$I$562)*MIN(J$3-$O$2,$Q$2)/$Q$2))</f>
        <v>24913.8842773438</v>
      </c>
      <c r="K564" s="15" t="n">
        <f aca="false">J564*(1+IF(K$3&lt;=$O$2,$D564,$D564-($D564-$I$562)*MIN(K$3-$O$2,$Q$2)/$Q$2))</f>
        <v>29032.6476260742</v>
      </c>
      <c r="L564" s="15" t="n">
        <f aca="false">K564*(1+IF(L$3&lt;=$O$2,$D564,$D564-($D564-$I$562)*MIN(L$3-$O$2,$Q$2)/$Q$2))</f>
        <v>32603.0826311288</v>
      </c>
      <c r="M564" s="15" t="n">
        <f aca="false">L564*(1+IF(M$3&lt;=$O$2,$D564,$D564-($D564-$I$562)*MIN(M$3-$O$2,$Q$2)/$Q$2))</f>
        <v>35232.1952145031</v>
      </c>
      <c r="N564" s="15" t="n">
        <f aca="false">M564*(1+IF(N$3&lt;=$O$2,$D564,$D564-($D564-$I$562)*MIN(N$3-$O$2,$Q$2)/$Q$2))</f>
        <v>36581.5882912185</v>
      </c>
      <c r="O564" s="15" t="n">
        <f aca="false">SUMPRODUCT(E564:N564,1/(1+$F$562)^$E$3:$N$3)*$E$2</f>
        <v>84979.2987104969</v>
      </c>
      <c r="P564" s="15" t="n">
        <f aca="false">N564*$E$2*(1+$I$562)/($F$562-$I$562)/(1+$F$562)^$N$3</f>
        <v>242841.720537446</v>
      </c>
      <c r="Q564" s="15" t="n">
        <f aca="false">O564+P564</f>
        <v>327821.019247942</v>
      </c>
      <c r="R564" s="15" t="n">
        <f aca="false">Q564-$G$2+$I$2</f>
        <v>326231.019247942</v>
      </c>
      <c r="S564" s="42" t="n">
        <f aca="false">R564/$K$2</f>
        <v>907.255740719569</v>
      </c>
      <c r="T564" s="43" t="n">
        <f aca="false">S564-$M$2</f>
        <v>629.236941008795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5915</v>
      </c>
      <c r="F565" s="15" t="n">
        <f aca="false">E565*(1+IF(F$3&lt;=$O$2,$D565,$D565-($D565-$I$562)*MIN(F$3-$O$2,$Q$2)/$Q$2))</f>
        <v>5175.625</v>
      </c>
      <c r="G565" s="15" t="n">
        <f aca="false">F565*(1+IF(G$3&lt;=$O$2,$D565,$D565-($D565-$I$562)*MIN(G$3-$O$2,$Q$2)/$Q$2))</f>
        <v>4528.671875</v>
      </c>
      <c r="H565" s="15" t="n">
        <f aca="false">G565*(1+IF(H$3&lt;=$O$2,$D565,$D565-($D565-$I$562)*MIN(H$3-$O$2,$Q$2)/$Q$2))</f>
        <v>3962.587890625</v>
      </c>
      <c r="I565" s="15" t="n">
        <f aca="false">H565*(1+IF(I$3&lt;=$O$2,$D565,$D565-($D565-$I$562)*MIN(I$3-$O$2,$Q$2)/$Q$2))</f>
        <v>3467.26440429688</v>
      </c>
      <c r="J565" s="15" t="n">
        <f aca="false">I565*(1+IF(J$3&lt;=$O$2,$D565,$D565-($D565-$I$562)*MIN(J$3-$O$2,$Q$2)/$Q$2))</f>
        <v>3147.0972092041</v>
      </c>
      <c r="K565" s="15" t="n">
        <f aca="false">J565*(1+IF(K$3&lt;=$O$2,$D565,$D565-($D565-$I$562)*MIN(K$3-$O$2,$Q$2)/$Q$2))</f>
        <v>2959.2784477588</v>
      </c>
      <c r="L565" s="15" t="n">
        <f aca="false">K565*(1+IF(L$3&lt;=$O$2,$D565,$D565-($D565-$I$562)*MIN(L$3-$O$2,$Q$2)/$Q$2))</f>
        <v>2879.31874410036</v>
      </c>
      <c r="M565" s="15" t="n">
        <f aca="false">L565*(1+IF(M$3&lt;=$O$2,$D565,$D565-($D565-$I$562)*MIN(M$3-$O$2,$Q$2)/$Q$2))</f>
        <v>2895.55810181708</v>
      </c>
      <c r="N565" s="15" t="n">
        <f aca="false">M565*(1+IF(N$3&lt;=$O$2,$D565,$D565-($D565-$I$562)*MIN(N$3-$O$2,$Q$2)/$Q$2))</f>
        <v>3006.45797711668</v>
      </c>
      <c r="O565" s="15" t="n">
        <f aca="false">SUMPRODUCT(E565:N565,1/(1+$F$562)^$E$3:$N$3)*$E$2</f>
        <v>16590.3340633164</v>
      </c>
      <c r="P565" s="15" t="n">
        <f aca="false">N565*$E$2*(1+$I$562)/($F$562-$I$562)/(1+$F$562)^$N$3</f>
        <v>19957.9477543298</v>
      </c>
      <c r="Q565" s="15" t="n">
        <f aca="false">O565+P565</f>
        <v>36548.2818176462</v>
      </c>
      <c r="R565" s="15" t="n">
        <f aca="false">Q565-$G$2+$I$2</f>
        <v>34958.2818176462</v>
      </c>
      <c r="S565" s="42" t="n">
        <f aca="false">R565/$K$2</f>
        <v>97.2197614373608</v>
      </c>
      <c r="T565" s="43" t="n">
        <f aca="false">S565-$M$2</f>
        <v>-180.799038273413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7182.5</v>
      </c>
      <c r="F566" s="15" t="n">
        <f aca="false">E566*(1+IF(F$3&lt;=$O$2,$D566,$D566-($D566-$I$562)*MIN(F$3-$O$2,$Q$2)/$Q$2))</f>
        <v>7631.40625</v>
      </c>
      <c r="G566" s="15" t="n">
        <f aca="false">F566*(1+IF(G$3&lt;=$O$2,$D566,$D566-($D566-$I$562)*MIN(G$3-$O$2,$Q$2)/$Q$2))</f>
        <v>8108.369140625</v>
      </c>
      <c r="H566" s="15" t="n">
        <f aca="false">G566*(1+IF(H$3&lt;=$O$2,$D566,$D566-($D566-$I$562)*MIN(H$3-$O$2,$Q$2)/$Q$2))</f>
        <v>8615.14221191406</v>
      </c>
      <c r="I566" s="15" t="n">
        <f aca="false">H566*(1+IF(I$3&lt;=$O$2,$D566,$D566-($D566-$I$562)*MIN(I$3-$O$2,$Q$2)/$Q$2))</f>
        <v>9153.58860015869</v>
      </c>
      <c r="J566" s="15" t="n">
        <f aca="false">I566*(1+IF(J$3&lt;=$O$2,$D566,$D566-($D566-$I$562)*MIN(J$3-$O$2,$Q$2)/$Q$2))</f>
        <v>9681.38451884384</v>
      </c>
      <c r="K566" s="15" t="n">
        <f aca="false">J566*(1+IF(K$3&lt;=$O$2,$D566,$D566-($D566-$I$562)*MIN(K$3-$O$2,$Q$2)/$Q$2))</f>
        <v>10192.7552491292</v>
      </c>
      <c r="L566" s="15" t="n">
        <f aca="false">K566*(1+IF(L$3&lt;=$O$2,$D566,$D566-($D566-$I$562)*MIN(L$3-$O$2,$Q$2)/$Q$2))</f>
        <v>10681.8036459824</v>
      </c>
      <c r="M566" s="15" t="n">
        <f aca="false">L566*(1+IF(M$3&lt;=$O$2,$D566,$D566-($D566-$I$562)*MIN(M$3-$O$2,$Q$2)/$Q$2))</f>
        <v>11142.6166552701</v>
      </c>
      <c r="N566" s="15" t="n">
        <f aca="false">M566*(1+IF(N$3&lt;=$O$2,$D566,$D566-($D566-$I$562)*MIN(N$3-$O$2,$Q$2)/$Q$2))</f>
        <v>11569.3788731669</v>
      </c>
      <c r="O566" s="15" t="n">
        <f aca="false">SUMPRODUCT(E566:N566,1/(1+$F$562)^$E$3:$N$3)*$E$2</f>
        <v>37507.1415928695</v>
      </c>
      <c r="P566" s="15" t="n">
        <f aca="false">N566*$E$2*(1+$I$562)/($F$562-$I$562)/(1+$F$562)^$N$3</f>
        <v>76801.691844087</v>
      </c>
      <c r="Q566" s="15" t="n">
        <f aca="false">O566+P566</f>
        <v>114308.833436956</v>
      </c>
      <c r="R566" s="15" t="n">
        <f aca="false">Q566-$G$2+$I$2</f>
        <v>112718.833436956</v>
      </c>
      <c r="S566" s="42" t="n">
        <f aca="false">R566/$K$2</f>
        <v>313.473589846367</v>
      </c>
      <c r="T566" s="43" t="n">
        <f aca="false">S566-$M$2</f>
        <v>35.4547901355929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6548.75</v>
      </c>
      <c r="F567" s="15" t="n">
        <f aca="false">E567*(1+IF(F$3&lt;=$O$2,$D567,$D567-($D567-$I$562)*MIN(F$3-$O$2,$Q$2)/$Q$2))</f>
        <v>6344.1015625</v>
      </c>
      <c r="G567" s="15" t="n">
        <f aca="false">F567*(1+IF(G$3&lt;=$O$2,$D567,$D567-($D567-$I$562)*MIN(G$3-$O$2,$Q$2)/$Q$2))</f>
        <v>6145.84838867188</v>
      </c>
      <c r="H567" s="15" t="n">
        <f aca="false">G567*(1+IF(H$3&lt;=$O$2,$D567,$D567-($D567-$I$562)*MIN(H$3-$O$2,$Q$2)/$Q$2))</f>
        <v>5953.79062652588</v>
      </c>
      <c r="I567" s="15" t="n">
        <f aca="false">H567*(1+IF(I$3&lt;=$O$2,$D567,$D567-($D567-$I$562)*MIN(I$3-$O$2,$Q$2)/$Q$2))</f>
        <v>5767.73466944695</v>
      </c>
      <c r="J567" s="15" t="n">
        <f aca="false">I567*(1+IF(J$3&lt;=$O$2,$D567,$D567-($D567-$I$562)*MIN(J$3-$O$2,$Q$2)/$Q$2))</f>
        <v>5667.72215027874</v>
      </c>
      <c r="K567" s="15" t="n">
        <f aca="false">J567*(1+IF(K$3&lt;=$O$2,$D567,$D567-($D567-$I$562)*MIN(K$3-$O$2,$Q$2)/$Q$2))</f>
        <v>5648.28186330328</v>
      </c>
      <c r="L567" s="15" t="n">
        <f aca="false">K567*(1+IF(L$3&lt;=$O$2,$D567,$D567-($D567-$I$562)*MIN(L$3-$O$2,$Q$2)/$Q$2))</f>
        <v>5707.4758572307</v>
      </c>
      <c r="M567" s="15" t="n">
        <f aca="false">L567*(1+IF(M$3&lt;=$O$2,$D567,$D567-($D567-$I$562)*MIN(M$3-$O$2,$Q$2)/$Q$2))</f>
        <v>5846.68119338855</v>
      </c>
      <c r="N567" s="15" t="n">
        <f aca="false">M567*(1+IF(N$3&lt;=$O$2,$D567,$D567-($D567-$I$562)*MIN(N$3-$O$2,$Q$2)/$Q$2))</f>
        <v>6070.60908309534</v>
      </c>
      <c r="O567" s="15" t="n">
        <f aca="false">SUMPRODUCT(E567:N567,1/(1+$F$562)^$E$3:$N$3)*$E$2</f>
        <v>24875.9218954245</v>
      </c>
      <c r="P567" s="15" t="n">
        <f aca="false">N567*$E$2*(1+$I$562)/($F$562-$I$562)/(1+$F$562)^$N$3</f>
        <v>40298.883217244</v>
      </c>
      <c r="Q567" s="15" t="n">
        <f aca="false">O567+P567</f>
        <v>65174.8051126685</v>
      </c>
      <c r="R567" s="15" t="n">
        <f aca="false">Q567-$G$2+$I$2</f>
        <v>63584.8051126685</v>
      </c>
      <c r="S567" s="42" t="n">
        <f aca="false">R567/$K$2</f>
        <v>176.830761201036</v>
      </c>
      <c r="T567" s="43" t="n">
        <f aca="false">S567-$M$2</f>
        <v>-101.188038509738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6865.625</v>
      </c>
      <c r="F568" s="15" t="n">
        <f aca="false">E568*(1+IF(F$3&lt;=$O$2,$D568,$D568-($D568-$I$562)*MIN(F$3-$O$2,$Q$2)/$Q$2))</f>
        <v>6972.900390625</v>
      </c>
      <c r="G568" s="15" t="n">
        <f aca="false">F568*(1+IF(G$3&lt;=$O$2,$D568,$D568-($D568-$I$562)*MIN(G$3-$O$2,$Q$2)/$Q$2))</f>
        <v>7081.85195922852</v>
      </c>
      <c r="H568" s="15" t="n">
        <f aca="false">G568*(1+IF(H$3&lt;=$O$2,$D568,$D568-($D568-$I$562)*MIN(H$3-$O$2,$Q$2)/$Q$2))</f>
        <v>7192.50589609146</v>
      </c>
      <c r="I568" s="15" t="n">
        <f aca="false">H568*(1+IF(I$3&lt;=$O$2,$D568,$D568-($D568-$I$562)*MIN(I$3-$O$2,$Q$2)/$Q$2))</f>
        <v>7304.88880071789</v>
      </c>
      <c r="J568" s="15" t="n">
        <f aca="false">I568*(1+IF(J$3&lt;=$O$2,$D568,$D568-($D568-$I$562)*MIN(J$3-$O$2,$Q$2)/$Q$2))</f>
        <v>7452.15535894036</v>
      </c>
      <c r="K568" s="15" t="n">
        <f aca="false">J568*(1+IF(K$3&lt;=$O$2,$D568,$D568-($D568-$I$562)*MIN(K$3-$O$2,$Q$2)/$Q$2))</f>
        <v>7636.18633552939</v>
      </c>
      <c r="L568" s="15" t="n">
        <f aca="false">K568*(1+IF(L$3&lt;=$O$2,$D568,$D568-($D568-$I$562)*MIN(L$3-$O$2,$Q$2)/$Q$2))</f>
        <v>7859.39206211692</v>
      </c>
      <c r="M568" s="15" t="n">
        <f aca="false">L568*(1+IF(M$3&lt;=$O$2,$D568,$D568-($D568-$I$562)*MIN(M$3-$O$2,$Q$2)/$Q$2))</f>
        <v>8124.7644350943</v>
      </c>
      <c r="N568" s="15" t="n">
        <f aca="false">M568*(1+IF(N$3&lt;=$O$2,$D568,$D568-($D568-$I$562)*MIN(N$3-$O$2,$Q$2)/$Q$2))</f>
        <v>8435.94291295841</v>
      </c>
      <c r="O568" s="15" t="n">
        <f aca="false">SUMPRODUCT(E568:N568,1/(1+$F$562)^$E$3:$N$3)*$E$2</f>
        <v>30534.4972895437</v>
      </c>
      <c r="P568" s="15" t="n">
        <f aca="false">N568*$E$2*(1+$I$562)/($F$562-$I$562)/(1+$F$562)^$N$3</f>
        <v>56000.8186366873</v>
      </c>
      <c r="Q568" s="15" t="n">
        <f aca="false">O568+P568</f>
        <v>86535.3159262309</v>
      </c>
      <c r="R568" s="15" t="n">
        <f aca="false">Q568-$G$2+$I$2</f>
        <v>84945.3159262309</v>
      </c>
      <c r="S568" s="42" t="n">
        <f aca="false">R568/$K$2</f>
        <v>236.23481819409</v>
      </c>
      <c r="T568" s="43" t="n">
        <f aca="false">S568-$M$2</f>
        <v>-41.7839815166836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0.015625</v>
      </c>
      <c r="C569" s="25" t="n">
        <f aca="false">IF(T568&gt;0,D568,C568)</f>
        <v>0.0625</v>
      </c>
      <c r="D569" s="41" t="n">
        <f aca="false">(B569+C569)/2</f>
        <v>0.0390625</v>
      </c>
      <c r="E569" s="15" t="n">
        <f aca="false">$C$2*(1+IF(E$3&lt;=$O$2,$D569,$D569-($D569-$I$562)*MIN(E$3-$O$2,$Q$2)/$Q$2))</f>
        <v>7024.0625</v>
      </c>
      <c r="F569" s="15" t="n">
        <f aca="false">E569*(1+IF(F$3&lt;=$O$2,$D569,$D569-($D569-$I$562)*MIN(F$3-$O$2,$Q$2)/$Q$2))</f>
        <v>7298.43994140625</v>
      </c>
      <c r="G569" s="15" t="n">
        <f aca="false">F569*(1+IF(G$3&lt;=$O$2,$D569,$D569-($D569-$I$562)*MIN(G$3-$O$2,$Q$2)/$Q$2))</f>
        <v>7583.53525161743</v>
      </c>
      <c r="H569" s="15" t="n">
        <f aca="false">G569*(1+IF(H$3&lt;=$O$2,$D569,$D569-($D569-$I$562)*MIN(H$3-$O$2,$Q$2)/$Q$2))</f>
        <v>7879.76709738374</v>
      </c>
      <c r="I569" s="15" t="n">
        <f aca="false">H569*(1+IF(I$3&lt;=$O$2,$D569,$D569-($D569-$I$562)*MIN(I$3-$O$2,$Q$2)/$Q$2))</f>
        <v>8187.57049962529</v>
      </c>
      <c r="J569" s="15" t="n">
        <f aca="false">I569*(1+IF(J$3&lt;=$O$2,$D569,$D569-($D569-$I$562)*MIN(J$3-$O$2,$Q$2)/$Q$2))</f>
        <v>8506.14886776571</v>
      </c>
      <c r="K569" s="15" t="n">
        <f aca="false">J569*(1+IF(K$3&lt;=$O$2,$D569,$D569-($D569-$I$562)*MIN(K$3-$O$2,$Q$2)/$Q$2))</f>
        <v>8835.82593250814</v>
      </c>
      <c r="L569" s="15" t="n">
        <f aca="false">K569*(1+IF(L$3&lt;=$O$2,$D569,$D569-($D569-$I$562)*MIN(L$3-$O$2,$Q$2)/$Q$2))</f>
        <v>9176.93299263262</v>
      </c>
      <c r="M569" s="15" t="n">
        <f aca="false">L569*(1+IF(M$3&lt;=$O$2,$D569,$D569-($D569-$I$562)*MIN(M$3-$O$2,$Q$2)/$Q$2))</f>
        <v>9529.80900853182</v>
      </c>
      <c r="N569" s="15" t="n">
        <f aca="false">M569*(1+IF(N$3&lt;=$O$2,$D569,$D569-($D569-$I$562)*MIN(N$3-$O$2,$Q$2)/$Q$2))</f>
        <v>9894.80069355859</v>
      </c>
      <c r="O569" s="15" t="n">
        <f aca="false">SUMPRODUCT(E569:N569,1/(1+$F$562)^$E$3:$N$3)*$E$2</f>
        <v>33840.0745753762</v>
      </c>
      <c r="P569" s="15" t="n">
        <f aca="false">N569*$E$2*(1+$I$562)/($F$562-$I$562)/(1+$F$562)^$N$3</f>
        <v>65685.2405004977</v>
      </c>
      <c r="Q569" s="15" t="n">
        <f aca="false">O569+P569</f>
        <v>99525.3150758739</v>
      </c>
      <c r="R569" s="15" t="n">
        <f aca="false">Q569-$G$2+$I$2</f>
        <v>97935.3150758739</v>
      </c>
      <c r="S569" s="42" t="n">
        <f aca="false">R569/$K$2</f>
        <v>272.360295555576</v>
      </c>
      <c r="T569" s="43" t="n">
        <f aca="false">S569-$M$2</f>
        <v>-5.6585041551981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0.0390625</v>
      </c>
      <c r="C570" s="25" t="n">
        <f aca="false">IF(T569&gt;0,D569,C569)</f>
        <v>0.0625</v>
      </c>
      <c r="D570" s="41" t="n">
        <f aca="false">(B570+C570)/2</f>
        <v>0.05078125</v>
      </c>
      <c r="E570" s="15" t="n">
        <f aca="false">$C$2*(1+IF(E$3&lt;=$O$2,$D570,$D570-($D570-$I$562)*MIN(E$3-$O$2,$Q$2)/$Q$2))</f>
        <v>7103.28125</v>
      </c>
      <c r="F570" s="15" t="n">
        <f aca="false">E570*(1+IF(F$3&lt;=$O$2,$D570,$D570-($D570-$I$562)*MIN(F$3-$O$2,$Q$2)/$Q$2))</f>
        <v>7463.99475097656</v>
      </c>
      <c r="G570" s="15" t="n">
        <f aca="false">F570*(1+IF(G$3&lt;=$O$2,$D570,$D570-($D570-$I$562)*MIN(G$3-$O$2,$Q$2)/$Q$2))</f>
        <v>7843.02573442459</v>
      </c>
      <c r="H570" s="15" t="n">
        <f aca="false">G570*(1+IF(H$3&lt;=$O$2,$D570,$D570-($D570-$I$562)*MIN(H$3-$O$2,$Q$2)/$Q$2))</f>
        <v>8241.30438500084</v>
      </c>
      <c r="I570" s="15" t="n">
        <f aca="false">H570*(1+IF(I$3&lt;=$O$2,$D570,$D570-($D570-$I$562)*MIN(I$3-$O$2,$Q$2)/$Q$2))</f>
        <v>8659.80812330166</v>
      </c>
      <c r="J570" s="15" t="n">
        <f aca="false">I570*(1+IF(J$3&lt;=$O$2,$D570,$D570-($D570-$I$562)*MIN(J$3-$O$2,$Q$2)/$Q$2))</f>
        <v>9077.94695853528</v>
      </c>
      <c r="K570" s="15" t="n">
        <f aca="false">J570*(1+IF(K$3&lt;=$O$2,$D570,$D570-($D570-$I$562)*MIN(K$3-$O$2,$Q$2)/$Q$2))</f>
        <v>9493.61480233292</v>
      </c>
      <c r="L570" s="15" t="n">
        <f aca="false">K570*(1+IF(L$3&lt;=$O$2,$D570,$D570-($D570-$I$562)*MIN(L$3-$O$2,$Q$2)/$Q$2))</f>
        <v>9904.61712116291</v>
      </c>
      <c r="M570" s="15" t="n">
        <f aca="false">L570*(1+IF(M$3&lt;=$O$2,$D570,$D570-($D570-$I$562)*MIN(M$3-$O$2,$Q$2)/$Q$2))</f>
        <v>10308.6883573922</v>
      </c>
      <c r="N570" s="15" t="n">
        <f aca="false">M570*(1+IF(N$3&lt;=$O$2,$D570,$D570-($D570-$I$562)*MIN(N$3-$O$2,$Q$2)/$Q$2))</f>
        <v>10703.5111214803</v>
      </c>
      <c r="O570" s="15" t="n">
        <f aca="false">SUMPRODUCT(E570:N570,1/(1+$F$562)^$E$3:$N$3)*$E$2</f>
        <v>35626.2044535563</v>
      </c>
      <c r="P570" s="15" t="n">
        <f aca="false">N570*$E$2*(1+$I$562)/($F$562-$I$562)/(1+$F$562)^$N$3</f>
        <v>71053.7507513284</v>
      </c>
      <c r="Q570" s="15" t="n">
        <f aca="false">O570+P570</f>
        <v>106679.955204885</v>
      </c>
      <c r="R570" s="15" t="n">
        <f aca="false">Q570-$G$2+$I$2</f>
        <v>105089.955204885</v>
      </c>
      <c r="S570" s="42" t="n">
        <f aca="false">R570/$K$2</f>
        <v>292.257509330009</v>
      </c>
      <c r="T570" s="43" t="n">
        <f aca="false">S570-$M$2</f>
        <v>14.2387096192356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0.0390625</v>
      </c>
      <c r="C571" s="25" t="n">
        <f aca="false">IF(T570&gt;0,D570,C570)</f>
        <v>0.05078125</v>
      </c>
      <c r="D571" s="41" t="n">
        <f aca="false">(B571+C571)/2</f>
        <v>0.044921875</v>
      </c>
      <c r="E571" s="15" t="n">
        <f aca="false">$C$2*(1+IF(E$3&lt;=$O$2,$D571,$D571-($D571-$I$562)*MIN(E$3-$O$2,$Q$2)/$Q$2))</f>
        <v>7063.671875</v>
      </c>
      <c r="F571" s="15" t="n">
        <f aca="false">E571*(1+IF(F$3&lt;=$O$2,$D571,$D571-($D571-$I$562)*MIN(F$3-$O$2,$Q$2)/$Q$2))</f>
        <v>7380.98526000977</v>
      </c>
      <c r="G571" s="15" t="n">
        <f aca="false">F571*(1+IF(G$3&lt;=$O$2,$D571,$D571-($D571-$I$562)*MIN(G$3-$O$2,$Q$2)/$Q$2))</f>
        <v>7712.55295723677</v>
      </c>
      <c r="H571" s="15" t="n">
        <f aca="false">G571*(1+IF(H$3&lt;=$O$2,$D571,$D571-($D571-$I$562)*MIN(H$3-$O$2,$Q$2)/$Q$2))</f>
        <v>8059.01529711264</v>
      </c>
      <c r="I571" s="15" t="n">
        <f aca="false">H571*(1+IF(I$3&lt;=$O$2,$D571,$D571-($D571-$I$562)*MIN(I$3-$O$2,$Q$2)/$Q$2))</f>
        <v>8421.04137491262</v>
      </c>
      <c r="J571" s="15" t="n">
        <f aca="false">I571*(1+IF(J$3&lt;=$O$2,$D571,$D571-($D571-$I$562)*MIN(J$3-$O$2,$Q$2)/$Q$2))</f>
        <v>8788.17772625537</v>
      </c>
      <c r="K571" s="15" t="n">
        <f aca="false">J571*(1+IF(K$3&lt;=$O$2,$D571,$D571-($D571-$I$562)*MIN(K$3-$O$2,$Q$2)/$Q$2))</f>
        <v>9159.68146179958</v>
      </c>
      <c r="L571" s="15" t="n">
        <f aca="false">K571*(1+IF(L$3&lt;=$O$2,$D571,$D571-($D571-$I$562)*MIN(L$3-$O$2,$Q$2)/$Q$2))</f>
        <v>9534.75896805845</v>
      </c>
      <c r="M571" s="15" t="n">
        <f aca="false">L571*(1+IF(M$3&lt;=$O$2,$D571,$D571-($D571-$I$562)*MIN(M$3-$O$2,$Q$2)/$Q$2))</f>
        <v>9912.56783294341</v>
      </c>
      <c r="N571" s="15" t="n">
        <f aca="false">M571*(1+IF(N$3&lt;=$O$2,$D571,$D571-($D571-$I$562)*MIN(N$3-$O$2,$Q$2)/$Q$2))</f>
        <v>10292.2191809451</v>
      </c>
      <c r="O571" s="15" t="n">
        <f aca="false">SUMPRODUCT(E571:N571,1/(1+$F$562)^$E$3:$N$3)*$E$2</f>
        <v>34721.5730971759</v>
      </c>
      <c r="P571" s="15" t="n">
        <f aca="false">N571*$E$2*(1+$I$562)/($F$562-$I$562)/(1+$F$562)^$N$3</f>
        <v>68323.4471437425</v>
      </c>
      <c r="Q571" s="15" t="n">
        <f aca="false">O571+P571</f>
        <v>103045.020240918</v>
      </c>
      <c r="R571" s="15" t="n">
        <f aca="false">Q571-$G$2+$I$2</f>
        <v>101455.020240918</v>
      </c>
      <c r="S571" s="42" t="n">
        <f aca="false">R571/$K$2</f>
        <v>282.148674122361</v>
      </c>
      <c r="T571" s="43" t="n">
        <f aca="false">S571-$M$2</f>
        <v>4.1298744115868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0.0390625</v>
      </c>
      <c r="C572" s="25" t="n">
        <f aca="false">IF(T571&gt;0,D571,C571)</f>
        <v>0.044921875</v>
      </c>
      <c r="D572" s="41" t="n">
        <f aca="false">(B572+C572)/2</f>
        <v>0.0419921875</v>
      </c>
      <c r="E572" s="15" t="n">
        <f aca="false">$C$2*(1+IF(E$3&lt;=$O$2,$D572,$D572-($D572-$I$562)*MIN(E$3-$O$2,$Q$2)/$Q$2))</f>
        <v>7043.8671875</v>
      </c>
      <c r="F572" s="15" t="n">
        <f aca="false">E572*(1+IF(F$3&lt;=$O$2,$D572,$D572-($D572-$I$562)*MIN(F$3-$O$2,$Q$2)/$Q$2))</f>
        <v>7339.6545791626</v>
      </c>
      <c r="G572" s="15" t="n">
        <f aca="false">F572*(1+IF(G$3&lt;=$O$2,$D572,$D572-($D572-$I$562)*MIN(G$3-$O$2,$Q$2)/$Q$2))</f>
        <v>7647.86273043603</v>
      </c>
      <c r="H572" s="15" t="n">
        <f aca="false">G572*(1+IF(H$3&lt;=$O$2,$D572,$D572-($D572-$I$562)*MIN(H$3-$O$2,$Q$2)/$Q$2))</f>
        <v>7969.01321618676</v>
      </c>
      <c r="I572" s="15" t="n">
        <f aca="false">H572*(1+IF(I$3&lt;=$O$2,$D572,$D572-($D572-$I$562)*MIN(I$3-$O$2,$Q$2)/$Q$2))</f>
        <v>8303.64951335085</v>
      </c>
      <c r="J572" s="15" t="n">
        <f aca="false">I572*(1+IF(J$3&lt;=$O$2,$D572,$D572-($D572-$I$562)*MIN(J$3-$O$2,$Q$2)/$Q$2))</f>
        <v>8646.20619446225</v>
      </c>
      <c r="K572" s="15" t="n">
        <f aca="false">J572*(1+IF(K$3&lt;=$O$2,$D572,$D572-($D572-$I$562)*MIN(K$3-$O$2,$Q$2)/$Q$2))</f>
        <v>8996.50994037032</v>
      </c>
      <c r="L572" s="15" t="n">
        <f aca="false">K572*(1+IF(L$3&lt;=$O$2,$D572,$D572-($D572-$I$562)*MIN(L$3-$O$2,$Q$2)/$Q$2))</f>
        <v>9354.36299170469</v>
      </c>
      <c r="M572" s="15" t="n">
        <f aca="false">L572*(1+IF(M$3&lt;=$O$2,$D572,$D572-($D572-$I$562)*MIN(M$3-$O$2,$Q$2)/$Q$2))</f>
        <v>9719.54270670867</v>
      </c>
      <c r="N572" s="15" t="n">
        <f aca="false">M572*(1+IF(N$3&lt;=$O$2,$D572,$D572-($D572-$I$562)*MIN(N$3-$O$2,$Q$2)/$Q$2))</f>
        <v>10091.8011923756</v>
      </c>
      <c r="O572" s="15" t="n">
        <f aca="false">SUMPRODUCT(E572:N572,1/(1+$F$562)^$E$3:$N$3)*$E$2</f>
        <v>34277.967143307</v>
      </c>
      <c r="P572" s="15" t="n">
        <f aca="false">N572*$E$2*(1+$I$562)/($F$562-$I$562)/(1+$F$562)^$N$3</f>
        <v>66993.0005599739</v>
      </c>
      <c r="Q572" s="15" t="n">
        <f aca="false">O572+P572</f>
        <v>101270.967703281</v>
      </c>
      <c r="R572" s="15" t="n">
        <f aca="false">Q572-$G$2+$I$2</f>
        <v>99680.9677032809</v>
      </c>
      <c r="S572" s="42" t="n">
        <f aca="false">R572/$K$2</f>
        <v>277.21499444708</v>
      </c>
      <c r="T572" s="43" t="n">
        <f aca="false">S572-$M$2</f>
        <v>-0.803805263694073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0.0419921875</v>
      </c>
      <c r="C573" s="25" t="n">
        <f aca="false">IF(T572&gt;0,D572,C572)</f>
        <v>0.044921875</v>
      </c>
      <c r="D573" s="41" t="n">
        <f aca="false">(B573+C573)/2</f>
        <v>0.04345703125</v>
      </c>
      <c r="E573" s="15" t="n">
        <f aca="false">$C$2*(1+IF(E$3&lt;=$O$2,$D573,$D573-($D573-$I$562)*MIN(E$3-$O$2,$Q$2)/$Q$2))</f>
        <v>7053.76953125</v>
      </c>
      <c r="F573" s="15" t="n">
        <f aca="false">E573*(1+IF(F$3&lt;=$O$2,$D573,$D573-($D573-$I$562)*MIN(F$3-$O$2,$Q$2)/$Q$2))</f>
        <v>7360.30541419983</v>
      </c>
      <c r="G573" s="15" t="n">
        <f aca="false">F573*(1+IF(G$3&lt;=$O$2,$D573,$D573-($D573-$I$562)*MIN(G$3-$O$2,$Q$2)/$Q$2))</f>
        <v>7680.16243659426</v>
      </c>
      <c r="H573" s="15" t="n">
        <f aca="false">G573*(1+IF(H$3&lt;=$O$2,$D573,$D573-($D573-$I$562)*MIN(H$3-$O$2,$Q$2)/$Q$2))</f>
        <v>8013.91949560641</v>
      </c>
      <c r="I573" s="15" t="n">
        <f aca="false">H573*(1+IF(I$3&lt;=$O$2,$D573,$D573-($D573-$I$562)*MIN(I$3-$O$2,$Q$2)/$Q$2))</f>
        <v>8362.18064556196</v>
      </c>
      <c r="J573" s="15" t="n">
        <f aca="false">I573*(1+IF(J$3&lt;=$O$2,$D573,$D573-($D573-$I$562)*MIN(J$3-$O$2,$Q$2)/$Q$2))</f>
        <v>8716.95138581283</v>
      </c>
      <c r="K573" s="15" t="n">
        <f aca="false">J573*(1+IF(K$3&lt;=$O$2,$D573,$D573-($D573-$I$562)*MIN(K$3-$O$2,$Q$2)/$Q$2))</f>
        <v>9077.78277831028</v>
      </c>
      <c r="L573" s="15" t="n">
        <f aca="false">K573*(1+IF(L$3&lt;=$O$2,$D573,$D573-($D573-$I$562)*MIN(L$3-$O$2,$Q$2)/$Q$2))</f>
        <v>9444.18762250695</v>
      </c>
      <c r="M573" s="15" t="n">
        <f aca="false">L573*(1+IF(M$3&lt;=$O$2,$D573,$D573-($D573-$I$562)*MIN(M$3-$O$2,$Q$2)/$Q$2))</f>
        <v>9815.64080258899</v>
      </c>
      <c r="N573" s="15" t="n">
        <f aca="false">M573*(1+IF(N$3&lt;=$O$2,$D573,$D573-($D573-$I$562)*MIN(N$3-$O$2,$Q$2)/$Q$2))</f>
        <v>10191.5798453281</v>
      </c>
      <c r="O573" s="15" t="n">
        <f aca="false">SUMPRODUCT(E573:N573,1/(1+$F$562)^$E$3:$N$3)*$E$2</f>
        <v>34499.0516117693</v>
      </c>
      <c r="P573" s="15" t="n">
        <f aca="false">N573*$E$2*(1+$I$562)/($F$562-$I$562)/(1+$F$562)^$N$3</f>
        <v>67655.3670915474</v>
      </c>
      <c r="Q573" s="15" t="n">
        <f aca="false">O573+P573</f>
        <v>102154.418703317</v>
      </c>
      <c r="R573" s="15" t="n">
        <f aca="false">Q573-$G$2+$I$2</f>
        <v>100564.418703317</v>
      </c>
      <c r="S573" s="42" t="n">
        <f aca="false">R573/$K$2</f>
        <v>279.671891382492</v>
      </c>
      <c r="T573" s="43" t="n">
        <f aca="false">S573-$M$2</f>
        <v>1.65309167171876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0.0419921875</v>
      </c>
      <c r="C574" s="25" t="n">
        <f aca="false">IF(T573&gt;0,D573,C573)</f>
        <v>0.04345703125</v>
      </c>
      <c r="D574" s="41" t="n">
        <f aca="false">(B574+C574)/2</f>
        <v>0.042724609375</v>
      </c>
      <c r="E574" s="15" t="n">
        <f aca="false">$C$2*(1+IF(E$3&lt;=$O$2,$D574,$D574-($D574-$I$562)*MIN(E$3-$O$2,$Q$2)/$Q$2))</f>
        <v>7048.818359375</v>
      </c>
      <c r="F574" s="15" t="n">
        <f aca="false">E574*(1+IF(F$3&lt;=$O$2,$D574,$D574-($D574-$I$562)*MIN(F$3-$O$2,$Q$2)/$Q$2))</f>
        <v>7349.97637033463</v>
      </c>
      <c r="G574" s="15" t="n">
        <f aca="false">F574*(1+IF(G$3&lt;=$O$2,$D574,$D574-($D574-$I$562)*MIN(G$3-$O$2,$Q$2)/$Q$2))</f>
        <v>7664.00123967265</v>
      </c>
      <c r="H574" s="15" t="n">
        <f aca="false">G574*(1+IF(H$3&lt;=$O$2,$D574,$D574-($D574-$I$562)*MIN(H$3-$O$2,$Q$2)/$Q$2))</f>
        <v>7991.44269888718</v>
      </c>
      <c r="I574" s="15" t="n">
        <f aca="false">H574*(1+IF(I$3&lt;=$O$2,$D574,$D574-($D574-$I$562)*MIN(I$3-$O$2,$Q$2)/$Q$2))</f>
        <v>8332.87396653983</v>
      </c>
      <c r="J574" s="15" t="n">
        <f aca="false">I574*(1+IF(J$3&lt;=$O$2,$D574,$D574-($D574-$I$562)*MIN(J$3-$O$2,$Q$2)/$Q$2))</f>
        <v>8681.51880927674</v>
      </c>
      <c r="K574" s="15" t="n">
        <f aca="false">J574*(1+IF(K$3&lt;=$O$2,$D574,$D574-($D574-$I$562)*MIN(K$3-$O$2,$Q$2)/$Q$2))</f>
        <v>9037.0683773797</v>
      </c>
      <c r="L574" s="15" t="n">
        <f aca="false">K574*(1+IF(L$3&lt;=$O$2,$D574,$D574-($D574-$I$562)*MIN(L$3-$O$2,$Q$2)/$Q$2))</f>
        <v>9399.18229521937</v>
      </c>
      <c r="M574" s="15" t="n">
        <f aca="false">L574*(1+IF(M$3&lt;=$O$2,$D574,$D574-($D574-$I$562)*MIN(M$3-$O$2,$Q$2)/$Q$2))</f>
        <v>9767.48851914643</v>
      </c>
      <c r="N574" s="15" t="n">
        <f aca="false">M574*(1+IF(N$3&lt;=$O$2,$D574,$D574-($D574-$I$562)*MIN(N$3-$O$2,$Q$2)/$Q$2))</f>
        <v>10141.5833294297</v>
      </c>
      <c r="O574" s="15" t="n">
        <f aca="false">SUMPRODUCT(E574:N574,1/(1+$F$562)^$E$3:$N$3)*$E$2</f>
        <v>34388.3302941083</v>
      </c>
      <c r="P574" s="15" t="n">
        <f aca="false">N574*$E$2*(1+$I$562)/($F$562-$I$562)/(1+$F$562)^$N$3</f>
        <v>67323.4722638818</v>
      </c>
      <c r="Q574" s="15" t="n">
        <f aca="false">O574+P574</f>
        <v>101711.80255799</v>
      </c>
      <c r="R574" s="15" t="n">
        <f aca="false">Q574-$G$2+$I$2</f>
        <v>100121.80255799</v>
      </c>
      <c r="S574" s="42" t="n">
        <f aca="false">R574/$K$2</f>
        <v>278.440966010318</v>
      </c>
      <c r="T574" s="43" t="n">
        <f aca="false">S574-$M$2</f>
        <v>0.422166299544188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0.0419921875</v>
      </c>
      <c r="C575" s="25" t="n">
        <f aca="false">IF(T574&gt;0,D574,C574)</f>
        <v>0.042724609375</v>
      </c>
      <c r="D575" s="41" t="n">
        <f aca="false">(B575+C575)/2</f>
        <v>0.0423583984375</v>
      </c>
      <c r="E575" s="15" t="n">
        <f aca="false">$C$2*(1+IF(E$3&lt;=$O$2,$D575,$D575-($D575-$I$562)*MIN(E$3-$O$2,$Q$2)/$Q$2))</f>
        <v>7046.3427734375</v>
      </c>
      <c r="F575" s="15" t="n">
        <f aca="false">E575*(1+IF(F$3&lt;=$O$2,$D575,$D575-($D575-$I$562)*MIN(F$3-$O$2,$Q$2)/$Q$2))</f>
        <v>7344.81456816196</v>
      </c>
      <c r="G575" s="15" t="n">
        <f aca="false">F575*(1+IF(G$3&lt;=$O$2,$D575,$D575-($D575-$I$562)*MIN(G$3-$O$2,$Q$2)/$Q$2))</f>
        <v>7655.92915008972</v>
      </c>
      <c r="H575" s="15" t="n">
        <f aca="false">G575*(1+IF(H$3&lt;=$O$2,$D575,$D575-($D575-$I$562)*MIN(H$3-$O$2,$Q$2)/$Q$2))</f>
        <v>7980.2220474385</v>
      </c>
      <c r="I575" s="15" t="n">
        <f aca="false">H575*(1+IF(I$3&lt;=$O$2,$D575,$D575-($D575-$I$562)*MIN(I$3-$O$2,$Q$2)/$Q$2))</f>
        <v>8318.25147254362</v>
      </c>
      <c r="J575" s="15" t="n">
        <f aca="false">I575*(1+IF(J$3&lt;=$O$2,$D575,$D575-($D575-$I$562)*MIN(J$3-$O$2,$Q$2)/$Q$2))</f>
        <v>8663.84752696516</v>
      </c>
      <c r="K575" s="15" t="n">
        <f aca="false">J575*(1+IF(K$3&lt;=$O$2,$D575,$D575-($D575-$I$562)*MIN(K$3-$O$2,$Q$2)/$Q$2))</f>
        <v>9016.76969440763</v>
      </c>
      <c r="L575" s="15" t="n">
        <f aca="false">K575*(1+IF(L$3&lt;=$O$2,$D575,$D575-($D575-$I$562)*MIN(L$3-$O$2,$Q$2)/$Q$2))</f>
        <v>9376.74943131907</v>
      </c>
      <c r="M575" s="15" t="n">
        <f aca="false">L575*(1+IF(M$3&lt;=$O$2,$D575,$D575-($D575-$I$562)*MIN(M$3-$O$2,$Q$2)/$Q$2))</f>
        <v>9743.48985158677</v>
      </c>
      <c r="N575" s="15" t="n">
        <f aca="false">M575*(1+IF(N$3&lt;=$O$2,$D575,$D575-($D575-$I$562)*MIN(N$3-$O$2,$Q$2)/$Q$2))</f>
        <v>10116.6655129025</v>
      </c>
      <c r="O575" s="15" t="n">
        <f aca="false">SUMPRODUCT(E575:N575,1/(1+$F$562)^$E$3:$N$3)*$E$2</f>
        <v>34333.1040156548</v>
      </c>
      <c r="P575" s="15" t="n">
        <f aca="false">N575*$E$2*(1+$I$562)/($F$562-$I$562)/(1+$F$562)^$N$3</f>
        <v>67158.058849097</v>
      </c>
      <c r="Q575" s="15" t="n">
        <f aca="false">O575+P575</f>
        <v>101491.162864752</v>
      </c>
      <c r="R575" s="15" t="n">
        <f aca="false">Q575-$G$2+$I$2</f>
        <v>99901.1628647518</v>
      </c>
      <c r="S575" s="42" t="n">
        <f aca="false">R575/$K$2</f>
        <v>277.827362102319</v>
      </c>
      <c r="T575" s="43" t="n">
        <f aca="false">S575-$M$2</f>
        <v>-0.191437608454805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0.0423583984375</v>
      </c>
      <c r="C576" s="25" t="n">
        <f aca="false">IF(T575&gt;0,D575,C575)</f>
        <v>0.042724609375</v>
      </c>
      <c r="D576" s="41" t="n">
        <f aca="false">(B576+C576)/2</f>
        <v>0.04254150390625</v>
      </c>
      <c r="E576" s="15" t="n">
        <f aca="false">$C$2*(1+IF(E$3&lt;=$O$2,$D576,$D576-($D576-$I$562)*MIN(E$3-$O$2,$Q$2)/$Q$2))</f>
        <v>7047.58056640625</v>
      </c>
      <c r="F576" s="15" t="n">
        <f aca="false">E576*(1+IF(F$3&lt;=$O$2,$D576,$D576-($D576-$I$562)*MIN(F$3-$O$2,$Q$2)/$Q$2))</f>
        <v>7347.39524260163</v>
      </c>
      <c r="G576" s="15" t="n">
        <f aca="false">F576*(1+IF(G$3&lt;=$O$2,$D576,$D576-($D576-$I$562)*MIN(G$3-$O$2,$Q$2)/$Q$2))</f>
        <v>7659.96448601553</v>
      </c>
      <c r="H576" s="15" t="n">
        <f aca="false">G576*(1+IF(H$3&lt;=$O$2,$D576,$D576-($D576-$I$562)*MIN(H$3-$O$2,$Q$2)/$Q$2))</f>
        <v>7985.8308951191</v>
      </c>
      <c r="I576" s="15" t="n">
        <f aca="false">H576*(1+IF(I$3&lt;=$O$2,$D576,$D576-($D576-$I$562)*MIN(I$3-$O$2,$Q$2)/$Q$2))</f>
        <v>8325.56015133846</v>
      </c>
      <c r="J576" s="15" t="n">
        <f aca="false">I576*(1+IF(J$3&lt;=$O$2,$D576,$D576-($D576-$I$562)*MIN(J$3-$O$2,$Q$2)/$Q$2))</f>
        <v>8672.67942185762</v>
      </c>
      <c r="K576" s="15" t="n">
        <f aca="false">J576*(1+IF(K$3&lt;=$O$2,$D576,$D576-($D576-$I$562)*MIN(K$3-$O$2,$Q$2)/$Q$2))</f>
        <v>9026.91416590204</v>
      </c>
      <c r="L576" s="15" t="n">
        <f aca="false">K576*(1+IF(L$3&lt;=$O$2,$D576,$D576-($D576-$I$562)*MIN(L$3-$O$2,$Q$2)/$Q$2))</f>
        <v>9387.96005513452</v>
      </c>
      <c r="M576" s="15" t="n">
        <f aca="false">L576*(1+IF(M$3&lt;=$O$2,$D576,$D576-($D576-$I$562)*MIN(M$3-$O$2,$Q$2)/$Q$2))</f>
        <v>9755.48273909528</v>
      </c>
      <c r="N576" s="15" t="n">
        <f aca="false">M576*(1+IF(N$3&lt;=$O$2,$D576,$D576-($D576-$I$562)*MIN(N$3-$O$2,$Q$2)/$Q$2))</f>
        <v>10129.1177280026</v>
      </c>
      <c r="O576" s="15" t="n">
        <f aca="false">SUMPRODUCT(E576:N576,1/(1+$F$562)^$E$3:$N$3)*$E$2</f>
        <v>34360.7059706497</v>
      </c>
      <c r="P576" s="15" t="n">
        <f aca="false">N576*$E$2*(1+$I$562)/($F$562-$I$562)/(1+$F$562)^$N$3</f>
        <v>67240.7211248663</v>
      </c>
      <c r="Q576" s="15" t="n">
        <f aca="false">O576+P576</f>
        <v>101601.427095516</v>
      </c>
      <c r="R576" s="15" t="n">
        <f aca="false">Q576-$G$2+$I$2</f>
        <v>100011.427095516</v>
      </c>
      <c r="S576" s="42" t="n">
        <f aca="false">R576/$K$2</f>
        <v>278.134009387386</v>
      </c>
      <c r="T576" s="43" t="n">
        <f aca="false">S576-$M$2</f>
        <v>0.115209676611869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0.0423583984375</v>
      </c>
      <c r="C577" s="25" t="n">
        <f aca="false">IF(T576&gt;0,D576,C576)</f>
        <v>0.04254150390625</v>
      </c>
      <c r="D577" s="41" t="n">
        <f aca="false">(B577+C577)/2</f>
        <v>0.042449951171875</v>
      </c>
      <c r="E577" s="15" t="n">
        <f aca="false">$C$2*(1+IF(E$3&lt;=$O$2,$D577,$D577-($D577-$I$562)*MIN(E$3-$O$2,$Q$2)/$Q$2))</f>
        <v>7046.96166992188</v>
      </c>
      <c r="F577" s="15" t="n">
        <f aca="false">E577*(1+IF(F$3&lt;=$O$2,$D577,$D577-($D577-$I$562)*MIN(F$3-$O$2,$Q$2)/$Q$2))</f>
        <v>7346.10484872013</v>
      </c>
      <c r="G577" s="15" t="n">
        <f aca="false">F577*(1+IF(G$3&lt;=$O$2,$D577,$D577-($D577-$I$562)*MIN(G$3-$O$2,$Q$2)/$Q$2))</f>
        <v>7657.94664085178</v>
      </c>
      <c r="H577" s="15" t="n">
        <f aca="false">G577*(1+IF(H$3&lt;=$O$2,$D577,$D577-($D577-$I$562)*MIN(H$3-$O$2,$Q$2)/$Q$2))</f>
        <v>7983.02610183276</v>
      </c>
      <c r="I577" s="15" t="n">
        <f aca="false">H577*(1+IF(I$3&lt;=$O$2,$D577,$D577-($D577-$I$562)*MIN(I$3-$O$2,$Q$2)/$Q$2))</f>
        <v>8321.90517005936</v>
      </c>
      <c r="J577" s="15" t="n">
        <f aca="false">I577*(1+IF(J$3&lt;=$O$2,$D577,$D577-($D577-$I$562)*MIN(J$3-$O$2,$Q$2)/$Q$2))</f>
        <v>8668.26253816281</v>
      </c>
      <c r="K577" s="15" t="n">
        <f aca="false">J577*(1+IF(K$3&lt;=$O$2,$D577,$D577-($D577-$I$562)*MIN(K$3-$O$2,$Q$2)/$Q$2))</f>
        <v>9021.84071314147</v>
      </c>
      <c r="L577" s="15" t="n">
        <f aca="false">K577*(1+IF(L$3&lt;=$O$2,$D577,$D577-($D577-$I$562)*MIN(L$3-$O$2,$Q$2)/$Q$2))</f>
        <v>9382.35329183078</v>
      </c>
      <c r="M577" s="15" t="n">
        <f aca="false">L577*(1+IF(M$3&lt;=$O$2,$D577,$D577-($D577-$I$562)*MIN(M$3-$O$2,$Q$2)/$Q$2))</f>
        <v>9749.48468451557</v>
      </c>
      <c r="N577" s="15" t="n">
        <f aca="false">M577*(1+IF(N$3&lt;=$O$2,$D577,$D577-($D577-$I$562)*MIN(N$3-$O$2,$Q$2)/$Q$2))</f>
        <v>10122.8899479325</v>
      </c>
      <c r="O577" s="15" t="n">
        <f aca="false">SUMPRODUCT(E577:N577,1/(1+$F$562)^$E$3:$N$3)*$E$2</f>
        <v>34346.9021981533</v>
      </c>
      <c r="P577" s="15" t="n">
        <f aca="false">N577*$E$2*(1+$I$562)/($F$562-$I$562)/(1+$F$562)^$N$3</f>
        <v>67199.3788841928</v>
      </c>
      <c r="Q577" s="15" t="n">
        <f aca="false">O577+P577</f>
        <v>101546.281082346</v>
      </c>
      <c r="R577" s="15" t="n">
        <f aca="false">Q577-$G$2+$I$2</f>
        <v>99956.2810823461</v>
      </c>
      <c r="S577" s="42" t="n">
        <f aca="false">R577/$K$2</f>
        <v>277.980647094794</v>
      </c>
      <c r="T577" s="43" t="n">
        <f aca="false">S577-$M$2</f>
        <v>-0.0381526159793566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0.042449951171875</v>
      </c>
      <c r="C578" s="25" t="n">
        <f aca="false">IF(T577&gt;0,D577,C577)</f>
        <v>0.04254150390625</v>
      </c>
      <c r="D578" s="41" t="n">
        <f aca="false">(B578+C578)/2</f>
        <v>0.0424957275390625</v>
      </c>
      <c r="E578" s="15" t="n">
        <f aca="false">$C$2*(1+IF(E$3&lt;=$O$2,$D578,$D578-($D578-$I$562)*MIN(E$3-$O$2,$Q$2)/$Q$2))</f>
        <v>7047.27111816406</v>
      </c>
      <c r="F578" s="15" t="n">
        <f aca="false">E578*(1+IF(F$3&lt;=$O$2,$D578,$D578-($D578-$I$562)*MIN(F$3-$O$2,$Q$2)/$Q$2))</f>
        <v>7346.75003149547</v>
      </c>
      <c r="G578" s="15" t="n">
        <f aca="false">F578*(1+IF(G$3&lt;=$O$2,$D578,$D578-($D578-$I$562)*MIN(G$3-$O$2,$Q$2)/$Q$2))</f>
        <v>7658.9555191315</v>
      </c>
      <c r="H578" s="15" t="n">
        <f aca="false">G578*(1+IF(H$3&lt;=$O$2,$D578,$D578-($D578-$I$562)*MIN(H$3-$O$2,$Q$2)/$Q$2))</f>
        <v>7984.42840610631</v>
      </c>
      <c r="I578" s="15" t="n">
        <f aca="false">H578*(1+IF(I$3&lt;=$O$2,$D578,$D578-($D578-$I$562)*MIN(I$3-$O$2,$Q$2)/$Q$2))</f>
        <v>8323.73250020735</v>
      </c>
      <c r="J578" s="15" t="n">
        <f aca="false">I578*(1+IF(J$3&lt;=$O$2,$D578,$D578-($D578-$I$562)*MIN(J$3-$O$2,$Q$2)/$Q$2))</f>
        <v>8670.47074590842</v>
      </c>
      <c r="K578" s="15" t="n">
        <f aca="false">J578*(1+IF(K$3&lt;=$O$2,$D578,$D578-($D578-$I$562)*MIN(K$3-$O$2,$Q$2)/$Q$2))</f>
        <v>9024.37713520786</v>
      </c>
      <c r="L578" s="15" t="n">
        <f aca="false">K578*(1+IF(L$3&lt;=$O$2,$D578,$D578-($D578-$I$562)*MIN(L$3-$O$2,$Q$2)/$Q$2))</f>
        <v>9385.15631055395</v>
      </c>
      <c r="M578" s="15" t="n">
        <f aca="false">L578*(1+IF(M$3&lt;=$O$2,$D578,$D578-($D578-$I$562)*MIN(M$3-$O$2,$Q$2)/$Q$2))</f>
        <v>9752.48330900629</v>
      </c>
      <c r="N578" s="15" t="n">
        <f aca="false">M578*(1+IF(N$3&lt;=$O$2,$D578,$D578-($D578-$I$562)*MIN(N$3-$O$2,$Q$2)/$Q$2))</f>
        <v>10126.0034197412</v>
      </c>
      <c r="O578" s="15" t="n">
        <f aca="false">SUMPRODUCT(E578:N578,1/(1+$F$562)^$E$3:$N$3)*$E$2</f>
        <v>34353.8033855195</v>
      </c>
      <c r="P578" s="15" t="n">
        <f aca="false">N578*$E$2*(1+$I$562)/($F$562-$I$562)/(1+$F$562)^$N$3</f>
        <v>67220.0472281929</v>
      </c>
      <c r="Q578" s="15" t="n">
        <f aca="false">O578+P578</f>
        <v>101573.850613712</v>
      </c>
      <c r="R578" s="15" t="n">
        <f aca="false">Q578-$G$2+$I$2</f>
        <v>99983.8506137123</v>
      </c>
      <c r="S578" s="42" t="n">
        <f aca="false">R578/$K$2</f>
        <v>278.057318576429</v>
      </c>
      <c r="T578" s="43" t="n">
        <f aca="false">S578-$M$2</f>
        <v>0.0385188656553055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0.042449951171875</v>
      </c>
      <c r="C579" s="25" t="n">
        <f aca="false">IF(T578&gt;0,D578,C578)</f>
        <v>0.0424957275390625</v>
      </c>
      <c r="D579" s="41" t="n">
        <f aca="false">(B579+C579)/2</f>
        <v>0.0424728393554688</v>
      </c>
      <c r="E579" s="15" t="n">
        <f aca="false">$C$2*(1+IF(E$3&lt;=$O$2,$D579,$D579-($D579-$I$562)*MIN(E$3-$O$2,$Q$2)/$Q$2))</f>
        <v>7047.11639404297</v>
      </c>
      <c r="F579" s="15" t="n">
        <f aca="false">E579*(1+IF(F$3&lt;=$O$2,$D579,$D579-($D579-$I$562)*MIN(F$3-$O$2,$Q$2)/$Q$2))</f>
        <v>7346.42743656645</v>
      </c>
      <c r="G579" s="15" t="n">
        <f aca="false">F579*(1+IF(G$3&lt;=$O$2,$D579,$D579-($D579-$I$562)*MIN(G$3-$O$2,$Q$2)/$Q$2))</f>
        <v>7658.45106891634</v>
      </c>
      <c r="H579" s="15" t="n">
        <f aca="false">G579*(1+IF(H$3&lt;=$O$2,$D579,$D579-($D579-$I$562)*MIN(H$3-$O$2,$Q$2)/$Q$2))</f>
        <v>7983.72723087814</v>
      </c>
      <c r="I579" s="15" t="n">
        <f aca="false">H579*(1+IF(I$3&lt;=$O$2,$D579,$D579-($D579-$I$562)*MIN(I$3-$O$2,$Q$2)/$Q$2))</f>
        <v>8322.81879501311</v>
      </c>
      <c r="J579" s="15" t="n">
        <f aca="false">I579*(1+IF(J$3&lt;=$O$2,$D579,$D579-($D579-$I$562)*MIN(J$3-$O$2,$Q$2)/$Q$2))</f>
        <v>8669.36658351513</v>
      </c>
      <c r="K579" s="15" t="n">
        <f aca="false">J579*(1+IF(K$3&lt;=$O$2,$D579,$D579-($D579-$I$562)*MIN(K$3-$O$2,$Q$2)/$Q$2))</f>
        <v>9023.10884810376</v>
      </c>
      <c r="L579" s="15" t="n">
        <f aca="false">K579*(1+IF(L$3&lt;=$O$2,$D579,$D579-($D579-$I$562)*MIN(L$3-$O$2,$Q$2)/$Q$2))</f>
        <v>9383.75471047015</v>
      </c>
      <c r="M579" s="15" t="n">
        <f aca="false">L579*(1+IF(M$3&lt;=$O$2,$D579,$D579-($D579-$I$562)*MIN(M$3-$O$2,$Q$2)/$Q$2))</f>
        <v>9750.98389607274</v>
      </c>
      <c r="N579" s="15" t="n">
        <f aca="false">M579*(1+IF(N$3&lt;=$O$2,$D579,$D579-($D579-$I$562)*MIN(N$3-$O$2,$Q$2)/$Q$2))</f>
        <v>10124.4465792923</v>
      </c>
      <c r="O579" s="15" t="n">
        <f aca="false">SUMPRODUCT(E579:N579,1/(1+$F$562)^$E$3:$N$3)*$E$2</f>
        <v>34350.3526171324</v>
      </c>
      <c r="P579" s="15" t="n">
        <f aca="false">N579*$E$2*(1+$I$562)/($F$562-$I$562)/(1+$F$562)^$N$3</f>
        <v>67209.7123621886</v>
      </c>
      <c r="Q579" s="15" t="n">
        <f aca="false">O579+P579</f>
        <v>101560.064979321</v>
      </c>
      <c r="R579" s="15" t="n">
        <f aca="false">Q579-$G$2+$I$2</f>
        <v>99970.064979321</v>
      </c>
      <c r="S579" s="42" t="n">
        <f aca="false">R579/$K$2</f>
        <v>278.018980419715</v>
      </c>
      <c r="T579" s="43" t="n">
        <f aca="false">S579-$M$2</f>
        <v>0.000180708941059038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0.042449951171875</v>
      </c>
      <c r="C580" s="25" t="n">
        <f aca="false">IF(T579&gt;0,D579,C579)</f>
        <v>0.0424728393554688</v>
      </c>
      <c r="D580" s="41" t="n">
        <f aca="false">(B580+C580)/2</f>
        <v>0.0424613952636719</v>
      </c>
      <c r="E580" s="15" t="n">
        <f aca="false">$C$2*(1+IF(E$3&lt;=$O$2,$D580,$D580-($D580-$I$562)*MIN(E$3-$O$2,$Q$2)/$Q$2))</f>
        <v>7047.03903198242</v>
      </c>
      <c r="F580" s="15" t="n">
        <f aca="false">E580*(1+IF(F$3&lt;=$O$2,$D580,$D580-($D580-$I$562)*MIN(F$3-$O$2,$Q$2)/$Q$2))</f>
        <v>7346.26614175795</v>
      </c>
      <c r="G580" s="15" t="n">
        <f aca="false">F580*(1+IF(G$3&lt;=$O$2,$D580,$D580-($D580-$I$562)*MIN(G$3-$O$2,$Q$2)/$Q$2))</f>
        <v>7658.19885211527</v>
      </c>
      <c r="H580" s="15" t="n">
        <f aca="false">G580*(1+IF(H$3&lt;=$O$2,$D580,$D580-($D580-$I$562)*MIN(H$3-$O$2,$Q$2)/$Q$2))</f>
        <v>7983.37666058273</v>
      </c>
      <c r="I580" s="15" t="n">
        <f aca="false">H580*(1+IF(I$3&lt;=$O$2,$D580,$D580-($D580-$I$562)*MIN(I$3-$O$2,$Q$2)/$Q$2))</f>
        <v>8322.36197250651</v>
      </c>
      <c r="J580" s="15" t="n">
        <f aca="false">I580*(1+IF(J$3&lt;=$O$2,$D580,$D580-($D580-$I$562)*MIN(J$3-$O$2,$Q$2)/$Q$2))</f>
        <v>8668.81454620947</v>
      </c>
      <c r="K580" s="15" t="n">
        <f aca="false">J580*(1+IF(K$3&lt;=$O$2,$D580,$D580-($D580-$I$562)*MIN(K$3-$O$2,$Q$2)/$Q$2))</f>
        <v>9022.47476160583</v>
      </c>
      <c r="L580" s="15" t="n">
        <f aca="false">K580*(1+IF(L$3&lt;=$O$2,$D580,$D580-($D580-$I$562)*MIN(L$3-$O$2,$Q$2)/$Q$2))</f>
        <v>9383.05397847116</v>
      </c>
      <c r="M580" s="15" t="n">
        <f aca="false">L580*(1+IF(M$3&lt;=$O$2,$D580,$D580-($D580-$I$562)*MIN(M$3-$O$2,$Q$2)/$Q$2))</f>
        <v>9750.23426512356</v>
      </c>
      <c r="N580" s="15" t="n">
        <f aca="false">M580*(1+IF(N$3&lt;=$O$2,$D580,$D580-($D580-$I$562)*MIN(N$3-$O$2,$Q$2)/$Q$2))</f>
        <v>10123.6682374778</v>
      </c>
      <c r="O580" s="15" t="n">
        <f aca="false">SUMPRODUCT(E580:N580,1/(1+$F$562)^$E$3:$N$3)*$E$2</f>
        <v>34348.6273639689</v>
      </c>
      <c r="P580" s="15" t="n">
        <f aca="false">N580*$E$2*(1+$I$562)/($F$562-$I$562)/(1+$F$562)^$N$3</f>
        <v>67204.5454496996</v>
      </c>
      <c r="Q580" s="15" t="n">
        <f aca="false">O580+P580</f>
        <v>101553.172813669</v>
      </c>
      <c r="R580" s="15" t="n">
        <f aca="false">Q580-$G$2+$I$2</f>
        <v>99963.1728136686</v>
      </c>
      <c r="S580" s="42" t="n">
        <f aca="false">R580/$K$2</f>
        <v>277.999813153314</v>
      </c>
      <c r="T580" s="43" t="n">
        <f aca="false">S580-$M$2</f>
        <v>-0.0189865574598684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0.0424613952636719</v>
      </c>
      <c r="C581" s="25" t="n">
        <f aca="false">IF(T580&gt;0,D580,C580)</f>
        <v>0.0424728393554688</v>
      </c>
      <c r="D581" s="41" t="n">
        <f aca="false">(B581+C581)/2</f>
        <v>0.0424671173095703</v>
      </c>
      <c r="E581" s="15" t="n">
        <f aca="false">$C$2*(1+IF(E$3&lt;=$O$2,$D581,$D581-($D581-$I$562)*MIN(E$3-$O$2,$Q$2)/$Q$2))</f>
        <v>7047.0777130127</v>
      </c>
      <c r="F581" s="15" t="n">
        <f aca="false">E581*(1+IF(F$3&lt;=$O$2,$D581,$D581-($D581-$I$562)*MIN(F$3-$O$2,$Q$2)/$Q$2))</f>
        <v>7346.34678894086</v>
      </c>
      <c r="G581" s="15" t="n">
        <f aca="false">F581*(1+IF(G$3&lt;=$O$2,$D581,$D581-($D581-$I$562)*MIN(G$3-$O$2,$Q$2)/$Q$2))</f>
        <v>7658.3249598236</v>
      </c>
      <c r="H581" s="15" t="n">
        <f aca="false">G581*(1+IF(H$3&lt;=$O$2,$D581,$D581-($D581-$I$562)*MIN(H$3-$O$2,$Q$2)/$Q$2))</f>
        <v>7983.55194428724</v>
      </c>
      <c r="I581" s="15" t="n">
        <f aca="false">H581*(1+IF(I$3&lt;=$O$2,$D581,$D581-($D581-$I$562)*MIN(I$3-$O$2,$Q$2)/$Q$2))</f>
        <v>8322.59038125233</v>
      </c>
      <c r="J581" s="15" t="n">
        <f aca="false">I581*(1+IF(J$3&lt;=$O$2,$D581,$D581-($D581-$I$562)*MIN(J$3-$O$2,$Q$2)/$Q$2))</f>
        <v>8669.09056120484</v>
      </c>
      <c r="K581" s="15" t="n">
        <f aca="false">J581*(1+IF(K$3&lt;=$O$2,$D581,$D581-($D581-$I$562)*MIN(K$3-$O$2,$Q$2)/$Q$2))</f>
        <v>9022.79180010049</v>
      </c>
      <c r="L581" s="15" t="n">
        <f aca="false">K581*(1+IF(L$3&lt;=$O$2,$D581,$D581-($D581-$I$562)*MIN(L$3-$O$2,$Q$2)/$Q$2))</f>
        <v>9383.40433880067</v>
      </c>
      <c r="M581" s="15" t="n">
        <f aca="false">L581*(1+IF(M$3&lt;=$O$2,$D581,$D581-($D581-$I$562)*MIN(M$3-$O$2,$Q$2)/$Q$2))</f>
        <v>9750.60907430532</v>
      </c>
      <c r="N581" s="15" t="n">
        <f aca="false">M581*(1+IF(N$3&lt;=$O$2,$D581,$D581-($D581-$I$562)*MIN(N$3-$O$2,$Q$2)/$Q$2))</f>
        <v>10124.0574018512</v>
      </c>
      <c r="O581" s="15" t="n">
        <f aca="false">SUMPRODUCT(E581:N581,1/(1+$F$562)^$E$3:$N$3)*$E$2</f>
        <v>34349.4899796319</v>
      </c>
      <c r="P581" s="15" t="n">
        <f aca="false">N581*$E$2*(1+$I$562)/($F$562-$I$562)/(1+$F$562)^$N$3</f>
        <v>67207.1288625701</v>
      </c>
      <c r="Q581" s="15" t="n">
        <f aca="false">O581+P581</f>
        <v>101556.618842202</v>
      </c>
      <c r="R581" s="15" t="n">
        <f aca="false">Q581-$G$2+$I$2</f>
        <v>99966.6188422021</v>
      </c>
      <c r="S581" s="42" t="n">
        <f aca="false">R581/$K$2</f>
        <v>278.009396635525</v>
      </c>
      <c r="T581" s="43" t="n">
        <f aca="false">S581-$M$2</f>
        <v>-0.00940307524871287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0.0424671173095703</v>
      </c>
      <c r="C582" s="25" t="n">
        <f aca="false">IF(T581&gt;0,D581,C581)</f>
        <v>0.0424728393554688</v>
      </c>
      <c r="D582" s="41" t="n">
        <f aca="false">(B582+C582)/2</f>
        <v>0.0424699783325195</v>
      </c>
      <c r="E582" s="15" t="n">
        <f aca="false">$C$2*(1+IF(E$3&lt;=$O$2,$D582,$D582-($D582-$I$562)*MIN(E$3-$O$2,$Q$2)/$Q$2))</f>
        <v>7047.09705352783</v>
      </c>
      <c r="F582" s="15" t="n">
        <f aca="false">E582*(1+IF(F$3&lt;=$O$2,$D582,$D582-($D582-$I$562)*MIN(F$3-$O$2,$Q$2)/$Q$2))</f>
        <v>7346.38711269832</v>
      </c>
      <c r="G582" s="15" t="n">
        <f aca="false">F582*(1+IF(G$3&lt;=$O$2,$D582,$D582-($D582-$I$562)*MIN(G$3-$O$2,$Q$2)/$Q$2))</f>
        <v>7658.38801419692</v>
      </c>
      <c r="H582" s="15" t="n">
        <f aca="false">G582*(1+IF(H$3&lt;=$O$2,$D582,$D582-($D582-$I$562)*MIN(H$3-$O$2,$Q$2)/$Q$2))</f>
        <v>7983.63958722189</v>
      </c>
      <c r="I582" s="15" t="n">
        <f aca="false">H582*(1+IF(I$3&lt;=$O$2,$D582,$D582-($D582-$I$562)*MIN(I$3-$O$2,$Q$2)/$Q$2))</f>
        <v>8322.70458750585</v>
      </c>
      <c r="J582" s="15" t="n">
        <f aca="false">I582*(1+IF(J$3&lt;=$O$2,$D582,$D582-($D582-$I$562)*MIN(J$3-$O$2,$Q$2)/$Q$2))</f>
        <v>8669.22857144561</v>
      </c>
      <c r="K582" s="15" t="n">
        <f aca="false">J582*(1+IF(K$3&lt;=$O$2,$D582,$D582-($D582-$I$562)*MIN(K$3-$O$2,$Q$2)/$Q$2))</f>
        <v>9022.95032291353</v>
      </c>
      <c r="L582" s="15" t="n">
        <f aca="false">K582*(1+IF(L$3&lt;=$O$2,$D582,$D582-($D582-$I$562)*MIN(L$3-$O$2,$Q$2)/$Q$2))</f>
        <v>9383.5795232179</v>
      </c>
      <c r="M582" s="15" t="n">
        <f aca="false">L582*(1+IF(M$3&lt;=$O$2,$D582,$D582-($D582-$I$562)*MIN(M$3-$O$2,$Q$2)/$Q$2))</f>
        <v>9750.7964836158</v>
      </c>
      <c r="N582" s="15" t="n">
        <f aca="false">M582*(1+IF(N$3&lt;=$O$2,$D582,$D582-($D582-$I$562)*MIN(N$3-$O$2,$Q$2)/$Q$2))</f>
        <v>10124.2519889383</v>
      </c>
      <c r="O582" s="15" t="n">
        <f aca="false">SUMPRODUCT(E582:N582,1/(1+$F$562)^$E$3:$N$3)*$E$2</f>
        <v>34349.9212956525</v>
      </c>
      <c r="P582" s="15" t="n">
        <f aca="false">N582*$E$2*(1+$I$562)/($F$562-$I$562)/(1+$F$562)^$N$3</f>
        <v>67208.4206015357</v>
      </c>
      <c r="Q582" s="15" t="n">
        <f aca="false">O582+P582</f>
        <v>101558.341897188</v>
      </c>
      <c r="R582" s="15" t="n">
        <f aca="false">Q582-$G$2+$I$2</f>
        <v>99968.3418971882</v>
      </c>
      <c r="S582" s="42" t="n">
        <f aca="false">R582/$K$2</f>
        <v>278.014188489872</v>
      </c>
      <c r="T582" s="43" t="n">
        <f aca="false">S582-$M$2</f>
        <v>-0.00461122090172239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0.0424699783325195</v>
      </c>
      <c r="C583" s="25" t="n">
        <f aca="false">IF(T582&gt;0,D582,C582)</f>
        <v>0.0424728393554688</v>
      </c>
      <c r="D583" s="41" t="n">
        <f aca="false">(B583+C583)/2</f>
        <v>0.0424714088439941</v>
      </c>
      <c r="E583" s="15" t="n">
        <f aca="false">$C$2*(1+IF(E$3&lt;=$O$2,$D583,$D583-($D583-$I$562)*MIN(E$3-$O$2,$Q$2)/$Q$2))</f>
        <v>7047.1067237854</v>
      </c>
      <c r="F583" s="15" t="n">
        <f aca="false">E583*(1+IF(F$3&lt;=$O$2,$D583,$D583-($D583-$I$562)*MIN(F$3-$O$2,$Q$2)/$Q$2))</f>
        <v>7346.40727461855</v>
      </c>
      <c r="G583" s="15" t="n">
        <f aca="false">F583*(1+IF(G$3&lt;=$O$2,$D583,$D583-($D583-$I$562)*MIN(G$3-$O$2,$Q$2)/$Q$2))</f>
        <v>7658.41954151337</v>
      </c>
      <c r="H583" s="15" t="n">
        <f aca="false">G583*(1+IF(H$3&lt;=$O$2,$D583,$D583-($D583-$I$562)*MIN(H$3-$O$2,$Q$2)/$Q$2))</f>
        <v>7983.68340895982</v>
      </c>
      <c r="I583" s="15" t="n">
        <f aca="false">H583*(1+IF(I$3&lt;=$O$2,$D583,$D583-($D583-$I$562)*MIN(I$3-$O$2,$Q$2)/$Q$2))</f>
        <v>8322.76169110276</v>
      </c>
      <c r="J583" s="15" t="n">
        <f aca="false">I583*(1+IF(J$3&lt;=$O$2,$D583,$D583-($D583-$I$562)*MIN(J$3-$O$2,$Q$2)/$Q$2))</f>
        <v>8669.29757725178</v>
      </c>
      <c r="K583" s="15" t="n">
        <f aca="false">J583*(1+IF(K$3&lt;=$O$2,$D583,$D583-($D583-$I$562)*MIN(K$3-$O$2,$Q$2)/$Q$2))</f>
        <v>9023.0295852115</v>
      </c>
      <c r="L583" s="15" t="n">
        <f aca="false">K583*(1+IF(L$3&lt;=$O$2,$D583,$D583-($D583-$I$562)*MIN(L$3-$O$2,$Q$2)/$Q$2))</f>
        <v>9383.66711648965</v>
      </c>
      <c r="M583" s="15" t="n">
        <f aca="false">L583*(1+IF(M$3&lt;=$O$2,$D583,$D583-($D583-$I$562)*MIN(M$3-$O$2,$Q$2)/$Q$2))</f>
        <v>9750.89018945096</v>
      </c>
      <c r="N583" s="15" t="n">
        <f aca="false">M583*(1+IF(N$3&lt;=$O$2,$D583,$D583-($D583-$I$562)*MIN(N$3-$O$2,$Q$2)/$Q$2))</f>
        <v>10124.3492837069</v>
      </c>
      <c r="O583" s="15" t="n">
        <f aca="false">SUMPRODUCT(E583:N583,1/(1+$F$562)^$E$3:$N$3)*$E$2</f>
        <v>34350.13695571</v>
      </c>
      <c r="P583" s="15" t="n">
        <f aca="false">N583*$E$2*(1+$I$562)/($F$562-$I$562)/(1+$F$562)^$N$3</f>
        <v>67209.0664791512</v>
      </c>
      <c r="Q583" s="15" t="n">
        <f aca="false">O583+P583</f>
        <v>101559.203434861</v>
      </c>
      <c r="R583" s="15" t="n">
        <f aca="false">Q583-$G$2+$I$2</f>
        <v>99969.2034348612</v>
      </c>
      <c r="S583" s="42" t="n">
        <f aca="false">R583/$K$2</f>
        <v>278.016584445356</v>
      </c>
      <c r="T583" s="43" t="n">
        <f aca="false">S583-$M$2</f>
        <v>-0.00221526541730555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0.0424714088439941</v>
      </c>
      <c r="C584" s="25" t="n">
        <f aca="false">IF(T583&gt;0,D583,C583)</f>
        <v>0.0424728393554688</v>
      </c>
      <c r="D584" s="41" t="n">
        <f aca="false">(B584+C584)/2</f>
        <v>0.0424721240997314</v>
      </c>
      <c r="E584" s="15" t="n">
        <f aca="false">$C$2*(1+IF(E$3&lt;=$O$2,$D584,$D584-($D584-$I$562)*MIN(E$3-$O$2,$Q$2)/$Q$2))</f>
        <v>7047.11155891419</v>
      </c>
      <c r="F584" s="15" t="n">
        <f aca="false">E584*(1+IF(F$3&lt;=$O$2,$D584,$D584-($D584-$I$562)*MIN(F$3-$O$2,$Q$2)/$Q$2))</f>
        <v>7346.41735558904</v>
      </c>
      <c r="G584" s="15" t="n">
        <f aca="false">F584*(1+IF(G$3&lt;=$O$2,$D584,$D584-($D584-$I$562)*MIN(G$3-$O$2,$Q$2)/$Q$2))</f>
        <v>7658.43530520404</v>
      </c>
      <c r="H584" s="15" t="n">
        <f aca="false">G584*(1+IF(H$3&lt;=$O$2,$D584,$D584-($D584-$I$562)*MIN(H$3-$O$2,$Q$2)/$Q$2))</f>
        <v>7983.70531989643</v>
      </c>
      <c r="I584" s="15" t="n">
        <f aca="false">H584*(1+IF(I$3&lt;=$O$2,$D584,$D584-($D584-$I$562)*MIN(I$3-$O$2,$Q$2)/$Q$2))</f>
        <v>8322.79024301876</v>
      </c>
      <c r="J584" s="15" t="n">
        <f aca="false">I584*(1+IF(J$3&lt;=$O$2,$D584,$D584-($D584-$I$562)*MIN(J$3-$O$2,$Q$2)/$Q$2))</f>
        <v>8669.3320803263</v>
      </c>
      <c r="K584" s="15" t="n">
        <f aca="false">J584*(1+IF(K$3&lt;=$O$2,$D584,$D584-($D584-$I$562)*MIN(K$3-$O$2,$Q$2)/$Q$2))</f>
        <v>9023.06921658334</v>
      </c>
      <c r="L584" s="15" t="n">
        <f aca="false">K584*(1+IF(L$3&lt;=$O$2,$D584,$D584-($D584-$I$562)*MIN(L$3-$O$2,$Q$2)/$Q$2))</f>
        <v>9383.7109133913</v>
      </c>
      <c r="M584" s="15" t="n">
        <f aca="false">L584*(1+IF(M$3&lt;=$O$2,$D584,$D584-($D584-$I$562)*MIN(M$3-$O$2,$Q$2)/$Q$2))</f>
        <v>9750.93704266352</v>
      </c>
      <c r="N584" s="15" t="n">
        <f aca="false">M584*(1+IF(N$3&lt;=$O$2,$D584,$D584-($D584-$I$562)*MIN(N$3-$O$2,$Q$2)/$Q$2))</f>
        <v>10124.3979313975</v>
      </c>
      <c r="O584" s="15" t="n">
        <f aca="false">SUMPRODUCT(E584:N584,1/(1+$F$562)^$E$3:$N$3)*$E$2</f>
        <v>34350.2447862506</v>
      </c>
      <c r="P584" s="15" t="n">
        <f aca="false">N584*$E$2*(1+$I$562)/($F$562-$I$562)/(1+$F$562)^$N$3</f>
        <v>67209.3894199922</v>
      </c>
      <c r="Q584" s="15" t="n">
        <f aca="false">O584+P584</f>
        <v>101559.634206243</v>
      </c>
      <c r="R584" s="15" t="n">
        <f aca="false">Q584-$G$2+$I$2</f>
        <v>99969.6342062428</v>
      </c>
      <c r="S584" s="42" t="n">
        <f aca="false">R584/$K$2</f>
        <v>278.017782430176</v>
      </c>
      <c r="T584" s="43" t="n">
        <f aca="false">S584-$M$2</f>
        <v>-0.00101728059740935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0.0424721240997314</v>
      </c>
      <c r="C585" s="25" t="n">
        <f aca="false">IF(T584&gt;0,D584,C584)</f>
        <v>0.0424728393554688</v>
      </c>
      <c r="D585" s="41" t="n">
        <f aca="false">(B585+C585)/2</f>
        <v>0.0424724817276001</v>
      </c>
      <c r="E585" s="15" t="n">
        <f aca="false">$C$2*(1+IF(E$3&lt;=$O$2,$D585,$D585-($D585-$I$562)*MIN(E$3-$O$2,$Q$2)/$Q$2))</f>
        <v>7047.11397647858</v>
      </c>
      <c r="F585" s="15" t="n">
        <f aca="false">E585*(1+IF(F$3&lt;=$O$2,$D585,$D585-($D585-$I$562)*MIN(F$3-$O$2,$Q$2)/$Q$2))</f>
        <v>7346.42239607688</v>
      </c>
      <c r="G585" s="15" t="n">
        <f aca="false">F585*(1+IF(G$3&lt;=$O$2,$D585,$D585-($D585-$I$562)*MIN(G$3-$O$2,$Q$2)/$Q$2))</f>
        <v>7658.44318705749</v>
      </c>
      <c r="H585" s="15" t="n">
        <f aca="false">G585*(1+IF(H$3&lt;=$O$2,$D585,$D585-($D585-$I$562)*MIN(H$3-$O$2,$Q$2)/$Q$2))</f>
        <v>7983.71627538165</v>
      </c>
      <c r="I585" s="15" t="n">
        <f aca="false">H585*(1+IF(I$3&lt;=$O$2,$D585,$D585-($D585-$I$562)*MIN(I$3-$O$2,$Q$2)/$Q$2))</f>
        <v>8322.80451900614</v>
      </c>
      <c r="J585" s="15" t="n">
        <f aca="false">I585*(1+IF(J$3&lt;=$O$2,$D585,$D585-($D585-$I$562)*MIN(J$3-$O$2,$Q$2)/$Q$2))</f>
        <v>8669.34933190643</v>
      </c>
      <c r="K585" s="15" t="n">
        <f aca="false">J585*(1+IF(K$3&lt;=$O$2,$D585,$D585-($D585-$I$562)*MIN(K$3-$O$2,$Q$2)/$Q$2))</f>
        <v>9023.08903232498</v>
      </c>
      <c r="L585" s="15" t="n">
        <f aca="false">K585*(1+IF(L$3&lt;=$O$2,$D585,$D585-($D585-$I$562)*MIN(L$3-$O$2,$Q$2)/$Q$2))</f>
        <v>9383.73281190858</v>
      </c>
      <c r="M585" s="15" t="n">
        <f aca="false">L585*(1+IF(M$3&lt;=$O$2,$D585,$D585-($D585-$I$562)*MIN(M$3-$O$2,$Q$2)/$Q$2))</f>
        <v>9750.96046934355</v>
      </c>
      <c r="N585" s="15" t="n">
        <f aca="false">M585*(1+IF(N$3&lt;=$O$2,$D585,$D585-($D585-$I$562)*MIN(N$3-$O$2,$Q$2)/$Q$2))</f>
        <v>10124.4222553194</v>
      </c>
      <c r="O585" s="15" t="n">
        <f aca="false">SUMPRODUCT(E585:N585,1/(1+$F$562)^$E$3:$N$3)*$E$2</f>
        <v>34350.2987016489</v>
      </c>
      <c r="P585" s="15" t="n">
        <f aca="false">N585*$E$2*(1+$I$562)/($F$562-$I$562)/(1+$F$562)^$N$3</f>
        <v>67209.550890921</v>
      </c>
      <c r="Q585" s="15" t="n">
        <f aca="false">O585+P585</f>
        <v>101559.84959257</v>
      </c>
      <c r="R585" s="15" t="n">
        <f aca="false">Q585-$G$2+$I$2</f>
        <v>99969.8495925698</v>
      </c>
      <c r="S585" s="42" t="n">
        <f aca="false">R585/$K$2</f>
        <v>278.018381424356</v>
      </c>
      <c r="T585" s="43" t="n">
        <f aca="false">S585-$M$2</f>
        <v>-0.000418286417925629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0.0424724817276001</v>
      </c>
      <c r="C586" s="25" t="n">
        <f aca="false">IF(T585&gt;0,D585,C585)</f>
        <v>0.0424728393554688</v>
      </c>
      <c r="D586" s="41" t="n">
        <f aca="false">(B586+C586)/2</f>
        <v>0.0424726605415344</v>
      </c>
      <c r="E586" s="15" t="n">
        <f aca="false">$C$2*(1+IF(E$3&lt;=$O$2,$D586,$D586-($D586-$I$562)*MIN(E$3-$O$2,$Q$2)/$Q$2))</f>
        <v>7047.11518526077</v>
      </c>
      <c r="F586" s="15" t="n">
        <f aca="false">E586*(1+IF(F$3&lt;=$O$2,$D586,$D586-($D586-$I$562)*MIN(F$3-$O$2,$Q$2)/$Q$2))</f>
        <v>7346.42491632145</v>
      </c>
      <c r="G586" s="15" t="n">
        <f aca="false">F586*(1+IF(G$3&lt;=$O$2,$D586,$D586-($D586-$I$562)*MIN(G$3-$O$2,$Q$2)/$Q$2))</f>
        <v>7658.44712798624</v>
      </c>
      <c r="H586" s="15" t="n">
        <f aca="false">G586*(1+IF(H$3&lt;=$O$2,$D586,$D586-($D586-$I$562)*MIN(H$3-$O$2,$Q$2)/$Q$2))</f>
        <v>7983.72175312849</v>
      </c>
      <c r="I586" s="15" t="n">
        <f aca="false">H586*(1+IF(I$3&lt;=$O$2,$D586,$D586-($D586-$I$562)*MIN(I$3-$O$2,$Q$2)/$Q$2))</f>
        <v>8322.81165700718</v>
      </c>
      <c r="J586" s="15" t="n">
        <f aca="false">I586*(1+IF(J$3&lt;=$O$2,$D586,$D586-($D586-$I$562)*MIN(J$3-$O$2,$Q$2)/$Q$2))</f>
        <v>8669.3579577072</v>
      </c>
      <c r="K586" s="15" t="n">
        <f aca="false">J586*(1+IF(K$3&lt;=$O$2,$D586,$D586-($D586-$I$562)*MIN(K$3-$O$2,$Q$2)/$Q$2))</f>
        <v>9023.09894020973</v>
      </c>
      <c r="L586" s="15" t="n">
        <f aca="false">K586*(1+IF(L$3&lt;=$O$2,$D586,$D586-($D586-$I$562)*MIN(L$3-$O$2,$Q$2)/$Q$2))</f>
        <v>9383.74376118383</v>
      </c>
      <c r="M586" s="15" t="n">
        <f aca="false">L586*(1+IF(M$3&lt;=$O$2,$D586,$D586-($D586-$I$562)*MIN(M$3-$O$2,$Q$2)/$Q$2))</f>
        <v>9750.972182702</v>
      </c>
      <c r="N586" s="15" t="n">
        <f aca="false">M586*(1+IF(N$3&lt;=$O$2,$D586,$D586-($D586-$I$562)*MIN(N$3-$O$2,$Q$2)/$Q$2))</f>
        <v>10124.4344172995</v>
      </c>
      <c r="O586" s="15" t="n">
        <f aca="false">SUMPRODUCT(E586:N586,1/(1+$F$562)^$E$3:$N$3)*$E$2</f>
        <v>34350.32565938</v>
      </c>
      <c r="P586" s="15" t="n">
        <f aca="false">N586*$E$2*(1+$I$562)/($F$562-$I$562)/(1+$F$562)^$N$3</f>
        <v>67209.6316265124</v>
      </c>
      <c r="Q586" s="15" t="n">
        <f aca="false">O586+P586</f>
        <v>101559.957285892</v>
      </c>
      <c r="R586" s="15" t="n">
        <f aca="false">Q586-$G$2+$I$2</f>
        <v>99969.9572858924</v>
      </c>
      <c r="S586" s="42" t="n">
        <f aca="false">R586/$K$2</f>
        <v>278.018680921888</v>
      </c>
      <c r="T586" s="43" t="n">
        <f aca="false">S586-$M$2</f>
        <v>-0.000118788885913546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0.0424726605415344</v>
      </c>
      <c r="C587" s="25" t="n">
        <f aca="false">IF(T586&gt;0,D586,C586)</f>
        <v>0.0424728393554688</v>
      </c>
      <c r="D587" s="41" t="n">
        <f aca="false">(B587+C587)/2</f>
        <v>0.0424727499485016</v>
      </c>
      <c r="E587" s="15" t="n">
        <f aca="false">$C$2*(1+IF(E$3&lt;=$O$2,$D587,$D587-($D587-$I$562)*MIN(E$3-$O$2,$Q$2)/$Q$2))</f>
        <v>7047.11578965187</v>
      </c>
      <c r="F587" s="15" t="n">
        <f aca="false">E587*(1+IF(F$3&lt;=$O$2,$D587,$D587-($D587-$I$562)*MIN(F$3-$O$2,$Q$2)/$Q$2))</f>
        <v>7346.42617644389</v>
      </c>
      <c r="G587" s="15" t="n">
        <f aca="false">F587*(1+IF(G$3&lt;=$O$2,$D587,$D587-($D587-$I$562)*MIN(G$3-$O$2,$Q$2)/$Q$2))</f>
        <v>7658.44909845112</v>
      </c>
      <c r="H587" s="15" t="n">
        <f aca="false">G587*(1+IF(H$3&lt;=$O$2,$D587,$D587-($D587-$I$562)*MIN(H$3-$O$2,$Q$2)/$Q$2))</f>
        <v>7983.72449200296</v>
      </c>
      <c r="I587" s="15" t="n">
        <f aca="false">H587*(1+IF(I$3&lt;=$O$2,$D587,$D587-($D587-$I$562)*MIN(I$3-$O$2,$Q$2)/$Q$2))</f>
        <v>8322.81522600953</v>
      </c>
      <c r="J587" s="15" t="n">
        <f aca="false">I587*(1+IF(J$3&lt;=$O$2,$D587,$D587-($D587-$I$562)*MIN(J$3-$O$2,$Q$2)/$Q$2))</f>
        <v>8669.36227061027</v>
      </c>
      <c r="K587" s="15" t="n">
        <f aca="false">J587*(1+IF(K$3&lt;=$O$2,$D587,$D587-($D587-$I$562)*MIN(K$3-$O$2,$Q$2)/$Q$2))</f>
        <v>9023.10389415559</v>
      </c>
      <c r="L587" s="15" t="n">
        <f aca="false">K587*(1+IF(L$3&lt;=$O$2,$D587,$D587-($D587-$I$562)*MIN(L$3-$O$2,$Q$2)/$Q$2))</f>
        <v>9383.74923582561</v>
      </c>
      <c r="M587" s="15" t="n">
        <f aca="false">L587*(1+IF(M$3&lt;=$O$2,$D587,$D587-($D587-$I$562)*MIN(M$3-$O$2,$Q$2)/$Q$2))</f>
        <v>9750.97803938584</v>
      </c>
      <c r="N587" s="15" t="n">
        <f aca="false">M587*(1+IF(N$3&lt;=$O$2,$D587,$D587-($D587-$I$562)*MIN(N$3-$O$2,$Q$2)/$Q$2))</f>
        <v>10124.4404982943</v>
      </c>
      <c r="O587" s="15" t="n">
        <f aca="false">SUMPRODUCT(E587:N587,1/(1+$F$562)^$E$3:$N$3)*$E$2</f>
        <v>34350.3391382535</v>
      </c>
      <c r="P587" s="15" t="n">
        <f aca="false">N587*$E$2*(1+$I$562)/($F$562-$I$562)/(1+$F$562)^$N$3</f>
        <v>67209.67199434</v>
      </c>
      <c r="Q587" s="15" t="n">
        <f aca="false">O587+P587</f>
        <v>101560.011132593</v>
      </c>
      <c r="R587" s="15" t="n">
        <f aca="false">Q587-$G$2+$I$2</f>
        <v>99970.0111325935</v>
      </c>
      <c r="S587" s="42" t="n">
        <f aca="false">R587/$K$2</f>
        <v>278.018830670764</v>
      </c>
      <c r="T587" s="43" t="n">
        <f aca="false">S587-$M$2</f>
        <v>3.09599907382108E-005</v>
      </c>
    </row>
    <row r="589" customFormat="false" ht="15" hidden="false" customHeight="false" outlineLevel="0" collapsed="false">
      <c r="A589" s="38" t="s">
        <v>207</v>
      </c>
      <c r="E589" s="5" t="s">
        <v>11</v>
      </c>
      <c r="F589" s="12" t="n">
        <f aca="false">Sensitivity!$B$14</f>
        <v>0.0874202832668642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167</v>
      </c>
      <c r="B590" s="28" t="s">
        <v>168</v>
      </c>
      <c r="C590" s="28" t="s">
        <v>169</v>
      </c>
      <c r="D590" s="28" t="s">
        <v>170</v>
      </c>
      <c r="E590" s="28" t="s">
        <v>171</v>
      </c>
      <c r="F590" s="28" t="s">
        <v>172</v>
      </c>
      <c r="G590" s="28" t="s">
        <v>173</v>
      </c>
      <c r="H590" s="28" t="s">
        <v>174</v>
      </c>
      <c r="I590" s="28" t="s">
        <v>175</v>
      </c>
      <c r="J590" s="28" t="s">
        <v>176</v>
      </c>
      <c r="K590" s="28" t="s">
        <v>177</v>
      </c>
      <c r="L590" s="28" t="s">
        <v>178</v>
      </c>
      <c r="M590" s="28" t="s">
        <v>179</v>
      </c>
      <c r="N590" s="28" t="s">
        <v>180</v>
      </c>
      <c r="O590" s="28" t="s">
        <v>181</v>
      </c>
      <c r="P590" s="28" t="s">
        <v>182</v>
      </c>
      <c r="Q590" s="28" t="s">
        <v>183</v>
      </c>
      <c r="R590" s="28" t="s">
        <v>184</v>
      </c>
      <c r="S590" s="28" t="s">
        <v>185</v>
      </c>
      <c r="T590" s="28" t="s">
        <v>186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8450</v>
      </c>
      <c r="F591" s="15" t="n">
        <f aca="false">E591*(1+IF(F$3&lt;=$O$2,$D591,$D591-($D591-$I$589)*MIN(F$3-$O$2,$Q$2)/$Q$2))</f>
        <v>10562.5</v>
      </c>
      <c r="G591" s="15" t="n">
        <f aca="false">F591*(1+IF(G$3&lt;=$O$2,$D591,$D591-($D591-$I$589)*MIN(G$3-$O$2,$Q$2)/$Q$2))</f>
        <v>13203.125</v>
      </c>
      <c r="H591" s="15" t="n">
        <f aca="false">G591*(1+IF(H$3&lt;=$O$2,$D591,$D591-($D591-$I$589)*MIN(H$3-$O$2,$Q$2)/$Q$2))</f>
        <v>16503.90625</v>
      </c>
      <c r="I591" s="15" t="n">
        <f aca="false">H591*(1+IF(I$3&lt;=$O$2,$D591,$D591-($D591-$I$589)*MIN(I$3-$O$2,$Q$2)/$Q$2))</f>
        <v>20629.8828125</v>
      </c>
      <c r="J591" s="15" t="n">
        <f aca="false">I591*(1+IF(J$3&lt;=$O$2,$D591,$D591-($D591-$I$589)*MIN(J$3-$O$2,$Q$2)/$Q$2))</f>
        <v>24831.3647460938</v>
      </c>
      <c r="K591" s="15" t="n">
        <f aca="false">J591*(1+IF(K$3&lt;=$O$2,$D591,$D591-($D591-$I$589)*MIN(K$3-$O$2,$Q$2)/$Q$2))</f>
        <v>28737.8350479492</v>
      </c>
      <c r="L591" s="15" t="n">
        <f aca="false">K591*(1+IF(L$3&lt;=$O$2,$D591,$D591-($D591-$I$589)*MIN(L$3-$O$2,$Q$2)/$Q$2))</f>
        <v>31927.1599815706</v>
      </c>
      <c r="M591" s="15" t="n">
        <f aca="false">L591*(1+IF(M$3&lt;=$O$2,$D591,$D591-($D591-$I$589)*MIN(M$3-$O$2,$Q$2)/$Q$2))</f>
        <v>33990.9316027794</v>
      </c>
      <c r="N591" s="15" t="n">
        <f aca="false">M591*(1+IF(N$3&lt;=$O$2,$D591,$D591-($D591-$I$589)*MIN(N$3-$O$2,$Q$2)/$Q$2))</f>
        <v>34612.9656511102</v>
      </c>
      <c r="O591" s="15" t="n">
        <f aca="false">SUMPRODUCT(E591:N591,1/(1+$F$589)^$E$3:$N$3)*$E$2</f>
        <v>81355.5591739939</v>
      </c>
      <c r="P591" s="15" t="n">
        <f aca="false">N591*$E$2*(1+$I$589)/($F$589-$I$589)/(1+$F$589)^$N$3</f>
        <v>137363.121364763</v>
      </c>
      <c r="Q591" s="15" t="n">
        <f aca="false">O591+P591</f>
        <v>218718.680538757</v>
      </c>
      <c r="R591" s="15" t="n">
        <f aca="false">Q591-$G$2+$I$2</f>
        <v>217128.680538757</v>
      </c>
      <c r="S591" s="42" t="n">
        <f aca="false">R591/$K$2</f>
        <v>603.839703372704</v>
      </c>
      <c r="T591" s="43" t="n">
        <f aca="false">S591-$M$2</f>
        <v>325.82090366193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5915</v>
      </c>
      <c r="F592" s="15" t="n">
        <f aca="false">E592*(1+IF(F$3&lt;=$O$2,$D592,$D592-($D592-$I$589)*MIN(F$3-$O$2,$Q$2)/$Q$2))</f>
        <v>5175.625</v>
      </c>
      <c r="G592" s="15" t="n">
        <f aca="false">F592*(1+IF(G$3&lt;=$O$2,$D592,$D592-($D592-$I$589)*MIN(G$3-$O$2,$Q$2)/$Q$2))</f>
        <v>4528.671875</v>
      </c>
      <c r="H592" s="15" t="n">
        <f aca="false">G592*(1+IF(H$3&lt;=$O$2,$D592,$D592-($D592-$I$589)*MIN(H$3-$O$2,$Q$2)/$Q$2))</f>
        <v>3962.587890625</v>
      </c>
      <c r="I592" s="15" t="n">
        <f aca="false">H592*(1+IF(I$3&lt;=$O$2,$D592,$D592-($D592-$I$589)*MIN(I$3-$O$2,$Q$2)/$Q$2))</f>
        <v>3467.26440429688</v>
      </c>
      <c r="J592" s="15" t="n">
        <f aca="false">I592*(1+IF(J$3&lt;=$O$2,$D592,$D592-($D592-$I$589)*MIN(J$3-$O$2,$Q$2)/$Q$2))</f>
        <v>3133.22815158691</v>
      </c>
      <c r="K592" s="15" t="n">
        <f aca="false">J592*(1+IF(K$3&lt;=$O$2,$D592,$D592-($D592-$I$589)*MIN(K$3-$O$2,$Q$2)/$Q$2))</f>
        <v>2921.17127028751</v>
      </c>
      <c r="L592" s="15" t="n">
        <f aca="false">K592*(1+IF(L$3&lt;=$O$2,$D592,$D592-($D592-$I$589)*MIN(L$3-$O$2,$Q$2)/$Q$2))</f>
        <v>2807.18716732089</v>
      </c>
      <c r="M592" s="15" t="n">
        <f aca="false">L592*(1+IF(M$3&lt;=$O$2,$D592,$D592-($D592-$I$589)*MIN(M$3-$O$2,$Q$2)/$Q$2))</f>
        <v>2778.10470826745</v>
      </c>
      <c r="N592" s="15" t="n">
        <f aca="false">M592*(1+IF(N$3&lt;=$O$2,$D592,$D592-($D592-$I$589)*MIN(N$3-$O$2,$Q$2)/$Q$2))</f>
        <v>2828.94402442874</v>
      </c>
      <c r="O592" s="15" t="n">
        <f aca="false">SUMPRODUCT(E592:N592,1/(1+$F$589)^$E$3:$N$3)*$E$2</f>
        <v>16153.935916367</v>
      </c>
      <c r="P592" s="15" t="n">
        <f aca="false">N592*$E$2*(1+$I$589)/($F$589-$I$589)/(1+$F$589)^$N$3</f>
        <v>11226.7924476232</v>
      </c>
      <c r="Q592" s="15" t="n">
        <f aca="false">O592+P592</f>
        <v>27380.7283639903</v>
      </c>
      <c r="R592" s="15" t="n">
        <f aca="false">Q592-$G$2+$I$2</f>
        <v>25790.7283639903</v>
      </c>
      <c r="S592" s="42" t="n">
        <f aca="false">R592/$K$2</f>
        <v>71.7245908114752</v>
      </c>
      <c r="T592" s="43" t="n">
        <f aca="false">S592-$M$2</f>
        <v>-206.294208899298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7182.5</v>
      </c>
      <c r="F593" s="15" t="n">
        <f aca="false">E593*(1+IF(F$3&lt;=$O$2,$D593,$D593-($D593-$I$589)*MIN(F$3-$O$2,$Q$2)/$Q$2))</f>
        <v>7631.40625</v>
      </c>
      <c r="G593" s="15" t="n">
        <f aca="false">F593*(1+IF(G$3&lt;=$O$2,$D593,$D593-($D593-$I$589)*MIN(G$3-$O$2,$Q$2)/$Q$2))</f>
        <v>8108.369140625</v>
      </c>
      <c r="H593" s="15" t="n">
        <f aca="false">G593*(1+IF(H$3&lt;=$O$2,$D593,$D593-($D593-$I$589)*MIN(H$3-$O$2,$Q$2)/$Q$2))</f>
        <v>8615.14221191406</v>
      </c>
      <c r="I593" s="15" t="n">
        <f aca="false">H593*(1+IF(I$3&lt;=$O$2,$D593,$D593-($D593-$I$589)*MIN(I$3-$O$2,$Q$2)/$Q$2))</f>
        <v>9153.58860015869</v>
      </c>
      <c r="J593" s="15" t="n">
        <f aca="false">I593*(1+IF(J$3&lt;=$O$2,$D593,$D593-($D593-$I$589)*MIN(J$3-$O$2,$Q$2)/$Q$2))</f>
        <v>9644.77016444321</v>
      </c>
      <c r="K593" s="15" t="n">
        <f aca="false">J593*(1+IF(K$3&lt;=$O$2,$D593,$D593-($D593-$I$589)*MIN(K$3-$O$2,$Q$2)/$Q$2))</f>
        <v>10077.0487632136</v>
      </c>
      <c r="L593" s="15" t="n">
        <f aca="false">K593*(1+IF(L$3&lt;=$O$2,$D593,$D593-($D593-$I$589)*MIN(L$3-$O$2,$Q$2)/$Q$2))</f>
        <v>10439.620977714</v>
      </c>
      <c r="M593" s="15" t="n">
        <f aca="false">L593*(1+IF(M$3&lt;=$O$2,$D593,$D593-($D593-$I$589)*MIN(M$3-$O$2,$Q$2)/$Q$2))</f>
        <v>10722.9522910491</v>
      </c>
      <c r="N593" s="15" t="n">
        <f aca="false">M593*(1+IF(N$3&lt;=$O$2,$D593,$D593-($D593-$I$589)*MIN(N$3-$O$2,$Q$2)/$Q$2))</f>
        <v>10919.1823179753</v>
      </c>
      <c r="O593" s="15" t="n">
        <f aca="false">SUMPRODUCT(E593:N593,1/(1+$F$589)^$E$3:$N$3)*$E$2</f>
        <v>36177.361301705</v>
      </c>
      <c r="P593" s="15" t="n">
        <f aca="false">N593*$E$2*(1+$I$589)/($F$589-$I$589)/(1+$F$589)^$N$3</f>
        <v>43333.2694189384</v>
      </c>
      <c r="Q593" s="15" t="n">
        <f aca="false">O593+P593</f>
        <v>79510.6307206434</v>
      </c>
      <c r="R593" s="15" t="n">
        <f aca="false">Q593-$G$2+$I$2</f>
        <v>77920.6307206434</v>
      </c>
      <c r="S593" s="42" t="n">
        <f aca="false">R593/$K$2</f>
        <v>216.699011960185</v>
      </c>
      <c r="T593" s="43" t="n">
        <f aca="false">S593-$M$2</f>
        <v>-61.3197877505885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7816.25</v>
      </c>
      <c r="F594" s="15" t="n">
        <f aca="false">E594*(1+IF(F$3&lt;=$O$2,$D594,$D594-($D594-$I$589)*MIN(F$3-$O$2,$Q$2)/$Q$2))</f>
        <v>9037.5390625</v>
      </c>
      <c r="G594" s="15" t="n">
        <f aca="false">F594*(1+IF(G$3&lt;=$O$2,$D594,$D594-($D594-$I$589)*MIN(G$3-$O$2,$Q$2)/$Q$2))</f>
        <v>10449.6545410156</v>
      </c>
      <c r="H594" s="15" t="n">
        <f aca="false">G594*(1+IF(H$3&lt;=$O$2,$D594,$D594-($D594-$I$589)*MIN(H$3-$O$2,$Q$2)/$Q$2))</f>
        <v>12082.4130630493</v>
      </c>
      <c r="I594" s="15" t="n">
        <f aca="false">H594*(1+IF(I$3&lt;=$O$2,$D594,$D594-($D594-$I$589)*MIN(I$3-$O$2,$Q$2)/$Q$2))</f>
        <v>13970.2901041508</v>
      </c>
      <c r="J594" s="15" t="n">
        <f aca="false">I594*(1+IF(J$3&lt;=$O$2,$D594,$D594-($D594-$I$589)*MIN(J$3-$O$2,$Q$2)/$Q$2))</f>
        <v>15767.7076289508</v>
      </c>
      <c r="K594" s="15" t="n">
        <f aca="false">J594*(1+IF(K$3&lt;=$O$2,$D594,$D594-($D594-$I$589)*MIN(K$3-$O$2,$Q$2)/$Q$2))</f>
        <v>17361.3498390089</v>
      </c>
      <c r="L594" s="15" t="n">
        <f aca="false">K594*(1+IF(L$3&lt;=$O$2,$D594,$D594-($D594-$I$589)*MIN(L$3-$O$2,$Q$2)/$Q$2))</f>
        <v>18637.0618251792</v>
      </c>
      <c r="M594" s="15" t="n">
        <f aca="false">L594*(1+IF(M$3&lt;=$O$2,$D594,$D594-($D594-$I$589)*MIN(M$3-$O$2,$Q$2)/$Q$2))</f>
        <v>19492.3165923367</v>
      </c>
      <c r="N594" s="15" t="n">
        <f aca="false">M594*(1+IF(N$3&lt;=$O$2,$D594,$D594-($D594-$I$589)*MIN(N$3-$O$2,$Q$2)/$Q$2))</f>
        <v>19849.0259859765</v>
      </c>
      <c r="O594" s="15" t="n">
        <f aca="false">SUMPRODUCT(E594:N594,1/(1+$F$589)^$E$3:$N$3)*$E$2</f>
        <v>54346.8767927864</v>
      </c>
      <c r="P594" s="15" t="n">
        <f aca="false">N594*$E$2*(1+$I$589)/($F$589-$I$589)/(1+$F$589)^$N$3</f>
        <v>78771.7583337609</v>
      </c>
      <c r="Q594" s="15" t="n">
        <f aca="false">O594+P594</f>
        <v>133118.635126547</v>
      </c>
      <c r="R594" s="15" t="n">
        <f aca="false">Q594-$G$2+$I$2</f>
        <v>131528.635126547</v>
      </c>
      <c r="S594" s="42" t="n">
        <f aca="false">R594/$K$2</f>
        <v>365.784067875152</v>
      </c>
      <c r="T594" s="43" t="n">
        <f aca="false">S594-$M$2</f>
        <v>87.7652681643788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41" t="n">
        <f aca="false">(B595+C595)/2</f>
        <v>0.109375</v>
      </c>
      <c r="E595" s="15" t="n">
        <f aca="false">$C$2*(1+IF(E$3&lt;=$O$2,$D595,$D595-($D595-$I$589)*MIN(E$3-$O$2,$Q$2)/$Q$2))</f>
        <v>7499.375</v>
      </c>
      <c r="F595" s="15" t="n">
        <f aca="false">E595*(1+IF(F$3&lt;=$O$2,$D595,$D595-($D595-$I$589)*MIN(F$3-$O$2,$Q$2)/$Q$2))</f>
        <v>8319.619140625</v>
      </c>
      <c r="G595" s="15" t="n">
        <f aca="false">F595*(1+IF(G$3&lt;=$O$2,$D595,$D595-($D595-$I$589)*MIN(G$3-$O$2,$Q$2)/$Q$2))</f>
        <v>9229.57748413086</v>
      </c>
      <c r="H595" s="15" t="n">
        <f aca="false">G595*(1+IF(H$3&lt;=$O$2,$D595,$D595-($D595-$I$589)*MIN(H$3-$O$2,$Q$2)/$Q$2))</f>
        <v>10239.0625214577</v>
      </c>
      <c r="I595" s="15" t="n">
        <f aca="false">H595*(1+IF(I$3&lt;=$O$2,$D595,$D595-($D595-$I$589)*MIN(I$3-$O$2,$Q$2)/$Q$2))</f>
        <v>11358.9599847421</v>
      </c>
      <c r="J595" s="15" t="n">
        <f aca="false">I595*(1+IF(J$3&lt;=$O$2,$D595,$D595-($D595-$I$589)*MIN(J$3-$O$2,$Q$2)/$Q$2))</f>
        <v>12394.4427769512</v>
      </c>
      <c r="K595" s="15" t="n">
        <f aca="false">J595*(1+IF(K$3&lt;=$O$2,$D595,$D595-($D595-$I$589)*MIN(K$3-$O$2,$Q$2)/$Q$2))</f>
        <v>13298.5554053159</v>
      </c>
      <c r="L595" s="15" t="n">
        <f aca="false">K595*(1+IF(L$3&lt;=$O$2,$D595,$D595-($D595-$I$589)*MIN(L$3-$O$2,$Q$2)/$Q$2))</f>
        <v>14026.3853426488</v>
      </c>
      <c r="M595" s="15" t="n">
        <f aca="false">L595*(1+IF(M$3&lt;=$O$2,$D595,$D595-($D595-$I$589)*MIN(M$3-$O$2,$Q$2)/$Q$2))</f>
        <v>14538.5588034357</v>
      </c>
      <c r="N595" s="15" t="n">
        <f aca="false">M595*(1+IF(N$3&lt;=$O$2,$D595,$D595-($D595-$I$589)*MIN(N$3-$O$2,$Q$2)/$Q$2))</f>
        <v>14804.6144295385</v>
      </c>
      <c r="O595" s="15" t="n">
        <f aca="false">SUMPRODUCT(E595:N595,1/(1+$F$589)^$E$3:$N$3)*$E$2</f>
        <v>44349.3302707385</v>
      </c>
      <c r="P595" s="15" t="n">
        <f aca="false">N595*$E$2*(1+$I$589)/($F$589-$I$589)/(1+$F$589)^$N$3</f>
        <v>58752.7826751822</v>
      </c>
      <c r="Q595" s="15" t="n">
        <f aca="false">O595+P595</f>
        <v>103102.112945921</v>
      </c>
      <c r="R595" s="15" t="n">
        <f aca="false">Q595-$G$2+$I$2</f>
        <v>101512.112945921</v>
      </c>
      <c r="S595" s="42" t="n">
        <f aca="false">R595/$K$2</f>
        <v>282.307450208356</v>
      </c>
      <c r="T595" s="43" t="n">
        <f aca="false">S595-$M$2</f>
        <v>4.28865049758252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0.0625</v>
      </c>
      <c r="C596" s="25" t="n">
        <f aca="false">IF(T595&gt;0,D595,C595)</f>
        <v>0.109375</v>
      </c>
      <c r="D596" s="41" t="n">
        <f aca="false">(B596+C596)/2</f>
        <v>0.0859375</v>
      </c>
      <c r="E596" s="15" t="n">
        <f aca="false">$C$2*(1+IF(E$3&lt;=$O$2,$D596,$D596-($D596-$I$589)*MIN(E$3-$O$2,$Q$2)/$Q$2))</f>
        <v>7340.9375</v>
      </c>
      <c r="F596" s="15" t="n">
        <f aca="false">E596*(1+IF(F$3&lt;=$O$2,$D596,$D596-($D596-$I$589)*MIN(F$3-$O$2,$Q$2)/$Q$2))</f>
        <v>7971.79931640625</v>
      </c>
      <c r="G596" s="15" t="n">
        <f aca="false">F596*(1+IF(G$3&lt;=$O$2,$D596,$D596-($D596-$I$589)*MIN(G$3-$O$2,$Q$2)/$Q$2))</f>
        <v>8656.87582015991</v>
      </c>
      <c r="H596" s="15" t="n">
        <f aca="false">G596*(1+IF(H$3&lt;=$O$2,$D596,$D596-($D596-$I$589)*MIN(H$3-$O$2,$Q$2)/$Q$2))</f>
        <v>9400.82608595491</v>
      </c>
      <c r="I596" s="15" t="n">
        <f aca="false">H596*(1+IF(I$3&lt;=$O$2,$D596,$D596-($D596-$I$589)*MIN(I$3-$O$2,$Q$2)/$Q$2))</f>
        <v>10208.7095777167</v>
      </c>
      <c r="J596" s="15" t="n">
        <f aca="false">I596*(1+IF(J$3&lt;=$O$2,$D596,$D596-($D596-$I$589)*MIN(J$3-$O$2,$Q$2)/$Q$2))</f>
        <v>10947.9222382391</v>
      </c>
      <c r="K596" s="15" t="n">
        <f aca="false">J596*(1+IF(K$3&lt;=$O$2,$D596,$D596-($D596-$I$589)*MIN(K$3-$O$2,$Q$2)/$Q$2))</f>
        <v>11592.5632694322</v>
      </c>
      <c r="L596" s="15" t="n">
        <f aca="false">K596*(1+IF(L$3&lt;=$O$2,$D596,$D596-($D596-$I$589)*MIN(L$3-$O$2,$Q$2)/$Q$2))</f>
        <v>12118.3439765173</v>
      </c>
      <c r="M596" s="15" t="n">
        <f aca="false">L596*(1+IF(M$3&lt;=$O$2,$D596,$D596-($D596-$I$589)*MIN(M$3-$O$2,$Q$2)/$Q$2))</f>
        <v>12504.0405694299</v>
      </c>
      <c r="N596" s="15" t="n">
        <f aca="false">M596*(1+IF(N$3&lt;=$O$2,$D596,$D596-($D596-$I$589)*MIN(N$3-$O$2,$Q$2)/$Q$2))</f>
        <v>12732.8645118505</v>
      </c>
      <c r="O596" s="15" t="n">
        <f aca="false">SUMPRODUCT(E596:N596,1/(1+$F$589)^$E$3:$N$3)*$E$2</f>
        <v>40055.9561754049</v>
      </c>
      <c r="P596" s="15" t="n">
        <f aca="false">N596*$E$2*(1+$I$589)/($F$589-$I$589)/(1+$F$589)^$N$3</f>
        <v>50530.9493237921</v>
      </c>
      <c r="Q596" s="15" t="n">
        <f aca="false">O596+P596</f>
        <v>90586.9054991969</v>
      </c>
      <c r="R596" s="15" t="n">
        <f aca="false">Q596-$G$2+$I$2</f>
        <v>88996.9054991969</v>
      </c>
      <c r="S596" s="42" t="n">
        <f aca="false">R596/$K$2</f>
        <v>247.502379162348</v>
      </c>
      <c r="T596" s="43" t="n">
        <f aca="false">S596-$M$2</f>
        <v>-30.5164205484261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0.0859375</v>
      </c>
      <c r="C597" s="25" t="n">
        <f aca="false">IF(T596&gt;0,D596,C596)</f>
        <v>0.109375</v>
      </c>
      <c r="D597" s="41" t="n">
        <f aca="false">(B597+C597)/2</f>
        <v>0.09765625</v>
      </c>
      <c r="E597" s="15" t="n">
        <f aca="false">$C$2*(1+IF(E$3&lt;=$O$2,$D597,$D597-($D597-$I$589)*MIN(E$3-$O$2,$Q$2)/$Q$2))</f>
        <v>7420.15625</v>
      </c>
      <c r="F597" s="15" t="n">
        <f aca="false">E597*(1+IF(F$3&lt;=$O$2,$D597,$D597-($D597-$I$589)*MIN(F$3-$O$2,$Q$2)/$Q$2))</f>
        <v>8144.78088378906</v>
      </c>
      <c r="G597" s="15" t="n">
        <f aca="false">F597*(1+IF(G$3&lt;=$O$2,$D597,$D597-($D597-$I$589)*MIN(G$3-$O$2,$Q$2)/$Q$2))</f>
        <v>8940.16964197159</v>
      </c>
      <c r="H597" s="15" t="n">
        <f aca="false">G597*(1+IF(H$3&lt;=$O$2,$D597,$D597-($D597-$I$589)*MIN(H$3-$O$2,$Q$2)/$Q$2))</f>
        <v>9813.23308357038</v>
      </c>
      <c r="I597" s="15" t="n">
        <f aca="false">H597*(1+IF(I$3&lt;=$O$2,$D597,$D597-($D597-$I$589)*MIN(I$3-$O$2,$Q$2)/$Q$2))</f>
        <v>10771.5566268878</v>
      </c>
      <c r="J597" s="15" t="n">
        <f aca="false">I597*(1+IF(J$3&lt;=$O$2,$D597,$D597-($D597-$I$589)*MIN(J$3-$O$2,$Q$2)/$Q$2))</f>
        <v>11652.5083856178</v>
      </c>
      <c r="K597" s="15" t="n">
        <f aca="false">J597*(1+IF(K$3&lt;=$O$2,$D597,$D597-($D597-$I$589)*MIN(K$3-$O$2,$Q$2)/$Q$2))</f>
        <v>12420.5689102203</v>
      </c>
      <c r="L597" s="15" t="n">
        <f aca="false">K597*(1+IF(L$3&lt;=$O$2,$D597,$D597-($D597-$I$589)*MIN(L$3-$O$2,$Q$2)/$Q$2))</f>
        <v>13042.12522991</v>
      </c>
      <c r="M597" s="15" t="n">
        <f aca="false">L597*(1+IF(M$3&lt;=$O$2,$D597,$D597-($D597-$I$589)*MIN(M$3-$O$2,$Q$2)/$Q$2))</f>
        <v>13487.7909516726</v>
      </c>
      <c r="N597" s="15" t="n">
        <f aca="false">M597*(1+IF(N$3&lt;=$O$2,$D597,$D597-($D597-$I$589)*MIN(N$3-$O$2,$Q$2)/$Q$2))</f>
        <v>13734.6175260882</v>
      </c>
      <c r="O597" s="15" t="n">
        <f aca="false">SUMPRODUCT(E597:N597,1/(1+$F$589)^$E$3:$N$3)*$E$2</f>
        <v>42148.3259636577</v>
      </c>
      <c r="P597" s="15" t="n">
        <f aca="false">N597*$E$2*(1+$I$589)/($F$589-$I$589)/(1+$F$589)^$N$3</f>
        <v>54506.4515173707</v>
      </c>
      <c r="Q597" s="15" t="n">
        <f aca="false">O597+P597</f>
        <v>96654.7774810283</v>
      </c>
      <c r="R597" s="15" t="n">
        <f aca="false">Q597-$G$2+$I$2</f>
        <v>95064.7774810283</v>
      </c>
      <c r="S597" s="42" t="n">
        <f aca="false">R597/$K$2</f>
        <v>264.377266480417</v>
      </c>
      <c r="T597" s="43" t="n">
        <f aca="false">S597-$M$2</f>
        <v>-13.6415332303567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0.09765625</v>
      </c>
      <c r="C598" s="25" t="n">
        <f aca="false">IF(T597&gt;0,D597,C597)</f>
        <v>0.109375</v>
      </c>
      <c r="D598" s="41" t="n">
        <f aca="false">(B598+C598)/2</f>
        <v>0.103515625</v>
      </c>
      <c r="E598" s="15" t="n">
        <f aca="false">$C$2*(1+IF(E$3&lt;=$O$2,$D598,$D598-($D598-$I$589)*MIN(E$3-$O$2,$Q$2)/$Q$2))</f>
        <v>7459.765625</v>
      </c>
      <c r="F598" s="15" t="n">
        <f aca="false">E598*(1+IF(F$3&lt;=$O$2,$D598,$D598-($D598-$I$589)*MIN(F$3-$O$2,$Q$2)/$Q$2))</f>
        <v>8231.96792602539</v>
      </c>
      <c r="G598" s="15" t="n">
        <f aca="false">F598*(1+IF(G$3&lt;=$O$2,$D598,$D598-($D598-$I$589)*MIN(G$3-$O$2,$Q$2)/$Q$2))</f>
        <v>9084.10523086786</v>
      </c>
      <c r="H598" s="15" t="n">
        <f aca="false">G598*(1+IF(H$3&lt;=$O$2,$D598,$D598-($D598-$I$589)*MIN(H$3-$O$2,$Q$2)/$Q$2))</f>
        <v>10024.4520614069</v>
      </c>
      <c r="I598" s="15" t="n">
        <f aca="false">H598*(1+IF(I$3&lt;=$O$2,$D598,$D598-($D598-$I$589)*MIN(I$3-$O$2,$Q$2)/$Q$2))</f>
        <v>11062.139481826</v>
      </c>
      <c r="J598" s="15" t="n">
        <f aca="false">I598*(1+IF(J$3&lt;=$O$2,$D598,$D598-($D598-$I$589)*MIN(J$3-$O$2,$Q$2)/$Q$2))</f>
        <v>12018.7103381682</v>
      </c>
      <c r="K598" s="15" t="n">
        <f aca="false">J598*(1+IF(K$3&lt;=$O$2,$D598,$D598-($D598-$I$589)*MIN(K$3-$O$2,$Q$2)/$Q$2))</f>
        <v>12853.1618852532</v>
      </c>
      <c r="L598" s="15" t="n">
        <f aca="false">K598*(1+IF(L$3&lt;=$O$2,$D598,$D598-($D598-$I$589)*MIN(L$3-$O$2,$Q$2)/$Q$2))</f>
        <v>13526.4908370646</v>
      </c>
      <c r="M598" s="15" t="n">
        <f aca="false">L598*(1+IF(M$3&lt;=$O$2,$D598,$D598-($D598-$I$589)*MIN(M$3-$O$2,$Q$2)/$Q$2))</f>
        <v>14004.5592935303</v>
      </c>
      <c r="N598" s="15" t="n">
        <f aca="false">M598*(1+IF(N$3&lt;=$O$2,$D598,$D598-($D598-$I$589)*MIN(N$3-$O$2,$Q$2)/$Q$2))</f>
        <v>14260.8427286019</v>
      </c>
      <c r="O598" s="15" t="n">
        <f aca="false">SUMPRODUCT(E598:N598,1/(1+$F$589)^$E$3:$N$3)*$E$2</f>
        <v>43234.9289446332</v>
      </c>
      <c r="P598" s="15" t="n">
        <f aca="false">N598*$E$2*(1+$I$589)/($F$589-$I$589)/(1+$F$589)^$N$3</f>
        <v>56594.8000595526</v>
      </c>
      <c r="Q598" s="15" t="n">
        <f aca="false">O598+P598</f>
        <v>99829.7290041859</v>
      </c>
      <c r="R598" s="15" t="n">
        <f aca="false">Q598-$G$2+$I$2</f>
        <v>98239.7290041859</v>
      </c>
      <c r="S598" s="42" t="n">
        <f aca="false">R598/$K$2</f>
        <v>273.206877479798</v>
      </c>
      <c r="T598" s="43" t="n">
        <f aca="false">S598-$M$2</f>
        <v>-4.81192223097543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0.103515625</v>
      </c>
      <c r="C599" s="25" t="n">
        <f aca="false">IF(T598&gt;0,D598,C598)</f>
        <v>0.109375</v>
      </c>
      <c r="D599" s="41" t="n">
        <f aca="false">(B599+C599)/2</f>
        <v>0.1064453125</v>
      </c>
      <c r="E599" s="15" t="n">
        <f aca="false">$C$2*(1+IF(E$3&lt;=$O$2,$D599,$D599-($D599-$I$589)*MIN(E$3-$O$2,$Q$2)/$Q$2))</f>
        <v>7479.5703125</v>
      </c>
      <c r="F599" s="15" t="n">
        <f aca="false">E599*(1+IF(F$3&lt;=$O$2,$D599,$D599-($D599-$I$589)*MIN(F$3-$O$2,$Q$2)/$Q$2))</f>
        <v>8275.73551177979</v>
      </c>
      <c r="G599" s="15" t="n">
        <f aca="false">F599*(1+IF(G$3&lt;=$O$2,$D599,$D599-($D599-$I$589)*MIN(G$3-$O$2,$Q$2)/$Q$2))</f>
        <v>9156.64876449853</v>
      </c>
      <c r="H599" s="15" t="n">
        <f aca="false">G599*(1+IF(H$3&lt;=$O$2,$D599,$D599-($D599-$I$589)*MIN(H$3-$O$2,$Q$2)/$Q$2))</f>
        <v>10131.3311036883</v>
      </c>
      <c r="I599" s="15" t="n">
        <f aca="false">H599*(1+IF(I$3&lt;=$O$2,$D599,$D599-($D599-$I$589)*MIN(I$3-$O$2,$Q$2)/$Q$2))</f>
        <v>11209.7638090614</v>
      </c>
      <c r="J599" s="15" t="n">
        <f aca="false">I599*(1+IF(J$3&lt;=$O$2,$D599,$D599-($D599-$I$589)*MIN(J$3-$O$2,$Q$2)/$Q$2))</f>
        <v>12205.3729939679</v>
      </c>
      <c r="K599" s="15" t="n">
        <f aca="false">J599*(1+IF(K$3&lt;=$O$2,$D599,$D599-($D599-$I$589)*MIN(K$3-$O$2,$Q$2)/$Q$2))</f>
        <v>13074.239169797</v>
      </c>
      <c r="L599" s="15" t="n">
        <f aca="false">K599*(1+IF(L$3&lt;=$O$2,$D599,$D599-($D599-$I$589)*MIN(L$3-$O$2,$Q$2)/$Q$2))</f>
        <v>13774.4709055329</v>
      </c>
      <c r="M599" s="15" t="n">
        <f aca="false">L599*(1+IF(M$3&lt;=$O$2,$D599,$D599-($D599-$I$589)*MIN(M$3-$O$2,$Q$2)/$Q$2))</f>
        <v>14269.3747316022</v>
      </c>
      <c r="N599" s="15" t="n">
        <f aca="false">M599*(1+IF(N$3&lt;=$O$2,$D599,$D599-($D599-$I$589)*MIN(N$3-$O$2,$Q$2)/$Q$2))</f>
        <v>14530.5042891905</v>
      </c>
      <c r="O599" s="15" t="n">
        <f aca="false">SUMPRODUCT(E599:N599,1/(1+$F$589)^$E$3:$N$3)*$E$2</f>
        <v>43788.6141193497</v>
      </c>
      <c r="P599" s="15" t="n">
        <f aca="false">N599*$E$2*(1+$I$589)/($F$589-$I$589)/(1+$F$589)^$N$3</f>
        <v>57664.96417227</v>
      </c>
      <c r="Q599" s="15" t="n">
        <f aca="false">O599+P599</f>
        <v>101453.57829162</v>
      </c>
      <c r="R599" s="15" t="n">
        <f aca="false">Q599-$G$2+$I$2</f>
        <v>99863.5782916198</v>
      </c>
      <c r="S599" s="42" t="n">
        <f aca="false">R599/$K$2</f>
        <v>277.72283856616</v>
      </c>
      <c r="T599" s="43" t="n">
        <f aca="false">S599-$M$2</f>
        <v>-0.295961144613841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0.1064453125</v>
      </c>
      <c r="C600" s="25" t="n">
        <f aca="false">IF(T599&gt;0,D599,C599)</f>
        <v>0.109375</v>
      </c>
      <c r="D600" s="41" t="n">
        <f aca="false">(B600+C600)/2</f>
        <v>0.10791015625</v>
      </c>
      <c r="E600" s="15" t="n">
        <f aca="false">$C$2*(1+IF(E$3&lt;=$O$2,$D600,$D600-($D600-$I$589)*MIN(E$3-$O$2,$Q$2)/$Q$2))</f>
        <v>7489.47265625</v>
      </c>
      <c r="F600" s="15" t="n">
        <f aca="false">E600*(1+IF(F$3&lt;=$O$2,$D600,$D600-($D600-$I$589)*MIN(F$3-$O$2,$Q$2)/$Q$2))</f>
        <v>8297.66282081604</v>
      </c>
      <c r="G600" s="15" t="n">
        <f aca="false">F600*(1+IF(G$3&lt;=$O$2,$D600,$D600-($D600-$I$589)*MIN(G$3-$O$2,$Q$2)/$Q$2))</f>
        <v>9193.06491232012</v>
      </c>
      <c r="H600" s="15" t="n">
        <f aca="false">G600*(1+IF(H$3&lt;=$O$2,$D600,$D600-($D600-$I$589)*MIN(H$3-$O$2,$Q$2)/$Q$2))</f>
        <v>10185.089983425</v>
      </c>
      <c r="I600" s="15" t="n">
        <f aca="false">H600*(1+IF(I$3&lt;=$O$2,$D600,$D600-($D600-$I$589)*MIN(I$3-$O$2,$Q$2)/$Q$2))</f>
        <v>11284.1646349567</v>
      </c>
      <c r="J600" s="15" t="n">
        <f aca="false">I600*(1+IF(J$3&lt;=$O$2,$D600,$D600-($D600-$I$589)*MIN(J$3-$O$2,$Q$2)/$Q$2))</f>
        <v>12299.6054526477</v>
      </c>
      <c r="K600" s="15" t="n">
        <f aca="false">J600*(1+IF(K$3&lt;=$O$2,$D600,$D600-($D600-$I$589)*MIN(K$3-$O$2,$Q$2)/$Q$2))</f>
        <v>13185.9899722863</v>
      </c>
      <c r="L600" s="15" t="n">
        <f aca="false">K600*(1+IF(L$3&lt;=$O$2,$D600,$D600-($D600-$I$589)*MIN(L$3-$O$2,$Q$2)/$Q$2))</f>
        <v>13899.9330374701</v>
      </c>
      <c r="M600" s="15" t="n">
        <f aca="false">L600*(1+IF(M$3&lt;=$O$2,$D600,$D600-($D600-$I$589)*MIN(M$3-$O$2,$Q$2)/$Q$2))</f>
        <v>14403.4168463262</v>
      </c>
      <c r="N600" s="15" t="n">
        <f aca="false">M600*(1+IF(N$3&lt;=$O$2,$D600,$D600-($D600-$I$589)*MIN(N$3-$O$2,$Q$2)/$Q$2))</f>
        <v>14666.999374614</v>
      </c>
      <c r="O600" s="15" t="n">
        <f aca="false">SUMPRODUCT(E600:N600,1/(1+$F$589)^$E$3:$N$3)*$E$2</f>
        <v>44068.0881909391</v>
      </c>
      <c r="P600" s="15" t="n">
        <f aca="false">N600*$E$2*(1+$I$589)/($F$589-$I$589)/(1+$F$589)^$N$3</f>
        <v>58206.6510988892</v>
      </c>
      <c r="Q600" s="15" t="n">
        <f aca="false">O600+P600</f>
        <v>102274.739289828</v>
      </c>
      <c r="R600" s="15" t="n">
        <f aca="false">Q600-$G$2+$I$2</f>
        <v>100684.739289828</v>
      </c>
      <c r="S600" s="42" t="n">
        <f aca="false">R600/$K$2</f>
        <v>280.006505617188</v>
      </c>
      <c r="T600" s="43" t="n">
        <f aca="false">S600-$M$2</f>
        <v>1.98770590641402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0.1064453125</v>
      </c>
      <c r="C601" s="25" t="n">
        <f aca="false">IF(T600&gt;0,D600,C600)</f>
        <v>0.10791015625</v>
      </c>
      <c r="D601" s="41" t="n">
        <f aca="false">(B601+C601)/2</f>
        <v>0.107177734375</v>
      </c>
      <c r="E601" s="15" t="n">
        <f aca="false">$C$2*(1+IF(E$3&lt;=$O$2,$D601,$D601-($D601-$I$589)*MIN(E$3-$O$2,$Q$2)/$Q$2))</f>
        <v>7484.521484375</v>
      </c>
      <c r="F601" s="15" t="n">
        <f aca="false">E601*(1+IF(F$3&lt;=$O$2,$D601,$D601-($D601-$I$589)*MIN(F$3-$O$2,$Q$2)/$Q$2))</f>
        <v>8286.69553995132</v>
      </c>
      <c r="G601" s="15" t="n">
        <f aca="false">F601*(1+IF(G$3&lt;=$O$2,$D601,$D601-($D601-$I$589)*MIN(G$3-$O$2,$Q$2)/$Q$2))</f>
        <v>9174.84479337873</v>
      </c>
      <c r="H601" s="15" t="n">
        <f aca="false">G601*(1+IF(H$3&lt;=$O$2,$D601,$D601-($D601-$I$589)*MIN(H$3-$O$2,$Q$2)/$Q$2))</f>
        <v>10158.1838715753</v>
      </c>
      <c r="I601" s="15" t="n">
        <f aca="false">H601*(1+IF(I$3&lt;=$O$2,$D601,$D601-($D601-$I$589)*MIN(I$3-$O$2,$Q$2)/$Q$2))</f>
        <v>11246.9150042954</v>
      </c>
      <c r="J601" s="15" t="n">
        <f aca="false">I601*(1+IF(J$3&lt;=$O$2,$D601,$D601-($D601-$I$589)*MIN(J$3-$O$2,$Q$2)/$Q$2))</f>
        <v>12252.413808306</v>
      </c>
      <c r="K601" s="15" t="n">
        <f aca="false">J601*(1+IF(K$3&lt;=$O$2,$D601,$D601-($D601-$I$589)*MIN(K$3-$O$2,$Q$2)/$Q$2))</f>
        <v>13130.0130489423</v>
      </c>
      <c r="L601" s="15" t="n">
        <f aca="false">K601*(1+IF(L$3&lt;=$O$2,$D601,$D601-($D601-$I$589)*MIN(L$3-$O$2,$Q$2)/$Q$2))</f>
        <v>13837.0786125797</v>
      </c>
      <c r="M601" s="15" t="n">
        <f aca="false">L601*(1+IF(M$3&lt;=$O$2,$D601,$D601-($D601-$I$589)*MIN(M$3-$O$2,$Q$2)/$Q$2))</f>
        <v>14336.2587906808</v>
      </c>
      <c r="N601" s="15" t="n">
        <f aca="false">M601*(1+IF(N$3&lt;=$O$2,$D601,$D601-($D601-$I$589)*MIN(N$3-$O$2,$Q$2)/$Q$2))</f>
        <v>14598.6123265503</v>
      </c>
      <c r="O601" s="15" t="n">
        <f aca="false">SUMPRODUCT(E601:N601,1/(1+$F$589)^$E$3:$N$3)*$E$2</f>
        <v>43928.1307976461</v>
      </c>
      <c r="P601" s="15" t="n">
        <f aca="false">N601*$E$2*(1+$I$589)/($F$589-$I$589)/(1+$F$589)^$N$3</f>
        <v>57935.2540022739</v>
      </c>
      <c r="Q601" s="15" t="n">
        <f aca="false">O601+P601</f>
        <v>101863.38479992</v>
      </c>
      <c r="R601" s="15" t="n">
        <f aca="false">Q601-$G$2+$I$2</f>
        <v>100273.38479992</v>
      </c>
      <c r="S601" s="42" t="n">
        <f aca="false">R601/$K$2</f>
        <v>278.862519605985</v>
      </c>
      <c r="T601" s="43" t="n">
        <f aca="false">S601-$M$2</f>
        <v>0.843719895211166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0.1064453125</v>
      </c>
      <c r="C602" s="25" t="n">
        <f aca="false">IF(T601&gt;0,D601,C601)</f>
        <v>0.107177734375</v>
      </c>
      <c r="D602" s="41" t="n">
        <f aca="false">(B602+C602)/2</f>
        <v>0.1068115234375</v>
      </c>
      <c r="E602" s="15" t="n">
        <f aca="false">$C$2*(1+IF(E$3&lt;=$O$2,$D602,$D602-($D602-$I$589)*MIN(E$3-$O$2,$Q$2)/$Q$2))</f>
        <v>7482.0458984375</v>
      </c>
      <c r="F602" s="15" t="n">
        <f aca="false">E602*(1+IF(F$3&lt;=$O$2,$D602,$D602-($D602-$I$589)*MIN(F$3-$O$2,$Q$2)/$Q$2))</f>
        <v>8281.21461927891</v>
      </c>
      <c r="G602" s="15" t="n">
        <f aca="false">F602*(1+IF(G$3&lt;=$O$2,$D602,$D602-($D602-$I$589)*MIN(G$3-$O$2,$Q$2)/$Q$2))</f>
        <v>9165.74376867698</v>
      </c>
      <c r="H602" s="15" t="n">
        <f aca="false">G602*(1+IF(H$3&lt;=$O$2,$D602,$D602-($D602-$I$589)*MIN(H$3-$O$2,$Q$2)/$Q$2))</f>
        <v>10144.7508240471</v>
      </c>
      <c r="I602" s="15" t="n">
        <f aca="false">H602*(1+IF(I$3&lt;=$O$2,$D602,$D602-($D602-$I$589)*MIN(I$3-$O$2,$Q$2)/$Q$2))</f>
        <v>11228.3271144575</v>
      </c>
      <c r="J602" s="15" t="n">
        <f aca="false">I602*(1+IF(J$3&lt;=$O$2,$D602,$D602-($D602-$I$589)*MIN(J$3-$O$2,$Q$2)/$Q$2))</f>
        <v>12228.8745714962</v>
      </c>
      <c r="K602" s="15" t="n">
        <f aca="false">J602*(1+IF(K$3&lt;=$O$2,$D602,$D602-($D602-$I$589)*MIN(K$3-$O$2,$Q$2)/$Q$2))</f>
        <v>13102.1007671041</v>
      </c>
      <c r="L602" s="15" t="n">
        <f aca="false">K602*(1+IF(L$3&lt;=$O$2,$D602,$D602-($D602-$I$589)*MIN(L$3-$O$2,$Q$2)/$Q$2))</f>
        <v>13805.7439707933</v>
      </c>
      <c r="M602" s="15" t="n">
        <f aca="false">L602*(1+IF(M$3&lt;=$O$2,$D602,$D602-($D602-$I$589)*MIN(M$3-$O$2,$Q$2)/$Q$2))</f>
        <v>14302.7825716675</v>
      </c>
      <c r="N602" s="15" t="n">
        <f aca="false">M602*(1+IF(N$3&lt;=$O$2,$D602,$D602-($D602-$I$589)*MIN(N$3-$O$2,$Q$2)/$Q$2))</f>
        <v>14564.523492729</v>
      </c>
      <c r="O602" s="15" t="n">
        <f aca="false">SUMPRODUCT(E602:N602,1/(1+$F$589)^$E$3:$N$3)*$E$2</f>
        <v>43858.3174493868</v>
      </c>
      <c r="P602" s="15" t="n">
        <f aca="false">N602*$E$2*(1+$I$589)/($F$589-$I$589)/(1+$F$589)^$N$3</f>
        <v>57799.9709218069</v>
      </c>
      <c r="Q602" s="15" t="n">
        <f aca="false">O602+P602</f>
        <v>101658.288371194</v>
      </c>
      <c r="R602" s="15" t="n">
        <f aca="false">Q602-$G$2+$I$2</f>
        <v>100068.288371194</v>
      </c>
      <c r="S602" s="42" t="n">
        <f aca="false">R602/$K$2</f>
        <v>278.292141863267</v>
      </c>
      <c r="T602" s="43" t="n">
        <f aca="false">S602-$M$2</f>
        <v>0.273342152493626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0.1064453125</v>
      </c>
      <c r="C603" s="25" t="n">
        <f aca="false">IF(T602&gt;0,D602,C602)</f>
        <v>0.1068115234375</v>
      </c>
      <c r="D603" s="41" t="n">
        <f aca="false">(B603+C603)/2</f>
        <v>0.10662841796875</v>
      </c>
      <c r="E603" s="15" t="n">
        <f aca="false">$C$2*(1+IF(E$3&lt;=$O$2,$D603,$D603-($D603-$I$589)*MIN(E$3-$O$2,$Q$2)/$Q$2))</f>
        <v>7480.80810546875</v>
      </c>
      <c r="F603" s="15" t="n">
        <f aca="false">E603*(1+IF(F$3&lt;=$O$2,$D603,$D603-($D603-$I$589)*MIN(F$3-$O$2,$Q$2)/$Q$2))</f>
        <v>8278.47483888269</v>
      </c>
      <c r="G603" s="15" t="n">
        <f aca="false">F603*(1+IF(G$3&lt;=$O$2,$D603,$D603-($D603-$I$589)*MIN(G$3-$O$2,$Q$2)/$Q$2))</f>
        <v>9161.19551414685</v>
      </c>
      <c r="H603" s="15" t="n">
        <f aca="false">G603*(1+IF(H$3&lt;=$O$2,$D603,$D603-($D603-$I$589)*MIN(H$3-$O$2,$Q$2)/$Q$2))</f>
        <v>10138.0392985227</v>
      </c>
      <c r="I603" s="15" t="n">
        <f aca="false">H603*(1+IF(I$3&lt;=$O$2,$D603,$D603-($D603-$I$589)*MIN(I$3-$O$2,$Q$2)/$Q$2))</f>
        <v>11219.0423902292</v>
      </c>
      <c r="J603" s="15" t="n">
        <f aca="false">I603*(1+IF(J$3&lt;=$O$2,$D603,$D603-($D603-$I$589)*MIN(J$3-$O$2,$Q$2)/$Q$2))</f>
        <v>12217.1190783331</v>
      </c>
      <c r="K603" s="15" t="n">
        <f aca="false">J603*(1+IF(K$3&lt;=$O$2,$D603,$D603-($D603-$I$589)*MIN(K$3-$O$2,$Q$2)/$Q$2))</f>
        <v>13088.1636376616</v>
      </c>
      <c r="L603" s="15" t="n">
        <f aca="false">K603*(1+IF(L$3&lt;=$O$2,$D603,$D603-($D603-$I$589)*MIN(L$3-$O$2,$Q$2)/$Q$2))</f>
        <v>13790.0997475231</v>
      </c>
      <c r="M603" s="15" t="n">
        <f aca="false">L603*(1+IF(M$3&lt;=$O$2,$D603,$D603-($D603-$I$589)*MIN(M$3-$O$2,$Q$2)/$Q$2))</f>
        <v>14286.0701117687</v>
      </c>
      <c r="N603" s="15" t="n">
        <f aca="false">M603*(1+IF(N$3&lt;=$O$2,$D603,$D603-($D603-$I$589)*MIN(N$3-$O$2,$Q$2)/$Q$2))</f>
        <v>14547.5051948141</v>
      </c>
      <c r="O603" s="15" t="n">
        <f aca="false">SUMPRODUCT(E603:N603,1/(1+$F$589)^$E$3:$N$3)*$E$2</f>
        <v>43823.4520421123</v>
      </c>
      <c r="P603" s="15" t="n">
        <f aca="false">N603*$E$2*(1+$I$589)/($F$589-$I$589)/(1+$F$589)^$N$3</f>
        <v>57732.4330359908</v>
      </c>
      <c r="Q603" s="15" t="n">
        <f aca="false">O603+P603</f>
        <v>101555.885078103</v>
      </c>
      <c r="R603" s="15" t="n">
        <f aca="false">Q603-$G$2+$I$2</f>
        <v>99965.8850781031</v>
      </c>
      <c r="S603" s="42" t="n">
        <f aca="false">R603/$K$2</f>
        <v>278.0073560212</v>
      </c>
      <c r="T603" s="43" t="n">
        <f aca="false">S603-$M$2</f>
        <v>-0.0114436895736389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0.10662841796875</v>
      </c>
      <c r="C604" s="25" t="n">
        <f aca="false">IF(T603&gt;0,D603,C603)</f>
        <v>0.1068115234375</v>
      </c>
      <c r="D604" s="41" t="n">
        <f aca="false">(B604+C604)/2</f>
        <v>0.106719970703125</v>
      </c>
      <c r="E604" s="15" t="n">
        <f aca="false">$C$2*(1+IF(E$3&lt;=$O$2,$D604,$D604-($D604-$I$589)*MIN(E$3-$O$2,$Q$2)/$Q$2))</f>
        <v>7481.42700195313</v>
      </c>
      <c r="F604" s="15" t="n">
        <f aca="false">E604*(1+IF(F$3&lt;=$O$2,$D604,$D604-($D604-$I$589)*MIN(F$3-$O$2,$Q$2)/$Q$2))</f>
        <v>8279.84467241913</v>
      </c>
      <c r="G604" s="15" t="n">
        <f aca="false">F604*(1+IF(G$3&lt;=$O$2,$D604,$D604-($D604-$I$589)*MIN(G$3-$O$2,$Q$2)/$Q$2))</f>
        <v>9163.46945328613</v>
      </c>
      <c r="H604" s="15" t="n">
        <f aca="false">G604*(1+IF(H$3&lt;=$O$2,$D604,$D604-($D604-$I$589)*MIN(H$3-$O$2,$Q$2)/$Q$2))</f>
        <v>10141.3946448798</v>
      </c>
      <c r="I604" s="15" t="n">
        <f aca="false">H604*(1+IF(I$3&lt;=$O$2,$D604,$D604-($D604-$I$589)*MIN(I$3-$O$2,$Q$2)/$Q$2))</f>
        <v>11223.6839842702</v>
      </c>
      <c r="J604" s="15" t="n">
        <f aca="false">I604*(1+IF(J$3&lt;=$O$2,$D604,$D604-($D604-$I$589)*MIN(J$3-$O$2,$Q$2)/$Q$2))</f>
        <v>12222.9956484386</v>
      </c>
      <c r="K604" s="15" t="n">
        <f aca="false">J604*(1+IF(K$3&lt;=$O$2,$D604,$D604-($D604-$I$589)*MIN(K$3-$O$2,$Q$2)/$Q$2))</f>
        <v>13095.1306190886</v>
      </c>
      <c r="L604" s="15" t="n">
        <f aca="false">K604*(1+IF(L$3&lt;=$O$2,$D604,$D604-($D604-$I$589)*MIN(L$3-$O$2,$Q$2)/$Q$2))</f>
        <v>13797.9199356953</v>
      </c>
      <c r="M604" s="15" t="n">
        <f aca="false">L604*(1+IF(M$3&lt;=$O$2,$D604,$D604-($D604-$I$589)*MIN(M$3-$O$2,$Q$2)/$Q$2))</f>
        <v>14294.4242058142</v>
      </c>
      <c r="N604" s="15" t="n">
        <f aca="false">M604*(1+IF(N$3&lt;=$O$2,$D604,$D604-($D604-$I$589)*MIN(N$3-$O$2,$Q$2)/$Q$2))</f>
        <v>14556.0121687806</v>
      </c>
      <c r="O604" s="15" t="n">
        <f aca="false">SUMPRODUCT(E604:N604,1/(1+$F$589)^$E$3:$N$3)*$E$2</f>
        <v>43840.8813089333</v>
      </c>
      <c r="P604" s="15" t="n">
        <f aca="false">N604*$E$2*(1+$I$589)/($F$589-$I$589)/(1+$F$589)^$N$3</f>
        <v>57766.1933473489</v>
      </c>
      <c r="Q604" s="15" t="n">
        <f aca="false">O604+P604</f>
        <v>101607.074656282</v>
      </c>
      <c r="R604" s="15" t="n">
        <f aca="false">Q604-$G$2+$I$2</f>
        <v>100017.074656282</v>
      </c>
      <c r="S604" s="42" t="n">
        <f aca="false">R604/$K$2</f>
        <v>278.149715379838</v>
      </c>
      <c r="T604" s="43" t="n">
        <f aca="false">S604-$M$2</f>
        <v>0.130915669064393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0.10662841796875</v>
      </c>
      <c r="C605" s="25" t="n">
        <f aca="false">IF(T604&gt;0,D604,C604)</f>
        <v>0.106719970703125</v>
      </c>
      <c r="D605" s="41" t="n">
        <f aca="false">(B605+C605)/2</f>
        <v>0.106674194335938</v>
      </c>
      <c r="E605" s="15" t="n">
        <f aca="false">$C$2*(1+IF(E$3&lt;=$O$2,$D605,$D605-($D605-$I$589)*MIN(E$3-$O$2,$Q$2)/$Q$2))</f>
        <v>7481.11755371094</v>
      </c>
      <c r="F605" s="15" t="n">
        <f aca="false">E605*(1+IF(F$3&lt;=$O$2,$D605,$D605-($D605-$I$589)*MIN(F$3-$O$2,$Q$2)/$Q$2))</f>
        <v>8279.15974148549</v>
      </c>
      <c r="G605" s="15" t="n">
        <f aca="false">F605*(1+IF(G$3&lt;=$O$2,$D605,$D605-($D605-$I$589)*MIN(G$3-$O$2,$Q$2)/$Q$2))</f>
        <v>9162.33243668699</v>
      </c>
      <c r="H605" s="15" t="n">
        <f aca="false">G605*(1+IF(H$3&lt;=$O$2,$D605,$D605-($D605-$I$589)*MIN(H$3-$O$2,$Q$2)/$Q$2))</f>
        <v>10139.7168676086</v>
      </c>
      <c r="I605" s="15" t="n">
        <f aca="false">H605*(1+IF(I$3&lt;=$O$2,$D605,$D605-($D605-$I$589)*MIN(I$3-$O$2,$Q$2)/$Q$2))</f>
        <v>11221.3629952553</v>
      </c>
      <c r="J605" s="15" t="n">
        <f aca="false">I605*(1+IF(J$3&lt;=$O$2,$D605,$D605-($D605-$I$589)*MIN(J$3-$O$2,$Q$2)/$Q$2))</f>
        <v>12220.0570693139</v>
      </c>
      <c r="K605" s="15" t="n">
        <f aca="false">J605*(1+IF(K$3&lt;=$O$2,$D605,$D605-($D605-$I$589)*MIN(K$3-$O$2,$Q$2)/$Q$2))</f>
        <v>13091.6467326262</v>
      </c>
      <c r="L605" s="15" t="n">
        <f aca="false">K605*(1+IF(L$3&lt;=$O$2,$D605,$D605-($D605-$I$589)*MIN(L$3-$O$2,$Q$2)/$Q$2))</f>
        <v>13794.0093608439</v>
      </c>
      <c r="M605" s="15" t="n">
        <f aca="false">L605*(1+IF(M$3&lt;=$O$2,$D605,$D605-($D605-$I$589)*MIN(M$3-$O$2,$Q$2)/$Q$2))</f>
        <v>14290.2466249327</v>
      </c>
      <c r="N605" s="15" t="n">
        <f aca="false">M605*(1+IF(N$3&lt;=$O$2,$D605,$D605-($D605-$I$589)*MIN(N$3-$O$2,$Q$2)/$Q$2))</f>
        <v>14551.758138169</v>
      </c>
      <c r="O605" s="15" t="n">
        <f aca="false">SUMPRODUCT(E605:N605,1/(1+$F$589)^$E$3:$N$3)*$E$2</f>
        <v>43832.1658164753</v>
      </c>
      <c r="P605" s="15" t="n">
        <f aca="false">N605*$E$2*(1+$I$589)/($F$589-$I$589)/(1+$F$589)^$N$3</f>
        <v>57749.311034256</v>
      </c>
      <c r="Q605" s="15" t="n">
        <f aca="false">O605+P605</f>
        <v>101581.476850731</v>
      </c>
      <c r="R605" s="15" t="n">
        <f aca="false">Q605-$G$2+$I$2</f>
        <v>99991.4768507313</v>
      </c>
      <c r="S605" s="42" t="n">
        <f aca="false">R605/$K$2</f>
        <v>278.078527311673</v>
      </c>
      <c r="T605" s="43" t="n">
        <f aca="false">S605-$M$2</f>
        <v>0.0597276008990093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0.10662841796875</v>
      </c>
      <c r="C606" s="25" t="n">
        <f aca="false">IF(T605&gt;0,D605,C605)</f>
        <v>0.106674194335938</v>
      </c>
      <c r="D606" s="41" t="n">
        <f aca="false">(B606+C606)/2</f>
        <v>0.106651306152344</v>
      </c>
      <c r="E606" s="15" t="n">
        <f aca="false">$C$2*(1+IF(E$3&lt;=$O$2,$D606,$D606-($D606-$I$589)*MIN(E$3-$O$2,$Q$2)/$Q$2))</f>
        <v>7480.96282958984</v>
      </c>
      <c r="F606" s="15" t="n">
        <f aca="false">E606*(1+IF(F$3&lt;=$O$2,$D606,$D606-($D606-$I$589)*MIN(F$3-$O$2,$Q$2)/$Q$2))</f>
        <v>8278.81728664273</v>
      </c>
      <c r="G606" s="15" t="n">
        <f aca="false">F606*(1+IF(G$3&lt;=$O$2,$D606,$D606-($D606-$I$589)*MIN(G$3-$O$2,$Q$2)/$Q$2))</f>
        <v>9161.76396365978</v>
      </c>
      <c r="H606" s="15" t="n">
        <f aca="false">G606*(1+IF(H$3&lt;=$O$2,$D606,$D606-($D606-$I$589)*MIN(H$3-$O$2,$Q$2)/$Q$2))</f>
        <v>10138.8780570436</v>
      </c>
      <c r="I606" s="15" t="n">
        <f aca="false">H606*(1+IF(I$3&lt;=$O$2,$D606,$D606-($D606-$I$589)*MIN(I$3-$O$2,$Q$2)/$Q$2))</f>
        <v>11220.2026447466</v>
      </c>
      <c r="J606" s="15" t="n">
        <f aca="false">I606*(1+IF(J$3&lt;=$O$2,$D606,$D606-($D606-$I$589)*MIN(J$3-$O$2,$Q$2)/$Q$2))</f>
        <v>12218.5880003113</v>
      </c>
      <c r="K606" s="15" t="n">
        <f aca="false">J606*(1+IF(K$3&lt;=$O$2,$D606,$D606-($D606-$I$589)*MIN(K$3-$O$2,$Q$2)/$Q$2))</f>
        <v>13089.905086216</v>
      </c>
      <c r="L606" s="15" t="n">
        <f aca="false">K606*(1+IF(L$3&lt;=$O$2,$D606,$D606-($D606-$I$589)*MIN(L$3-$O$2,$Q$2)/$Q$2))</f>
        <v>13792.0544340047</v>
      </c>
      <c r="M606" s="15" t="n">
        <f aca="false">L606*(1+IF(M$3&lt;=$O$2,$D606,$D606-($D606-$I$589)*MIN(M$3-$O$2,$Q$2)/$Q$2))</f>
        <v>14288.1582349007</v>
      </c>
      <c r="N606" s="15" t="n">
        <f aca="false">M606*(1+IF(N$3&lt;=$O$2,$D606,$D606-($D606-$I$589)*MIN(N$3-$O$2,$Q$2)/$Q$2))</f>
        <v>14549.6315305993</v>
      </c>
      <c r="O606" s="15" t="n">
        <f aca="false">SUMPRODUCT(E606:N606,1/(1+$F$589)^$E$3:$N$3)*$E$2</f>
        <v>43827.8087145515</v>
      </c>
      <c r="P606" s="15" t="n">
        <f aca="false">N606*$E$2*(1+$I$589)/($F$589-$I$589)/(1+$F$589)^$N$3</f>
        <v>57740.8714958291</v>
      </c>
      <c r="Q606" s="15" t="n">
        <f aca="false">O606+P606</f>
        <v>101568.680210381</v>
      </c>
      <c r="R606" s="15" t="n">
        <f aca="false">Q606-$G$2+$I$2</f>
        <v>99978.6802103806</v>
      </c>
      <c r="S606" s="42" t="n">
        <f aca="false">R606/$K$2</f>
        <v>278.042939569444</v>
      </c>
      <c r="T606" s="43" t="n">
        <f aca="false">S606-$M$2</f>
        <v>0.0241398586700825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0.10662841796875</v>
      </c>
      <c r="C607" s="25" t="n">
        <f aca="false">IF(T606&gt;0,D606,C606)</f>
        <v>0.106651306152344</v>
      </c>
      <c r="D607" s="41" t="n">
        <f aca="false">(B607+C607)/2</f>
        <v>0.106639862060547</v>
      </c>
      <c r="E607" s="15" t="n">
        <f aca="false">$C$2*(1+IF(E$3&lt;=$O$2,$D607,$D607-($D607-$I$589)*MIN(E$3-$O$2,$Q$2)/$Q$2))</f>
        <v>7480.8854675293</v>
      </c>
      <c r="F607" s="15" t="n">
        <f aca="false">E607*(1+IF(F$3&lt;=$O$2,$D607,$D607-($D607-$I$589)*MIN(F$3-$O$2,$Q$2)/$Q$2))</f>
        <v>8278.64606187737</v>
      </c>
      <c r="G607" s="15" t="n">
        <f aca="false">F607*(1+IF(G$3&lt;=$O$2,$D607,$D607-($D607-$I$589)*MIN(G$3-$O$2,$Q$2)/$Q$2))</f>
        <v>9161.47973596406</v>
      </c>
      <c r="H607" s="15" t="n">
        <f aca="false">G607*(1+IF(H$3&lt;=$O$2,$D607,$D607-($D607-$I$589)*MIN(H$3-$O$2,$Q$2)/$Q$2))</f>
        <v>10138.4586712778</v>
      </c>
      <c r="I607" s="15" t="n">
        <f aca="false">H607*(1+IF(I$3&lt;=$O$2,$D607,$D607-($D607-$I$589)*MIN(I$3-$O$2,$Q$2)/$Q$2))</f>
        <v>11219.6225054894</v>
      </c>
      <c r="J607" s="15" t="n">
        <f aca="false">I607*(1+IF(J$3&lt;=$O$2,$D607,$D607-($D607-$I$589)*MIN(J$3-$O$2,$Q$2)/$Q$2))</f>
        <v>12217.8535209449</v>
      </c>
      <c r="K607" s="15" t="n">
        <f aca="false">J607*(1+IF(K$3&lt;=$O$2,$D607,$D607-($D607-$I$589)*MIN(K$3-$O$2,$Q$2)/$Q$2))</f>
        <v>13089.0343372079</v>
      </c>
      <c r="L607" s="15" t="n">
        <f aca="false">K607*(1+IF(L$3&lt;=$O$2,$D607,$D607-($D607-$I$589)*MIN(L$3-$O$2,$Q$2)/$Q$2))</f>
        <v>13791.0770607207</v>
      </c>
      <c r="M607" s="15" t="n">
        <f aca="false">L607*(1+IF(M$3&lt;=$O$2,$D607,$D607-($D607-$I$589)*MIN(M$3-$O$2,$Q$2)/$Q$2))</f>
        <v>14287.114139974</v>
      </c>
      <c r="N607" s="15" t="n">
        <f aca="false">M607*(1+IF(N$3&lt;=$O$2,$D607,$D607-($D607-$I$589)*MIN(N$3-$O$2,$Q$2)/$Q$2))</f>
        <v>14548.5683287355</v>
      </c>
      <c r="O607" s="15" t="n">
        <f aca="false">SUMPRODUCT(E607:N607,1/(1+$F$589)^$E$3:$N$3)*$E$2</f>
        <v>43825.6303246488</v>
      </c>
      <c r="P607" s="15" t="n">
        <f aca="false">N607*$E$2*(1+$I$589)/($F$589-$I$589)/(1+$F$589)^$N$3</f>
        <v>57736.6521310938</v>
      </c>
      <c r="Q607" s="15" t="n">
        <f aca="false">O607+P607</f>
        <v>101562.282455743</v>
      </c>
      <c r="R607" s="15" t="n">
        <f aca="false">Q607-$G$2+$I$2</f>
        <v>99972.2824557425</v>
      </c>
      <c r="S607" s="42" t="n">
        <f aca="false">R607/$K$2</f>
        <v>278.025147271101</v>
      </c>
      <c r="T607" s="43" t="n">
        <f aca="false">S607-$M$2</f>
        <v>0.00634756032741279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0.10662841796875</v>
      </c>
      <c r="C608" s="25" t="n">
        <f aca="false">IF(T607&gt;0,D607,C607)</f>
        <v>0.106639862060547</v>
      </c>
      <c r="D608" s="41" t="n">
        <f aca="false">(B608+C608)/2</f>
        <v>0.106634140014648</v>
      </c>
      <c r="E608" s="15" t="n">
        <f aca="false">$C$2*(1+IF(E$3&lt;=$O$2,$D608,$D608-($D608-$I$589)*MIN(E$3-$O$2,$Q$2)/$Q$2))</f>
        <v>7480.84678649902</v>
      </c>
      <c r="F608" s="15" t="n">
        <f aca="false">E608*(1+IF(F$3&lt;=$O$2,$D608,$D608-($D608-$I$589)*MIN(F$3-$O$2,$Q$2)/$Q$2))</f>
        <v>8278.56045015869</v>
      </c>
      <c r="G608" s="15" t="n">
        <f aca="false">F608*(1+IF(G$3&lt;=$O$2,$D608,$D608-($D608-$I$589)*MIN(G$3-$O$2,$Q$2)/$Q$2))</f>
        <v>9161.33762432065</v>
      </c>
      <c r="H608" s="15" t="n">
        <f aca="false">G608*(1+IF(H$3&lt;=$O$2,$D608,$D608-($D608-$I$589)*MIN(H$3-$O$2,$Q$2)/$Q$2))</f>
        <v>10138.2489832739</v>
      </c>
      <c r="I608" s="15" t="n">
        <f aca="false">H608*(1+IF(I$3&lt;=$O$2,$D608,$D608-($D608-$I$589)*MIN(I$3-$O$2,$Q$2)/$Q$2))</f>
        <v>11219.3324448597</v>
      </c>
      <c r="J608" s="15" t="n">
        <f aca="false">I608*(1+IF(J$3&lt;=$O$2,$D608,$D608-($D608-$I$589)*MIN(J$3-$O$2,$Q$2)/$Q$2))</f>
        <v>12217.4862950448</v>
      </c>
      <c r="K608" s="15" t="n">
        <f aca="false">J608*(1+IF(K$3&lt;=$O$2,$D608,$D608-($D608-$I$589)*MIN(K$3-$O$2,$Q$2)/$Q$2))</f>
        <v>13088.5989812522</v>
      </c>
      <c r="L608" s="15" t="n">
        <f aca="false">K608*(1+IF(L$3&lt;=$O$2,$D608,$D608-($D608-$I$589)*MIN(L$3-$O$2,$Q$2)/$Q$2))</f>
        <v>13790.5883966113</v>
      </c>
      <c r="M608" s="15" t="n">
        <f aca="false">L608*(1+IF(M$3&lt;=$O$2,$D608,$D608-($D608-$I$589)*MIN(M$3-$O$2,$Q$2)/$Q$2))</f>
        <v>14286.5921175314</v>
      </c>
      <c r="N608" s="15" t="n">
        <f aca="false">M608*(1+IF(N$3&lt;=$O$2,$D608,$D608-($D608-$I$589)*MIN(N$3-$O$2,$Q$2)/$Q$2))</f>
        <v>14548.0367532823</v>
      </c>
      <c r="O608" s="15" t="n">
        <f aca="false">SUMPRODUCT(E608:N608,1/(1+$F$589)^$E$3:$N$3)*$E$2</f>
        <v>43824.5411699601</v>
      </c>
      <c r="P608" s="15" t="n">
        <f aca="false">N608*$E$2*(1+$I$589)/($F$589-$I$589)/(1+$F$589)^$N$3</f>
        <v>57734.5425498391</v>
      </c>
      <c r="Q608" s="15" t="n">
        <f aca="false">O608+P608</f>
        <v>101559.083719799</v>
      </c>
      <c r="R608" s="15" t="n">
        <f aca="false">Q608-$G$2+$I$2</f>
        <v>99969.0837197992</v>
      </c>
      <c r="S608" s="42" t="n">
        <f aca="false">R608/$K$2</f>
        <v>278.016251515099</v>
      </c>
      <c r="T608" s="43" t="n">
        <f aca="false">S608-$M$2</f>
        <v>-0.00254819567498998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0.106634140014648</v>
      </c>
      <c r="C609" s="25" t="n">
        <f aca="false">IF(T608&gt;0,D608,C608)</f>
        <v>0.106639862060547</v>
      </c>
      <c r="D609" s="41" t="n">
        <f aca="false">(B609+C609)/2</f>
        <v>0.106637001037598</v>
      </c>
      <c r="E609" s="15" t="n">
        <f aca="false">$C$2*(1+IF(E$3&lt;=$O$2,$D609,$D609-($D609-$I$589)*MIN(E$3-$O$2,$Q$2)/$Q$2))</f>
        <v>7480.86612701416</v>
      </c>
      <c r="F609" s="15" t="n">
        <f aca="false">E609*(1+IF(F$3&lt;=$O$2,$D609,$D609-($D609-$I$589)*MIN(F$3-$O$2,$Q$2)/$Q$2))</f>
        <v>8278.6032559627</v>
      </c>
      <c r="G609" s="15" t="n">
        <f aca="false">F609*(1+IF(G$3&lt;=$O$2,$D609,$D609-($D609-$I$589)*MIN(G$3-$O$2,$Q$2)/$Q$2))</f>
        <v>9161.40867995865</v>
      </c>
      <c r="H609" s="15" t="n">
        <f aca="false">G609*(1+IF(H$3&lt;=$O$2,$D609,$D609-($D609-$I$589)*MIN(H$3-$O$2,$Q$2)/$Q$2))</f>
        <v>10138.3538268693</v>
      </c>
      <c r="I609" s="15" t="n">
        <f aca="false">H609*(1+IF(I$3&lt;=$O$2,$D609,$D609-($D609-$I$589)*MIN(I$3-$O$2,$Q$2)/$Q$2))</f>
        <v>11219.4774744246</v>
      </c>
      <c r="J609" s="15" t="n">
        <f aca="false">I609*(1+IF(J$3&lt;=$O$2,$D609,$D609-($D609-$I$589)*MIN(J$3-$O$2,$Q$2)/$Q$2))</f>
        <v>12217.6699068463</v>
      </c>
      <c r="K609" s="15" t="n">
        <f aca="false">J609*(1+IF(K$3&lt;=$O$2,$D609,$D609-($D609-$I$589)*MIN(K$3-$O$2,$Q$2)/$Q$2))</f>
        <v>13088.8166576844</v>
      </c>
      <c r="L609" s="15" t="n">
        <f aca="false">K609*(1+IF(L$3&lt;=$O$2,$D609,$D609-($D609-$I$589)*MIN(L$3-$O$2,$Q$2)/$Q$2))</f>
        <v>13790.8327267884</v>
      </c>
      <c r="M609" s="15" t="n">
        <f aca="false">L609*(1+IF(M$3&lt;=$O$2,$D609,$D609-($D609-$I$589)*MIN(M$3-$O$2,$Q$2)/$Q$2))</f>
        <v>14286.8531266677</v>
      </c>
      <c r="N609" s="15" t="n">
        <f aca="false">M609*(1+IF(N$3&lt;=$O$2,$D609,$D609-($D609-$I$589)*MIN(N$3-$O$2,$Q$2)/$Q$2))</f>
        <v>14548.3025388857</v>
      </c>
      <c r="O609" s="15" t="n">
        <f aca="false">SUMPRODUCT(E609:N609,1/(1+$F$589)^$E$3:$N$3)*$E$2</f>
        <v>43825.0857439493</v>
      </c>
      <c r="P609" s="15" t="n">
        <f aca="false">N609*$E$2*(1+$I$589)/($F$589-$I$589)/(1+$F$589)^$N$3</f>
        <v>57735.5973320405</v>
      </c>
      <c r="Q609" s="15" t="n">
        <f aca="false">O609+P609</f>
        <v>101560.68307599</v>
      </c>
      <c r="R609" s="15" t="n">
        <f aca="false">Q609-$G$2+$I$2</f>
        <v>99970.6830759898</v>
      </c>
      <c r="S609" s="42" t="n">
        <f aca="false">R609/$K$2</f>
        <v>278.020699360337</v>
      </c>
      <c r="T609" s="43" t="n">
        <f aca="false">S609-$M$2</f>
        <v>0.00189964956280164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0.106634140014648</v>
      </c>
      <c r="C610" s="25" t="n">
        <f aca="false">IF(T609&gt;0,D609,C609)</f>
        <v>0.106637001037598</v>
      </c>
      <c r="D610" s="41" t="n">
        <f aca="false">(B610+C610)/2</f>
        <v>0.106635570526123</v>
      </c>
      <c r="E610" s="15" t="n">
        <f aca="false">$C$2*(1+IF(E$3&lt;=$O$2,$D610,$D610-($D610-$I$589)*MIN(E$3-$O$2,$Q$2)/$Q$2))</f>
        <v>7480.85645675659</v>
      </c>
      <c r="F610" s="15" t="n">
        <f aca="false">E610*(1+IF(F$3&lt;=$O$2,$D610,$D610-($D610-$I$589)*MIN(F$3-$O$2,$Q$2)/$Q$2))</f>
        <v>8278.58185304686</v>
      </c>
      <c r="G610" s="15" t="n">
        <f aca="false">F610*(1+IF(G$3&lt;=$O$2,$D610,$D610-($D610-$I$589)*MIN(G$3-$O$2,$Q$2)/$Q$2))</f>
        <v>9161.37315209372</v>
      </c>
      <c r="H610" s="15" t="n">
        <f aca="false">G610*(1+IF(H$3&lt;=$O$2,$D610,$D610-($D610-$I$589)*MIN(H$3-$O$2,$Q$2)/$Q$2))</f>
        <v>10138.3014049699</v>
      </c>
      <c r="I610" s="15" t="n">
        <f aca="false">H610*(1+IF(I$3&lt;=$O$2,$D610,$D610-($D610-$I$589)*MIN(I$3-$O$2,$Q$2)/$Q$2))</f>
        <v>11219.4049594547</v>
      </c>
      <c r="J610" s="15" t="n">
        <f aca="false">I610*(1+IF(J$3&lt;=$O$2,$D610,$D610-($D610-$I$589)*MIN(J$3-$O$2,$Q$2)/$Q$2))</f>
        <v>12217.5781006584</v>
      </c>
      <c r="K610" s="15" t="n">
        <f aca="false">J610*(1+IF(K$3&lt;=$O$2,$D610,$D610-($D610-$I$589)*MIN(K$3-$O$2,$Q$2)/$Q$2))</f>
        <v>13088.7078190819</v>
      </c>
      <c r="L610" s="15" t="n">
        <f aca="false">K610*(1+IF(L$3&lt;=$O$2,$D610,$D610-($D610-$I$589)*MIN(L$3-$O$2,$Q$2)/$Q$2))</f>
        <v>13790.7105612304</v>
      </c>
      <c r="M610" s="15" t="n">
        <f aca="false">L610*(1+IF(M$3&lt;=$O$2,$D610,$D610-($D610-$I$589)*MIN(M$3-$O$2,$Q$2)/$Q$2))</f>
        <v>14286.7226215783</v>
      </c>
      <c r="N610" s="15" t="n">
        <f aca="false">M610*(1+IF(N$3&lt;=$O$2,$D610,$D610-($D610-$I$589)*MIN(N$3-$O$2,$Q$2)/$Q$2))</f>
        <v>14548.1696455532</v>
      </c>
      <c r="O610" s="15" t="n">
        <f aca="false">SUMPRODUCT(E610:N610,1/(1+$F$589)^$E$3:$N$3)*$E$2</f>
        <v>43824.8134561159</v>
      </c>
      <c r="P610" s="15" t="n">
        <f aca="false">N610*$E$2*(1+$I$589)/($F$589-$I$589)/(1+$F$589)^$N$3</f>
        <v>57735.0699388334</v>
      </c>
      <c r="Q610" s="15" t="n">
        <f aca="false">O610+P610</f>
        <v>101559.883394949</v>
      </c>
      <c r="R610" s="15" t="n">
        <f aca="false">Q610-$G$2+$I$2</f>
        <v>99969.8833949493</v>
      </c>
      <c r="S610" s="42" t="n">
        <f aca="false">R610/$K$2</f>
        <v>278.018475429527</v>
      </c>
      <c r="T610" s="43" t="n">
        <f aca="false">S610-$M$2</f>
        <v>-0.000324281246832925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0.106635570526123</v>
      </c>
      <c r="C611" s="25" t="n">
        <f aca="false">IF(T610&gt;0,D610,C610)</f>
        <v>0.106637001037598</v>
      </c>
      <c r="D611" s="41" t="n">
        <f aca="false">(B611+C611)/2</f>
        <v>0.10663628578186</v>
      </c>
      <c r="E611" s="15" t="n">
        <f aca="false">$C$2*(1+IF(E$3&lt;=$O$2,$D611,$D611-($D611-$I$589)*MIN(E$3-$O$2,$Q$2)/$Q$2))</f>
        <v>7480.86129188538</v>
      </c>
      <c r="F611" s="15" t="n">
        <f aca="false">E611*(1+IF(F$3&lt;=$O$2,$D611,$D611-($D611-$I$589)*MIN(F$3-$O$2,$Q$2)/$Q$2))</f>
        <v>8278.59255450132</v>
      </c>
      <c r="G611" s="15" t="n">
        <f aca="false">F611*(1+IF(G$3&lt;=$O$2,$D611,$D611-($D611-$I$589)*MIN(G$3-$O$2,$Q$2)/$Q$2))</f>
        <v>9161.39091601471</v>
      </c>
      <c r="H611" s="15" t="n">
        <f aca="false">G611*(1+IF(H$3&lt;=$O$2,$D611,$D611-($D611-$I$589)*MIN(H$3-$O$2,$Q$2)/$Q$2))</f>
        <v>10138.3276158942</v>
      </c>
      <c r="I611" s="15" t="n">
        <f aca="false">H611*(1+IF(I$3&lt;=$O$2,$D611,$D611-($D611-$I$589)*MIN(I$3-$O$2,$Q$2)/$Q$2))</f>
        <v>11219.4412168928</v>
      </c>
      <c r="J611" s="15" t="n">
        <f aca="false">I611*(1+IF(J$3&lt;=$O$2,$D611,$D611-($D611-$I$589)*MIN(J$3-$O$2,$Q$2)/$Q$2))</f>
        <v>12217.6240036805</v>
      </c>
      <c r="K611" s="15" t="n">
        <f aca="false">J611*(1+IF(K$3&lt;=$O$2,$D611,$D611-($D611-$I$589)*MIN(K$3-$O$2,$Q$2)/$Q$2))</f>
        <v>13088.7622382865</v>
      </c>
      <c r="L611" s="15" t="n">
        <f aca="false">K611*(1+IF(L$3&lt;=$O$2,$D611,$D611-($D611-$I$589)*MIN(L$3-$O$2,$Q$2)/$Q$2))</f>
        <v>13790.771643892</v>
      </c>
      <c r="M611" s="15" t="n">
        <f aca="false">L611*(1+IF(M$3&lt;=$O$2,$D611,$D611-($D611-$I$589)*MIN(M$3-$O$2,$Q$2)/$Q$2))</f>
        <v>14286.7878739927</v>
      </c>
      <c r="N611" s="15" t="n">
        <f aca="false">M611*(1+IF(N$3&lt;=$O$2,$D611,$D611-($D611-$I$589)*MIN(N$3-$O$2,$Q$2)/$Q$2))</f>
        <v>14548.2360920868</v>
      </c>
      <c r="O611" s="15" t="n">
        <f aca="false">SUMPRODUCT(E611:N611,1/(1+$F$589)^$E$3:$N$3)*$E$2</f>
        <v>43824.9495998229</v>
      </c>
      <c r="P611" s="15" t="n">
        <f aca="false">N611*$E$2*(1+$I$589)/($F$589-$I$589)/(1+$F$589)^$N$3</f>
        <v>57735.3336349104</v>
      </c>
      <c r="Q611" s="15" t="n">
        <f aca="false">O611+P611</f>
        <v>101560.283234733</v>
      </c>
      <c r="R611" s="15" t="n">
        <f aca="false">Q611-$G$2+$I$2</f>
        <v>99970.2832347332</v>
      </c>
      <c r="S611" s="42" t="n">
        <f aca="false">R611/$K$2</f>
        <v>278.019587392884</v>
      </c>
      <c r="T611" s="43" t="n">
        <f aca="false">S611-$M$2</f>
        <v>0.000787682110342303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0.106635570526123</v>
      </c>
      <c r="C612" s="25" t="n">
        <f aca="false">IF(T611&gt;0,D611,C611)</f>
        <v>0.10663628578186</v>
      </c>
      <c r="D612" s="41" t="n">
        <f aca="false">(B612+C612)/2</f>
        <v>0.106635928153992</v>
      </c>
      <c r="E612" s="15" t="n">
        <f aca="false">$C$2*(1+IF(E$3&lt;=$O$2,$D612,$D612-($D612-$I$589)*MIN(E$3-$O$2,$Q$2)/$Q$2))</f>
        <v>7480.85887432098</v>
      </c>
      <c r="F612" s="15" t="n">
        <f aca="false">E612*(1+IF(F$3&lt;=$O$2,$D612,$D612-($D612-$I$589)*MIN(F$3-$O$2,$Q$2)/$Q$2))</f>
        <v>8278.58720377323</v>
      </c>
      <c r="G612" s="15" t="n">
        <f aca="false">F612*(1+IF(G$3&lt;=$O$2,$D612,$D612-($D612-$I$589)*MIN(G$3-$O$2,$Q$2)/$Q$2))</f>
        <v>9161.38203405135</v>
      </c>
      <c r="H612" s="15" t="n">
        <f aca="false">G612*(1+IF(H$3&lt;=$O$2,$D612,$D612-($D612-$I$589)*MIN(H$3-$O$2,$Q$2)/$Q$2))</f>
        <v>10138.3145104257</v>
      </c>
      <c r="I612" s="15" t="n">
        <f aca="false">H612*(1+IF(I$3&lt;=$O$2,$D612,$D612-($D612-$I$589)*MIN(I$3-$O$2,$Q$2)/$Q$2))</f>
        <v>11219.423088162</v>
      </c>
      <c r="J612" s="15" t="n">
        <f aca="false">I612*(1+IF(J$3&lt;=$O$2,$D612,$D612-($D612-$I$589)*MIN(J$3-$O$2,$Q$2)/$Q$2))</f>
        <v>12217.6010521515</v>
      </c>
      <c r="K612" s="15" t="n">
        <f aca="false">J612*(1+IF(K$3&lt;=$O$2,$D612,$D612-($D612-$I$589)*MIN(K$3-$O$2,$Q$2)/$Q$2))</f>
        <v>13088.7350286601</v>
      </c>
      <c r="L612" s="15" t="n">
        <f aca="false">K612*(1+IF(L$3&lt;=$O$2,$D612,$D612-($D612-$I$589)*MIN(L$3-$O$2,$Q$2)/$Q$2))</f>
        <v>13790.7411025319</v>
      </c>
      <c r="M612" s="15" t="n">
        <f aca="false">L612*(1+IF(M$3&lt;=$O$2,$D612,$D612-($D612-$I$589)*MIN(M$3-$O$2,$Q$2)/$Q$2))</f>
        <v>14286.7552477529</v>
      </c>
      <c r="N612" s="15" t="n">
        <f aca="false">M612*(1+IF(N$3&lt;=$O$2,$D612,$D612-($D612-$I$589)*MIN(N$3-$O$2,$Q$2)/$Q$2))</f>
        <v>14548.2028687868</v>
      </c>
      <c r="O612" s="15" t="n">
        <f aca="false">SUMPRODUCT(E612:N612,1/(1+$F$589)^$E$3:$N$3)*$E$2</f>
        <v>43824.8815279169</v>
      </c>
      <c r="P612" s="15" t="n">
        <f aca="false">N612*$E$2*(1+$I$589)/($F$589-$I$589)/(1+$F$589)^$N$3</f>
        <v>57735.2017867402</v>
      </c>
      <c r="Q612" s="15" t="n">
        <f aca="false">O612+P612</f>
        <v>101560.083314657</v>
      </c>
      <c r="R612" s="15" t="n">
        <f aca="false">Q612-$G$2+$I$2</f>
        <v>99970.0833146572</v>
      </c>
      <c r="S612" s="42" t="n">
        <f aca="false">R612/$K$2</f>
        <v>278.019031410694</v>
      </c>
      <c r="T612" s="43" t="n">
        <f aca="false">S612-$M$2</f>
        <v>0.000231699919879702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0.106635570526123</v>
      </c>
      <c r="C613" s="25" t="n">
        <f aca="false">IF(T612&gt;0,D612,C612)</f>
        <v>0.106635928153992</v>
      </c>
      <c r="D613" s="41" t="n">
        <f aca="false">(B613+C613)/2</f>
        <v>0.106635749340057</v>
      </c>
      <c r="E613" s="15" t="n">
        <f aca="false">$C$2*(1+IF(E$3&lt;=$O$2,$D613,$D613-($D613-$I$589)*MIN(E$3-$O$2,$Q$2)/$Q$2))</f>
        <v>7480.85766553879</v>
      </c>
      <c r="F613" s="15" t="n">
        <f aca="false">E613*(1+IF(F$3&lt;=$O$2,$D613,$D613-($D613-$I$589)*MIN(F$3-$O$2,$Q$2)/$Q$2))</f>
        <v>8278.58452840983</v>
      </c>
      <c r="G613" s="15" t="n">
        <f aca="false">F613*(1+IF(G$3&lt;=$O$2,$D613,$D613-($D613-$I$589)*MIN(G$3-$O$2,$Q$2)/$Q$2))</f>
        <v>9161.37759307182</v>
      </c>
      <c r="H613" s="15" t="n">
        <f aca="false">G613*(1+IF(H$3&lt;=$O$2,$D613,$D613-($D613-$I$589)*MIN(H$3-$O$2,$Q$2)/$Q$2))</f>
        <v>10138.3079576962</v>
      </c>
      <c r="I613" s="15" t="n">
        <f aca="false">H613*(1+IF(I$3&lt;=$O$2,$D613,$D613-($D613-$I$589)*MIN(I$3-$O$2,$Q$2)/$Q$2))</f>
        <v>11219.4140238054</v>
      </c>
      <c r="J613" s="15" t="n">
        <f aca="false">I613*(1+IF(J$3&lt;=$O$2,$D613,$D613-($D613-$I$589)*MIN(J$3-$O$2,$Q$2)/$Q$2))</f>
        <v>12217.5895764004</v>
      </c>
      <c r="K613" s="15" t="n">
        <f aca="false">J613*(1+IF(K$3&lt;=$O$2,$D613,$D613-($D613-$I$589)*MIN(K$3-$O$2,$Q$2)/$Q$2))</f>
        <v>13088.7214238649</v>
      </c>
      <c r="L613" s="15" t="n">
        <f aca="false">K613*(1+IF(L$3&lt;=$O$2,$D613,$D613-($D613-$I$589)*MIN(L$3-$O$2,$Q$2)/$Q$2))</f>
        <v>13790.7258318738</v>
      </c>
      <c r="M613" s="15" t="n">
        <f aca="false">L613*(1+IF(M$3&lt;=$O$2,$D613,$D613-($D613-$I$589)*MIN(M$3-$O$2,$Q$2)/$Q$2))</f>
        <v>14286.7389346575</v>
      </c>
      <c r="N613" s="15" t="n">
        <f aca="false">M613*(1+IF(N$3&lt;=$O$2,$D613,$D613-($D613-$I$589)*MIN(N$3-$O$2,$Q$2)/$Q$2))</f>
        <v>14548.1862571617</v>
      </c>
      <c r="O613" s="15" t="n">
        <f aca="false">SUMPRODUCT(E613:N613,1/(1+$F$589)^$E$3:$N$3)*$E$2</f>
        <v>43824.8474920033</v>
      </c>
      <c r="P613" s="15" t="n">
        <f aca="false">N613*$E$2*(1+$I$589)/($F$589-$I$589)/(1+$F$589)^$N$3</f>
        <v>57735.1358627539</v>
      </c>
      <c r="Q613" s="15" t="n">
        <f aca="false">O613+P613</f>
        <v>101559.983354757</v>
      </c>
      <c r="R613" s="15" t="n">
        <f aca="false">Q613-$G$2+$I$2</f>
        <v>99969.9833547572</v>
      </c>
      <c r="S613" s="42" t="n">
        <f aca="false">R613/$K$2</f>
        <v>278.018753419982</v>
      </c>
      <c r="T613" s="43" t="n">
        <f aca="false">S613-$M$2</f>
        <v>-4.62907914879906E-005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0.106635749340057</v>
      </c>
      <c r="C614" s="25" t="n">
        <f aca="false">IF(T613&gt;0,D613,C613)</f>
        <v>0.106635928153992</v>
      </c>
      <c r="D614" s="41" t="n">
        <f aca="false">(B614+C614)/2</f>
        <v>0.106635838747025</v>
      </c>
      <c r="E614" s="15" t="n">
        <f aca="false">$C$2*(1+IF(E$3&lt;=$O$2,$D614,$D614-($D614-$I$589)*MIN(E$3-$O$2,$Q$2)/$Q$2))</f>
        <v>7480.85826992989</v>
      </c>
      <c r="F614" s="15" t="n">
        <f aca="false">E614*(1+IF(F$3&lt;=$O$2,$D614,$D614-($D614-$I$589)*MIN(F$3-$O$2,$Q$2)/$Q$2))</f>
        <v>8278.58586609148</v>
      </c>
      <c r="G614" s="15" t="n">
        <f aca="false">F614*(1+IF(G$3&lt;=$O$2,$D614,$D614-($D614-$I$589)*MIN(G$3-$O$2,$Q$2)/$Q$2))</f>
        <v>9161.3798135614</v>
      </c>
      <c r="H614" s="15" t="n">
        <f aca="false">G614*(1+IF(H$3&lt;=$O$2,$D614,$D614-($D614-$I$589)*MIN(H$3-$O$2,$Q$2)/$Q$2))</f>
        <v>10138.3112340606</v>
      </c>
      <c r="I614" s="15" t="n">
        <f aca="false">H614*(1+IF(I$3&lt;=$O$2,$D614,$D614-($D614-$I$589)*MIN(I$3-$O$2,$Q$2)/$Q$2))</f>
        <v>11219.418555983</v>
      </c>
      <c r="J614" s="15" t="n">
        <f aca="false">I614*(1+IF(J$3&lt;=$O$2,$D614,$D614-($D614-$I$589)*MIN(J$3-$O$2,$Q$2)/$Q$2))</f>
        <v>12217.5953142749</v>
      </c>
      <c r="K614" s="15" t="n">
        <f aca="false">J614*(1+IF(K$3&lt;=$O$2,$D614,$D614-($D614-$I$589)*MIN(K$3-$O$2,$Q$2)/$Q$2))</f>
        <v>13088.728226261</v>
      </c>
      <c r="L614" s="15" t="n">
        <f aca="false">K614*(1+IF(L$3&lt;=$O$2,$D614,$D614-($D614-$I$589)*MIN(L$3-$O$2,$Q$2)/$Q$2))</f>
        <v>13790.733467201</v>
      </c>
      <c r="M614" s="15" t="n">
        <f aca="false">L614*(1+IF(M$3&lt;=$O$2,$D614,$D614-($D614-$I$589)*MIN(M$3-$O$2,$Q$2)/$Q$2))</f>
        <v>14286.7470912032</v>
      </c>
      <c r="N614" s="15" t="n">
        <f aca="false">M614*(1+IF(N$3&lt;=$O$2,$D614,$D614-($D614-$I$589)*MIN(N$3-$O$2,$Q$2)/$Q$2))</f>
        <v>14548.1945629722</v>
      </c>
      <c r="O614" s="15" t="n">
        <f aca="false">SUMPRODUCT(E614:N614,1/(1+$F$589)^$E$3:$N$3)*$E$2</f>
        <v>43824.8645099569</v>
      </c>
      <c r="P614" s="15" t="n">
        <f aca="false">N614*$E$2*(1+$I$589)/($F$589-$I$589)/(1+$F$589)^$N$3</f>
        <v>57735.1688247388</v>
      </c>
      <c r="Q614" s="15" t="n">
        <f aca="false">O614+P614</f>
        <v>101560.033334696</v>
      </c>
      <c r="R614" s="15" t="n">
        <f aca="false">Q614-$G$2+$I$2</f>
        <v>99970.0333346957</v>
      </c>
      <c r="S614" s="42" t="n">
        <f aca="false">R614/$K$2</f>
        <v>278.018892415306</v>
      </c>
      <c r="T614" s="43" t="n">
        <f aca="false">S614-$M$2</f>
        <v>9.27045322214326E-005</v>
      </c>
    </row>
    <row r="616" customFormat="false" ht="15" hidden="false" customHeight="false" outlineLevel="0" collapsed="false">
      <c r="A616" s="38" t="s">
        <v>208</v>
      </c>
      <c r="E616" s="5" t="s">
        <v>11</v>
      </c>
      <c r="F616" s="12" t="n">
        <f aca="false">Sensitivity!$B$14</f>
        <v>0.0874202832668642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167</v>
      </c>
      <c r="B617" s="28" t="s">
        <v>168</v>
      </c>
      <c r="C617" s="28" t="s">
        <v>169</v>
      </c>
      <c r="D617" s="28" t="s">
        <v>170</v>
      </c>
      <c r="E617" s="28" t="s">
        <v>171</v>
      </c>
      <c r="F617" s="28" t="s">
        <v>172</v>
      </c>
      <c r="G617" s="28" t="s">
        <v>173</v>
      </c>
      <c r="H617" s="28" t="s">
        <v>174</v>
      </c>
      <c r="I617" s="28" t="s">
        <v>175</v>
      </c>
      <c r="J617" s="28" t="s">
        <v>176</v>
      </c>
      <c r="K617" s="28" t="s">
        <v>177</v>
      </c>
      <c r="L617" s="28" t="s">
        <v>178</v>
      </c>
      <c r="M617" s="28" t="s">
        <v>179</v>
      </c>
      <c r="N617" s="28" t="s">
        <v>180</v>
      </c>
      <c r="O617" s="28" t="s">
        <v>181</v>
      </c>
      <c r="P617" s="28" t="s">
        <v>182</v>
      </c>
      <c r="Q617" s="28" t="s">
        <v>183</v>
      </c>
      <c r="R617" s="28" t="s">
        <v>184</v>
      </c>
      <c r="S617" s="28" t="s">
        <v>185</v>
      </c>
      <c r="T617" s="28" t="s">
        <v>186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8450</v>
      </c>
      <c r="F618" s="15" t="n">
        <f aca="false">E618*(1+IF(F$3&lt;=$O$2,$D618,$D618-($D618-$I$616)*MIN(F$3-$O$2,$Q$2)/$Q$2))</f>
        <v>10562.5</v>
      </c>
      <c r="G618" s="15" t="n">
        <f aca="false">F618*(1+IF(G$3&lt;=$O$2,$D618,$D618-($D618-$I$616)*MIN(G$3-$O$2,$Q$2)/$Q$2))</f>
        <v>13203.125</v>
      </c>
      <c r="H618" s="15" t="n">
        <f aca="false">G618*(1+IF(H$3&lt;=$O$2,$D618,$D618-($D618-$I$616)*MIN(H$3-$O$2,$Q$2)/$Q$2))</f>
        <v>16503.90625</v>
      </c>
      <c r="I618" s="15" t="n">
        <f aca="false">H618*(1+IF(I$3&lt;=$O$2,$D618,$D618-($D618-$I$616)*MIN(I$3-$O$2,$Q$2)/$Q$2))</f>
        <v>20629.8828125</v>
      </c>
      <c r="J618" s="15" t="n">
        <f aca="false">I618*(1+IF(J$3&lt;=$O$2,$D618,$D618-($D618-$I$616)*MIN(J$3-$O$2,$Q$2)/$Q$2))</f>
        <v>24851.9946289063</v>
      </c>
      <c r="K618" s="15" t="n">
        <f aca="false">J618*(1+IF(K$3&lt;=$O$2,$D618,$D618-($D618-$I$616)*MIN(K$3-$O$2,$Q$2)/$Q$2))</f>
        <v>28811.4144131836</v>
      </c>
      <c r="L618" s="15" t="n">
        <f aca="false">K618*(1+IF(L$3&lt;=$O$2,$D618,$D618-($D618-$I$616)*MIN(L$3-$O$2,$Q$2)/$Q$2))</f>
        <v>32095.3394279983</v>
      </c>
      <c r="M618" s="15" t="n">
        <f aca="false">L618*(1+IF(M$3&lt;=$O$2,$D618,$D618-($D618-$I$616)*MIN(M$3-$O$2,$Q$2)/$Q$2))</f>
        <v>34298.3635263361</v>
      </c>
      <c r="N618" s="15" t="n">
        <f aca="false">M618*(1+IF(N$3&lt;=$O$2,$D618,$D618-($D618-$I$616)*MIN(N$3-$O$2,$Q$2)/$Q$2))</f>
        <v>35097.5153964997</v>
      </c>
      <c r="O618" s="15" t="n">
        <f aca="false">SUMPRODUCT(E618:N618,1/(1+$F$616)^$E$3:$N$3)*$E$2</f>
        <v>81662.9686626312</v>
      </c>
      <c r="P618" s="15" t="n">
        <f aca="false">N618*$E$2*(1+$I$616)/($F$616-$I$616)/(1+$F$616)^$N$3</f>
        <v>150884.636219478</v>
      </c>
      <c r="Q618" s="15" t="n">
        <f aca="false">O618+P618</f>
        <v>232547.60488211</v>
      </c>
      <c r="R618" s="15" t="n">
        <f aca="false">Q618-$G$2+$I$2</f>
        <v>230957.60488211</v>
      </c>
      <c r="S618" s="42" t="n">
        <f aca="false">R618/$K$2</f>
        <v>642.298250409115</v>
      </c>
      <c r="T618" s="43" t="n">
        <f aca="false">S618-$M$2</f>
        <v>364.279450698341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5915</v>
      </c>
      <c r="F619" s="15" t="n">
        <f aca="false">E619*(1+IF(F$3&lt;=$O$2,$D619,$D619-($D619-$I$616)*MIN(F$3-$O$2,$Q$2)/$Q$2))</f>
        <v>5175.625</v>
      </c>
      <c r="G619" s="15" t="n">
        <f aca="false">F619*(1+IF(G$3&lt;=$O$2,$D619,$D619-($D619-$I$616)*MIN(G$3-$O$2,$Q$2)/$Q$2))</f>
        <v>4528.671875</v>
      </c>
      <c r="H619" s="15" t="n">
        <f aca="false">G619*(1+IF(H$3&lt;=$O$2,$D619,$D619-($D619-$I$616)*MIN(H$3-$O$2,$Q$2)/$Q$2))</f>
        <v>3962.587890625</v>
      </c>
      <c r="I619" s="15" t="n">
        <f aca="false">H619*(1+IF(I$3&lt;=$O$2,$D619,$D619-($D619-$I$616)*MIN(I$3-$O$2,$Q$2)/$Q$2))</f>
        <v>3467.26440429688</v>
      </c>
      <c r="J619" s="15" t="n">
        <f aca="false">I619*(1+IF(J$3&lt;=$O$2,$D619,$D619-($D619-$I$616)*MIN(J$3-$O$2,$Q$2)/$Q$2))</f>
        <v>3136.69541599121</v>
      </c>
      <c r="K619" s="15" t="n">
        <f aca="false">J619*(1+IF(K$3&lt;=$O$2,$D619,$D619-($D619-$I$616)*MIN(K$3-$O$2,$Q$2)/$Q$2))</f>
        <v>2930.67726106891</v>
      </c>
      <c r="L619" s="15" t="n">
        <f aca="false">K619*(1+IF(L$3&lt;=$O$2,$D619,$D619-($D619-$I$616)*MIN(L$3-$O$2,$Q$2)/$Q$2))</f>
        <v>2825.11426612521</v>
      </c>
      <c r="M619" s="15" t="n">
        <f aca="false">L619*(1+IF(M$3&lt;=$O$2,$D619,$D619-($D619-$I$616)*MIN(M$3-$O$2,$Q$2)/$Q$2))</f>
        <v>2807.14653939265</v>
      </c>
      <c r="N619" s="15" t="n">
        <f aca="false">M619*(1+IF(N$3&lt;=$O$2,$D619,$D619-($D619-$I$616)*MIN(N$3-$O$2,$Q$2)/$Q$2))</f>
        <v>2872.5530537605</v>
      </c>
      <c r="O619" s="15" t="n">
        <f aca="false">SUMPRODUCT(E619:N619,1/(1+$F$616)^$E$3:$N$3)*$E$2</f>
        <v>16184.4993873617</v>
      </c>
      <c r="P619" s="15" t="n">
        <f aca="false">N619*$E$2*(1+$I$616)/($F$616-$I$616)/(1+$F$616)^$N$3</f>
        <v>12349.1397508164</v>
      </c>
      <c r="Q619" s="15" t="n">
        <f aca="false">O619+P619</f>
        <v>28533.6391381781</v>
      </c>
      <c r="R619" s="15" t="n">
        <f aca="false">Q619-$G$2+$I$2</f>
        <v>26943.6391381781</v>
      </c>
      <c r="S619" s="42" t="n">
        <f aca="false">R619/$K$2</f>
        <v>74.9308613887817</v>
      </c>
      <c r="T619" s="43" t="n">
        <f aca="false">S619-$M$2</f>
        <v>-203.087938321992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7182.5</v>
      </c>
      <c r="F620" s="15" t="n">
        <f aca="false">E620*(1+IF(F$3&lt;=$O$2,$D620,$D620-($D620-$I$616)*MIN(F$3-$O$2,$Q$2)/$Q$2))</f>
        <v>7631.40625</v>
      </c>
      <c r="G620" s="15" t="n">
        <f aca="false">F620*(1+IF(G$3&lt;=$O$2,$D620,$D620-($D620-$I$616)*MIN(G$3-$O$2,$Q$2)/$Q$2))</f>
        <v>8108.369140625</v>
      </c>
      <c r="H620" s="15" t="n">
        <f aca="false">G620*(1+IF(H$3&lt;=$O$2,$D620,$D620-($D620-$I$616)*MIN(H$3-$O$2,$Q$2)/$Q$2))</f>
        <v>8615.14221191406</v>
      </c>
      <c r="I620" s="15" t="n">
        <f aca="false">H620*(1+IF(I$3&lt;=$O$2,$D620,$D620-($D620-$I$616)*MIN(I$3-$O$2,$Q$2)/$Q$2))</f>
        <v>9153.58860015869</v>
      </c>
      <c r="J620" s="15" t="n">
        <f aca="false">I620*(1+IF(J$3&lt;=$O$2,$D620,$D620-($D620-$I$616)*MIN(J$3-$O$2,$Q$2)/$Q$2))</f>
        <v>9653.92375304337</v>
      </c>
      <c r="K620" s="15" t="n">
        <f aca="false">J620*(1+IF(K$3&lt;=$O$2,$D620,$D620-($D620-$I$616)*MIN(K$3-$O$2,$Q$2)/$Q$2))</f>
        <v>10105.9204631609</v>
      </c>
      <c r="L620" s="15" t="n">
        <f aca="false">K620*(1+IF(L$3&lt;=$O$2,$D620,$D620-($D620-$I$616)*MIN(L$3-$O$2,$Q$2)/$Q$2))</f>
        <v>10499.8492428149</v>
      </c>
      <c r="M620" s="15" t="n">
        <f aca="false">L620*(1+IF(M$3&lt;=$O$2,$D620,$D620-($D620-$I$616)*MIN(M$3-$O$2,$Q$2)/$Q$2))</f>
        <v>10826.8145482361</v>
      </c>
      <c r="N620" s="15" t="n">
        <f aca="false">M620*(1+IF(N$3&lt;=$O$2,$D620,$D620-($D620-$I$616)*MIN(N$3-$O$2,$Q$2)/$Q$2))</f>
        <v>11079.07932721</v>
      </c>
      <c r="O620" s="15" t="n">
        <f aca="false">SUMPRODUCT(E620:N620,1/(1+$F$616)^$E$3:$N$3)*$E$2</f>
        <v>36283.4910874321</v>
      </c>
      <c r="P620" s="15" t="n">
        <f aca="false">N620*$E$2*(1+$I$616)/($F$616-$I$616)/(1+$F$616)^$N$3</f>
        <v>47629.0938275233</v>
      </c>
      <c r="Q620" s="15" t="n">
        <f aca="false">O620+P620</f>
        <v>83912.5849149554</v>
      </c>
      <c r="R620" s="15" t="n">
        <f aca="false">Q620-$G$2+$I$2</f>
        <v>82322.5849149554</v>
      </c>
      <c r="S620" s="42" t="n">
        <f aca="false">R620/$K$2</f>
        <v>228.940944754868</v>
      </c>
      <c r="T620" s="43" t="n">
        <f aca="false">S620-$M$2</f>
        <v>-49.0778549559057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7816.25</v>
      </c>
      <c r="F621" s="15" t="n">
        <f aca="false">E621*(1+IF(F$3&lt;=$O$2,$D621,$D621-($D621-$I$616)*MIN(F$3-$O$2,$Q$2)/$Q$2))</f>
        <v>9037.5390625</v>
      </c>
      <c r="G621" s="15" t="n">
        <f aca="false">F621*(1+IF(G$3&lt;=$O$2,$D621,$D621-($D621-$I$616)*MIN(G$3-$O$2,$Q$2)/$Q$2))</f>
        <v>10449.6545410156</v>
      </c>
      <c r="H621" s="15" t="n">
        <f aca="false">G621*(1+IF(H$3&lt;=$O$2,$D621,$D621-($D621-$I$616)*MIN(H$3-$O$2,$Q$2)/$Q$2))</f>
        <v>12082.4130630493</v>
      </c>
      <c r="I621" s="15" t="n">
        <f aca="false">H621*(1+IF(I$3&lt;=$O$2,$D621,$D621-($D621-$I$616)*MIN(I$3-$O$2,$Q$2)/$Q$2))</f>
        <v>13970.2901041508</v>
      </c>
      <c r="J621" s="15" t="n">
        <f aca="false">I621*(1+IF(J$3&lt;=$O$2,$D621,$D621-($D621-$I$616)*MIN(J$3-$O$2,$Q$2)/$Q$2))</f>
        <v>15781.677919055</v>
      </c>
      <c r="K621" s="15" t="n">
        <f aca="false">J621*(1+IF(K$3&lt;=$O$2,$D621,$D621-($D621-$I$616)*MIN(K$3-$O$2,$Q$2)/$Q$2))</f>
        <v>17408.295462172</v>
      </c>
      <c r="L621" s="15" t="n">
        <f aca="false">K621*(1+IF(L$3&lt;=$O$2,$D621,$D621-($D621-$I$616)*MIN(L$3-$O$2,$Q$2)/$Q$2))</f>
        <v>18739.6818991189</v>
      </c>
      <c r="M621" s="15" t="n">
        <f aca="false">L621*(1+IF(M$3&lt;=$O$2,$D621,$D621-($D621-$I$616)*MIN(M$3-$O$2,$Q$2)/$Q$2))</f>
        <v>19674.6046290659</v>
      </c>
      <c r="N621" s="15" t="n">
        <f aca="false">M621*(1+IF(N$3&lt;=$O$2,$D621,$D621-($D621-$I$616)*MIN(N$3-$O$2,$Q$2)/$Q$2))</f>
        <v>20133.0229169231</v>
      </c>
      <c r="O621" s="15" t="n">
        <f aca="false">SUMPRODUCT(E621:N621,1/(1+$F$616)^$E$3:$N$3)*$E$2</f>
        <v>54530.9872270762</v>
      </c>
      <c r="P621" s="15" t="n">
        <f aca="false">N621*$E$2*(1+$I$616)/($F$616-$I$616)/(1+$F$616)^$N$3</f>
        <v>86552.1050279624</v>
      </c>
      <c r="Q621" s="15" t="n">
        <f aca="false">O621+P621</f>
        <v>141083.092255039</v>
      </c>
      <c r="R621" s="15" t="n">
        <f aca="false">Q621-$G$2+$I$2</f>
        <v>139493.092255039</v>
      </c>
      <c r="S621" s="42" t="n">
        <f aca="false">R621/$K$2</f>
        <v>387.933400787137</v>
      </c>
      <c r="T621" s="43" t="n">
        <f aca="false">S621-$M$2</f>
        <v>109.914601076363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41" t="n">
        <f aca="false">(B622+C622)/2</f>
        <v>0.109375</v>
      </c>
      <c r="E622" s="15" t="n">
        <f aca="false">$C$2*(1+IF(E$3&lt;=$O$2,$D622,$D622-($D622-$I$616)*MIN(E$3-$O$2,$Q$2)/$Q$2))</f>
        <v>7499.375</v>
      </c>
      <c r="F622" s="15" t="n">
        <f aca="false">E622*(1+IF(F$3&lt;=$O$2,$D622,$D622-($D622-$I$616)*MIN(F$3-$O$2,$Q$2)/$Q$2))</f>
        <v>8319.619140625</v>
      </c>
      <c r="G622" s="15" t="n">
        <f aca="false">F622*(1+IF(G$3&lt;=$O$2,$D622,$D622-($D622-$I$616)*MIN(G$3-$O$2,$Q$2)/$Q$2))</f>
        <v>9229.57748413086</v>
      </c>
      <c r="H622" s="15" t="n">
        <f aca="false">G622*(1+IF(H$3&lt;=$O$2,$D622,$D622-($D622-$I$616)*MIN(H$3-$O$2,$Q$2)/$Q$2))</f>
        <v>10239.0625214577</v>
      </c>
      <c r="I622" s="15" t="n">
        <f aca="false">H622*(1+IF(I$3&lt;=$O$2,$D622,$D622-($D622-$I$616)*MIN(I$3-$O$2,$Q$2)/$Q$2))</f>
        <v>11358.9599847421</v>
      </c>
      <c r="J622" s="15" t="n">
        <f aca="false">I622*(1+IF(J$3&lt;=$O$2,$D622,$D622-($D622-$I$616)*MIN(J$3-$O$2,$Q$2)/$Q$2))</f>
        <v>12405.8017369359</v>
      </c>
      <c r="K622" s="15" t="n">
        <f aca="false">J622*(1+IF(K$3&lt;=$O$2,$D622,$D622-($D622-$I$616)*MIN(K$3-$O$2,$Q$2)/$Q$2))</f>
        <v>13335.5545481106</v>
      </c>
      <c r="L622" s="15" t="n">
        <f aca="false">K622*(1+IF(L$3&lt;=$O$2,$D622,$D622-($D622-$I$616)*MIN(L$3-$O$2,$Q$2)/$Q$2))</f>
        <v>14105.416112173</v>
      </c>
      <c r="M622" s="15" t="n">
        <f aca="false">L622*(1+IF(M$3&lt;=$O$2,$D622,$D622-($D622-$I$616)*MIN(M$3-$O$2,$Q$2)/$Q$2))</f>
        <v>14676.8970459577</v>
      </c>
      <c r="N622" s="15" t="n">
        <f aca="false">M622*(1+IF(N$3&lt;=$O$2,$D622,$D622-($D622-$I$616)*MIN(N$3-$O$2,$Q$2)/$Q$2))</f>
        <v>15018.8687471285</v>
      </c>
      <c r="O622" s="15" t="n">
        <f aca="false">SUMPRODUCT(E622:N622,1/(1+$F$616)^$E$3:$N$3)*$E$2</f>
        <v>44489.8367162912</v>
      </c>
      <c r="P622" s="15" t="n">
        <f aca="false">N622*$E$2*(1+$I$616)/($F$616-$I$616)/(1+$F$616)^$N$3</f>
        <v>64566.2954125973</v>
      </c>
      <c r="Q622" s="15" t="n">
        <f aca="false">O622+P622</f>
        <v>109056.132128889</v>
      </c>
      <c r="R622" s="15" t="n">
        <f aca="false">Q622-$G$2+$I$2</f>
        <v>107466.132128889</v>
      </c>
      <c r="S622" s="42" t="n">
        <f aca="false">R622/$K$2</f>
        <v>298.865710353436</v>
      </c>
      <c r="T622" s="43" t="n">
        <f aca="false">S622-$M$2</f>
        <v>20.8469106426625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0.0625</v>
      </c>
      <c r="C623" s="25" t="n">
        <f aca="false">IF(T622&gt;0,D622,C622)</f>
        <v>0.109375</v>
      </c>
      <c r="D623" s="41" t="n">
        <f aca="false">(B623+C623)/2</f>
        <v>0.0859375</v>
      </c>
      <c r="E623" s="15" t="n">
        <f aca="false">$C$2*(1+IF(E$3&lt;=$O$2,$D623,$D623-($D623-$I$616)*MIN(E$3-$O$2,$Q$2)/$Q$2))</f>
        <v>7340.9375</v>
      </c>
      <c r="F623" s="15" t="n">
        <f aca="false">E623*(1+IF(F$3&lt;=$O$2,$D623,$D623-($D623-$I$616)*MIN(F$3-$O$2,$Q$2)/$Q$2))</f>
        <v>7971.79931640625</v>
      </c>
      <c r="G623" s="15" t="n">
        <f aca="false">F623*(1+IF(G$3&lt;=$O$2,$D623,$D623-($D623-$I$616)*MIN(G$3-$O$2,$Q$2)/$Q$2))</f>
        <v>8656.87582015991</v>
      </c>
      <c r="H623" s="15" t="n">
        <f aca="false">G623*(1+IF(H$3&lt;=$O$2,$D623,$D623-($D623-$I$616)*MIN(H$3-$O$2,$Q$2)/$Q$2))</f>
        <v>9400.82608595491</v>
      </c>
      <c r="I623" s="15" t="n">
        <f aca="false">H623*(1+IF(I$3&lt;=$O$2,$D623,$D623-($D623-$I$616)*MIN(I$3-$O$2,$Q$2)/$Q$2))</f>
        <v>10208.7095777167</v>
      </c>
      <c r="J623" s="15" t="n">
        <f aca="false">I623*(1+IF(J$3&lt;=$O$2,$D623,$D623-($D623-$I$616)*MIN(J$3-$O$2,$Q$2)/$Q$2))</f>
        <v>10958.1309478168</v>
      </c>
      <c r="K623" s="15" t="n">
        <f aca="false">J623*(1+IF(K$3&lt;=$O$2,$D623,$D623-($D623-$I$616)*MIN(K$3-$O$2,$Q$2)/$Q$2))</f>
        <v>11625.2893552473</v>
      </c>
      <c r="L623" s="15" t="n">
        <f aca="false">K623*(1+IF(L$3&lt;=$O$2,$D623,$D623-($D623-$I$616)*MIN(L$3-$O$2,$Q$2)/$Q$2))</f>
        <v>12187.4302220203</v>
      </c>
      <c r="M623" s="15" t="n">
        <f aca="false">L623*(1+IF(M$3&lt;=$O$2,$D623,$D623-($D623-$I$616)*MIN(M$3-$O$2,$Q$2)/$Q$2))</f>
        <v>12624.0753782997</v>
      </c>
      <c r="N623" s="15" t="n">
        <f aca="false">M623*(1+IF(N$3&lt;=$O$2,$D623,$D623-($D623-$I$616)*MIN(N$3-$O$2,$Q$2)/$Q$2))</f>
        <v>12918.2163346141</v>
      </c>
      <c r="O623" s="15" t="n">
        <f aca="false">SUMPRODUCT(E623:N623,1/(1+$F$616)^$E$3:$N$3)*$E$2</f>
        <v>40178.2343554441</v>
      </c>
      <c r="P623" s="15" t="n">
        <f aca="false">N623*$E$2*(1+$I$616)/($F$616-$I$616)/(1+$F$616)^$N$3</f>
        <v>55535.5657012451</v>
      </c>
      <c r="Q623" s="15" t="n">
        <f aca="false">O623+P623</f>
        <v>95713.8000566892</v>
      </c>
      <c r="R623" s="15" t="n">
        <f aca="false">Q623-$G$2+$I$2</f>
        <v>94123.8000566892</v>
      </c>
      <c r="S623" s="42" t="n">
        <f aca="false">R623/$K$2</f>
        <v>261.760387275959</v>
      </c>
      <c r="T623" s="43" t="n">
        <f aca="false">S623-$M$2</f>
        <v>-16.258412434815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0.0859375</v>
      </c>
      <c r="C624" s="25" t="n">
        <f aca="false">IF(T623&gt;0,D623,C623)</f>
        <v>0.109375</v>
      </c>
      <c r="D624" s="41" t="n">
        <f aca="false">(B624+C624)/2</f>
        <v>0.09765625</v>
      </c>
      <c r="E624" s="15" t="n">
        <f aca="false">$C$2*(1+IF(E$3&lt;=$O$2,$D624,$D624-($D624-$I$616)*MIN(E$3-$O$2,$Q$2)/$Q$2))</f>
        <v>7420.15625</v>
      </c>
      <c r="F624" s="15" t="n">
        <f aca="false">E624*(1+IF(F$3&lt;=$O$2,$D624,$D624-($D624-$I$616)*MIN(F$3-$O$2,$Q$2)/$Q$2))</f>
        <v>8144.78088378906</v>
      </c>
      <c r="G624" s="15" t="n">
        <f aca="false">F624*(1+IF(G$3&lt;=$O$2,$D624,$D624-($D624-$I$616)*MIN(G$3-$O$2,$Q$2)/$Q$2))</f>
        <v>8940.16964197159</v>
      </c>
      <c r="H624" s="15" t="n">
        <f aca="false">G624*(1+IF(H$3&lt;=$O$2,$D624,$D624-($D624-$I$616)*MIN(H$3-$O$2,$Q$2)/$Q$2))</f>
        <v>9813.23308357038</v>
      </c>
      <c r="I624" s="15" t="n">
        <f aca="false">H624*(1+IF(I$3&lt;=$O$2,$D624,$D624-($D624-$I$616)*MIN(I$3-$O$2,$Q$2)/$Q$2))</f>
        <v>10771.5566268878</v>
      </c>
      <c r="J624" s="15" t="n">
        <f aca="false">I624*(1+IF(J$3&lt;=$O$2,$D624,$D624-($D624-$I$616)*MIN(J$3-$O$2,$Q$2)/$Q$2))</f>
        <v>11663.2799422447</v>
      </c>
      <c r="K624" s="15" t="n">
        <f aca="false">J624*(1+IF(K$3&lt;=$O$2,$D624,$D624-($D624-$I$616)*MIN(K$3-$O$2,$Q$2)/$Q$2))</f>
        <v>12455.3770204223</v>
      </c>
      <c r="L624" s="15" t="n">
        <f aca="false">K624*(1+IF(L$3&lt;=$O$2,$D624,$D624-($D624-$I$616)*MIN(L$3-$O$2,$Q$2)/$Q$2))</f>
        <v>13116.0413560281</v>
      </c>
      <c r="M624" s="15" t="n">
        <f aca="false">L624*(1+IF(M$3&lt;=$O$2,$D624,$D624-($D624-$I$616)*MIN(M$3-$O$2,$Q$2)/$Q$2))</f>
        <v>13616.6970496394</v>
      </c>
      <c r="N624" s="15" t="n">
        <f aca="false">M624*(1+IF(N$3&lt;=$O$2,$D624,$D624-($D624-$I$616)*MIN(N$3-$O$2,$Q$2)/$Q$2))</f>
        <v>13933.966090896</v>
      </c>
      <c r="O624" s="15" t="n">
        <f aca="false">SUMPRODUCT(E624:N624,1/(1+$F$616)^$E$3:$N$3)*$E$2</f>
        <v>42279.4448411113</v>
      </c>
      <c r="P624" s="15" t="n">
        <f aca="false">N624*$E$2*(1+$I$616)/($F$616-$I$616)/(1+$F$616)^$N$3</f>
        <v>59902.285987146</v>
      </c>
      <c r="Q624" s="15" t="n">
        <f aca="false">O624+P624</f>
        <v>102181.730828257</v>
      </c>
      <c r="R624" s="15" t="n">
        <f aca="false">Q624-$G$2+$I$2</f>
        <v>100591.730828257</v>
      </c>
      <c r="S624" s="42" t="n">
        <f aca="false">R624/$K$2</f>
        <v>279.747847011117</v>
      </c>
      <c r="T624" s="43" t="n">
        <f aca="false">S624-$M$2</f>
        <v>1.72904730034281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0.0859375</v>
      </c>
      <c r="C625" s="25" t="n">
        <f aca="false">IF(T624&gt;0,D624,C624)</f>
        <v>0.09765625</v>
      </c>
      <c r="D625" s="41" t="n">
        <f aca="false">(B625+C625)/2</f>
        <v>0.091796875</v>
      </c>
      <c r="E625" s="15" t="n">
        <f aca="false">$C$2*(1+IF(E$3&lt;=$O$2,$D625,$D625-($D625-$I$616)*MIN(E$3-$O$2,$Q$2)/$Q$2))</f>
        <v>7380.546875</v>
      </c>
      <c r="F625" s="15" t="n">
        <f aca="false">E625*(1+IF(F$3&lt;=$O$2,$D625,$D625-($D625-$I$616)*MIN(F$3-$O$2,$Q$2)/$Q$2))</f>
        <v>8058.05801391602</v>
      </c>
      <c r="G625" s="15" t="n">
        <f aca="false">F625*(1+IF(G$3&lt;=$O$2,$D625,$D625-($D625-$I$616)*MIN(G$3-$O$2,$Q$2)/$Q$2))</f>
        <v>8797.76255816221</v>
      </c>
      <c r="H625" s="15" t="n">
        <f aca="false">G625*(1+IF(H$3&lt;=$O$2,$D625,$D625-($D625-$I$616)*MIN(H$3-$O$2,$Q$2)/$Q$2))</f>
        <v>9605.36966799351</v>
      </c>
      <c r="I625" s="15" t="n">
        <f aca="false">H625*(1+IF(I$3&lt;=$O$2,$D625,$D625-($D625-$I$616)*MIN(I$3-$O$2,$Q$2)/$Q$2))</f>
        <v>10487.1125867351</v>
      </c>
      <c r="J625" s="15" t="n">
        <f aca="false">I625*(1+IF(J$3&lt;=$O$2,$D625,$D625-($D625-$I$616)*MIN(J$3-$O$2,$Q$2)/$Q$2))</f>
        <v>11306.1298619776</v>
      </c>
      <c r="K625" s="15" t="n">
        <f aca="false">J625*(1+IF(K$3&lt;=$O$2,$D625,$D625-($D625-$I$616)*MIN(K$3-$O$2,$Q$2)/$Q$2))</f>
        <v>12034.2234260955</v>
      </c>
      <c r="L625" s="15" t="n">
        <f aca="false">K625*(1+IF(L$3&lt;=$O$2,$D625,$D625-($D625-$I$616)*MIN(L$3-$O$2,$Q$2)/$Q$2))</f>
        <v>12644.3435110193</v>
      </c>
      <c r="M625" s="15" t="n">
        <f aca="false">L625*(1+IF(M$3&lt;=$O$2,$D625,$D625-($D625-$I$616)*MIN(M$3-$O$2,$Q$2)/$Q$2))</f>
        <v>13112.1763182123</v>
      </c>
      <c r="N625" s="15" t="n">
        <f aca="false">M625*(1+IF(N$3&lt;=$O$2,$D625,$D625-($D625-$I$616)*MIN(N$3-$O$2,$Q$2)/$Q$2))</f>
        <v>13417.6900264266</v>
      </c>
      <c r="O625" s="15" t="n">
        <f aca="false">SUMPRODUCT(E625:N625,1/(1+$F$616)^$E$3:$N$3)*$E$2</f>
        <v>41215.5102757457</v>
      </c>
      <c r="P625" s="15" t="n">
        <f aca="false">N625*$E$2*(1+$I$616)/($F$616-$I$616)/(1+$F$616)^$N$3</f>
        <v>57682.8090442269</v>
      </c>
      <c r="Q625" s="15" t="n">
        <f aca="false">O625+P625</f>
        <v>98898.3193199727</v>
      </c>
      <c r="R625" s="15" t="n">
        <f aca="false">Q625-$G$2+$I$2</f>
        <v>97308.3193199727</v>
      </c>
      <c r="S625" s="42" t="n">
        <f aca="false">R625/$K$2</f>
        <v>270.616606374027</v>
      </c>
      <c r="T625" s="43" t="n">
        <f aca="false">S625-$M$2</f>
        <v>-7.40219333674651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0.091796875</v>
      </c>
      <c r="C626" s="25" t="n">
        <f aca="false">IF(T625&gt;0,D625,C625)</f>
        <v>0.09765625</v>
      </c>
      <c r="D626" s="41" t="n">
        <f aca="false">(B626+C626)/2</f>
        <v>0.0947265625</v>
      </c>
      <c r="E626" s="15" t="n">
        <f aca="false">$C$2*(1+IF(E$3&lt;=$O$2,$D626,$D626-($D626-$I$616)*MIN(E$3-$O$2,$Q$2)/$Q$2))</f>
        <v>7400.3515625</v>
      </c>
      <c r="F626" s="15" t="n">
        <f aca="false">E626*(1+IF(F$3&lt;=$O$2,$D626,$D626-($D626-$I$616)*MIN(F$3-$O$2,$Q$2)/$Q$2))</f>
        <v>8101.36142730713</v>
      </c>
      <c r="G626" s="15" t="n">
        <f aca="false">F626*(1+IF(G$3&lt;=$O$2,$D626,$D626-($D626-$I$616)*MIN(G$3-$O$2,$Q$2)/$Q$2))</f>
        <v>8868.77554688603</v>
      </c>
      <c r="H626" s="15" t="n">
        <f aca="false">G626*(1+IF(H$3&lt;=$O$2,$D626,$D626-($D626-$I$616)*MIN(H$3-$O$2,$Q$2)/$Q$2))</f>
        <v>9708.8841680266</v>
      </c>
      <c r="I626" s="15" t="n">
        <f aca="false">H626*(1+IF(I$3&lt;=$O$2,$D626,$D626-($D626-$I$616)*MIN(I$3-$O$2,$Q$2)/$Q$2))</f>
        <v>10628.5733909744</v>
      </c>
      <c r="J626" s="15" t="n">
        <f aca="false">I626*(1+IF(J$3&lt;=$O$2,$D626,$D626-($D626-$I$616)*MIN(J$3-$O$2,$Q$2)/$Q$2))</f>
        <v>11483.5491202612</v>
      </c>
      <c r="K626" s="15" t="n">
        <f aca="false">J626*(1+IF(K$3&lt;=$O$2,$D626,$D626-($D626-$I$616)*MIN(K$3-$O$2,$Q$2)/$Q$2))</f>
        <v>12243.2540781393</v>
      </c>
      <c r="L626" s="15" t="n">
        <f aca="false">K626*(1+IF(L$3&lt;=$O$2,$D626,$D626-($D626-$I$616)*MIN(L$3-$O$2,$Q$2)/$Q$2))</f>
        <v>12878.3193192062</v>
      </c>
      <c r="M626" s="15" t="n">
        <f aca="false">L626*(1+IF(M$3&lt;=$O$2,$D626,$D626-($D626-$I$616)*MIN(M$3-$O$2,$Q$2)/$Q$2))</f>
        <v>13362.3549752934</v>
      </c>
      <c r="N626" s="15" t="n">
        <f aca="false">M626*(1+IF(N$3&lt;=$O$2,$D626,$D626-($D626-$I$616)*MIN(N$3-$O$2,$Q$2)/$Q$2))</f>
        <v>13673.6978462177</v>
      </c>
      <c r="O626" s="15" t="n">
        <f aca="false">SUMPRODUCT(E626:N626,1/(1+$F$616)^$E$3:$N$3)*$E$2</f>
        <v>41744.1059392078</v>
      </c>
      <c r="P626" s="15" t="n">
        <f aca="false">N626*$E$2*(1+$I$616)/($F$616-$I$616)/(1+$F$616)^$N$3</f>
        <v>58783.3897070499</v>
      </c>
      <c r="Q626" s="15" t="n">
        <f aca="false">O626+P626</f>
        <v>100527.495646258</v>
      </c>
      <c r="R626" s="15" t="n">
        <f aca="false">Q626-$G$2+$I$2</f>
        <v>98937.4956462577</v>
      </c>
      <c r="S626" s="42" t="n">
        <f aca="false">R626/$K$2</f>
        <v>275.147382074247</v>
      </c>
      <c r="T626" s="43" t="n">
        <f aca="false">S626-$M$2</f>
        <v>-2.87141763652681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0.0947265625</v>
      </c>
      <c r="C627" s="25" t="n">
        <f aca="false">IF(T626&gt;0,D626,C626)</f>
        <v>0.09765625</v>
      </c>
      <c r="D627" s="41" t="n">
        <f aca="false">(B627+C627)/2</f>
        <v>0.09619140625</v>
      </c>
      <c r="E627" s="15" t="n">
        <f aca="false">$C$2*(1+IF(E$3&lt;=$O$2,$D627,$D627-($D627-$I$616)*MIN(E$3-$O$2,$Q$2)/$Q$2))</f>
        <v>7410.25390625</v>
      </c>
      <c r="F627" s="15" t="n">
        <f aca="false">E627*(1+IF(F$3&lt;=$O$2,$D627,$D627-($D627-$I$616)*MIN(F$3-$O$2,$Q$2)/$Q$2))</f>
        <v>8123.05665016174</v>
      </c>
      <c r="G627" s="15" t="n">
        <f aca="false">F627*(1+IF(G$3&lt;=$O$2,$D627,$D627-($D627-$I$616)*MIN(G$3-$O$2,$Q$2)/$Q$2))</f>
        <v>8904.42489238922</v>
      </c>
      <c r="H627" s="15" t="n">
        <f aca="false">G627*(1+IF(H$3&lt;=$O$2,$D627,$D627-($D627-$I$616)*MIN(H$3-$O$2,$Q$2)/$Q$2))</f>
        <v>9760.95404463564</v>
      </c>
      <c r="I627" s="15" t="n">
        <f aca="false">H627*(1+IF(I$3&lt;=$O$2,$D627,$D627-($D627-$I$616)*MIN(I$3-$O$2,$Q$2)/$Q$2))</f>
        <v>10699.8739405308</v>
      </c>
      <c r="J627" s="15" t="n">
        <f aca="false">I627*(1+IF(J$3&lt;=$O$2,$D627,$D627-($D627-$I$616)*MIN(J$3-$O$2,$Q$2)/$Q$2))</f>
        <v>11573.1240899235</v>
      </c>
      <c r="K627" s="15" t="n">
        <f aca="false">J627*(1+IF(K$3&lt;=$O$2,$D627,$D627-($D627-$I$616)*MIN(K$3-$O$2,$Q$2)/$Q$2))</f>
        <v>12348.9266549909</v>
      </c>
      <c r="L627" s="15" t="n">
        <f aca="false">K627*(1+IF(L$3&lt;=$O$2,$D627,$D627-($D627-$I$616)*MIN(L$3-$O$2,$Q$2)/$Q$2))</f>
        <v>12996.7088978764</v>
      </c>
      <c r="M627" s="15" t="n">
        <f aca="false">L627*(1+IF(M$3&lt;=$O$2,$D627,$D627-($D627-$I$616)*MIN(M$3-$O$2,$Q$2)/$Q$2))</f>
        <v>13489.0018928345</v>
      </c>
      <c r="N627" s="15" t="n">
        <f aca="false">M627*(1+IF(N$3&lt;=$O$2,$D627,$D627-($D627-$I$616)*MIN(N$3-$O$2,$Q$2)/$Q$2))</f>
        <v>13803.2956369376</v>
      </c>
      <c r="O627" s="15" t="n">
        <f aca="false">SUMPRODUCT(E627:N627,1/(1+$F$616)^$E$3:$N$3)*$E$2</f>
        <v>42010.9275304002</v>
      </c>
      <c r="P627" s="15" t="n">
        <f aca="false">N627*$E$2*(1+$I$616)/($F$616-$I$616)/(1+$F$616)^$N$3</f>
        <v>59340.5321510863</v>
      </c>
      <c r="Q627" s="15" t="n">
        <f aca="false">O627+P627</f>
        <v>101351.459681487</v>
      </c>
      <c r="R627" s="15" t="n">
        <f aca="false">Q627-$G$2+$I$2</f>
        <v>99761.4596814865</v>
      </c>
      <c r="S627" s="42" t="n">
        <f aca="false">R627/$K$2</f>
        <v>277.438844433746</v>
      </c>
      <c r="T627" s="43" t="n">
        <f aca="false">S627-$M$2</f>
        <v>-0.579955277027295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0.09619140625</v>
      </c>
      <c r="C628" s="25" t="n">
        <f aca="false">IF(T627&gt;0,D627,C627)</f>
        <v>0.09765625</v>
      </c>
      <c r="D628" s="41" t="n">
        <f aca="false">(B628+C628)/2</f>
        <v>0.096923828125</v>
      </c>
      <c r="E628" s="15" t="n">
        <f aca="false">$C$2*(1+IF(E$3&lt;=$O$2,$D628,$D628-($D628-$I$616)*MIN(E$3-$O$2,$Q$2)/$Q$2))</f>
        <v>7415.205078125</v>
      </c>
      <c r="F628" s="15" t="n">
        <f aca="false">E628*(1+IF(F$3&lt;=$O$2,$D628,$D628-($D628-$I$616)*MIN(F$3-$O$2,$Q$2)/$Q$2))</f>
        <v>8133.91514062882</v>
      </c>
      <c r="G628" s="15" t="n">
        <f aca="false">F628*(1+IF(G$3&lt;=$O$2,$D628,$D628-($D628-$I$616)*MIN(G$3-$O$2,$Q$2)/$Q$2))</f>
        <v>8922.28533370246</v>
      </c>
      <c r="H628" s="15" t="n">
        <f aca="false">G628*(1+IF(H$3&lt;=$O$2,$D628,$D628-($D628-$I$616)*MIN(H$3-$O$2,$Q$2)/$Q$2))</f>
        <v>9787.06738386844</v>
      </c>
      <c r="I628" s="15" t="n">
        <f aca="false">H628*(1+IF(I$3&lt;=$O$2,$D628,$D628-($D628-$I$616)*MIN(I$3-$O$2,$Q$2)/$Q$2))</f>
        <v>10735.6674208303</v>
      </c>
      <c r="J628" s="15" t="n">
        <f aca="false">I628*(1+IF(J$3&lt;=$O$2,$D628,$D628-($D628-$I$616)*MIN(J$3-$O$2,$Q$2)/$Q$2))</f>
        <v>11618.1292181343</v>
      </c>
      <c r="K628" s="15" t="n">
        <f aca="false">J628*(1+IF(K$3&lt;=$O$2,$D628,$D628-($D628-$I$616)*MIN(K$3-$O$2,$Q$2)/$Q$2))</f>
        <v>12402.0543181309</v>
      </c>
      <c r="L628" s="15" t="n">
        <f aca="false">K628*(1+IF(L$3&lt;=$O$2,$D628,$D628-($D628-$I$616)*MIN(L$3-$O$2,$Q$2)/$Q$2))</f>
        <v>13056.2568699493</v>
      </c>
      <c r="M628" s="15" t="n">
        <f aca="false">L628*(1+IF(M$3&lt;=$O$2,$D628,$D628-($D628-$I$616)*MIN(M$3-$O$2,$Q$2)/$Q$2))</f>
        <v>13552.7179773689</v>
      </c>
      <c r="N628" s="15" t="n">
        <f aca="false">M628*(1+IF(N$3&lt;=$O$2,$D628,$D628-($D628-$I$616)*MIN(N$3-$O$2,$Q$2)/$Q$2))</f>
        <v>13868.4963062416</v>
      </c>
      <c r="O628" s="15" t="n">
        <f aca="false">SUMPRODUCT(E628:N628,1/(1+$F$616)^$E$3:$N$3)*$E$2</f>
        <v>42144.9735986868</v>
      </c>
      <c r="P628" s="15" t="n">
        <f aca="false">N628*$E$2*(1+$I$616)/($F$616-$I$616)/(1+$F$616)^$N$3</f>
        <v>59620.8306040699</v>
      </c>
      <c r="Q628" s="15" t="n">
        <f aca="false">O628+P628</f>
        <v>101765.804202757</v>
      </c>
      <c r="R628" s="15" t="n">
        <f aca="false">Q628-$G$2+$I$2</f>
        <v>100175.804202757</v>
      </c>
      <c r="S628" s="42" t="n">
        <f aca="false">R628/$K$2</f>
        <v>278.591145788856</v>
      </c>
      <c r="T628" s="43" t="n">
        <f aca="false">S628-$M$2</f>
        <v>0.572346078081864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0.09619140625</v>
      </c>
      <c r="C629" s="25" t="n">
        <f aca="false">IF(T628&gt;0,D628,C628)</f>
        <v>0.096923828125</v>
      </c>
      <c r="D629" s="41" t="n">
        <f aca="false">(B629+C629)/2</f>
        <v>0.0965576171875</v>
      </c>
      <c r="E629" s="15" t="n">
        <f aca="false">$C$2*(1+IF(E$3&lt;=$O$2,$D629,$D629-($D629-$I$616)*MIN(E$3-$O$2,$Q$2)/$Q$2))</f>
        <v>7412.7294921875</v>
      </c>
      <c r="F629" s="15" t="n">
        <f aca="false">E629*(1+IF(F$3&lt;=$O$2,$D629,$D629-($D629-$I$616)*MIN(F$3-$O$2,$Q$2)/$Q$2))</f>
        <v>8128.48498880863</v>
      </c>
      <c r="G629" s="15" t="n">
        <f aca="false">F629*(1+IF(G$3&lt;=$O$2,$D629,$D629-($D629-$I$616)*MIN(G$3-$O$2,$Q$2)/$Q$2))</f>
        <v>8913.35213067236</v>
      </c>
      <c r="H629" s="15" t="n">
        <f aca="false">G629*(1+IF(H$3&lt;=$O$2,$D629,$D629-($D629-$I$616)*MIN(H$3-$O$2,$Q$2)/$Q$2))</f>
        <v>9774.0041735632</v>
      </c>
      <c r="I629" s="15" t="n">
        <f aca="false">H629*(1+IF(I$3&lt;=$O$2,$D629,$D629-($D629-$I$616)*MIN(I$3-$O$2,$Q$2)/$Q$2))</f>
        <v>10717.7587269431</v>
      </c>
      <c r="J629" s="15" t="n">
        <f aca="false">I629*(1+IF(J$3&lt;=$O$2,$D629,$D629-($D629-$I$616)*MIN(J$3-$O$2,$Q$2)/$Q$2))</f>
        <v>11595.608478022</v>
      </c>
      <c r="K629" s="15" t="n">
        <f aca="false">J629*(1+IF(K$3&lt;=$O$2,$D629,$D629-($D629-$I$616)*MIN(K$3-$O$2,$Q$2)/$Q$2))</f>
        <v>12375.4661437234</v>
      </c>
      <c r="L629" s="15" t="n">
        <f aca="false">K629*(1+IF(L$3&lt;=$O$2,$D629,$D629-($D629-$I$616)*MIN(L$3-$O$2,$Q$2)/$Q$2))</f>
        <v>13026.4533693816</v>
      </c>
      <c r="M629" s="15" t="n">
        <f aca="false">L629*(1+IF(M$3&lt;=$O$2,$D629,$D629-($D629-$I$616)*MIN(M$3-$O$2,$Q$2)/$Q$2))</f>
        <v>13520.8271197372</v>
      </c>
      <c r="N629" s="15" t="n">
        <f aca="false">M629*(1+IF(N$3&lt;=$O$2,$D629,$D629-($D629-$I$616)*MIN(N$3-$O$2,$Q$2)/$Q$2))</f>
        <v>13835.8623916271</v>
      </c>
      <c r="O629" s="15" t="n">
        <f aca="false">SUMPRODUCT(E629:N629,1/(1+$F$616)^$E$3:$N$3)*$E$2</f>
        <v>42077.8974956659</v>
      </c>
      <c r="P629" s="15" t="n">
        <f aca="false">N629*$E$2*(1+$I$616)/($F$616-$I$616)/(1+$F$616)^$N$3</f>
        <v>59480.53701692</v>
      </c>
      <c r="Q629" s="15" t="n">
        <f aca="false">O629+P629</f>
        <v>101558.434512586</v>
      </c>
      <c r="R629" s="15" t="n">
        <f aca="false">Q629-$G$2+$I$2</f>
        <v>99968.4345125859</v>
      </c>
      <c r="S629" s="42" t="n">
        <f aca="false">R629/$K$2</f>
        <v>278.014446055359</v>
      </c>
      <c r="T629" s="43" t="n">
        <f aca="false">S629-$M$2</f>
        <v>-0.00435365541483179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0.0965576171875</v>
      </c>
      <c r="C630" s="25" t="n">
        <f aca="false">IF(T629&gt;0,D629,C629)</f>
        <v>0.096923828125</v>
      </c>
      <c r="D630" s="41" t="n">
        <f aca="false">(B630+C630)/2</f>
        <v>0.09674072265625</v>
      </c>
      <c r="E630" s="15" t="n">
        <f aca="false">$C$2*(1+IF(E$3&lt;=$O$2,$D630,$D630-($D630-$I$616)*MIN(E$3-$O$2,$Q$2)/$Q$2))</f>
        <v>7413.96728515625</v>
      </c>
      <c r="F630" s="15" t="n">
        <f aca="false">E630*(1+IF(F$3&lt;=$O$2,$D630,$D630-($D630-$I$616)*MIN(F$3-$O$2,$Q$2)/$Q$2))</f>
        <v>8131.19983807206</v>
      </c>
      <c r="G630" s="15" t="n">
        <f aca="false">F630*(1+IF(G$3&lt;=$O$2,$D630,$D630-($D630-$I$616)*MIN(G$3-$O$2,$Q$2)/$Q$2))</f>
        <v>8917.81798646954</v>
      </c>
      <c r="H630" s="15" t="n">
        <f aca="false">G630*(1+IF(H$3&lt;=$O$2,$D630,$D630-($D630-$I$616)*MIN(H$3-$O$2,$Q$2)/$Q$2))</f>
        <v>9780.5341429975</v>
      </c>
      <c r="I630" s="15" t="n">
        <f aca="false">H630*(1+IF(I$3&lt;=$O$2,$D630,$D630-($D630-$I$616)*MIN(I$3-$O$2,$Q$2)/$Q$2))</f>
        <v>10726.7100839552</v>
      </c>
      <c r="J630" s="15" t="n">
        <f aca="false">I630*(1+IF(J$3&lt;=$O$2,$D630,$D630-($D630-$I$616)*MIN(J$3-$O$2,$Q$2)/$Q$2))</f>
        <v>11606.8643011432</v>
      </c>
      <c r="K630" s="15" t="n">
        <f aca="false">J630*(1+IF(K$3&lt;=$O$2,$D630,$D630-($D630-$I$616)*MIN(K$3-$O$2,$Q$2)/$Q$2))</f>
        <v>12388.7541405892</v>
      </c>
      <c r="L630" s="15" t="n">
        <f aca="false">K630*(1+IF(L$3&lt;=$O$2,$D630,$D630-($D630-$I$616)*MIN(L$3-$O$2,$Q$2)/$Q$2))</f>
        <v>13041.3477348231</v>
      </c>
      <c r="M630" s="15" t="n">
        <f aca="false">L630*(1+IF(M$3&lt;=$O$2,$D630,$D630-($D630-$I$616)*MIN(M$3-$O$2,$Q$2)/$Q$2))</f>
        <v>13536.7643374559</v>
      </c>
      <c r="N630" s="15" t="n">
        <f aca="false">M630*(1+IF(N$3&lt;=$O$2,$D630,$D630-($D630-$I$616)*MIN(N$3-$O$2,$Q$2)/$Q$2))</f>
        <v>13852.1709465186</v>
      </c>
      <c r="O630" s="15" t="n">
        <f aca="false">SUMPRODUCT(E630:N630,1/(1+$F$616)^$E$3:$N$3)*$E$2</f>
        <v>42111.4222702285</v>
      </c>
      <c r="P630" s="15" t="n">
        <f aca="false">N630*$E$2*(1+$I$616)/($F$616-$I$616)/(1+$F$616)^$N$3</f>
        <v>59550.6476884096</v>
      </c>
      <c r="Q630" s="15" t="n">
        <f aca="false">O630+P630</f>
        <v>101662.069958638</v>
      </c>
      <c r="R630" s="15" t="n">
        <f aca="false">Q630-$G$2+$I$2</f>
        <v>100072.069958638</v>
      </c>
      <c r="S630" s="42" t="n">
        <f aca="false">R630/$K$2</f>
        <v>278.302658542294</v>
      </c>
      <c r="T630" s="43" t="n">
        <f aca="false">S630-$M$2</f>
        <v>0.28385883152032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0.0965576171875</v>
      </c>
      <c r="C631" s="25" t="n">
        <f aca="false">IF(T630&gt;0,D630,C630)</f>
        <v>0.09674072265625</v>
      </c>
      <c r="D631" s="41" t="n">
        <f aca="false">(B631+C631)/2</f>
        <v>0.096649169921875</v>
      </c>
      <c r="E631" s="15" t="n">
        <f aca="false">$C$2*(1+IF(E$3&lt;=$O$2,$D631,$D631-($D631-$I$616)*MIN(E$3-$O$2,$Q$2)/$Q$2))</f>
        <v>7413.34838867188</v>
      </c>
      <c r="F631" s="15" t="n">
        <f aca="false">E631*(1+IF(F$3&lt;=$O$2,$D631,$D631-($D631-$I$616)*MIN(F$3-$O$2,$Q$2)/$Q$2))</f>
        <v>8129.84235677868</v>
      </c>
      <c r="G631" s="15" t="n">
        <f aca="false">F631*(1+IF(G$3&lt;=$O$2,$D631,$D631-($D631-$I$616)*MIN(G$3-$O$2,$Q$2)/$Q$2))</f>
        <v>8915.58487215704</v>
      </c>
      <c r="H631" s="15" t="n">
        <f aca="false">G631*(1+IF(H$3&lt;=$O$2,$D631,$D631-($D631-$I$616)*MIN(H$3-$O$2,$Q$2)/$Q$2))</f>
        <v>9777.26874941904</v>
      </c>
      <c r="I631" s="15" t="n">
        <f aca="false">H631*(1+IF(I$3&lt;=$O$2,$D631,$D631-($D631-$I$616)*MIN(I$3-$O$2,$Q$2)/$Q$2))</f>
        <v>10722.2336581535</v>
      </c>
      <c r="J631" s="15" t="n">
        <f aca="false">I631*(1+IF(J$3&lt;=$O$2,$D631,$D631-($D631-$I$616)*MIN(J$3-$O$2,$Q$2)/$Q$2))</f>
        <v>11601.2352532156</v>
      </c>
      <c r="K631" s="15" t="n">
        <f aca="false">J631*(1+IF(K$3&lt;=$O$2,$D631,$D631-($D631-$I$616)*MIN(K$3-$O$2,$Q$2)/$Q$2))</f>
        <v>12382.1086201506</v>
      </c>
      <c r="L631" s="15" t="n">
        <f aca="false">K631*(1+IF(L$3&lt;=$O$2,$D631,$D631-($D631-$I$616)*MIN(L$3-$O$2,$Q$2)/$Q$2))</f>
        <v>13033.8987066683</v>
      </c>
      <c r="M631" s="15" t="n">
        <f aca="false">L631*(1+IF(M$3&lt;=$O$2,$D631,$D631-($D631-$I$616)*MIN(M$3-$O$2,$Q$2)/$Q$2))</f>
        <v>13528.7936767297</v>
      </c>
      <c r="N631" s="15" t="n">
        <f aca="false">M631*(1+IF(N$3&lt;=$O$2,$D631,$D631-($D631-$I$616)*MIN(N$3-$O$2,$Q$2)/$Q$2))</f>
        <v>13844.0145693975</v>
      </c>
      <c r="O631" s="15" t="n">
        <f aca="false">SUMPRODUCT(E631:N631,1/(1+$F$616)^$E$3:$N$3)*$E$2</f>
        <v>42094.6565649268</v>
      </c>
      <c r="P631" s="15" t="n">
        <f aca="false">N631*$E$2*(1+$I$616)/($F$616-$I$616)/(1+$F$616)^$N$3</f>
        <v>59515.5833261354</v>
      </c>
      <c r="Q631" s="15" t="n">
        <f aca="false">O631+P631</f>
        <v>101610.239891062</v>
      </c>
      <c r="R631" s="15" t="n">
        <f aca="false">Q631-$G$2+$I$2</f>
        <v>100020.239891062</v>
      </c>
      <c r="S631" s="42" t="n">
        <f aca="false">R631/$K$2</f>
        <v>278.158517968358</v>
      </c>
      <c r="T631" s="43" t="n">
        <f aca="false">S631-$M$2</f>
        <v>0.13971825758432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0.0965576171875</v>
      </c>
      <c r="C632" s="25" t="n">
        <f aca="false">IF(T631&gt;0,D631,C631)</f>
        <v>0.096649169921875</v>
      </c>
      <c r="D632" s="41" t="n">
        <f aca="false">(B632+C632)/2</f>
        <v>0.0966033935546875</v>
      </c>
      <c r="E632" s="15" t="n">
        <f aca="false">$C$2*(1+IF(E$3&lt;=$O$2,$D632,$D632-($D632-$I$616)*MIN(E$3-$O$2,$Q$2)/$Q$2))</f>
        <v>7413.03894042969</v>
      </c>
      <c r="F632" s="15" t="n">
        <f aca="false">E632*(1+IF(F$3&lt;=$O$2,$D632,$D632-($D632-$I$616)*MIN(F$3-$O$2,$Q$2)/$Q$2))</f>
        <v>8129.16365862824</v>
      </c>
      <c r="G632" s="15" t="n">
        <f aca="false">F632*(1+IF(G$3&lt;=$O$2,$D632,$D632-($D632-$I$616)*MIN(G$3-$O$2,$Q$2)/$Q$2))</f>
        <v>8914.46845481317</v>
      </c>
      <c r="H632" s="15" t="n">
        <f aca="false">G632*(1+IF(H$3&lt;=$O$2,$D632,$D632-($D632-$I$616)*MIN(H$3-$O$2,$Q$2)/$Q$2))</f>
        <v>9775.63635928433</v>
      </c>
      <c r="I632" s="15" t="n">
        <f aca="false">H632*(1+IF(I$3&lt;=$O$2,$D632,$D632-($D632-$I$616)*MIN(I$3-$O$2,$Q$2)/$Q$2))</f>
        <v>10719.9960057478</v>
      </c>
      <c r="J632" s="15" t="n">
        <f aca="false">I632*(1+IF(J$3&lt;=$O$2,$D632,$D632-($D632-$I$616)*MIN(J$3-$O$2,$Q$2)/$Q$2))</f>
        <v>11598.4215815729</v>
      </c>
      <c r="K632" s="15" t="n">
        <f aca="false">J632*(1+IF(K$3&lt;=$O$2,$D632,$D632-($D632-$I$616)*MIN(K$3-$O$2,$Q$2)/$Q$2))</f>
        <v>12378.7870015079</v>
      </c>
      <c r="L632" s="15" t="n">
        <f aca="false">K632*(1+IF(L$3&lt;=$O$2,$D632,$D632-($D632-$I$616)*MIN(L$3-$O$2,$Q$2)/$Q$2))</f>
        <v>13030.1755767635</v>
      </c>
      <c r="M632" s="15" t="n">
        <f aca="false">L632*(1+IF(M$3&lt;=$O$2,$D632,$D632-($D632-$I$616)*MIN(M$3-$O$2,$Q$2)/$Q$2))</f>
        <v>13524.8098853801</v>
      </c>
      <c r="N632" s="15" t="n">
        <f aca="false">M632*(1+IF(N$3&lt;=$O$2,$D632,$D632-($D632-$I$616)*MIN(N$3-$O$2,$Q$2)/$Q$2))</f>
        <v>13839.9379557095</v>
      </c>
      <c r="O632" s="15" t="n">
        <f aca="false">SUMPRODUCT(E632:N632,1/(1+$F$616)^$E$3:$N$3)*$E$2</f>
        <v>42086.2762009433</v>
      </c>
      <c r="P632" s="15" t="n">
        <f aca="false">N632*$E$2*(1+$I$616)/($F$616-$I$616)/(1+$F$616)^$N$3</f>
        <v>59498.0579153942</v>
      </c>
      <c r="Q632" s="15" t="n">
        <f aca="false">O632+P632</f>
        <v>101584.334116337</v>
      </c>
      <c r="R632" s="15" t="n">
        <f aca="false">Q632-$G$2+$I$2</f>
        <v>99994.3341163375</v>
      </c>
      <c r="S632" s="42" t="n">
        <f aca="false">R632/$K$2</f>
        <v>278.086473431051</v>
      </c>
      <c r="T632" s="43" t="n">
        <f aca="false">S632-$M$2</f>
        <v>0.0676737202777531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0.0965576171875</v>
      </c>
      <c r="C633" s="25" t="n">
        <f aca="false">IF(T632&gt;0,D632,C632)</f>
        <v>0.0966033935546875</v>
      </c>
      <c r="D633" s="41" t="n">
        <f aca="false">(B633+C633)/2</f>
        <v>0.0965805053710938</v>
      </c>
      <c r="E633" s="15" t="n">
        <f aca="false">$C$2*(1+IF(E$3&lt;=$O$2,$D633,$D633-($D633-$I$616)*MIN(E$3-$O$2,$Q$2)/$Q$2))</f>
        <v>7412.88421630859</v>
      </c>
      <c r="F633" s="15" t="n">
        <f aca="false">E633*(1+IF(F$3&lt;=$O$2,$D633,$D633-($D633-$I$616)*MIN(F$3-$O$2,$Q$2)/$Q$2))</f>
        <v>8128.82432017708</v>
      </c>
      <c r="G633" s="15" t="n">
        <f aca="false">F633*(1+IF(G$3&lt;=$O$2,$D633,$D633-($D633-$I$616)*MIN(G$3-$O$2,$Q$2)/$Q$2))</f>
        <v>8913.91028109262</v>
      </c>
      <c r="H633" s="15" t="n">
        <f aca="false">G633*(1+IF(H$3&lt;=$O$2,$D633,$D633-($D633-$I$616)*MIN(H$3-$O$2,$Q$2)/$Q$2))</f>
        <v>9774.82024087314</v>
      </c>
      <c r="I633" s="15" t="n">
        <f aca="false">H633*(1+IF(I$3&lt;=$O$2,$D633,$D633-($D633-$I$616)*MIN(I$3-$O$2,$Q$2)/$Q$2))</f>
        <v>10718.8773196483</v>
      </c>
      <c r="J633" s="15" t="n">
        <f aca="false">I633*(1+IF(J$3&lt;=$O$2,$D633,$D633-($D633-$I$616)*MIN(J$3-$O$2,$Q$2)/$Q$2))</f>
        <v>11597.0149587917</v>
      </c>
      <c r="K633" s="15" t="n">
        <f aca="false">J633*(1+IF(K$3&lt;=$O$2,$D633,$D633-($D633-$I$616)*MIN(K$3-$O$2,$Q$2)/$Q$2))</f>
        <v>12377.1264775174</v>
      </c>
      <c r="L633" s="15" t="n">
        <f aca="false">K633*(1+IF(L$3&lt;=$O$2,$D633,$D633-($D633-$I$616)*MIN(L$3-$O$2,$Q$2)/$Q$2))</f>
        <v>13028.3143577693</v>
      </c>
      <c r="M633" s="15" t="n">
        <f aca="false">L633*(1+IF(M$3&lt;=$O$2,$D633,$D633-($D633-$I$616)*MIN(M$3-$O$2,$Q$2)/$Q$2))</f>
        <v>13522.8183743595</v>
      </c>
      <c r="N633" s="15" t="n">
        <f aca="false">M633*(1+IF(N$3&lt;=$O$2,$D633,$D633-($D633-$I$616)*MIN(N$3-$O$2,$Q$2)/$Q$2))</f>
        <v>13837.9000424821</v>
      </c>
      <c r="O633" s="15" t="n">
        <f aca="false">SUMPRODUCT(E633:N633,1/(1+$F$616)^$E$3:$N$3)*$E$2</f>
        <v>42082.0866409853</v>
      </c>
      <c r="P633" s="15" t="n">
        <f aca="false">N633*$E$2*(1+$I$616)/($F$616-$I$616)/(1+$F$616)^$N$3</f>
        <v>59489.2969021861</v>
      </c>
      <c r="Q633" s="15" t="n">
        <f aca="false">O633+P633</f>
        <v>101571.383543171</v>
      </c>
      <c r="R633" s="15" t="n">
        <f aca="false">Q633-$G$2+$I$2</f>
        <v>99981.3835431714</v>
      </c>
      <c r="S633" s="42" t="n">
        <f aca="false">R633/$K$2</f>
        <v>278.05045759823</v>
      </c>
      <c r="T633" s="43" t="n">
        <f aca="false">S633-$M$2</f>
        <v>0.0316578874558218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0.0965576171875</v>
      </c>
      <c r="C634" s="25" t="n">
        <f aca="false">IF(T633&gt;0,D633,C633)</f>
        <v>0.0965805053710938</v>
      </c>
      <c r="D634" s="41" t="n">
        <f aca="false">(B634+C634)/2</f>
        <v>0.0965690612792969</v>
      </c>
      <c r="E634" s="15" t="n">
        <f aca="false">$C$2*(1+IF(E$3&lt;=$O$2,$D634,$D634-($D634-$I$616)*MIN(E$3-$O$2,$Q$2)/$Q$2))</f>
        <v>7412.80685424805</v>
      </c>
      <c r="F634" s="15" t="n">
        <f aca="false">E634*(1+IF(F$3&lt;=$O$2,$D634,$D634-($D634-$I$616)*MIN(F$3-$O$2,$Q$2)/$Q$2))</f>
        <v>8128.65465360752</v>
      </c>
      <c r="G634" s="15" t="n">
        <f aca="false">F634*(1+IF(G$3&lt;=$O$2,$D634,$D634-($D634-$I$616)*MIN(G$3-$O$2,$Q$2)/$Q$2))</f>
        <v>8913.63120296998</v>
      </c>
      <c r="H634" s="15" t="n">
        <f aca="false">G634*(1+IF(H$3&lt;=$O$2,$D634,$D634-($D634-$I$616)*MIN(H$3-$O$2,$Q$2)/$Q$2))</f>
        <v>9774.41220083065</v>
      </c>
      <c r="I634" s="15" t="n">
        <f aca="false">H634*(1+IF(I$3&lt;=$O$2,$D634,$D634-($D634-$I$616)*MIN(I$3-$O$2,$Q$2)/$Q$2))</f>
        <v>10718.3180116218</v>
      </c>
      <c r="J634" s="15" t="n">
        <f aca="false">I634*(1+IF(J$3&lt;=$O$2,$D634,$D634-($D634-$I$616)*MIN(J$3-$O$2,$Q$2)/$Q$2))</f>
        <v>11596.3117006562</v>
      </c>
      <c r="K634" s="15" t="n">
        <f aca="false">J634*(1+IF(K$3&lt;=$O$2,$D634,$D634-($D634-$I$616)*MIN(K$3-$O$2,$Q$2)/$Q$2))</f>
        <v>12376.296286847</v>
      </c>
      <c r="L634" s="15" t="n">
        <f aca="false">K634*(1+IF(L$3&lt;=$O$2,$D634,$D634-($D634-$I$616)*MIN(L$3-$O$2,$Q$2)/$Q$2))</f>
        <v>13027.3838347512</v>
      </c>
      <c r="M634" s="15" t="n">
        <f aca="false">L634*(1+IF(M$3&lt;=$O$2,$D634,$D634-($D634-$I$616)*MIN(M$3-$O$2,$Q$2)/$Q$2))</f>
        <v>13521.8227150004</v>
      </c>
      <c r="N634" s="15" t="n">
        <f aca="false">M634*(1+IF(N$3&lt;=$O$2,$D634,$D634-($D634-$I$616)*MIN(N$3-$O$2,$Q$2)/$Q$2))</f>
        <v>13836.8811842599</v>
      </c>
      <c r="O634" s="15" t="n">
        <f aca="false">SUMPRODUCT(E634:N634,1/(1+$F$616)^$E$3:$N$3)*$E$2</f>
        <v>42079.9920164982</v>
      </c>
      <c r="P634" s="15" t="n">
        <f aca="false">N634*$E$2*(1+$I$616)/($F$616-$I$616)/(1+$F$616)^$N$3</f>
        <v>59484.9168185681</v>
      </c>
      <c r="Q634" s="15" t="n">
        <f aca="false">O634+P634</f>
        <v>101564.908835066</v>
      </c>
      <c r="R634" s="15" t="n">
        <f aca="false">Q634-$G$2+$I$2</f>
        <v>99974.9088350663</v>
      </c>
      <c r="S634" s="42" t="n">
        <f aca="false">R634/$K$2</f>
        <v>278.032451290579</v>
      </c>
      <c r="T634" s="43" t="n">
        <f aca="false">S634-$M$2</f>
        <v>0.0136515798049004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0.0965576171875</v>
      </c>
      <c r="C635" s="25" t="n">
        <f aca="false">IF(T634&gt;0,D634,C634)</f>
        <v>0.0965690612792969</v>
      </c>
      <c r="D635" s="41" t="n">
        <f aca="false">(B635+C635)/2</f>
        <v>0.0965633392333984</v>
      </c>
      <c r="E635" s="15" t="n">
        <f aca="false">$C$2*(1+IF(E$3&lt;=$O$2,$D635,$D635-($D635-$I$616)*MIN(E$3-$O$2,$Q$2)/$Q$2))</f>
        <v>7412.76817321777</v>
      </c>
      <c r="F635" s="15" t="n">
        <f aca="false">E635*(1+IF(F$3&lt;=$O$2,$D635,$D635-($D635-$I$616)*MIN(F$3-$O$2,$Q$2)/$Q$2))</f>
        <v>8128.56982098674</v>
      </c>
      <c r="G635" s="15" t="n">
        <f aca="false">F635*(1+IF(G$3&lt;=$O$2,$D635,$D635-($D635-$I$616)*MIN(G$3-$O$2,$Q$2)/$Q$2))</f>
        <v>8913.49166609305</v>
      </c>
      <c r="H635" s="15" t="n">
        <f aca="false">G635*(1+IF(H$3&lt;=$O$2,$D635,$D635-($D635-$I$616)*MIN(H$3-$O$2,$Q$2)/$Q$2))</f>
        <v>9774.20818560006</v>
      </c>
      <c r="I635" s="15" t="n">
        <f aca="false">H635*(1+IF(I$3&lt;=$O$2,$D635,$D635-($D635-$I$616)*MIN(I$3-$O$2,$Q$2)/$Q$2))</f>
        <v>10718.038366364</v>
      </c>
      <c r="J635" s="15" t="n">
        <f aca="false">I635*(1+IF(J$3&lt;=$O$2,$D635,$D635-($D635-$I$616)*MIN(J$3-$O$2,$Q$2)/$Q$2))</f>
        <v>11595.9600849015</v>
      </c>
      <c r="K635" s="15" t="n">
        <f aca="false">J635*(1+IF(K$3&lt;=$O$2,$D635,$D635-($D635-$I$616)*MIN(K$3-$O$2,$Q$2)/$Q$2))</f>
        <v>12375.881209342</v>
      </c>
      <c r="L635" s="15" t="n">
        <f aca="false">K635*(1+IF(L$3&lt;=$O$2,$D635,$D635-($D635-$I$616)*MIN(L$3-$O$2,$Q$2)/$Q$2))</f>
        <v>13026.9185948605</v>
      </c>
      <c r="M635" s="15" t="n">
        <f aca="false">L635*(1+IF(M$3&lt;=$O$2,$D635,$D635-($D635-$I$616)*MIN(M$3-$O$2,$Q$2)/$Q$2))</f>
        <v>13521.324909357</v>
      </c>
      <c r="N635" s="15" t="n">
        <f aca="false">M635*(1+IF(N$3&lt;=$O$2,$D635,$D635-($D635-$I$616)*MIN(N$3-$O$2,$Q$2)/$Q$2))</f>
        <v>13836.371779745</v>
      </c>
      <c r="O635" s="15" t="n">
        <f aca="false">SUMPRODUCT(E635:N635,1/(1+$F$616)^$E$3:$N$3)*$E$2</f>
        <v>42078.9447431255</v>
      </c>
      <c r="P635" s="15" t="n">
        <f aca="false">N635*$E$2*(1+$I$616)/($F$616-$I$616)/(1+$F$616)^$N$3</f>
        <v>59482.7268824988</v>
      </c>
      <c r="Q635" s="15" t="n">
        <f aca="false">O635+P635</f>
        <v>101561.671625624</v>
      </c>
      <c r="R635" s="15" t="n">
        <f aca="false">Q635-$G$2+$I$2</f>
        <v>99971.6716256242</v>
      </c>
      <c r="S635" s="42" t="n">
        <f aca="false">R635/$K$2</f>
        <v>278.023448538918</v>
      </c>
      <c r="T635" s="43" t="n">
        <f aca="false">S635-$M$2</f>
        <v>0.00464882814458179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0.0965576171875</v>
      </c>
      <c r="C636" s="25" t="n">
        <f aca="false">IF(T635&gt;0,D635,C635)</f>
        <v>0.0965633392333984</v>
      </c>
      <c r="D636" s="41" t="n">
        <f aca="false">(B636+C636)/2</f>
        <v>0.0965604782104492</v>
      </c>
      <c r="E636" s="15" t="n">
        <f aca="false">$C$2*(1+IF(E$3&lt;=$O$2,$D636,$D636-($D636-$I$616)*MIN(E$3-$O$2,$Q$2)/$Q$2))</f>
        <v>7412.74883270264</v>
      </c>
      <c r="F636" s="15" t="n">
        <f aca="false">E636*(1+IF(F$3&lt;=$O$2,$D636,$D636-($D636-$I$616)*MIN(F$3-$O$2,$Q$2)/$Q$2))</f>
        <v>8128.52740484235</v>
      </c>
      <c r="G636" s="15" t="n">
        <f aca="false">F636*(1+IF(G$3&lt;=$O$2,$D636,$D636-($D636-$I$616)*MIN(G$3-$O$2,$Q$2)/$Q$2))</f>
        <v>8913.42189820067</v>
      </c>
      <c r="H636" s="15" t="n">
        <f aca="false">G636*(1+IF(H$3&lt;=$O$2,$D636,$D636-($D636-$I$616)*MIN(H$3-$O$2,$Q$2)/$Q$2))</f>
        <v>9774.10617918242</v>
      </c>
      <c r="I636" s="15" t="n">
        <f aca="false">H636*(1+IF(I$3&lt;=$O$2,$D636,$D636-($D636-$I$616)*MIN(I$3-$O$2,$Q$2)/$Q$2))</f>
        <v>10717.898545924</v>
      </c>
      <c r="J636" s="15" t="n">
        <f aca="false">I636*(1+IF(J$3&lt;=$O$2,$D636,$D636-($D636-$I$616)*MIN(J$3-$O$2,$Q$2)/$Q$2))</f>
        <v>11595.7842803524</v>
      </c>
      <c r="K636" s="15" t="n">
        <f aca="false">J636*(1+IF(K$3&lt;=$O$2,$D636,$D636-($D636-$I$616)*MIN(K$3-$O$2,$Q$2)/$Q$2))</f>
        <v>12375.6736750469</v>
      </c>
      <c r="L636" s="15" t="n">
        <f aca="false">K636*(1+IF(L$3&lt;=$O$2,$D636,$D636-($D636-$I$616)*MIN(L$3-$O$2,$Q$2)/$Q$2))</f>
        <v>13026.6859803196</v>
      </c>
      <c r="M636" s="15" t="n">
        <f aca="false">L636*(1+IF(M$3&lt;=$O$2,$D636,$D636-($D636-$I$616)*MIN(M$3-$O$2,$Q$2)/$Q$2))</f>
        <v>13521.0760125442</v>
      </c>
      <c r="N636" s="15" t="n">
        <f aca="false">M636*(1+IF(N$3&lt;=$O$2,$D636,$D636-($D636-$I$616)*MIN(N$3-$O$2,$Q$2)/$Q$2))</f>
        <v>13836.1170836365</v>
      </c>
      <c r="O636" s="15" t="n">
        <f aca="false">SUMPRODUCT(E636:N636,1/(1+$F$616)^$E$3:$N$3)*$E$2</f>
        <v>42078.4211161566</v>
      </c>
      <c r="P636" s="15" t="n">
        <f aca="false">N636*$E$2*(1+$I$616)/($F$616-$I$616)/(1+$F$616)^$N$3</f>
        <v>59481.6319408982</v>
      </c>
      <c r="Q636" s="15" t="n">
        <f aca="false">O636+P636</f>
        <v>101560.053057055</v>
      </c>
      <c r="R636" s="15" t="n">
        <f aca="false">Q636-$G$2+$I$2</f>
        <v>99970.0530570548</v>
      </c>
      <c r="S636" s="42" t="n">
        <f aca="false">R636/$K$2</f>
        <v>278.018947263626</v>
      </c>
      <c r="T636" s="43" t="n">
        <f aca="false">S636-$M$2</f>
        <v>0.000147552852638455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0.0965576171875</v>
      </c>
      <c r="C637" s="25" t="n">
        <f aca="false">IF(T636&gt;0,D636,C636)</f>
        <v>0.0965604782104492</v>
      </c>
      <c r="D637" s="41" t="n">
        <f aca="false">(B637+C637)/2</f>
        <v>0.0965590476989746</v>
      </c>
      <c r="E637" s="15" t="n">
        <f aca="false">$C$2*(1+IF(E$3&lt;=$O$2,$D637,$D637-($D637-$I$616)*MIN(E$3-$O$2,$Q$2)/$Q$2))</f>
        <v>7412.73916244507</v>
      </c>
      <c r="F637" s="15" t="n">
        <f aca="false">E637*(1+IF(F$3&lt;=$O$2,$D637,$D637-($D637-$I$616)*MIN(F$3-$O$2,$Q$2)/$Q$2))</f>
        <v>8128.50619681166</v>
      </c>
      <c r="G637" s="15" t="n">
        <f aca="false">F637*(1+IF(G$3&lt;=$O$2,$D637,$D637-($D637-$I$616)*MIN(G$3-$O$2,$Q$2)/$Q$2))</f>
        <v>8913.38701439101</v>
      </c>
      <c r="H637" s="15" t="n">
        <f aca="false">G637*(1+IF(H$3&lt;=$O$2,$D637,$D637-($D637-$I$616)*MIN(H$3-$O$2,$Q$2)/$Q$2))</f>
        <v>9774.05517627301</v>
      </c>
      <c r="I637" s="15" t="n">
        <f aca="false">H637*(1+IF(I$3&lt;=$O$2,$D637,$D637-($D637-$I$616)*MIN(I$3-$O$2,$Q$2)/$Q$2))</f>
        <v>10717.8286362512</v>
      </c>
      <c r="J637" s="15" t="n">
        <f aca="false">I637*(1+IF(J$3&lt;=$O$2,$D637,$D637-($D637-$I$616)*MIN(J$3-$O$2,$Q$2)/$Q$2))</f>
        <v>11595.6963789099</v>
      </c>
      <c r="K637" s="15" t="n">
        <f aca="false">J637*(1+IF(K$3&lt;=$O$2,$D637,$D637-($D637-$I$616)*MIN(K$3-$O$2,$Q$2)/$Q$2))</f>
        <v>12375.5699090137</v>
      </c>
      <c r="L637" s="15" t="n">
        <f aca="false">K637*(1+IF(L$3&lt;=$O$2,$D637,$D637-($D637-$I$616)*MIN(L$3-$O$2,$Q$2)/$Q$2))</f>
        <v>13026.5696744003</v>
      </c>
      <c r="M637" s="15" t="n">
        <f aca="false">L637*(1+IF(M$3&lt;=$O$2,$D637,$D637-($D637-$I$616)*MIN(M$3-$O$2,$Q$2)/$Q$2))</f>
        <v>13520.95156564</v>
      </c>
      <c r="N637" s="15" t="n">
        <f aca="false">M637*(1+IF(N$3&lt;=$O$2,$D637,$D637-($D637-$I$616)*MIN(N$3-$O$2,$Q$2)/$Q$2))</f>
        <v>13835.9897371194</v>
      </c>
      <c r="O637" s="15" t="n">
        <f aca="false">SUMPRODUCT(E637:N637,1/(1+$F$616)^$E$3:$N$3)*$E$2</f>
        <v>42078.1593051015</v>
      </c>
      <c r="P637" s="15" t="n">
        <f aca="false">N637*$E$2*(1+$I$616)/($F$616-$I$616)/(1+$F$616)^$N$3</f>
        <v>59481.0844767063</v>
      </c>
      <c r="Q637" s="15" t="n">
        <f aca="false">O637+P637</f>
        <v>101559.243781808</v>
      </c>
      <c r="R637" s="15" t="n">
        <f aca="false">Q637-$G$2+$I$2</f>
        <v>99969.2437818078</v>
      </c>
      <c r="S637" s="42" t="n">
        <f aca="false">R637/$K$2</f>
        <v>278.016696651115</v>
      </c>
      <c r="T637" s="43" t="n">
        <f aca="false">S637-$M$2</f>
        <v>-0.00210305965913449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0.0965590476989746</v>
      </c>
      <c r="C638" s="25" t="n">
        <f aca="false">IF(T637&gt;0,D637,C637)</f>
        <v>0.0965604782104492</v>
      </c>
      <c r="D638" s="41" t="n">
        <f aca="false">(B638+C638)/2</f>
        <v>0.0965597629547119</v>
      </c>
      <c r="E638" s="15" t="n">
        <f aca="false">$C$2*(1+IF(E$3&lt;=$O$2,$D638,$D638-($D638-$I$616)*MIN(E$3-$O$2,$Q$2)/$Q$2))</f>
        <v>7412.74399757385</v>
      </c>
      <c r="F638" s="15" t="n">
        <f aca="false">E638*(1+IF(F$3&lt;=$O$2,$D638,$D638-($D638-$I$616)*MIN(F$3-$O$2,$Q$2)/$Q$2))</f>
        <v>8128.51680082355</v>
      </c>
      <c r="G638" s="15" t="n">
        <f aca="false">F638*(1+IF(G$3&lt;=$O$2,$D638,$D638-($D638-$I$616)*MIN(G$3-$O$2,$Q$2)/$Q$2))</f>
        <v>8913.40445628446</v>
      </c>
      <c r="H638" s="15" t="n">
        <f aca="false">G638*(1+IF(H$3&lt;=$O$2,$D638,$D638-($D638-$I$616)*MIN(H$3-$O$2,$Q$2)/$Q$2))</f>
        <v>9774.08067770276</v>
      </c>
      <c r="I638" s="15" t="n">
        <f aca="false">H638*(1+IF(I$3&lt;=$O$2,$D638,$D638-($D638-$I$616)*MIN(I$3-$O$2,$Q$2)/$Q$2))</f>
        <v>10717.863591042</v>
      </c>
      <c r="J638" s="15" t="n">
        <f aca="false">I638*(1+IF(J$3&lt;=$O$2,$D638,$D638-($D638-$I$616)*MIN(J$3-$O$2,$Q$2)/$Q$2))</f>
        <v>11595.7403295618</v>
      </c>
      <c r="K638" s="15" t="n">
        <f aca="false">J638*(1+IF(K$3&lt;=$O$2,$D638,$D638-($D638-$I$616)*MIN(K$3-$O$2,$Q$2)/$Q$2))</f>
        <v>12375.6217919374</v>
      </c>
      <c r="L638" s="15" t="n">
        <f aca="false">K638*(1+IF(L$3&lt;=$O$2,$D638,$D638-($D638-$I$616)*MIN(L$3-$O$2,$Q$2)/$Q$2))</f>
        <v>13026.6278272474</v>
      </c>
      <c r="M638" s="15" t="n">
        <f aca="false">L638*(1+IF(M$3&lt;=$O$2,$D638,$D638-($D638-$I$616)*MIN(M$3-$O$2,$Q$2)/$Q$2))</f>
        <v>13521.0137889669</v>
      </c>
      <c r="N638" s="15" t="n">
        <f aca="false">M638*(1+IF(N$3&lt;=$O$2,$D638,$D638-($D638-$I$616)*MIN(N$3-$O$2,$Q$2)/$Q$2))</f>
        <v>13836.0534102498</v>
      </c>
      <c r="O638" s="15" t="n">
        <f aca="false">SUMPRODUCT(E638:N638,1/(1+$F$616)^$E$3:$N$3)*$E$2</f>
        <v>42078.2902104266</v>
      </c>
      <c r="P638" s="15" t="n">
        <f aca="false">N638*$E$2*(1+$I$616)/($F$616-$I$616)/(1+$F$616)^$N$3</f>
        <v>59481.3582082515</v>
      </c>
      <c r="Q638" s="15" t="n">
        <f aca="false">O638+P638</f>
        <v>101559.648418678</v>
      </c>
      <c r="R638" s="15" t="n">
        <f aca="false">Q638-$G$2+$I$2</f>
        <v>99969.6484186781</v>
      </c>
      <c r="S638" s="42" t="n">
        <f aca="false">R638/$K$2</f>
        <v>278.017821955276</v>
      </c>
      <c r="T638" s="43" t="n">
        <f aca="false">S638-$M$2</f>
        <v>-0.000977755497729049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0.0965597629547119</v>
      </c>
      <c r="C639" s="25" t="n">
        <f aca="false">IF(T638&gt;0,D638,C638)</f>
        <v>0.0965604782104492</v>
      </c>
      <c r="D639" s="41" t="n">
        <f aca="false">(B639+C639)/2</f>
        <v>0.0965601205825806</v>
      </c>
      <c r="E639" s="15" t="n">
        <f aca="false">$C$2*(1+IF(E$3&lt;=$O$2,$D639,$D639-($D639-$I$616)*MIN(E$3-$O$2,$Q$2)/$Q$2))</f>
        <v>7412.74641513825</v>
      </c>
      <c r="F639" s="15" t="n">
        <f aca="false">E639*(1+IF(F$3&lt;=$O$2,$D639,$D639-($D639-$I$616)*MIN(F$3-$O$2,$Q$2)/$Q$2))</f>
        <v>8128.52210283209</v>
      </c>
      <c r="G639" s="15" t="n">
        <f aca="false">F639*(1+IF(G$3&lt;=$O$2,$D639,$D639-($D639-$I$616)*MIN(G$3-$O$2,$Q$2)/$Q$2))</f>
        <v>8913.41317723972</v>
      </c>
      <c r="H639" s="15" t="n">
        <f aca="false">G639*(1+IF(H$3&lt;=$O$2,$D639,$D639-($D639-$I$616)*MIN(H$3-$O$2,$Q$2)/$Q$2))</f>
        <v>9774.09342843635</v>
      </c>
      <c r="I639" s="15" t="n">
        <f aca="false">H639*(1+IF(I$3&lt;=$O$2,$D639,$D639-($D639-$I$616)*MIN(I$3-$O$2,$Q$2)/$Q$2))</f>
        <v>10717.8810684716</v>
      </c>
      <c r="J639" s="15" t="n">
        <f aca="false">I639*(1+IF(J$3&lt;=$O$2,$D639,$D639-($D639-$I$616)*MIN(J$3-$O$2,$Q$2)/$Q$2))</f>
        <v>11595.7623049398</v>
      </c>
      <c r="K639" s="15" t="n">
        <f aca="false">J639*(1+IF(K$3&lt;=$O$2,$D639,$D639-($D639-$I$616)*MIN(K$3-$O$2,$Q$2)/$Q$2))</f>
        <v>12375.6477334689</v>
      </c>
      <c r="L639" s="15" t="n">
        <f aca="false">K639*(1+IF(L$3&lt;=$O$2,$D639,$D639-($D639-$I$616)*MIN(L$3-$O$2,$Q$2)/$Q$2))</f>
        <v>13026.6569037554</v>
      </c>
      <c r="M639" s="15" t="n">
        <f aca="false">L639*(1+IF(M$3&lt;=$O$2,$D639,$D639-($D639-$I$616)*MIN(M$3-$O$2,$Q$2)/$Q$2))</f>
        <v>13521.0449007243</v>
      </c>
      <c r="N639" s="15" t="n">
        <f aca="false">M639*(1+IF(N$3&lt;=$O$2,$D639,$D639-($D639-$I$616)*MIN(N$3-$O$2,$Q$2)/$Q$2))</f>
        <v>13836.0852469111</v>
      </c>
      <c r="O639" s="15" t="n">
        <f aca="false">SUMPRODUCT(E639:N639,1/(1+$F$616)^$E$3:$N$3)*$E$2</f>
        <v>42078.355663241</v>
      </c>
      <c r="P639" s="15" t="n">
        <f aca="false">N639*$E$2*(1+$I$616)/($F$616-$I$616)/(1+$F$616)^$N$3</f>
        <v>59481.4950744372</v>
      </c>
      <c r="Q639" s="15" t="n">
        <f aca="false">O639+P639</f>
        <v>101559.850737678</v>
      </c>
      <c r="R639" s="15" t="n">
        <f aca="false">Q639-$G$2+$I$2</f>
        <v>99969.8507376782</v>
      </c>
      <c r="S639" s="42" t="n">
        <f aca="false">R639/$K$2</f>
        <v>278.018384608928</v>
      </c>
      <c r="T639" s="43" t="n">
        <f aca="false">S639-$M$2</f>
        <v>-0.000415101846101607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0.0965601205825806</v>
      </c>
      <c r="C640" s="25" t="n">
        <f aca="false">IF(T639&gt;0,D639,C639)</f>
        <v>0.0965604782104492</v>
      </c>
      <c r="D640" s="41" t="n">
        <f aca="false">(B640+C640)/2</f>
        <v>0.0965602993965149</v>
      </c>
      <c r="E640" s="15" t="n">
        <f aca="false">$C$2*(1+IF(E$3&lt;=$O$2,$D640,$D640-($D640-$I$616)*MIN(E$3-$O$2,$Q$2)/$Q$2))</f>
        <v>7412.74762392044</v>
      </c>
      <c r="F640" s="15" t="n">
        <f aca="false">E640*(1+IF(F$3&lt;=$O$2,$D640,$D640-($D640-$I$616)*MIN(F$3-$O$2,$Q$2)/$Q$2))</f>
        <v>8128.524753837</v>
      </c>
      <c r="G640" s="15" t="n">
        <f aca="false">F640*(1+IF(G$3&lt;=$O$2,$D640,$D640-($D640-$I$616)*MIN(G$3-$O$2,$Q$2)/$Q$2))</f>
        <v>8913.41753771949</v>
      </c>
      <c r="H640" s="15" t="n">
        <f aca="false">G640*(1+IF(H$3&lt;=$O$2,$D640,$D640-($D640-$I$616)*MIN(H$3-$O$2,$Q$2)/$Q$2))</f>
        <v>9774.09980380783</v>
      </c>
      <c r="I640" s="15" t="n">
        <f aca="false">H640*(1+IF(I$3&lt;=$O$2,$D640,$D640-($D640-$I$616)*MIN(I$3-$O$2,$Q$2)/$Q$2))</f>
        <v>10717.8898071949</v>
      </c>
      <c r="J640" s="15" t="n">
        <f aca="false">I640*(1+IF(J$3&lt;=$O$2,$D640,$D640-($D640-$I$616)*MIN(J$3-$O$2,$Q$2)/$Q$2))</f>
        <v>11595.7732926417</v>
      </c>
      <c r="K640" s="15" t="n">
        <f aca="false">J640*(1+IF(K$3&lt;=$O$2,$D640,$D640-($D640-$I$616)*MIN(K$3-$O$2,$Q$2)/$Q$2))</f>
        <v>12375.6607042521</v>
      </c>
      <c r="L640" s="15" t="n">
        <f aca="false">K640*(1+IF(L$3&lt;=$O$2,$D640,$D640-($D640-$I$616)*MIN(L$3-$O$2,$Q$2)/$Q$2))</f>
        <v>13026.6714420305</v>
      </c>
      <c r="M640" s="15" t="n">
        <f aca="false">L640*(1+IF(M$3&lt;=$O$2,$D640,$D640-($D640-$I$616)*MIN(M$3-$O$2,$Q$2)/$Q$2))</f>
        <v>13521.0604566264</v>
      </c>
      <c r="N640" s="15" t="n">
        <f aca="false">M640*(1+IF(N$3&lt;=$O$2,$D640,$D640-($D640-$I$616)*MIN(N$3-$O$2,$Q$2)/$Q$2))</f>
        <v>13836.1011652658</v>
      </c>
      <c r="O640" s="15" t="n">
        <f aca="false">SUMPRODUCT(E640:N640,1/(1+$F$616)^$E$3:$N$3)*$E$2</f>
        <v>42078.3883896861</v>
      </c>
      <c r="P640" s="15" t="n">
        <f aca="false">N640*$E$2*(1+$I$616)/($F$616-$I$616)/(1+$F$616)^$N$3</f>
        <v>59481.5635076333</v>
      </c>
      <c r="Q640" s="15" t="n">
        <f aca="false">O640+P640</f>
        <v>101559.951897319</v>
      </c>
      <c r="R640" s="15" t="n">
        <f aca="false">Q640-$G$2+$I$2</f>
        <v>99969.9518973194</v>
      </c>
      <c r="S640" s="42" t="n">
        <f aca="false">R640/$K$2</f>
        <v>278.018665936146</v>
      </c>
      <c r="T640" s="43" t="n">
        <f aca="false">S640-$M$2</f>
        <v>-0.000133774627499861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0.0965602993965149</v>
      </c>
      <c r="C641" s="25" t="n">
        <f aca="false">IF(T640&gt;0,D640,C640)</f>
        <v>0.0965604782104492</v>
      </c>
      <c r="D641" s="41" t="n">
        <f aca="false">(B641+C641)/2</f>
        <v>0.0965603888034821</v>
      </c>
      <c r="E641" s="15" t="n">
        <f aca="false">$C$2*(1+IF(E$3&lt;=$O$2,$D641,$D641-($D641-$I$616)*MIN(E$3-$O$2,$Q$2)/$Q$2))</f>
        <v>7412.74822831154</v>
      </c>
      <c r="F641" s="15" t="n">
        <f aca="false">E641*(1+IF(F$3&lt;=$O$2,$D641,$D641-($D641-$I$616)*MIN(F$3-$O$2,$Q$2)/$Q$2))</f>
        <v>8128.52607933962</v>
      </c>
      <c r="G641" s="15" t="n">
        <f aca="false">F641*(1+IF(G$3&lt;=$O$2,$D641,$D641-($D641-$I$616)*MIN(G$3-$O$2,$Q$2)/$Q$2))</f>
        <v>8913.4197179599</v>
      </c>
      <c r="H641" s="15" t="n">
        <f aca="false">G641*(1+IF(H$3&lt;=$O$2,$D641,$D641-($D641-$I$616)*MIN(H$3-$O$2,$Q$2)/$Q$2))</f>
        <v>9774.10299149473</v>
      </c>
      <c r="I641" s="15" t="n">
        <f aca="false">H641*(1+IF(I$3&lt;=$O$2,$D641,$D641-($D641-$I$616)*MIN(I$3-$O$2,$Q$2)/$Q$2))</f>
        <v>10717.8941765587</v>
      </c>
      <c r="J641" s="15" t="n">
        <f aca="false">I641*(1+IF(J$3&lt;=$O$2,$D641,$D641-($D641-$I$616)*MIN(J$3-$O$2,$Q$2)/$Q$2))</f>
        <v>11595.778786496</v>
      </c>
      <c r="K641" s="15" t="n">
        <f aca="false">J641*(1+IF(K$3&lt;=$O$2,$D641,$D641-($D641-$I$616)*MIN(K$3-$O$2,$Q$2)/$Q$2))</f>
        <v>12375.667189648</v>
      </c>
      <c r="L641" s="15" t="n">
        <f aca="false">K641*(1+IF(L$3&lt;=$O$2,$D641,$D641-($D641-$I$616)*MIN(L$3-$O$2,$Q$2)/$Q$2))</f>
        <v>13026.6787111733</v>
      </c>
      <c r="M641" s="15" t="n">
        <f aca="false">L641*(1+IF(M$3&lt;=$O$2,$D641,$D641-($D641-$I$616)*MIN(M$3-$O$2,$Q$2)/$Q$2))</f>
        <v>13521.0682345833</v>
      </c>
      <c r="N641" s="15" t="n">
        <f aca="false">M641*(1+IF(N$3&lt;=$O$2,$D641,$D641-($D641-$I$616)*MIN(N$3-$O$2,$Q$2)/$Q$2))</f>
        <v>13836.1091244491</v>
      </c>
      <c r="O641" s="15" t="n">
        <f aca="false">SUMPRODUCT(E641:N641,1/(1+$F$616)^$E$3:$N$3)*$E$2</f>
        <v>42078.4047529182</v>
      </c>
      <c r="P641" s="15" t="n">
        <f aca="false">N641*$E$2*(1+$I$616)/($F$616-$I$616)/(1+$F$616)^$N$3</f>
        <v>59481.5977242571</v>
      </c>
      <c r="Q641" s="15" t="n">
        <f aca="false">O641+P641</f>
        <v>101560.002477175</v>
      </c>
      <c r="R641" s="15" t="n">
        <f aca="false">Q641-$G$2+$I$2</f>
        <v>99970.0024771753</v>
      </c>
      <c r="S641" s="42" t="n">
        <f aca="false">R641/$K$2</f>
        <v>278.018806599853</v>
      </c>
      <c r="T641" s="43" t="n">
        <f aca="false">S641-$M$2</f>
        <v>6.88907977064446E-006</v>
      </c>
    </row>
    <row r="643" customFormat="false" ht="15" hidden="false" customHeight="false" outlineLevel="0" collapsed="false">
      <c r="A643" s="38" t="s">
        <v>209</v>
      </c>
      <c r="E643" s="5" t="s">
        <v>11</v>
      </c>
      <c r="F643" s="12" t="n">
        <f aca="false">Sensitivity!$B$14</f>
        <v>0.0874202832668642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167</v>
      </c>
      <c r="B644" s="28" t="s">
        <v>168</v>
      </c>
      <c r="C644" s="28" t="s">
        <v>169</v>
      </c>
      <c r="D644" s="28" t="s">
        <v>170</v>
      </c>
      <c r="E644" s="28" t="s">
        <v>171</v>
      </c>
      <c r="F644" s="28" t="s">
        <v>172</v>
      </c>
      <c r="G644" s="28" t="s">
        <v>173</v>
      </c>
      <c r="H644" s="28" t="s">
        <v>174</v>
      </c>
      <c r="I644" s="28" t="s">
        <v>175</v>
      </c>
      <c r="J644" s="28" t="s">
        <v>176</v>
      </c>
      <c r="K644" s="28" t="s">
        <v>177</v>
      </c>
      <c r="L644" s="28" t="s">
        <v>178</v>
      </c>
      <c r="M644" s="28" t="s">
        <v>179</v>
      </c>
      <c r="N644" s="28" t="s">
        <v>180</v>
      </c>
      <c r="O644" s="28" t="s">
        <v>181</v>
      </c>
      <c r="P644" s="28" t="s">
        <v>182</v>
      </c>
      <c r="Q644" s="28" t="s">
        <v>183</v>
      </c>
      <c r="R644" s="28" t="s">
        <v>184</v>
      </c>
      <c r="S644" s="28" t="s">
        <v>185</v>
      </c>
      <c r="T644" s="28" t="s">
        <v>186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8450</v>
      </c>
      <c r="F645" s="15" t="n">
        <f aca="false">E645*(1+IF(F$3&lt;=$O$2,$D645,$D645-($D645-$I$643)*MIN(F$3-$O$2,$Q$2)/$Q$2))</f>
        <v>10562.5</v>
      </c>
      <c r="G645" s="15" t="n">
        <f aca="false">F645*(1+IF(G$3&lt;=$O$2,$D645,$D645-($D645-$I$643)*MIN(G$3-$O$2,$Q$2)/$Q$2))</f>
        <v>13203.125</v>
      </c>
      <c r="H645" s="15" t="n">
        <f aca="false">G645*(1+IF(H$3&lt;=$O$2,$D645,$D645-($D645-$I$643)*MIN(H$3-$O$2,$Q$2)/$Q$2))</f>
        <v>16503.90625</v>
      </c>
      <c r="I645" s="15" t="n">
        <f aca="false">H645*(1+IF(I$3&lt;=$O$2,$D645,$D645-($D645-$I$643)*MIN(I$3-$O$2,$Q$2)/$Q$2))</f>
        <v>20629.8828125</v>
      </c>
      <c r="J645" s="15" t="n">
        <f aca="false">I645*(1+IF(J$3&lt;=$O$2,$D645,$D645-($D645-$I$643)*MIN(J$3-$O$2,$Q$2)/$Q$2))</f>
        <v>24872.6245117188</v>
      </c>
      <c r="K645" s="15" t="n">
        <f aca="false">J645*(1+IF(K$3&lt;=$O$2,$D645,$D645-($D645-$I$643)*MIN(K$3-$O$2,$Q$2)/$Q$2))</f>
        <v>28885.0762979492</v>
      </c>
      <c r="L645" s="15" t="n">
        <f aca="false">K645*(1+IF(L$3&lt;=$O$2,$D645,$D645-($D645-$I$643)*MIN(L$3-$O$2,$Q$2)/$Q$2))</f>
        <v>32264.0525232833</v>
      </c>
      <c r="M645" s="15" t="n">
        <f aca="false">L645*(1+IF(M$3&lt;=$O$2,$D645,$D645-($D645-$I$643)*MIN(M$3-$O$2,$Q$2)/$Q$2))</f>
        <v>34607.7132985746</v>
      </c>
      <c r="N645" s="15" t="n">
        <f aca="false">M645*(1+IF(N$3&lt;=$O$2,$D645,$D645-($D645-$I$643)*MIN(N$3-$O$2,$Q$2)/$Q$2))</f>
        <v>35587.1115849243</v>
      </c>
      <c r="O645" s="15" t="n">
        <f aca="false">SUMPRODUCT(E645:N645,1/(1+$F$643)^$E$3:$N$3)*$E$2</f>
        <v>81972.4979058719</v>
      </c>
      <c r="P645" s="15" t="n">
        <f aca="false">N645*$E$2*(1+$I$643)/($F$643-$I$643)/(1+$F$643)^$N$3</f>
        <v>166738.993150867</v>
      </c>
      <c r="Q645" s="15" t="n">
        <f aca="false">O645+P645</f>
        <v>248711.491056739</v>
      </c>
      <c r="R645" s="15" t="n">
        <f aca="false">Q645-$G$2+$I$2</f>
        <v>247121.491056739</v>
      </c>
      <c r="S645" s="42" t="n">
        <f aca="false">R645/$K$2</f>
        <v>687.250378376826</v>
      </c>
      <c r="T645" s="43" t="n">
        <f aca="false">S645-$M$2</f>
        <v>409.231578666053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5915</v>
      </c>
      <c r="F646" s="15" t="n">
        <f aca="false">E646*(1+IF(F$3&lt;=$O$2,$D646,$D646-($D646-$I$643)*MIN(F$3-$O$2,$Q$2)/$Q$2))</f>
        <v>5175.625</v>
      </c>
      <c r="G646" s="15" t="n">
        <f aca="false">F646*(1+IF(G$3&lt;=$O$2,$D646,$D646-($D646-$I$643)*MIN(G$3-$O$2,$Q$2)/$Q$2))</f>
        <v>4528.671875</v>
      </c>
      <c r="H646" s="15" t="n">
        <f aca="false">G646*(1+IF(H$3&lt;=$O$2,$D646,$D646-($D646-$I$643)*MIN(H$3-$O$2,$Q$2)/$Q$2))</f>
        <v>3962.587890625</v>
      </c>
      <c r="I646" s="15" t="n">
        <f aca="false">H646*(1+IF(I$3&lt;=$O$2,$D646,$D646-($D646-$I$643)*MIN(I$3-$O$2,$Q$2)/$Q$2))</f>
        <v>3467.26440429688</v>
      </c>
      <c r="J646" s="15" t="n">
        <f aca="false">I646*(1+IF(J$3&lt;=$O$2,$D646,$D646-($D646-$I$643)*MIN(J$3-$O$2,$Q$2)/$Q$2))</f>
        <v>3140.16268039551</v>
      </c>
      <c r="K646" s="15" t="n">
        <f aca="false">J646*(1+IF(K$3&lt;=$O$2,$D646,$D646-($D646-$I$643)*MIN(K$3-$O$2,$Q$2)/$Q$2))</f>
        <v>2940.19712090792</v>
      </c>
      <c r="L646" s="15" t="n">
        <f aca="false">K646*(1+IF(L$3&lt;=$O$2,$D646,$D646-($D646-$I$643)*MIN(L$3-$O$2,$Q$2)/$Q$2))</f>
        <v>2843.11181197554</v>
      </c>
      <c r="M646" s="15" t="n">
        <f aca="false">L646*(1+IF(M$3&lt;=$O$2,$D646,$D646-($D646-$I$643)*MIN(M$3-$O$2,$Q$2)/$Q$2))</f>
        <v>2836.40206809928</v>
      </c>
      <c r="N646" s="15" t="n">
        <f aca="false">M646*(1+IF(N$3&lt;=$O$2,$D646,$D646-($D646-$I$643)*MIN(N$3-$O$2,$Q$2)/$Q$2))</f>
        <v>2916.67224662649</v>
      </c>
      <c r="O646" s="15" t="n">
        <f aca="false">SUMPRODUCT(E646:N646,1/(1+$F$643)^$E$3:$N$3)*$E$2</f>
        <v>16215.2901262913</v>
      </c>
      <c r="P646" s="15" t="n">
        <f aca="false">N646*$E$2*(1+$I$643)/($F$643-$I$643)/(1+$F$643)^$N$3</f>
        <v>13665.7057033985</v>
      </c>
      <c r="Q646" s="15" t="n">
        <f aca="false">O646+P646</f>
        <v>29880.9958296899</v>
      </c>
      <c r="R646" s="15" t="n">
        <f aca="false">Q646-$G$2+$I$2</f>
        <v>28290.9958296899</v>
      </c>
      <c r="S646" s="42" t="n">
        <f aca="false">R646/$K$2</f>
        <v>78.6778903990485</v>
      </c>
      <c r="T646" s="43" t="n">
        <f aca="false">S646-$M$2</f>
        <v>-199.340909311725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7182.5</v>
      </c>
      <c r="F647" s="15" t="n">
        <f aca="false">E647*(1+IF(F$3&lt;=$O$2,$D647,$D647-($D647-$I$643)*MIN(F$3-$O$2,$Q$2)/$Q$2))</f>
        <v>7631.40625</v>
      </c>
      <c r="G647" s="15" t="n">
        <f aca="false">F647*(1+IF(G$3&lt;=$O$2,$D647,$D647-($D647-$I$643)*MIN(G$3-$O$2,$Q$2)/$Q$2))</f>
        <v>8108.369140625</v>
      </c>
      <c r="H647" s="15" t="n">
        <f aca="false">G647*(1+IF(H$3&lt;=$O$2,$D647,$D647-($D647-$I$643)*MIN(H$3-$O$2,$Q$2)/$Q$2))</f>
        <v>8615.14221191406</v>
      </c>
      <c r="I647" s="15" t="n">
        <f aca="false">H647*(1+IF(I$3&lt;=$O$2,$D647,$D647-($D647-$I$643)*MIN(I$3-$O$2,$Q$2)/$Q$2))</f>
        <v>9153.58860015869</v>
      </c>
      <c r="J647" s="15" t="n">
        <f aca="false">I647*(1+IF(J$3&lt;=$O$2,$D647,$D647-($D647-$I$643)*MIN(J$3-$O$2,$Q$2)/$Q$2))</f>
        <v>9663.07734164352</v>
      </c>
      <c r="K647" s="15" t="n">
        <f aca="false">J647*(1+IF(K$3&lt;=$O$2,$D647,$D647-($D647-$I$643)*MIN(K$3-$O$2,$Q$2)/$Q$2))</f>
        <v>10134.8287774626</v>
      </c>
      <c r="L647" s="15" t="n">
        <f aca="false">K647*(1+IF(L$3&lt;=$O$2,$D647,$D647-($D647-$I$643)*MIN(L$3-$O$2,$Q$2)/$Q$2))</f>
        <v>10560.2888895404</v>
      </c>
      <c r="M647" s="15" t="n">
        <f aca="false">L647*(1+IF(M$3&lt;=$O$2,$D647,$D647-($D647-$I$643)*MIN(M$3-$O$2,$Q$2)/$Q$2))</f>
        <v>10931.3774411189</v>
      </c>
      <c r="N647" s="15" t="n">
        <f aca="false">M647*(1+IF(N$3&lt;=$O$2,$D647,$D647-($D647-$I$643)*MIN(N$3-$O$2,$Q$2)/$Q$2))</f>
        <v>11240.7354227026</v>
      </c>
      <c r="O647" s="15" t="n">
        <f aca="false">SUMPRODUCT(E647:N647,1/(1+$F$643)^$E$3:$N$3)*$E$2</f>
        <v>36390.3799806447</v>
      </c>
      <c r="P647" s="15" t="n">
        <f aca="false">N647*$E$2*(1+$I$643)/($F$643-$I$643)/(1+$F$643)^$N$3</f>
        <v>52667.0702730116</v>
      </c>
      <c r="Q647" s="15" t="n">
        <f aca="false">O647+P647</f>
        <v>89057.4502536563</v>
      </c>
      <c r="R647" s="15" t="n">
        <f aca="false">Q647-$G$2+$I$2</f>
        <v>87467.4502536563</v>
      </c>
      <c r="S647" s="42" t="n">
        <f aca="false">R647/$K$2</f>
        <v>243.248930011837</v>
      </c>
      <c r="T647" s="43" t="n">
        <f aca="false">S647-$M$2</f>
        <v>-34.7698696989367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41" t="n">
        <f aca="false">(B648+C648)/2</f>
        <v>0.15625</v>
      </c>
      <c r="E648" s="15" t="n">
        <f aca="false">$C$2*(1+IF(E$3&lt;=$O$2,$D648,$D648-($D648-$I$643)*MIN(E$3-$O$2,$Q$2)/$Q$2))</f>
        <v>7816.25</v>
      </c>
      <c r="F648" s="15" t="n">
        <f aca="false">E648*(1+IF(F$3&lt;=$O$2,$D648,$D648-($D648-$I$643)*MIN(F$3-$O$2,$Q$2)/$Q$2))</f>
        <v>9037.5390625</v>
      </c>
      <c r="G648" s="15" t="n">
        <f aca="false">F648*(1+IF(G$3&lt;=$O$2,$D648,$D648-($D648-$I$643)*MIN(G$3-$O$2,$Q$2)/$Q$2))</f>
        <v>10449.6545410156</v>
      </c>
      <c r="H648" s="15" t="n">
        <f aca="false">G648*(1+IF(H$3&lt;=$O$2,$D648,$D648-($D648-$I$643)*MIN(H$3-$O$2,$Q$2)/$Q$2))</f>
        <v>12082.4130630493</v>
      </c>
      <c r="I648" s="15" t="n">
        <f aca="false">H648*(1+IF(I$3&lt;=$O$2,$D648,$D648-($D648-$I$643)*MIN(I$3-$O$2,$Q$2)/$Q$2))</f>
        <v>13970.2901041508</v>
      </c>
      <c r="J648" s="15" t="n">
        <f aca="false">I648*(1+IF(J$3&lt;=$O$2,$D648,$D648-($D648-$I$643)*MIN(J$3-$O$2,$Q$2)/$Q$2))</f>
        <v>15795.6482091591</v>
      </c>
      <c r="K648" s="15" t="n">
        <f aca="false">J648*(1+IF(K$3&lt;=$O$2,$D648,$D648-($D648-$I$643)*MIN(K$3-$O$2,$Q$2)/$Q$2))</f>
        <v>17455.2969664955</v>
      </c>
      <c r="L648" s="15" t="n">
        <f aca="false">K648*(1+IF(L$3&lt;=$O$2,$D648,$D648-($D648-$I$643)*MIN(L$3-$O$2,$Q$2)/$Q$2))</f>
        <v>18842.6439693925</v>
      </c>
      <c r="M648" s="15" t="n">
        <f aca="false">L648*(1+IF(M$3&lt;=$O$2,$D648,$D648-($D648-$I$643)*MIN(M$3-$O$2,$Q$2)/$Q$2))</f>
        <v>19858.0740529031</v>
      </c>
      <c r="N648" s="15" t="n">
        <f aca="false">M648*(1+IF(N$3&lt;=$O$2,$D648,$D648-($D648-$I$643)*MIN(N$3-$O$2,$Q$2)/$Q$2))</f>
        <v>20420.0575486002</v>
      </c>
      <c r="O648" s="15" t="n">
        <f aca="false">SUMPRODUCT(E648:N648,1/(1+$F$643)^$E$3:$N$3)*$E$2</f>
        <v>54716.3903023271</v>
      </c>
      <c r="P648" s="15" t="n">
        <f aca="false">N648*$E$2*(1+$I$643)/($F$643-$I$643)/(1+$F$643)^$N$3</f>
        <v>95675.6444706446</v>
      </c>
      <c r="Q648" s="15" t="n">
        <f aca="false">O648+P648</f>
        <v>150392.034772972</v>
      </c>
      <c r="R648" s="15" t="n">
        <f aca="false">Q648-$G$2+$I$2</f>
        <v>148802.034772972</v>
      </c>
      <c r="S648" s="42" t="n">
        <f aca="false">R648/$K$2</f>
        <v>413.82177755429</v>
      </c>
      <c r="T648" s="43" t="n">
        <f aca="false">S648-$M$2</f>
        <v>135.802977843516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0.0625</v>
      </c>
      <c r="C649" s="25" t="n">
        <f aca="false">IF(T648&gt;0,D648,C648)</f>
        <v>0.15625</v>
      </c>
      <c r="D649" s="41" t="n">
        <f aca="false">(B649+C649)/2</f>
        <v>0.109375</v>
      </c>
      <c r="E649" s="15" t="n">
        <f aca="false">$C$2*(1+IF(E$3&lt;=$O$2,$D649,$D649-($D649-$I$643)*MIN(E$3-$O$2,$Q$2)/$Q$2))</f>
        <v>7499.375</v>
      </c>
      <c r="F649" s="15" t="n">
        <f aca="false">E649*(1+IF(F$3&lt;=$O$2,$D649,$D649-($D649-$I$643)*MIN(F$3-$O$2,$Q$2)/$Q$2))</f>
        <v>8319.619140625</v>
      </c>
      <c r="G649" s="15" t="n">
        <f aca="false">F649*(1+IF(G$3&lt;=$O$2,$D649,$D649-($D649-$I$643)*MIN(G$3-$O$2,$Q$2)/$Q$2))</f>
        <v>9229.57748413086</v>
      </c>
      <c r="H649" s="15" t="n">
        <f aca="false">G649*(1+IF(H$3&lt;=$O$2,$D649,$D649-($D649-$I$643)*MIN(H$3-$O$2,$Q$2)/$Q$2))</f>
        <v>10239.0625214577</v>
      </c>
      <c r="I649" s="15" t="n">
        <f aca="false">H649*(1+IF(I$3&lt;=$O$2,$D649,$D649-($D649-$I$643)*MIN(I$3-$O$2,$Q$2)/$Q$2))</f>
        <v>11358.9599847421</v>
      </c>
      <c r="J649" s="15" t="n">
        <f aca="false">I649*(1+IF(J$3&lt;=$O$2,$D649,$D649-($D649-$I$643)*MIN(J$3-$O$2,$Q$2)/$Q$2))</f>
        <v>12417.1606969207</v>
      </c>
      <c r="K649" s="15" t="n">
        <f aca="false">J649*(1+IF(K$3&lt;=$O$2,$D649,$D649-($D649-$I$643)*MIN(K$3-$O$2,$Q$2)/$Q$2))</f>
        <v>13372.5991267452</v>
      </c>
      <c r="L649" s="15" t="n">
        <f aca="false">K649*(1+IF(L$3&lt;=$O$2,$D649,$D649-($D649-$I$643)*MIN(L$3-$O$2,$Q$2)/$Q$2))</f>
        <v>14184.7170717125</v>
      </c>
      <c r="M649" s="15" t="n">
        <f aca="false">L649*(1+IF(M$3&lt;=$O$2,$D649,$D649-($D649-$I$643)*MIN(M$3-$O$2,$Q$2)/$Q$2))</f>
        <v>14816.1497521598</v>
      </c>
      <c r="N649" s="15" t="n">
        <f aca="false">M649*(1+IF(N$3&lt;=$O$2,$D649,$D649-($D649-$I$643)*MIN(N$3-$O$2,$Q$2)/$Q$2))</f>
        <v>15235.4467901459</v>
      </c>
      <c r="O649" s="15" t="n">
        <f aca="false">SUMPRODUCT(E649:N649,1/(1+$F$643)^$E$3:$N$3)*$E$2</f>
        <v>44631.3387942767</v>
      </c>
      <c r="P649" s="15" t="n">
        <f aca="false">N649*$E$2*(1+$I$643)/($F$643-$I$643)/(1+$F$643)^$N$3</f>
        <v>71383.794437217</v>
      </c>
      <c r="Q649" s="15" t="n">
        <f aca="false">O649+P649</f>
        <v>116015.133231494</v>
      </c>
      <c r="R649" s="15" t="n">
        <f aca="false">Q649-$G$2+$I$2</f>
        <v>114425.133231494</v>
      </c>
      <c r="S649" s="42" t="n">
        <f aca="false">R649/$K$2</f>
        <v>318.218847631942</v>
      </c>
      <c r="T649" s="43" t="n">
        <f aca="false">S649-$M$2</f>
        <v>40.2000479211682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0.0625</v>
      </c>
      <c r="C650" s="25" t="n">
        <f aca="false">IF(T649&gt;0,D649,C649)</f>
        <v>0.109375</v>
      </c>
      <c r="D650" s="41" t="n">
        <f aca="false">(B650+C650)/2</f>
        <v>0.0859375</v>
      </c>
      <c r="E650" s="15" t="n">
        <f aca="false">$C$2*(1+IF(E$3&lt;=$O$2,$D650,$D650-($D650-$I$643)*MIN(E$3-$O$2,$Q$2)/$Q$2))</f>
        <v>7340.9375</v>
      </c>
      <c r="F650" s="15" t="n">
        <f aca="false">E650*(1+IF(F$3&lt;=$O$2,$D650,$D650-($D650-$I$643)*MIN(F$3-$O$2,$Q$2)/$Q$2))</f>
        <v>7971.79931640625</v>
      </c>
      <c r="G650" s="15" t="n">
        <f aca="false">F650*(1+IF(G$3&lt;=$O$2,$D650,$D650-($D650-$I$643)*MIN(G$3-$O$2,$Q$2)/$Q$2))</f>
        <v>8656.87582015991</v>
      </c>
      <c r="H650" s="15" t="n">
        <f aca="false">G650*(1+IF(H$3&lt;=$O$2,$D650,$D650-($D650-$I$643)*MIN(H$3-$O$2,$Q$2)/$Q$2))</f>
        <v>9400.82608595491</v>
      </c>
      <c r="I650" s="15" t="n">
        <f aca="false">H650*(1+IF(I$3&lt;=$O$2,$D650,$D650-($D650-$I$643)*MIN(I$3-$O$2,$Q$2)/$Q$2))</f>
        <v>10208.7095777167</v>
      </c>
      <c r="J650" s="15" t="n">
        <f aca="false">I650*(1+IF(J$3&lt;=$O$2,$D650,$D650-($D650-$I$643)*MIN(J$3-$O$2,$Q$2)/$Q$2))</f>
        <v>10968.3396573946</v>
      </c>
      <c r="K650" s="15" t="n">
        <f aca="false">J650*(1+IF(K$3&lt;=$O$2,$D650,$D650-($D650-$I$643)*MIN(K$3-$O$2,$Q$2)/$Q$2))</f>
        <v>11658.0562759007</v>
      </c>
      <c r="L650" s="15" t="n">
        <f aca="false">K650*(1+IF(L$3&lt;=$O$2,$D650,$D650-($D650-$I$643)*MIN(L$3-$O$2,$Q$2)/$Q$2))</f>
        <v>12256.7557559495</v>
      </c>
      <c r="M650" s="15" t="n">
        <f aca="false">L650*(1+IF(M$3&lt;=$O$2,$D650,$D650-($D650-$I$643)*MIN(M$3-$O$2,$Q$2)/$Q$2))</f>
        <v>12744.9116958196</v>
      </c>
      <c r="N650" s="15" t="n">
        <f aca="false">M650*(1+IF(N$3&lt;=$O$2,$D650,$D650-($D650-$I$643)*MIN(N$3-$O$2,$Q$2)/$Q$2))</f>
        <v>13105.5926968113</v>
      </c>
      <c r="O650" s="15" t="n">
        <f aca="false">SUMPRODUCT(E650:N650,1/(1+$F$643)^$E$3:$N$3)*$E$2</f>
        <v>40301.3830495612</v>
      </c>
      <c r="P650" s="15" t="n">
        <f aca="false">N650*$E$2*(1+$I$643)/($F$643-$I$643)/(1+$F$643)^$N$3</f>
        <v>61404.627506701</v>
      </c>
      <c r="Q650" s="15" t="n">
        <f aca="false">O650+P650</f>
        <v>101706.010556262</v>
      </c>
      <c r="R650" s="15" t="n">
        <f aca="false">Q650-$G$2+$I$2</f>
        <v>100116.010556262</v>
      </c>
      <c r="S650" s="42" t="n">
        <f aca="false">R650/$K$2</f>
        <v>278.424858324329</v>
      </c>
      <c r="T650" s="43" t="n">
        <f aca="false">S650-$M$2</f>
        <v>0.406058613555047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0.0625</v>
      </c>
      <c r="C651" s="25" t="n">
        <f aca="false">IF(T650&gt;0,D650,C650)</f>
        <v>0.0859375</v>
      </c>
      <c r="D651" s="41" t="n">
        <f aca="false">(B651+C651)/2</f>
        <v>0.07421875</v>
      </c>
      <c r="E651" s="15" t="n">
        <f aca="false">$C$2*(1+IF(E$3&lt;=$O$2,$D651,$D651-($D651-$I$643)*MIN(E$3-$O$2,$Q$2)/$Q$2))</f>
        <v>7261.71875</v>
      </c>
      <c r="F651" s="15" t="n">
        <f aca="false">E651*(1+IF(F$3&lt;=$O$2,$D651,$D651-($D651-$I$643)*MIN(F$3-$O$2,$Q$2)/$Q$2))</f>
        <v>7800.67443847656</v>
      </c>
      <c r="G651" s="15" t="n">
        <f aca="false">F651*(1+IF(G$3&lt;=$O$2,$D651,$D651-($D651-$I$643)*MIN(G$3-$O$2,$Q$2)/$Q$2))</f>
        <v>8379.63074445725</v>
      </c>
      <c r="H651" s="15" t="n">
        <f aca="false">G651*(1+IF(H$3&lt;=$O$2,$D651,$D651-($D651-$I$643)*MIN(H$3-$O$2,$Q$2)/$Q$2))</f>
        <v>9001.55646377243</v>
      </c>
      <c r="I651" s="15" t="n">
        <f aca="false">H651*(1+IF(I$3&lt;=$O$2,$D651,$D651-($D651-$I$643)*MIN(I$3-$O$2,$Q$2)/$Q$2))</f>
        <v>9669.64073256804</v>
      </c>
      <c r="J651" s="15" t="n">
        <f aca="false">I651*(1+IF(J$3&lt;=$O$2,$D651,$D651-($D651-$I$643)*MIN(J$3-$O$2,$Q$2)/$Q$2))</f>
        <v>10298.5058176106</v>
      </c>
      <c r="K651" s="15" t="n">
        <f aca="false">J651*(1+IF(K$3&lt;=$O$2,$D651,$D651-($D651-$I$643)*MIN(K$3-$O$2,$Q$2)/$Q$2))</f>
        <v>10873.6902406564</v>
      </c>
      <c r="L651" s="15" t="n">
        <f aca="false">K651*(1+IF(L$3&lt;=$O$2,$D651,$D651-($D651-$I$643)*MIN(L$3-$O$2,$Q$2)/$Q$2))</f>
        <v>11381.1381799623</v>
      </c>
      <c r="M651" s="15" t="n">
        <f aca="false">L651*(1+IF(M$3&lt;=$O$2,$D651,$D651-($D651-$I$643)*MIN(M$3-$O$2,$Q$2)/$Q$2))</f>
        <v>11807.7459182154</v>
      </c>
      <c r="N651" s="15" t="n">
        <f aca="false">M651*(1+IF(N$3&lt;=$O$2,$D651,$D651-($D651-$I$643)*MIN(N$3-$O$2,$Q$2)/$Q$2))</f>
        <v>12141.9051277009</v>
      </c>
      <c r="O651" s="15" t="n">
        <f aca="false">SUMPRODUCT(E651:N651,1/(1+$F$643)^$E$3:$N$3)*$E$2</f>
        <v>38295.9587016707</v>
      </c>
      <c r="P651" s="15" t="n">
        <f aca="false">N651*$E$2*(1+$I$643)/($F$643-$I$643)/(1+$F$643)^$N$3</f>
        <v>56889.3890445397</v>
      </c>
      <c r="Q651" s="15" t="n">
        <f aca="false">O651+P651</f>
        <v>95185.3477462104</v>
      </c>
      <c r="R651" s="15" t="n">
        <f aca="false">Q651-$G$2+$I$2</f>
        <v>93595.3477462104</v>
      </c>
      <c r="S651" s="42" t="n">
        <f aca="false">R651/$K$2</f>
        <v>260.290749614023</v>
      </c>
      <c r="T651" s="43" t="n">
        <f aca="false">S651-$M$2</f>
        <v>-17.7280500967506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0.07421875</v>
      </c>
      <c r="C652" s="25" t="n">
        <f aca="false">IF(T651&gt;0,D651,C651)</f>
        <v>0.0859375</v>
      </c>
      <c r="D652" s="41" t="n">
        <f aca="false">(B652+C652)/2</f>
        <v>0.080078125</v>
      </c>
      <c r="E652" s="15" t="n">
        <f aca="false">$C$2*(1+IF(E$3&lt;=$O$2,$D652,$D652-($D652-$I$643)*MIN(E$3-$O$2,$Q$2)/$Q$2))</f>
        <v>7301.328125</v>
      </c>
      <c r="F652" s="15" t="n">
        <f aca="false">E652*(1+IF(F$3&lt;=$O$2,$D652,$D652-($D652-$I$643)*MIN(F$3-$O$2,$Q$2)/$Q$2))</f>
        <v>7886.00479125977</v>
      </c>
      <c r="G652" s="15" t="n">
        <f aca="false">F652*(1+IF(G$3&lt;=$O$2,$D652,$D652-($D652-$I$643)*MIN(G$3-$O$2,$Q$2)/$Q$2))</f>
        <v>8517.50126868486</v>
      </c>
      <c r="H652" s="15" t="n">
        <f aca="false">G652*(1+IF(H$3&lt;=$O$2,$D652,$D652-($D652-$I$643)*MIN(H$3-$O$2,$Q$2)/$Q$2))</f>
        <v>9199.56679996627</v>
      </c>
      <c r="I652" s="15" t="n">
        <f aca="false">H652*(1+IF(I$3&lt;=$O$2,$D652,$D652-($D652-$I$643)*MIN(I$3-$O$2,$Q$2)/$Q$2))</f>
        <v>9936.25086011982</v>
      </c>
      <c r="J652" s="15" t="n">
        <f aca="false">I652*(1+IF(J$3&lt;=$O$2,$D652,$D652-($D652-$I$643)*MIN(J$3-$O$2,$Q$2)/$Q$2))</f>
        <v>10629.0311107145</v>
      </c>
      <c r="K652" s="15" t="n">
        <f aca="false">J652*(1+IF(K$3&lt;=$O$2,$D652,$D652-($D652-$I$643)*MIN(K$3-$O$2,$Q$2)/$Q$2))</f>
        <v>11260.0434720354</v>
      </c>
      <c r="L652" s="15" t="n">
        <f aca="false">K652*(1+IF(L$3&lt;=$O$2,$D652,$D652-($D652-$I$643)*MIN(L$3-$O$2,$Q$2)/$Q$2))</f>
        <v>11811.9122776542</v>
      </c>
      <c r="M652" s="15" t="n">
        <f aca="false">L652*(1+IF(M$3&lt;=$O$2,$D652,$D652-($D652-$I$643)*MIN(M$3-$O$2,$Q$2)/$Q$2))</f>
        <v>12268.5091291921</v>
      </c>
      <c r="N652" s="15" t="n">
        <f aca="false">M652*(1+IF(N$3&lt;=$O$2,$D652,$D652-($D652-$I$643)*MIN(N$3-$O$2,$Q$2)/$Q$2))</f>
        <v>12615.7079375483</v>
      </c>
      <c r="O652" s="15" t="n">
        <f aca="false">SUMPRODUCT(E652:N652,1/(1+$F$643)^$E$3:$N$3)*$E$2</f>
        <v>39285.8922105064</v>
      </c>
      <c r="P652" s="15" t="n">
        <f aca="false">N652*$E$2*(1+$I$643)/($F$643-$I$643)/(1+$F$643)^$N$3</f>
        <v>59109.3332869228</v>
      </c>
      <c r="Q652" s="15" t="n">
        <f aca="false">O652+P652</f>
        <v>98395.2254974292</v>
      </c>
      <c r="R652" s="15" t="n">
        <f aca="false">Q652-$G$2+$I$2</f>
        <v>96805.2254974292</v>
      </c>
      <c r="S652" s="42" t="n">
        <f aca="false">R652/$K$2</f>
        <v>269.21749123263</v>
      </c>
      <c r="T652" s="43" t="n">
        <f aca="false">S652-$M$2</f>
        <v>-8.80130847814331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0.080078125</v>
      </c>
      <c r="C653" s="25" t="n">
        <f aca="false">IF(T652&gt;0,D652,C652)</f>
        <v>0.0859375</v>
      </c>
      <c r="D653" s="41" t="n">
        <f aca="false">(B653+C653)/2</f>
        <v>0.0830078125</v>
      </c>
      <c r="E653" s="15" t="n">
        <f aca="false">$C$2*(1+IF(E$3&lt;=$O$2,$D653,$D653-($D653-$I$643)*MIN(E$3-$O$2,$Q$2)/$Q$2))</f>
        <v>7321.1328125</v>
      </c>
      <c r="F653" s="15" t="n">
        <f aca="false">E653*(1+IF(F$3&lt;=$O$2,$D653,$D653-($D653-$I$643)*MIN(F$3-$O$2,$Q$2)/$Q$2))</f>
        <v>7928.8440322876</v>
      </c>
      <c r="G653" s="15" t="n">
        <f aca="false">F653*(1+IF(G$3&lt;=$O$2,$D653,$D653-($D653-$I$643)*MIN(G$3-$O$2,$Q$2)/$Q$2))</f>
        <v>8587.00003106147</v>
      </c>
      <c r="H653" s="15" t="n">
        <f aca="false">G653*(1+IF(H$3&lt;=$O$2,$D653,$D653-($D653-$I$643)*MIN(H$3-$O$2,$Q$2)/$Q$2))</f>
        <v>9299.78811957732</v>
      </c>
      <c r="I653" s="15" t="n">
        <f aca="false">H653*(1+IF(I$3&lt;=$O$2,$D653,$D653-($D653-$I$643)*MIN(I$3-$O$2,$Q$2)/$Q$2))</f>
        <v>10071.7431880969</v>
      </c>
      <c r="J653" s="15" t="n">
        <f aca="false">I653*(1+IF(J$3&lt;=$O$2,$D653,$D653-($D653-$I$643)*MIN(J$3-$O$2,$Q$2)/$Q$2))</f>
        <v>10797.5759506261</v>
      </c>
      <c r="K653" s="15" t="n">
        <f aca="false">J653*(1+IF(K$3&lt;=$O$2,$D653,$D653-($D653-$I$643)*MIN(K$3-$O$2,$Q$2)/$Q$2))</f>
        <v>11457.5744063656</v>
      </c>
      <c r="L653" s="15" t="n">
        <f aca="false">K653*(1+IF(L$3&lt;=$O$2,$D653,$D653-($D653-$I$643)*MIN(L$3-$O$2,$Q$2)/$Q$2))</f>
        <v>12032.5512949971</v>
      </c>
      <c r="M653" s="15" t="n">
        <f aca="false">L653*(1+IF(M$3&lt;=$O$2,$D653,$D653-($D653-$I$643)*MIN(M$3-$O$2,$Q$2)/$Q$2))</f>
        <v>12504.7274086742</v>
      </c>
      <c r="N653" s="15" t="n">
        <f aca="false">M653*(1+IF(N$3&lt;=$O$2,$D653,$D653-($D653-$I$643)*MIN(N$3-$O$2,$Q$2)/$Q$2))</f>
        <v>12858.6111943397</v>
      </c>
      <c r="O653" s="15" t="n">
        <f aca="false">SUMPRODUCT(E653:N653,1/(1+$F$643)^$E$3:$N$3)*$E$2</f>
        <v>39790.4050445185</v>
      </c>
      <c r="P653" s="15" t="n">
        <f aca="false">N653*$E$2*(1+$I$643)/($F$643-$I$643)/(1+$F$643)^$N$3</f>
        <v>60247.4263399039</v>
      </c>
      <c r="Q653" s="15" t="n">
        <f aca="false">O653+P653</f>
        <v>100037.831384422</v>
      </c>
      <c r="R653" s="15" t="n">
        <f aca="false">Q653-$G$2+$I$2</f>
        <v>98447.8313844224</v>
      </c>
      <c r="S653" s="42" t="n">
        <f aca="false">R653/$K$2</f>
        <v>273.78561484071</v>
      </c>
      <c r="T653" s="43" t="n">
        <f aca="false">S653-$M$2</f>
        <v>-4.23318487006401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0.0830078125</v>
      </c>
      <c r="C654" s="25" t="n">
        <f aca="false">IF(T653&gt;0,D653,C653)</f>
        <v>0.0859375</v>
      </c>
      <c r="D654" s="41" t="n">
        <f aca="false">(B654+C654)/2</f>
        <v>0.08447265625</v>
      </c>
      <c r="E654" s="15" t="n">
        <f aca="false">$C$2*(1+IF(E$3&lt;=$O$2,$D654,$D654-($D654-$I$643)*MIN(E$3-$O$2,$Q$2)/$Q$2))</f>
        <v>7331.03515625</v>
      </c>
      <c r="F654" s="15" t="n">
        <f aca="false">E654*(1+IF(F$3&lt;=$O$2,$D654,$D654-($D654-$I$643)*MIN(F$3-$O$2,$Q$2)/$Q$2))</f>
        <v>7950.30716896057</v>
      </c>
      <c r="G654" s="15" t="n">
        <f aca="false">F654*(1+IF(G$3&lt;=$O$2,$D654,$D654-($D654-$I$643)*MIN(G$3-$O$2,$Q$2)/$Q$2))</f>
        <v>8621.89073352609</v>
      </c>
      <c r="H654" s="15" t="n">
        <f aca="false">G654*(1+IF(H$3&lt;=$O$2,$D654,$D654-($D654-$I$643)*MIN(H$3-$O$2,$Q$2)/$Q$2))</f>
        <v>9350.2047456843</v>
      </c>
      <c r="I654" s="15" t="n">
        <f aca="false">H654*(1+IF(I$3&lt;=$O$2,$D654,$D654-($D654-$I$643)*MIN(I$3-$O$2,$Q$2)/$Q$2))</f>
        <v>10140.0413770336</v>
      </c>
      <c r="J654" s="15" t="n">
        <f aca="false">I654*(1+IF(J$3&lt;=$O$2,$D654,$D654-($D654-$I$643)*MIN(J$3-$O$2,$Q$2)/$Q$2))</f>
        <v>10882.67899491</v>
      </c>
      <c r="K654" s="15" t="n">
        <f aca="false">J654*(1+IF(K$3&lt;=$O$2,$D654,$D654-($D654-$I$643)*MIN(K$3-$O$2,$Q$2)/$Q$2))</f>
        <v>11557.444202222</v>
      </c>
      <c r="L654" s="15" t="n">
        <f aca="false">K654*(1+IF(L$3&lt;=$O$2,$D654,$D654-($D654-$I$643)*MIN(L$3-$O$2,$Q$2)/$Q$2))</f>
        <v>12144.2048092649</v>
      </c>
      <c r="M654" s="15" t="n">
        <f aca="false">L654*(1+IF(M$3&lt;=$O$2,$D654,$D654-($D654-$I$643)*MIN(M$3-$O$2,$Q$2)/$Q$2))</f>
        <v>12624.3202538032</v>
      </c>
      <c r="N654" s="15" t="n">
        <f aca="false">M654*(1+IF(N$3&lt;=$O$2,$D654,$D654-($D654-$I$643)*MIN(N$3-$O$2,$Q$2)/$Q$2))</f>
        <v>12981.5885169858</v>
      </c>
      <c r="O654" s="15" t="n">
        <f aca="false">SUMPRODUCT(E654:N654,1/(1+$F$643)^$E$3:$N$3)*$E$2</f>
        <v>40045.0811180926</v>
      </c>
      <c r="P654" s="15" t="n">
        <f aca="false">N654*$E$2*(1+$I$643)/($F$643-$I$643)/(1+$F$643)^$N$3</f>
        <v>60823.6213173882</v>
      </c>
      <c r="Q654" s="15" t="n">
        <f aca="false">O654+P654</f>
        <v>100868.702435481</v>
      </c>
      <c r="R654" s="15" t="n">
        <f aca="false">Q654-$G$2+$I$2</f>
        <v>99278.7024354808</v>
      </c>
      <c r="S654" s="42" t="n">
        <f aca="false">R654/$K$2</f>
        <v>276.096285765284</v>
      </c>
      <c r="T654" s="43" t="n">
        <f aca="false">S654-$M$2</f>
        <v>-1.9225139454897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0.08447265625</v>
      </c>
      <c r="C655" s="25" t="n">
        <f aca="false">IF(T654&gt;0,D654,C654)</f>
        <v>0.0859375</v>
      </c>
      <c r="D655" s="41" t="n">
        <f aca="false">(B655+C655)/2</f>
        <v>0.085205078125</v>
      </c>
      <c r="E655" s="15" t="n">
        <f aca="false">$C$2*(1+IF(E$3&lt;=$O$2,$D655,$D655-($D655-$I$643)*MIN(E$3-$O$2,$Q$2)/$Q$2))</f>
        <v>7335.986328125</v>
      </c>
      <c r="F655" s="15" t="n">
        <f aca="false">E655*(1+IF(F$3&lt;=$O$2,$D655,$D655-($D655-$I$643)*MIN(F$3-$O$2,$Q$2)/$Q$2))</f>
        <v>7961.04961633682</v>
      </c>
      <c r="G655" s="15" t="n">
        <f aca="false">F655*(1+IF(G$3&lt;=$O$2,$D655,$D655-($D655-$I$643)*MIN(G$3-$O$2,$Q$2)/$Q$2))</f>
        <v>8639.3714708538</v>
      </c>
      <c r="H655" s="15" t="n">
        <f aca="false">G655*(1+IF(H$3&lt;=$O$2,$D655,$D655-($D655-$I$643)*MIN(H$3-$O$2,$Q$2)/$Q$2))</f>
        <v>9375.4897919788</v>
      </c>
      <c r="I655" s="15" t="n">
        <f aca="false">H655*(1+IF(I$3&lt;=$O$2,$D655,$D655-($D655-$I$643)*MIN(I$3-$O$2,$Q$2)/$Q$2))</f>
        <v>10174.3291321645</v>
      </c>
      <c r="J655" s="15" t="n">
        <f aca="false">I655*(1+IF(J$3&lt;=$O$2,$D655,$D655-($D655-$I$643)*MIN(J$3-$O$2,$Q$2)/$Q$2))</f>
        <v>10925.439441913</v>
      </c>
      <c r="K655" s="15" t="n">
        <f aca="false">J655*(1+IF(K$3&lt;=$O$2,$D655,$D655-($D655-$I$643)*MIN(K$3-$O$2,$Q$2)/$Q$2))</f>
        <v>11607.6571691143</v>
      </c>
      <c r="L655" s="15" t="n">
        <f aca="false">K655*(1+IF(L$3&lt;=$O$2,$D655,$D655-($D655-$I$643)*MIN(L$3-$O$2,$Q$2)/$Q$2))</f>
        <v>12200.3677222229</v>
      </c>
      <c r="M655" s="15" t="n">
        <f aca="false">L655*(1+IF(M$3&lt;=$O$2,$D655,$D655-($D655-$I$643)*MIN(M$3-$O$2,$Q$2)/$Q$2))</f>
        <v>12684.4907044392</v>
      </c>
      <c r="N655" s="15" t="n">
        <f aca="false">M655*(1+IF(N$3&lt;=$O$2,$D655,$D655-($D655-$I$643)*MIN(N$3-$O$2,$Q$2)/$Q$2))</f>
        <v>13043.4617913748</v>
      </c>
      <c r="O655" s="15" t="n">
        <f aca="false">SUMPRODUCT(E655:N655,1/(1+$F$643)^$E$3:$N$3)*$E$2</f>
        <v>40173.0282510856</v>
      </c>
      <c r="P655" s="15" t="n">
        <f aca="false">N655*$E$2*(1+$I$643)/($F$643-$I$643)/(1+$F$643)^$N$3</f>
        <v>61113.5208629007</v>
      </c>
      <c r="Q655" s="15" t="n">
        <f aca="false">O655+P655</f>
        <v>101286.549113986</v>
      </c>
      <c r="R655" s="15" t="n">
        <f aca="false">Q655-$G$2+$I$2</f>
        <v>99696.5491139863</v>
      </c>
      <c r="S655" s="42" t="n">
        <f aca="false">R655/$K$2</f>
        <v>277.258326697776</v>
      </c>
      <c r="T655" s="43" t="n">
        <f aca="false">S655-$M$2</f>
        <v>-0.760473012997693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0.085205078125</v>
      </c>
      <c r="C656" s="25" t="n">
        <f aca="false">IF(T655&gt;0,D655,C655)</f>
        <v>0.0859375</v>
      </c>
      <c r="D656" s="41" t="n">
        <f aca="false">(B656+C656)/2</f>
        <v>0.0855712890625</v>
      </c>
      <c r="E656" s="15" t="n">
        <f aca="false">$C$2*(1+IF(E$3&lt;=$O$2,$D656,$D656-($D656-$I$643)*MIN(E$3-$O$2,$Q$2)/$Q$2))</f>
        <v>7338.4619140625</v>
      </c>
      <c r="F656" s="15" t="n">
        <f aca="false">E656*(1+IF(F$3&lt;=$O$2,$D656,$D656-($D656-$I$643)*MIN(F$3-$O$2,$Q$2)/$Q$2))</f>
        <v>7966.42355978489</v>
      </c>
      <c r="G656" s="15" t="n">
        <f aca="false">F656*(1+IF(G$3&lt;=$O$2,$D656,$D656-($D656-$I$643)*MIN(G$3-$O$2,$Q$2)/$Q$2))</f>
        <v>8648.12069301355</v>
      </c>
      <c r="H656" s="15" t="n">
        <f aca="false">G656*(1+IF(H$3&lt;=$O$2,$D656,$D656-($D656-$I$643)*MIN(H$3-$O$2,$Q$2)/$Q$2))</f>
        <v>9388.1515286828</v>
      </c>
      <c r="I656" s="15" t="n">
        <f aca="false">H656*(1+IF(I$3&lt;=$O$2,$D656,$D656-($D656-$I$643)*MIN(I$3-$O$2,$Q$2)/$Q$2))</f>
        <v>10191.5077569063</v>
      </c>
      <c r="J656" s="15" t="n">
        <f aca="false">I656*(1+IF(J$3&lt;=$O$2,$D656,$D656-($D656-$I$643)*MIN(J$3-$O$2,$Q$2)/$Q$2))</f>
        <v>10946.8720558095</v>
      </c>
      <c r="K656" s="15" t="n">
        <f aca="false">J656*(1+IF(K$3&lt;=$O$2,$D656,$D656-($D656-$I$643)*MIN(K$3-$O$2,$Q$2)/$Q$2))</f>
        <v>11632.833419292</v>
      </c>
      <c r="L656" s="15" t="n">
        <f aca="false">K656*(1+IF(L$3&lt;=$O$2,$D656,$D656-($D656-$I$643)*MIN(L$3-$O$2,$Q$2)/$Q$2))</f>
        <v>12228.5335512068</v>
      </c>
      <c r="M656" s="15" t="n">
        <f aca="false">L656*(1+IF(M$3&lt;=$O$2,$D656,$D656-($D656-$I$643)*MIN(M$3-$O$2,$Q$2)/$Q$2))</f>
        <v>12714.6698266703</v>
      </c>
      <c r="N656" s="15" t="n">
        <f aca="false">M656*(1+IF(N$3&lt;=$O$2,$D656,$D656-($D656-$I$643)*MIN(N$3-$O$2,$Q$2)/$Q$2))</f>
        <v>13074.4949827651</v>
      </c>
      <c r="O656" s="15" t="n">
        <f aca="false">SUMPRODUCT(E656:N656,1/(1+$F$643)^$E$3:$N$3)*$E$2</f>
        <v>40237.1546169067</v>
      </c>
      <c r="P656" s="15" t="n">
        <f aca="false">N656*$E$2*(1+$I$643)/($F$643-$I$643)/(1+$F$643)^$N$3</f>
        <v>61258.9230283539</v>
      </c>
      <c r="Q656" s="15" t="n">
        <f aca="false">O656+P656</f>
        <v>101496.077645261</v>
      </c>
      <c r="R656" s="15" t="n">
        <f aca="false">Q656-$G$2+$I$2</f>
        <v>99906.0776452606</v>
      </c>
      <c r="S656" s="42" t="n">
        <f aca="false">R656/$K$2</f>
        <v>277.841030216532</v>
      </c>
      <c r="T656" s="43" t="n">
        <f aca="false">S656-$M$2</f>
        <v>-0.177769494241602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0.0855712890625</v>
      </c>
      <c r="C657" s="25" t="n">
        <f aca="false">IF(T656&gt;0,D656,C656)</f>
        <v>0.0859375</v>
      </c>
      <c r="D657" s="41" t="n">
        <f aca="false">(B657+C657)/2</f>
        <v>0.08575439453125</v>
      </c>
      <c r="E657" s="15" t="n">
        <f aca="false">$C$2*(1+IF(E$3&lt;=$O$2,$D657,$D657-($D657-$I$643)*MIN(E$3-$O$2,$Q$2)/$Q$2))</f>
        <v>7339.69970703125</v>
      </c>
      <c r="F657" s="15" t="n">
        <f aca="false">E657*(1+IF(F$3&lt;=$O$2,$D657,$D657-($D657-$I$643)*MIN(F$3-$O$2,$Q$2)/$Q$2))</f>
        <v>7969.11121144891</v>
      </c>
      <c r="G657" s="15" t="n">
        <f aca="false">F657*(1+IF(G$3&lt;=$O$2,$D657,$D657-($D657-$I$643)*MIN(G$3-$O$2,$Q$2)/$Q$2))</f>
        <v>8652.49751833891</v>
      </c>
      <c r="H657" s="15" t="n">
        <f aca="false">G657*(1+IF(H$3&lt;=$O$2,$D657,$D657-($D657-$I$643)*MIN(H$3-$O$2,$Q$2)/$Q$2))</f>
        <v>9394.4872042072</v>
      </c>
      <c r="I657" s="15" t="n">
        <f aca="false">H657*(1+IF(I$3&lt;=$O$2,$D657,$D657-($D657-$I$643)*MIN(I$3-$O$2,$Q$2)/$Q$2))</f>
        <v>10200.1057663356</v>
      </c>
      <c r="J657" s="15" t="n">
        <f aca="false">I657*(1+IF(J$3&lt;=$O$2,$D657,$D657-($D657-$I$643)*MIN(J$3-$O$2,$Q$2)/$Q$2))</f>
        <v>10957.6014802905</v>
      </c>
      <c r="K657" s="15" t="n">
        <f aca="false">J657*(1+IF(K$3&lt;=$O$2,$D657,$D657-($D657-$I$643)*MIN(K$3-$O$2,$Q$2)/$Q$2))</f>
        <v>11645.4390173216</v>
      </c>
      <c r="L657" s="15" t="n">
        <f aca="false">K657*(1+IF(L$3&lt;=$O$2,$D657,$D657-($D657-$I$643)*MIN(L$3-$O$2,$Q$2)/$Q$2))</f>
        <v>12242.6376006281</v>
      </c>
      <c r="M657" s="15" t="n">
        <f aca="false">L657*(1+IF(M$3&lt;=$O$2,$D657,$D657-($D657-$I$643)*MIN(M$3-$O$2,$Q$2)/$Q$2))</f>
        <v>12729.7829108878</v>
      </c>
      <c r="N657" s="15" t="n">
        <f aca="false">M657*(1+IF(N$3&lt;=$O$2,$D657,$D657-($D657-$I$643)*MIN(N$3-$O$2,$Q$2)/$Q$2))</f>
        <v>13090.0357672659</v>
      </c>
      <c r="O657" s="15" t="n">
        <f aca="false">SUMPRODUCT(E657:N657,1/(1+$F$643)^$E$3:$N$3)*$E$2</f>
        <v>40269.2560654653</v>
      </c>
      <c r="P657" s="15" t="n">
        <f aca="false">N657*$E$2*(1+$I$643)/($F$643-$I$643)/(1+$F$643)^$N$3</f>
        <v>61331.7374447266</v>
      </c>
      <c r="Q657" s="15" t="n">
        <f aca="false">O657+P657</f>
        <v>101600.993510192</v>
      </c>
      <c r="R657" s="15" t="n">
        <f aca="false">Q657-$G$2+$I$2</f>
        <v>100010.993510192</v>
      </c>
      <c r="S657" s="42" t="n">
        <f aca="false">R657/$K$2</f>
        <v>278.132803576928</v>
      </c>
      <c r="T657" s="43" t="n">
        <f aca="false">S657-$M$2</f>
        <v>0.11400386615469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0.0855712890625</v>
      </c>
      <c r="C658" s="25" t="n">
        <f aca="false">IF(T657&gt;0,D657,C657)</f>
        <v>0.08575439453125</v>
      </c>
      <c r="D658" s="41" t="n">
        <f aca="false">(B658+C658)/2</f>
        <v>0.085662841796875</v>
      </c>
      <c r="E658" s="15" t="n">
        <f aca="false">$C$2*(1+IF(E$3&lt;=$O$2,$D658,$D658-($D658-$I$643)*MIN(E$3-$O$2,$Q$2)/$Q$2))</f>
        <v>7339.08081054688</v>
      </c>
      <c r="F658" s="15" t="n">
        <f aca="false">E658*(1+IF(F$3&lt;=$O$2,$D658,$D658-($D658-$I$643)*MIN(F$3-$O$2,$Q$2)/$Q$2))</f>
        <v>7967.76732895523</v>
      </c>
      <c r="G658" s="15" t="n">
        <f aca="false">F658*(1+IF(G$3&lt;=$O$2,$D658,$D658-($D658-$I$643)*MIN(G$3-$O$2,$Q$2)/$Q$2))</f>
        <v>8650.30892112983</v>
      </c>
      <c r="H658" s="15" t="n">
        <f aca="false">G658*(1+IF(H$3&lt;=$O$2,$D658,$D658-($D658-$I$643)*MIN(H$3-$O$2,$Q$2)/$Q$2))</f>
        <v>9391.31896573468</v>
      </c>
      <c r="I658" s="15" t="n">
        <f aca="false">H658*(1+IF(I$3&lt;=$O$2,$D658,$D658-($D658-$I$643)*MIN(I$3-$O$2,$Q$2)/$Q$2))</f>
        <v>10195.8060365604</v>
      </c>
      <c r="J658" s="15" t="n">
        <f aca="false">I658*(1+IF(J$3&lt;=$O$2,$D658,$D658-($D658-$I$643)*MIN(J$3-$O$2,$Q$2)/$Q$2))</f>
        <v>10952.2356743285</v>
      </c>
      <c r="K658" s="15" t="n">
        <f aca="false">J658*(1+IF(K$3&lt;=$O$2,$D658,$D658-($D658-$I$643)*MIN(K$3-$O$2,$Q$2)/$Q$2))</f>
        <v>11639.1347612972</v>
      </c>
      <c r="L658" s="15" t="n">
        <f aca="false">K658*(1+IF(L$3&lt;=$O$2,$D658,$D658-($D658-$I$643)*MIN(L$3-$O$2,$Q$2)/$Q$2))</f>
        <v>12235.5838134278</v>
      </c>
      <c r="M658" s="15" t="n">
        <f aca="false">L658*(1+IF(M$3&lt;=$O$2,$D658,$D658-($D658-$I$643)*MIN(M$3-$O$2,$Q$2)/$Q$2))</f>
        <v>12722.2244070642</v>
      </c>
      <c r="N658" s="15" t="n">
        <f aca="false">M658*(1+IF(N$3&lt;=$O$2,$D658,$D658-($D658-$I$643)*MIN(N$3-$O$2,$Q$2)/$Q$2))</f>
        <v>13082.2633577841</v>
      </c>
      <c r="O658" s="15" t="n">
        <f aca="false">SUMPRODUCT(E658:N658,1/(1+$F$643)^$E$3:$N$3)*$E$2</f>
        <v>40253.2021504212</v>
      </c>
      <c r="P658" s="15" t="n">
        <f aca="false">N658*$E$2*(1+$I$643)/($F$643-$I$643)/(1+$F$643)^$N$3</f>
        <v>61295.3207850531</v>
      </c>
      <c r="Q658" s="15" t="n">
        <f aca="false">O658+P658</f>
        <v>101548.522935474</v>
      </c>
      <c r="R658" s="15" t="n">
        <f aca="false">Q658-$G$2+$I$2</f>
        <v>99958.5229354743</v>
      </c>
      <c r="S658" s="42" t="n">
        <f aca="false">R658/$K$2</f>
        <v>277.986881738345</v>
      </c>
      <c r="T658" s="43" t="n">
        <f aca="false">S658-$M$2</f>
        <v>-0.0319179724282321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0.085662841796875</v>
      </c>
      <c r="C659" s="25" t="n">
        <f aca="false">IF(T658&gt;0,D658,C658)</f>
        <v>0.08575439453125</v>
      </c>
      <c r="D659" s="41" t="n">
        <f aca="false">(B659+C659)/2</f>
        <v>0.0857086181640625</v>
      </c>
      <c r="E659" s="15" t="n">
        <f aca="false">$C$2*(1+IF(E$3&lt;=$O$2,$D659,$D659-($D659-$I$643)*MIN(E$3-$O$2,$Q$2)/$Q$2))</f>
        <v>7339.39025878906</v>
      </c>
      <c r="F659" s="15" t="n">
        <f aca="false">E659*(1+IF(F$3&lt;=$O$2,$D659,$D659-($D659-$I$643)*MIN(F$3-$O$2,$Q$2)/$Q$2))</f>
        <v>7968.43925603665</v>
      </c>
      <c r="G659" s="15" t="n">
        <f aca="false">F659*(1+IF(G$3&lt;=$O$2,$D659,$D659-($D659-$I$643)*MIN(G$3-$O$2,$Q$2)/$Q$2))</f>
        <v>8651.40317359583</v>
      </c>
      <c r="H659" s="15" t="n">
        <f aca="false">G659*(1+IF(H$3&lt;=$O$2,$D659,$D659-($D659-$I$643)*MIN(H$3-$O$2,$Q$2)/$Q$2))</f>
        <v>9392.90298478491</v>
      </c>
      <c r="I659" s="15" t="n">
        <f aca="false">H659*(1+IF(I$3&lt;=$O$2,$D659,$D659-($D659-$I$643)*MIN(I$3-$O$2,$Q$2)/$Q$2))</f>
        <v>10197.9557201599</v>
      </c>
      <c r="J659" s="15" t="n">
        <f aca="false">I659*(1+IF(J$3&lt;=$O$2,$D659,$D659-($D659-$I$643)*MIN(J$3-$O$2,$Q$2)/$Q$2))</f>
        <v>10954.9183038346</v>
      </c>
      <c r="K659" s="15" t="n">
        <f aca="false">J659*(1+IF(K$3&lt;=$O$2,$D659,$D659-($D659-$I$643)*MIN(K$3-$O$2,$Q$2)/$Q$2))</f>
        <v>11642.2865249871</v>
      </c>
      <c r="L659" s="15" t="n">
        <f aca="false">K659*(1+IF(L$3&lt;=$O$2,$D659,$D659-($D659-$I$643)*MIN(L$3-$O$2,$Q$2)/$Q$2))</f>
        <v>12239.1102663121</v>
      </c>
      <c r="M659" s="15" t="n">
        <f aca="false">L659*(1+IF(M$3&lt;=$O$2,$D659,$D659-($D659-$I$643)*MIN(M$3-$O$2,$Q$2)/$Q$2))</f>
        <v>12726.003168438</v>
      </c>
      <c r="N659" s="15" t="n">
        <f aca="false">M659*(1+IF(N$3&lt;=$O$2,$D659,$D659-($D659-$I$643)*MIN(N$3-$O$2,$Q$2)/$Q$2))</f>
        <v>13086.1490581048</v>
      </c>
      <c r="O659" s="15" t="n">
        <f aca="false">SUMPRODUCT(E659:N659,1/(1+$F$643)^$E$3:$N$3)*$E$2</f>
        <v>40261.2283101049</v>
      </c>
      <c r="P659" s="15" t="n">
        <f aca="false">N659*$E$2*(1+$I$643)/($F$643-$I$643)/(1+$F$643)^$N$3</f>
        <v>61313.5267514915</v>
      </c>
      <c r="Q659" s="15" t="n">
        <f aca="false">O659+P659</f>
        <v>101574.755061596</v>
      </c>
      <c r="R659" s="15" t="n">
        <f aca="false">Q659-$G$2+$I$2</f>
        <v>99984.7550615964</v>
      </c>
      <c r="S659" s="42" t="n">
        <f aca="false">R659/$K$2</f>
        <v>278.059833866167</v>
      </c>
      <c r="T659" s="43" t="n">
        <f aca="false">S659-$M$2</f>
        <v>0.0410341553936178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0.085662841796875</v>
      </c>
      <c r="C660" s="25" t="n">
        <f aca="false">IF(T659&gt;0,D659,C659)</f>
        <v>0.0857086181640625</v>
      </c>
      <c r="D660" s="41" t="n">
        <f aca="false">(B660+C660)/2</f>
        <v>0.0856857299804688</v>
      </c>
      <c r="E660" s="15" t="n">
        <f aca="false">$C$2*(1+IF(E$3&lt;=$O$2,$D660,$D660-($D660-$I$643)*MIN(E$3-$O$2,$Q$2)/$Q$2))</f>
        <v>7339.23553466797</v>
      </c>
      <c r="F660" s="15" t="n">
        <f aca="false">E660*(1+IF(F$3&lt;=$O$2,$D660,$D660-($D660-$I$643)*MIN(F$3-$O$2,$Q$2)/$Q$2))</f>
        <v>7968.10328895459</v>
      </c>
      <c r="G660" s="15" t="n">
        <f aca="false">F660*(1+IF(G$3&lt;=$O$2,$D660,$D660-($D660-$I$643)*MIN(G$3-$O$2,$Q$2)/$Q$2))</f>
        <v>8650.85603582844</v>
      </c>
      <c r="H660" s="15" t="n">
        <f aca="false">G660*(1+IF(H$3&lt;=$O$2,$D660,$D660-($D660-$I$643)*MIN(H$3-$O$2,$Q$2)/$Q$2))</f>
        <v>9392.11095021434</v>
      </c>
      <c r="I660" s="15" t="n">
        <f aca="false">H660*(1+IF(I$3&lt;=$O$2,$D660,$D660-($D660-$I$643)*MIN(I$3-$O$2,$Q$2)/$Q$2))</f>
        <v>10196.880833041</v>
      </c>
      <c r="J660" s="15" t="n">
        <f aca="false">I660*(1+IF(J$3&lt;=$O$2,$D660,$D660-($D660-$I$643)*MIN(J$3-$O$2,$Q$2)/$Q$2))</f>
        <v>10953.5769207184</v>
      </c>
      <c r="K660" s="15" t="n">
        <f aca="false">J660*(1+IF(K$3&lt;=$O$2,$D660,$D660-($D660-$I$643)*MIN(K$3-$O$2,$Q$2)/$Q$2))</f>
        <v>11640.7105520703</v>
      </c>
      <c r="L660" s="15" t="n">
        <f aca="false">K660*(1+IF(L$3&lt;=$O$2,$D660,$D660-($D660-$I$643)*MIN(L$3-$O$2,$Q$2)/$Q$2))</f>
        <v>12237.3469297027</v>
      </c>
      <c r="M660" s="15" t="n">
        <f aca="false">L660*(1+IF(M$3&lt;=$O$2,$D660,$D660-($D660-$I$643)*MIN(M$3-$O$2,$Q$2)/$Q$2))</f>
        <v>12724.1136651303</v>
      </c>
      <c r="N660" s="15" t="n">
        <f aca="false">M660*(1+IF(N$3&lt;=$O$2,$D660,$D660-($D660-$I$643)*MIN(N$3-$O$2,$Q$2)/$Q$2))</f>
        <v>13084.2060818535</v>
      </c>
      <c r="O660" s="15" t="n">
        <f aca="false">SUMPRODUCT(E660:N660,1/(1+$F$643)^$E$3:$N$3)*$E$2</f>
        <v>40257.2150308218</v>
      </c>
      <c r="P660" s="15" t="n">
        <f aca="false">N660*$E$2*(1+$I$643)/($F$643-$I$643)/(1+$F$643)^$N$3</f>
        <v>61304.4231774886</v>
      </c>
      <c r="Q660" s="15" t="n">
        <f aca="false">O660+P660</f>
        <v>101561.63820831</v>
      </c>
      <c r="R660" s="15" t="n">
        <f aca="false">Q660-$G$2+$I$2</f>
        <v>99971.6382083104</v>
      </c>
      <c r="S660" s="42" t="n">
        <f aca="false">R660/$K$2</f>
        <v>278.023355604623</v>
      </c>
      <c r="T660" s="43" t="n">
        <f aca="false">S660-$M$2</f>
        <v>0.00455589384949917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0.085662841796875</v>
      </c>
      <c r="C661" s="25" t="n">
        <f aca="false">IF(T660&gt;0,D660,C660)</f>
        <v>0.0856857299804688</v>
      </c>
      <c r="D661" s="41" t="n">
        <f aca="false">(B661+C661)/2</f>
        <v>0.0856742858886719</v>
      </c>
      <c r="E661" s="15" t="n">
        <f aca="false">$C$2*(1+IF(E$3&lt;=$O$2,$D661,$D661-($D661-$I$643)*MIN(E$3-$O$2,$Q$2)/$Q$2))</f>
        <v>7339.15817260742</v>
      </c>
      <c r="F661" s="15" t="n">
        <f aca="false">E661*(1+IF(F$3&lt;=$O$2,$D661,$D661-($D661-$I$643)*MIN(F$3-$O$2,$Q$2)/$Q$2))</f>
        <v>7967.93530806957</v>
      </c>
      <c r="G661" s="15" t="n">
        <f aca="false">F661*(1+IF(G$3&lt;=$O$2,$D661,$D661-($D661-$I$643)*MIN(G$3-$O$2,$Q$2)/$Q$2))</f>
        <v>8650.58247559557</v>
      </c>
      <c r="H661" s="15" t="n">
        <f aca="false">G661*(1+IF(H$3&lt;=$O$2,$D661,$D661-($D661-$I$643)*MIN(H$3-$O$2,$Q$2)/$Q$2))</f>
        <v>9391.71495171328</v>
      </c>
      <c r="I661" s="15" t="n">
        <f aca="false">H661*(1+IF(I$3&lt;=$O$2,$D661,$D661-($D661-$I$643)*MIN(I$3-$O$2,$Q$2)/$Q$2))</f>
        <v>10196.3434234713</v>
      </c>
      <c r="J661" s="15" t="n">
        <f aca="false">I661*(1+IF(J$3&lt;=$O$2,$D661,$D661-($D661-$I$643)*MIN(J$3-$O$2,$Q$2)/$Q$2))</f>
        <v>10952.9062804334</v>
      </c>
      <c r="K661" s="15" t="n">
        <f aca="false">J661*(1+IF(K$3&lt;=$O$2,$D661,$D661-($D661-$I$643)*MIN(K$3-$O$2,$Q$2)/$Q$2))</f>
        <v>11639.9226339169</v>
      </c>
      <c r="L661" s="15" t="n">
        <f aca="false">K661*(1+IF(L$3&lt;=$O$2,$D661,$D661-($D661-$I$643)*MIN(L$3-$O$2,$Q$2)/$Q$2))</f>
        <v>12236.4653440249</v>
      </c>
      <c r="M661" s="15" t="n">
        <f aca="false">L661*(1+IF(M$3&lt;=$O$2,$D661,$D661-($D661-$I$643)*MIN(M$3-$O$2,$Q$2)/$Q$2))</f>
        <v>12723.1690054438</v>
      </c>
      <c r="N661" s="15" t="n">
        <f aca="false">M661*(1+IF(N$3&lt;=$O$2,$D661,$D661-($D661-$I$643)*MIN(N$3-$O$2,$Q$2)/$Q$2))</f>
        <v>13083.2346882978</v>
      </c>
      <c r="O661" s="15" t="n">
        <f aca="false">SUMPRODUCT(E661:N661,1/(1+$F$643)^$E$3:$N$3)*$E$2</f>
        <v>40255.2085407635</v>
      </c>
      <c r="P661" s="15" t="n">
        <f aca="false">N661*$E$2*(1+$I$643)/($F$643-$I$643)/(1+$F$643)^$N$3</f>
        <v>61299.8718335831</v>
      </c>
      <c r="Q661" s="15" t="n">
        <f aca="false">O661+P661</f>
        <v>101555.080374347</v>
      </c>
      <c r="R661" s="15" t="n">
        <f aca="false">Q661-$G$2+$I$2</f>
        <v>99965.0803743466</v>
      </c>
      <c r="S661" s="42" t="n">
        <f aca="false">R661/$K$2</f>
        <v>278.005118122105</v>
      </c>
      <c r="T661" s="43" t="n">
        <f aca="false">S661-$M$2</f>
        <v>-0.0136815886683621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0.0856742858886719</v>
      </c>
      <c r="C662" s="25" t="n">
        <f aca="false">IF(T661&gt;0,D661,C661)</f>
        <v>0.0856857299804688</v>
      </c>
      <c r="D662" s="41" t="n">
        <f aca="false">(B662+C662)/2</f>
        <v>0.0856800079345703</v>
      </c>
      <c r="E662" s="15" t="n">
        <f aca="false">$C$2*(1+IF(E$3&lt;=$O$2,$D662,$D662-($D662-$I$643)*MIN(E$3-$O$2,$Q$2)/$Q$2))</f>
        <v>7339.1968536377</v>
      </c>
      <c r="F662" s="15" t="n">
        <f aca="false">E662*(1+IF(F$3&lt;=$O$2,$D662,$D662-($D662-$I$643)*MIN(F$3-$O$2,$Q$2)/$Q$2))</f>
        <v>7968.01929829075</v>
      </c>
      <c r="G662" s="15" t="n">
        <f aca="false">F662*(1+IF(G$3&lt;=$O$2,$D662,$D662-($D662-$I$643)*MIN(G$3-$O$2,$Q$2)/$Q$2))</f>
        <v>8650.71925499111</v>
      </c>
      <c r="H662" s="15" t="n">
        <f aca="false">G662*(1+IF(H$3&lt;=$O$2,$D662,$D662-($D662-$I$643)*MIN(H$3-$O$2,$Q$2)/$Q$2))</f>
        <v>9391.91294939849</v>
      </c>
      <c r="I662" s="15" t="n">
        <f aca="false">H662*(1+IF(I$3&lt;=$O$2,$D662,$D662-($D662-$I$643)*MIN(I$3-$O$2,$Q$2)/$Q$2))</f>
        <v>10196.6121254237</v>
      </c>
      <c r="J662" s="15" t="n">
        <f aca="false">I662*(1+IF(J$3&lt;=$O$2,$D662,$D662-($D662-$I$643)*MIN(J$3-$O$2,$Q$2)/$Q$2))</f>
        <v>10953.2415963033</v>
      </c>
      <c r="K662" s="15" t="n">
        <f aca="false">J662*(1+IF(K$3&lt;=$O$2,$D662,$D662-($D662-$I$643)*MIN(K$3-$O$2,$Q$2)/$Q$2))</f>
        <v>11640.3165873017</v>
      </c>
      <c r="L662" s="15" t="n">
        <f aca="false">K662*(1+IF(L$3&lt;=$O$2,$D662,$D662-($D662-$I$643)*MIN(L$3-$O$2,$Q$2)/$Q$2))</f>
        <v>12236.9061299785</v>
      </c>
      <c r="M662" s="15" t="n">
        <f aca="false">L662*(1+IF(M$3&lt;=$O$2,$D662,$D662-($D662-$I$643)*MIN(M$3-$O$2,$Q$2)/$Q$2))</f>
        <v>12723.6413276234</v>
      </c>
      <c r="N662" s="15" t="n">
        <f aca="false">M662*(1+IF(N$3&lt;=$O$2,$D662,$D662-($D662-$I$643)*MIN(N$3-$O$2,$Q$2)/$Q$2))</f>
        <v>13083.7203771952</v>
      </c>
      <c r="O662" s="15" t="n">
        <f aca="false">SUMPRODUCT(E662:N662,1/(1+$F$643)^$E$3:$N$3)*$E$2</f>
        <v>40256.2117733279</v>
      </c>
      <c r="P662" s="15" t="n">
        <f aca="false">N662*$E$2*(1+$I$643)/($F$643-$I$643)/(1+$F$643)^$N$3</f>
        <v>61302.1474686129</v>
      </c>
      <c r="Q662" s="15" t="n">
        <f aca="false">O662+P662</f>
        <v>101558.359241941</v>
      </c>
      <c r="R662" s="15" t="n">
        <f aca="false">Q662-$G$2+$I$2</f>
        <v>99968.3592419408</v>
      </c>
      <c r="S662" s="42" t="n">
        <f aca="false">R662/$K$2</f>
        <v>278.014236726016</v>
      </c>
      <c r="T662" s="43" t="n">
        <f aca="false">S662-$M$2</f>
        <v>-0.00456298475785388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0.0856800079345703</v>
      </c>
      <c r="C663" s="25" t="n">
        <f aca="false">IF(T662&gt;0,D662,C662)</f>
        <v>0.0856857299804688</v>
      </c>
      <c r="D663" s="41" t="n">
        <f aca="false">(B663+C663)/2</f>
        <v>0.0856828689575195</v>
      </c>
      <c r="E663" s="15" t="n">
        <f aca="false">$C$2*(1+IF(E$3&lt;=$O$2,$D663,$D663-($D663-$I$643)*MIN(E$3-$O$2,$Q$2)/$Q$2))</f>
        <v>7339.21619415283</v>
      </c>
      <c r="F663" s="15" t="n">
        <f aca="false">E663*(1+IF(F$3&lt;=$O$2,$D663,$D663-($D663-$I$643)*MIN(F$3-$O$2,$Q$2)/$Q$2))</f>
        <v>7968.06129356733</v>
      </c>
      <c r="G663" s="15" t="n">
        <f aca="false">F663*(1+IF(G$3&lt;=$O$2,$D663,$D663-($D663-$I$643)*MIN(G$3-$O$2,$Q$2)/$Q$2))</f>
        <v>8650.78764522955</v>
      </c>
      <c r="H663" s="15" t="n">
        <f aca="false">G663*(1+IF(H$3&lt;=$O$2,$D663,$D663-($D663-$I$643)*MIN(H$3-$O$2,$Q$2)/$Q$2))</f>
        <v>9392.01194941508</v>
      </c>
      <c r="I663" s="15" t="n">
        <f aca="false">H663*(1+IF(I$3&lt;=$O$2,$D663,$D663-($D663-$I$643)*MIN(I$3-$O$2,$Q$2)/$Q$2))</f>
        <v>10196.7464785243</v>
      </c>
      <c r="J663" s="15" t="n">
        <f aca="false">I663*(1+IF(J$3&lt;=$O$2,$D663,$D663-($D663-$I$643)*MIN(J$3-$O$2,$Q$2)/$Q$2))</f>
        <v>10953.4092574427</v>
      </c>
      <c r="K663" s="15" t="n">
        <f aca="false">J663*(1+IF(K$3&lt;=$O$2,$D663,$D663-($D663-$I$643)*MIN(K$3-$O$2,$Q$2)/$Q$2))</f>
        <v>11640.513568263</v>
      </c>
      <c r="L663" s="15" t="n">
        <f aca="false">K663*(1+IF(L$3&lt;=$O$2,$D663,$D663-($D663-$I$643)*MIN(L$3-$O$2,$Q$2)/$Q$2))</f>
        <v>12237.1265281192</v>
      </c>
      <c r="M663" s="15" t="n">
        <f aca="false">L663*(1+IF(M$3&lt;=$O$2,$D663,$D663-($D663-$I$643)*MIN(M$3-$O$2,$Q$2)/$Q$2))</f>
        <v>12723.8774944609</v>
      </c>
      <c r="N663" s="15" t="n">
        <f aca="false">M663*(1+IF(N$3&lt;=$O$2,$D663,$D663-($D663-$I$643)*MIN(N$3-$O$2,$Q$2)/$Q$2))</f>
        <v>13083.9632275542</v>
      </c>
      <c r="O663" s="15" t="n">
        <f aca="false">SUMPRODUCT(E663:N663,1/(1+$F$643)^$E$3:$N$3)*$E$2</f>
        <v>40256.7133989586</v>
      </c>
      <c r="P663" s="15" t="n">
        <f aca="false">N663*$E$2*(1+$I$643)/($F$643-$I$643)/(1+$F$643)^$N$3</f>
        <v>61303.2853138199</v>
      </c>
      <c r="Q663" s="15" t="n">
        <f aca="false">O663+P663</f>
        <v>101559.998712779</v>
      </c>
      <c r="R663" s="15" t="n">
        <f aca="false">Q663-$G$2+$I$2</f>
        <v>99969.9987127785</v>
      </c>
      <c r="S663" s="42" t="n">
        <f aca="false">R663/$K$2</f>
        <v>278.018796130982</v>
      </c>
      <c r="T663" s="43" t="n">
        <f aca="false">S663-$M$2</f>
        <v>-3.57979172349587E-006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0.0856828689575195</v>
      </c>
      <c r="C664" s="25" t="n">
        <f aca="false">IF(T663&gt;0,D663,C663)</f>
        <v>0.0856857299804688</v>
      </c>
      <c r="D664" s="41" t="n">
        <f aca="false">(B664+C664)/2</f>
        <v>0.0856842994689941</v>
      </c>
      <c r="E664" s="15" t="n">
        <f aca="false">$C$2*(1+IF(E$3&lt;=$O$2,$D664,$D664-($D664-$I$643)*MIN(E$3-$O$2,$Q$2)/$Q$2))</f>
        <v>7339.2258644104</v>
      </c>
      <c r="F664" s="15" t="n">
        <f aca="false">E664*(1+IF(F$3&lt;=$O$2,$D664,$D664-($D664-$I$643)*MIN(F$3-$O$2,$Q$2)/$Q$2))</f>
        <v>7968.08229124713</v>
      </c>
      <c r="G664" s="15" t="n">
        <f aca="false">F664*(1+IF(G$3&lt;=$O$2,$D664,$D664-($D664-$I$643)*MIN(G$3-$O$2,$Q$2)/$Q$2))</f>
        <v>8650.82184048394</v>
      </c>
      <c r="H664" s="15" t="n">
        <f aca="false">G664*(1+IF(H$3&lt;=$O$2,$D664,$D664-($D664-$I$643)*MIN(H$3-$O$2,$Q$2)/$Q$2))</f>
        <v>9392.06144971688</v>
      </c>
      <c r="I664" s="15" t="n">
        <f aca="false">H664*(1+IF(I$3&lt;=$O$2,$D664,$D664-($D664-$I$643)*MIN(I$3-$O$2,$Q$2)/$Q$2))</f>
        <v>10196.8136556056</v>
      </c>
      <c r="J664" s="15" t="n">
        <f aca="false">I664*(1+IF(J$3&lt;=$O$2,$D664,$D664-($D664-$I$643)*MIN(J$3-$O$2,$Q$2)/$Q$2))</f>
        <v>10953.4930888135</v>
      </c>
      <c r="K664" s="15" t="n">
        <f aca="false">J664*(1+IF(K$3&lt;=$O$2,$D664,$D664-($D664-$I$643)*MIN(K$3-$O$2,$Q$2)/$Q$2))</f>
        <v>11640.6120598109</v>
      </c>
      <c r="L664" s="15" t="n">
        <f aca="false">K664*(1+IF(L$3&lt;=$O$2,$D664,$D664-($D664-$I$643)*MIN(L$3-$O$2,$Q$2)/$Q$2))</f>
        <v>12237.2367284806</v>
      </c>
      <c r="M664" s="15" t="n">
        <f aca="false">L664*(1+IF(M$3&lt;=$O$2,$D664,$D664-($D664-$I$643)*MIN(M$3-$O$2,$Q$2)/$Q$2))</f>
        <v>12723.9955793166</v>
      </c>
      <c r="N664" s="15" t="n">
        <f aca="false">M664*(1+IF(N$3&lt;=$O$2,$D664,$D664-($D664-$I$643)*MIN(N$3-$O$2,$Q$2)/$Q$2))</f>
        <v>13084.0846542113</v>
      </c>
      <c r="O664" s="15" t="n">
        <f aca="false">SUMPRODUCT(E664:N664,1/(1+$F$643)^$E$3:$N$3)*$E$2</f>
        <v>40256.9642141112</v>
      </c>
      <c r="P664" s="15" t="n">
        <f aca="false">N664*$E$2*(1+$I$643)/($F$643-$I$643)/(1+$F$643)^$N$3</f>
        <v>61303.8542433465</v>
      </c>
      <c r="Q664" s="15" t="n">
        <f aca="false">O664+P664</f>
        <v>101560.818457458</v>
      </c>
      <c r="R664" s="15" t="n">
        <f aca="false">Q664-$G$2+$I$2</f>
        <v>99970.8184574576</v>
      </c>
      <c r="S664" s="42" t="n">
        <f aca="false">R664/$K$2</f>
        <v>278.021075859218</v>
      </c>
      <c r="T664" s="43" t="n">
        <f aca="false">S664-$M$2</f>
        <v>0.00227614844442314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0.0856828689575195</v>
      </c>
      <c r="C665" s="25" t="n">
        <f aca="false">IF(T664&gt;0,D664,C664)</f>
        <v>0.0856842994689941</v>
      </c>
      <c r="D665" s="41" t="n">
        <f aca="false">(B665+C665)/2</f>
        <v>0.0856835842132568</v>
      </c>
      <c r="E665" s="15" t="n">
        <f aca="false">$C$2*(1+IF(E$3&lt;=$O$2,$D665,$D665-($D665-$I$643)*MIN(E$3-$O$2,$Q$2)/$Q$2))</f>
        <v>7339.22102928162</v>
      </c>
      <c r="F665" s="15" t="n">
        <f aca="false">E665*(1+IF(F$3&lt;=$O$2,$D665,$D665-($D665-$I$643)*MIN(F$3-$O$2,$Q$2)/$Q$2))</f>
        <v>7968.07179240377</v>
      </c>
      <c r="G665" s="15" t="n">
        <f aca="false">F665*(1+IF(G$3&lt;=$O$2,$D665,$D665-($D665-$I$643)*MIN(G$3-$O$2,$Q$2)/$Q$2))</f>
        <v>8650.80474284548</v>
      </c>
      <c r="H665" s="15" t="n">
        <f aca="false">G665*(1+IF(H$3&lt;=$O$2,$D665,$D665-($D665-$I$643)*MIN(H$3-$O$2,$Q$2)/$Q$2))</f>
        <v>9392.03669954152</v>
      </c>
      <c r="I665" s="15" t="n">
        <f aca="false">H665*(1+IF(I$3&lt;=$O$2,$D665,$D665-($D665-$I$643)*MIN(I$3-$O$2,$Q$2)/$Q$2))</f>
        <v>10196.7800670207</v>
      </c>
      <c r="J665" s="15" t="n">
        <f aca="false">I665*(1+IF(J$3&lt;=$O$2,$D665,$D665-($D665-$I$643)*MIN(J$3-$O$2,$Q$2)/$Q$2))</f>
        <v>10953.4511730613</v>
      </c>
      <c r="K665" s="15" t="n">
        <f aca="false">J665*(1+IF(K$3&lt;=$O$2,$D665,$D665-($D665-$I$643)*MIN(K$3-$O$2,$Q$2)/$Q$2))</f>
        <v>11640.5628139481</v>
      </c>
      <c r="L665" s="15" t="n">
        <f aca="false">K665*(1+IF(L$3&lt;=$O$2,$D665,$D665-($D665-$I$643)*MIN(L$3-$O$2,$Q$2)/$Q$2))</f>
        <v>12237.1816281923</v>
      </c>
      <c r="M665" s="15" t="n">
        <f aca="false">L665*(1+IF(M$3&lt;=$O$2,$D665,$D665-($D665-$I$643)*MIN(M$3-$O$2,$Q$2)/$Q$2))</f>
        <v>12723.936536769</v>
      </c>
      <c r="N665" s="15" t="n">
        <f aca="false">M665*(1+IF(N$3&lt;=$O$2,$D665,$D665-($D665-$I$643)*MIN(N$3-$O$2,$Q$2)/$Q$2))</f>
        <v>13084.0239407596</v>
      </c>
      <c r="O665" s="15" t="n">
        <f aca="false">SUMPRODUCT(E665:N665,1/(1+$F$643)^$E$3:$N$3)*$E$2</f>
        <v>40256.8388063401</v>
      </c>
      <c r="P665" s="15" t="n">
        <f aca="false">N665*$E$2*(1+$I$643)/($F$643-$I$643)/(1+$F$643)^$N$3</f>
        <v>61303.5697780062</v>
      </c>
      <c r="Q665" s="15" t="n">
        <f aca="false">O665+P665</f>
        <v>101560.408584346</v>
      </c>
      <c r="R665" s="15" t="n">
        <f aca="false">Q665-$G$2+$I$2</f>
        <v>99970.4085843464</v>
      </c>
      <c r="S665" s="42" t="n">
        <f aca="false">R665/$K$2</f>
        <v>278.019935992954</v>
      </c>
      <c r="T665" s="43" t="n">
        <f aca="false">S665-$M$2</f>
        <v>0.00113628218019812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0.0856828689575195</v>
      </c>
      <c r="C666" s="25" t="n">
        <f aca="false">IF(T665&gt;0,D665,C665)</f>
        <v>0.0856835842132568</v>
      </c>
      <c r="D666" s="41" t="n">
        <f aca="false">(B666+C666)/2</f>
        <v>0.0856832265853882</v>
      </c>
      <c r="E666" s="15" t="n">
        <f aca="false">$C$2*(1+IF(E$3&lt;=$O$2,$D666,$D666-($D666-$I$643)*MIN(E$3-$O$2,$Q$2)/$Q$2))</f>
        <v>7339.21861171722</v>
      </c>
      <c r="F666" s="15" t="n">
        <f aca="false">E666*(1+IF(F$3&lt;=$O$2,$D666,$D666-($D666-$I$643)*MIN(F$3-$O$2,$Q$2)/$Q$2))</f>
        <v>7968.06654298469</v>
      </c>
      <c r="G666" s="15" t="n">
        <f aca="false">F666*(1+IF(G$3&lt;=$O$2,$D666,$D666-($D666-$I$643)*MIN(G$3-$O$2,$Q$2)/$Q$2))</f>
        <v>8650.7961940347</v>
      </c>
      <c r="H666" s="15" t="n">
        <f aca="false">G666*(1+IF(H$3&lt;=$O$2,$D666,$D666-($D666-$I$643)*MIN(H$3-$O$2,$Q$2)/$Q$2))</f>
        <v>9392.02432447219</v>
      </c>
      <c r="I666" s="15" t="n">
        <f aca="false">H666*(1+IF(I$3&lt;=$O$2,$D666,$D666-($D666-$I$643)*MIN(I$3-$O$2,$Q$2)/$Q$2))</f>
        <v>10196.7632727614</v>
      </c>
      <c r="J666" s="15" t="n">
        <f aca="false">I666*(1+IF(J$3&lt;=$O$2,$D666,$D666-($D666-$I$643)*MIN(J$3-$O$2,$Q$2)/$Q$2))</f>
        <v>10953.4302152353</v>
      </c>
      <c r="K666" s="15" t="n">
        <f aca="false">J666*(1+IF(K$3&lt;=$O$2,$D666,$D666-($D666-$I$643)*MIN(K$3-$O$2,$Q$2)/$Q$2))</f>
        <v>11640.5381910833</v>
      </c>
      <c r="L666" s="15" t="n">
        <f aca="false">K666*(1+IF(L$3&lt;=$O$2,$D666,$D666-($D666-$I$643)*MIN(L$3-$O$2,$Q$2)/$Q$2))</f>
        <v>12237.1540781289</v>
      </c>
      <c r="M666" s="15" t="n">
        <f aca="false">L666*(1+IF(M$3&lt;=$O$2,$D666,$D666-($D666-$I$643)*MIN(M$3-$O$2,$Q$2)/$Q$2))</f>
        <v>12723.9070155851</v>
      </c>
      <c r="N666" s="15" t="n">
        <f aca="false">M666*(1+IF(N$3&lt;=$O$2,$D666,$D666-($D666-$I$643)*MIN(N$3-$O$2,$Q$2)/$Q$2))</f>
        <v>13083.9935841261</v>
      </c>
      <c r="O666" s="15" t="n">
        <f aca="false">SUMPRODUCT(E666:N666,1/(1+$F$643)^$E$3:$N$3)*$E$2</f>
        <v>40256.7761026007</v>
      </c>
      <c r="P666" s="15" t="n">
        <f aca="false">N666*$E$2*(1+$I$643)/($F$643-$I$643)/(1+$F$643)^$N$3</f>
        <v>61303.4275457688</v>
      </c>
      <c r="Q666" s="15" t="n">
        <f aca="false">O666+P666</f>
        <v>101560.20364837</v>
      </c>
      <c r="R666" s="15" t="n">
        <f aca="false">Q666-$G$2+$I$2</f>
        <v>99970.2036483695</v>
      </c>
      <c r="S666" s="42" t="n">
        <f aca="false">R666/$K$2</f>
        <v>278.019366061431</v>
      </c>
      <c r="T666" s="43" t="n">
        <f aca="false">S666-$M$2</f>
        <v>0.000566350657720705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0.0856828689575195</v>
      </c>
      <c r="C667" s="25" t="n">
        <f aca="false">IF(T666&gt;0,D666,C666)</f>
        <v>0.0856832265853882</v>
      </c>
      <c r="D667" s="41" t="n">
        <f aca="false">(B667+C667)/2</f>
        <v>0.0856830477714539</v>
      </c>
      <c r="E667" s="15" t="n">
        <f aca="false">$C$2*(1+IF(E$3&lt;=$O$2,$D667,$D667-($D667-$I$643)*MIN(E$3-$O$2,$Q$2)/$Q$2))</f>
        <v>7339.21740293503</v>
      </c>
      <c r="F667" s="15" t="n">
        <f aca="false">E667*(1+IF(F$3&lt;=$O$2,$D667,$D667-($D667-$I$643)*MIN(F$3-$O$2,$Q$2)/$Q$2))</f>
        <v>7968.0639182758</v>
      </c>
      <c r="G667" s="15" t="n">
        <f aca="false">F667*(1+IF(G$3&lt;=$O$2,$D667,$D667-($D667-$I$643)*MIN(G$3-$O$2,$Q$2)/$Q$2))</f>
        <v>8650.79191963142</v>
      </c>
      <c r="H667" s="15" t="n">
        <f aca="false">G667*(1+IF(H$3&lt;=$O$2,$D667,$D667-($D667-$I$643)*MIN(H$3-$O$2,$Q$2)/$Q$2))</f>
        <v>9392.0181369421</v>
      </c>
      <c r="I667" s="15" t="n">
        <f aca="false">H667*(1+IF(I$3&lt;=$O$2,$D667,$D667-($D667-$I$643)*MIN(I$3-$O$2,$Q$2)/$Q$2))</f>
        <v>10196.7548756401</v>
      </c>
      <c r="J667" s="15" t="n">
        <f aca="false">I667*(1+IF(J$3&lt;=$O$2,$D667,$D667-($D667-$I$643)*MIN(J$3-$O$2,$Q$2)/$Q$2))</f>
        <v>10953.4197363348</v>
      </c>
      <c r="K667" s="15" t="n">
        <f aca="false">J667*(1+IF(K$3&lt;=$O$2,$D667,$D667-($D667-$I$643)*MIN(K$3-$O$2,$Q$2)/$Q$2))</f>
        <v>11640.5258796676</v>
      </c>
      <c r="L667" s="15" t="n">
        <f aca="false">K667*(1+IF(L$3&lt;=$O$2,$D667,$D667-($D667-$I$643)*MIN(L$3-$O$2,$Q$2)/$Q$2))</f>
        <v>12237.1403031173</v>
      </c>
      <c r="M667" s="15" t="n">
        <f aca="false">L667*(1+IF(M$3&lt;=$O$2,$D667,$D667-($D667-$I$643)*MIN(M$3-$O$2,$Q$2)/$Q$2))</f>
        <v>12723.8922550155</v>
      </c>
      <c r="N667" s="15" t="n">
        <f aca="false">M667*(1+IF(N$3&lt;=$O$2,$D667,$D667-($D667-$I$643)*MIN(N$3-$O$2,$Q$2)/$Q$2))</f>
        <v>13083.9784058325</v>
      </c>
      <c r="O667" s="15" t="n">
        <f aca="false">SUMPRODUCT(E667:N667,1/(1+$F$643)^$E$3:$N$3)*$E$2</f>
        <v>40256.7447507675</v>
      </c>
      <c r="P667" s="15" t="n">
        <f aca="false">N667*$E$2*(1+$I$643)/($F$643-$I$643)/(1+$F$643)^$N$3</f>
        <v>61303.3564297583</v>
      </c>
      <c r="Q667" s="15" t="n">
        <f aca="false">O667+P667</f>
        <v>101560.101180526</v>
      </c>
      <c r="R667" s="15" t="n">
        <f aca="false">Q667-$G$2+$I$2</f>
        <v>99970.1011805258</v>
      </c>
      <c r="S667" s="42" t="n">
        <f aca="false">R667/$K$2</f>
        <v>278.019081096073</v>
      </c>
      <c r="T667" s="43" t="n">
        <f aca="false">S667-$M$2</f>
        <v>0.000281385298819714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0.0856828689575195</v>
      </c>
      <c r="C668" s="25" t="n">
        <f aca="false">IF(T667&gt;0,D667,C667)</f>
        <v>0.0856830477714539</v>
      </c>
      <c r="D668" s="41" t="n">
        <f aca="false">(B668+C668)/2</f>
        <v>0.0856829583644867</v>
      </c>
      <c r="E668" s="15" t="n">
        <f aca="false">$C$2*(1+IF(E$3&lt;=$O$2,$D668,$D668-($D668-$I$643)*MIN(E$3-$O$2,$Q$2)/$Q$2))</f>
        <v>7339.21679854393</v>
      </c>
      <c r="F668" s="15" t="n">
        <f aca="false">E668*(1+IF(F$3&lt;=$O$2,$D668,$D668-($D668-$I$643)*MIN(F$3-$O$2,$Q$2)/$Q$2))</f>
        <v>7968.06260592151</v>
      </c>
      <c r="G668" s="15" t="n">
        <f aca="false">F668*(1+IF(G$3&lt;=$O$2,$D668,$D668-($D668-$I$643)*MIN(G$3-$O$2,$Q$2)/$Q$2))</f>
        <v>8650.78978243031</v>
      </c>
      <c r="H668" s="15" t="n">
        <f aca="false">G668*(1+IF(H$3&lt;=$O$2,$D668,$D668-($D668-$I$643)*MIN(H$3-$O$2,$Q$2)/$Q$2))</f>
        <v>9392.01504317821</v>
      </c>
      <c r="I668" s="15" t="n">
        <f aca="false">H668*(1+IF(I$3&lt;=$O$2,$D668,$D668-($D668-$I$643)*MIN(I$3-$O$2,$Q$2)/$Q$2))</f>
        <v>10196.7506770815</v>
      </c>
      <c r="J668" s="15" t="n">
        <f aca="false">I668*(1+IF(J$3&lt;=$O$2,$D668,$D668-($D668-$I$643)*MIN(J$3-$O$2,$Q$2)/$Q$2))</f>
        <v>10953.4144968877</v>
      </c>
      <c r="K668" s="15" t="n">
        <f aca="false">J668*(1+IF(K$3&lt;=$O$2,$D668,$D668-($D668-$I$643)*MIN(K$3-$O$2,$Q$2)/$Q$2))</f>
        <v>11640.5197239639</v>
      </c>
      <c r="L668" s="15" t="n">
        <f aca="false">K668*(1+IF(L$3&lt;=$O$2,$D668,$D668-($D668-$I$643)*MIN(L$3-$O$2,$Q$2)/$Q$2))</f>
        <v>12237.1334156166</v>
      </c>
      <c r="M668" s="15" t="n">
        <f aca="false">L668*(1+IF(M$3&lt;=$O$2,$D668,$D668-($D668-$I$643)*MIN(M$3-$O$2,$Q$2)/$Q$2))</f>
        <v>12723.8848747364</v>
      </c>
      <c r="N668" s="15" t="n">
        <f aca="false">M668*(1+IF(N$3&lt;=$O$2,$D668,$D668-($D668-$I$643)*MIN(N$3-$O$2,$Q$2)/$Q$2))</f>
        <v>13083.9708166914</v>
      </c>
      <c r="O668" s="15" t="n">
        <f aca="false">SUMPRODUCT(E668:N668,1/(1+$F$643)^$E$3:$N$3)*$E$2</f>
        <v>40256.72907486</v>
      </c>
      <c r="P668" s="15" t="n">
        <f aca="false">N668*$E$2*(1+$I$643)/($F$643-$I$643)/(1+$F$643)^$N$3</f>
        <v>61303.3208717801</v>
      </c>
      <c r="Q668" s="15" t="n">
        <f aca="false">O668+P668</f>
        <v>101560.04994664</v>
      </c>
      <c r="R668" s="15" t="n">
        <f aca="false">Q668-$G$2+$I$2</f>
        <v>99970.0499466401</v>
      </c>
      <c r="S668" s="42" t="n">
        <f aca="false">R668/$K$2</f>
        <v>278.018938613494</v>
      </c>
      <c r="T668" s="43" t="n">
        <f aca="false">S668-$M$2</f>
        <v>0.000138902720038914</v>
      </c>
    </row>
    <row r="670" customFormat="false" ht="15" hidden="false" customHeight="false" outlineLevel="0" collapsed="false">
      <c r="A670" s="38" t="s">
        <v>210</v>
      </c>
      <c r="E670" s="5" t="s">
        <v>11</v>
      </c>
      <c r="F670" s="12" t="n">
        <f aca="false">Sensitivity!$B$14</f>
        <v>0.0874202832668642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167</v>
      </c>
      <c r="B671" s="28" t="s">
        <v>168</v>
      </c>
      <c r="C671" s="28" t="s">
        <v>169</v>
      </c>
      <c r="D671" s="28" t="s">
        <v>170</v>
      </c>
      <c r="E671" s="28" t="s">
        <v>171</v>
      </c>
      <c r="F671" s="28" t="s">
        <v>172</v>
      </c>
      <c r="G671" s="28" t="s">
        <v>173</v>
      </c>
      <c r="H671" s="28" t="s">
        <v>174</v>
      </c>
      <c r="I671" s="28" t="s">
        <v>175</v>
      </c>
      <c r="J671" s="28" t="s">
        <v>176</v>
      </c>
      <c r="K671" s="28" t="s">
        <v>177</v>
      </c>
      <c r="L671" s="28" t="s">
        <v>178</v>
      </c>
      <c r="M671" s="28" t="s">
        <v>179</v>
      </c>
      <c r="N671" s="28" t="s">
        <v>180</v>
      </c>
      <c r="O671" s="28" t="s">
        <v>181</v>
      </c>
      <c r="P671" s="28" t="s">
        <v>182</v>
      </c>
      <c r="Q671" s="28" t="s">
        <v>183</v>
      </c>
      <c r="R671" s="28" t="s">
        <v>184</v>
      </c>
      <c r="S671" s="28" t="s">
        <v>185</v>
      </c>
      <c r="T671" s="28" t="s">
        <v>186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8450</v>
      </c>
      <c r="F672" s="15" t="n">
        <f aca="false">E672*(1+IF(F$3&lt;=$O$2,$D672,$D672-($D672-$I$670)*MIN(F$3-$O$2,$Q$2)/$Q$2))</f>
        <v>10562.5</v>
      </c>
      <c r="G672" s="15" t="n">
        <f aca="false">F672*(1+IF(G$3&lt;=$O$2,$D672,$D672-($D672-$I$670)*MIN(G$3-$O$2,$Q$2)/$Q$2))</f>
        <v>13203.125</v>
      </c>
      <c r="H672" s="15" t="n">
        <f aca="false">G672*(1+IF(H$3&lt;=$O$2,$D672,$D672-($D672-$I$670)*MIN(H$3-$O$2,$Q$2)/$Q$2))</f>
        <v>16503.90625</v>
      </c>
      <c r="I672" s="15" t="n">
        <f aca="false">H672*(1+IF(I$3&lt;=$O$2,$D672,$D672-($D672-$I$670)*MIN(I$3-$O$2,$Q$2)/$Q$2))</f>
        <v>20629.8828125</v>
      </c>
      <c r="J672" s="15" t="n">
        <f aca="false">I672*(1+IF(J$3&lt;=$O$2,$D672,$D672-($D672-$I$670)*MIN(J$3-$O$2,$Q$2)/$Q$2))</f>
        <v>24893.2543945313</v>
      </c>
      <c r="K672" s="15" t="n">
        <f aca="false">J672*(1+IF(K$3&lt;=$O$2,$D672,$D672-($D672-$I$670)*MIN(K$3-$O$2,$Q$2)/$Q$2))</f>
        <v>28958.8207022461</v>
      </c>
      <c r="L672" s="15" t="n">
        <f aca="false">K672*(1+IF(L$3&lt;=$O$2,$D672,$D672-($D672-$I$670)*MIN(L$3-$O$2,$Q$2)/$Q$2))</f>
        <v>32433.3000101016</v>
      </c>
      <c r="M672" s="15" t="n">
        <f aca="false">L672*(1+IF(M$3&lt;=$O$2,$D672,$D672-($D672-$I$670)*MIN(M$3-$O$2,$Q$2)/$Q$2))</f>
        <v>34918.9881228758</v>
      </c>
      <c r="N672" s="15" t="n">
        <f aca="false">M672*(1+IF(N$3&lt;=$O$2,$D672,$D672-($D672-$I$670)*MIN(N$3-$O$2,$Q$2)/$Q$2))</f>
        <v>36081.7904273675</v>
      </c>
      <c r="O672" s="15" t="n">
        <f aca="false">SUMPRODUCT(E672:N672,1/(1+$F$670)^$E$3:$N$3)*$E$2</f>
        <v>82284.1590047634</v>
      </c>
      <c r="P672" s="15" t="n">
        <f aca="false">N672*$E$2*(1+$I$670)/($F$670-$I$670)/(1+$F$670)^$N$3</f>
        <v>185573.326638662</v>
      </c>
      <c r="Q672" s="15" t="n">
        <f aca="false">O672+P672</f>
        <v>267857.485643425</v>
      </c>
      <c r="R672" s="15" t="n">
        <f aca="false">Q672-$G$2+$I$2</f>
        <v>266267.485643425</v>
      </c>
      <c r="S672" s="42" t="n">
        <f aca="false">R672/$K$2</f>
        <v>740.495816350812</v>
      </c>
      <c r="T672" s="43" t="n">
        <f aca="false">S672-$M$2</f>
        <v>462.477016640038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5915</v>
      </c>
      <c r="F673" s="15" t="n">
        <f aca="false">E673*(1+IF(F$3&lt;=$O$2,$D673,$D673-($D673-$I$670)*MIN(F$3-$O$2,$Q$2)/$Q$2))</f>
        <v>5175.625</v>
      </c>
      <c r="G673" s="15" t="n">
        <f aca="false">F673*(1+IF(G$3&lt;=$O$2,$D673,$D673-($D673-$I$670)*MIN(G$3-$O$2,$Q$2)/$Q$2))</f>
        <v>4528.671875</v>
      </c>
      <c r="H673" s="15" t="n">
        <f aca="false">G673*(1+IF(H$3&lt;=$O$2,$D673,$D673-($D673-$I$670)*MIN(H$3-$O$2,$Q$2)/$Q$2))</f>
        <v>3962.587890625</v>
      </c>
      <c r="I673" s="15" t="n">
        <f aca="false">H673*(1+IF(I$3&lt;=$O$2,$D673,$D673-($D673-$I$670)*MIN(I$3-$O$2,$Q$2)/$Q$2))</f>
        <v>3467.26440429688</v>
      </c>
      <c r="J673" s="15" t="n">
        <f aca="false">I673*(1+IF(J$3&lt;=$O$2,$D673,$D673-($D673-$I$670)*MIN(J$3-$O$2,$Q$2)/$Q$2))</f>
        <v>3143.62994479981</v>
      </c>
      <c r="K673" s="15" t="n">
        <f aca="false">J673*(1+IF(K$3&lt;=$O$2,$D673,$D673-($D673-$I$670)*MIN(K$3-$O$2,$Q$2)/$Q$2))</f>
        <v>2949.73084980455</v>
      </c>
      <c r="L673" s="15" t="n">
        <f aca="false">K673*(1+IF(L$3&lt;=$O$2,$D673,$D673-($D673-$I$670)*MIN(L$3-$O$2,$Q$2)/$Q$2))</f>
        <v>2861.17992969342</v>
      </c>
      <c r="M673" s="15" t="n">
        <f aca="false">L673*(1+IF(M$3&lt;=$O$2,$D673,$D673-($D673-$I$670)*MIN(M$3-$O$2,$Q$2)/$Q$2))</f>
        <v>2865.87226477812</v>
      </c>
      <c r="N673" s="15" t="n">
        <f aca="false">M673*(1+IF(N$3&lt;=$O$2,$D673,$D673-($D673-$I$670)*MIN(N$3-$O$2,$Q$2)/$Q$2))</f>
        <v>2961.30581119523</v>
      </c>
      <c r="O673" s="15" t="n">
        <f aca="false">SUMPRODUCT(E673:N673,1/(1+$F$670)^$E$3:$N$3)*$E$2</f>
        <v>16246.3095907542</v>
      </c>
      <c r="P673" s="15" t="n">
        <f aca="false">N673*$E$2*(1+$I$670)/($F$670-$I$670)/(1+$F$670)^$N$3</f>
        <v>15230.3797585688</v>
      </c>
      <c r="Q673" s="15" t="n">
        <f aca="false">O673+P673</f>
        <v>31476.689349323</v>
      </c>
      <c r="R673" s="15" t="n">
        <f aca="false">Q673-$G$2+$I$2</f>
        <v>29886.689349323</v>
      </c>
      <c r="S673" s="42" t="n">
        <f aca="false">R673/$K$2</f>
        <v>83.1155496671756</v>
      </c>
      <c r="T673" s="43" t="n">
        <f aca="false">S673-$M$2</f>
        <v>-194.903250043598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7182.5</v>
      </c>
      <c r="F674" s="15" t="n">
        <f aca="false">E674*(1+IF(F$3&lt;=$O$2,$D674,$D674-($D674-$I$670)*MIN(F$3-$O$2,$Q$2)/$Q$2))</f>
        <v>7631.40625</v>
      </c>
      <c r="G674" s="15" t="n">
        <f aca="false">F674*(1+IF(G$3&lt;=$O$2,$D674,$D674-($D674-$I$670)*MIN(G$3-$O$2,$Q$2)/$Q$2))</f>
        <v>8108.369140625</v>
      </c>
      <c r="H674" s="15" t="n">
        <f aca="false">G674*(1+IF(H$3&lt;=$O$2,$D674,$D674-($D674-$I$670)*MIN(H$3-$O$2,$Q$2)/$Q$2))</f>
        <v>8615.14221191406</v>
      </c>
      <c r="I674" s="15" t="n">
        <f aca="false">H674*(1+IF(I$3&lt;=$O$2,$D674,$D674-($D674-$I$670)*MIN(I$3-$O$2,$Q$2)/$Q$2))</f>
        <v>9153.58860015869</v>
      </c>
      <c r="J674" s="15" t="n">
        <f aca="false">I674*(1+IF(J$3&lt;=$O$2,$D674,$D674-($D674-$I$670)*MIN(J$3-$O$2,$Q$2)/$Q$2))</f>
        <v>9672.23093024368</v>
      </c>
      <c r="K674" s="15" t="n">
        <f aca="false">J674*(1+IF(K$3&lt;=$O$2,$D674,$D674-($D674-$I$670)*MIN(K$3-$O$2,$Q$2)/$Q$2))</f>
        <v>10163.7737061187</v>
      </c>
      <c r="L674" s="15" t="n">
        <f aca="false">K674*(1+IF(L$3&lt;=$O$2,$D674,$D674-($D674-$I$670)*MIN(L$3-$O$2,$Q$2)/$Q$2))</f>
        <v>10620.9402474199</v>
      </c>
      <c r="M674" s="15" t="n">
        <f aca="false">L674*(1+IF(M$3&lt;=$O$2,$D674,$D674-($D674-$I$670)*MIN(M$3-$O$2,$Q$2)/$Q$2))</f>
        <v>11036.6438487039</v>
      </c>
      <c r="N674" s="15" t="n">
        <f aca="false">M674*(1+IF(N$3&lt;=$O$2,$D674,$D674-($D674-$I$670)*MIN(N$3-$O$2,$Q$2)/$Q$2))</f>
        <v>11404.1640888657</v>
      </c>
      <c r="O674" s="15" t="n">
        <f aca="false">SUMPRODUCT(E674:N674,1/(1+$F$670)^$E$3:$N$3)*$E$2</f>
        <v>36498.0325620418</v>
      </c>
      <c r="P674" s="15" t="n">
        <f aca="false">N674*$E$2*(1+$I$670)/($F$670-$I$670)/(1+$F$670)^$N$3</f>
        <v>58653.0946063803</v>
      </c>
      <c r="Q674" s="15" t="n">
        <f aca="false">O674+P674</f>
        <v>95151.1271684221</v>
      </c>
      <c r="R674" s="15" t="n">
        <f aca="false">Q674-$G$2+$I$2</f>
        <v>93561.1271684221</v>
      </c>
      <c r="S674" s="42" t="n">
        <f aca="false">R674/$K$2</f>
        <v>260.195581423945</v>
      </c>
      <c r="T674" s="43" t="n">
        <f aca="false">S674-$M$2</f>
        <v>-17.8232182868288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41" t="n">
        <f aca="false">(B675+C675)/2</f>
        <v>0.15625</v>
      </c>
      <c r="E675" s="15" t="n">
        <f aca="false">$C$2*(1+IF(E$3&lt;=$O$2,$D675,$D675-($D675-$I$670)*MIN(E$3-$O$2,$Q$2)/$Q$2))</f>
        <v>7816.25</v>
      </c>
      <c r="F675" s="15" t="n">
        <f aca="false">E675*(1+IF(F$3&lt;=$O$2,$D675,$D675-($D675-$I$670)*MIN(F$3-$O$2,$Q$2)/$Q$2))</f>
        <v>9037.5390625</v>
      </c>
      <c r="G675" s="15" t="n">
        <f aca="false">F675*(1+IF(G$3&lt;=$O$2,$D675,$D675-($D675-$I$670)*MIN(G$3-$O$2,$Q$2)/$Q$2))</f>
        <v>10449.6545410156</v>
      </c>
      <c r="H675" s="15" t="n">
        <f aca="false">G675*(1+IF(H$3&lt;=$O$2,$D675,$D675-($D675-$I$670)*MIN(H$3-$O$2,$Q$2)/$Q$2))</f>
        <v>12082.4130630493</v>
      </c>
      <c r="I675" s="15" t="n">
        <f aca="false">H675*(1+IF(I$3&lt;=$O$2,$D675,$D675-($D675-$I$670)*MIN(I$3-$O$2,$Q$2)/$Q$2))</f>
        <v>13970.2901041508</v>
      </c>
      <c r="J675" s="15" t="n">
        <f aca="false">I675*(1+IF(J$3&lt;=$O$2,$D675,$D675-($D675-$I$670)*MIN(J$3-$O$2,$Q$2)/$Q$2))</f>
        <v>15809.6184992633</v>
      </c>
      <c r="K675" s="15" t="n">
        <f aca="false">J675*(1+IF(K$3&lt;=$O$2,$D675,$D675-($D675-$I$670)*MIN(K$3-$O$2,$Q$2)/$Q$2))</f>
        <v>17502.3543519794</v>
      </c>
      <c r="L675" s="15" t="n">
        <f aca="false">K675*(1+IF(L$3&lt;=$O$2,$D675,$D675-($D675-$I$670)*MIN(L$3-$O$2,$Q$2)/$Q$2))</f>
        <v>18945.9485389306</v>
      </c>
      <c r="M675" s="15" t="n">
        <f aca="false">L675*(1+IF(M$3&lt;=$O$2,$D675,$D675-($D675-$I$670)*MIN(M$3-$O$2,$Q$2)/$Q$2))</f>
        <v>20042.7294998493</v>
      </c>
      <c r="N675" s="15" t="n">
        <f aca="false">M675*(1+IF(N$3&lt;=$O$2,$D675,$D675-($D675-$I$670)*MIN(N$3-$O$2,$Q$2)/$Q$2))</f>
        <v>20710.1523921943</v>
      </c>
      <c r="O675" s="15" t="n">
        <f aca="false">SUMPRODUCT(E675:N675,1/(1+$F$670)^$E$3:$N$3)*$E$2</f>
        <v>54903.0936007507</v>
      </c>
      <c r="P675" s="15" t="n">
        <f aca="false">N675*$E$2*(1+$I$670)/($F$670-$I$670)/(1+$F$670)^$N$3</f>
        <v>106514.99909212</v>
      </c>
      <c r="Q675" s="15" t="n">
        <f aca="false">O675+P675</f>
        <v>161418.092692871</v>
      </c>
      <c r="R675" s="15" t="n">
        <f aca="false">Q675-$G$2+$I$2</f>
        <v>159828.092692871</v>
      </c>
      <c r="S675" s="42" t="n">
        <f aca="false">R675/$K$2</f>
        <v>444.485490552509</v>
      </c>
      <c r="T675" s="43" t="n">
        <f aca="false">S675-$M$2</f>
        <v>166.466690841735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41" t="n">
        <f aca="false">(B676+C676)/2</f>
        <v>0.109375</v>
      </c>
      <c r="E676" s="15" t="n">
        <f aca="false">$C$2*(1+IF(E$3&lt;=$O$2,$D676,$D676-($D676-$I$670)*MIN(E$3-$O$2,$Q$2)/$Q$2))</f>
        <v>7499.375</v>
      </c>
      <c r="F676" s="15" t="n">
        <f aca="false">E676*(1+IF(F$3&lt;=$O$2,$D676,$D676-($D676-$I$670)*MIN(F$3-$O$2,$Q$2)/$Q$2))</f>
        <v>8319.619140625</v>
      </c>
      <c r="G676" s="15" t="n">
        <f aca="false">F676*(1+IF(G$3&lt;=$O$2,$D676,$D676-($D676-$I$670)*MIN(G$3-$O$2,$Q$2)/$Q$2))</f>
        <v>9229.57748413086</v>
      </c>
      <c r="H676" s="15" t="n">
        <f aca="false">G676*(1+IF(H$3&lt;=$O$2,$D676,$D676-($D676-$I$670)*MIN(H$3-$O$2,$Q$2)/$Q$2))</f>
        <v>10239.0625214577</v>
      </c>
      <c r="I676" s="15" t="n">
        <f aca="false">H676*(1+IF(I$3&lt;=$O$2,$D676,$D676-($D676-$I$670)*MIN(I$3-$O$2,$Q$2)/$Q$2))</f>
        <v>11358.9599847421</v>
      </c>
      <c r="J676" s="15" t="n">
        <f aca="false">I676*(1+IF(J$3&lt;=$O$2,$D676,$D676-($D676-$I$670)*MIN(J$3-$O$2,$Q$2)/$Q$2))</f>
        <v>12428.5196569054</v>
      </c>
      <c r="K676" s="15" t="n">
        <f aca="false">J676*(1+IF(K$3&lt;=$O$2,$D676,$D676-($D676-$I$670)*MIN(K$3-$O$2,$Q$2)/$Q$2))</f>
        <v>13409.6891412198</v>
      </c>
      <c r="L676" s="15" t="n">
        <f aca="false">K676*(1+IF(L$3&lt;=$O$2,$D676,$D676-($D676-$I$670)*MIN(L$3-$O$2,$Q$2)/$Q$2))</f>
        <v>14264.2886301898</v>
      </c>
      <c r="M676" s="15" t="n">
        <f aca="false">L676*(1+IF(M$3&lt;=$O$2,$D676,$D676-($D676-$I$670)*MIN(M$3-$O$2,$Q$2)/$Q$2))</f>
        <v>14956.3205930834</v>
      </c>
      <c r="N676" s="15" t="n">
        <f aca="false">M676*(1+IF(N$3&lt;=$O$2,$D676,$D676-($D676-$I$670)*MIN(N$3-$O$2,$Q$2)/$Q$2))</f>
        <v>15454.3660688331</v>
      </c>
      <c r="O676" s="15" t="n">
        <f aca="false">SUMPRODUCT(E676:N676,1/(1+$F$670)^$E$3:$N$3)*$E$2</f>
        <v>44773.8424271588</v>
      </c>
      <c r="P676" s="15" t="n">
        <f aca="false">N676*$E$2*(1+$I$670)/($F$670-$I$670)/(1+$F$670)^$N$3</f>
        <v>79483.8085504132</v>
      </c>
      <c r="Q676" s="15" t="n">
        <f aca="false">O676+P676</f>
        <v>124257.650977572</v>
      </c>
      <c r="R676" s="15" t="n">
        <f aca="false">Q676-$G$2+$I$2</f>
        <v>122667.650977572</v>
      </c>
      <c r="S676" s="42" t="n">
        <f aca="false">R676/$K$2</f>
        <v>341.141473323244</v>
      </c>
      <c r="T676" s="43" t="n">
        <f aca="false">S676-$M$2</f>
        <v>63.1226736124699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0.0625</v>
      </c>
      <c r="C677" s="25" t="n">
        <f aca="false">IF(T676&gt;0,D676,C676)</f>
        <v>0.109375</v>
      </c>
      <c r="D677" s="41" t="n">
        <f aca="false">(B677+C677)/2</f>
        <v>0.0859375</v>
      </c>
      <c r="E677" s="15" t="n">
        <f aca="false">$C$2*(1+IF(E$3&lt;=$O$2,$D677,$D677-($D677-$I$670)*MIN(E$3-$O$2,$Q$2)/$Q$2))</f>
        <v>7340.9375</v>
      </c>
      <c r="F677" s="15" t="n">
        <f aca="false">E677*(1+IF(F$3&lt;=$O$2,$D677,$D677-($D677-$I$670)*MIN(F$3-$O$2,$Q$2)/$Q$2))</f>
        <v>7971.79931640625</v>
      </c>
      <c r="G677" s="15" t="n">
        <f aca="false">F677*(1+IF(G$3&lt;=$O$2,$D677,$D677-($D677-$I$670)*MIN(G$3-$O$2,$Q$2)/$Q$2))</f>
        <v>8656.87582015991</v>
      </c>
      <c r="H677" s="15" t="n">
        <f aca="false">G677*(1+IF(H$3&lt;=$O$2,$D677,$D677-($D677-$I$670)*MIN(H$3-$O$2,$Q$2)/$Q$2))</f>
        <v>9400.82608595491</v>
      </c>
      <c r="I677" s="15" t="n">
        <f aca="false">H677*(1+IF(I$3&lt;=$O$2,$D677,$D677-($D677-$I$670)*MIN(I$3-$O$2,$Q$2)/$Q$2))</f>
        <v>10208.7095777167</v>
      </c>
      <c r="J677" s="15" t="n">
        <f aca="false">I677*(1+IF(J$3&lt;=$O$2,$D677,$D677-($D677-$I$670)*MIN(J$3-$O$2,$Q$2)/$Q$2))</f>
        <v>10978.5483669723</v>
      </c>
      <c r="K677" s="15" t="n">
        <f aca="false">J677*(1+IF(K$3&lt;=$O$2,$D677,$D677-($D677-$I$670)*MIN(K$3-$O$2,$Q$2)/$Q$2))</f>
        <v>11690.8640313923</v>
      </c>
      <c r="L677" s="15" t="n">
        <f aca="false">K677*(1+IF(L$3&lt;=$O$2,$D677,$D677-($D677-$I$670)*MIN(L$3-$O$2,$Q$2)/$Q$2))</f>
        <v>12326.3209458187</v>
      </c>
      <c r="M677" s="15" t="n">
        <f aca="false">L677*(1+IF(M$3&lt;=$O$2,$D677,$D677-($D677-$I$670)*MIN(M$3-$O$2,$Q$2)/$Q$2))</f>
        <v>12866.5527770715</v>
      </c>
      <c r="N677" s="15" t="n">
        <f aca="false">M677*(1+IF(N$3&lt;=$O$2,$D677,$D677-($D677-$I$670)*MIN(N$3-$O$2,$Q$2)/$Q$2))</f>
        <v>13295.008984548</v>
      </c>
      <c r="O677" s="15" t="n">
        <f aca="false">SUMPRODUCT(E677:N677,1/(1+$F$670)^$E$3:$N$3)*$E$2</f>
        <v>40425.4074729898</v>
      </c>
      <c r="P677" s="15" t="n">
        <f aca="false">N677*$E$2*(1+$I$670)/($F$670-$I$670)/(1+$F$670)^$N$3</f>
        <v>68377.955077366</v>
      </c>
      <c r="Q677" s="15" t="n">
        <f aca="false">O677+P677</f>
        <v>108803.362550356</v>
      </c>
      <c r="R677" s="15" t="n">
        <f aca="false">Q677-$G$2+$I$2</f>
        <v>107213.362550356</v>
      </c>
      <c r="S677" s="42" t="n">
        <f aca="false">R677/$K$2</f>
        <v>298.162752517814</v>
      </c>
      <c r="T677" s="43" t="n">
        <f aca="false">S677-$M$2</f>
        <v>20.1439528070407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0.0625</v>
      </c>
      <c r="C678" s="25" t="n">
        <f aca="false">IF(T677&gt;0,D677,C677)</f>
        <v>0.0859375</v>
      </c>
      <c r="D678" s="41" t="n">
        <f aca="false">(B678+C678)/2</f>
        <v>0.07421875</v>
      </c>
      <c r="E678" s="15" t="n">
        <f aca="false">$C$2*(1+IF(E$3&lt;=$O$2,$D678,$D678-($D678-$I$670)*MIN(E$3-$O$2,$Q$2)/$Q$2))</f>
        <v>7261.71875</v>
      </c>
      <c r="F678" s="15" t="n">
        <f aca="false">E678*(1+IF(F$3&lt;=$O$2,$D678,$D678-($D678-$I$670)*MIN(F$3-$O$2,$Q$2)/$Q$2))</f>
        <v>7800.67443847656</v>
      </c>
      <c r="G678" s="15" t="n">
        <f aca="false">F678*(1+IF(G$3&lt;=$O$2,$D678,$D678-($D678-$I$670)*MIN(G$3-$O$2,$Q$2)/$Q$2))</f>
        <v>8379.63074445725</v>
      </c>
      <c r="H678" s="15" t="n">
        <f aca="false">G678*(1+IF(H$3&lt;=$O$2,$D678,$D678-($D678-$I$670)*MIN(H$3-$O$2,$Q$2)/$Q$2))</f>
        <v>9001.55646377243</v>
      </c>
      <c r="I678" s="15" t="n">
        <f aca="false">H678*(1+IF(I$3&lt;=$O$2,$D678,$D678-($D678-$I$670)*MIN(I$3-$O$2,$Q$2)/$Q$2))</f>
        <v>9669.64073256804</v>
      </c>
      <c r="J678" s="15" t="n">
        <f aca="false">I678*(1+IF(J$3&lt;=$O$2,$D678,$D678-($D678-$I$670)*MIN(J$3-$O$2,$Q$2)/$Q$2))</f>
        <v>10308.1754583432</v>
      </c>
      <c r="K678" s="15" t="n">
        <f aca="false">J678*(1+IF(K$3&lt;=$O$2,$D678,$D678-($D678-$I$670)*MIN(K$3-$O$2,$Q$2)/$Q$2))</f>
        <v>10904.5162938276</v>
      </c>
      <c r="L678" s="15" t="n">
        <f aca="false">K678*(1+IF(L$3&lt;=$O$2,$D678,$D678-($D678-$I$670)*MIN(L$3-$O$2,$Q$2)/$Q$2))</f>
        <v>11446.1163568513</v>
      </c>
      <c r="M678" s="15" t="n">
        <f aca="false">L678*(1+IF(M$3&lt;=$O$2,$D678,$D678-($D678-$I$670)*MIN(M$3-$O$2,$Q$2)/$Q$2))</f>
        <v>11920.9441862699</v>
      </c>
      <c r="N678" s="15" t="n">
        <f aca="false">M678*(1+IF(N$3&lt;=$O$2,$D678,$D678-($D678-$I$670)*MIN(N$3-$O$2,$Q$2)/$Q$2))</f>
        <v>12317.9116276726</v>
      </c>
      <c r="O678" s="15" t="n">
        <f aca="false">SUMPRODUCT(E678:N678,1/(1+$F$670)^$E$3:$N$3)*$E$2</f>
        <v>38411.5471193514</v>
      </c>
      <c r="P678" s="15" t="n">
        <f aca="false">N678*$E$2*(1+$I$670)/($F$670-$I$670)/(1+$F$670)^$N$3</f>
        <v>63352.6166776485</v>
      </c>
      <c r="Q678" s="15" t="n">
        <f aca="false">O678+P678</f>
        <v>101764.163797</v>
      </c>
      <c r="R678" s="15" t="n">
        <f aca="false">Q678-$G$2+$I$2</f>
        <v>100174.163797</v>
      </c>
      <c r="S678" s="42" t="n">
        <f aca="false">R678/$K$2</f>
        <v>278.586583783859</v>
      </c>
      <c r="T678" s="43" t="n">
        <f aca="false">S678-$M$2</f>
        <v>0.567784073085136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0.0625</v>
      </c>
      <c r="C679" s="25" t="n">
        <f aca="false">IF(T678&gt;0,D678,C678)</f>
        <v>0.07421875</v>
      </c>
      <c r="D679" s="41" t="n">
        <f aca="false">(B679+C679)/2</f>
        <v>0.068359375</v>
      </c>
      <c r="E679" s="15" t="n">
        <f aca="false">$C$2*(1+IF(E$3&lt;=$O$2,$D679,$D679-($D679-$I$670)*MIN(E$3-$O$2,$Q$2)/$Q$2))</f>
        <v>7222.109375</v>
      </c>
      <c r="F679" s="15" t="n">
        <f aca="false">E679*(1+IF(F$3&lt;=$O$2,$D679,$D679-($D679-$I$670)*MIN(F$3-$O$2,$Q$2)/$Q$2))</f>
        <v>7715.80825805664</v>
      </c>
      <c r="G679" s="15" t="n">
        <f aca="false">F679*(1+IF(G$3&lt;=$O$2,$D679,$D679-($D679-$I$670)*MIN(G$3-$O$2,$Q$2)/$Q$2))</f>
        <v>8243.25608819723</v>
      </c>
      <c r="H679" s="15" t="n">
        <f aca="false">G679*(1+IF(H$3&lt;=$O$2,$D679,$D679-($D679-$I$670)*MIN(H$3-$O$2,$Q$2)/$Q$2))</f>
        <v>8806.75992235134</v>
      </c>
      <c r="I679" s="15" t="n">
        <f aca="false">H679*(1+IF(I$3&lt;=$O$2,$D679,$D679-($D679-$I$670)*MIN(I$3-$O$2,$Q$2)/$Q$2))</f>
        <v>9408.78452641833</v>
      </c>
      <c r="J679" s="15" t="n">
        <f aca="false">I679*(1+IF(J$3&lt;=$O$2,$D679,$D679-($D679-$I$670)*MIN(J$3-$O$2,$Q$2)/$Q$2))</f>
        <v>9985.98993515278</v>
      </c>
      <c r="K679" s="15" t="n">
        <f aca="false">J679*(1+IF(K$3&lt;=$O$2,$D679,$D679-($D679-$I$670)*MIN(K$3-$O$2,$Q$2)/$Q$2))</f>
        <v>10528.584939523</v>
      </c>
      <c r="L679" s="15" t="n">
        <f aca="false">K679*(1+IF(L$3&lt;=$O$2,$D679,$D679-($D679-$I$670)*MIN(L$3-$O$2,$Q$2)/$Q$2))</f>
        <v>11026.8370610548</v>
      </c>
      <c r="M679" s="15" t="n">
        <f aca="false">L679*(1+IF(M$3&lt;=$O$2,$D679,$D679-($D679-$I$670)*MIN(M$3-$O$2,$Q$2)/$Q$2))</f>
        <v>11471.3495383054</v>
      </c>
      <c r="N679" s="15" t="n">
        <f aca="false">M679*(1+IF(N$3&lt;=$O$2,$D679,$D679-($D679-$I$670)*MIN(N$3-$O$2,$Q$2)/$Q$2))</f>
        <v>11853.3454779309</v>
      </c>
      <c r="O679" s="15" t="n">
        <f aca="false">SUMPRODUCT(E679:N679,1/(1+$F$670)^$E$3:$N$3)*$E$2</f>
        <v>37442.5431287966</v>
      </c>
      <c r="P679" s="15" t="n">
        <f aca="false">N679*$E$2*(1+$I$670)/($F$670-$I$670)/(1+$F$670)^$N$3</f>
        <v>60963.2927325182</v>
      </c>
      <c r="Q679" s="15" t="n">
        <f aca="false">O679+P679</f>
        <v>98405.8358613148</v>
      </c>
      <c r="R679" s="15" t="n">
        <f aca="false">Q679-$G$2+$I$2</f>
        <v>96815.8358613148</v>
      </c>
      <c r="S679" s="42" t="n">
        <f aca="false">R679/$K$2</f>
        <v>269.246998891248</v>
      </c>
      <c r="T679" s="43" t="n">
        <f aca="false">S679-$M$2</f>
        <v>-8.77180081952622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0.068359375</v>
      </c>
      <c r="C680" s="25" t="n">
        <f aca="false">IF(T679&gt;0,D679,C679)</f>
        <v>0.07421875</v>
      </c>
      <c r="D680" s="41" t="n">
        <f aca="false">(B680+C680)/2</f>
        <v>0.0712890625</v>
      </c>
      <c r="E680" s="15" t="n">
        <f aca="false">$C$2*(1+IF(E$3&lt;=$O$2,$D680,$D680-($D680-$I$670)*MIN(E$3-$O$2,$Q$2)/$Q$2))</f>
        <v>7241.9140625</v>
      </c>
      <c r="F680" s="15" t="n">
        <f aca="false">E680*(1+IF(F$3&lt;=$O$2,$D680,$D680-($D680-$I$670)*MIN(F$3-$O$2,$Q$2)/$Q$2))</f>
        <v>7758.18332672119</v>
      </c>
      <c r="G680" s="15" t="n">
        <f aca="false">F680*(1+IF(G$3&lt;=$O$2,$D680,$D680-($D680-$I$670)*MIN(G$3-$O$2,$Q$2)/$Q$2))</f>
        <v>8311.25694278628</v>
      </c>
      <c r="H680" s="15" t="n">
        <f aca="false">G680*(1+IF(H$3&lt;=$O$2,$D680,$D680-($D680-$I$670)*MIN(H$3-$O$2,$Q$2)/$Q$2))</f>
        <v>8903.75865843413</v>
      </c>
      <c r="I680" s="15" t="n">
        <f aca="false">H680*(1+IF(I$3&lt;=$O$2,$D680,$D680-($D680-$I$670)*MIN(I$3-$O$2,$Q$2)/$Q$2))</f>
        <v>9538.49926592015</v>
      </c>
      <c r="J680" s="15" t="n">
        <f aca="false">I680*(1+IF(J$3&lt;=$O$2,$D680,$D680-($D680-$I$670)*MIN(J$3-$O$2,$Q$2)/$Q$2))</f>
        <v>10146.0182072907</v>
      </c>
      <c r="K680" s="15" t="n">
        <f aca="false">J680*(1+IF(K$3&lt;=$O$2,$D680,$D680-($D680-$I$670)*MIN(K$3-$O$2,$Q$2)/$Q$2))</f>
        <v>10715.1432454752</v>
      </c>
      <c r="L680" s="15" t="n">
        <f aca="false">K680*(1+IF(L$3&lt;=$O$2,$D680,$D680-($D680-$I$670)*MIN(L$3-$O$2,$Q$2)/$Q$2))</f>
        <v>11234.7808141291</v>
      </c>
      <c r="M680" s="15" t="n">
        <f aca="false">L680*(1+IF(M$3&lt;=$O$2,$D680,$D680-($D680-$I$670)*MIN(M$3-$O$2,$Q$2)/$Q$2))</f>
        <v>11694.2587733439</v>
      </c>
      <c r="N680" s="15" t="n">
        <f aca="false">M680*(1+IF(N$3&lt;=$O$2,$D680,$D680-($D680-$I$670)*MIN(N$3-$O$2,$Q$2)/$Q$2))</f>
        <v>12083.6775904963</v>
      </c>
      <c r="O680" s="15" t="n">
        <f aca="false">SUMPRODUCT(E680:N680,1/(1+$F$670)^$E$3:$N$3)*$E$2</f>
        <v>37923.9468596214</v>
      </c>
      <c r="P680" s="15" t="n">
        <f aca="false">N680*$E$2*(1+$I$670)/($F$670-$I$670)/(1+$F$670)^$N$3</f>
        <v>62147.9206529785</v>
      </c>
      <c r="Q680" s="15" t="n">
        <f aca="false">O680+P680</f>
        <v>100071.8675126</v>
      </c>
      <c r="R680" s="15" t="n">
        <f aca="false">Q680-$G$2+$I$2</f>
        <v>98481.8675125999</v>
      </c>
      <c r="S680" s="42" t="n">
        <f aca="false">R680/$K$2</f>
        <v>273.880270072306</v>
      </c>
      <c r="T680" s="43" t="n">
        <f aca="false">S680-$M$2</f>
        <v>-4.13852963846728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0.0712890625</v>
      </c>
      <c r="C681" s="25" t="n">
        <f aca="false">IF(T680&gt;0,D680,C680)</f>
        <v>0.07421875</v>
      </c>
      <c r="D681" s="41" t="n">
        <f aca="false">(B681+C681)/2</f>
        <v>0.07275390625</v>
      </c>
      <c r="E681" s="15" t="n">
        <f aca="false">$C$2*(1+IF(E$3&lt;=$O$2,$D681,$D681-($D681-$I$670)*MIN(E$3-$O$2,$Q$2)/$Q$2))</f>
        <v>7251.81640625</v>
      </c>
      <c r="F681" s="15" t="n">
        <f aca="false">E681*(1+IF(F$3&lt;=$O$2,$D681,$D681-($D681-$I$670)*MIN(F$3-$O$2,$Q$2)/$Q$2))</f>
        <v>7779.41437721252</v>
      </c>
      <c r="G681" s="15" t="n">
        <f aca="false">F681*(1+IF(G$3&lt;=$O$2,$D681,$D681-($D681-$I$670)*MIN(G$3-$O$2,$Q$2)/$Q$2))</f>
        <v>8345.39716149215</v>
      </c>
      <c r="H681" s="15" t="n">
        <f aca="false">G681*(1+IF(H$3&lt;=$O$2,$D681,$D681-($D681-$I$670)*MIN(H$3-$O$2,$Q$2)/$Q$2))</f>
        <v>8952.55740419836</v>
      </c>
      <c r="I681" s="15" t="n">
        <f aca="false">H681*(1+IF(I$3&lt;=$O$2,$D681,$D681-($D681-$I$670)*MIN(I$3-$O$2,$Q$2)/$Q$2))</f>
        <v>9603.89092628115</v>
      </c>
      <c r="J681" s="15" t="n">
        <f aca="false">I681*(1+IF(J$3&lt;=$O$2,$D681,$D681-($D681-$I$670)*MIN(J$3-$O$2,$Q$2)/$Q$2))</f>
        <v>10226.8293039189</v>
      </c>
      <c r="K681" s="15" t="n">
        <f aca="false">J681*(1+IF(K$3&lt;=$O$2,$D681,$D681-($D681-$I$670)*MIN(K$3-$O$2,$Q$2)/$Q$2))</f>
        <v>10809.4757384943</v>
      </c>
      <c r="L681" s="15" t="n">
        <f aca="false">K681*(1+IF(L$3&lt;=$O$2,$D681,$D681-($D681-$I$670)*MIN(L$3-$O$2,$Q$2)/$Q$2))</f>
        <v>11340.0216975455</v>
      </c>
      <c r="M681" s="15" t="n">
        <f aca="false">L681*(1+IF(M$3&lt;=$O$2,$D681,$D681-($D681-$I$670)*MIN(M$3-$O$2,$Q$2)/$Q$2))</f>
        <v>11807.1260506593</v>
      </c>
      <c r="N681" s="15" t="n">
        <f aca="false">M681*(1+IF(N$3&lt;=$O$2,$D681,$D681-($D681-$I$670)*MIN(N$3-$O$2,$Q$2)/$Q$2))</f>
        <v>12200.3033481463</v>
      </c>
      <c r="O681" s="15" t="n">
        <f aca="false">SUMPRODUCT(E681:N681,1/(1+$F$670)^$E$3:$N$3)*$E$2</f>
        <v>38166.9678085934</v>
      </c>
      <c r="P681" s="15" t="n">
        <f aca="false">N681*$E$2*(1+$I$670)/($F$670-$I$670)/(1+$F$670)^$N$3</f>
        <v>62747.7420466102</v>
      </c>
      <c r="Q681" s="15" t="n">
        <f aca="false">O681+P681</f>
        <v>100914.709855204</v>
      </c>
      <c r="R681" s="15" t="n">
        <f aca="false">Q681-$G$2+$I$2</f>
        <v>99324.7098552036</v>
      </c>
      <c r="S681" s="42" t="n">
        <f aca="false">R681/$K$2</f>
        <v>276.224233425673</v>
      </c>
      <c r="T681" s="43" t="n">
        <f aca="false">S681-$M$2</f>
        <v>-1.79456628510053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0.07275390625</v>
      </c>
      <c r="C682" s="25" t="n">
        <f aca="false">IF(T681&gt;0,D681,C681)</f>
        <v>0.07421875</v>
      </c>
      <c r="D682" s="41" t="n">
        <f aca="false">(B682+C682)/2</f>
        <v>0.073486328125</v>
      </c>
      <c r="E682" s="15" t="n">
        <f aca="false">$C$2*(1+IF(E$3&lt;=$O$2,$D682,$D682-($D682-$I$670)*MIN(E$3-$O$2,$Q$2)/$Q$2))</f>
        <v>7256.767578125</v>
      </c>
      <c r="F682" s="15" t="n">
        <f aca="false">E682*(1+IF(F$3&lt;=$O$2,$D682,$D682-($D682-$I$670)*MIN(F$3-$O$2,$Q$2)/$Q$2))</f>
        <v>7790.04078149796</v>
      </c>
      <c r="G682" s="15" t="n">
        <f aca="false">F682*(1+IF(G$3&lt;=$O$2,$D682,$D682-($D682-$I$670)*MIN(G$3-$O$2,$Q$2)/$Q$2))</f>
        <v>8362.50227447425</v>
      </c>
      <c r="H682" s="15" t="n">
        <f aca="false">G682*(1+IF(H$3&lt;=$O$2,$D682,$D682-($D682-$I$670)*MIN(H$3-$O$2,$Q$2)/$Q$2))</f>
        <v>8977.03186056232</v>
      </c>
      <c r="I682" s="15" t="n">
        <f aca="false">H682*(1+IF(I$3&lt;=$O$2,$D682,$D682-($D682-$I$670)*MIN(I$3-$O$2,$Q$2)/$Q$2))</f>
        <v>9636.72096945618</v>
      </c>
      <c r="J682" s="15" t="n">
        <f aca="false">I682*(1+IF(J$3&lt;=$O$2,$D682,$D682-($D682-$I$670)*MIN(J$3-$O$2,$Q$2)/$Q$2))</f>
        <v>10267.4353224812</v>
      </c>
      <c r="K682" s="15" t="n">
        <f aca="false">J682*(1+IF(K$3&lt;=$O$2,$D682,$D682-($D682-$I$670)*MIN(K$3-$O$2,$Q$2)/$Q$2))</f>
        <v>10856.9072336427</v>
      </c>
      <c r="L682" s="15" t="n">
        <f aca="false">K682*(1+IF(L$3&lt;=$O$2,$D682,$D682-($D682-$I$670)*MIN(L$3-$O$2,$Q$2)/$Q$2))</f>
        <v>11392.9619391285</v>
      </c>
      <c r="M682" s="15" t="n">
        <f aca="false">L682*(1+IF(M$3&lt;=$O$2,$D682,$D682-($D682-$I$670)*MIN(M$3-$O$2,$Q$2)/$Q$2))</f>
        <v>11863.9158330618</v>
      </c>
      <c r="N682" s="15" t="n">
        <f aca="false">M682*(1+IF(N$3&lt;=$O$2,$D682,$D682-($D682-$I$670)*MIN(N$3-$O$2,$Q$2)/$Q$2))</f>
        <v>12258.9842303027</v>
      </c>
      <c r="O682" s="15" t="n">
        <f aca="false">SUMPRODUCT(E682:N682,1/(1+$F$670)^$E$3:$N$3)*$E$2</f>
        <v>38289.0620892932</v>
      </c>
      <c r="P682" s="15" t="n">
        <f aca="false">N682*$E$2*(1+$I$670)/($F$670-$I$670)/(1+$F$670)^$N$3</f>
        <v>63049.545432276</v>
      </c>
      <c r="Q682" s="15" t="n">
        <f aca="false">O682+P682</f>
        <v>101338.607521569</v>
      </c>
      <c r="R682" s="15" t="n">
        <f aca="false">Q682-$G$2+$I$2</f>
        <v>99748.6075215692</v>
      </c>
      <c r="S682" s="42" t="n">
        <f aca="false">R682/$K$2</f>
        <v>277.403102290364</v>
      </c>
      <c r="T682" s="43" t="n">
        <f aca="false">S682-$M$2</f>
        <v>-0.61569742040939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0.073486328125</v>
      </c>
      <c r="C683" s="25" t="n">
        <f aca="false">IF(T682&gt;0,D682,C682)</f>
        <v>0.07421875</v>
      </c>
      <c r="D683" s="41" t="n">
        <f aca="false">(B683+C683)/2</f>
        <v>0.0738525390625</v>
      </c>
      <c r="E683" s="15" t="n">
        <f aca="false">$C$2*(1+IF(E$3&lt;=$O$2,$D683,$D683-($D683-$I$670)*MIN(E$3-$O$2,$Q$2)/$Q$2))</f>
        <v>7259.2431640625</v>
      </c>
      <c r="F683" s="15" t="n">
        <f aca="false">E683*(1+IF(F$3&lt;=$O$2,$D683,$D683-($D683-$I$670)*MIN(F$3-$O$2,$Q$2)/$Q$2))</f>
        <v>7795.35670340061</v>
      </c>
      <c r="G683" s="15" t="n">
        <f aca="false">F683*(1+IF(G$3&lt;=$O$2,$D683,$D683-($D683-$I$670)*MIN(G$3-$O$2,$Q$2)/$Q$2))</f>
        <v>8371.06358884463</v>
      </c>
      <c r="H683" s="15" t="n">
        <f aca="false">G683*(1+IF(H$3&lt;=$O$2,$D683,$D683-($D683-$I$670)*MIN(H$3-$O$2,$Q$2)/$Q$2))</f>
        <v>8989.28788953445</v>
      </c>
      <c r="I683" s="15" t="n">
        <f aca="false">H683*(1+IF(I$3&lt;=$O$2,$D683,$D683-($D683-$I$670)*MIN(I$3-$O$2,$Q$2)/$Q$2))</f>
        <v>9653.16962454035</v>
      </c>
      <c r="J683" s="15" t="n">
        <f aca="false">I683*(1+IF(J$3&lt;=$O$2,$D683,$D683-($D683-$I$670)*MIN(J$3-$O$2,$Q$2)/$Q$2))</f>
        <v>10287.7886036584</v>
      </c>
      <c r="K683" s="15" t="n">
        <f aca="false">J683*(1+IF(K$3&lt;=$O$2,$D683,$D683-($D683-$I$670)*MIN(K$3-$O$2,$Q$2)/$Q$2))</f>
        <v>10880.6895336902</v>
      </c>
      <c r="L683" s="15" t="n">
        <f aca="false">K683*(1+IF(L$3&lt;=$O$2,$D683,$D683-($D683-$I$670)*MIN(L$3-$O$2,$Q$2)/$Q$2))</f>
        <v>11419.5123300989</v>
      </c>
      <c r="M683" s="15" t="n">
        <f aca="false">L683*(1+IF(M$3&lt;=$O$2,$D683,$D683-($D683-$I$670)*MIN(M$3-$O$2,$Q$2)/$Q$2))</f>
        <v>11892.4001346594</v>
      </c>
      <c r="N683" s="15" t="n">
        <f aca="false">M683*(1+IF(N$3&lt;=$O$2,$D683,$D683-($D683-$I$670)*MIN(N$3-$O$2,$Q$2)/$Q$2))</f>
        <v>12288.4170591435</v>
      </c>
      <c r="O683" s="15" t="n">
        <f aca="false">SUMPRODUCT(E683:N683,1/(1+$F$670)^$E$3:$N$3)*$E$2</f>
        <v>38350.255688057</v>
      </c>
      <c r="P683" s="15" t="n">
        <f aca="false">N683*$E$2*(1+$I$670)/($F$670-$I$670)/(1+$F$670)^$N$3</f>
        <v>63200.922287351</v>
      </c>
      <c r="Q683" s="15" t="n">
        <f aca="false">O683+P683</f>
        <v>101551.177975408</v>
      </c>
      <c r="R683" s="15" t="n">
        <f aca="false">Q683-$G$2+$I$2</f>
        <v>99961.177975408</v>
      </c>
      <c r="S683" s="42" t="n">
        <f aca="false">R683/$K$2</f>
        <v>277.994265463619</v>
      </c>
      <c r="T683" s="43" t="n">
        <f aca="false">S683-$M$2</f>
        <v>-0.0245342471549748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0.0738525390625</v>
      </c>
      <c r="C684" s="25" t="n">
        <f aca="false">IF(T683&gt;0,D683,C683)</f>
        <v>0.07421875</v>
      </c>
      <c r="D684" s="41" t="n">
        <f aca="false">(B684+C684)/2</f>
        <v>0.07403564453125</v>
      </c>
      <c r="E684" s="15" t="n">
        <f aca="false">$C$2*(1+IF(E$3&lt;=$O$2,$D684,$D684-($D684-$I$670)*MIN(E$3-$O$2,$Q$2)/$Q$2))</f>
        <v>7260.48095703125</v>
      </c>
      <c r="F684" s="15" t="n">
        <f aca="false">E684*(1+IF(F$3&lt;=$O$2,$D684,$D684-($D684-$I$670)*MIN(F$3-$O$2,$Q$2)/$Q$2))</f>
        <v>7798.01534429193</v>
      </c>
      <c r="G684" s="15" t="n">
        <f aca="false">F684*(1+IF(G$3&lt;=$O$2,$D684,$D684-($D684-$I$670)*MIN(G$3-$O$2,$Q$2)/$Q$2))</f>
        <v>8375.34643637116</v>
      </c>
      <c r="H684" s="15" t="n">
        <f aca="false">G684*(1+IF(H$3&lt;=$O$2,$D684,$D684-($D684-$I$670)*MIN(H$3-$O$2,$Q$2)/$Q$2))</f>
        <v>8995.4206079604</v>
      </c>
      <c r="I684" s="15" t="n">
        <f aca="false">H684*(1+IF(I$3&lt;=$O$2,$D684,$D684-($D684-$I$670)*MIN(I$3-$O$2,$Q$2)/$Q$2))</f>
        <v>9661.40237050044</v>
      </c>
      <c r="J684" s="15" t="n">
        <f aca="false">I684*(1+IF(J$3&lt;=$O$2,$D684,$D684-($D684-$I$670)*MIN(J$3-$O$2,$Q$2)/$Q$2))</f>
        <v>10297.9778315486</v>
      </c>
      <c r="K684" s="15" t="n">
        <f aca="false">J684*(1+IF(K$3&lt;=$O$2,$D684,$D684-($D684-$I$670)*MIN(K$3-$O$2,$Q$2)/$Q$2))</f>
        <v>10892.5973519411</v>
      </c>
      <c r="L684" s="15" t="n">
        <f aca="false">K684*(1+IF(L$3&lt;=$O$2,$D684,$D684-($D684-$I$670)*MIN(L$3-$O$2,$Q$2)/$Q$2))</f>
        <v>11432.8076332611</v>
      </c>
      <c r="M684" s="15" t="n">
        <f aca="false">L684*(1+IF(M$3&lt;=$O$2,$D684,$D684-($D684-$I$670)*MIN(M$3-$O$2,$Q$2)/$Q$2))</f>
        <v>11906.6646849972</v>
      </c>
      <c r="N684" s="15" t="n">
        <f aca="false">M684*(1+IF(N$3&lt;=$O$2,$D684,$D684-($D684-$I$670)*MIN(N$3-$O$2,$Q$2)/$Q$2))</f>
        <v>12303.1566190076</v>
      </c>
      <c r="O684" s="15" t="n">
        <f aca="false">SUMPRODUCT(E684:N684,1/(1+$F$670)^$E$3:$N$3)*$E$2</f>
        <v>38380.8891655532</v>
      </c>
      <c r="P684" s="15" t="n">
        <f aca="false">N684*$E$2*(1+$I$670)/($F$670-$I$670)/(1+$F$670)^$N$3</f>
        <v>63276.7297549064</v>
      </c>
      <c r="Q684" s="15" t="n">
        <f aca="false">O684+P684</f>
        <v>101657.61892046</v>
      </c>
      <c r="R684" s="15" t="n">
        <f aca="false">Q684-$G$2+$I$2</f>
        <v>100067.61892046</v>
      </c>
      <c r="S684" s="42" t="n">
        <f aca="false">R684/$K$2</f>
        <v>278.290280105845</v>
      </c>
      <c r="T684" s="43" t="n">
        <f aca="false">S684-$M$2</f>
        <v>0.271480395070967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0.0738525390625</v>
      </c>
      <c r="C685" s="25" t="n">
        <f aca="false">IF(T684&gt;0,D684,C684)</f>
        <v>0.07403564453125</v>
      </c>
      <c r="D685" s="41" t="n">
        <f aca="false">(B685+C685)/2</f>
        <v>0.073944091796875</v>
      </c>
      <c r="E685" s="15" t="n">
        <f aca="false">$C$2*(1+IF(E$3&lt;=$O$2,$D685,$D685-($D685-$I$670)*MIN(E$3-$O$2,$Q$2)/$Q$2))</f>
        <v>7259.86206054688</v>
      </c>
      <c r="F685" s="15" t="n">
        <f aca="false">E685*(1+IF(F$3&lt;=$O$2,$D685,$D685-($D685-$I$670)*MIN(F$3-$O$2,$Q$2)/$Q$2))</f>
        <v>7796.6859671846</v>
      </c>
      <c r="G685" s="15" t="n">
        <f aca="false">F685*(1+IF(G$3&lt;=$O$2,$D685,$D685-($D685-$I$670)*MIN(G$3-$O$2,$Q$2)/$Q$2))</f>
        <v>8373.20483005351</v>
      </c>
      <c r="H685" s="15" t="n">
        <f aca="false">G685*(1+IF(H$3&lt;=$O$2,$D685,$D685-($D685-$I$670)*MIN(H$3-$O$2,$Q$2)/$Q$2))</f>
        <v>8992.35385664102</v>
      </c>
      <c r="I685" s="15" t="n">
        <f aca="false">H685*(1+IF(I$3&lt;=$O$2,$D685,$D685-($D685-$I$670)*MIN(I$3-$O$2,$Q$2)/$Q$2))</f>
        <v>9657.28529568647</v>
      </c>
      <c r="J685" s="15" t="n">
        <f aca="false">I685*(1+IF(J$3&lt;=$O$2,$D685,$D685-($D685-$I$670)*MIN(J$3-$O$2,$Q$2)/$Q$2))</f>
        <v>10292.882168086</v>
      </c>
      <c r="K685" s="15" t="n">
        <f aca="false">J685*(1+IF(K$3&lt;=$O$2,$D685,$D685-($D685-$I$670)*MIN(K$3-$O$2,$Q$2)/$Q$2))</f>
        <v>10886.6420528998</v>
      </c>
      <c r="L685" s="15" t="n">
        <f aca="false">K685*(1+IF(L$3&lt;=$O$2,$D685,$D685-($D685-$I$670)*MIN(L$3-$O$2,$Q$2)/$Q$2))</f>
        <v>11426.1583048444</v>
      </c>
      <c r="M685" s="15" t="n">
        <f aca="false">L685*(1+IF(M$3&lt;=$O$2,$D685,$D685-($D685-$I$670)*MIN(M$3-$O$2,$Q$2)/$Q$2))</f>
        <v>11899.5305418013</v>
      </c>
      <c r="N685" s="15" t="n">
        <f aca="false">M685*(1+IF(N$3&lt;=$O$2,$D685,$D685-($D685-$I$670)*MIN(N$3-$O$2,$Q$2)/$Q$2))</f>
        <v>12295.7849088433</v>
      </c>
      <c r="O685" s="15" t="n">
        <f aca="false">SUMPRODUCT(E685:N685,1/(1+$F$670)^$E$3:$N$3)*$E$2</f>
        <v>38365.5693684034</v>
      </c>
      <c r="P685" s="15" t="n">
        <f aca="false">N685*$E$2*(1+$I$670)/($F$670-$I$670)/(1+$F$670)^$N$3</f>
        <v>63238.8160936938</v>
      </c>
      <c r="Q685" s="15" t="n">
        <f aca="false">O685+P685</f>
        <v>101604.385462097</v>
      </c>
      <c r="R685" s="15" t="n">
        <f aca="false">Q685-$G$2+$I$2</f>
        <v>100014.385462097</v>
      </c>
      <c r="S685" s="42" t="n">
        <f aca="false">R685/$K$2</f>
        <v>278.14223667083</v>
      </c>
      <c r="T685" s="43" t="n">
        <f aca="false">S685-$M$2</f>
        <v>0.123436960056665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0.0738525390625</v>
      </c>
      <c r="C686" s="25" t="n">
        <f aca="false">IF(T685&gt;0,D685,C685)</f>
        <v>0.073944091796875</v>
      </c>
      <c r="D686" s="41" t="n">
        <f aca="false">(B686+C686)/2</f>
        <v>0.0738983154296875</v>
      </c>
      <c r="E686" s="15" t="n">
        <f aca="false">$C$2*(1+IF(E$3&lt;=$O$2,$D686,$D686-($D686-$I$670)*MIN(E$3-$O$2,$Q$2)/$Q$2))</f>
        <v>7259.55261230469</v>
      </c>
      <c r="F686" s="15" t="n">
        <f aca="false">E686*(1+IF(F$3&lt;=$O$2,$D686,$D686-($D686-$I$670)*MIN(F$3-$O$2,$Q$2)/$Q$2))</f>
        <v>7796.02132112719</v>
      </c>
      <c r="G686" s="15" t="n">
        <f aca="false">F686*(1+IF(G$3&lt;=$O$2,$D686,$D686-($D686-$I$670)*MIN(G$3-$O$2,$Q$2)/$Q$2))</f>
        <v>8372.13416381242</v>
      </c>
      <c r="H686" s="15" t="n">
        <f aca="false">G686*(1+IF(H$3&lt;=$O$2,$D686,$D686-($D686-$I$670)*MIN(H$3-$O$2,$Q$2)/$Q$2))</f>
        <v>8990.82077506949</v>
      </c>
      <c r="I686" s="15" t="n">
        <f aca="false">H686*(1+IF(I$3&lt;=$O$2,$D686,$D686-($D686-$I$670)*MIN(I$3-$O$2,$Q$2)/$Q$2))</f>
        <v>9655.22728467736</v>
      </c>
      <c r="J686" s="15" t="n">
        <f aca="false">I686*(1+IF(J$3&lt;=$O$2,$D686,$D686-($D686-$I$670)*MIN(J$3-$O$2,$Q$2)/$Q$2))</f>
        <v>10290.335123536</v>
      </c>
      <c r="K686" s="15" t="n">
        <f aca="false">J686*(1+IF(K$3&lt;=$O$2,$D686,$D686-($D686-$I$670)*MIN(K$3-$O$2,$Q$2)/$Q$2))</f>
        <v>10883.6654458833</v>
      </c>
      <c r="L686" s="15" t="n">
        <f aca="false">K686*(1+IF(L$3&lt;=$O$2,$D686,$D686-($D686-$I$670)*MIN(L$3-$O$2,$Q$2)/$Q$2))</f>
        <v>11422.8348983525</v>
      </c>
      <c r="M686" s="15" t="n">
        <f aca="false">L686*(1+IF(M$3&lt;=$O$2,$D686,$D686-($D686-$I$670)*MIN(M$3-$O$2,$Q$2)/$Q$2))</f>
        <v>11895.9648713285</v>
      </c>
      <c r="N686" s="15" t="n">
        <f aca="false">M686*(1+IF(N$3&lt;=$O$2,$D686,$D686-($D686-$I$670)*MIN(N$3-$O$2,$Q$2)/$Q$2))</f>
        <v>12292.1005015438</v>
      </c>
      <c r="O686" s="15" t="n">
        <f aca="false">SUMPRODUCT(E686:N686,1/(1+$F$670)^$E$3:$N$3)*$E$2</f>
        <v>38357.9117637717</v>
      </c>
      <c r="P686" s="15" t="n">
        <f aca="false">N686*$E$2*(1+$I$670)/($F$670-$I$670)/(1+$F$670)^$N$3</f>
        <v>63219.8667092214</v>
      </c>
      <c r="Q686" s="15" t="n">
        <f aca="false">O686+P686</f>
        <v>101577.778472993</v>
      </c>
      <c r="R686" s="15" t="n">
        <f aca="false">Q686-$G$2+$I$2</f>
        <v>99987.7784729931</v>
      </c>
      <c r="S686" s="42" t="n">
        <f aca="false">R686/$K$2</f>
        <v>278.068242040695</v>
      </c>
      <c r="T686" s="43" t="n">
        <f aca="false">S686-$M$2</f>
        <v>0.0494423299214191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0.0738525390625</v>
      </c>
      <c r="C687" s="25" t="n">
        <f aca="false">IF(T686&gt;0,D686,C686)</f>
        <v>0.0738983154296875</v>
      </c>
      <c r="D687" s="41" t="n">
        <f aca="false">(B687+C687)/2</f>
        <v>0.0738754272460938</v>
      </c>
      <c r="E687" s="15" t="n">
        <f aca="false">$C$2*(1+IF(E$3&lt;=$O$2,$D687,$D687-($D687-$I$670)*MIN(E$3-$O$2,$Q$2)/$Q$2))</f>
        <v>7259.39788818359</v>
      </c>
      <c r="F687" s="15" t="n">
        <f aca="false">E687*(1+IF(F$3&lt;=$O$2,$D687,$D687-($D687-$I$670)*MIN(F$3-$O$2,$Q$2)/$Q$2))</f>
        <v>7795.68900872255</v>
      </c>
      <c r="G687" s="15" t="n">
        <f aca="false">F687*(1+IF(G$3&lt;=$O$2,$D687,$D687-($D687-$I$670)*MIN(G$3-$O$2,$Q$2)/$Q$2))</f>
        <v>8371.5988649196</v>
      </c>
      <c r="H687" s="15" t="n">
        <f aca="false">G687*(1+IF(H$3&lt;=$O$2,$D687,$D687-($D687-$I$670)*MIN(H$3-$O$2,$Q$2)/$Q$2))</f>
        <v>8990.05430779845</v>
      </c>
      <c r="I687" s="15" t="n">
        <f aca="false">H687*(1+IF(I$3&lt;=$O$2,$D687,$D687-($D687-$I$670)*MIN(I$3-$O$2,$Q$2)/$Q$2))</f>
        <v>9654.19841075265</v>
      </c>
      <c r="J687" s="15" t="n">
        <f aca="false">I687*(1+IF(J$3&lt;=$O$2,$D687,$D687-($D687-$I$670)*MIN(J$3-$O$2,$Q$2)/$Q$2))</f>
        <v>10289.0617980186</v>
      </c>
      <c r="K687" s="15" t="n">
        <f aca="false">J687*(1+IF(K$3&lt;=$O$2,$D687,$D687-($D687-$I$670)*MIN(K$3-$O$2,$Q$2)/$Q$2))</f>
        <v>10882.1774029422</v>
      </c>
      <c r="L687" s="15" t="n">
        <f aca="false">K687*(1+IF(L$3&lt;=$O$2,$D687,$D687-($D687-$I$670)*MIN(L$3-$O$2,$Q$2)/$Q$2))</f>
        <v>11421.1735094571</v>
      </c>
      <c r="M687" s="15" t="n">
        <f aca="false">L687*(1+IF(M$3&lt;=$O$2,$D687,$D687-($D687-$I$670)*MIN(M$3-$O$2,$Q$2)/$Q$2))</f>
        <v>11894.1823862816</v>
      </c>
      <c r="N687" s="15" t="n">
        <f aca="false">M687*(1+IF(N$3&lt;=$O$2,$D687,$D687-($D687-$I$670)*MIN(N$3-$O$2,$Q$2)/$Q$2))</f>
        <v>12290.2586597448</v>
      </c>
      <c r="O687" s="15" t="n">
        <f aca="false">SUMPRODUCT(E687:N687,1/(1+$F$670)^$E$3:$N$3)*$E$2</f>
        <v>38354.0835348175</v>
      </c>
      <c r="P687" s="15" t="n">
        <f aca="false">N687*$E$2*(1+$I$670)/($F$670-$I$670)/(1+$F$670)^$N$3</f>
        <v>63210.3938780307</v>
      </c>
      <c r="Q687" s="15" t="n">
        <f aca="false">O687+P687</f>
        <v>101564.477412848</v>
      </c>
      <c r="R687" s="15" t="n">
        <f aca="false">Q687-$G$2+$I$2</f>
        <v>99974.4774128481</v>
      </c>
      <c r="S687" s="42" t="n">
        <f aca="false">R687/$K$2</f>
        <v>278.031251495768</v>
      </c>
      <c r="T687" s="43" t="n">
        <f aca="false">S687-$M$2</f>
        <v>0.0124517849939707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0.0738525390625</v>
      </c>
      <c r="C688" s="25" t="n">
        <f aca="false">IF(T687&gt;0,D687,C687)</f>
        <v>0.0738754272460938</v>
      </c>
      <c r="D688" s="41" t="n">
        <f aca="false">(B688+C688)/2</f>
        <v>0.0738639831542969</v>
      </c>
      <c r="E688" s="15" t="n">
        <f aca="false">$C$2*(1+IF(E$3&lt;=$O$2,$D688,$D688-($D688-$I$670)*MIN(E$3-$O$2,$Q$2)/$Q$2))</f>
        <v>7259.32052612305</v>
      </c>
      <c r="F688" s="15" t="n">
        <f aca="false">E688*(1+IF(F$3&lt;=$O$2,$D688,$D688-($D688-$I$670)*MIN(F$3-$O$2,$Q$2)/$Q$2))</f>
        <v>7795.52285517624</v>
      </c>
      <c r="G688" s="15" t="n">
        <f aca="false">F688*(1+IF(G$3&lt;=$O$2,$D688,$D688-($D688-$I$670)*MIN(G$3-$O$2,$Q$2)/$Q$2))</f>
        <v>8371.33122402992</v>
      </c>
      <c r="H688" s="15" t="n">
        <f aca="false">G688*(1+IF(H$3&lt;=$O$2,$D688,$D688-($D688-$I$670)*MIN(H$3-$O$2,$Q$2)/$Q$2))</f>
        <v>8989.6710925407</v>
      </c>
      <c r="I688" s="15" t="n">
        <f aca="false">H688*(1+IF(I$3&lt;=$O$2,$D688,$D688-($D688-$I$670)*MIN(I$3-$O$2,$Q$2)/$Q$2))</f>
        <v>9653.6840066828</v>
      </c>
      <c r="J688" s="15" t="n">
        <f aca="false">I688*(1+IF(J$3&lt;=$O$2,$D688,$D688-($D688-$I$670)*MIN(J$3-$O$2,$Q$2)/$Q$2))</f>
        <v>10288.4251844445</v>
      </c>
      <c r="K688" s="15" t="n">
        <f aca="false">J688*(1+IF(K$3&lt;=$O$2,$D688,$D688-($D688-$I$670)*MIN(K$3-$O$2,$Q$2)/$Q$2))</f>
        <v>10881.4334466062</v>
      </c>
      <c r="L688" s="15" t="n">
        <f aca="false">K688*(1+IF(L$3&lt;=$O$2,$D688,$D688-($D688-$I$670)*MIN(L$3-$O$2,$Q$2)/$Q$2))</f>
        <v>11420.3428935872</v>
      </c>
      <c r="M688" s="15" t="n">
        <f aca="false">L688*(1+IF(M$3&lt;=$O$2,$D688,$D688-($D688-$I$670)*MIN(M$3-$O$2,$Q$2)/$Q$2))</f>
        <v>11893.291231294</v>
      </c>
      <c r="N688" s="15" t="n">
        <f aca="false">M688*(1+IF(N$3&lt;=$O$2,$D688,$D688-($D688-$I$670)*MIN(N$3-$O$2,$Q$2)/$Q$2))</f>
        <v>12289.3378292961</v>
      </c>
      <c r="O688" s="15" t="n">
        <f aca="false">SUMPRODUCT(E688:N688,1/(1+$F$670)^$E$3:$N$3)*$E$2</f>
        <v>38352.1695636652</v>
      </c>
      <c r="P688" s="15" t="n">
        <f aca="false">N688*$E$2*(1+$I$670)/($F$670-$I$670)/(1+$F$670)^$N$3</f>
        <v>63205.6579276357</v>
      </c>
      <c r="Q688" s="15" t="n">
        <f aca="false">O688+P688</f>
        <v>101557.827491301</v>
      </c>
      <c r="R688" s="15" t="n">
        <f aca="false">Q688-$G$2+$I$2</f>
        <v>99967.8274913009</v>
      </c>
      <c r="S688" s="42" t="n">
        <f aca="false">R688/$K$2</f>
        <v>278.012757915626</v>
      </c>
      <c r="T688" s="43" t="n">
        <f aca="false">S688-$M$2</f>
        <v>-0.00604179514755288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0.0738639831542969</v>
      </c>
      <c r="C689" s="25" t="n">
        <f aca="false">IF(T688&gt;0,D688,C688)</f>
        <v>0.0738754272460938</v>
      </c>
      <c r="D689" s="41" t="n">
        <f aca="false">(B689+C689)/2</f>
        <v>0.0738697052001953</v>
      </c>
      <c r="E689" s="15" t="n">
        <f aca="false">$C$2*(1+IF(E$3&lt;=$O$2,$D689,$D689-($D689-$I$670)*MIN(E$3-$O$2,$Q$2)/$Q$2))</f>
        <v>7259.35920715332</v>
      </c>
      <c r="F689" s="15" t="n">
        <f aca="false">E689*(1+IF(F$3&lt;=$O$2,$D689,$D689-($D689-$I$670)*MIN(F$3-$O$2,$Q$2)/$Q$2))</f>
        <v>7795.60593172806</v>
      </c>
      <c r="G689" s="15" t="n">
        <f aca="false">F689*(1+IF(G$3&lt;=$O$2,$D689,$D689-($D689-$I$670)*MIN(G$3-$O$2,$Q$2)/$Q$2))</f>
        <v>8371.46504376171</v>
      </c>
      <c r="H689" s="15" t="n">
        <f aca="false">G689*(1+IF(H$3&lt;=$O$2,$D689,$D689-($D689-$I$670)*MIN(H$3-$O$2,$Q$2)/$Q$2))</f>
        <v>8989.86269863812</v>
      </c>
      <c r="I689" s="15" t="n">
        <f aca="false">H689*(1+IF(I$3&lt;=$O$2,$D689,$D689-($D689-$I$670)*MIN(I$3-$O$2,$Q$2)/$Q$2))</f>
        <v>9653.94120597675</v>
      </c>
      <c r="J689" s="15" t="n">
        <f aca="false">I689*(1+IF(J$3&lt;=$O$2,$D689,$D689-($D689-$I$670)*MIN(J$3-$O$2,$Q$2)/$Q$2))</f>
        <v>10288.743487133</v>
      </c>
      <c r="K689" s="15" t="n">
        <f aca="false">J689*(1+IF(K$3&lt;=$O$2,$D689,$D689-($D689-$I$670)*MIN(K$3-$O$2,$Q$2)/$Q$2))</f>
        <v>10881.8054193466</v>
      </c>
      <c r="L689" s="15" t="n">
        <f aca="false">K689*(1+IF(L$3&lt;=$O$2,$D689,$D689-($D689-$I$670)*MIN(L$3-$O$2,$Q$2)/$Q$2))</f>
        <v>11420.7581949743</v>
      </c>
      <c r="M689" s="15" t="n">
        <f aca="false">L689*(1+IF(M$3&lt;=$O$2,$D689,$D689-($D689-$I$670)*MIN(M$3-$O$2,$Q$2)/$Q$2))</f>
        <v>11893.7368014935</v>
      </c>
      <c r="N689" s="15" t="n">
        <f aca="false">M689*(1+IF(N$3&lt;=$O$2,$D689,$D689-($D689-$I$670)*MIN(N$3-$O$2,$Q$2)/$Q$2))</f>
        <v>12289.7982369832</v>
      </c>
      <c r="O689" s="15" t="n">
        <f aca="false">SUMPRODUCT(E689:N689,1/(1+$F$670)^$E$3:$N$3)*$E$2</f>
        <v>38353.1265372981</v>
      </c>
      <c r="P689" s="15" t="n">
        <f aca="false">N689*$E$2*(1+$I$670)/($F$670-$I$670)/(1+$F$670)^$N$3</f>
        <v>63208.0258640683</v>
      </c>
      <c r="Q689" s="15" t="n">
        <f aca="false">O689+P689</f>
        <v>101561.152401366</v>
      </c>
      <c r="R689" s="15" t="n">
        <f aca="false">Q689-$G$2+$I$2</f>
        <v>99971.1524013664</v>
      </c>
      <c r="S689" s="42" t="n">
        <f aca="false">R689/$K$2</f>
        <v>278.022004564677</v>
      </c>
      <c r="T689" s="43" t="n">
        <f aca="false">S689-$M$2</f>
        <v>0.00320485390278691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0.0738639831542969</v>
      </c>
      <c r="C690" s="25" t="n">
        <f aca="false">IF(T689&gt;0,D689,C689)</f>
        <v>0.0738697052001953</v>
      </c>
      <c r="D690" s="41" t="n">
        <f aca="false">(B690+C690)/2</f>
        <v>0.0738668441772461</v>
      </c>
      <c r="E690" s="15" t="n">
        <f aca="false">$C$2*(1+IF(E$3&lt;=$O$2,$D690,$D690-($D690-$I$670)*MIN(E$3-$O$2,$Q$2)/$Q$2))</f>
        <v>7259.33986663818</v>
      </c>
      <c r="F690" s="15" t="n">
        <f aca="false">E690*(1+IF(F$3&lt;=$O$2,$D690,$D690-($D690-$I$670)*MIN(F$3-$O$2,$Q$2)/$Q$2))</f>
        <v>7795.56439339682</v>
      </c>
      <c r="G690" s="15" t="n">
        <f aca="false">F690*(1+IF(G$3&lt;=$O$2,$D690,$D690-($D690-$I$670)*MIN(G$3-$O$2,$Q$2)/$Q$2))</f>
        <v>8371.39813371755</v>
      </c>
      <c r="H690" s="15" t="n">
        <f aca="false">G690*(1+IF(H$3&lt;=$O$2,$D690,$D690-($D690-$I$670)*MIN(H$3-$O$2,$Q$2)/$Q$2))</f>
        <v>8989.76689520655</v>
      </c>
      <c r="I690" s="15" t="n">
        <f aca="false">H690*(1+IF(I$3&lt;=$O$2,$D690,$D690-($D690-$I$670)*MIN(I$3-$O$2,$Q$2)/$Q$2))</f>
        <v>9653.81260564454</v>
      </c>
      <c r="J690" s="15" t="n">
        <f aca="false">I690*(1+IF(J$3&lt;=$O$2,$D690,$D690-($D690-$I$670)*MIN(J$3-$O$2,$Q$2)/$Q$2))</f>
        <v>10288.5843347641</v>
      </c>
      <c r="K690" s="15" t="n">
        <f aca="false">J690*(1+IF(K$3&lt;=$O$2,$D690,$D690-($D690-$I$670)*MIN(K$3-$O$2,$Q$2)/$Q$2))</f>
        <v>10881.6194316195</v>
      </c>
      <c r="L690" s="15" t="n">
        <f aca="false">K690*(1+IF(L$3&lt;=$O$2,$D690,$D690-($D690-$I$670)*MIN(L$3-$O$2,$Q$2)/$Q$2))</f>
        <v>11420.5505426438</v>
      </c>
      <c r="M690" s="15" t="n">
        <f aca="false">L690*(1+IF(M$3&lt;=$O$2,$D690,$D690-($D690-$I$670)*MIN(M$3-$O$2,$Q$2)/$Q$2))</f>
        <v>11893.5140145702</v>
      </c>
      <c r="N690" s="15" t="n">
        <f aca="false">M690*(1+IF(N$3&lt;=$O$2,$D690,$D690-($D690-$I$670)*MIN(N$3-$O$2,$Q$2)/$Q$2))</f>
        <v>12289.5680312554</v>
      </c>
      <c r="O690" s="15" t="n">
        <f aca="false">SUMPRODUCT(E690:N690,1/(1+$F$670)^$E$3:$N$3)*$E$2</f>
        <v>38352.6480474958</v>
      </c>
      <c r="P690" s="15" t="n">
        <f aca="false">N690*$E$2*(1+$I$670)/($F$670-$I$670)/(1+$F$670)^$N$3</f>
        <v>63206.8418861609</v>
      </c>
      <c r="Q690" s="15" t="n">
        <f aca="false">O690+P690</f>
        <v>101559.489933657</v>
      </c>
      <c r="R690" s="15" t="n">
        <f aca="false">Q690-$G$2+$I$2</f>
        <v>99969.4899336567</v>
      </c>
      <c r="S690" s="42" t="n">
        <f aca="false">R690/$K$2</f>
        <v>278.017381204897</v>
      </c>
      <c r="T690" s="43" t="n">
        <f aca="false">S690-$M$2</f>
        <v>-0.00141850587704084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0.0738668441772461</v>
      </c>
      <c r="C691" s="25" t="n">
        <f aca="false">IF(T690&gt;0,D690,C690)</f>
        <v>0.0738697052001953</v>
      </c>
      <c r="D691" s="41" t="n">
        <f aca="false">(B691+C691)/2</f>
        <v>0.0738682746887207</v>
      </c>
      <c r="E691" s="15" t="n">
        <f aca="false">$C$2*(1+IF(E$3&lt;=$O$2,$D691,$D691-($D691-$I$670)*MIN(E$3-$O$2,$Q$2)/$Q$2))</f>
        <v>7259.34953689575</v>
      </c>
      <c r="F691" s="15" t="n">
        <f aca="false">E691*(1+IF(F$3&lt;=$O$2,$D691,$D691-($D691-$I$670)*MIN(F$3-$O$2,$Q$2)/$Q$2))</f>
        <v>7795.58516254861</v>
      </c>
      <c r="G691" s="15" t="n">
        <f aca="false">F691*(1+IF(G$3&lt;=$O$2,$D691,$D691-($D691-$I$670)*MIN(G$3-$O$2,$Q$2)/$Q$2))</f>
        <v>8371.43158869506</v>
      </c>
      <c r="H691" s="15" t="n">
        <f aca="false">G691*(1+IF(H$3&lt;=$O$2,$D691,$D691-($D691-$I$670)*MIN(H$3-$O$2,$Q$2)/$Q$2))</f>
        <v>8989.81479682662</v>
      </c>
      <c r="I691" s="15" t="n">
        <f aca="false">H691*(1+IF(I$3&lt;=$O$2,$D691,$D691-($D691-$I$670)*MIN(I$3-$O$2,$Q$2)/$Q$2))</f>
        <v>9653.87690563934</v>
      </c>
      <c r="J691" s="15" t="n">
        <f aca="false">I691*(1+IF(J$3&lt;=$O$2,$D691,$D691-($D691-$I$670)*MIN(J$3-$O$2,$Q$2)/$Q$2))</f>
        <v>10288.6639106924</v>
      </c>
      <c r="K691" s="15" t="n">
        <f aca="false">J691*(1+IF(K$3&lt;=$O$2,$D691,$D691-($D691-$I$670)*MIN(K$3-$O$2,$Q$2)/$Q$2))</f>
        <v>10881.7124251438</v>
      </c>
      <c r="L691" s="15" t="n">
        <f aca="false">K691*(1+IF(L$3&lt;=$O$2,$D691,$D691-($D691-$I$670)*MIN(L$3-$O$2,$Q$2)/$Q$2))</f>
        <v>11420.6543683998</v>
      </c>
      <c r="M691" s="15" t="n">
        <f aca="false">L691*(1+IF(M$3&lt;=$O$2,$D691,$D691-($D691-$I$670)*MIN(M$3-$O$2,$Q$2)/$Q$2))</f>
        <v>11893.625407576</v>
      </c>
      <c r="N691" s="15" t="n">
        <f aca="false">M691*(1+IF(N$3&lt;=$O$2,$D691,$D691-($D691-$I$670)*MIN(N$3-$O$2,$Q$2)/$Q$2))</f>
        <v>12289.6831336483</v>
      </c>
      <c r="O691" s="15" t="n">
        <f aca="false">SUMPRODUCT(E691:N691,1/(1+$F$670)^$E$3:$N$3)*$E$2</f>
        <v>38352.8872916505</v>
      </c>
      <c r="P691" s="15" t="n">
        <f aca="false">N691*$E$2*(1+$I$670)/($F$670-$I$670)/(1+$F$670)^$N$3</f>
        <v>63207.4338726918</v>
      </c>
      <c r="Q691" s="15" t="n">
        <f aca="false">O691+P691</f>
        <v>101560.321164342</v>
      </c>
      <c r="R691" s="15" t="n">
        <f aca="false">Q691-$G$2+$I$2</f>
        <v>99970.3211643423</v>
      </c>
      <c r="S691" s="42" t="n">
        <f aca="false">R691/$K$2</f>
        <v>278.019692875973</v>
      </c>
      <c r="T691" s="43" t="n">
        <f aca="false">S691-$M$2</f>
        <v>0.000893165199101986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0.0738668441772461</v>
      </c>
      <c r="C692" s="25" t="n">
        <f aca="false">IF(T691&gt;0,D691,C691)</f>
        <v>0.0738682746887207</v>
      </c>
      <c r="D692" s="41" t="n">
        <f aca="false">(B692+C692)/2</f>
        <v>0.0738675594329834</v>
      </c>
      <c r="E692" s="15" t="n">
        <f aca="false">$C$2*(1+IF(E$3&lt;=$O$2,$D692,$D692-($D692-$I$670)*MIN(E$3-$O$2,$Q$2)/$Q$2))</f>
        <v>7259.34470176697</v>
      </c>
      <c r="F692" s="15" t="n">
        <f aca="false">E692*(1+IF(F$3&lt;=$O$2,$D692,$D692-($D692-$I$670)*MIN(F$3-$O$2,$Q$2)/$Q$2))</f>
        <v>7795.57477796925</v>
      </c>
      <c r="G692" s="15" t="n">
        <f aca="false">F692*(1+IF(G$3&lt;=$O$2,$D692,$D692-($D692-$I$670)*MIN(G$3-$O$2,$Q$2)/$Q$2))</f>
        <v>8371.41486119516</v>
      </c>
      <c r="H692" s="15" t="n">
        <f aca="false">G692*(1+IF(H$3&lt;=$O$2,$D692,$D692-($D692-$I$670)*MIN(H$3-$O$2,$Q$2)/$Q$2))</f>
        <v>8989.79084599266</v>
      </c>
      <c r="I692" s="15" t="n">
        <f aca="false">H692*(1+IF(I$3&lt;=$O$2,$D692,$D692-($D692-$I$670)*MIN(I$3-$O$2,$Q$2)/$Q$2))</f>
        <v>9653.84475559911</v>
      </c>
      <c r="J692" s="15" t="n">
        <f aca="false">I692*(1+IF(J$3&lt;=$O$2,$D692,$D692-($D692-$I$670)*MIN(J$3-$O$2,$Q$2)/$Q$2))</f>
        <v>10288.6241226642</v>
      </c>
      <c r="K692" s="15" t="n">
        <f aca="false">J692*(1+IF(K$3&lt;=$O$2,$D692,$D692-($D692-$I$670)*MIN(K$3-$O$2,$Q$2)/$Q$2))</f>
        <v>10881.6659282968</v>
      </c>
      <c r="L692" s="15" t="n">
        <f aca="false">K692*(1+IF(L$3&lt;=$O$2,$D692,$D692-($D692-$I$670)*MIN(L$3-$O$2,$Q$2)/$Q$2))</f>
        <v>11420.6024554195</v>
      </c>
      <c r="M692" s="15" t="n">
        <f aca="false">L692*(1+IF(M$3&lt;=$O$2,$D692,$D692-($D692-$I$670)*MIN(M$3-$O$2,$Q$2)/$Q$2))</f>
        <v>11893.5697109591</v>
      </c>
      <c r="N692" s="15" t="n">
        <f aca="false">M692*(1+IF(N$3&lt;=$O$2,$D692,$D692-($D692-$I$670)*MIN(N$3-$O$2,$Q$2)/$Q$2))</f>
        <v>12289.6255823341</v>
      </c>
      <c r="O692" s="15" t="n">
        <f aca="false">SUMPRODUCT(E692:N692,1/(1+$F$670)^$E$3:$N$3)*$E$2</f>
        <v>38352.7676693866</v>
      </c>
      <c r="P692" s="15" t="n">
        <f aca="false">N692*$E$2*(1+$I$670)/($F$670-$I$670)/(1+$F$670)^$N$3</f>
        <v>63207.1378788206</v>
      </c>
      <c r="Q692" s="15" t="n">
        <f aca="false">O692+P692</f>
        <v>101559.905548207</v>
      </c>
      <c r="R692" s="15" t="n">
        <f aca="false">Q692-$G$2+$I$2</f>
        <v>99969.9055482072</v>
      </c>
      <c r="S692" s="42" t="n">
        <f aca="false">R692/$K$2</f>
        <v>278.018537038231</v>
      </c>
      <c r="T692" s="43" t="n">
        <f aca="false">S692-$M$2</f>
        <v>-0.000262672542476139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0.0738675594329834</v>
      </c>
      <c r="C693" s="25" t="n">
        <f aca="false">IF(T692&gt;0,D692,C692)</f>
        <v>0.0738682746887207</v>
      </c>
      <c r="D693" s="41" t="n">
        <f aca="false">(B693+C693)/2</f>
        <v>0.0738679170608521</v>
      </c>
      <c r="E693" s="15" t="n">
        <f aca="false">$C$2*(1+IF(E$3&lt;=$O$2,$D693,$D693-($D693-$I$670)*MIN(E$3-$O$2,$Q$2)/$Q$2))</f>
        <v>7259.34711933136</v>
      </c>
      <c r="F693" s="15" t="n">
        <f aca="false">E693*(1+IF(F$3&lt;=$O$2,$D693,$D693-($D693-$I$670)*MIN(F$3-$O$2,$Q$2)/$Q$2))</f>
        <v>7795.57997025806</v>
      </c>
      <c r="G693" s="15" t="n">
        <f aca="false">F693*(1+IF(G$3&lt;=$O$2,$D693,$D693-($D693-$I$670)*MIN(G$3-$O$2,$Q$2)/$Q$2))</f>
        <v>8371.42322494233</v>
      </c>
      <c r="H693" s="15" t="n">
        <f aca="false">G693*(1+IF(H$3&lt;=$O$2,$D693,$D693-($D693-$I$670)*MIN(H$3-$O$2,$Q$2)/$Q$2))</f>
        <v>8989.80282140366</v>
      </c>
      <c r="I693" s="15" t="n">
        <f aca="false">H693*(1+IF(I$3&lt;=$O$2,$D693,$D693-($D693-$I$670)*MIN(I$3-$O$2,$Q$2)/$Q$2))</f>
        <v>9653.86083060852</v>
      </c>
      <c r="J693" s="15" t="n">
        <f aca="false">I693*(1+IF(J$3&lt;=$O$2,$D693,$D693-($D693-$I$670)*MIN(J$3-$O$2,$Q$2)/$Q$2))</f>
        <v>10288.6440166623</v>
      </c>
      <c r="K693" s="15" t="n">
        <f aca="false">J693*(1+IF(K$3&lt;=$O$2,$D693,$D693-($D693-$I$670)*MIN(K$3-$O$2,$Q$2)/$Q$2))</f>
        <v>10881.6891766991</v>
      </c>
      <c r="L693" s="15" t="n">
        <f aca="false">K693*(1+IF(L$3&lt;=$O$2,$D693,$D693-($D693-$I$670)*MIN(L$3-$O$2,$Q$2)/$Q$2))</f>
        <v>11420.6284118841</v>
      </c>
      <c r="M693" s="15" t="n">
        <f aca="false">L693*(1+IF(M$3&lt;=$O$2,$D693,$D693-($D693-$I$670)*MIN(M$3-$O$2,$Q$2)/$Q$2))</f>
        <v>11893.5975592391</v>
      </c>
      <c r="N693" s="15" t="n">
        <f aca="false">M693*(1+IF(N$3&lt;=$O$2,$D693,$D693-($D693-$I$670)*MIN(N$3-$O$2,$Q$2)/$Q$2))</f>
        <v>12289.6543579617</v>
      </c>
      <c r="O693" s="15" t="n">
        <f aca="false">SUMPRODUCT(E693:N693,1/(1+$F$670)^$E$3:$N$3)*$E$2</f>
        <v>38352.8274804719</v>
      </c>
      <c r="P693" s="15" t="n">
        <f aca="false">N693*$E$2*(1+$I$670)/($F$670-$I$670)/(1+$F$670)^$N$3</f>
        <v>63207.2858756048</v>
      </c>
      <c r="Q693" s="15" t="n">
        <f aca="false">O693+P693</f>
        <v>101560.113356077</v>
      </c>
      <c r="R693" s="15" t="n">
        <f aca="false">Q693-$G$2+$I$2</f>
        <v>99970.1133560767</v>
      </c>
      <c r="S693" s="42" t="n">
        <f aca="false">R693/$K$2</f>
        <v>278.019114956551</v>
      </c>
      <c r="T693" s="43" t="n">
        <f aca="false">S693-$M$2</f>
        <v>0.000315245777528617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0.0738675594329834</v>
      </c>
      <c r="C694" s="25" t="n">
        <f aca="false">IF(T693&gt;0,D693,C693)</f>
        <v>0.0738679170608521</v>
      </c>
      <c r="D694" s="41" t="n">
        <f aca="false">(B694+C694)/2</f>
        <v>0.0738677382469177</v>
      </c>
      <c r="E694" s="15" t="n">
        <f aca="false">$C$2*(1+IF(E$3&lt;=$O$2,$D694,$D694-($D694-$I$670)*MIN(E$3-$O$2,$Q$2)/$Q$2))</f>
        <v>7259.34591054916</v>
      </c>
      <c r="F694" s="15" t="n">
        <f aca="false">E694*(1+IF(F$3&lt;=$O$2,$D694,$D694-($D694-$I$670)*MIN(F$3-$O$2,$Q$2)/$Q$2))</f>
        <v>7795.57737411344</v>
      </c>
      <c r="G694" s="15" t="n">
        <f aca="false">F694*(1+IF(G$3&lt;=$O$2,$D694,$D694-($D694-$I$670)*MIN(G$3-$O$2,$Q$2)/$Q$2))</f>
        <v>8371.41904306805</v>
      </c>
      <c r="H694" s="15" t="n">
        <f aca="false">G694*(1+IF(H$3&lt;=$O$2,$D694,$D694-($D694-$I$670)*MIN(H$3-$O$2,$Q$2)/$Q$2))</f>
        <v>8989.79683369666</v>
      </c>
      <c r="I694" s="15" t="n">
        <f aca="false">H694*(1+IF(I$3&lt;=$O$2,$D694,$D694-($D694-$I$670)*MIN(I$3-$O$2,$Q$2)/$Q$2))</f>
        <v>9653.85279310114</v>
      </c>
      <c r="J694" s="15" t="n">
        <f aca="false">I694*(1+IF(J$3&lt;=$O$2,$D694,$D694-($D694-$I$670)*MIN(J$3-$O$2,$Q$2)/$Q$2))</f>
        <v>10288.6340696592</v>
      </c>
      <c r="K694" s="15" t="n">
        <f aca="false">J694*(1+IF(K$3&lt;=$O$2,$D694,$D694-($D694-$I$670)*MIN(K$3-$O$2,$Q$2)/$Q$2))</f>
        <v>10881.6775524927</v>
      </c>
      <c r="L694" s="15" t="n">
        <f aca="false">K694*(1+IF(L$3&lt;=$O$2,$D694,$D694-($D694-$I$670)*MIN(L$3-$O$2,$Q$2)/$Q$2))</f>
        <v>11420.6154336454</v>
      </c>
      <c r="M694" s="15" t="n">
        <f aca="false">L694*(1+IF(M$3&lt;=$O$2,$D694,$D694-($D694-$I$670)*MIN(M$3-$O$2,$Q$2)/$Q$2))</f>
        <v>11893.583635092</v>
      </c>
      <c r="N694" s="15" t="n">
        <f aca="false">M694*(1+IF(N$3&lt;=$O$2,$D694,$D694-($D694-$I$670)*MIN(N$3-$O$2,$Q$2)/$Q$2))</f>
        <v>12289.6399701405</v>
      </c>
      <c r="O694" s="15" t="n">
        <f aca="false">SUMPRODUCT(E694:N694,1/(1+$F$670)^$E$3:$N$3)*$E$2</f>
        <v>38352.7975749176</v>
      </c>
      <c r="P694" s="15" t="n">
        <f aca="false">N694*$E$2*(1+$I$670)/($F$670-$I$670)/(1+$F$670)^$N$3</f>
        <v>63207.2118771749</v>
      </c>
      <c r="Q694" s="15" t="n">
        <f aca="false">O694+P694</f>
        <v>101560.009452092</v>
      </c>
      <c r="R694" s="15" t="n">
        <f aca="false">Q694-$G$2+$I$2</f>
        <v>99970.0094520925</v>
      </c>
      <c r="S694" s="42" t="n">
        <f aca="false">R694/$K$2</f>
        <v>278.018825997254</v>
      </c>
      <c r="T694" s="43" t="n">
        <f aca="false">S694-$M$2</f>
        <v>2.62864799651652E-005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0.0738675594329834</v>
      </c>
      <c r="C695" s="25" t="n">
        <f aca="false">IF(T694&gt;0,D694,C694)</f>
        <v>0.0738677382469177</v>
      </c>
      <c r="D695" s="41" t="n">
        <f aca="false">(B695+C695)/2</f>
        <v>0.0738676488399506</v>
      </c>
      <c r="E695" s="15" t="n">
        <f aca="false">$C$2*(1+IF(E$3&lt;=$O$2,$D695,$D695-($D695-$I$670)*MIN(E$3-$O$2,$Q$2)/$Q$2))</f>
        <v>7259.34530615807</v>
      </c>
      <c r="F695" s="15" t="n">
        <f aca="false">E695*(1+IF(F$3&lt;=$O$2,$D695,$D695-($D695-$I$670)*MIN(F$3-$O$2,$Q$2)/$Q$2))</f>
        <v>7795.57607604129</v>
      </c>
      <c r="G695" s="15" t="n">
        <f aca="false">F695*(1+IF(G$3&lt;=$O$2,$D695,$D695-($D695-$I$670)*MIN(G$3-$O$2,$Q$2)/$Q$2))</f>
        <v>8371.41695213143</v>
      </c>
      <c r="H695" s="15" t="n">
        <f aca="false">G695*(1+IF(H$3&lt;=$O$2,$D695,$D695-($D695-$I$670)*MIN(H$3-$O$2,$Q$2)/$Q$2))</f>
        <v>8989.79383984428</v>
      </c>
      <c r="I695" s="15" t="n">
        <f aca="false">H695*(1+IF(I$3&lt;=$O$2,$D695,$D695-($D695-$I$670)*MIN(I$3-$O$2,$Q$2)/$Q$2))</f>
        <v>9653.84877434945</v>
      </c>
      <c r="J695" s="15" t="n">
        <f aca="false">I695*(1+IF(J$3&lt;=$O$2,$D695,$D695-($D695-$I$670)*MIN(J$3-$O$2,$Q$2)/$Q$2))</f>
        <v>10288.6290961607</v>
      </c>
      <c r="K695" s="15" t="n">
        <f aca="false">J695*(1+IF(K$3&lt;=$O$2,$D695,$D695-($D695-$I$670)*MIN(K$3-$O$2,$Q$2)/$Q$2))</f>
        <v>10881.6717403934</v>
      </c>
      <c r="L695" s="15" t="n">
        <f aca="false">K695*(1+IF(L$3&lt;=$O$2,$D695,$D695-($D695-$I$670)*MIN(L$3-$O$2,$Q$2)/$Q$2))</f>
        <v>11420.6089445309</v>
      </c>
      <c r="M695" s="15" t="n">
        <f aca="false">L695*(1+IF(M$3&lt;=$O$2,$D695,$D695-($D695-$I$670)*MIN(M$3-$O$2,$Q$2)/$Q$2))</f>
        <v>11893.5766730238</v>
      </c>
      <c r="N695" s="15" t="n">
        <f aca="false">M695*(1+IF(N$3&lt;=$O$2,$D695,$D695-($D695-$I$670)*MIN(N$3-$O$2,$Q$2)/$Q$2))</f>
        <v>12289.6327762355</v>
      </c>
      <c r="O695" s="15" t="n">
        <f aca="false">SUMPRODUCT(E695:N695,1/(1+$F$670)^$E$3:$N$3)*$E$2</f>
        <v>38352.7826221491</v>
      </c>
      <c r="P695" s="15" t="n">
        <f aca="false">N695*$E$2*(1+$I$670)/($F$670-$I$670)/(1+$F$670)^$N$3</f>
        <v>63207.1748779883</v>
      </c>
      <c r="Q695" s="15" t="n">
        <f aca="false">O695+P695</f>
        <v>101559.957500137</v>
      </c>
      <c r="R695" s="15" t="n">
        <f aca="false">Q695-$G$2+$I$2</f>
        <v>99969.9575001374</v>
      </c>
      <c r="S695" s="42" t="n">
        <f aca="false">R695/$K$2</f>
        <v>278.018681517708</v>
      </c>
      <c r="T695" s="43" t="n">
        <f aca="false">S695-$M$2</f>
        <v>-0.000118193065759442</v>
      </c>
    </row>
    <row r="697" customFormat="false" ht="15" hidden="false" customHeight="false" outlineLevel="0" collapsed="false">
      <c r="A697" s="38" t="s">
        <v>211</v>
      </c>
      <c r="E697" s="5" t="s">
        <v>11</v>
      </c>
      <c r="F697" s="12" t="n">
        <f aca="false">Sensitivity!$B$14</f>
        <v>0.0874202832668642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167</v>
      </c>
      <c r="B698" s="28" t="s">
        <v>168</v>
      </c>
      <c r="C698" s="28" t="s">
        <v>169</v>
      </c>
      <c r="D698" s="28" t="s">
        <v>170</v>
      </c>
      <c r="E698" s="28" t="s">
        <v>171</v>
      </c>
      <c r="F698" s="28" t="s">
        <v>172</v>
      </c>
      <c r="G698" s="28" t="s">
        <v>173</v>
      </c>
      <c r="H698" s="28" t="s">
        <v>174</v>
      </c>
      <c r="I698" s="28" t="s">
        <v>175</v>
      </c>
      <c r="J698" s="28" t="s">
        <v>176</v>
      </c>
      <c r="K698" s="28" t="s">
        <v>177</v>
      </c>
      <c r="L698" s="28" t="s">
        <v>178</v>
      </c>
      <c r="M698" s="28" t="s">
        <v>179</v>
      </c>
      <c r="N698" s="28" t="s">
        <v>180</v>
      </c>
      <c r="O698" s="28" t="s">
        <v>181</v>
      </c>
      <c r="P698" s="28" t="s">
        <v>182</v>
      </c>
      <c r="Q698" s="28" t="s">
        <v>183</v>
      </c>
      <c r="R698" s="28" t="s">
        <v>184</v>
      </c>
      <c r="S698" s="28" t="s">
        <v>185</v>
      </c>
      <c r="T698" s="28" t="s">
        <v>186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8450</v>
      </c>
      <c r="F699" s="15" t="n">
        <f aca="false">E699*(1+IF(F$3&lt;=$O$2,$D699,$D699-($D699-$I$697)*MIN(F$3-$O$2,$Q$2)/$Q$2))</f>
        <v>10562.5</v>
      </c>
      <c r="G699" s="15" t="n">
        <f aca="false">F699*(1+IF(G$3&lt;=$O$2,$D699,$D699-($D699-$I$697)*MIN(G$3-$O$2,$Q$2)/$Q$2))</f>
        <v>13203.125</v>
      </c>
      <c r="H699" s="15" t="n">
        <f aca="false">G699*(1+IF(H$3&lt;=$O$2,$D699,$D699-($D699-$I$697)*MIN(H$3-$O$2,$Q$2)/$Q$2))</f>
        <v>16503.90625</v>
      </c>
      <c r="I699" s="15" t="n">
        <f aca="false">H699*(1+IF(I$3&lt;=$O$2,$D699,$D699-($D699-$I$697)*MIN(I$3-$O$2,$Q$2)/$Q$2))</f>
        <v>20629.8828125</v>
      </c>
      <c r="J699" s="15" t="n">
        <f aca="false">I699*(1+IF(J$3&lt;=$O$2,$D699,$D699-($D699-$I$697)*MIN(J$3-$O$2,$Q$2)/$Q$2))</f>
        <v>24913.8842773438</v>
      </c>
      <c r="K699" s="15" t="n">
        <f aca="false">J699*(1+IF(K$3&lt;=$O$2,$D699,$D699-($D699-$I$697)*MIN(K$3-$O$2,$Q$2)/$Q$2))</f>
        <v>29032.6476260742</v>
      </c>
      <c r="L699" s="15" t="n">
        <f aca="false">K699*(1+IF(L$3&lt;=$O$2,$D699,$D699-($D699-$I$697)*MIN(L$3-$O$2,$Q$2)/$Q$2))</f>
        <v>32603.0826311288</v>
      </c>
      <c r="M699" s="15" t="n">
        <f aca="false">L699*(1+IF(M$3&lt;=$O$2,$D699,$D699-($D699-$I$697)*MIN(M$3-$O$2,$Q$2)/$Q$2))</f>
        <v>35232.1952145031</v>
      </c>
      <c r="N699" s="15" t="n">
        <f aca="false">M699*(1+IF(N$3&lt;=$O$2,$D699,$D699-($D699-$I$697)*MIN(N$3-$O$2,$Q$2)/$Q$2))</f>
        <v>36581.5882912185</v>
      </c>
      <c r="O699" s="15" t="n">
        <f aca="false">SUMPRODUCT(E699:N699,1/(1+$F$697)^$E$3:$N$3)*$E$2</f>
        <v>82597.9641059661</v>
      </c>
      <c r="P699" s="15" t="n">
        <f aca="false">N699*$E$2*(1+$I$697)/($F$697-$I$697)/(1+$F$697)^$N$3</f>
        <v>208298.265742998</v>
      </c>
      <c r="Q699" s="15" t="n">
        <f aca="false">O699+P699</f>
        <v>290896.229848964</v>
      </c>
      <c r="R699" s="15" t="n">
        <f aca="false">Q699-$G$2+$I$2</f>
        <v>289306.229848964</v>
      </c>
      <c r="S699" s="42" t="n">
        <f aca="false">R699/$K$2</f>
        <v>804.567077837934</v>
      </c>
      <c r="T699" s="43" t="n">
        <f aca="false">S699-$M$2</f>
        <v>526.54827812716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5915</v>
      </c>
      <c r="F700" s="15" t="n">
        <f aca="false">E700*(1+IF(F$3&lt;=$O$2,$D700,$D700-($D700-$I$697)*MIN(F$3-$O$2,$Q$2)/$Q$2))</f>
        <v>5175.625</v>
      </c>
      <c r="G700" s="15" t="n">
        <f aca="false">F700*(1+IF(G$3&lt;=$O$2,$D700,$D700-($D700-$I$697)*MIN(G$3-$O$2,$Q$2)/$Q$2))</f>
        <v>4528.671875</v>
      </c>
      <c r="H700" s="15" t="n">
        <f aca="false">G700*(1+IF(H$3&lt;=$O$2,$D700,$D700-($D700-$I$697)*MIN(H$3-$O$2,$Q$2)/$Q$2))</f>
        <v>3962.587890625</v>
      </c>
      <c r="I700" s="15" t="n">
        <f aca="false">H700*(1+IF(I$3&lt;=$O$2,$D700,$D700-($D700-$I$697)*MIN(I$3-$O$2,$Q$2)/$Q$2))</f>
        <v>3467.26440429688</v>
      </c>
      <c r="J700" s="15" t="n">
        <f aca="false">I700*(1+IF(J$3&lt;=$O$2,$D700,$D700-($D700-$I$697)*MIN(J$3-$O$2,$Q$2)/$Q$2))</f>
        <v>3147.0972092041</v>
      </c>
      <c r="K700" s="15" t="n">
        <f aca="false">J700*(1+IF(K$3&lt;=$O$2,$D700,$D700-($D700-$I$697)*MIN(K$3-$O$2,$Q$2)/$Q$2))</f>
        <v>2959.2784477588</v>
      </c>
      <c r="L700" s="15" t="n">
        <f aca="false">K700*(1+IF(L$3&lt;=$O$2,$D700,$D700-($D700-$I$697)*MIN(L$3-$O$2,$Q$2)/$Q$2))</f>
        <v>2879.31874410036</v>
      </c>
      <c r="M700" s="15" t="n">
        <f aca="false">L700*(1+IF(M$3&lt;=$O$2,$D700,$D700-($D700-$I$697)*MIN(M$3-$O$2,$Q$2)/$Q$2))</f>
        <v>2895.55810181708</v>
      </c>
      <c r="N700" s="15" t="n">
        <f aca="false">M700*(1+IF(N$3&lt;=$O$2,$D700,$D700-($D700-$I$697)*MIN(N$3-$O$2,$Q$2)/$Q$2))</f>
        <v>3006.45797711668</v>
      </c>
      <c r="O700" s="15" t="n">
        <f aca="false">SUMPRODUCT(E700:N700,1/(1+$F$697)^$E$3:$N$3)*$E$2</f>
        <v>16277.5592447204</v>
      </c>
      <c r="P700" s="15" t="n">
        <f aca="false">N700*$E$2*(1+$I$697)/($F$697-$I$697)/(1+$F$697)^$N$3</f>
        <v>17118.9937866349</v>
      </c>
      <c r="Q700" s="15" t="n">
        <f aca="false">O700+P700</f>
        <v>33396.5530313553</v>
      </c>
      <c r="R700" s="15" t="n">
        <f aca="false">Q700-$G$2+$I$2</f>
        <v>31806.5530313553</v>
      </c>
      <c r="S700" s="42" t="n">
        <f aca="false">R700/$K$2</f>
        <v>88.4547333871609</v>
      </c>
      <c r="T700" s="43" t="n">
        <f aca="false">S700-$M$2</f>
        <v>-189.564066323613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7182.5</v>
      </c>
      <c r="F701" s="15" t="n">
        <f aca="false">E701*(1+IF(F$3&lt;=$O$2,$D701,$D701-($D701-$I$697)*MIN(F$3-$O$2,$Q$2)/$Q$2))</f>
        <v>7631.40625</v>
      </c>
      <c r="G701" s="15" t="n">
        <f aca="false">F701*(1+IF(G$3&lt;=$O$2,$D701,$D701-($D701-$I$697)*MIN(G$3-$O$2,$Q$2)/$Q$2))</f>
        <v>8108.369140625</v>
      </c>
      <c r="H701" s="15" t="n">
        <f aca="false">G701*(1+IF(H$3&lt;=$O$2,$D701,$D701-($D701-$I$697)*MIN(H$3-$O$2,$Q$2)/$Q$2))</f>
        <v>8615.14221191406</v>
      </c>
      <c r="I701" s="15" t="n">
        <f aca="false">H701*(1+IF(I$3&lt;=$O$2,$D701,$D701-($D701-$I$697)*MIN(I$3-$O$2,$Q$2)/$Q$2))</f>
        <v>9153.58860015869</v>
      </c>
      <c r="J701" s="15" t="n">
        <f aca="false">I701*(1+IF(J$3&lt;=$O$2,$D701,$D701-($D701-$I$697)*MIN(J$3-$O$2,$Q$2)/$Q$2))</f>
        <v>9681.38451884384</v>
      </c>
      <c r="K701" s="15" t="n">
        <f aca="false">J701*(1+IF(K$3&lt;=$O$2,$D701,$D701-($D701-$I$697)*MIN(K$3-$O$2,$Q$2)/$Q$2))</f>
        <v>10192.7552491292</v>
      </c>
      <c r="L701" s="15" t="n">
        <f aca="false">K701*(1+IF(L$3&lt;=$O$2,$D701,$D701-($D701-$I$697)*MIN(L$3-$O$2,$Q$2)/$Q$2))</f>
        <v>10681.8036459824</v>
      </c>
      <c r="M701" s="15" t="n">
        <f aca="false">L701*(1+IF(M$3&lt;=$O$2,$D701,$D701-($D701-$I$697)*MIN(M$3-$O$2,$Q$2)/$Q$2))</f>
        <v>11142.6166552701</v>
      </c>
      <c r="N701" s="15" t="n">
        <f aca="false">M701*(1+IF(N$3&lt;=$O$2,$D701,$D701-($D701-$I$697)*MIN(N$3-$O$2,$Q$2)/$Q$2))</f>
        <v>11569.3788731669</v>
      </c>
      <c r="O701" s="15" t="n">
        <f aca="false">SUMPRODUCT(E701:N701,1/(1+$F$697)^$E$3:$N$3)*$E$2</f>
        <v>36606.4534308521</v>
      </c>
      <c r="P701" s="15" t="n">
        <f aca="false">N701*$E$2*(1+$I$697)/($F$697-$I$697)/(1+$F$697)^$N$3</f>
        <v>65876.897848715</v>
      </c>
      <c r="Q701" s="15" t="n">
        <f aca="false">O701+P701</f>
        <v>102483.351279567</v>
      </c>
      <c r="R701" s="15" t="n">
        <f aca="false">Q701-$G$2+$I$2</f>
        <v>100893.351279567</v>
      </c>
      <c r="S701" s="42" t="n">
        <f aca="false">R701/$K$2</f>
        <v>280.586660213491</v>
      </c>
      <c r="T701" s="43" t="n">
        <f aca="false">S701-$M$2</f>
        <v>2.56786050271722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6548.75</v>
      </c>
      <c r="F702" s="15" t="n">
        <f aca="false">E702*(1+IF(F$3&lt;=$O$2,$D702,$D702-($D702-$I$697)*MIN(F$3-$O$2,$Q$2)/$Q$2))</f>
        <v>6344.1015625</v>
      </c>
      <c r="G702" s="15" t="n">
        <f aca="false">F702*(1+IF(G$3&lt;=$O$2,$D702,$D702-($D702-$I$697)*MIN(G$3-$O$2,$Q$2)/$Q$2))</f>
        <v>6145.84838867188</v>
      </c>
      <c r="H702" s="15" t="n">
        <f aca="false">G702*(1+IF(H$3&lt;=$O$2,$D702,$D702-($D702-$I$697)*MIN(H$3-$O$2,$Q$2)/$Q$2))</f>
        <v>5953.79062652588</v>
      </c>
      <c r="I702" s="15" t="n">
        <f aca="false">H702*(1+IF(I$3&lt;=$O$2,$D702,$D702-($D702-$I$697)*MIN(I$3-$O$2,$Q$2)/$Q$2))</f>
        <v>5767.73466944695</v>
      </c>
      <c r="J702" s="15" t="n">
        <f aca="false">I702*(1+IF(J$3&lt;=$O$2,$D702,$D702-($D702-$I$697)*MIN(J$3-$O$2,$Q$2)/$Q$2))</f>
        <v>5667.72215027874</v>
      </c>
      <c r="K702" s="15" t="n">
        <f aca="false">J702*(1+IF(K$3&lt;=$O$2,$D702,$D702-($D702-$I$697)*MIN(K$3-$O$2,$Q$2)/$Q$2))</f>
        <v>5648.28186330328</v>
      </c>
      <c r="L702" s="15" t="n">
        <f aca="false">K702*(1+IF(L$3&lt;=$O$2,$D702,$D702-($D702-$I$697)*MIN(L$3-$O$2,$Q$2)/$Q$2))</f>
        <v>5707.4758572307</v>
      </c>
      <c r="M702" s="15" t="n">
        <f aca="false">L702*(1+IF(M$3&lt;=$O$2,$D702,$D702-($D702-$I$697)*MIN(M$3-$O$2,$Q$2)/$Q$2))</f>
        <v>5846.68119338855</v>
      </c>
      <c r="N702" s="15" t="n">
        <f aca="false">M702*(1+IF(N$3&lt;=$O$2,$D702,$D702-($D702-$I$697)*MIN(N$3-$O$2,$Q$2)/$Q$2))</f>
        <v>6070.60908309534</v>
      </c>
      <c r="O702" s="15" t="n">
        <f aca="false">SUMPRODUCT(E702:N702,1/(1+$F$697)^$E$3:$N$3)*$E$2</f>
        <v>24339.8702942057</v>
      </c>
      <c r="P702" s="15" t="n">
        <f aca="false">N702*$E$2*(1+$I$697)/($F$697-$I$697)/(1+$F$697)^$N$3</f>
        <v>34566.4965103769</v>
      </c>
      <c r="Q702" s="15" t="n">
        <f aca="false">O702+P702</f>
        <v>58906.3668045826</v>
      </c>
      <c r="R702" s="15" t="n">
        <f aca="false">Q702-$G$2+$I$2</f>
        <v>57316.3668045826</v>
      </c>
      <c r="S702" s="42" t="n">
        <f aca="false">R702/$K$2</f>
        <v>159.398094456262</v>
      </c>
      <c r="T702" s="43" t="n">
        <f aca="false">S702-$M$2</f>
        <v>-118.620705254512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41" t="n">
        <f aca="false">(B703+C703)/2</f>
        <v>0.015625</v>
      </c>
      <c r="E703" s="15" t="n">
        <f aca="false">$C$2*(1+IF(E$3&lt;=$O$2,$D703,$D703-($D703-$I$697)*MIN(E$3-$O$2,$Q$2)/$Q$2))</f>
        <v>6865.625</v>
      </c>
      <c r="F703" s="15" t="n">
        <f aca="false">E703*(1+IF(F$3&lt;=$O$2,$D703,$D703-($D703-$I$697)*MIN(F$3-$O$2,$Q$2)/$Q$2))</f>
        <v>6972.900390625</v>
      </c>
      <c r="G703" s="15" t="n">
        <f aca="false">F703*(1+IF(G$3&lt;=$O$2,$D703,$D703-($D703-$I$697)*MIN(G$3-$O$2,$Q$2)/$Q$2))</f>
        <v>7081.85195922852</v>
      </c>
      <c r="H703" s="15" t="n">
        <f aca="false">G703*(1+IF(H$3&lt;=$O$2,$D703,$D703-($D703-$I$697)*MIN(H$3-$O$2,$Q$2)/$Q$2))</f>
        <v>7192.50589609146</v>
      </c>
      <c r="I703" s="15" t="n">
        <f aca="false">H703*(1+IF(I$3&lt;=$O$2,$D703,$D703-($D703-$I$697)*MIN(I$3-$O$2,$Q$2)/$Q$2))</f>
        <v>7304.88880071789</v>
      </c>
      <c r="J703" s="15" t="n">
        <f aca="false">I703*(1+IF(J$3&lt;=$O$2,$D703,$D703-($D703-$I$697)*MIN(J$3-$O$2,$Q$2)/$Q$2))</f>
        <v>7452.15535894036</v>
      </c>
      <c r="K703" s="15" t="n">
        <f aca="false">J703*(1+IF(K$3&lt;=$O$2,$D703,$D703-($D703-$I$697)*MIN(K$3-$O$2,$Q$2)/$Q$2))</f>
        <v>7636.18633552939</v>
      </c>
      <c r="L703" s="15" t="n">
        <f aca="false">K703*(1+IF(L$3&lt;=$O$2,$D703,$D703-($D703-$I$697)*MIN(L$3-$O$2,$Q$2)/$Q$2))</f>
        <v>7859.39206211692</v>
      </c>
      <c r="M703" s="15" t="n">
        <f aca="false">L703*(1+IF(M$3&lt;=$O$2,$D703,$D703-($D703-$I$697)*MIN(M$3-$O$2,$Q$2)/$Q$2))</f>
        <v>8124.7644350943</v>
      </c>
      <c r="N703" s="15" t="n">
        <f aca="false">M703*(1+IF(N$3&lt;=$O$2,$D703,$D703-($D703-$I$697)*MIN(N$3-$O$2,$Q$2)/$Q$2))</f>
        <v>8435.94291295841</v>
      </c>
      <c r="O703" s="15" t="n">
        <f aca="false">SUMPRODUCT(E703:N703,1/(1+$F$697)^$E$3:$N$3)*$E$2</f>
        <v>29837.8107507167</v>
      </c>
      <c r="P703" s="15" t="n">
        <f aca="false">N703*$E$2*(1+$I$697)/($F$697-$I$697)/(1+$F$697)^$N$3</f>
        <v>48034.8820474257</v>
      </c>
      <c r="Q703" s="15" t="n">
        <f aca="false">O703+P703</f>
        <v>77872.6927981425</v>
      </c>
      <c r="R703" s="15" t="n">
        <f aca="false">Q703-$G$2+$I$2</f>
        <v>76282.6927981425</v>
      </c>
      <c r="S703" s="42" t="n">
        <f aca="false">R703/$K$2</f>
        <v>212.143870065472</v>
      </c>
      <c r="T703" s="43" t="n">
        <f aca="false">S703-$M$2</f>
        <v>-65.8749296453015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0.015625</v>
      </c>
      <c r="C704" s="25" t="n">
        <f aca="false">IF(T703&gt;0,D703,C703)</f>
        <v>0.0625</v>
      </c>
      <c r="D704" s="41" t="n">
        <f aca="false">(B704+C704)/2</f>
        <v>0.0390625</v>
      </c>
      <c r="E704" s="15" t="n">
        <f aca="false">$C$2*(1+IF(E$3&lt;=$O$2,$D704,$D704-($D704-$I$697)*MIN(E$3-$O$2,$Q$2)/$Q$2))</f>
        <v>7024.0625</v>
      </c>
      <c r="F704" s="15" t="n">
        <f aca="false">E704*(1+IF(F$3&lt;=$O$2,$D704,$D704-($D704-$I$697)*MIN(F$3-$O$2,$Q$2)/$Q$2))</f>
        <v>7298.43994140625</v>
      </c>
      <c r="G704" s="15" t="n">
        <f aca="false">F704*(1+IF(G$3&lt;=$O$2,$D704,$D704-($D704-$I$697)*MIN(G$3-$O$2,$Q$2)/$Q$2))</f>
        <v>7583.53525161743</v>
      </c>
      <c r="H704" s="15" t="n">
        <f aca="false">G704*(1+IF(H$3&lt;=$O$2,$D704,$D704-($D704-$I$697)*MIN(H$3-$O$2,$Q$2)/$Q$2))</f>
        <v>7879.76709738374</v>
      </c>
      <c r="I704" s="15" t="n">
        <f aca="false">H704*(1+IF(I$3&lt;=$O$2,$D704,$D704-($D704-$I$697)*MIN(I$3-$O$2,$Q$2)/$Q$2))</f>
        <v>8187.57049962529</v>
      </c>
      <c r="J704" s="15" t="n">
        <f aca="false">I704*(1+IF(J$3&lt;=$O$2,$D704,$D704-($D704-$I$697)*MIN(J$3-$O$2,$Q$2)/$Q$2))</f>
        <v>8506.14886776571</v>
      </c>
      <c r="K704" s="15" t="n">
        <f aca="false">J704*(1+IF(K$3&lt;=$O$2,$D704,$D704-($D704-$I$697)*MIN(K$3-$O$2,$Q$2)/$Q$2))</f>
        <v>8835.82593250814</v>
      </c>
      <c r="L704" s="15" t="n">
        <f aca="false">K704*(1+IF(L$3&lt;=$O$2,$D704,$D704-($D704-$I$697)*MIN(L$3-$O$2,$Q$2)/$Q$2))</f>
        <v>9176.93299263262</v>
      </c>
      <c r="M704" s="15" t="n">
        <f aca="false">L704*(1+IF(M$3&lt;=$O$2,$D704,$D704-($D704-$I$697)*MIN(M$3-$O$2,$Q$2)/$Q$2))</f>
        <v>9529.80900853182</v>
      </c>
      <c r="N704" s="15" t="n">
        <f aca="false">M704*(1+IF(N$3&lt;=$O$2,$D704,$D704-($D704-$I$697)*MIN(N$3-$O$2,$Q$2)/$Q$2))</f>
        <v>9894.80069355859</v>
      </c>
      <c r="O704" s="15" t="n">
        <f aca="false">SUMPRODUCT(E704:N704,1/(1+$F$697)^$E$3:$N$3)*$E$2</f>
        <v>33047.393535294</v>
      </c>
      <c r="P704" s="15" t="n">
        <f aca="false">N704*$E$2*(1+$I$697)/($F$697-$I$697)/(1+$F$697)^$N$3</f>
        <v>56341.7260052548</v>
      </c>
      <c r="Q704" s="15" t="n">
        <f aca="false">O704+P704</f>
        <v>89389.1195405487</v>
      </c>
      <c r="R704" s="15" t="n">
        <f aca="false">Q704-$G$2+$I$2</f>
        <v>87799.1195405487</v>
      </c>
      <c r="S704" s="42" t="n">
        <f aca="false">R704/$K$2</f>
        <v>244.17130969617</v>
      </c>
      <c r="T704" s="43" t="n">
        <f aca="false">S704-$M$2</f>
        <v>-33.8474900146039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0.0390625</v>
      </c>
      <c r="C705" s="25" t="n">
        <f aca="false">IF(T704&gt;0,D704,C704)</f>
        <v>0.0625</v>
      </c>
      <c r="D705" s="41" t="n">
        <f aca="false">(B705+C705)/2</f>
        <v>0.05078125</v>
      </c>
      <c r="E705" s="15" t="n">
        <f aca="false">$C$2*(1+IF(E$3&lt;=$O$2,$D705,$D705-($D705-$I$697)*MIN(E$3-$O$2,$Q$2)/$Q$2))</f>
        <v>7103.28125</v>
      </c>
      <c r="F705" s="15" t="n">
        <f aca="false">E705*(1+IF(F$3&lt;=$O$2,$D705,$D705-($D705-$I$697)*MIN(F$3-$O$2,$Q$2)/$Q$2))</f>
        <v>7463.99475097656</v>
      </c>
      <c r="G705" s="15" t="n">
        <f aca="false">F705*(1+IF(G$3&lt;=$O$2,$D705,$D705-($D705-$I$697)*MIN(G$3-$O$2,$Q$2)/$Q$2))</f>
        <v>7843.02573442459</v>
      </c>
      <c r="H705" s="15" t="n">
        <f aca="false">G705*(1+IF(H$3&lt;=$O$2,$D705,$D705-($D705-$I$697)*MIN(H$3-$O$2,$Q$2)/$Q$2))</f>
        <v>8241.30438500084</v>
      </c>
      <c r="I705" s="15" t="n">
        <f aca="false">H705*(1+IF(I$3&lt;=$O$2,$D705,$D705-($D705-$I$697)*MIN(I$3-$O$2,$Q$2)/$Q$2))</f>
        <v>8659.80812330166</v>
      </c>
      <c r="J705" s="15" t="n">
        <f aca="false">I705*(1+IF(J$3&lt;=$O$2,$D705,$D705-($D705-$I$697)*MIN(J$3-$O$2,$Q$2)/$Q$2))</f>
        <v>9077.94695853528</v>
      </c>
      <c r="K705" s="15" t="n">
        <f aca="false">J705*(1+IF(K$3&lt;=$O$2,$D705,$D705-($D705-$I$697)*MIN(K$3-$O$2,$Q$2)/$Q$2))</f>
        <v>9493.61480233292</v>
      </c>
      <c r="L705" s="15" t="n">
        <f aca="false">K705*(1+IF(L$3&lt;=$O$2,$D705,$D705-($D705-$I$697)*MIN(L$3-$O$2,$Q$2)/$Q$2))</f>
        <v>9904.61712116291</v>
      </c>
      <c r="M705" s="15" t="n">
        <f aca="false">L705*(1+IF(M$3&lt;=$O$2,$D705,$D705-($D705-$I$697)*MIN(M$3-$O$2,$Q$2)/$Q$2))</f>
        <v>10308.6883573922</v>
      </c>
      <c r="N705" s="15" t="n">
        <f aca="false">M705*(1+IF(N$3&lt;=$O$2,$D705,$D705-($D705-$I$697)*MIN(N$3-$O$2,$Q$2)/$Q$2))</f>
        <v>10703.5111214803</v>
      </c>
      <c r="O705" s="15" t="n">
        <f aca="false">SUMPRODUCT(E705:N705,1/(1+$F$697)^$E$3:$N$3)*$E$2</f>
        <v>34781.1004514018</v>
      </c>
      <c r="P705" s="15" t="n">
        <f aca="false">N705*$E$2*(1+$I$697)/($F$697-$I$697)/(1+$F$697)^$N$3</f>
        <v>60946.5829153305</v>
      </c>
      <c r="Q705" s="15" t="n">
        <f aca="false">O705+P705</f>
        <v>95727.6833667323</v>
      </c>
      <c r="R705" s="15" t="n">
        <f aca="false">Q705-$G$2+$I$2</f>
        <v>94137.6833667323</v>
      </c>
      <c r="S705" s="42" t="n">
        <f aca="false">R705/$K$2</f>
        <v>261.798997070839</v>
      </c>
      <c r="T705" s="43" t="n">
        <f aca="false">S705-$M$2</f>
        <v>-16.2198026399346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0.05078125</v>
      </c>
      <c r="C706" s="25" t="n">
        <f aca="false">IF(T705&gt;0,D705,C705)</f>
        <v>0.0625</v>
      </c>
      <c r="D706" s="41" t="n">
        <f aca="false">(B706+C706)/2</f>
        <v>0.056640625</v>
      </c>
      <c r="E706" s="15" t="n">
        <f aca="false">$C$2*(1+IF(E$3&lt;=$O$2,$D706,$D706-($D706-$I$697)*MIN(E$3-$O$2,$Q$2)/$Q$2))</f>
        <v>7142.890625</v>
      </c>
      <c r="F706" s="15" t="n">
        <f aca="false">E706*(1+IF(F$3&lt;=$O$2,$D706,$D706-($D706-$I$697)*MIN(F$3-$O$2,$Q$2)/$Q$2))</f>
        <v>7547.46841430664</v>
      </c>
      <c r="G706" s="15" t="n">
        <f aca="false">F706*(1+IF(G$3&lt;=$O$2,$D706,$D706-($D706-$I$697)*MIN(G$3-$O$2,$Q$2)/$Q$2))</f>
        <v>7974.96174246073</v>
      </c>
      <c r="H706" s="15" t="n">
        <f aca="false">G706*(1+IF(H$3&lt;=$O$2,$D706,$D706-($D706-$I$697)*MIN(H$3-$O$2,$Q$2)/$Q$2))</f>
        <v>8426.66855990479</v>
      </c>
      <c r="I706" s="15" t="n">
        <f aca="false">H706*(1+IF(I$3&lt;=$O$2,$D706,$D706-($D706-$I$697)*MIN(I$3-$O$2,$Q$2)/$Q$2))</f>
        <v>8903.96033380565</v>
      </c>
      <c r="J706" s="15" t="n">
        <f aca="false">I706*(1+IF(J$3&lt;=$O$2,$D706,$D706-($D706-$I$697)*MIN(J$3-$O$2,$Q$2)/$Q$2))</f>
        <v>9375.62537258817</v>
      </c>
      <c r="K706" s="15" t="n">
        <f aca="false">J706*(1+IF(K$3&lt;=$O$2,$D706,$D706-($D706-$I$697)*MIN(K$3-$O$2,$Q$2)/$Q$2))</f>
        <v>9837.88472181777</v>
      </c>
      <c r="L706" s="15" t="n">
        <f aca="false">K706*(1+IF(L$3&lt;=$O$2,$D706,$D706-($D706-$I$697)*MIN(L$3-$O$2,$Q$2)/$Q$2))</f>
        <v>10286.8488884538</v>
      </c>
      <c r="M706" s="15" t="n">
        <f aca="false">L706*(1+IF(M$3&lt;=$O$2,$D706,$D706-($D706-$I$697)*MIN(M$3-$O$2,$Q$2)/$Q$2))</f>
        <v>10718.5686484606</v>
      </c>
      <c r="N706" s="15" t="n">
        <f aca="false">M706*(1+IF(N$3&lt;=$O$2,$D706,$D706-($D706-$I$697)*MIN(N$3-$O$2,$Q$2)/$Q$2))</f>
        <v>11129.0898276966</v>
      </c>
      <c r="O706" s="15" t="n">
        <f aca="false">SUMPRODUCT(E706:N706,1/(1+$F$697)^$E$3:$N$3)*$E$2</f>
        <v>35682.043958505</v>
      </c>
      <c r="P706" s="15" t="n">
        <f aca="false">N706*$E$2*(1+$I$697)/($F$697-$I$697)/(1+$F$697)^$N$3</f>
        <v>63369.8595028944</v>
      </c>
      <c r="Q706" s="15" t="n">
        <f aca="false">O706+P706</f>
        <v>99051.9034613994</v>
      </c>
      <c r="R706" s="15" t="n">
        <f aca="false">Q706-$G$2+$I$2</f>
        <v>97461.9034613994</v>
      </c>
      <c r="S706" s="42" t="n">
        <f aca="false">R706/$K$2</f>
        <v>271.043727296845</v>
      </c>
      <c r="T706" s="43" t="n">
        <f aca="false">S706-$M$2</f>
        <v>-6.97507241392907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0.056640625</v>
      </c>
      <c r="C707" s="25" t="n">
        <f aca="false">IF(T706&gt;0,D706,C706)</f>
        <v>0.0625</v>
      </c>
      <c r="D707" s="41" t="n">
        <f aca="false">(B707+C707)/2</f>
        <v>0.0595703125</v>
      </c>
      <c r="E707" s="15" t="n">
        <f aca="false">$C$2*(1+IF(E$3&lt;=$O$2,$D707,$D707-($D707-$I$697)*MIN(E$3-$O$2,$Q$2)/$Q$2))</f>
        <v>7162.6953125</v>
      </c>
      <c r="F707" s="15" t="n">
        <f aca="false">E707*(1+IF(F$3&lt;=$O$2,$D707,$D707-($D707-$I$697)*MIN(F$3-$O$2,$Q$2)/$Q$2))</f>
        <v>7589.37931060791</v>
      </c>
      <c r="G707" s="15" t="n">
        <f aca="false">F707*(1+IF(G$3&lt;=$O$2,$D707,$D707-($D707-$I$697)*MIN(G$3-$O$2,$Q$2)/$Q$2))</f>
        <v>8041.48100782186</v>
      </c>
      <c r="H707" s="15" t="n">
        <f aca="false">G707*(1+IF(H$3&lt;=$O$2,$D707,$D707-($D707-$I$697)*MIN(H$3-$O$2,$Q$2)/$Q$2))</f>
        <v>8520.51454442062</v>
      </c>
      <c r="I707" s="15" t="n">
        <f aca="false">H707*(1+IF(I$3&lt;=$O$2,$D707,$D707-($D707-$I$697)*MIN(I$3-$O$2,$Q$2)/$Q$2))</f>
        <v>9028.08425849255</v>
      </c>
      <c r="J707" s="15" t="n">
        <f aca="false">I707*(1+IF(J$3&lt;=$O$2,$D707,$D707-($D707-$I$697)*MIN(J$3-$O$2,$Q$2)/$Q$2))</f>
        <v>9527.48402435639</v>
      </c>
      <c r="K707" s="15" t="n">
        <f aca="false">J707*(1+IF(K$3&lt;=$O$2,$D707,$D707-($D707-$I$697)*MIN(K$3-$O$2,$Q$2)/$Q$2))</f>
        <v>10013.9782000113</v>
      </c>
      <c r="L707" s="15" t="n">
        <f aca="false">K707*(1+IF(L$3&lt;=$O$2,$D707,$D707-($D707-$I$697)*MIN(L$3-$O$2,$Q$2)/$Q$2))</f>
        <v>10482.7137433447</v>
      </c>
      <c r="M707" s="15" t="n">
        <f aca="false">L707*(1+IF(M$3&lt;=$O$2,$D707,$D707-($D707-$I$697)*MIN(M$3-$O$2,$Q$2)/$Q$2))</f>
        <v>10928.7957991486</v>
      </c>
      <c r="N707" s="15" t="n">
        <f aca="false">M707*(1+IF(N$3&lt;=$O$2,$D707,$D707-($D707-$I$697)*MIN(N$3-$O$2,$Q$2)/$Q$2))</f>
        <v>11347.368678256</v>
      </c>
      <c r="O707" s="15" t="n">
        <f aca="false">SUMPRODUCT(E707:N707,1/(1+$F$697)^$E$3:$N$3)*$E$2</f>
        <v>36141.2801593787</v>
      </c>
      <c r="P707" s="15" t="n">
        <f aca="false">N707*$E$2*(1+$I$697)/($F$697-$I$697)/(1+$F$697)^$N$3</f>
        <v>64612.7554006326</v>
      </c>
      <c r="Q707" s="15" t="n">
        <f aca="false">O707+P707</f>
        <v>100754.035560011</v>
      </c>
      <c r="R707" s="15" t="n">
        <f aca="false">Q707-$G$2+$I$2</f>
        <v>99164.0355600113</v>
      </c>
      <c r="S707" s="42" t="n">
        <f aca="false">R707/$K$2</f>
        <v>275.777394627096</v>
      </c>
      <c r="T707" s="43" t="n">
        <f aca="false">S707-$M$2</f>
        <v>-2.24140508367748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0.0595703125</v>
      </c>
      <c r="C708" s="25" t="n">
        <f aca="false">IF(T707&gt;0,D707,C707)</f>
        <v>0.0625</v>
      </c>
      <c r="D708" s="41" t="n">
        <f aca="false">(B708+C708)/2</f>
        <v>0.06103515625</v>
      </c>
      <c r="E708" s="15" t="n">
        <f aca="false">$C$2*(1+IF(E$3&lt;=$O$2,$D708,$D708-($D708-$I$697)*MIN(E$3-$O$2,$Q$2)/$Q$2))</f>
        <v>7172.59765625</v>
      </c>
      <c r="F708" s="15" t="n">
        <f aca="false">E708*(1+IF(F$3&lt;=$O$2,$D708,$D708-($D708-$I$697)*MIN(F$3-$O$2,$Q$2)/$Q$2))</f>
        <v>7610.3782749176</v>
      </c>
      <c r="G708" s="15" t="n">
        <f aca="false">F708*(1+IF(G$3&lt;=$O$2,$D708,$D708-($D708-$I$697)*MIN(G$3-$O$2,$Q$2)/$Q$2))</f>
        <v>8074.8789020488</v>
      </c>
      <c r="H708" s="15" t="n">
        <f aca="false">G708*(1+IF(H$3&lt;=$O$2,$D708,$D708-($D708-$I$697)*MIN(H$3-$O$2,$Q$2)/$Q$2))</f>
        <v>8567.73039753518</v>
      </c>
      <c r="I708" s="15" t="n">
        <f aca="false">H708*(1+IF(I$3&lt;=$O$2,$D708,$D708-($D708-$I$697)*MIN(I$3-$O$2,$Q$2)/$Q$2))</f>
        <v>9090.66316105662</v>
      </c>
      <c r="J708" s="15" t="n">
        <f aca="false">I708*(1+IF(J$3&lt;=$O$2,$D708,$D708-($D708-$I$697)*MIN(J$3-$O$2,$Q$2)/$Q$2))</f>
        <v>9604.17767803128</v>
      </c>
      <c r="K708" s="15" t="n">
        <f aca="false">J708*(1+IF(K$3&lt;=$O$2,$D708,$D708-($D708-$I$697)*MIN(K$3-$O$2,$Q$2)/$Q$2))</f>
        <v>10103.0291711976</v>
      </c>
      <c r="L708" s="15" t="n">
        <f aca="false">K708*(1+IF(L$3&lt;=$O$2,$D708,$D708-($D708-$I$697)*MIN(L$3-$O$2,$Q$2)/$Q$2))</f>
        <v>10581.8527671766</v>
      </c>
      <c r="M708" s="15" t="n">
        <f aca="false">L708*(1+IF(M$3&lt;=$O$2,$D708,$D708-($D708-$I$697)*MIN(M$3-$O$2,$Q$2)/$Q$2))</f>
        <v>11035.2537433747</v>
      </c>
      <c r="N708" s="15" t="n">
        <f aca="false">M708*(1+IF(N$3&lt;=$O$2,$D708,$D708-($D708-$I$697)*MIN(N$3-$O$2,$Q$2)/$Q$2))</f>
        <v>11457.903961746</v>
      </c>
      <c r="O708" s="15" t="n">
        <f aca="false">SUMPRODUCT(E708:N708,1/(1+$F$697)^$E$3:$N$3)*$E$2</f>
        <v>36373.1202097848</v>
      </c>
      <c r="P708" s="15" t="n">
        <f aca="false">N708*$E$2*(1+$I$697)/($F$697-$I$697)/(1+$F$697)^$N$3</f>
        <v>65242.1514692526</v>
      </c>
      <c r="Q708" s="15" t="n">
        <f aca="false">O708+P708</f>
        <v>101615.271679037</v>
      </c>
      <c r="R708" s="15" t="n">
        <f aca="false">Q708-$G$2+$I$2</f>
        <v>100025.271679037</v>
      </c>
      <c r="S708" s="42" t="n">
        <f aca="false">R708/$K$2</f>
        <v>278.172511482945</v>
      </c>
      <c r="T708" s="43" t="n">
        <f aca="false">S708-$M$2</f>
        <v>0.153711772171391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0.0595703125</v>
      </c>
      <c r="C709" s="25" t="n">
        <f aca="false">IF(T708&gt;0,D708,C708)</f>
        <v>0.06103515625</v>
      </c>
      <c r="D709" s="41" t="n">
        <f aca="false">(B709+C709)/2</f>
        <v>0.060302734375</v>
      </c>
      <c r="E709" s="15" t="n">
        <f aca="false">$C$2*(1+IF(E$3&lt;=$O$2,$D709,$D709-($D709-$I$697)*MIN(E$3-$O$2,$Q$2)/$Q$2))</f>
        <v>7167.646484375</v>
      </c>
      <c r="F709" s="15" t="n">
        <f aca="false">E709*(1+IF(F$3&lt;=$O$2,$D709,$D709-($D709-$I$697)*MIN(F$3-$O$2,$Q$2)/$Q$2))</f>
        <v>7599.87516641617</v>
      </c>
      <c r="G709" s="15" t="n">
        <f aca="false">F709*(1+IF(G$3&lt;=$O$2,$D709,$D709-($D709-$I$697)*MIN(G$3-$O$2,$Q$2)/$Q$2))</f>
        <v>8058.16841985972</v>
      </c>
      <c r="H709" s="15" t="n">
        <f aca="false">G709*(1+IF(H$3&lt;=$O$2,$D709,$D709-($D709-$I$697)*MIN(H$3-$O$2,$Q$2)/$Q$2))</f>
        <v>8544.09800963154</v>
      </c>
      <c r="I709" s="15" t="n">
        <f aca="false">H709*(1+IF(I$3&lt;=$O$2,$D709,$D709-($D709-$I$697)*MIN(I$3-$O$2,$Q$2)/$Q$2))</f>
        <v>9059.33048238031</v>
      </c>
      <c r="J709" s="15" t="n">
        <f aca="false">I709*(1+IF(J$3&lt;=$O$2,$D709,$D709-($D709-$I$697)*MIN(J$3-$O$2,$Q$2)/$Q$2))</f>
        <v>9565.7668736308</v>
      </c>
      <c r="K709" s="15" t="n">
        <f aca="false">J709*(1+IF(K$3&lt;=$O$2,$D709,$D709-($D709-$I$697)*MIN(K$3-$O$2,$Q$2)/$Q$2))</f>
        <v>10058.4195614591</v>
      </c>
      <c r="L709" s="15" t="n">
        <f aca="false">K709*(1+IF(L$3&lt;=$O$2,$D709,$D709-($D709-$I$697)*MIN(L$3-$O$2,$Q$2)/$Q$2))</f>
        <v>10532.1821242002</v>
      </c>
      <c r="M709" s="15" t="n">
        <f aca="false">L709*(1+IF(M$3&lt;=$O$2,$D709,$D709-($D709-$I$697)*MIN(M$3-$O$2,$Q$2)/$Q$2))</f>
        <v>10981.9120606906</v>
      </c>
      <c r="N709" s="15" t="n">
        <f aca="false">M709*(1+IF(N$3&lt;=$O$2,$D709,$D709-($D709-$I$697)*MIN(N$3-$O$2,$Q$2)/$Q$2))</f>
        <v>11402.5192926151</v>
      </c>
      <c r="O709" s="15" t="n">
        <f aca="false">SUMPRODUCT(E709:N709,1/(1+$F$697)^$E$3:$N$3)*$E$2</f>
        <v>36257.0140964965</v>
      </c>
      <c r="P709" s="15" t="n">
        <f aca="false">N709*$E$2*(1+$I$697)/($F$697-$I$697)/(1+$F$697)^$N$3</f>
        <v>64926.7870723632</v>
      </c>
      <c r="Q709" s="15" t="n">
        <f aca="false">O709+P709</f>
        <v>101183.80116886</v>
      </c>
      <c r="R709" s="15" t="n">
        <f aca="false">Q709-$G$2+$I$2</f>
        <v>99593.8011688597</v>
      </c>
      <c r="S709" s="42" t="n">
        <f aca="false">R709/$K$2</f>
        <v>276.972582370709</v>
      </c>
      <c r="T709" s="43" t="n">
        <f aca="false">S709-$M$2</f>
        <v>-1.0462173400644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0.060302734375</v>
      </c>
      <c r="C710" s="25" t="n">
        <f aca="false">IF(T709&gt;0,D709,C709)</f>
        <v>0.06103515625</v>
      </c>
      <c r="D710" s="41" t="n">
        <f aca="false">(B710+C710)/2</f>
        <v>0.0606689453125</v>
      </c>
      <c r="E710" s="15" t="n">
        <f aca="false">$C$2*(1+IF(E$3&lt;=$O$2,$D710,$D710-($D710-$I$697)*MIN(E$3-$O$2,$Q$2)/$Q$2))</f>
        <v>7170.1220703125</v>
      </c>
      <c r="F710" s="15" t="n">
        <f aca="false">E710*(1+IF(F$3&lt;=$O$2,$D710,$D710-($D710-$I$697)*MIN(F$3-$O$2,$Q$2)/$Q$2))</f>
        <v>7605.12581408024</v>
      </c>
      <c r="G710" s="15" t="n">
        <f aca="false">F710*(1+IF(G$3&lt;=$O$2,$D710,$D710-($D710-$I$697)*MIN(G$3-$O$2,$Q$2)/$Q$2))</f>
        <v>8066.52077618935</v>
      </c>
      <c r="H710" s="15" t="n">
        <f aca="false">G710*(1+IF(H$3&lt;=$O$2,$D710,$D710-($D710-$I$697)*MIN(H$3-$O$2,$Q$2)/$Q$2))</f>
        <v>8555.90808402213</v>
      </c>
      <c r="I710" s="15" t="n">
        <f aca="false">H710*(1+IF(I$3&lt;=$O$2,$D710,$D710-($D710-$I$697)*MIN(I$3-$O$2,$Q$2)/$Q$2))</f>
        <v>9074.98600367045</v>
      </c>
      <c r="J710" s="15" t="n">
        <f aca="false">I710*(1+IF(J$3&lt;=$O$2,$D710,$D710-($D710-$I$697)*MIN(J$3-$O$2,$Q$2)/$Q$2))</f>
        <v>9584.95626011327</v>
      </c>
      <c r="K710" s="15" t="n">
        <f aca="false">J710*(1+IF(K$3&lt;=$O$2,$D710,$D710-($D710-$I$697)*MIN(K$3-$O$2,$Q$2)/$Q$2))</f>
        <v>10080.7033023187</v>
      </c>
      <c r="L710" s="15" t="n">
        <f aca="false">K710*(1+IF(L$3&lt;=$O$2,$D710,$D710-($D710-$I$697)*MIN(L$3-$O$2,$Q$2)/$Q$2))</f>
        <v>10556.99211915</v>
      </c>
      <c r="M710" s="15" t="n">
        <f aca="false">L710*(1+IF(M$3&lt;=$O$2,$D710,$D710-($D710-$I$697)*MIN(M$3-$O$2,$Q$2)/$Q$2))</f>
        <v>11008.554673189</v>
      </c>
      <c r="N710" s="15" t="n">
        <f aca="false">M710*(1+IF(N$3&lt;=$O$2,$D710,$D710-($D710-$I$697)*MIN(N$3-$O$2,$Q$2)/$Q$2))</f>
        <v>11430.1823171721</v>
      </c>
      <c r="O710" s="15" t="n">
        <f aca="false">SUMPRODUCT(E710:N710,1/(1+$F$697)^$E$3:$N$3)*$E$2</f>
        <v>36315.0205614517</v>
      </c>
      <c r="P710" s="15" t="n">
        <f aca="false">N710*$E$2*(1+$I$697)/($F$697-$I$697)/(1+$F$697)^$N$3</f>
        <v>65084.3023774549</v>
      </c>
      <c r="Q710" s="15" t="n">
        <f aca="false">O710+P710</f>
        <v>101399.322938907</v>
      </c>
      <c r="R710" s="15" t="n">
        <f aca="false">Q710-$G$2+$I$2</f>
        <v>99809.3229389067</v>
      </c>
      <c r="S710" s="42" t="n">
        <f aca="false">R710/$K$2</f>
        <v>277.571953220164</v>
      </c>
      <c r="T710" s="43" t="n">
        <f aca="false">S710-$M$2</f>
        <v>-0.446846490609403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0.0606689453125</v>
      </c>
      <c r="C711" s="25" t="n">
        <f aca="false">IF(T710&gt;0,D710,C710)</f>
        <v>0.06103515625</v>
      </c>
      <c r="D711" s="41" t="n">
        <f aca="false">(B711+C711)/2</f>
        <v>0.06085205078125</v>
      </c>
      <c r="E711" s="15" t="n">
        <f aca="false">$C$2*(1+IF(E$3&lt;=$O$2,$D711,$D711-($D711-$I$697)*MIN(E$3-$O$2,$Q$2)/$Q$2))</f>
        <v>7171.35986328125</v>
      </c>
      <c r="F711" s="15" t="n">
        <f aca="false">E711*(1+IF(F$3&lt;=$O$2,$D711,$D711-($D711-$I$697)*MIN(F$3-$O$2,$Q$2)/$Q$2))</f>
        <v>7607.75181785226</v>
      </c>
      <c r="G711" s="15" t="n">
        <f aca="false">F711*(1+IF(G$3&lt;=$O$2,$D711,$D711-($D711-$I$697)*MIN(G$3-$O$2,$Q$2)/$Q$2))</f>
        <v>8070.69911780335</v>
      </c>
      <c r="H711" s="15" t="n">
        <f aca="false">G711*(1+IF(H$3&lt;=$O$2,$D711,$D711-($D711-$I$697)*MIN(H$3-$O$2,$Q$2)/$Q$2))</f>
        <v>8561.81771036011</v>
      </c>
      <c r="I711" s="15" t="n">
        <f aca="false">H711*(1+IF(I$3&lt;=$O$2,$D711,$D711-($D711-$I$697)*MIN(I$3-$O$2,$Q$2)/$Q$2))</f>
        <v>9082.82187645075</v>
      </c>
      <c r="J711" s="15" t="n">
        <f aca="false">I711*(1+IF(J$3&lt;=$O$2,$D711,$D711-($D711-$I$697)*MIN(J$3-$O$2,$Q$2)/$Q$2))</f>
        <v>9594.56296247463</v>
      </c>
      <c r="K711" s="15" t="n">
        <f aca="false">J711*(1+IF(K$3&lt;=$O$2,$D711,$D711-($D711-$I$697)*MIN(K$3-$O$2,$Q$2)/$Q$2))</f>
        <v>10091.8609666296</v>
      </c>
      <c r="L711" s="15" t="n">
        <f aca="false">K711*(1+IF(L$3&lt;=$O$2,$D711,$D711-($D711-$I$697)*MIN(L$3-$O$2,$Q$2)/$Q$2))</f>
        <v>10569.4161060502</v>
      </c>
      <c r="M711" s="15" t="n">
        <f aca="false">L711*(1+IF(M$3&lt;=$O$2,$D711,$D711-($D711-$I$697)*MIN(M$3-$O$2,$Q$2)/$Q$2))</f>
        <v>11021.8971446623</v>
      </c>
      <c r="N711" s="15" t="n">
        <f aca="false">M711*(1+IF(N$3&lt;=$O$2,$D711,$D711-($D711-$I$697)*MIN(N$3-$O$2,$Q$2)/$Q$2))</f>
        <v>11444.0358053028</v>
      </c>
      <c r="O711" s="15" t="n">
        <f aca="false">SUMPRODUCT(E711:N711,1/(1+$F$697)^$E$3:$N$3)*$E$2</f>
        <v>36344.0587289777</v>
      </c>
      <c r="P711" s="15" t="n">
        <f aca="false">N711*$E$2*(1+$I$697)/($F$697-$I$697)/(1+$F$697)^$N$3</f>
        <v>65163.1851621266</v>
      </c>
      <c r="Q711" s="15" t="n">
        <f aca="false">O711+P711</f>
        <v>101507.243891104</v>
      </c>
      <c r="R711" s="15" t="n">
        <f aca="false">Q711-$G$2+$I$2</f>
        <v>99917.2438911043</v>
      </c>
      <c r="S711" s="42" t="n">
        <f aca="false">R711/$K$2</f>
        <v>277.872083795273</v>
      </c>
      <c r="T711" s="43" t="n">
        <f aca="false">S711-$M$2</f>
        <v>-0.146715915500522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0.06085205078125</v>
      </c>
      <c r="C712" s="25" t="n">
        <f aca="false">IF(T711&gt;0,D711,C711)</f>
        <v>0.06103515625</v>
      </c>
      <c r="D712" s="41" t="n">
        <f aca="false">(B712+C712)/2</f>
        <v>0.060943603515625</v>
      </c>
      <c r="E712" s="15" t="n">
        <f aca="false">$C$2*(1+IF(E$3&lt;=$O$2,$D712,$D712-($D712-$I$697)*MIN(E$3-$O$2,$Q$2)/$Q$2))</f>
        <v>7171.97875976563</v>
      </c>
      <c r="F712" s="15" t="n">
        <f aca="false">E712*(1+IF(F$3&lt;=$O$2,$D712,$D712-($D712-$I$697)*MIN(F$3-$O$2,$Q$2)/$Q$2))</f>
        <v>7609.06498972327</v>
      </c>
      <c r="G712" s="15" t="n">
        <f aca="false">F712*(1+IF(G$3&lt;=$O$2,$D712,$D712-($D712-$I$697)*MIN(G$3-$O$2,$Q$2)/$Q$2))</f>
        <v>8072.78882958158</v>
      </c>
      <c r="H712" s="15" t="n">
        <f aca="false">G712*(1+IF(H$3&lt;=$O$2,$D712,$D712-($D712-$I$697)*MIN(H$3-$O$2,$Q$2)/$Q$2))</f>
        <v>8564.77367127697</v>
      </c>
      <c r="I712" s="15" t="n">
        <f aca="false">H712*(1+IF(I$3&lt;=$O$2,$D712,$D712-($D712-$I$697)*MIN(I$3-$O$2,$Q$2)/$Q$2))</f>
        <v>9086.74184210034</v>
      </c>
      <c r="J712" s="15" t="n">
        <f aca="false">I712*(1+IF(J$3&lt;=$O$2,$D712,$D712-($D712-$I$697)*MIN(J$3-$O$2,$Q$2)/$Q$2))</f>
        <v>9599.36931826987</v>
      </c>
      <c r="K712" s="15" t="n">
        <f aca="false">J712*(1+IF(K$3&lt;=$O$2,$D712,$D712-($D712-$I$697)*MIN(K$3-$O$2,$Q$2)/$Q$2))</f>
        <v>10097.4437508654</v>
      </c>
      <c r="L712" s="15" t="n">
        <f aca="false">K712*(1+IF(L$3&lt;=$O$2,$D712,$D712-($D712-$I$697)*MIN(L$3-$O$2,$Q$2)/$Q$2))</f>
        <v>10575.6328516499</v>
      </c>
      <c r="M712" s="15" t="n">
        <f aca="false">L712*(1+IF(M$3&lt;=$O$2,$D712,$D712-($D712-$I$697)*MIN(M$3-$O$2,$Q$2)/$Q$2))</f>
        <v>11028.573677312</v>
      </c>
      <c r="N712" s="15" t="n">
        <f aca="false">M712*(1+IF(N$3&lt;=$O$2,$D712,$D712-($D712-$I$697)*MIN(N$3-$O$2,$Q$2)/$Q$2))</f>
        <v>11450.968049153</v>
      </c>
      <c r="O712" s="15" t="n">
        <f aca="false">SUMPRODUCT(E712:N712,1/(1+$F$697)^$E$3:$N$3)*$E$2</f>
        <v>36358.5865541307</v>
      </c>
      <c r="P712" s="15" t="n">
        <f aca="false">N712*$E$2*(1+$I$697)/($F$697-$I$697)/(1+$F$697)^$N$3</f>
        <v>65202.6578706436</v>
      </c>
      <c r="Q712" s="15" t="n">
        <f aca="false">O712+P712</f>
        <v>101561.244424774</v>
      </c>
      <c r="R712" s="15" t="n">
        <f aca="false">Q712-$G$2+$I$2</f>
        <v>99971.2444247743</v>
      </c>
      <c r="S712" s="42" t="n">
        <f aca="false">R712/$K$2</f>
        <v>278.022260483826</v>
      </c>
      <c r="T712" s="43" t="n">
        <f aca="false">S712-$M$2</f>
        <v>0.00346077305260906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0.06085205078125</v>
      </c>
      <c r="C713" s="25" t="n">
        <f aca="false">IF(T712&gt;0,D712,C712)</f>
        <v>0.060943603515625</v>
      </c>
      <c r="D713" s="41" t="n">
        <f aca="false">(B713+C713)/2</f>
        <v>0.0608978271484375</v>
      </c>
      <c r="E713" s="15" t="n">
        <f aca="false">$C$2*(1+IF(E$3&lt;=$O$2,$D713,$D713-($D713-$I$697)*MIN(E$3-$O$2,$Q$2)/$Q$2))</f>
        <v>7171.66931152344</v>
      </c>
      <c r="F713" s="15" t="n">
        <f aca="false">E713*(1+IF(F$3&lt;=$O$2,$D713,$D713-($D713-$I$697)*MIN(F$3-$O$2,$Q$2)/$Q$2))</f>
        <v>7608.40838962235</v>
      </c>
      <c r="G713" s="15" t="n">
        <f aca="false">F713*(1+IF(G$3&lt;=$O$2,$D713,$D713-($D713-$I$697)*MIN(G$3-$O$2,$Q$2)/$Q$2))</f>
        <v>8071.74392860829</v>
      </c>
      <c r="H713" s="15" t="n">
        <f aca="false">G713*(1+IF(H$3&lt;=$O$2,$D713,$D713-($D713-$I$697)*MIN(H$3-$O$2,$Q$2)/$Q$2))</f>
        <v>8563.29559515913</v>
      </c>
      <c r="I713" s="15" t="n">
        <f aca="false">H713*(1+IF(I$3&lt;=$O$2,$D713,$D713-($D713-$I$697)*MIN(I$3-$O$2,$Q$2)/$Q$2))</f>
        <v>9084.7816901341</v>
      </c>
      <c r="J713" s="15" t="n">
        <f aca="false">I713*(1+IF(J$3&lt;=$O$2,$D713,$D713-($D713-$I$697)*MIN(J$3-$O$2,$Q$2)/$Q$2))</f>
        <v>9596.96588991819</v>
      </c>
      <c r="K713" s="15" t="n">
        <f aca="false">J713*(1+IF(K$3&lt;=$O$2,$D713,$D713-($D713-$I$697)*MIN(K$3-$O$2,$Q$2)/$Q$2))</f>
        <v>10094.6520293</v>
      </c>
      <c r="L713" s="15" t="n">
        <f aca="false">K713*(1+IF(L$3&lt;=$O$2,$D713,$D713-($D713-$I$697)*MIN(L$3-$O$2,$Q$2)/$Q$2))</f>
        <v>10572.5240826948</v>
      </c>
      <c r="M713" s="15" t="n">
        <f aca="false">L713*(1+IF(M$3&lt;=$O$2,$D713,$D713-($D713-$I$697)*MIN(M$3-$O$2,$Q$2)/$Q$2))</f>
        <v>11025.2349694107</v>
      </c>
      <c r="N713" s="15" t="n">
        <f aca="false">M713*(1+IF(N$3&lt;=$O$2,$D713,$D713-($D713-$I$697)*MIN(N$3-$O$2,$Q$2)/$Q$2))</f>
        <v>11447.5014687392</v>
      </c>
      <c r="O713" s="15" t="n">
        <f aca="false">SUMPRODUCT(E713:N713,1/(1+$F$697)^$E$3:$N$3)*$E$2</f>
        <v>36351.3219128779</v>
      </c>
      <c r="P713" s="15" t="n">
        <f aca="false">N713*$E$2*(1+$I$697)/($F$697-$I$697)/(1+$F$697)^$N$3</f>
        <v>65182.9189057161</v>
      </c>
      <c r="Q713" s="15" t="n">
        <f aca="false">O713+P713</f>
        <v>101534.240818594</v>
      </c>
      <c r="R713" s="15" t="n">
        <f aca="false">Q713-$G$2+$I$2</f>
        <v>99944.240818594</v>
      </c>
      <c r="S713" s="42" t="n">
        <f aca="false">R713/$K$2</f>
        <v>277.947162852756</v>
      </c>
      <c r="T713" s="43" t="n">
        <f aca="false">S713-$M$2</f>
        <v>-0.0716368580175981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0.0608978271484375</v>
      </c>
      <c r="C714" s="25" t="n">
        <f aca="false">IF(T713&gt;0,D713,C713)</f>
        <v>0.060943603515625</v>
      </c>
      <c r="D714" s="41" t="n">
        <f aca="false">(B714+C714)/2</f>
        <v>0.0609207153320313</v>
      </c>
      <c r="E714" s="15" t="n">
        <f aca="false">$C$2*(1+IF(E$3&lt;=$O$2,$D714,$D714-($D714-$I$697)*MIN(E$3-$O$2,$Q$2)/$Q$2))</f>
        <v>7171.82403564453</v>
      </c>
      <c r="F714" s="15" t="n">
        <f aca="false">E714*(1+IF(F$3&lt;=$O$2,$D714,$D714-($D714-$I$697)*MIN(F$3-$O$2,$Q$2)/$Q$2))</f>
        <v>7608.73668613145</v>
      </c>
      <c r="G714" s="15" t="n">
        <f aca="false">F714*(1+IF(G$3&lt;=$O$2,$D714,$D714-($D714-$I$697)*MIN(G$3-$O$2,$Q$2)/$Q$2))</f>
        <v>8072.26636782365</v>
      </c>
      <c r="H714" s="15" t="n">
        <f aca="false">G714*(1+IF(H$3&lt;=$O$2,$D714,$D714-($D714-$I$697)*MIN(H$3-$O$2,$Q$2)/$Q$2))</f>
        <v>8564.03460930216</v>
      </c>
      <c r="I714" s="15" t="n">
        <f aca="false">H714*(1+IF(I$3&lt;=$O$2,$D714,$D714-($D714-$I$697)*MIN(I$3-$O$2,$Q$2)/$Q$2))</f>
        <v>9085.76172382912</v>
      </c>
      <c r="J714" s="15" t="n">
        <f aca="false">I714*(1+IF(J$3&lt;=$O$2,$D714,$D714-($D714-$I$697)*MIN(J$3-$O$2,$Q$2)/$Q$2))</f>
        <v>9598.1675414753</v>
      </c>
      <c r="K714" s="15" t="n">
        <f aca="false">J714*(1+IF(K$3&lt;=$O$2,$D714,$D714-($D714-$I$697)*MIN(K$3-$O$2,$Q$2)/$Q$2))</f>
        <v>10096.0478077127</v>
      </c>
      <c r="L714" s="15" t="n">
        <f aca="false">K714*(1+IF(L$3&lt;=$O$2,$D714,$D714-($D714-$I$697)*MIN(L$3-$O$2,$Q$2)/$Q$2))</f>
        <v>10574.0783681229</v>
      </c>
      <c r="M714" s="15" t="n">
        <f aca="false">L714*(1+IF(M$3&lt;=$O$2,$D714,$D714-($D714-$I$697)*MIN(M$3-$O$2,$Q$2)/$Q$2))</f>
        <v>11026.9042129547</v>
      </c>
      <c r="N714" s="15" t="n">
        <f aca="false">M714*(1+IF(N$3&lt;=$O$2,$D714,$D714-($D714-$I$697)*MIN(N$3-$O$2,$Q$2)/$Q$2))</f>
        <v>11449.2346443109</v>
      </c>
      <c r="O714" s="15" t="n">
        <f aca="false">SUMPRODUCT(E714:N714,1/(1+$F$697)^$E$3:$N$3)*$E$2</f>
        <v>36354.9540513182</v>
      </c>
      <c r="P714" s="15" t="n">
        <f aca="false">N714*$E$2*(1+$I$697)/($F$697-$I$697)/(1+$F$697)^$N$3</f>
        <v>65192.7877354386</v>
      </c>
      <c r="Q714" s="15" t="n">
        <f aca="false">O714+P714</f>
        <v>101547.741786757</v>
      </c>
      <c r="R714" s="15" t="n">
        <f aca="false">Q714-$G$2+$I$2</f>
        <v>99957.7417867567</v>
      </c>
      <c r="S714" s="42" t="n">
        <f aca="false">R714/$K$2</f>
        <v>277.984709346339</v>
      </c>
      <c r="T714" s="43" t="n">
        <f aca="false">S714-$M$2</f>
        <v>-0.0340903644342347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0.0609207153320313</v>
      </c>
      <c r="C715" s="25" t="n">
        <f aca="false">IF(T714&gt;0,D714,C714)</f>
        <v>0.060943603515625</v>
      </c>
      <c r="D715" s="41" t="n">
        <f aca="false">(B715+C715)/2</f>
        <v>0.0609321594238281</v>
      </c>
      <c r="E715" s="15" t="n">
        <f aca="false">$C$2*(1+IF(E$3&lt;=$O$2,$D715,$D715-($D715-$I$697)*MIN(E$3-$O$2,$Q$2)/$Q$2))</f>
        <v>7171.90139770508</v>
      </c>
      <c r="F715" s="15" t="n">
        <f aca="false">E715*(1+IF(F$3&lt;=$O$2,$D715,$D715-($D715-$I$697)*MIN(F$3-$O$2,$Q$2)/$Q$2))</f>
        <v>7608.90083704202</v>
      </c>
      <c r="G715" s="15" t="n">
        <f aca="false">F715*(1+IF(G$3&lt;=$O$2,$D715,$D715-($D715-$I$697)*MIN(G$3-$O$2,$Q$2)/$Q$2))</f>
        <v>8072.52759588476</v>
      </c>
      <c r="H715" s="15" t="n">
        <f aca="false">G715*(1+IF(H$3&lt;=$O$2,$D715,$D715-($D715-$I$697)*MIN(H$3-$O$2,$Q$2)/$Q$2))</f>
        <v>8564.40413431047</v>
      </c>
      <c r="I715" s="15" t="n">
        <f aca="false">H715*(1+IF(I$3&lt;=$O$2,$D715,$D715-($D715-$I$697)*MIN(I$3-$O$2,$Q$2)/$Q$2))</f>
        <v>9086.25177239236</v>
      </c>
      <c r="J715" s="15" t="n">
        <f aca="false">I715*(1+IF(J$3&lt;=$O$2,$D715,$D715-($D715-$I$697)*MIN(J$3-$O$2,$Q$2)/$Q$2))</f>
        <v>9598.76841421725</v>
      </c>
      <c r="K715" s="15" t="n">
        <f aca="false">J715*(1+IF(K$3&lt;=$O$2,$D715,$D715-($D715-$I$697)*MIN(K$3-$O$2,$Q$2)/$Q$2))</f>
        <v>10096.7457586956</v>
      </c>
      <c r="L715" s="15" t="n">
        <f aca="false">K715*(1+IF(L$3&lt;=$O$2,$D715,$D715-($D715-$I$697)*MIN(L$3-$O$2,$Q$2)/$Q$2))</f>
        <v>10574.8555851227</v>
      </c>
      <c r="M715" s="15" t="n">
        <f aca="false">L715*(1+IF(M$3&lt;=$O$2,$D715,$D715-($D715-$I$697)*MIN(M$3-$O$2,$Q$2)/$Q$2))</f>
        <v>11027.7389175301</v>
      </c>
      <c r="N715" s="15" t="n">
        <f aca="false">M715*(1+IF(N$3&lt;=$O$2,$D715,$D715-($D715-$I$697)*MIN(N$3-$O$2,$Q$2)/$Q$2))</f>
        <v>11450.1013180715</v>
      </c>
      <c r="O715" s="15" t="n">
        <f aca="false">SUMPRODUCT(E715:N715,1/(1+$F$697)^$E$3:$N$3)*$E$2</f>
        <v>36356.7702571758</v>
      </c>
      <c r="P715" s="15" t="n">
        <f aca="false">N715*$E$2*(1+$I$697)/($F$697-$I$697)/(1+$F$697)^$N$3</f>
        <v>65197.7226398465</v>
      </c>
      <c r="Q715" s="15" t="n">
        <f aca="false">O715+P715</f>
        <v>101554.492897022</v>
      </c>
      <c r="R715" s="15" t="n">
        <f aca="false">Q715-$G$2+$I$2</f>
        <v>99964.4928970222</v>
      </c>
      <c r="S715" s="42" t="n">
        <f aca="false">R715/$K$2</f>
        <v>278.003484334563</v>
      </c>
      <c r="T715" s="43" t="n">
        <f aca="false">S715-$M$2</f>
        <v>-0.0153153762104807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0.0609321594238281</v>
      </c>
      <c r="C716" s="25" t="n">
        <f aca="false">IF(T715&gt;0,D715,C715)</f>
        <v>0.060943603515625</v>
      </c>
      <c r="D716" s="41" t="n">
        <f aca="false">(B716+C716)/2</f>
        <v>0.0609378814697266</v>
      </c>
      <c r="E716" s="15" t="n">
        <f aca="false">$C$2*(1+IF(E$3&lt;=$O$2,$D716,$D716-($D716-$I$697)*MIN(E$3-$O$2,$Q$2)/$Q$2))</f>
        <v>7171.94007873535</v>
      </c>
      <c r="F716" s="15" t="n">
        <f aca="false">E716*(1+IF(F$3&lt;=$O$2,$D716,$D716-($D716-$I$697)*MIN(F$3-$O$2,$Q$2)/$Q$2))</f>
        <v>7608.98291316131</v>
      </c>
      <c r="G716" s="15" t="n">
        <f aca="false">F716*(1+IF(G$3&lt;=$O$2,$D716,$D716-($D716-$I$697)*MIN(G$3-$O$2,$Q$2)/$Q$2))</f>
        <v>8072.65821202871</v>
      </c>
      <c r="H716" s="15" t="n">
        <f aca="false">G716*(1+IF(H$3&lt;=$O$2,$D716,$D716-($D716-$I$697)*MIN(H$3-$O$2,$Q$2)/$Q$2))</f>
        <v>8564.58890129893</v>
      </c>
      <c r="I716" s="15" t="n">
        <f aca="false">H716*(1+IF(I$3&lt;=$O$2,$D716,$D716-($D716-$I$697)*MIN(I$3-$O$2,$Q$2)/$Q$2))</f>
        <v>9086.49680460322</v>
      </c>
      <c r="J716" s="15" t="n">
        <f aca="false">I716*(1+IF(J$3&lt;=$O$2,$D716,$D716-($D716-$I$697)*MIN(J$3-$O$2,$Q$2)/$Q$2))</f>
        <v>9599.06886232964</v>
      </c>
      <c r="K716" s="15" t="n">
        <f aca="false">J716*(1+IF(K$3&lt;=$O$2,$D716,$D716-($D716-$I$697)*MIN(K$3-$O$2,$Q$2)/$Q$2))</f>
        <v>10097.094749632</v>
      </c>
      <c r="L716" s="15" t="n">
        <f aca="false">K716*(1+IF(L$3&lt;=$O$2,$D716,$D716-($D716-$I$697)*MIN(L$3-$O$2,$Q$2)/$Q$2))</f>
        <v>10575.2442121952</v>
      </c>
      <c r="M716" s="15" t="n">
        <f aca="false">L716*(1+IF(M$3&lt;=$O$2,$D716,$D716-($D716-$I$697)*MIN(M$3-$O$2,$Q$2)/$Q$2))</f>
        <v>11028.1562905201</v>
      </c>
      <c r="N716" s="15" t="n">
        <f aca="false">M716*(1+IF(N$3&lt;=$O$2,$D716,$D716-($D716-$I$697)*MIN(N$3-$O$2,$Q$2)/$Q$2))</f>
        <v>11450.534676447</v>
      </c>
      <c r="O716" s="15" t="n">
        <f aca="false">SUMPRODUCT(E716:N716,1/(1+$F$697)^$E$3:$N$3)*$E$2</f>
        <v>36357.6783942658</v>
      </c>
      <c r="P716" s="15" t="n">
        <f aca="false">N716*$E$2*(1+$I$697)/($F$697-$I$697)/(1+$F$697)^$N$3</f>
        <v>65200.1902144452</v>
      </c>
      <c r="Q716" s="15" t="n">
        <f aca="false">O716+P716</f>
        <v>101557.868608711</v>
      </c>
      <c r="R716" s="15" t="n">
        <f aca="false">Q716-$G$2+$I$2</f>
        <v>99967.868608711</v>
      </c>
      <c r="S716" s="42" t="n">
        <f aca="false">R716/$K$2</f>
        <v>278.012872264061</v>
      </c>
      <c r="T716" s="43" t="n">
        <f aca="false">S716-$M$2</f>
        <v>-0.00592744671274659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0.0609378814697266</v>
      </c>
      <c r="C717" s="25" t="n">
        <f aca="false">IF(T716&gt;0,D716,C716)</f>
        <v>0.060943603515625</v>
      </c>
      <c r="D717" s="41" t="n">
        <f aca="false">(B717+C717)/2</f>
        <v>0.0609407424926758</v>
      </c>
      <c r="E717" s="15" t="n">
        <f aca="false">$C$2*(1+IF(E$3&lt;=$O$2,$D717,$D717-($D717-$I$697)*MIN(E$3-$O$2,$Q$2)/$Q$2))</f>
        <v>7171.95941925049</v>
      </c>
      <c r="F717" s="15" t="n">
        <f aca="false">E717*(1+IF(F$3&lt;=$O$2,$D717,$D717-($D717-$I$697)*MIN(F$3-$O$2,$Q$2)/$Q$2))</f>
        <v>7609.02395138695</v>
      </c>
      <c r="G717" s="15" t="n">
        <f aca="false">F717*(1+IF(G$3&lt;=$O$2,$D717,$D717-($D717-$I$697)*MIN(G$3-$O$2,$Q$2)/$Q$2))</f>
        <v>8072.72352062903</v>
      </c>
      <c r="H717" s="15" t="n">
        <f aca="false">G717*(1+IF(H$3&lt;=$O$2,$D717,$D717-($D717-$I$697)*MIN(H$3-$O$2,$Q$2)/$Q$2))</f>
        <v>8564.68128591425</v>
      </c>
      <c r="I717" s="15" t="n">
        <f aca="false">H717*(1+IF(I$3&lt;=$O$2,$D717,$D717-($D717-$I$697)*MIN(I$3-$O$2,$Q$2)/$Q$2))</f>
        <v>9086.61932269099</v>
      </c>
      <c r="J717" s="15" t="n">
        <f aca="false">I717*(1+IF(J$3&lt;=$O$2,$D717,$D717-($D717-$I$697)*MIN(J$3-$O$2,$Q$2)/$Q$2))</f>
        <v>9599.21908932127</v>
      </c>
      <c r="K717" s="15" t="n">
        <f aca="false">J717*(1+IF(K$3&lt;=$O$2,$D717,$D717-($D717-$I$697)*MIN(K$3-$O$2,$Q$2)/$Q$2))</f>
        <v>10097.2692489615</v>
      </c>
      <c r="L717" s="15" t="n">
        <f aca="false">K717*(1+IF(L$3&lt;=$O$2,$D717,$D717-($D717-$I$697)*MIN(L$3-$O$2,$Q$2)/$Q$2))</f>
        <v>10575.4385303747</v>
      </c>
      <c r="M717" s="15" t="n">
        <f aca="false">L717*(1+IF(M$3&lt;=$O$2,$D717,$D717-($D717-$I$697)*MIN(M$3-$O$2,$Q$2)/$Q$2))</f>
        <v>11028.3649821908</v>
      </c>
      <c r="N717" s="15" t="n">
        <f aca="false">M717*(1+IF(N$3&lt;=$O$2,$D717,$D717-($D717-$I$697)*MIN(N$3-$O$2,$Q$2)/$Q$2))</f>
        <v>11450.7513610087</v>
      </c>
      <c r="O717" s="15" t="n">
        <f aca="false">SUMPRODUCT(E717:N717,1/(1+$F$697)^$E$3:$N$3)*$E$2</f>
        <v>36358.1324713514</v>
      </c>
      <c r="P717" s="15" t="n">
        <f aca="false">N717*$E$2*(1+$I$697)/($F$697-$I$697)/(1+$F$697)^$N$3</f>
        <v>65201.4240323443</v>
      </c>
      <c r="Q717" s="15" t="n">
        <f aca="false">O717+P717</f>
        <v>101559.556503696</v>
      </c>
      <c r="R717" s="15" t="n">
        <f aca="false">Q717-$G$2+$I$2</f>
        <v>99969.5565036957</v>
      </c>
      <c r="S717" s="42" t="n">
        <f aca="false">R717/$K$2</f>
        <v>278.01756633766</v>
      </c>
      <c r="T717" s="43" t="n">
        <f aca="false">S717-$M$2</f>
        <v>-0.00123337311401883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0.0609407424926758</v>
      </c>
      <c r="C718" s="25" t="n">
        <f aca="false">IF(T717&gt;0,D717,C717)</f>
        <v>0.060943603515625</v>
      </c>
      <c r="D718" s="41" t="n">
        <f aca="false">(B718+C718)/2</f>
        <v>0.0609421730041504</v>
      </c>
      <c r="E718" s="15" t="n">
        <f aca="false">$C$2*(1+IF(E$3&lt;=$O$2,$D718,$D718-($D718-$I$697)*MIN(E$3-$O$2,$Q$2)/$Q$2))</f>
        <v>7171.96908950806</v>
      </c>
      <c r="F718" s="15" t="n">
        <f aca="false">E718*(1+IF(F$3&lt;=$O$2,$D718,$D718-($D718-$I$697)*MIN(F$3-$O$2,$Q$2)/$Q$2))</f>
        <v>7609.04447054128</v>
      </c>
      <c r="G718" s="15" t="n">
        <f aca="false">F718*(1+IF(G$3&lt;=$O$2,$D718,$D718-($D718-$I$697)*MIN(G$3-$O$2,$Q$2)/$Q$2))</f>
        <v>8072.75617506128</v>
      </c>
      <c r="H718" s="15" t="n">
        <f aca="false">G718*(1+IF(H$3&lt;=$O$2,$D718,$D718-($D718-$I$697)*MIN(H$3-$O$2,$Q$2)/$Q$2))</f>
        <v>8564.72747850218</v>
      </c>
      <c r="I718" s="15" t="n">
        <f aca="false">H718*(1+IF(I$3&lt;=$O$2,$D718,$D718-($D718-$I$697)*MIN(I$3-$O$2,$Q$2)/$Q$2))</f>
        <v>9086.68058223047</v>
      </c>
      <c r="J718" s="15" t="n">
        <f aca="false">I718*(1+IF(J$3&lt;=$O$2,$D718,$D718-($D718-$I$697)*MIN(J$3-$O$2,$Q$2)/$Q$2))</f>
        <v>9599.29420355094</v>
      </c>
      <c r="K718" s="15" t="n">
        <f aca="false">J718*(1+IF(K$3&lt;=$O$2,$D718,$D718-($D718-$I$697)*MIN(K$3-$O$2,$Q$2)/$Q$2))</f>
        <v>10097.3564995917</v>
      </c>
      <c r="L718" s="15" t="n">
        <f aca="false">K718*(1+IF(L$3&lt;=$O$2,$D718,$D718-($D718-$I$697)*MIN(L$3-$O$2,$Q$2)/$Q$2))</f>
        <v>10575.5356906254</v>
      </c>
      <c r="M718" s="15" t="n">
        <f aca="false">L718*(1+IF(M$3&lt;=$O$2,$D718,$D718-($D718-$I$697)*MIN(M$3-$O$2,$Q$2)/$Q$2))</f>
        <v>11028.4693293201</v>
      </c>
      <c r="N718" s="15" t="n">
        <f aca="false">M718*(1+IF(N$3&lt;=$O$2,$D718,$D718-($D718-$I$697)*MIN(N$3-$O$2,$Q$2)/$Q$2))</f>
        <v>11450.859704633</v>
      </c>
      <c r="O718" s="15" t="n">
        <f aca="false">SUMPRODUCT(E718:N718,1/(1+$F$697)^$E$3:$N$3)*$E$2</f>
        <v>36358.3595120293</v>
      </c>
      <c r="P718" s="15" t="n">
        <f aca="false">N718*$E$2*(1+$I$697)/($F$697-$I$697)/(1+$F$697)^$N$3</f>
        <v>65202.0409489439</v>
      </c>
      <c r="Q718" s="15" t="n">
        <f aca="false">O718+P718</f>
        <v>101560.400460973</v>
      </c>
      <c r="R718" s="15" t="n">
        <f aca="false">Q718-$G$2+$I$2</f>
        <v>99970.4004609732</v>
      </c>
      <c r="S718" s="42" t="n">
        <f aca="false">R718/$K$2</f>
        <v>278.019913401672</v>
      </c>
      <c r="T718" s="43" t="n">
        <f aca="false">S718-$M$2</f>
        <v>0.00111369089825075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0.0609407424926758</v>
      </c>
      <c r="C719" s="25" t="n">
        <f aca="false">IF(T718&gt;0,D718,C718)</f>
        <v>0.0609421730041504</v>
      </c>
      <c r="D719" s="41" t="n">
        <f aca="false">(B719+C719)/2</f>
        <v>0.0609414577484131</v>
      </c>
      <c r="E719" s="15" t="n">
        <f aca="false">$C$2*(1+IF(E$3&lt;=$O$2,$D719,$D719-($D719-$I$697)*MIN(E$3-$O$2,$Q$2)/$Q$2))</f>
        <v>7171.96425437927</v>
      </c>
      <c r="F719" s="15" t="n">
        <f aca="false">E719*(1+IF(F$3&lt;=$O$2,$D719,$D719-($D719-$I$697)*MIN(F$3-$O$2,$Q$2)/$Q$2))</f>
        <v>7609.03421096066</v>
      </c>
      <c r="G719" s="15" t="n">
        <f aca="false">F719*(1+IF(G$3&lt;=$O$2,$D719,$D719-($D719-$I$697)*MIN(G$3-$O$2,$Q$2)/$Q$2))</f>
        <v>8072.73984783414</v>
      </c>
      <c r="H719" s="15" t="n">
        <f aca="false">G719*(1+IF(H$3&lt;=$O$2,$D719,$D719-($D719-$I$697)*MIN(H$3-$O$2,$Q$2)/$Q$2))</f>
        <v>8564.70438218486</v>
      </c>
      <c r="I719" s="15" t="n">
        <f aca="false">H719*(1+IF(I$3&lt;=$O$2,$D719,$D719-($D719-$I$697)*MIN(I$3-$O$2,$Q$2)/$Q$2))</f>
        <v>9086.64995241943</v>
      </c>
      <c r="J719" s="15" t="n">
        <f aca="false">I719*(1+IF(J$3&lt;=$O$2,$D719,$D719-($D719-$I$697)*MIN(J$3-$O$2,$Q$2)/$Q$2))</f>
        <v>9599.25664637495</v>
      </c>
      <c r="K719" s="15" t="n">
        <f aca="false">J719*(1+IF(K$3&lt;=$O$2,$D719,$D719-($D719-$I$697)*MIN(K$3-$O$2,$Q$2)/$Q$2))</f>
        <v>10097.3128741962</v>
      </c>
      <c r="L719" s="15" t="n">
        <f aca="false">K719*(1+IF(L$3&lt;=$O$2,$D719,$D719-($D719-$I$697)*MIN(L$3-$O$2,$Q$2)/$Q$2))</f>
        <v>10575.4871104033</v>
      </c>
      <c r="M719" s="15" t="n">
        <f aca="false">L719*(1+IF(M$3&lt;=$O$2,$D719,$D719-($D719-$I$697)*MIN(M$3-$O$2,$Q$2)/$Q$2))</f>
        <v>11028.4171556476</v>
      </c>
      <c r="N719" s="15" t="n">
        <f aca="false">M719*(1+IF(N$3&lt;=$O$2,$D719,$D719-($D719-$I$697)*MIN(N$3-$O$2,$Q$2)/$Q$2))</f>
        <v>11450.8055327089</v>
      </c>
      <c r="O719" s="15" t="n">
        <f aca="false">SUMPRODUCT(E719:N719,1/(1+$F$697)^$E$3:$N$3)*$E$2</f>
        <v>36358.2459915124</v>
      </c>
      <c r="P719" s="15" t="n">
        <f aca="false">N719*$E$2*(1+$I$697)/($F$697-$I$697)/(1+$F$697)^$N$3</f>
        <v>65201.7324900066</v>
      </c>
      <c r="Q719" s="15" t="n">
        <f aca="false">O719+P719</f>
        <v>101559.978481519</v>
      </c>
      <c r="R719" s="15" t="n">
        <f aca="false">Q719-$G$2+$I$2</f>
        <v>99969.978481519</v>
      </c>
      <c r="S719" s="42" t="n">
        <f aca="false">R719/$K$2</f>
        <v>278.018739867398</v>
      </c>
      <c r="T719" s="43" t="n">
        <f aca="false">S719-$M$2</f>
        <v>-5.98433757659222E-005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0.0609414577484131</v>
      </c>
      <c r="C720" s="25" t="n">
        <f aca="false">IF(T719&gt;0,D719,C719)</f>
        <v>0.0609421730041504</v>
      </c>
      <c r="D720" s="41" t="n">
        <f aca="false">(B720+C720)/2</f>
        <v>0.0609418153762817</v>
      </c>
      <c r="E720" s="15" t="n">
        <f aca="false">$C$2*(1+IF(E$3&lt;=$O$2,$D720,$D720-($D720-$I$697)*MIN(E$3-$O$2,$Q$2)/$Q$2))</f>
        <v>7171.96667194367</v>
      </c>
      <c r="F720" s="15" t="n">
        <f aca="false">E720*(1+IF(F$3&lt;=$O$2,$D720,$D720-($D720-$I$697)*MIN(F$3-$O$2,$Q$2)/$Q$2))</f>
        <v>7609.0393407501</v>
      </c>
      <c r="G720" s="15" t="n">
        <f aca="false">F720*(1+IF(G$3&lt;=$O$2,$D720,$D720-($D720-$I$697)*MIN(G$3-$O$2,$Q$2)/$Q$2))</f>
        <v>8072.74801144496</v>
      </c>
      <c r="H720" s="15" t="n">
        <f aca="false">G720*(1+IF(H$3&lt;=$O$2,$D720,$D720-($D720-$I$697)*MIN(H$3-$O$2,$Q$2)/$Q$2))</f>
        <v>8564.71593033768</v>
      </c>
      <c r="I720" s="15" t="n">
        <f aca="false">H720*(1+IF(I$3&lt;=$O$2,$D720,$D720-($D720-$I$697)*MIN(I$3-$O$2,$Q$2)/$Q$2))</f>
        <v>9086.66526731462</v>
      </c>
      <c r="J720" s="15" t="n">
        <f aca="false">I720*(1+IF(J$3&lt;=$O$2,$D720,$D720-($D720-$I$697)*MIN(J$3-$O$2,$Q$2)/$Q$2))</f>
        <v>9599.27542494766</v>
      </c>
      <c r="K720" s="15" t="n">
        <f aca="false">J720*(1+IF(K$3&lt;=$O$2,$D720,$D720-($D720-$I$697)*MIN(K$3-$O$2,$Q$2)/$Q$2))</f>
        <v>10097.3346868738</v>
      </c>
      <c r="L720" s="15" t="n">
        <f aca="false">K720*(1+IF(L$3&lt;=$O$2,$D720,$D720-($D720-$I$697)*MIN(L$3-$O$2,$Q$2)/$Q$2))</f>
        <v>10575.5114004902</v>
      </c>
      <c r="M720" s="15" t="n">
        <f aca="false">L720*(1+IF(M$3&lt;=$O$2,$D720,$D720-($D720-$I$697)*MIN(M$3-$O$2,$Q$2)/$Q$2))</f>
        <v>11028.4432424569</v>
      </c>
      <c r="N720" s="15" t="n">
        <f aca="false">M720*(1+IF(N$3&lt;=$O$2,$D720,$D720-($D720-$I$697)*MIN(N$3-$O$2,$Q$2)/$Q$2))</f>
        <v>11450.832618643</v>
      </c>
      <c r="O720" s="15" t="n">
        <f aca="false">SUMPRODUCT(E720:N720,1/(1+$F$697)^$E$3:$N$3)*$E$2</f>
        <v>36358.3027517264</v>
      </c>
      <c r="P720" s="15" t="n">
        <f aca="false">N720*$E$2*(1+$I$697)/($F$697-$I$697)/(1+$F$697)^$N$3</f>
        <v>65201.8867193159</v>
      </c>
      <c r="Q720" s="15" t="n">
        <f aca="false">O720+P720</f>
        <v>101560.189471042</v>
      </c>
      <c r="R720" s="15" t="n">
        <f aca="false">Q720-$G$2+$I$2</f>
        <v>99970.1894710422</v>
      </c>
      <c r="S720" s="42" t="n">
        <f aca="false">R720/$K$2</f>
        <v>278.019326633968</v>
      </c>
      <c r="T720" s="43" t="n">
        <f aca="false">S720-$M$2</f>
        <v>0.000526923194342999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0.0609414577484131</v>
      </c>
      <c r="C721" s="25" t="n">
        <f aca="false">IF(T720&gt;0,D720,C720)</f>
        <v>0.0609418153762817</v>
      </c>
      <c r="D721" s="41" t="n">
        <f aca="false">(B721+C721)/2</f>
        <v>0.0609416365623474</v>
      </c>
      <c r="E721" s="15" t="n">
        <f aca="false">$C$2*(1+IF(E$3&lt;=$O$2,$D721,$D721-($D721-$I$697)*MIN(E$3-$O$2,$Q$2)/$Q$2))</f>
        <v>7171.96546316147</v>
      </c>
      <c r="F721" s="15" t="n">
        <f aca="false">E721*(1+IF(F$3&lt;=$O$2,$D721,$D721-($D721-$I$697)*MIN(F$3-$O$2,$Q$2)/$Q$2))</f>
        <v>7609.03677585516</v>
      </c>
      <c r="G721" s="15" t="n">
        <f aca="false">F721*(1+IF(G$3&lt;=$O$2,$D721,$D721-($D721-$I$697)*MIN(G$3-$O$2,$Q$2)/$Q$2))</f>
        <v>8072.74392963886</v>
      </c>
      <c r="H721" s="15" t="n">
        <f aca="false">G721*(1+IF(H$3&lt;=$O$2,$D721,$D721-($D721-$I$697)*MIN(H$3-$O$2,$Q$2)/$Q$2))</f>
        <v>8564.71015625981</v>
      </c>
      <c r="I721" s="15" t="n">
        <f aca="false">H721*(1+IF(I$3&lt;=$O$2,$D721,$D721-($D721-$I$697)*MIN(I$3-$O$2,$Q$2)/$Q$2))</f>
        <v>9086.65760986444</v>
      </c>
      <c r="J721" s="15" t="n">
        <f aca="false">I721*(1+IF(J$3&lt;=$O$2,$D721,$D721-($D721-$I$697)*MIN(J$3-$O$2,$Q$2)/$Q$2))</f>
        <v>9599.26603565748</v>
      </c>
      <c r="K721" s="15" t="n">
        <f aca="false">J721*(1+IF(K$3&lt;=$O$2,$D721,$D721-($D721-$I$697)*MIN(K$3-$O$2,$Q$2)/$Q$2))</f>
        <v>10097.3237805299</v>
      </c>
      <c r="L721" s="15" t="n">
        <f aca="false">K721*(1+IF(L$3&lt;=$O$2,$D721,$D721-($D721-$I$697)*MIN(L$3-$O$2,$Q$2)/$Q$2))</f>
        <v>10575.4992554407</v>
      </c>
      <c r="M721" s="15" t="n">
        <f aca="false">L721*(1+IF(M$3&lt;=$O$2,$D721,$D721-($D721-$I$697)*MIN(M$3-$O$2,$Q$2)/$Q$2))</f>
        <v>11028.4301990455</v>
      </c>
      <c r="N721" s="15" t="n">
        <f aca="false">M721*(1+IF(N$3&lt;=$O$2,$D721,$D721-($D721-$I$697)*MIN(N$3-$O$2,$Q$2)/$Q$2))</f>
        <v>11450.8190756689</v>
      </c>
      <c r="O721" s="15" t="n">
        <f aca="false">SUMPRODUCT(E721:N721,1/(1+$F$697)^$E$3:$N$3)*$E$2</f>
        <v>36358.2743716083</v>
      </c>
      <c r="P721" s="15" t="n">
        <f aca="false">N721*$E$2*(1+$I$697)/($F$697-$I$697)/(1+$F$697)^$N$3</f>
        <v>65201.8096046214</v>
      </c>
      <c r="Q721" s="15" t="n">
        <f aca="false">O721+P721</f>
        <v>101560.08397623</v>
      </c>
      <c r="R721" s="15" t="n">
        <f aca="false">Q721-$G$2+$I$2</f>
        <v>99970.0839762296</v>
      </c>
      <c r="S721" s="42" t="n">
        <f aca="false">R721/$K$2</f>
        <v>278.019033250541</v>
      </c>
      <c r="T721" s="43" t="n">
        <f aca="false">S721-$M$2</f>
        <v>0.000233539767577895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0.0609414577484131</v>
      </c>
      <c r="C722" s="25" t="n">
        <f aca="false">IF(T721&gt;0,D721,C721)</f>
        <v>0.0609416365623474</v>
      </c>
      <c r="D722" s="41" t="n">
        <f aca="false">(B722+C722)/2</f>
        <v>0.0609415471553803</v>
      </c>
      <c r="E722" s="15" t="n">
        <f aca="false">$C$2*(1+IF(E$3&lt;=$O$2,$D722,$D722-($D722-$I$697)*MIN(E$3-$O$2,$Q$2)/$Q$2))</f>
        <v>7171.96485877037</v>
      </c>
      <c r="F722" s="15" t="n">
        <f aca="false">E722*(1+IF(F$3&lt;=$O$2,$D722,$D722-($D722-$I$697)*MIN(F$3-$O$2,$Q$2)/$Q$2))</f>
        <v>7609.03549340786</v>
      </c>
      <c r="G722" s="15" t="n">
        <f aca="false">F722*(1+IF(G$3&lt;=$O$2,$D722,$D722-($D722-$I$697)*MIN(G$3-$O$2,$Q$2)/$Q$2))</f>
        <v>8072.74188873633</v>
      </c>
      <c r="H722" s="15" t="n">
        <f aca="false">G722*(1+IF(H$3&lt;=$O$2,$D722,$D722-($D722-$I$697)*MIN(H$3-$O$2,$Q$2)/$Q$2))</f>
        <v>8564.70726922197</v>
      </c>
      <c r="I722" s="15" t="n">
        <f aca="false">H722*(1+IF(I$3&lt;=$O$2,$D722,$D722-($D722-$I$697)*MIN(I$3-$O$2,$Q$2)/$Q$2))</f>
        <v>9086.65378114129</v>
      </c>
      <c r="J722" s="15" t="n">
        <f aca="false">I722*(1+IF(J$3&lt;=$O$2,$D722,$D722-($D722-$I$697)*MIN(J$3-$O$2,$Q$2)/$Q$2))</f>
        <v>9599.26134101526</v>
      </c>
      <c r="K722" s="15" t="n">
        <f aca="false">J722*(1+IF(K$3&lt;=$O$2,$D722,$D722-($D722-$I$697)*MIN(K$3-$O$2,$Q$2)/$Q$2))</f>
        <v>10097.3183273618</v>
      </c>
      <c r="L722" s="15" t="n">
        <f aca="false">K722*(1+IF(L$3&lt;=$O$2,$D722,$D722-($D722-$I$697)*MIN(L$3-$O$2,$Q$2)/$Q$2))</f>
        <v>10575.4931829205</v>
      </c>
      <c r="M722" s="15" t="n">
        <f aca="false">L722*(1+IF(M$3&lt;=$O$2,$D722,$D722-($D722-$I$697)*MIN(M$3-$O$2,$Q$2)/$Q$2))</f>
        <v>11028.4236773448</v>
      </c>
      <c r="N722" s="15" t="n">
        <f aca="false">M722*(1+IF(N$3&lt;=$O$2,$D722,$D722-($D722-$I$697)*MIN(N$3-$O$2,$Q$2)/$Q$2))</f>
        <v>11450.8123041872</v>
      </c>
      <c r="O722" s="15" t="n">
        <f aca="false">SUMPRODUCT(E722:N722,1/(1+$F$697)^$E$3:$N$3)*$E$2</f>
        <v>36358.2601815576</v>
      </c>
      <c r="P722" s="15" t="n">
        <f aca="false">N722*$E$2*(1+$I$697)/($F$697-$I$697)/(1+$F$697)^$N$3</f>
        <v>65201.771047304</v>
      </c>
      <c r="Q722" s="15" t="n">
        <f aca="false">O722+P722</f>
        <v>101560.031228862</v>
      </c>
      <c r="R722" s="15" t="n">
        <f aca="false">Q722-$G$2+$I$2</f>
        <v>99970.0312288616</v>
      </c>
      <c r="S722" s="42" t="n">
        <f aca="false">R722/$K$2</f>
        <v>278.018886558934</v>
      </c>
      <c r="T722" s="43" t="n">
        <f aca="false">S722-$M$2</f>
        <v>8.68481606062233E-005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212</v>
      </c>
    </row>
    <row r="3" customFormat="false" ht="15" hidden="false" customHeight="false" outlineLevel="0" collapsed="false">
      <c r="B3" s="2" t="s">
        <v>213</v>
      </c>
    </row>
    <row r="5" customFormat="false" ht="15" hidden="false" customHeight="false" outlineLevel="0" collapsed="false">
      <c r="B5" s="3" t="s">
        <v>214</v>
      </c>
    </row>
    <row r="6" customFormat="false" ht="15" hidden="false" customHeight="false" outlineLevel="0" collapsed="false">
      <c r="B6" s="28" t="s">
        <v>163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215</v>
      </c>
      <c r="C7" s="23" t="n">
        <f aca="false">IF(C$6&lt;=Inputs!$C$46,Solver!$W$7,Solver!$W$7-(Solver!$W$7-Inputs!$C$37)*MIN(C$6-Inputs!$C$46,Inputs!$C$47)/Inputs!$C$47)</f>
        <v>0.0524038638045568</v>
      </c>
      <c r="D7" s="23" t="n">
        <f aca="false">IF(D$6&lt;=Inputs!$C$46,Solver!$W$7,Solver!$W$7-(Solver!$W$7-Inputs!$C$37)*MIN(D$6-Inputs!$C$46,Inputs!$C$47)/Inputs!$C$47)</f>
        <v>0.0524038638045568</v>
      </c>
      <c r="E7" s="23" t="n">
        <f aca="false">IF(E$6&lt;=Inputs!$C$46,Solver!$W$7,Solver!$W$7-(Solver!$W$7-Inputs!$C$37)*MIN(E$6-Inputs!$C$46,Inputs!$C$47)/Inputs!$C$47)</f>
        <v>0.0524038638045568</v>
      </c>
      <c r="F7" s="23" t="n">
        <f aca="false">IF(F$6&lt;=Inputs!$C$46,Solver!$W$7,Solver!$W$7-(Solver!$W$7-Inputs!$C$37)*MIN(F$6-Inputs!$C$46,Inputs!$C$47)/Inputs!$C$47)</f>
        <v>0.0524038638045568</v>
      </c>
      <c r="G7" s="23" t="n">
        <f aca="false">IF(G$6&lt;=Inputs!$C$46,Solver!$W$7,Solver!$W$7-(Solver!$W$7-Inputs!$C$37)*MIN(G$6-Inputs!$C$46,Inputs!$C$47)/Inputs!$C$47)</f>
        <v>0.0524038638045568</v>
      </c>
      <c r="H7" s="23" t="n">
        <f aca="false">IF(H$6&lt;=Inputs!$C$46,Solver!$W$7,Solver!$W$7-(Solver!$W$7-Inputs!$C$37)*MIN(H$6-Inputs!$C$46,Inputs!$C$47)/Inputs!$C$47)</f>
        <v>0.0475830910436454</v>
      </c>
      <c r="I7" s="23" t="n">
        <f aca="false">IF(I$6&lt;=Inputs!$C$46,Solver!$W$7,Solver!$W$7-(Solver!$W$7-Inputs!$C$37)*MIN(I$6-Inputs!$C$46,Inputs!$C$47)/Inputs!$C$47)</f>
        <v>0.0427623182827341</v>
      </c>
      <c r="J7" s="23" t="n">
        <f aca="false">IF(J$6&lt;=Inputs!$C$46,Solver!$W$7,Solver!$W$7-(Solver!$W$7-Inputs!$C$37)*MIN(J$6-Inputs!$C$46,Inputs!$C$47)/Inputs!$C$47)</f>
        <v>0.0379415455218227</v>
      </c>
      <c r="K7" s="23" t="n">
        <f aca="false">IF(K$6&lt;=Inputs!$C$46,Solver!$W$7,Solver!$W$7-(Solver!$W$7-Inputs!$C$37)*MIN(K$6-Inputs!$C$46,Inputs!$C$47)/Inputs!$C$47)</f>
        <v>0.0331207727609114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105</v>
      </c>
      <c r="C8" s="15" t="n">
        <f aca="false">Inputs!$C$12*(1+C7)</f>
        <v>7114.2501193188</v>
      </c>
      <c r="D8" s="15" t="n">
        <f aca="false">C8*(1+D7)</f>
        <v>7487.06431364314</v>
      </c>
      <c r="E8" s="15" t="n">
        <f aca="false">D8*(1+E7)</f>
        <v>7879.41541223125</v>
      </c>
      <c r="F8" s="15" t="n">
        <f aca="false">E8*(1+F7)</f>
        <v>8292.32722435334</v>
      </c>
      <c r="G8" s="15" t="n">
        <f aca="false">F8*(1+G7)</f>
        <v>8726.87721084117</v>
      </c>
      <c r="H8" s="15" t="n">
        <f aca="false">G8*(1+H7)</f>
        <v>9142.12900369134</v>
      </c>
      <c r="I8" s="15" t="n">
        <f aca="false">H8*(1+I7)</f>
        <v>9533.06763392901</v>
      </c>
      <c r="J8" s="15" t="n">
        <f aca="false">I8*(1+J7)</f>
        <v>9894.76695352434</v>
      </c>
      <c r="K8" s="15" t="n">
        <f aca="false">J8*(1+K7)</f>
        <v>10222.4892813142</v>
      </c>
      <c r="L8" s="15" t="n">
        <f aca="false">K8*(1+L7)</f>
        <v>10511.7857279754</v>
      </c>
    </row>
    <row r="9" customFormat="false" ht="15" hidden="false" customHeight="false" outlineLevel="0" collapsed="false">
      <c r="B9" s="5" t="s">
        <v>60</v>
      </c>
      <c r="C9" s="15" t="n">
        <f aca="false">C8*Inputs!$C$23</f>
        <v>4430.62026661718</v>
      </c>
      <c r="D9" s="15" t="n">
        <f aca="false">D8*Inputs!$C$23</f>
        <v>4662.8018876387</v>
      </c>
      <c r="E9" s="15" t="n">
        <f aca="false">E8*Inputs!$C$23</f>
        <v>4907.15072270615</v>
      </c>
      <c r="F9" s="15" t="n">
        <f aca="false">F8*Inputs!$C$23</f>
        <v>5164.30438084727</v>
      </c>
      <c r="G9" s="15" t="n">
        <f aca="false">G8*Inputs!$C$23</f>
        <v>5434.93388426647</v>
      </c>
      <c r="H9" s="15" t="n">
        <f aca="false">H8*Inputs!$C$23</f>
        <v>5693.54483809772</v>
      </c>
      <c r="I9" s="15" t="n">
        <f aca="false">I8*Inputs!$C$23</f>
        <v>5937.01401462147</v>
      </c>
      <c r="J9" s="15" t="n">
        <f aca="false">J8*Inputs!$C$23</f>
        <v>6162.27350212093</v>
      </c>
      <c r="K9" s="15" t="n">
        <f aca="false">K8*Inputs!$C$23</f>
        <v>6366.37276247526</v>
      </c>
      <c r="L9" s="15" t="n">
        <f aca="false">L8*Inputs!$C$23</f>
        <v>6546.54111165331</v>
      </c>
    </row>
    <row r="10" customFormat="false" ht="15" hidden="false" customHeight="false" outlineLevel="0" collapsed="false">
      <c r="B10" s="5" t="s">
        <v>216</v>
      </c>
      <c r="C10" s="45" t="n">
        <f aca="false">1/(1+WACC!$C$37)^C$6</f>
        <v>0.928142912780408</v>
      </c>
      <c r="D10" s="45" t="n">
        <f aca="false">1/(1+WACC!$C$37)^D$6</f>
        <v>0.861449266544501</v>
      </c>
      <c r="E10" s="45" t="n">
        <f aca="false">1/(1+WACC!$C$37)^E$6</f>
        <v>0.799548031463159</v>
      </c>
      <c r="F10" s="45" t="n">
        <f aca="false">1/(1+WACC!$C$37)^F$6</f>
        <v>0.742094838830058</v>
      </c>
      <c r="G10" s="45" t="n">
        <f aca="false">1/(1+WACC!$C$37)^G$6</f>
        <v>0.688770065271038</v>
      </c>
      <c r="H10" s="45" t="n">
        <f aca="false">1/(1+WACC!$C$37)^H$6</f>
        <v>0.639277054616613</v>
      </c>
      <c r="I10" s="45" t="n">
        <f aca="false">1/(1+WACC!$C$37)^I$6</f>
        <v>0.593340467545543</v>
      </c>
      <c r="J10" s="45" t="n">
        <f aca="false">1/(1+WACC!$C$37)^J$6</f>
        <v>0.55070474981821</v>
      </c>
      <c r="K10" s="45" t="n">
        <f aca="false">1/(1+WACC!$C$37)^K$6</f>
        <v>0.51113271057828</v>
      </c>
      <c r="L10" s="45" t="n">
        <f aca="false">1/(1+WACC!$C$37)^L$6</f>
        <v>0.47440420281347</v>
      </c>
    </row>
    <row r="11" customFormat="false" ht="15" hidden="false" customHeight="false" outlineLevel="0" collapsed="false">
      <c r="B11" s="5" t="s">
        <v>217</v>
      </c>
      <c r="C11" s="15" t="n">
        <f aca="false">C9*C10</f>
        <v>4112.24879968198</v>
      </c>
      <c r="D11" s="15" t="n">
        <f aca="false">D9*D10</f>
        <v>4016.76726614867</v>
      </c>
      <c r="E11" s="15" t="n">
        <f aca="false">E9*E10</f>
        <v>3923.50270043272</v>
      </c>
      <c r="F11" s="15" t="n">
        <f aca="false">F9*F10</f>
        <v>3832.40362717422</v>
      </c>
      <c r="G11" s="15" t="n">
        <f aca="false">G9*G10</f>
        <v>3743.41976620999</v>
      </c>
      <c r="H11" s="15" t="n">
        <f aca="false">H9*H10</f>
        <v>3639.75257442673</v>
      </c>
      <c r="I11" s="15" t="n">
        <f aca="false">I9*I10</f>
        <v>3522.67067125995</v>
      </c>
      <c r="J11" s="15" t="n">
        <f aca="false">J9*J10</f>
        <v>3393.59328729689</v>
      </c>
      <c r="K11" s="15" t="n">
        <f aca="false">K9*K10</f>
        <v>3254.06136663571</v>
      </c>
      <c r="L11" s="15" t="n">
        <f aca="false">L9*L10</f>
        <v>3105.70661725949</v>
      </c>
    </row>
    <row r="13" customFormat="false" ht="15" hidden="false" customHeight="false" outlineLevel="0" collapsed="false">
      <c r="B13" s="5" t="s">
        <v>218</v>
      </c>
      <c r="C13" s="15" t="n">
        <f aca="false">SUM(C11:L11)</f>
        <v>36544.1266765264</v>
      </c>
    </row>
    <row r="14" customFormat="false" ht="15" hidden="false" customHeight="false" outlineLevel="0" collapsed="false">
      <c r="B14" s="5" t="s">
        <v>219</v>
      </c>
      <c r="C14" s="15" t="n">
        <f aca="false">L9*(1+Inputs!$C$37)/(WACC!$C$37-Inputs!$C$37)</f>
        <v>137047.422722301</v>
      </c>
    </row>
    <row r="15" customFormat="false" ht="15" hidden="false" customHeight="false" outlineLevel="0" collapsed="false">
      <c r="B15" s="5" t="s">
        <v>220</v>
      </c>
      <c r="C15" s="15" t="n">
        <f aca="false">C14*L10</f>
        <v>65015.8733242137</v>
      </c>
    </row>
    <row r="16" customFormat="false" ht="15" hidden="false" customHeight="false" outlineLevel="0" collapsed="false">
      <c r="B16" s="7" t="s">
        <v>221</v>
      </c>
      <c r="C16" s="15" t="n">
        <f aca="false">C13+C15</f>
        <v>101560.00000074</v>
      </c>
    </row>
    <row r="17" customFormat="false" ht="15" hidden="false" customHeight="false" outlineLevel="0" collapsed="false">
      <c r="B17" s="5" t="s">
        <v>222</v>
      </c>
      <c r="C17" s="16" t="n">
        <f aca="false">-Inputs!$C$27</f>
        <v>-3870</v>
      </c>
    </row>
    <row r="18" customFormat="false" ht="15" hidden="false" customHeight="false" outlineLevel="0" collapsed="false">
      <c r="B18" s="5" t="s">
        <v>223</v>
      </c>
      <c r="C18" s="16" t="n">
        <f aca="false">Inputs!$C$28</f>
        <v>2280</v>
      </c>
    </row>
    <row r="19" customFormat="false" ht="15" hidden="false" customHeight="false" outlineLevel="0" collapsed="false">
      <c r="B19" s="5" t="s">
        <v>224</v>
      </c>
      <c r="C19" s="15" t="n">
        <f aca="false">SUM(C16:C18)</f>
        <v>99970.0000007401</v>
      </c>
    </row>
    <row r="20" customFormat="false" ht="15" hidden="false" customHeight="false" outlineLevel="0" collapsed="false">
      <c r="B20" s="5" t="s">
        <v>225</v>
      </c>
      <c r="C20" s="36" t="n">
        <f aca="false">Inputs!$C$7</f>
        <v>359.58</v>
      </c>
    </row>
    <row r="21" customFormat="false" ht="15" hidden="false" customHeight="false" outlineLevel="0" collapsed="false">
      <c r="B21" s="7" t="s">
        <v>226</v>
      </c>
      <c r="C21" s="46" t="n">
        <f aca="false">C19/C20</f>
        <v>278.018799712832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278.018799710774</v>
      </c>
    </row>
    <row r="23" customFormat="false" ht="15" hidden="false" customHeight="false" outlineLevel="0" collapsed="false">
      <c r="B23" s="5" t="s">
        <v>227</v>
      </c>
      <c r="C23" s="23" t="n">
        <f aca="false">C21/C22-1</f>
        <v>7.40296712820054E-012</v>
      </c>
    </row>
    <row r="24" customFormat="false" ht="15" hidden="false" customHeight="false" outlineLevel="0" collapsed="false">
      <c r="B24" s="5" t="s">
        <v>228</v>
      </c>
      <c r="C24" s="23" t="n">
        <f aca="false">C15/C16</f>
        <v>0.640172049268806</v>
      </c>
    </row>
    <row r="25" customFormat="false" ht="15" hidden="false" customHeight="false" outlineLevel="0" collapsed="false">
      <c r="B25" s="3" t="s">
        <v>229</v>
      </c>
    </row>
    <row r="26" customFormat="false" ht="15" hidden="false" customHeight="false" outlineLevel="0" collapsed="false">
      <c r="B26" s="28" t="s">
        <v>163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215</v>
      </c>
      <c r="C27" s="23" t="n">
        <f aca="false">IF(C$26&lt;=Inputs!$C$46,Inputs!$C$45,Inputs!$C$45-(Inputs!$C$45-Inputs!$C$37)*MIN(C$26-Inputs!$C$46,Inputs!$C$47)/Inputs!$C$47)</f>
        <v>0.073363338469349</v>
      </c>
      <c r="D27" s="23" t="n">
        <f aca="false">IF(D$26&lt;=Inputs!$C$46,Inputs!$C$45,Inputs!$C$45-(Inputs!$C$45-Inputs!$C$37)*MIN(D$26-Inputs!$C$46,Inputs!$C$47)/Inputs!$C$47)</f>
        <v>0.073363338469349</v>
      </c>
      <c r="E27" s="23" t="n">
        <f aca="false">IF(E$26&lt;=Inputs!$C$46,Inputs!$C$45,Inputs!$C$45-(Inputs!$C$45-Inputs!$C$37)*MIN(E$26-Inputs!$C$46,Inputs!$C$47)/Inputs!$C$47)</f>
        <v>0.073363338469349</v>
      </c>
      <c r="F27" s="23" t="n">
        <f aca="false">IF(F$26&lt;=Inputs!$C$46,Inputs!$C$45,Inputs!$C$45-(Inputs!$C$45-Inputs!$C$37)*MIN(F$26-Inputs!$C$46,Inputs!$C$47)/Inputs!$C$47)</f>
        <v>0.073363338469349</v>
      </c>
      <c r="G27" s="23" t="n">
        <f aca="false">IF(G$26&lt;=Inputs!$C$46,Inputs!$C$45,Inputs!$C$45-(Inputs!$C$45-Inputs!$C$37)*MIN(G$26-Inputs!$C$46,Inputs!$C$47)/Inputs!$C$47)</f>
        <v>0.073363338469349</v>
      </c>
      <c r="H27" s="23" t="n">
        <f aca="false">IF(H$26&lt;=Inputs!$C$46,Inputs!$C$45,Inputs!$C$45-(Inputs!$C$45-Inputs!$C$37)*MIN(H$26-Inputs!$C$46,Inputs!$C$47)/Inputs!$C$47)</f>
        <v>0.0643506707754792</v>
      </c>
      <c r="I27" s="23" t="n">
        <f aca="false">IF(I$26&lt;=Inputs!$C$46,Inputs!$C$45,Inputs!$C$45-(Inputs!$C$45-Inputs!$C$37)*MIN(I$26-Inputs!$C$46,Inputs!$C$47)/Inputs!$C$47)</f>
        <v>0.0553380030816094</v>
      </c>
      <c r="J27" s="23" t="n">
        <f aca="false">IF(J$26&lt;=Inputs!$C$46,Inputs!$C$45,Inputs!$C$45-(Inputs!$C$45-Inputs!$C$37)*MIN(J$26-Inputs!$C$46,Inputs!$C$47)/Inputs!$C$47)</f>
        <v>0.0463253353877396</v>
      </c>
      <c r="K27" s="23" t="n">
        <f aca="false">IF(K$26&lt;=Inputs!$C$46,Inputs!$C$45,Inputs!$C$45-(Inputs!$C$45-Inputs!$C$37)*MIN(K$26-Inputs!$C$46,Inputs!$C$47)/Inputs!$C$47)</f>
        <v>0.0373126676938698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105</v>
      </c>
      <c r="C28" s="15" t="n">
        <f aca="false">Inputs!$C$12*(1+C27)</f>
        <v>7255.9361680528</v>
      </c>
      <c r="D28" s="15" t="n">
        <f aca="false">C28*(1+D27)</f>
        <v>7788.25586906165</v>
      </c>
      <c r="E28" s="15" t="n">
        <f aca="false">D28*(1+E27)</f>
        <v>8359.62832046951</v>
      </c>
      <c r="F28" s="15" t="n">
        <f aca="false">E28*(1+F27)</f>
        <v>8972.91856242208</v>
      </c>
      <c r="G28" s="15" t="n">
        <f aca="false">F28*(1+G27)</f>
        <v>9631.20182397495</v>
      </c>
      <c r="H28" s="15" t="n">
        <f aca="false">G28*(1+H27)</f>
        <v>10250.9761217218</v>
      </c>
      <c r="I28" s="15" t="n">
        <f aca="false">H28*(1+I27)</f>
        <v>10818.2446699351</v>
      </c>
      <c r="J28" s="15" t="n">
        <f aca="false">I28*(1+J27)</f>
        <v>11319.4034825765</v>
      </c>
      <c r="K28" s="15" t="n">
        <f aca="false">J28*(1+K27)</f>
        <v>11741.7606232147</v>
      </c>
      <c r="L28" s="15" t="n">
        <f aca="false">K28*(1+L27)</f>
        <v>12074.0524488517</v>
      </c>
    </row>
    <row r="29" customFormat="false" ht="15" hidden="false" customHeight="false" outlineLevel="0" collapsed="false">
      <c r="B29" s="5" t="s">
        <v>60</v>
      </c>
      <c r="C29" s="15" t="n">
        <f aca="false">C28*Inputs!$C$23</f>
        <v>4518.85965495596</v>
      </c>
      <c r="D29" s="15" t="n">
        <f aca="false">D28*Inputs!$C$23</f>
        <v>4850.37828531798</v>
      </c>
      <c r="E29" s="15" t="n">
        <f aca="false">E28*Inputs!$C$23</f>
        <v>5206.21822916814</v>
      </c>
      <c r="F29" s="15" t="n">
        <f aca="false">F28*Inputs!$C$23</f>
        <v>5588.1637792599</v>
      </c>
      <c r="G29" s="15" t="n">
        <f aca="false">G28*Inputs!$C$23</f>
        <v>5998.1301300199</v>
      </c>
      <c r="H29" s="15" t="n">
        <f aca="false">H28*Inputs!$C$23</f>
        <v>6384.1138272853</v>
      </c>
      <c r="I29" s="15" t="n">
        <f aca="false">I28*Inputs!$C$23</f>
        <v>6737.39793793296</v>
      </c>
      <c r="J29" s="15" t="n">
        <f aca="false">J28*Inputs!$C$23</f>
        <v>7049.51015704836</v>
      </c>
      <c r="K29" s="15" t="n">
        <f aca="false">K28*Inputs!$C$23</f>
        <v>7312.54618694287</v>
      </c>
      <c r="L29" s="15" t="n">
        <f aca="false">L28*Inputs!$C$23</f>
        <v>7519.49124403335</v>
      </c>
    </row>
    <row r="30" customFormat="false" ht="15" hidden="false" customHeight="false" outlineLevel="0" collapsed="false">
      <c r="B30" s="5" t="s">
        <v>216</v>
      </c>
      <c r="C30" s="45" t="n">
        <f aca="false">1/(1+WACC!$C$37)^C$26</f>
        <v>0.928142912780408</v>
      </c>
      <c r="D30" s="45" t="n">
        <f aca="false">1/(1+WACC!$C$37)^D$26</f>
        <v>0.861449266544501</v>
      </c>
      <c r="E30" s="45" t="n">
        <f aca="false">1/(1+WACC!$C$37)^E$26</f>
        <v>0.799548031463159</v>
      </c>
      <c r="F30" s="45" t="n">
        <f aca="false">1/(1+WACC!$C$37)^F$26</f>
        <v>0.742094838830058</v>
      </c>
      <c r="G30" s="45" t="n">
        <f aca="false">1/(1+WACC!$C$37)^G$26</f>
        <v>0.688770065271038</v>
      </c>
      <c r="H30" s="45" t="n">
        <f aca="false">1/(1+WACC!$C$37)^H$26</f>
        <v>0.639277054616613</v>
      </c>
      <c r="I30" s="45" t="n">
        <f aca="false">1/(1+WACC!$C$37)^I$26</f>
        <v>0.593340467545543</v>
      </c>
      <c r="J30" s="45" t="n">
        <f aca="false">1/(1+WACC!$C$37)^J$26</f>
        <v>0.55070474981821</v>
      </c>
      <c r="K30" s="45" t="n">
        <f aca="false">1/(1+WACC!$C$37)^K$26</f>
        <v>0.51113271057828</v>
      </c>
      <c r="L30" s="45" t="n">
        <f aca="false">1/(1+WACC!$C$37)^L$26</f>
        <v>0.47440420281347</v>
      </c>
    </row>
    <row r="31" customFormat="false" ht="15" hidden="false" customHeight="false" outlineLevel="0" collapsed="false">
      <c r="B31" s="5" t="s">
        <v>217</v>
      </c>
      <c r="C31" s="15" t="n">
        <f aca="false">C29*C30</f>
        <v>4194.1475625967</v>
      </c>
      <c r="D31" s="15" t="n">
        <f aca="false">D29*D30</f>
        <v>4178.35481635055</v>
      </c>
      <c r="E31" s="15" t="n">
        <f aca="false">E29*E30</f>
        <v>4162.621536499</v>
      </c>
      <c r="F31" s="15" t="n">
        <f aca="false">F29*F30</f>
        <v>4146.94749912585</v>
      </c>
      <c r="G31" s="15" t="n">
        <f aca="false">G29*G30</f>
        <v>4131.33248115799</v>
      </c>
      <c r="H31" s="15" t="n">
        <f aca="false">H29*H30</f>
        <v>4081.21748384414</v>
      </c>
      <c r="I31" s="15" t="n">
        <f aca="false">I29*I30</f>
        <v>3997.57084253352</v>
      </c>
      <c r="J31" s="15" t="n">
        <f aca="false">J29*J30</f>
        <v>3882.19872737825</v>
      </c>
      <c r="K31" s="15" t="n">
        <f aca="false">K29*K30</f>
        <v>3737.68155376097</v>
      </c>
      <c r="L31" s="15" t="n">
        <f aca="false">L29*L30</f>
        <v>3567.27824918851</v>
      </c>
    </row>
    <row r="33" customFormat="false" ht="15" hidden="false" customHeight="false" outlineLevel="0" collapsed="false">
      <c r="B33" s="5" t="s">
        <v>218</v>
      </c>
      <c r="C33" s="15" t="n">
        <f aca="false">SUM(C31:L31)</f>
        <v>40079.3507524355</v>
      </c>
    </row>
    <row r="34" customFormat="false" ht="15" hidden="false" customHeight="false" outlineLevel="0" collapsed="false">
      <c r="B34" s="5" t="s">
        <v>219</v>
      </c>
      <c r="C34" s="15" t="n">
        <f aca="false">L29*(1+Inputs!$C$37)/(WACC!$C$37-Inputs!$C$37)</f>
        <v>157415.477517321</v>
      </c>
    </row>
    <row r="35" customFormat="false" ht="15" hidden="false" customHeight="false" outlineLevel="0" collapsed="false">
      <c r="B35" s="5" t="s">
        <v>220</v>
      </c>
      <c r="C35" s="15" t="n">
        <f aca="false">C34*L30</f>
        <v>74678.5641221063</v>
      </c>
    </row>
    <row r="36" customFormat="false" ht="15" hidden="false" customHeight="false" outlineLevel="0" collapsed="false">
      <c r="B36" s="7" t="s">
        <v>221</v>
      </c>
      <c r="C36" s="15" t="n">
        <f aca="false">C33+C35</f>
        <v>114757.914874542</v>
      </c>
    </row>
    <row r="37" customFormat="false" ht="15" hidden="false" customHeight="false" outlineLevel="0" collapsed="false">
      <c r="B37" s="5" t="s">
        <v>222</v>
      </c>
      <c r="C37" s="16" t="n">
        <f aca="false">-Inputs!$C$27</f>
        <v>-3870</v>
      </c>
    </row>
    <row r="38" customFormat="false" ht="15" hidden="false" customHeight="false" outlineLevel="0" collapsed="false">
      <c r="B38" s="5" t="s">
        <v>223</v>
      </c>
      <c r="C38" s="16" t="n">
        <f aca="false">Inputs!$C$28</f>
        <v>2280</v>
      </c>
    </row>
    <row r="39" customFormat="false" ht="15" hidden="false" customHeight="false" outlineLevel="0" collapsed="false">
      <c r="B39" s="5" t="s">
        <v>224</v>
      </c>
      <c r="C39" s="15" t="n">
        <f aca="false">SUM(C36:C38)</f>
        <v>113167.914874542</v>
      </c>
    </row>
    <row r="40" customFormat="false" ht="15" hidden="false" customHeight="false" outlineLevel="0" collapsed="false">
      <c r="B40" s="5" t="s">
        <v>225</v>
      </c>
      <c r="C40" s="36" t="n">
        <f aca="false">Inputs!$C$7</f>
        <v>359.58</v>
      </c>
    </row>
    <row r="41" customFormat="false" ht="15" hidden="false" customHeight="false" outlineLevel="0" collapsed="false">
      <c r="B41" s="7" t="s">
        <v>226</v>
      </c>
      <c r="C41" s="46" t="n">
        <f aca="false">C39/C40</f>
        <v>314.722495340513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278.018799710774</v>
      </c>
    </row>
    <row r="43" customFormat="false" ht="15" hidden="false" customHeight="false" outlineLevel="0" collapsed="false">
      <c r="B43" s="5" t="s">
        <v>227</v>
      </c>
      <c r="C43" s="23" t="n">
        <f aca="false">C41/C42-1</f>
        <v>0.132018754371729</v>
      </c>
    </row>
    <row r="44" customFormat="false" ht="15" hidden="false" customHeight="false" outlineLevel="0" collapsed="false">
      <c r="B44" s="5" t="s">
        <v>228</v>
      </c>
      <c r="C44" s="23" t="n">
        <f aca="false">C35/C36</f>
        <v>0.65074870176709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230</v>
      </c>
    </row>
    <row r="3" customFormat="false" ht="15" hidden="false" customHeight="false" outlineLevel="0" collapsed="false">
      <c r="B3" s="2" t="s">
        <v>231</v>
      </c>
    </row>
    <row r="5" customFormat="false" ht="15" hidden="false" customHeight="false" outlineLevel="0" collapsed="false">
      <c r="B5" s="5" t="s">
        <v>232</v>
      </c>
      <c r="C5" s="24" t="n">
        <v>0.005</v>
      </c>
      <c r="D5" s="5" t="s">
        <v>233</v>
      </c>
      <c r="F5" s="24" t="n">
        <v>0.005</v>
      </c>
    </row>
    <row r="6" customFormat="false" ht="15" hidden="false" customHeight="false" outlineLevel="0" collapsed="false">
      <c r="B6" s="5" t="s">
        <v>234</v>
      </c>
      <c r="C6" s="24" t="n">
        <v>0.02</v>
      </c>
    </row>
    <row r="8" customFormat="false" ht="15" hidden="false" customHeight="false" outlineLevel="0" collapsed="false">
      <c r="B8" s="3" t="s">
        <v>235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WACC!$C$37+(0-2)*$C$5</f>
        <v>0.0674202832668642</v>
      </c>
      <c r="C10" s="9" t="n">
        <f aca="false">Solver!$D$74</f>
        <v>0.0438553392887116</v>
      </c>
      <c r="D10" s="9" t="n">
        <f aca="false">Solver!$D$101</f>
        <v>0.0298434793949127</v>
      </c>
      <c r="E10" s="9" t="n">
        <f aca="false">Solver!$D$128</f>
        <v>0.0142151415348053</v>
      </c>
      <c r="F10" s="9" t="n">
        <f aca="false">Solver!$D$155</f>
        <v>-0.00344952940940857</v>
      </c>
      <c r="G10" s="9" t="n">
        <f aca="false">Solver!$D$182</f>
        <v>-0.0237610042095184</v>
      </c>
      <c r="I10" s="19" t="s">
        <v>236</v>
      </c>
    </row>
    <row r="11" customFormat="false" ht="15" hidden="false" customHeight="false" outlineLevel="0" collapsed="false">
      <c r="B11" s="47" t="n">
        <f aca="false">WACC!$C$37+(1-2)*$C$5</f>
        <v>0.0724202832668642</v>
      </c>
      <c r="C11" s="9" t="n">
        <f aca="false">Solver!$D$209</f>
        <v>0.0608845055103302</v>
      </c>
      <c r="D11" s="9" t="n">
        <f aca="false">Solver!$D$236</f>
        <v>0.0481309592723846</v>
      </c>
      <c r="E11" s="9" t="n">
        <f aca="false">Solver!$D$263</f>
        <v>0.0340559780597687</v>
      </c>
      <c r="F11" s="9" t="n">
        <f aca="false">Solver!$D$290</f>
        <v>0.0183575451374054</v>
      </c>
      <c r="G11" s="9" t="n">
        <f aca="false">Solver!$D$317</f>
        <v>0.000614196062088013</v>
      </c>
    </row>
    <row r="12" customFormat="false" ht="15" hidden="false" customHeight="false" outlineLevel="0" collapsed="false">
      <c r="B12" s="47" t="n">
        <f aca="false">WACC!$C$37+(2-2)*$C$5</f>
        <v>0.0774202832668642</v>
      </c>
      <c r="C12" s="9" t="n">
        <f aca="false">Solver!$D$344</f>
        <v>0.0769242942333221</v>
      </c>
      <c r="D12" s="9" t="n">
        <f aca="false">Solver!$D$371</f>
        <v>0.0652150213718414</v>
      </c>
      <c r="E12" s="8" t="n">
        <f aca="false">Solver!$D$398</f>
        <v>0.0524038970470429</v>
      </c>
      <c r="F12" s="9" t="n">
        <f aca="false">Solver!$D$425</f>
        <v>0.0382657945156097</v>
      </c>
      <c r="G12" s="9" t="n">
        <f aca="false">Solver!$D$452</f>
        <v>0.0224970877170563</v>
      </c>
    </row>
    <row r="13" customFormat="false" ht="15" hidden="false" customHeight="false" outlineLevel="0" collapsed="false">
      <c r="B13" s="47" t="n">
        <f aca="false">WACC!$C$37+(3-2)*$C$5</f>
        <v>0.0824202832668642</v>
      </c>
      <c r="C13" s="9" t="n">
        <f aca="false">Solver!$D$479</f>
        <v>0.092133492231369</v>
      </c>
      <c r="D13" s="9" t="n">
        <f aca="false">Solver!$D$506</f>
        <v>0.081305056810379</v>
      </c>
      <c r="E13" s="9" t="n">
        <f aca="false">Solver!$D$533</f>
        <v>0.0695426762104034</v>
      </c>
      <c r="F13" s="9" t="n">
        <f aca="false">Solver!$D$560</f>
        <v>0.0566739737987518</v>
      </c>
      <c r="G13" s="9" t="n">
        <f aca="false">Solver!$D$587</f>
        <v>0.0424727499485016</v>
      </c>
    </row>
    <row r="14" customFormat="false" ht="15" hidden="false" customHeight="false" outlineLevel="0" collapsed="false">
      <c r="B14" s="47" t="n">
        <f aca="false">WACC!$C$37+(4-2)*$C$5</f>
        <v>0.0874202832668642</v>
      </c>
      <c r="C14" s="9" t="n">
        <f aca="false">Solver!$D$614</f>
        <v>0.106635838747025</v>
      </c>
      <c r="D14" s="9" t="n">
        <f aca="false">Solver!$D$641</f>
        <v>0.0965603888034821</v>
      </c>
      <c r="E14" s="9" t="n">
        <f aca="false">Solver!$D$668</f>
        <v>0.0856829583644867</v>
      </c>
      <c r="F14" s="9" t="n">
        <f aca="false">Solver!$D$695</f>
        <v>0.0738676488399506</v>
      </c>
      <c r="G14" s="9" t="n">
        <f aca="false">Solver!$D$722</f>
        <v>0.0609415471553803</v>
      </c>
    </row>
    <row r="17" customFormat="false" ht="15" hidden="false" customHeight="false" outlineLevel="0" collapsed="false">
      <c r="B17" s="3" t="s">
        <v>237</v>
      </c>
    </row>
    <row r="18" customFormat="false" ht="15" hidden="false" customHeight="false" outlineLevel="0" collapsed="false">
      <c r="C18" s="48" t="n">
        <f aca="false">Inputs!$C$45+(0-2)*$C$6</f>
        <v>0.033363338469349</v>
      </c>
      <c r="D18" s="48" t="n">
        <f aca="false">Inputs!$C$45+(1-2)*$C$6</f>
        <v>0.053363338469349</v>
      </c>
      <c r="E18" s="48" t="n">
        <f aca="false">Inputs!$C$45+(2-2)*$C$6</f>
        <v>0.073363338469349</v>
      </c>
      <c r="F18" s="48" t="n">
        <f aca="false">Inputs!$C$45+(3-2)*$C$6</f>
        <v>0.093363338469349</v>
      </c>
      <c r="G18" s="48" t="n">
        <f aca="false">Inputs!$C$45+(4-2)*$C$6</f>
        <v>0.113363338469349</v>
      </c>
    </row>
    <row r="19" customFormat="false" ht="15" hidden="false" customHeight="false" outlineLevel="0" collapsed="false">
      <c r="B19" s="47" t="n">
        <f aca="false">WACC!$C$37+(0-2)*$C$5</f>
        <v>0.0674202832668642</v>
      </c>
      <c r="C19" s="42" t="n">
        <f aca="false">(SUMPRODUCT($C28:$L28,1/(1+$B19)^$C$27:$L$27)*Inputs!$C$23+$L28*Inputs!$C$23*(1+Inputs!$C$37)/($B19-Inputs!$C$37)/(1+$B19)^$L$27-Inputs!$C$27+Inputs!$C$28)/Inputs!$C$7</f>
        <v>312.93396301691</v>
      </c>
      <c r="D19" s="42" t="n">
        <f aca="false">(SUMPRODUCT($C29:$L29,1/(1+$B19)^$C$27:$L$27)*Inputs!$C$23+$L29*Inputs!$C$23*(1+Inputs!$C$37)/($B19-Inputs!$C$37)/(1+$B19)^$L$27-Inputs!$C$27+Inputs!$C$28)/Inputs!$C$7</f>
        <v>353.62259009275</v>
      </c>
      <c r="E19" s="42" t="n">
        <f aca="false">(SUMPRODUCT($C30:$L30,1/(1+$B19)^$C$27:$L$27)*Inputs!$C$23+$L30*Inputs!$C$23*(1+Inputs!$C$37)/($B19-Inputs!$C$37)/(1+$B19)^$L$27-Inputs!$C$27+Inputs!$C$28)/Inputs!$C$7</f>
        <v>399.058678717409</v>
      </c>
      <c r="F19" s="42" t="n">
        <f aca="false">(SUMPRODUCT($C31:$L31,1/(1+$B19)^$C$27:$L$27)*Inputs!$C$23+$L31*Inputs!$C$23*(1+Inputs!$C$37)/($B19-Inputs!$C$37)/(1+$B19)^$L$27-Inputs!$C$27+Inputs!$C$28)/Inputs!$C$7</f>
        <v>449.721036395065</v>
      </c>
      <c r="G19" s="42" t="n">
        <f aca="false">(SUMPRODUCT($C32:$L32,1/(1+$B19)^$C$27:$L$27)*Inputs!$C$23+$L32*Inputs!$C$23*(1+Inputs!$C$37)/($B19-Inputs!$C$37)/(1+$B19)^$L$27-Inputs!$C$27+Inputs!$C$28)/Inputs!$C$7</f>
        <v>506.128662700414</v>
      </c>
      <c r="I19" s="19" t="s">
        <v>238</v>
      </c>
    </row>
    <row r="20" customFormat="false" ht="15" hidden="false" customHeight="false" outlineLevel="0" collapsed="false">
      <c r="B20" s="47" t="n">
        <f aca="false">WACC!$C$37+(1-2)*$C$5</f>
        <v>0.0724202832668642</v>
      </c>
      <c r="C20" s="42" t="n">
        <f aca="false">(SUMPRODUCT($C28:$L28,1/(1+$B20)^$C$27:$L$27)*Inputs!$C$23+$L28*Inputs!$C$23*(1+Inputs!$C$37)/($B20-Inputs!$C$37)/(1+$B20)^$L$27-Inputs!$C$27+Inputs!$C$28)/Inputs!$C$7</f>
        <v>276.851764423768</v>
      </c>
      <c r="D20" s="42" t="n">
        <f aca="false">(SUMPRODUCT($C29:$L29,1/(1+$B20)^$C$27:$L$27)*Inputs!$C$23+$L29*Inputs!$C$23*(1+Inputs!$C$37)/($B20-Inputs!$C$37)/(1+$B20)^$L$27-Inputs!$C$27+Inputs!$C$28)/Inputs!$C$7</f>
        <v>312.413990311107</v>
      </c>
      <c r="E20" s="42" t="n">
        <f aca="false">(SUMPRODUCT($C30:$L30,1/(1+$B20)^$C$27:$L$27)*Inputs!$C$23+$L30*Inputs!$C$23*(1+Inputs!$C$37)/($B20-Inputs!$C$37)/(1+$B20)^$L$27-Inputs!$C$27+Inputs!$C$28)/Inputs!$C$7</f>
        <v>352.09556118099</v>
      </c>
      <c r="F20" s="42" t="n">
        <f aca="false">(SUMPRODUCT($C31:$L31,1/(1+$B20)^$C$27:$L$27)*Inputs!$C$23+$L31*Inputs!$C$23*(1+Inputs!$C$37)/($B20-Inputs!$C$37)/(1+$B20)^$L$27-Inputs!$C$27+Inputs!$C$28)/Inputs!$C$7</f>
        <v>396.310225691947</v>
      </c>
      <c r="G20" s="42" t="n">
        <f aca="false">(SUMPRODUCT($C32:$L32,1/(1+$B20)^$C$27:$L$27)*Inputs!$C$23+$L32*Inputs!$C$23*(1+Inputs!$C$37)/($B20-Inputs!$C$37)/(1+$B20)^$L$27-Inputs!$C$27+Inputs!$C$28)/Inputs!$C$7</f>
        <v>445.506364222523</v>
      </c>
    </row>
    <row r="21" customFormat="false" ht="15" hidden="false" customHeight="false" outlineLevel="0" collapsed="false">
      <c r="B21" s="47" t="n">
        <f aca="false">WACC!$C$37+(2-2)*$C$5</f>
        <v>0.0774202832668642</v>
      </c>
      <c r="C21" s="42" t="n">
        <f aca="false">(SUMPRODUCT($C28:$L28,1/(1+$B21)^$C$27:$L$27)*Inputs!$C$23+$L28*Inputs!$C$23*(1+Inputs!$C$37)/($B21-Inputs!$C$37)/(1+$B21)^$L$27-Inputs!$C$27+Inputs!$C$28)/Inputs!$C$7</f>
        <v>248.117961657128</v>
      </c>
      <c r="D21" s="42" t="n">
        <f aca="false">(SUMPRODUCT($C29:$L29,1/(1+$B21)^$C$27:$L$27)*Inputs!$C$23+$L29*Inputs!$C$23*(1+Inputs!$C$37)/($B21-Inputs!$C$37)/(1+$B21)^$L$27-Inputs!$C$27+Inputs!$C$28)/Inputs!$C$7</f>
        <v>279.609495325027</v>
      </c>
      <c r="E21" s="46" t="n">
        <f aca="false">(SUMPRODUCT($C30:$L30,1/(1+$B21)^$C$27:$L$27)*Inputs!$C$23+$L30*Inputs!$C$23*(1+Inputs!$C$37)/($B21-Inputs!$C$37)/(1+$B21)^$L$27-Inputs!$C$27+Inputs!$C$28)/Inputs!$C$7</f>
        <v>314.722495340513</v>
      </c>
      <c r="F21" s="42" t="n">
        <f aca="false">(SUMPRODUCT($C31:$L31,1/(1+$B21)^$C$27:$L$27)*Inputs!$C$23+$L31*Inputs!$C$23*(1+Inputs!$C$37)/($B21-Inputs!$C$37)/(1+$B21)^$L$27-Inputs!$C$27+Inputs!$C$28)/Inputs!$C$7</f>
        <v>353.819205017202</v>
      </c>
      <c r="G21" s="42" t="n">
        <f aca="false">(SUMPRODUCT($C32:$L32,1/(1+$B21)^$C$27:$L$27)*Inputs!$C$23+$L32*Inputs!$C$23*(1+Inputs!$C$37)/($B21-Inputs!$C$37)/(1+$B21)^$L$27-Inputs!$C$27+Inputs!$C$28)/Inputs!$C$7</f>
        <v>397.292101636969</v>
      </c>
    </row>
    <row r="22" customFormat="false" ht="15" hidden="false" customHeight="false" outlineLevel="0" collapsed="false">
      <c r="B22" s="47" t="n">
        <f aca="false">WACC!$C$37+(3-2)*$C$5</f>
        <v>0.0824202832668642</v>
      </c>
      <c r="C22" s="42" t="n">
        <f aca="false">(SUMPRODUCT($C28:$L28,1/(1+$B22)^$C$27:$L$27)*Inputs!$C$23+$L28*Inputs!$C$23*(1+Inputs!$C$37)/($B22-Inputs!$C$37)/(1+$B22)^$L$27-Inputs!$C$27+Inputs!$C$28)/Inputs!$C$7</f>
        <v>224.695788968211</v>
      </c>
      <c r="D22" s="42" t="n">
        <f aca="false">(SUMPRODUCT($C29:$L29,1/(1+$B22)^$C$27:$L$27)*Inputs!$C$23+$L29*Inputs!$C$23*(1+Inputs!$C$37)/($B22-Inputs!$C$37)/(1+$B22)^$L$27-Inputs!$C$27+Inputs!$C$28)/Inputs!$C$7</f>
        <v>252.879374060734</v>
      </c>
      <c r="E22" s="42" t="n">
        <f aca="false">(SUMPRODUCT($C30:$L30,1/(1+$B22)^$C$27:$L$27)*Inputs!$C$23+$L30*Inputs!$C$23*(1+Inputs!$C$37)/($B22-Inputs!$C$37)/(1+$B22)^$L$27-Inputs!$C$27+Inputs!$C$28)/Inputs!$C$7</f>
        <v>284.280611577742</v>
      </c>
      <c r="F22" s="42" t="n">
        <f aca="false">(SUMPRODUCT($C31:$L31,1/(1+$B22)^$C$27:$L$27)*Inputs!$C$23+$L31*Inputs!$C$23*(1+Inputs!$C$37)/($B22-Inputs!$C$37)/(1+$B22)^$L$27-Inputs!$C$27+Inputs!$C$28)/Inputs!$C$7</f>
        <v>319.220025971705</v>
      </c>
      <c r="G22" s="42" t="n">
        <f aca="false">(SUMPRODUCT($C32:$L32,1/(1+$B22)^$C$27:$L$27)*Inputs!$C$23+$L32*Inputs!$C$23*(1+Inputs!$C$37)/($B22-Inputs!$C$37)/(1+$B22)^$L$27-Inputs!$C$27+Inputs!$C$28)/Inputs!$C$7</f>
        <v>358.04481719507</v>
      </c>
    </row>
    <row r="23" customFormat="false" ht="15" hidden="false" customHeight="false" outlineLevel="0" collapsed="false">
      <c r="B23" s="47" t="n">
        <f aca="false">WACC!$C$37+(4-2)*$C$5</f>
        <v>0.0874202832668642</v>
      </c>
      <c r="C23" s="42" t="n">
        <f aca="false">(SUMPRODUCT($C28:$L28,1/(1+$B23)^$C$27:$L$27)*Inputs!$C$23+$L28*Inputs!$C$23*(1+Inputs!$C$37)/($B23-Inputs!$C$37)/(1+$B23)^$L$27-Inputs!$C$27+Inputs!$C$28)/Inputs!$C$7</f>
        <v>205.237507889423</v>
      </c>
      <c r="D23" s="42" t="n">
        <f aca="false">(SUMPRODUCT($C29:$L29,1/(1+$B23)^$C$27:$L$27)*Inputs!$C$23+$L29*Inputs!$C$23*(1+Inputs!$C$37)/($B23-Inputs!$C$37)/(1+$B23)^$L$27-Inputs!$C$27+Inputs!$C$28)/Inputs!$C$7</f>
        <v>230.682044149768</v>
      </c>
      <c r="E23" s="42" t="n">
        <f aca="false">(SUMPRODUCT($C30:$L30,1/(1+$B23)^$C$27:$L$27)*Inputs!$C$23+$L30*Inputs!$C$23*(1+Inputs!$C$37)/($B23-Inputs!$C$37)/(1+$B23)^$L$27-Inputs!$C$27+Inputs!$C$28)/Inputs!$C$7</f>
        <v>259.010550456244</v>
      </c>
      <c r="F23" s="42" t="n">
        <f aca="false">(SUMPRODUCT($C31:$L31,1/(1+$B23)^$C$27:$L$27)*Inputs!$C$23+$L31*Inputs!$C$23*(1+Inputs!$C$37)/($B23-Inputs!$C$37)/(1+$B23)^$L$27-Inputs!$C$27+Inputs!$C$28)/Inputs!$C$7</f>
        <v>290.509126637027</v>
      </c>
      <c r="G23" s="42" t="n">
        <f aca="false">(SUMPRODUCT($C32:$L32,1/(1+$B23)^$C$27:$L$27)*Inputs!$C$23+$L32*Inputs!$C$23*(1+Inputs!$C$37)/($B23-Inputs!$C$37)/(1+$B23)^$L$27-Inputs!$C$27+Inputs!$C$28)/Inputs!$C$7</f>
        <v>325.487614939689</v>
      </c>
    </row>
    <row r="26" customFormat="false" ht="15" hidden="false" customHeight="false" outlineLevel="0" collapsed="false">
      <c r="B26" s="19" t="s">
        <v>239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0.033363338469349</v>
      </c>
      <c r="C28" s="15" t="n">
        <f aca="false">Inputs!$C$12*(1+IF(C$27&lt;=Inputs!$C$46,$B28,$B28-($B28-Inputs!$C$37)*MIN(C$27-Inputs!$C$46,Inputs!$C$47)/Inputs!$C$47))</f>
        <v>6985.5361680528</v>
      </c>
      <c r="D28" s="15" t="n">
        <f aca="false">C28*(1+IF(D$27&lt;=Inputs!$C$46,$B28,$B28-($B28-Inputs!$C$37)*MIN(D$27-Inputs!$C$46,Inputs!$C$47)/Inputs!$C$47))</f>
        <v>7218.59697561742</v>
      </c>
      <c r="E28" s="15" t="n">
        <f aca="false">D28*(1+IF(E$27&lt;=Inputs!$C$46,$B28,$B28-($B28-Inputs!$C$37)*MIN(E$27-Inputs!$C$46,Inputs!$C$47)/Inputs!$C$47))</f>
        <v>7459.43346978877</v>
      </c>
      <c r="F28" s="15" t="n">
        <f aca="false">E28*(1+IF(F$27&lt;=Inputs!$C$46,$B28,$B28-($B28-Inputs!$C$37)*MIN(F$27-Inputs!$C$46,Inputs!$C$47)/Inputs!$C$47))</f>
        <v>7708.30507343092</v>
      </c>
      <c r="G28" s="15" t="n">
        <f aca="false">F28*(1+IF(G$27&lt;=Inputs!$C$46,$B28,$B28-($B28-Inputs!$C$37)*MIN(G$27-Inputs!$C$46,Inputs!$C$47)/Inputs!$C$47))</f>
        <v>7965.4798646208</v>
      </c>
      <c r="H28" s="15" t="n">
        <f aca="false">G28*(1+IF(H$27&lt;=Inputs!$C$46,$B28,$B28-($B28-Inputs!$C$37)*MIN(H$27-Inputs!$C$46,Inputs!$C$47)/Inputs!$C$47))</f>
        <v>8223.16848128986</v>
      </c>
      <c r="I28" s="15" t="n">
        <f aca="false">H28*(1+IF(I$27&lt;=Inputs!$C$46,$B28,$B28-($B28-Inputs!$C$37)*MIN(I$27-Inputs!$C$46,Inputs!$C$47)/Inputs!$C$47))</f>
        <v>8480.86616049711</v>
      </c>
      <c r="J28" s="15" t="n">
        <f aca="false">I28*(1+IF(J$27&lt;=Inputs!$C$46,$B28,$B28-($B28-Inputs!$C$37)*MIN(J$27-Inputs!$C$46,Inputs!$C$47)/Inputs!$C$47))</f>
        <v>8738.05127119272</v>
      </c>
      <c r="K28" s="15" t="n">
        <f aca="false">J28*(1+IF(K$27&lt;=Inputs!$C$46,$B28,$B28-($B28-Inputs!$C$37)*MIN(K$27-Inputs!$C$46,Inputs!$C$47)/Inputs!$C$47))</f>
        <v>8994.18686439719</v>
      </c>
      <c r="L28" s="15" t="n">
        <f aca="false">K28*(1+IF(L$27&lt;=Inputs!$C$46,$B28,$B28-($B28-Inputs!$C$37)*MIN(L$27-Inputs!$C$46,Inputs!$C$47)/Inputs!$C$47))</f>
        <v>9248.72235265962</v>
      </c>
    </row>
    <row r="29" customFormat="false" ht="15" hidden="false" customHeight="false" outlineLevel="0" collapsed="false">
      <c r="B29" s="23" t="n">
        <f aca="false">D$18</f>
        <v>0.053363338469349</v>
      </c>
      <c r="C29" s="15" t="n">
        <f aca="false">Inputs!$C$12*(1+IF(C$27&lt;=Inputs!$C$46,$B29,$B29-($B29-Inputs!$C$37)*MIN(C$27-Inputs!$C$46,Inputs!$C$47)/Inputs!$C$47))</f>
        <v>7120.7361680528</v>
      </c>
      <c r="D29" s="15" t="n">
        <f aca="false">C29*(1+IF(D$27&lt;=Inputs!$C$46,$B29,$B29-($B29-Inputs!$C$37)*MIN(D$27-Inputs!$C$46,Inputs!$C$47)/Inputs!$C$47))</f>
        <v>7500.72242233954</v>
      </c>
      <c r="E29" s="15" t="n">
        <f aca="false">D29*(1+IF(E$27&lt;=Inputs!$C$46,$B29,$B29-($B29-Inputs!$C$37)*MIN(E$27-Inputs!$C$46,Inputs!$C$47)/Inputs!$C$47))</f>
        <v>7900.98601172748</v>
      </c>
      <c r="F29" s="15" t="n">
        <f aca="false">E29*(1+IF(F$27&lt;=Inputs!$C$46,$B29,$B29-($B29-Inputs!$C$37)*MIN(F$27-Inputs!$C$46,Inputs!$C$47)/Inputs!$C$47))</f>
        <v>8322.60900251288</v>
      </c>
      <c r="G29" s="15" t="n">
        <f aca="false">F29*(1+IF(G$27&lt;=Inputs!$C$46,$B29,$B29-($B29-Inputs!$C$37)*MIN(G$27-Inputs!$C$46,Inputs!$C$47)/Inputs!$C$47))</f>
        <v>8766.73120366203</v>
      </c>
      <c r="H29" s="15" t="n">
        <f aca="false">G29*(1+IF(H$27&lt;=Inputs!$C$46,$B29,$B29-($B29-Inputs!$C$37)*MIN(H$27-Inputs!$C$46,Inputs!$C$47)/Inputs!$C$47))</f>
        <v>9190.60853786741</v>
      </c>
      <c r="I29" s="15" t="n">
        <f aca="false">H29*(1+IF(I$27&lt;=Inputs!$C$46,$B29,$B29-($B29-Inputs!$C$37)*MIN(I$27-Inputs!$C$46,Inputs!$C$47)/Inputs!$C$47))</f>
        <v>9588.91115900338</v>
      </c>
      <c r="J29" s="15" t="n">
        <f aca="false">I29*(1+IF(J$27&lt;=Inputs!$C$46,$B29,$B29-($B29-Inputs!$C$37)*MIN(J$27-Inputs!$C$46,Inputs!$C$47)/Inputs!$C$47))</f>
        <v>9956.40939517542</v>
      </c>
      <c r="K29" s="15" t="n">
        <f aca="false">J29*(1+IF(K$27&lt;=Inputs!$C$46,$B29,$B29-($B29-Inputs!$C$37)*MIN(K$27-Inputs!$C$46,Inputs!$C$47)/Inputs!$C$47))</f>
        <v>10288.083952781</v>
      </c>
      <c r="L29" s="15" t="n">
        <f aca="false">K29*(1+IF(L$27&lt;=Inputs!$C$46,$B29,$B29-($B29-Inputs!$C$37)*MIN(L$27-Inputs!$C$46,Inputs!$C$47)/Inputs!$C$47))</f>
        <v>10579.2367286447</v>
      </c>
    </row>
    <row r="30" customFormat="false" ht="15" hidden="false" customHeight="false" outlineLevel="0" collapsed="false">
      <c r="B30" s="23" t="n">
        <f aca="false">E$18</f>
        <v>0.073363338469349</v>
      </c>
      <c r="C30" s="15" t="n">
        <f aca="false">Inputs!$C$12*(1+IF(C$27&lt;=Inputs!$C$46,$B30,$B30-($B30-Inputs!$C$37)*MIN(C$27-Inputs!$C$46,Inputs!$C$47)/Inputs!$C$47))</f>
        <v>7255.9361680528</v>
      </c>
      <c r="D30" s="15" t="n">
        <f aca="false">C30*(1+IF(D$27&lt;=Inputs!$C$46,$B30,$B30-($B30-Inputs!$C$37)*MIN(D$27-Inputs!$C$46,Inputs!$C$47)/Inputs!$C$47))</f>
        <v>7788.25586906165</v>
      </c>
      <c r="E30" s="15" t="n">
        <f aca="false">D30*(1+IF(E$27&lt;=Inputs!$C$46,$B30,$B30-($B30-Inputs!$C$37)*MIN(E$27-Inputs!$C$46,Inputs!$C$47)/Inputs!$C$47))</f>
        <v>8359.62832046951</v>
      </c>
      <c r="F30" s="15" t="n">
        <f aca="false">E30*(1+IF(F$27&lt;=Inputs!$C$46,$B30,$B30-($B30-Inputs!$C$37)*MIN(F$27-Inputs!$C$46,Inputs!$C$47)/Inputs!$C$47))</f>
        <v>8972.91856242208</v>
      </c>
      <c r="G30" s="15" t="n">
        <f aca="false">F30*(1+IF(G$27&lt;=Inputs!$C$46,$B30,$B30-($B30-Inputs!$C$37)*MIN(G$27-Inputs!$C$46,Inputs!$C$47)/Inputs!$C$47))</f>
        <v>9631.20182397495</v>
      </c>
      <c r="H30" s="15" t="n">
        <f aca="false">G30*(1+IF(H$27&lt;=Inputs!$C$46,$B30,$B30-($B30-Inputs!$C$37)*MIN(H$27-Inputs!$C$46,Inputs!$C$47)/Inputs!$C$47))</f>
        <v>10250.9761217218</v>
      </c>
      <c r="I30" s="15" t="n">
        <f aca="false">H30*(1+IF(I$27&lt;=Inputs!$C$46,$B30,$B30-($B30-Inputs!$C$37)*MIN(I$27-Inputs!$C$46,Inputs!$C$47)/Inputs!$C$47))</f>
        <v>10818.2446699351</v>
      </c>
      <c r="J30" s="15" t="n">
        <f aca="false">I30*(1+IF(J$27&lt;=Inputs!$C$46,$B30,$B30-($B30-Inputs!$C$37)*MIN(J$27-Inputs!$C$46,Inputs!$C$47)/Inputs!$C$47))</f>
        <v>11319.4034825765</v>
      </c>
      <c r="K30" s="15" t="n">
        <f aca="false">J30*(1+IF(K$27&lt;=Inputs!$C$46,$B30,$B30-($B30-Inputs!$C$37)*MIN(K$27-Inputs!$C$46,Inputs!$C$47)/Inputs!$C$47))</f>
        <v>11741.7606232147</v>
      </c>
      <c r="L30" s="15" t="n">
        <f aca="false">K30*(1+IF(L$27&lt;=Inputs!$C$46,$B30,$B30-($B30-Inputs!$C$37)*MIN(L$27-Inputs!$C$46,Inputs!$C$47)/Inputs!$C$47))</f>
        <v>12074.0524488517</v>
      </c>
    </row>
    <row r="31" customFormat="false" ht="15" hidden="false" customHeight="false" outlineLevel="0" collapsed="false">
      <c r="B31" s="23" t="n">
        <f aca="false">F$18</f>
        <v>0.093363338469349</v>
      </c>
      <c r="C31" s="15" t="n">
        <f aca="false">Inputs!$C$12*(1+IF(C$27&lt;=Inputs!$C$46,$B31,$B31-($B31-Inputs!$C$37)*MIN(C$27-Inputs!$C$46,Inputs!$C$47)/Inputs!$C$47))</f>
        <v>7391.1361680528</v>
      </c>
      <c r="D31" s="15" t="n">
        <f aca="false">C31*(1+IF(D$27&lt;=Inputs!$C$46,$B31,$B31-($B31-Inputs!$C$37)*MIN(D$27-Inputs!$C$46,Inputs!$C$47)/Inputs!$C$47))</f>
        <v>8081.19731578376</v>
      </c>
      <c r="E31" s="15" t="n">
        <f aca="false">D31*(1+IF(E$27&lt;=Inputs!$C$46,$B31,$B31-($B31-Inputs!$C$37)*MIN(E$27-Inputs!$C$46,Inputs!$C$47)/Inputs!$C$47))</f>
        <v>8835.68487601488</v>
      </c>
      <c r="F31" s="15" t="n">
        <f aca="false">E31*(1+IF(F$27&lt;=Inputs!$C$46,$B31,$B31-($B31-Inputs!$C$37)*MIN(F$27-Inputs!$C$46,Inputs!$C$47)/Inputs!$C$47))</f>
        <v>9660.61391370276</v>
      </c>
      <c r="G31" s="15" t="n">
        <f aca="false">F31*(1+IF(G$27&lt;=Inputs!$C$46,$B31,$B31-($B31-Inputs!$C$37)*MIN(G$27-Inputs!$C$46,Inputs!$C$47)/Inputs!$C$47))</f>
        <v>10562.5610803495</v>
      </c>
      <c r="H31" s="15" t="n">
        <f aca="false">G31*(1+IF(H$27&lt;=Inputs!$C$46,$B31,$B31-($B31-Inputs!$C$37)*MIN(H$27-Inputs!$C$46,Inputs!$C$47)/Inputs!$C$47))</f>
        <v>11411.2699482625</v>
      </c>
      <c r="I31" s="15" t="n">
        <f aca="false">H31*(1+IF(I$27&lt;=Inputs!$C$46,$B31,$B31-($B31-Inputs!$C$37)*MIN(I$27-Inputs!$C$46,Inputs!$C$47)/Inputs!$C$47))</f>
        <v>12179.6820792037</v>
      </c>
      <c r="J31" s="15" t="n">
        <f aca="false">I31*(1+IF(J$27&lt;=Inputs!$C$46,$B31,$B31-($B31-Inputs!$C$37)*MIN(J$27-Inputs!$C$46,Inputs!$C$47)/Inputs!$C$47))</f>
        <v>12841.3473930725</v>
      </c>
      <c r="K31" s="15" t="n">
        <f aca="false">J31*(1+IF(K$27&lt;=Inputs!$C$46,$B31,$B31-($B31-Inputs!$C$37)*MIN(K$27-Inputs!$C$46,Inputs!$C$47)/Inputs!$C$47))</f>
        <v>13371.8577106641</v>
      </c>
      <c r="L31" s="15" t="n">
        <f aca="false">K31*(1+IF(L$27&lt;=Inputs!$C$46,$B31,$B31-($B31-Inputs!$C$37)*MIN(L$27-Inputs!$C$46,Inputs!$C$47)/Inputs!$C$47))</f>
        <v>13750.2812838758</v>
      </c>
    </row>
    <row r="32" customFormat="false" ht="15" hidden="false" customHeight="false" outlineLevel="0" collapsed="false">
      <c r="B32" s="23" t="n">
        <f aca="false">G$18</f>
        <v>0.113363338469349</v>
      </c>
      <c r="C32" s="15" t="n">
        <f aca="false">Inputs!$C$12*(1+IF(C$27&lt;=Inputs!$C$46,$B32,$B32-($B32-Inputs!$C$37)*MIN(C$27-Inputs!$C$46,Inputs!$C$47)/Inputs!$C$47))</f>
        <v>7526.3361680528</v>
      </c>
      <c r="D32" s="15" t="n">
        <f aca="false">C32*(1+IF(D$27&lt;=Inputs!$C$46,$B32,$B32-($B32-Inputs!$C$37)*MIN(D$27-Inputs!$C$46,Inputs!$C$47)/Inputs!$C$47))</f>
        <v>8379.54676250587</v>
      </c>
      <c r="E32" s="15" t="n">
        <f aca="false">D32*(1+IF(E$27&lt;=Inputs!$C$46,$B32,$B32-($B32-Inputs!$C$37)*MIN(E$27-Inputs!$C$46,Inputs!$C$47)/Inputs!$C$47))</f>
        <v>9329.48015836357</v>
      </c>
      <c r="F32" s="15" t="n">
        <f aca="false">E32*(1+IF(F$27&lt;=Inputs!$C$46,$B32,$B32-($B32-Inputs!$C$37)*MIN(F$27-Inputs!$C$46,Inputs!$C$47)/Inputs!$C$47))</f>
        <v>10387.1011752992</v>
      </c>
      <c r="G32" s="15" t="n">
        <f aca="false">F32*(1+IF(G$27&lt;=Inputs!$C$46,$B32,$B32-($B32-Inputs!$C$37)*MIN(G$27-Inputs!$C$46,Inputs!$C$47)/Inputs!$C$47))</f>
        <v>11564.61764155</v>
      </c>
      <c r="H32" s="15" t="n">
        <f aca="false">G32*(1+IF(H$27&lt;=Inputs!$C$46,$B32,$B32-($B32-Inputs!$C$37)*MIN(H$27-Inputs!$C$46,Inputs!$C$47)/Inputs!$C$47))</f>
        <v>12678.8763085753</v>
      </c>
      <c r="I32" s="15" t="n">
        <f aca="false">H32*(1+IF(I$27&lt;=Inputs!$C$46,$B32,$B32-($B32-Inputs!$C$37)*MIN(I$27-Inputs!$C$46,Inputs!$C$47)/Inputs!$C$47))</f>
        <v>13684.7930362164</v>
      </c>
      <c r="J32" s="15" t="n">
        <f aca="false">I32*(1+IF(J$27&lt;=Inputs!$C$46,$B32,$B32-($B32-Inputs!$C$37)*MIN(J$27-Inputs!$C$46,Inputs!$C$47)/Inputs!$C$47))</f>
        <v>14537.7023519104</v>
      </c>
      <c r="K32" s="15" t="n">
        <f aca="false">J32*(1+IF(K$27&lt;=Inputs!$C$46,$B32,$B32-($B32-Inputs!$C$37)*MIN(K$27-Inputs!$C$46,Inputs!$C$47)/Inputs!$C$47))</f>
        <v>15196.4444276149</v>
      </c>
      <c r="L32" s="15" t="n">
        <f aca="false">K32*(1+IF(L$27&lt;=Inputs!$C$46,$B32,$B32-($B32-Inputs!$C$37)*MIN(L$27-Inputs!$C$46,Inputs!$C$47)/Inputs!$C$47))</f>
        <v>15626.5038049164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240</v>
      </c>
    </row>
    <row r="3" customFormat="false" ht="15" hidden="false" customHeight="false" outlineLevel="0" collapsed="false">
      <c r="B3" s="2" t="s">
        <v>241</v>
      </c>
    </row>
    <row r="5" customFormat="false" ht="15" hidden="false" customHeight="false" outlineLevel="0" collapsed="false">
      <c r="B5" s="28" t="s">
        <v>242</v>
      </c>
      <c r="C5" s="28" t="s">
        <v>243</v>
      </c>
      <c r="D5" s="28" t="s">
        <v>244</v>
      </c>
      <c r="E5" s="28" t="s">
        <v>245</v>
      </c>
      <c r="F5" s="28" t="s">
        <v>246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0.622781065088757</v>
      </c>
      <c r="D6" s="24" t="n">
        <v>0.62278107</v>
      </c>
      <c r="E6" s="49" t="n">
        <f aca="false">C6-D6</f>
        <v>-4.91124263479748E-009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136</v>
      </c>
      <c r="C7" s="50" t="n">
        <f aca="false">WACC!$C$14</f>
        <v>0.609131529999621</v>
      </c>
      <c r="D7" s="51" t="n">
        <v>0.60913153</v>
      </c>
      <c r="E7" s="49" t="n">
        <f aca="false">C7-D7</f>
        <v>-3.78919118304566E-013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WACC!$C$37</f>
        <v>0.0774202832668642</v>
      </c>
      <c r="D8" s="24" t="n">
        <v>0.07742028</v>
      </c>
      <c r="E8" s="49" t="n">
        <f aca="false">C8-D8</f>
        <v>3.26686419582778E-009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247</v>
      </c>
      <c r="C10" s="12" t="n">
        <f aca="false">Inputs!$C$43</f>
        <v>0.0733633384693491</v>
      </c>
      <c r="D10" s="24" t="n">
        <v>0.07336334</v>
      </c>
      <c r="E10" s="49" t="n">
        <f aca="false">C10-D10</f>
        <v>-1.53065095320759E-009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248</v>
      </c>
      <c r="C11" s="12" t="n">
        <f aca="false">Solver!$W$7</f>
        <v>0.0524038638045568</v>
      </c>
      <c r="D11" s="24" t="n">
        <v>0.05240385</v>
      </c>
      <c r="E11" s="49" t="n">
        <f aca="false">C11-D11</f>
        <v>1.38045567477096E-008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249</v>
      </c>
      <c r="C12" s="12" t="n">
        <f aca="false">Sensitivity!$E$14</f>
        <v>0.0856829583644867</v>
      </c>
      <c r="D12" s="24" t="n">
        <v>0.08568287</v>
      </c>
      <c r="E12" s="49" t="n">
        <f aca="false">C12-D12</f>
        <v>8.83644867000211E-008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250</v>
      </c>
      <c r="C13" s="6" t="n">
        <f aca="false">DCF!$C$41</f>
        <v>314.722495340513</v>
      </c>
      <c r="D13" s="20" t="n">
        <v>314.72249534</v>
      </c>
      <c r="E13" s="49" t="n">
        <f aca="false">C13-D13</f>
        <v>5.13296072313096E-010</v>
      </c>
      <c r="F13" s="5" t="str">
        <f aca="false">IF(ABS(E13)&lt;=0.0314722495340514,"Pass","Check")</f>
        <v>Pass</v>
      </c>
    </row>
    <row r="14" customFormat="false" ht="15" hidden="false" customHeight="false" outlineLevel="0" collapsed="false">
      <c r="B14" s="5" t="s">
        <v>251</v>
      </c>
      <c r="C14" s="6" t="n">
        <f aca="false">DCF!$C$21-DCF!$C$22</f>
        <v>2.05818651011214E-009</v>
      </c>
      <c r="D14" s="20" t="n">
        <v>0</v>
      </c>
      <c r="E14" s="49" t="n">
        <f aca="false">C14-D14</f>
        <v>2.05818651011214E-009</v>
      </c>
      <c r="F14" s="5" t="str">
        <f aca="false">IF(ABS(E14)&lt;=0.01,"Pass","Check")</f>
        <v>Pass</v>
      </c>
      <c r="G14" s="19" t="s">
        <v>252</v>
      </c>
    </row>
    <row r="16" customFormat="false" ht="15" hidden="false" customHeight="false" outlineLevel="0" collapsed="false">
      <c r="B16" s="38" t="s">
        <v>253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2026-10-14T16:48:43Z</dcterms:created>
  <dc:creator>openpyxl</dc:creator>
  <dc:description/>
  <dc:language>en-US</dc:language>
  <cp:lastModifiedBy/>
  <dcterms:modified xsi:type="dcterms:W3CDTF">2026-10-14T16:48:44Z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