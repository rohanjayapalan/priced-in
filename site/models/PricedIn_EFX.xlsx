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xl/_rels/workbook.xml.rels" ContentType="application/vnd.openxmlformats-package.relationship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_rels/sheet1.xml.rels" ContentType="application/vnd.openxmlformats-package.relationships+xml"/>
  <Override PartName="/xl/worksheets/sheet8.xml" ContentType="application/vnd.openxmlformats-officedocument.spreadsheetml.worksheet+xml"/>
  <Override PartName="/xl/sharedStrings.xml" ContentType="application/vnd.openxmlformats-officedocument.spreadsheetml.sharedStrings+xml"/>
  <Override PartName="/_rels/.rels" ContentType="application/vnd.openxmlformats-package.relationship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Cover" sheetId="1" state="visible" r:id="rId3"/>
    <sheet name="Inputs" sheetId="2" state="visible" r:id="rId4"/>
    <sheet name="History" sheetId="3" state="visible" r:id="rId5"/>
    <sheet name="WACC" sheetId="4" state="visible" r:id="rId6"/>
    <sheet name="Solver" sheetId="5" state="visible" r:id="rId7"/>
    <sheet name="DCF" sheetId="6" state="visible" r:id="rId8"/>
    <sheet name="Sensitivity" sheetId="7" state="visible" r:id="rId9"/>
    <sheet name="Check" sheetId="8" state="visible" r:id="rId10"/>
  </sheet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<sst xmlns="http://schemas.openxmlformats.org/spreadsheetml/2006/main" count="841" uniqueCount="248">
  <si>
    <t xml:space="preserve">Priced In: Equifax (EFX)</t>
  </si>
  <si>
    <t xml:space="preserve">Reverse DCF, model v1.0. Inputs as of the Oct 13, 2026 close; model locked Oct 14, 2026 (commit 0735af0).</t>
  </si>
  <si>
    <t xml:space="preserve">Credit data | US | reports in USD</t>
  </si>
  <si>
    <t xml:space="preserve">The question</t>
  </si>
  <si>
    <t xml:space="preserve">What revenue growth over the next five years does today's price imply, and is that more or less than the company has delivered and analysts expect?</t>
  </si>
  <si>
    <t xml:space="preserve">Answer</t>
  </si>
  <si>
    <t xml:space="preserve">Price at the lock ($)</t>
  </si>
  <si>
    <t xml:space="preserve">Implied 5-year revenue growth</t>
  </si>
  <si>
    <t xml:space="preserve">Anchor (history and analysts)</t>
  </si>
  <si>
    <t xml:space="preserve">Gap (implied - anchor)</t>
  </si>
  <si>
    <t xml:space="preserve">Verdict</t>
  </si>
  <si>
    <t xml:space="preserve">WACC</t>
  </si>
  <si>
    <t xml:space="preserve">Terminal growth</t>
  </si>
  <si>
    <t xml:space="preserve">Unlevered free-cash-flow margin</t>
  </si>
  <si>
    <t xml:space="preserve">Your view of growth (Inputs, yellow)</t>
  </si>
  <si>
    <t xml:space="preserve">Value per share at your view ($)</t>
  </si>
  <si>
    <t xml:space="preserve">Upside or downside at your view</t>
  </si>
  <si>
    <t xml:space="preserve">How to use this file</t>
  </si>
  <si>
    <t xml:space="preserve">1. Change any blue cell on Inputs, History or WACC; everything recalculates, including the solver.</t>
  </si>
  <si>
    <t xml:space="preserve">2. The Solver tab finds implied growth by bisection with formulas, so you never need Goal Seek. 40 steps narrow a 150-point range to well under 0.0001%.</t>
  </si>
  <si>
    <t xml:space="preserve">3. Type your own growth view in the yellow cell on Inputs; DCF panel B and this page show what the stock is worth if you're right.</t>
  </si>
  <si>
    <t xml:space="preserve">4. Check confirms this workbook matches the Python pipeline that runs the site.</t>
  </si>
  <si>
    <t xml:space="preserve">Colour key</t>
  </si>
  <si>
    <t xml:space="preserve">Typed input with a source</t>
  </si>
  <si>
    <t xml:space="preserve">Formula</t>
  </si>
  <si>
    <t xml:space="preserve">Link to another tab</t>
  </si>
  <si>
    <t xml:space="preserve">Your view (edit this one)</t>
  </si>
  <si>
    <t xml:space="preserve">Live site</t>
  </si>
  <si>
    <t xml:space="preserve">https://claude.ai/artifact/DS3n4CgaKxaSLzkXDsBKuK</t>
  </si>
  <si>
    <t xml:space="preserve">Built by Rohan Jayapalan. Not investment advice.</t>
  </si>
  <si>
    <t xml:space="preserve">Equifax (EFX): inputs</t>
  </si>
  <si>
    <t xml:space="preserve">Blue cells are typed inputs with a source. Black cells are formulas. Change a blue cell and every tab recalculates.</t>
  </si>
  <si>
    <t xml:space="preserve">Market and price</t>
  </si>
  <si>
    <t xml:space="preserve">Price per share at the lock ($)</t>
  </si>
  <si>
    <t xml:space="preserve">Market cap divided by shares from Stock Analysis at the Oct 13, 2026 close.</t>
  </si>
  <si>
    <t xml:space="preserve">Diluted shares outstanding (mm)</t>
  </si>
  <si>
    <t xml:space="preserve">Stock Analysis statistics page, Oct 13, 2026.</t>
  </si>
  <si>
    <t xml:space="preserve">Market value of equity ($mm)</t>
  </si>
  <si>
    <t xml:space="preserve">Price x shares.</t>
  </si>
  <si>
    <t xml:space="preserve">Trailing 12 months</t>
  </si>
  <si>
    <t xml:space="preserve">Revenue, reported ($mm)</t>
  </si>
  <si>
    <t xml:space="preserve">Stock Analysis income statement, trailing 12 months.</t>
  </si>
  <si>
    <t xml:space="preserve">Revenue used in the model ($mm)</t>
  </si>
  <si>
    <t xml:space="preserve">Same as reported.</t>
  </si>
  <si>
    <t xml:space="preserve">Free cash flow, reported (cash from operations - capex) ($mm)</t>
  </si>
  <si>
    <t xml:space="preserve">Stock Analysis cash flow statement, trailing 12 months.</t>
  </si>
  <si>
    <t xml:space="preserve">Free cash flow before adjustments ($mm)</t>
  </si>
  <si>
    <t xml:space="preserve">Less: adjustments ($mm)</t>
  </si>
  <si>
    <t xml:space="preserve">None for this company.</t>
  </si>
  <si>
    <t xml:space="preserve">Free cash flow used ($mm)</t>
  </si>
  <si>
    <t xml:space="preserve">Operating income ($mm)</t>
  </si>
  <si>
    <t xml:space="preserve">Stock Analysis, trailing 12 months.</t>
  </si>
  <si>
    <t xml:space="preserve">Pretax income ($mm)</t>
  </si>
  <si>
    <t xml:space="preserve">Interest proxy: operating income - pretax, floored at zero ($mm)</t>
  </si>
  <si>
    <t xml:space="preserve">Net interest and other non-operating costs. Adding it back (after tax) turns levered FCF into unlevered FCF.</t>
  </si>
  <si>
    <t xml:space="preserve">Tax rate</t>
  </si>
  <si>
    <t xml:space="preserve">Statutory blend: 25% US (21% federal plus state), 26.5% Canada (federal plus Ontario).</t>
  </si>
  <si>
    <t xml:space="preserve">After-tax interest added back ($mm)</t>
  </si>
  <si>
    <t xml:space="preserve">Unlevered free cash flow ($mm)</t>
  </si>
  <si>
    <t xml:space="preserve">Held flat for all 10 years in the model.</t>
  </si>
  <si>
    <t xml:space="preserve">EBITDA ($mm)</t>
  </si>
  <si>
    <t xml:space="preserve">Balance sheet</t>
  </si>
  <si>
    <t xml:space="preserve">Total debt ($mm)</t>
  </si>
  <si>
    <t xml:space="preserve">Stock Analysis balance sheet, latest quarter.</t>
  </si>
  <si>
    <t xml:space="preserve">Cash and equivalents ($mm)</t>
  </si>
  <si>
    <t xml:space="preserve">Net debt ($mm)</t>
  </si>
  <si>
    <t xml:space="preserve">Rates</t>
  </si>
  <si>
    <t xml:space="preserve">10-year US Treasury yield</t>
  </si>
  <si>
    <t xml:space="preserve">US Treasury daily par yield curve, Oct 13, 2026.</t>
  </si>
  <si>
    <t xml:space="preserve">10-year TIPS real yield</t>
  </si>
  <si>
    <t xml:space="preserve">US Treasury daily real yield curve, Oct 13, 2026.</t>
  </si>
  <si>
    <t xml:space="preserve">Breakeven inflation</t>
  </si>
  <si>
    <t xml:space="preserve">Nominal minus real: the market's inflation expectation.</t>
  </si>
  <si>
    <t xml:space="preserve">Risk-free rate used</t>
  </si>
  <si>
    <t xml:space="preserve">Real growth added to inflation</t>
  </si>
  <si>
    <t xml:space="preserve">Half a point of long-run real growth.</t>
  </si>
  <si>
    <t xml:space="preserve">Capped at the risk-free rate.</t>
  </si>
  <si>
    <t xml:space="preserve">Equity risk premium</t>
  </si>
  <si>
    <t xml:space="preserve">Damodaran implied equity risk premium, start of 2026.</t>
  </si>
  <si>
    <t xml:space="preserve">Growth anchor and verdict</t>
  </si>
  <si>
    <t xml:space="preserve">Past revenue growth (CAGR)</t>
  </si>
  <si>
    <t xml:space="preserve">FY2021 to the 12 months ended June 2026</t>
  </si>
  <si>
    <t xml:space="preserve">Analysts' revenue growth forecast</t>
  </si>
  <si>
    <t xml:space="preserve">Analysts' 3-year revenue CAGR forecast (stockanalysis)</t>
  </si>
  <si>
    <t xml:space="preserve">Anchor (average of the two)</t>
  </si>
  <si>
    <t xml:space="preserve">AVERAGE skips the n/a text when history isn't used.</t>
  </si>
  <si>
    <t xml:space="preserve">Verdict band (+/-)</t>
  </si>
  <si>
    <t xml:space="preserve">Set before any backtest and never changed.</t>
  </si>
  <si>
    <t xml:space="preserve">Your view of 5-year revenue growth</t>
  </si>
  <si>
    <t xml:space="preserve">Type your own view. It starts at the anchor. DCF panel B and the Cover show what the stock is worth at your view.</t>
  </si>
  <si>
    <t xml:space="preserve">Years at the solved growth rate</t>
  </si>
  <si>
    <t xml:space="preserve">Model v1.0: 5 years at the growth rate, then a straight-line fade.</t>
  </si>
  <si>
    <t xml:space="preserve">Years of fade to terminal growth</t>
  </si>
  <si>
    <t xml:space="preserve">Years 1 to 10 are on the Solver and DCF tabs; years past 10 grow at the terminal rate.</t>
  </si>
  <si>
    <t xml:space="preserve">Equifax (EFX): revenue history</t>
  </si>
  <si>
    <t xml:space="preserve">Revenue from Stock Analysis income statements; the window is chosen so acquisitions and disposals don't count as growth.</t>
  </si>
  <si>
    <t xml:space="preserve">Fiscal year</t>
  </si>
  <si>
    <t xml:space="preserve">FY2021</t>
  </si>
  <si>
    <t xml:space="preserve">FY2022</t>
  </si>
  <si>
    <t xml:space="preserve">FY2023</t>
  </si>
  <si>
    <t xml:space="preserve">FY2024</t>
  </si>
  <si>
    <t xml:space="preserve">FY2025</t>
  </si>
  <si>
    <t xml:space="preserve">TTM Jun-26</t>
  </si>
  <si>
    <t xml:space="preserve">Revenue ($mm)</t>
  </si>
  <si>
    <t xml:space="preserve">Growth on the prior year</t>
  </si>
  <si>
    <t xml:space="preserve">History window</t>
  </si>
  <si>
    <t xml:space="preserve">Start year</t>
  </si>
  <si>
    <t xml:space="preserve">Years from start to TTM</t>
  </si>
  <si>
    <t xml:space="preserve">Revenue CAGR, start to TTM</t>
  </si>
  <si>
    <t xml:space="preserve">Free-cash-flow margin history</t>
  </si>
  <si>
    <t xml:space="preserve">2021</t>
  </si>
  <si>
    <t xml:space="preserve">2022</t>
  </si>
  <si>
    <t xml:space="preserve">2023</t>
  </si>
  <si>
    <t xml:space="preserve">2024</t>
  </si>
  <si>
    <t xml:space="preserve">2025</t>
  </si>
  <si>
    <t xml:space="preserve">(CFO - capex) / revenue</t>
  </si>
  <si>
    <t xml:space="preserve">SEC XBRL filings (NetCashProvidedByOperatingActivities, PaymentsToAcquirePropertyPlantAndEquipment, revenue tags).</t>
  </si>
  <si>
    <t xml:space="preserve">Plus today's interest add-back</t>
  </si>
  <si>
    <t xml:space="preserve">Range (the margin slider's shaded zone)</t>
  </si>
  <si>
    <t xml:space="preserve">Equifax (EFX): cost of capital</t>
  </si>
  <si>
    <t xml:space="preserve">Bottom-up beta: the median unlevered beta of the company's group, relevered for this company's debt.</t>
  </si>
  <si>
    <t xml:space="preserve">Peer</t>
  </si>
  <si>
    <t xml:space="preserve">Raw beta</t>
  </si>
  <si>
    <t xml:space="preserve">Debt ($mm)</t>
  </si>
  <si>
    <t xml:space="preserve">Equity ($mm)</t>
  </si>
  <si>
    <t xml:space="preserve">Unlevered beta</t>
  </si>
  <si>
    <t xml:space="preserve">Fair Isaac (FICO)</t>
  </si>
  <si>
    <t xml:space="preserve">Raw betas: 60 monthly returns to Sep 2026 against the S&amp;P 500 (S&amp;P/TSX for TMX); Cboe uses Stock Analysis's 5-year beta. Debt and equity from Stock Analysis, Oct 13, 2026.</t>
  </si>
  <si>
    <t xml:space="preserve">Equifax (EFX)</t>
  </si>
  <si>
    <t xml:space="preserve">TransUnion (TRU)</t>
  </si>
  <si>
    <t xml:space="preserve">Group median unlevered beta</t>
  </si>
  <si>
    <t xml:space="preserve">Relevered beta</t>
  </si>
  <si>
    <t xml:space="preserve">Hamada: unlevered beta x (1 + (1 - tax) x debt / equity).</t>
  </si>
  <si>
    <t xml:space="preserve">Risk-free rate</t>
  </si>
  <si>
    <t xml:space="preserve">Cost of equity</t>
  </si>
  <si>
    <t xml:space="preserve">CAPM: risk-free + beta x premium.</t>
  </si>
  <si>
    <t xml:space="preserve">Debt-to-EBITDA spread table</t>
  </si>
  <si>
    <t xml:space="preserve">Debt / EBITDA below</t>
  </si>
  <si>
    <t xml:space="preserve">Spread</t>
  </si>
  <si>
    <t xml:space="preserve">Synthetic spread over the risk-free rate by leverage, a simplified version of Damodaran's ratings table; the last row covers anything at 4x or above.</t>
  </si>
  <si>
    <t xml:space="preserve">Debt / EBITDA</t>
  </si>
  <si>
    <t xml:space="preserve">Credit spread</t>
  </si>
  <si>
    <t xml:space="preserve">First row whose limit is above this company's leverage.</t>
  </si>
  <si>
    <t xml:space="preserve">Pre-tax cost of debt</t>
  </si>
  <si>
    <t xml:space="preserve">After-tax cost of debt</t>
  </si>
  <si>
    <t xml:space="preserve">Weight of debt</t>
  </si>
  <si>
    <t xml:space="preserve">Market-value weights.</t>
  </si>
  <si>
    <t xml:space="preserve">Weight of equity</t>
  </si>
  <si>
    <t xml:space="preserve">Solver: bisection for the growth rate that makes the model equal the price (replaces Goal Seek)</t>
  </si>
  <si>
    <t xml:space="preserve">Revenue</t>
  </si>
  <si>
    <t xml:space="preserve">Margin</t>
  </si>
  <si>
    <t xml:space="preserve">Debt</t>
  </si>
  <si>
    <t xml:space="preserve">Cash</t>
  </si>
  <si>
    <t xml:space="preserve">Shares</t>
  </si>
  <si>
    <t xml:space="preserve">Price</t>
  </si>
  <si>
    <t xml:space="preserve">Years</t>
  </si>
  <si>
    <t xml:space="preserve">Fade</t>
  </si>
  <si>
    <t xml:space="preserve">Year</t>
  </si>
  <si>
    <t xml:space="preserve">Each row tries the midpoint of the current range. If the value per share is above the price, the answer is lower, so the top of the range moves down; otherwise the bottom moves up.</t>
  </si>
  <si>
    <t xml:space="preserve">Base case: model WACC and terminal growth (40 steps)</t>
  </si>
  <si>
    <t xml:space="preserve">Implied growth</t>
  </si>
  <si>
    <t xml:space="preserve">Step</t>
  </si>
  <si>
    <t xml:space="preserve">Low</t>
  </si>
  <si>
    <t xml:space="preserve">High</t>
  </si>
  <si>
    <t xml:space="preserve">Mid</t>
  </si>
  <si>
    <t xml:space="preserve">Rev Y1</t>
  </si>
  <si>
    <t xml:space="preserve">Rev Y2</t>
  </si>
  <si>
    <t xml:space="preserve">Rev Y3</t>
  </si>
  <si>
    <t xml:space="preserve">Rev Y4</t>
  </si>
  <si>
    <t xml:space="preserve">Rev Y5</t>
  </si>
  <si>
    <t xml:space="preserve">Rev Y6</t>
  </si>
  <si>
    <t xml:space="preserve">Rev Y7</t>
  </si>
  <si>
    <t xml:space="preserve">Rev Y8</t>
  </si>
  <si>
    <t xml:space="preserve">Rev Y9</t>
  </si>
  <si>
    <t xml:space="preserve">Rev Y10</t>
  </si>
  <si>
    <t xml:space="preserve">PV of FCF</t>
  </si>
  <si>
    <t xml:space="preserve">PV of TV</t>
  </si>
  <si>
    <t xml:space="preserve">EV</t>
  </si>
  <si>
    <t xml:space="preserve">Equity</t>
  </si>
  <si>
    <t xml:space="preserve">Per share</t>
  </si>
  <si>
    <t xml:space="preserve">Value - price</t>
  </si>
  <si>
    <t xml:space="preserve">Grid block 2: row 1, column 1 of table A (24 steps)</t>
  </si>
  <si>
    <t xml:space="preserve">Grid block 3: row 1, column 2 of table A (24 steps)</t>
  </si>
  <si>
    <t xml:space="preserve">Grid block 4: row 1, column 3 of table A (24 steps)</t>
  </si>
  <si>
    <t xml:space="preserve">Grid block 5: row 1, column 4 of table A (24 steps)</t>
  </si>
  <si>
    <t xml:space="preserve">Grid block 6: row 1, column 5 of table A (24 steps)</t>
  </si>
  <si>
    <t xml:space="preserve">Grid block 7: row 2, column 1 of table A (24 steps)</t>
  </si>
  <si>
    <t xml:space="preserve">Grid block 8: row 2, column 2 of table A (24 steps)</t>
  </si>
  <si>
    <t xml:space="preserve">Grid block 9: row 2, column 3 of table A (24 steps)</t>
  </si>
  <si>
    <t xml:space="preserve">Grid block 10: row 2, column 4 of table A (24 steps)</t>
  </si>
  <si>
    <t xml:space="preserve">Grid block 11: row 2, column 5 of table A (24 steps)</t>
  </si>
  <si>
    <t xml:space="preserve">Grid block 12: row 3, column 1 of table A (24 steps)</t>
  </si>
  <si>
    <t xml:space="preserve">Grid block 13: row 3, column 2 of table A (24 steps)</t>
  </si>
  <si>
    <t xml:space="preserve">Grid block 14: row 3, column 3 of table A (24 steps)</t>
  </si>
  <si>
    <t xml:space="preserve">Grid block 15: row 3, column 4 of table A (24 steps)</t>
  </si>
  <si>
    <t xml:space="preserve">Grid block 16: row 3, column 5 of table A (24 steps)</t>
  </si>
  <si>
    <t xml:space="preserve">Grid block 17: row 4, column 1 of table A (24 steps)</t>
  </si>
  <si>
    <t xml:space="preserve">Grid block 18: row 4, column 2 of table A (24 steps)</t>
  </si>
  <si>
    <t xml:space="preserve">Grid block 19: row 4, column 3 of table A (24 steps)</t>
  </si>
  <si>
    <t xml:space="preserve">Grid block 20: row 4, column 4 of table A (24 steps)</t>
  </si>
  <si>
    <t xml:space="preserve">Grid block 21: row 4, column 5 of table A (24 steps)</t>
  </si>
  <si>
    <t xml:space="preserve">Grid block 22: row 5, column 1 of table A (24 steps)</t>
  </si>
  <si>
    <t xml:space="preserve">Grid block 23: row 5, column 2 of table A (24 steps)</t>
  </si>
  <si>
    <t xml:space="preserve">Grid block 24: row 5, column 3 of table A (24 steps)</t>
  </si>
  <si>
    <t xml:space="preserve">Grid block 25: row 5, column 4 of table A (24 steps)</t>
  </si>
  <si>
    <t xml:space="preserve">Grid block 26: row 5, column 5 of table A (24 steps)</t>
  </si>
  <si>
    <t xml:space="preserve">Equifax (EFX): discounted cash flow</t>
  </si>
  <si>
    <t xml:space="preserve">Panel A runs the model at the solved growth rate, so it should land on the price. Panel B runs it at your view.</t>
  </si>
  <si>
    <t xml:space="preserve">A. At the solved (implied) growth rate</t>
  </si>
  <si>
    <t xml:space="preserve">Revenue growth</t>
  </si>
  <si>
    <t xml:space="preserve">Discount factor</t>
  </si>
  <si>
    <t xml:space="preserve">Present value ($mm)</t>
  </si>
  <si>
    <t xml:space="preserve">Sum of present values, years 1 to 10</t>
  </si>
  <si>
    <t xml:space="preserve">Terminal value at year 10</t>
  </si>
  <si>
    <t xml:space="preserve">Present value of terminal value</t>
  </si>
  <si>
    <t xml:space="preserve">Enterprise value</t>
  </si>
  <si>
    <t xml:space="preserve">Less: debt</t>
  </si>
  <si>
    <t xml:space="preserve">Plus: cash</t>
  </si>
  <si>
    <t xml:space="preserve">Equity value</t>
  </si>
  <si>
    <t xml:space="preserve">Shares (mm)</t>
  </si>
  <si>
    <t xml:space="preserve">Value per share ($)</t>
  </si>
  <si>
    <t xml:space="preserve">Value / price - 1</t>
  </si>
  <si>
    <t xml:space="preserve">Terminal value share of enterprise value</t>
  </si>
  <si>
    <t xml:space="preserve">B. At your view of growth (Inputs tab, yellow cell)</t>
  </si>
  <si>
    <t xml:space="preserve">Equifax (EFX): sensitivity</t>
  </si>
  <si>
    <t xml:space="preserve">Table A re-solves implied growth for each pair of inputs (Solver tab, blocks 2 to 26). Table B values the stock at a growth view.</t>
  </si>
  <si>
    <t xml:space="preserve">WACC step</t>
  </si>
  <si>
    <t xml:space="preserve">Terminal-growth step</t>
  </si>
  <si>
    <t xml:space="preserve">Growth-view step</t>
  </si>
  <si>
    <t xml:space="preserve">A. Implied 5-year growth: WACC (rows) by terminal growth (columns)</t>
  </si>
  <si>
    <t xml:space="preserve">Centre cell = the base case. Each step changes one input by the step size above.</t>
  </si>
  <si>
    <t xml:space="preserve">B. Value per share: WACC (rows) by your growth view (columns)</t>
  </si>
  <si>
    <t xml:space="preserve">Compare with the price at the lock: $147.17.</t>
  </si>
  <si>
    <t xml:space="preserve">Helper: revenue paths for each growth view (years 1 to 10)</t>
  </si>
  <si>
    <t xml:space="preserve">Equifax (EFX): check against the Python pipeline</t>
  </si>
  <si>
    <t xml:space="preserve">Python values are typed in (blue) from the pipeline that runs the site. Each row passes if the two agree within the tolerance.</t>
  </si>
  <si>
    <t xml:space="preserve">Item</t>
  </si>
  <si>
    <t xml:space="preserve">This workbook</t>
  </si>
  <si>
    <t xml:space="preserve">Python pipeline</t>
  </si>
  <si>
    <t xml:space="preserve">Difference</t>
  </si>
  <si>
    <t xml:space="preserve">Result</t>
  </si>
  <si>
    <t xml:space="preserve">Anchor</t>
  </si>
  <si>
    <t xml:space="preserve">Implied growth, base case</t>
  </si>
  <si>
    <t xml:space="preserve">Implied growth, WACC one point higher</t>
  </si>
  <si>
    <t xml:space="preserve">Value per share at the anchor ($)</t>
  </si>
  <si>
    <t xml:space="preserve">Panel A value minus price ($)</t>
  </si>
  <si>
    <t xml:space="preserve">Panel B on the DCF tab uses your view; with the yellow cell at the anchor it matches the pipeline.</t>
  </si>
  <si>
    <t xml:space="preserve">Overall</t>
  </si>
</sst>
</file>

<file path=xl/styles.xml><?xml version="1.0" encoding="utf-8"?>
<styleSheet xmlns="http://schemas.openxmlformats.org/spreadsheetml/2006/main">
  <numFmts count="14">
    <numFmt numFmtId="164" formatCode="General"/>
    <numFmt numFmtId="165" formatCode="\$#,##0.00;&quot;($&quot;#,##0.00\);\-"/>
    <numFmt numFmtId="166" formatCode="0.0%;\(0.0%\);\-"/>
    <numFmt numFmtId="167" formatCode="0.00%;\(0.00%\);\-"/>
    <numFmt numFmtId="168" formatCode="#,##0;\(#,##0\);\-"/>
    <numFmt numFmtId="169" formatCode="#,##0.0;\(#,##0.0\);\-"/>
    <numFmt numFmtId="170" formatCode="0"/>
    <numFmt numFmtId="171" formatCode="0.00"/>
    <numFmt numFmtId="172" formatCode="0.00;\(0.00\);\-"/>
    <numFmt numFmtId="173" formatCode="0.0\x"/>
    <numFmt numFmtId="174" formatCode="0.0000%"/>
    <numFmt numFmtId="175" formatCode="#,##0.0000;\(#,##0.0000\);\-"/>
    <numFmt numFmtId="176" formatCode="0.0000"/>
    <numFmt numFmtId="177" formatCode="0.000000"/>
  </numFmts>
  <fonts count="15">
    <font>
      <sz val="11"/>
      <color theme="1"/>
      <name val="Calibri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b val="true"/>
      <sz val="16"/>
      <color rgb="FF1F3A5F"/>
      <name val="Arial"/>
      <family val="0"/>
      <charset val="1"/>
    </font>
    <font>
      <sz val="10"/>
      <color rgb="FF666666"/>
      <name val="Arial"/>
      <family val="0"/>
      <charset val="1"/>
    </font>
    <font>
      <b val="true"/>
      <sz val="11"/>
      <color rgb="FF1F3A5F"/>
      <name val="Arial"/>
      <family val="0"/>
      <charset val="1"/>
    </font>
    <font>
      <sz val="10"/>
      <color rgb="FF000000"/>
      <name val="Arial"/>
      <family val="0"/>
      <charset val="1"/>
    </font>
    <font>
      <sz val="10"/>
      <color rgb="FF008000"/>
      <name val="Arial"/>
      <family val="0"/>
      <charset val="1"/>
    </font>
    <font>
      <b val="true"/>
      <sz val="10"/>
      <color rgb="FF000000"/>
      <name val="Arial"/>
      <family val="0"/>
      <charset val="1"/>
    </font>
    <font>
      <sz val="10"/>
      <color rgb="FF0000FF"/>
      <name val="Arial"/>
      <family val="0"/>
      <charset val="1"/>
    </font>
    <font>
      <u val="single"/>
      <sz val="10"/>
      <color rgb="FF0000FF"/>
      <name val="Arial"/>
      <family val="0"/>
      <charset val="1"/>
    </font>
    <font>
      <i val="true"/>
      <sz val="9"/>
      <color rgb="FF666666"/>
      <name val="Arial"/>
      <family val="0"/>
      <charset val="1"/>
    </font>
    <font>
      <b val="true"/>
      <sz val="10"/>
      <color rgb="FFFFFFFF"/>
      <name val="Arial"/>
      <family val="0"/>
      <charset val="1"/>
    </font>
    <font>
      <b val="true"/>
      <sz val="10"/>
      <name val="Arial"/>
      <family val="0"/>
      <charset val="1"/>
    </font>
  </fonts>
  <fills count="5">
    <fill>
      <patternFill patternType="none"/>
    </fill>
    <fill>
      <patternFill patternType="gray125"/>
    </fill>
    <fill>
      <patternFill patternType="solid">
        <fgColor rgb="FFEEF3F8"/>
        <bgColor rgb="FFFFFFFF"/>
      </patternFill>
    </fill>
    <fill>
      <patternFill patternType="solid">
        <fgColor rgb="FFFFFF00"/>
        <bgColor rgb="FFFFFF00"/>
      </patternFill>
    </fill>
    <fill>
      <patternFill patternType="solid">
        <fgColor rgb="FF1F3A5F"/>
        <bgColor rgb="FF333333"/>
      </patternFill>
    </fill>
  </fills>
  <borders count="1">
    <border diagonalUp="false" diagonalDown="false">
      <left/>
      <right/>
      <top/>
      <bottom/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52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4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5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6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7" fillId="0" borderId="0" xfId="0" applyFont="true" applyBorder="true" applyAlignment="true" applyProtection="false">
      <alignment horizontal="general" vertical="bottom" textRotation="0" wrapText="true" indent="0" shrinkToFit="false"/>
      <protection locked="true" hidden="false"/>
    </xf>
    <xf numFmtId="164" fontId="7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5" fontId="8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9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6" fontId="8" fillId="2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6" fontId="8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6" fontId="7" fillId="2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9" fillId="2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7" fontId="8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0" fillId="0" borderId="0" xfId="0" applyFont="false" applyBorder="true" applyAlignment="true" applyProtection="false">
      <alignment horizontal="general" vertical="top" textRotation="0" wrapText="true" indent="0" shrinkToFit="false"/>
      <protection locked="true" hidden="false"/>
    </xf>
    <xf numFmtId="168" fontId="10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8" fontId="7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8" fontId="8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6" fontId="8" fillId="3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11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12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5" fontId="10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9" fontId="10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6" fontId="10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6" fontId="7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7" fontId="10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7" fontId="7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6" fontId="10" fillId="3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70" fontId="10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13" fillId="4" borderId="0" xfId="0" applyFont="true" applyBorder="false" applyAlignment="true" applyProtection="false">
      <alignment horizontal="center" vertical="center" textRotation="0" wrapText="true" indent="0" shrinkToFit="false"/>
      <protection locked="true" hidden="false"/>
    </xf>
    <xf numFmtId="164" fontId="10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71" fontId="10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72" fontId="10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72" fontId="7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73" fontId="10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73" fontId="7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7" fontId="14" fillId="2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9" fontId="8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70" fontId="8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14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70" fontId="14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7" fontId="7" fillId="2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74" fontId="7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5" fontId="7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75" fontId="7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70" fontId="13" fillId="4" borderId="0" xfId="0" applyFont="true" applyBorder="false" applyAlignment="true" applyProtection="false">
      <alignment horizontal="center" vertical="center" textRotation="0" wrapText="true" indent="0" shrinkToFit="false"/>
      <protection locked="true" hidden="false"/>
    </xf>
    <xf numFmtId="176" fontId="7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5" fontId="7" fillId="2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7" fontId="9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6" fontId="9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77" fontId="7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76" fontId="8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76" fontId="10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C0C0C0"/>
      <rgbColor rgb="FF808080"/>
      <rgbColor rgb="FF9999FF"/>
      <rgbColor rgb="FF993366"/>
      <rgbColor rgb="FFEEF3F8"/>
      <rgbColor rgb="FFCCFFFF"/>
      <rgbColor rgb="FF660066"/>
      <rgbColor rgb="FFFF8080"/>
      <rgbColor rgb="FF0066CC"/>
      <rgbColor rgb="FFCCCCFF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CCFFCC"/>
      <rgbColor rgb="FFFFFF99"/>
      <rgbColor rgb="FF99CCFF"/>
      <rgbColor rgb="FFFF99CC"/>
      <rgbColor rgb="FFCC99FF"/>
      <rgbColor rgb="FFFFCC99"/>
      <rgbColor rgb="FF3366FF"/>
      <rgbColor rgb="FF33CCCC"/>
      <rgbColor rgb="FF99CC00"/>
      <rgbColor rgb="FFFFCC00"/>
      <rgbColor rgb="FFFF9900"/>
      <rgbColor rgb="FFFF6600"/>
      <rgbColor rgb="FF666666"/>
      <rgbColor rgb="FF969696"/>
      <rgbColor rgb="FF1F3A5F"/>
      <rgbColor rgb="FF339966"/>
      <rgbColor rgb="FF003300"/>
      <rgbColor rgb="FF333300"/>
      <rgbColor rgb="FF993300"/>
      <rgbColor rgb="FF993366"/>
      <rgbColor rgb="FF333399"/>
      <rgbColor rgb="FF333333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worksheet" Target="worksheets/sheet2.xml"/><Relationship Id="rId5" Type="http://schemas.openxmlformats.org/officeDocument/2006/relationships/worksheet" Target="worksheets/sheet3.xml"/><Relationship Id="rId6" Type="http://schemas.openxmlformats.org/officeDocument/2006/relationships/worksheet" Target="worksheets/sheet4.xml"/><Relationship Id="rId7" Type="http://schemas.openxmlformats.org/officeDocument/2006/relationships/worksheet" Target="worksheets/sheet5.xml"/><Relationship Id="rId8" Type="http://schemas.openxmlformats.org/officeDocument/2006/relationships/worksheet" Target="worksheets/sheet6.xml"/><Relationship Id="rId9" Type="http://schemas.openxmlformats.org/officeDocument/2006/relationships/worksheet" Target="worksheets/sheet7.xml"/><Relationship Id="rId10" Type="http://schemas.openxmlformats.org/officeDocument/2006/relationships/worksheet" Target="worksheets/sheet8.xml"/><Relationship Id="rId11" Type="http://schemas.openxmlformats.org/officeDocument/2006/relationships/sharedStrings" Target="sharedStrings.xml"/>
</Relationships>
</file>

<file path=xl/theme/theme1.xml><?xml version="1.0" encoding="utf-8"?>
<a:theme xmlns:a="http://schemas.openxmlformats.org/drawingml/2006/main" xmlns:r="http://schemas.openxmlformats.org/officeDocument/2006/relationships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itchFamily="0" charset="1"/>
        <a:ea typeface=""/>
        <a:cs typeface=""/>
      </a:majorFont>
      <a:minorFont>
        <a:latin typeface="Calibri" pitchFamily="0" charset="1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 l="0" t="0" r="0" b="0"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 l="0" t="0" r="0" b="0"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 l="0" t="0" r="0" b="0"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 l="0" t="0" r="0" b="0"/>
        </a:gradFill>
      </a:bgFillStyleLst>
    </a:fmtScheme>
  </a:themeElements>
</a:theme>
</file>

<file path=xl/worksheets/_rels/sheet1.xml.rels><?xml version="1.0" encoding="UTF-8"?>
<Relationships xmlns="http://schemas.openxmlformats.org/package/2006/relationships"><Relationship Id="rId1" Type="http://schemas.openxmlformats.org/officeDocument/2006/relationships/hyperlink" Target="https://claude.ai/artifact/DS3n4CgaKxaSLzkXDsBKuK" TargetMode="External"/>
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tabColor rgb="FF1F3A5F"/>
    <pageSetUpPr fitToPage="false"/>
  </sheetPr>
  <dimension ref="B2:E40"/>
  <sheetViews>
    <sheetView showFormulas="false" showGridLines="false" showRowColHeaders="true" showZeros="true" rightToLeft="false" tabSelected="tru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2"/>
    <col collapsed="false" customWidth="true" hidden="false" outlineLevel="0" max="2" min="2" style="0" width="44"/>
    <col collapsed="false" customWidth="true" hidden="false" outlineLevel="0" max="3" min="3" style="0" width="18"/>
    <col collapsed="false" customWidth="true" hidden="false" outlineLevel="0" max="4" min="4" style="0" width="4"/>
    <col collapsed="false" customWidth="true" hidden="false" outlineLevel="0" max="5" min="5" style="0" width="70"/>
  </cols>
  <sheetData>
    <row r="2" customFormat="false" ht="19.7" hidden="false" customHeight="false" outlineLevel="0" collapsed="false">
      <c r="B2" s="1" t="s">
        <v>0</v>
      </c>
    </row>
    <row r="3" customFormat="false" ht="15" hidden="false" customHeight="false" outlineLevel="0" collapsed="false">
      <c r="B3" s="2" t="s">
        <v>1</v>
      </c>
    </row>
    <row r="4" customFormat="false" ht="15" hidden="false" customHeight="false" outlineLevel="0" collapsed="false">
      <c r="B4" s="2" t="s">
        <v>2</v>
      </c>
    </row>
    <row r="6" customFormat="false" ht="15" hidden="false" customHeight="false" outlineLevel="0" collapsed="false">
      <c r="B6" s="3" t="s">
        <v>3</v>
      </c>
    </row>
    <row r="7" customFormat="false" ht="30" hidden="false" customHeight="true" outlineLevel="0" collapsed="false">
      <c r="B7" s="4" t="s">
        <v>4</v>
      </c>
      <c r="C7" s="4"/>
      <c r="D7" s="4"/>
      <c r="E7" s="4"/>
    </row>
    <row r="9" customFormat="false" ht="15" hidden="false" customHeight="false" outlineLevel="0" collapsed="false">
      <c r="B9" s="3" t="s">
        <v>5</v>
      </c>
    </row>
    <row r="10" customFormat="false" ht="15" hidden="false" customHeight="false" outlineLevel="0" collapsed="false">
      <c r="B10" s="5" t="s">
        <v>6</v>
      </c>
      <c r="C10" s="6" t="n">
        <f aca="false">Inputs!$C$6</f>
        <v>147.173987061628</v>
      </c>
    </row>
    <row r="11" customFormat="false" ht="15" hidden="false" customHeight="false" outlineLevel="0" collapsed="false">
      <c r="B11" s="7" t="s">
        <v>7</v>
      </c>
      <c r="C11" s="8" t="n">
        <f aca="false">Solver!$W$7</f>
        <v>0.0510126700942237</v>
      </c>
    </row>
    <row r="12" customFormat="false" ht="15" hidden="false" customHeight="false" outlineLevel="0" collapsed="false">
      <c r="B12" s="5" t="s">
        <v>8</v>
      </c>
      <c r="C12" s="9" t="n">
        <f aca="false">Inputs!$C$43</f>
        <v>0.078371941355462</v>
      </c>
    </row>
    <row r="13" customFormat="false" ht="15" hidden="false" customHeight="false" outlineLevel="0" collapsed="false">
      <c r="B13" s="7" t="s">
        <v>9</v>
      </c>
      <c r="C13" s="10" t="n">
        <f aca="false">C11-C12</f>
        <v>-0.0273592712612383</v>
      </c>
    </row>
    <row r="14" customFormat="false" ht="15" hidden="false" customHeight="false" outlineLevel="0" collapsed="false">
      <c r="B14" s="7" t="s">
        <v>10</v>
      </c>
      <c r="C14" s="11" t="str">
        <f aca="false">IF(C13&gt;=Inputs!$C$44,"Expectations too high",IF(C13&lt;=-Inputs!$C$44,"Expectations too low","About right"))</f>
        <v>About right</v>
      </c>
    </row>
    <row r="15" customFormat="false" ht="15" hidden="false" customHeight="false" outlineLevel="0" collapsed="false">
      <c r="B15" s="5" t="s">
        <v>11</v>
      </c>
      <c r="C15" s="12" t="n">
        <f aca="false">WACC!$C$33</f>
        <v>0.0949886567315273</v>
      </c>
    </row>
    <row r="16" customFormat="false" ht="15" hidden="false" customHeight="false" outlineLevel="0" collapsed="false">
      <c r="B16" s="5" t="s">
        <v>12</v>
      </c>
      <c r="C16" s="12" t="n">
        <f aca="false">Inputs!$C$37</f>
        <v>0.0283</v>
      </c>
    </row>
    <row r="17" customFormat="false" ht="15" hidden="false" customHeight="false" outlineLevel="0" collapsed="false">
      <c r="B17" s="5" t="s">
        <v>13</v>
      </c>
      <c r="C17" s="9" t="n">
        <f aca="false">Inputs!$C$23</f>
        <v>0.200205745341615</v>
      </c>
    </row>
    <row r="18" customFormat="false" ht="15" hidden="false" customHeight="false" outlineLevel="0" collapsed="false">
      <c r="B18" s="5" t="s">
        <v>14</v>
      </c>
      <c r="C18" s="9" t="n">
        <f aca="false">Inputs!$C$45</f>
        <v>0.078371941355462</v>
      </c>
    </row>
    <row r="19" customFormat="false" ht="15" hidden="false" customHeight="false" outlineLevel="0" collapsed="false">
      <c r="B19" s="5" t="s">
        <v>15</v>
      </c>
      <c r="C19" s="6" t="n">
        <f aca="false">DCF!$C$41</f>
        <v>178.915872923603</v>
      </c>
    </row>
    <row r="20" customFormat="false" ht="15" hidden="false" customHeight="false" outlineLevel="0" collapsed="false">
      <c r="B20" s="5" t="s">
        <v>16</v>
      </c>
      <c r="C20" s="9" t="n">
        <f aca="false">DCF!$C$43</f>
        <v>0.215675925451988</v>
      </c>
    </row>
    <row r="23" customFormat="false" ht="30" hidden="false" customHeight="true" outlineLevel="0" collapsed="false">
      <c r="B23" s="13"/>
      <c r="C23" s="13"/>
      <c r="D23" s="13"/>
      <c r="E23" s="13"/>
    </row>
    <row r="25" customFormat="false" ht="15" hidden="false" customHeight="false" outlineLevel="0" collapsed="false">
      <c r="B25" s="3" t="s">
        <v>17</v>
      </c>
    </row>
    <row r="26" customFormat="false" ht="15" hidden="false" customHeight="false" outlineLevel="0" collapsed="false">
      <c r="B26" s="5" t="s">
        <v>18</v>
      </c>
    </row>
    <row r="27" customFormat="false" ht="15" hidden="false" customHeight="false" outlineLevel="0" collapsed="false">
      <c r="B27" s="5" t="s">
        <v>19</v>
      </c>
    </row>
    <row r="28" customFormat="false" ht="15" hidden="false" customHeight="false" outlineLevel="0" collapsed="false">
      <c r="B28" s="5" t="s">
        <v>20</v>
      </c>
    </row>
    <row r="29" customFormat="false" ht="15" hidden="false" customHeight="false" outlineLevel="0" collapsed="false">
      <c r="B29" s="5" t="s">
        <v>21</v>
      </c>
    </row>
    <row r="31" customFormat="false" ht="15" hidden="false" customHeight="false" outlineLevel="0" collapsed="false">
      <c r="B31" s="3" t="s">
        <v>22</v>
      </c>
    </row>
    <row r="32" customFormat="false" ht="15" hidden="false" customHeight="false" outlineLevel="0" collapsed="false">
      <c r="B32" s="5" t="s">
        <v>23</v>
      </c>
      <c r="C32" s="14" t="n">
        <v>1234</v>
      </c>
    </row>
    <row r="33" customFormat="false" ht="15" hidden="false" customHeight="false" outlineLevel="0" collapsed="false">
      <c r="B33" s="5" t="s">
        <v>24</v>
      </c>
      <c r="C33" s="15" t="n">
        <f aca="false">C32*2</f>
        <v>2468</v>
      </c>
    </row>
    <row r="34" customFormat="false" ht="15" hidden="false" customHeight="false" outlineLevel="0" collapsed="false">
      <c r="B34" s="5" t="s">
        <v>25</v>
      </c>
      <c r="C34" s="16" t="n">
        <f aca="false">Inputs!$C$12</f>
        <v>6440</v>
      </c>
    </row>
    <row r="35" customFormat="false" ht="15" hidden="false" customHeight="false" outlineLevel="0" collapsed="false">
      <c r="B35" s="5" t="s">
        <v>26</v>
      </c>
      <c r="C35" s="17" t="n">
        <f aca="false">Inputs!$C$45</f>
        <v>0.078371941355462</v>
      </c>
    </row>
    <row r="37" customFormat="false" ht="15" hidden="false" customHeight="false" outlineLevel="0" collapsed="false">
      <c r="B37" s="3" t="s">
        <v>27</v>
      </c>
    </row>
    <row r="38" customFormat="false" ht="15" hidden="false" customHeight="false" outlineLevel="0" collapsed="false">
      <c r="B38" s="18" t="s">
        <v>28</v>
      </c>
    </row>
    <row r="40" customFormat="false" ht="15" hidden="false" customHeight="false" outlineLevel="0" collapsed="false">
      <c r="B40" s="19" t="s">
        <v>29</v>
      </c>
    </row>
  </sheetData>
  <mergeCells count="2">
    <mergeCell ref="B7:E7"/>
    <mergeCell ref="B23:E23"/>
  </mergeCells>
  <hyperlinks>
    <hyperlink ref="B38" r:id="rId1" display="https://claude.ai/artifact/DS3n4CgaKxaSLzkXDsBKuK"/>
  </hyperlink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B2:E47"/>
  <sheetViews>
    <sheetView showFormulas="false" showGridLines="fals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2"/>
    <col collapsed="false" customWidth="true" hidden="false" outlineLevel="0" max="2" min="2" style="0" width="50"/>
    <col collapsed="false" customWidth="true" hidden="false" outlineLevel="0" max="3" min="3" style="0" width="14"/>
    <col collapsed="false" customWidth="true" hidden="false" outlineLevel="0" max="4" min="4" style="0" width="2"/>
    <col collapsed="false" customWidth="true" hidden="false" outlineLevel="0" max="5" min="5" style="0" width="90"/>
  </cols>
  <sheetData>
    <row r="2" customFormat="false" ht="19.7" hidden="false" customHeight="false" outlineLevel="0" collapsed="false">
      <c r="B2" s="1" t="s">
        <v>30</v>
      </c>
    </row>
    <row r="3" customFormat="false" ht="15" hidden="false" customHeight="false" outlineLevel="0" collapsed="false">
      <c r="B3" s="2" t="s">
        <v>31</v>
      </c>
    </row>
    <row r="5" customFormat="false" ht="15" hidden="false" customHeight="false" outlineLevel="0" collapsed="false">
      <c r="B5" s="3" t="s">
        <v>32</v>
      </c>
    </row>
    <row r="6" customFormat="false" ht="15" hidden="false" customHeight="false" outlineLevel="0" collapsed="false">
      <c r="B6" s="5" t="s">
        <v>33</v>
      </c>
      <c r="C6" s="20" t="n">
        <v>147.173987061628</v>
      </c>
      <c r="E6" s="19" t="s">
        <v>34</v>
      </c>
    </row>
    <row r="7" customFormat="false" ht="15" hidden="false" customHeight="false" outlineLevel="0" collapsed="false">
      <c r="B7" s="5" t="s">
        <v>35</v>
      </c>
      <c r="C7" s="21" t="n">
        <v>117.48</v>
      </c>
      <c r="E7" s="19" t="s">
        <v>36</v>
      </c>
    </row>
    <row r="8" customFormat="false" ht="15" hidden="false" customHeight="false" outlineLevel="0" collapsed="false">
      <c r="B8" s="5" t="s">
        <v>37</v>
      </c>
      <c r="C8" s="15" t="n">
        <f aca="false">C6*C7</f>
        <v>17290</v>
      </c>
      <c r="E8" s="19" t="s">
        <v>38</v>
      </c>
    </row>
    <row r="10" customFormat="false" ht="15" hidden="false" customHeight="false" outlineLevel="0" collapsed="false">
      <c r="B10" s="3" t="s">
        <v>39</v>
      </c>
    </row>
    <row r="11" customFormat="false" ht="15" hidden="false" customHeight="false" outlineLevel="0" collapsed="false">
      <c r="B11" s="5" t="s">
        <v>40</v>
      </c>
      <c r="C11" s="14" t="n">
        <v>6440</v>
      </c>
      <c r="E11" s="19" t="s">
        <v>41</v>
      </c>
    </row>
    <row r="12" customFormat="false" ht="15" hidden="false" customHeight="false" outlineLevel="0" collapsed="false">
      <c r="B12" s="5" t="s">
        <v>42</v>
      </c>
      <c r="C12" s="15" t="n">
        <f aca="false">C11</f>
        <v>6440</v>
      </c>
      <c r="E12" s="19" t="s">
        <v>43</v>
      </c>
    </row>
    <row r="13" customFormat="false" ht="15" hidden="false" customHeight="false" outlineLevel="0" collapsed="false">
      <c r="B13" s="5" t="s">
        <v>44</v>
      </c>
      <c r="C13" s="14" t="n">
        <v>1110</v>
      </c>
      <c r="E13" s="19" t="s">
        <v>45</v>
      </c>
    </row>
    <row r="14" customFormat="false" ht="15" hidden="false" customHeight="false" outlineLevel="0" collapsed="false">
      <c r="B14" s="5" t="s">
        <v>46</v>
      </c>
      <c r="C14" s="15" t="n">
        <f aca="false">C13</f>
        <v>1110</v>
      </c>
      <c r="E14" s="19" t="s">
        <v>43</v>
      </c>
    </row>
    <row r="15" customFormat="false" ht="15" hidden="false" customHeight="false" outlineLevel="0" collapsed="false">
      <c r="B15" s="5" t="s">
        <v>47</v>
      </c>
      <c r="C15" s="14" t="n">
        <v>0</v>
      </c>
      <c r="E15" s="19" t="s">
        <v>48</v>
      </c>
    </row>
    <row r="16" customFormat="false" ht="15" hidden="false" customHeight="false" outlineLevel="0" collapsed="false">
      <c r="B16" s="5" t="s">
        <v>49</v>
      </c>
      <c r="C16" s="15" t="n">
        <f aca="false">C14-C15</f>
        <v>1110</v>
      </c>
    </row>
    <row r="17" customFormat="false" ht="15" hidden="false" customHeight="false" outlineLevel="0" collapsed="false">
      <c r="B17" s="5" t="s">
        <v>50</v>
      </c>
      <c r="C17" s="14" t="n">
        <v>1180</v>
      </c>
      <c r="E17" s="19" t="s">
        <v>51</v>
      </c>
    </row>
    <row r="18" customFormat="false" ht="15" hidden="false" customHeight="false" outlineLevel="0" collapsed="false">
      <c r="B18" s="5" t="s">
        <v>52</v>
      </c>
      <c r="C18" s="14" t="n">
        <v>940.9</v>
      </c>
      <c r="E18" s="19" t="s">
        <v>51</v>
      </c>
    </row>
    <row r="19" customFormat="false" ht="15" hidden="false" customHeight="false" outlineLevel="0" collapsed="false">
      <c r="B19" s="5" t="s">
        <v>53</v>
      </c>
      <c r="C19" s="15" t="n">
        <f aca="false">MAX(0,C17-C18)</f>
        <v>239.1</v>
      </c>
      <c r="E19" s="19" t="s">
        <v>54</v>
      </c>
    </row>
    <row r="20" customFormat="false" ht="15" hidden="false" customHeight="false" outlineLevel="0" collapsed="false">
      <c r="B20" s="5" t="s">
        <v>55</v>
      </c>
      <c r="C20" s="22" t="n">
        <v>0.25</v>
      </c>
      <c r="E20" s="19" t="s">
        <v>56</v>
      </c>
    </row>
    <row r="21" customFormat="false" ht="15" hidden="false" customHeight="false" outlineLevel="0" collapsed="false">
      <c r="B21" s="5" t="s">
        <v>57</v>
      </c>
      <c r="C21" s="15" t="n">
        <f aca="false">C19*(1-C20)</f>
        <v>179.325</v>
      </c>
    </row>
    <row r="22" customFormat="false" ht="15" hidden="false" customHeight="false" outlineLevel="0" collapsed="false">
      <c r="B22" s="5" t="s">
        <v>58</v>
      </c>
      <c r="C22" s="15" t="n">
        <f aca="false">C16+C21</f>
        <v>1289.325</v>
      </c>
    </row>
    <row r="23" customFormat="false" ht="15" hidden="false" customHeight="false" outlineLevel="0" collapsed="false">
      <c r="B23" s="5" t="s">
        <v>13</v>
      </c>
      <c r="C23" s="23" t="n">
        <f aca="false">C22/C12</f>
        <v>0.200205745341615</v>
      </c>
      <c r="E23" s="19" t="s">
        <v>59</v>
      </c>
    </row>
    <row r="24" customFormat="false" ht="15" hidden="false" customHeight="false" outlineLevel="0" collapsed="false">
      <c r="B24" s="5" t="s">
        <v>60</v>
      </c>
      <c r="C24" s="14" t="n">
        <v>1920</v>
      </c>
      <c r="E24" s="19" t="s">
        <v>51</v>
      </c>
    </row>
    <row r="26" customFormat="false" ht="15" hidden="false" customHeight="false" outlineLevel="0" collapsed="false">
      <c r="B26" s="3" t="s">
        <v>61</v>
      </c>
    </row>
    <row r="27" customFormat="false" ht="15" hidden="false" customHeight="false" outlineLevel="0" collapsed="false">
      <c r="B27" s="5" t="s">
        <v>62</v>
      </c>
      <c r="C27" s="14" t="n">
        <v>5470</v>
      </c>
      <c r="E27" s="19" t="s">
        <v>63</v>
      </c>
    </row>
    <row r="28" customFormat="false" ht="15" hidden="false" customHeight="false" outlineLevel="0" collapsed="false">
      <c r="B28" s="5" t="s">
        <v>64</v>
      </c>
      <c r="C28" s="14" t="n">
        <v>170.1</v>
      </c>
      <c r="E28" s="19" t="s">
        <v>63</v>
      </c>
    </row>
    <row r="29" customFormat="false" ht="15" hidden="false" customHeight="false" outlineLevel="0" collapsed="false">
      <c r="B29" s="5" t="s">
        <v>65</v>
      </c>
      <c r="C29" s="15" t="n">
        <f aca="false">C27-C28</f>
        <v>5299.9</v>
      </c>
    </row>
    <row r="31" customFormat="false" ht="15" hidden="false" customHeight="false" outlineLevel="0" collapsed="false">
      <c r="B31" s="3" t="s">
        <v>66</v>
      </c>
    </row>
    <row r="32" customFormat="false" ht="15" hidden="false" customHeight="false" outlineLevel="0" collapsed="false">
      <c r="B32" s="5" t="s">
        <v>67</v>
      </c>
      <c r="C32" s="24" t="n">
        <v>0.0521</v>
      </c>
      <c r="E32" s="19" t="s">
        <v>68</v>
      </c>
    </row>
    <row r="33" customFormat="false" ht="15" hidden="false" customHeight="false" outlineLevel="0" collapsed="false">
      <c r="B33" s="5" t="s">
        <v>69</v>
      </c>
      <c r="C33" s="24" t="n">
        <v>0.0288</v>
      </c>
      <c r="E33" s="19" t="s">
        <v>70</v>
      </c>
    </row>
    <row r="34" customFormat="false" ht="15" hidden="false" customHeight="false" outlineLevel="0" collapsed="false">
      <c r="B34" s="5" t="s">
        <v>71</v>
      </c>
      <c r="C34" s="25" t="n">
        <f aca="false">C32-C33</f>
        <v>0.0233</v>
      </c>
      <c r="E34" s="19" t="s">
        <v>72</v>
      </c>
    </row>
    <row r="35" customFormat="false" ht="15" hidden="false" customHeight="false" outlineLevel="0" collapsed="false">
      <c r="B35" s="5" t="s">
        <v>73</v>
      </c>
      <c r="C35" s="25" t="n">
        <f aca="false">C32</f>
        <v>0.0521</v>
      </c>
    </row>
    <row r="36" customFormat="false" ht="15" hidden="false" customHeight="false" outlineLevel="0" collapsed="false">
      <c r="B36" s="5" t="s">
        <v>74</v>
      </c>
      <c r="C36" s="24" t="n">
        <v>0.005</v>
      </c>
      <c r="E36" s="19" t="s">
        <v>75</v>
      </c>
    </row>
    <row r="37" customFormat="false" ht="15" hidden="false" customHeight="false" outlineLevel="0" collapsed="false">
      <c r="B37" s="5" t="s">
        <v>12</v>
      </c>
      <c r="C37" s="25" t="n">
        <f aca="false">MIN(C34+C36,C35)</f>
        <v>0.0283</v>
      </c>
      <c r="E37" s="19" t="s">
        <v>76</v>
      </c>
    </row>
    <row r="38" customFormat="false" ht="15" hidden="false" customHeight="false" outlineLevel="0" collapsed="false">
      <c r="B38" s="5" t="s">
        <v>77</v>
      </c>
      <c r="C38" s="24" t="n">
        <v>0.0423</v>
      </c>
      <c r="E38" s="19" t="s">
        <v>78</v>
      </c>
    </row>
    <row r="40" customFormat="false" ht="15" hidden="false" customHeight="false" outlineLevel="0" collapsed="false">
      <c r="B40" s="3" t="s">
        <v>79</v>
      </c>
    </row>
    <row r="41" customFormat="false" ht="15" hidden="false" customHeight="false" outlineLevel="0" collapsed="false">
      <c r="B41" s="5" t="s">
        <v>80</v>
      </c>
      <c r="C41" s="9" t="n">
        <f aca="false">History!$C$12</f>
        <v>0.061643882710924</v>
      </c>
      <c r="E41" s="19" t="s">
        <v>81</v>
      </c>
    </row>
    <row r="42" customFormat="false" ht="15" hidden="false" customHeight="false" outlineLevel="0" collapsed="false">
      <c r="B42" s="5" t="s">
        <v>82</v>
      </c>
      <c r="C42" s="22" t="n">
        <v>0.0951</v>
      </c>
      <c r="E42" s="19" t="s">
        <v>83</v>
      </c>
    </row>
    <row r="43" customFormat="false" ht="15" hidden="false" customHeight="false" outlineLevel="0" collapsed="false">
      <c r="B43" s="5" t="s">
        <v>84</v>
      </c>
      <c r="C43" s="23" t="n">
        <f aca="false">AVERAGE(C41:C42)</f>
        <v>0.078371941355462</v>
      </c>
      <c r="E43" s="19" t="s">
        <v>85</v>
      </c>
    </row>
    <row r="44" customFormat="false" ht="15" hidden="false" customHeight="false" outlineLevel="0" collapsed="false">
      <c r="B44" s="5" t="s">
        <v>86</v>
      </c>
      <c r="C44" s="22" t="n">
        <v>0.03</v>
      </c>
      <c r="E44" s="19" t="s">
        <v>87</v>
      </c>
    </row>
    <row r="45" customFormat="false" ht="15" hidden="false" customHeight="false" outlineLevel="0" collapsed="false">
      <c r="B45" s="5" t="s">
        <v>88</v>
      </c>
      <c r="C45" s="26" t="n">
        <v>0.078371941355462</v>
      </c>
      <c r="E45" s="19" t="s">
        <v>89</v>
      </c>
    </row>
    <row r="46" customFormat="false" ht="15" hidden="false" customHeight="false" outlineLevel="0" collapsed="false">
      <c r="B46" s="5" t="s">
        <v>90</v>
      </c>
      <c r="C46" s="27" t="n">
        <v>5</v>
      </c>
      <c r="E46" s="19" t="s">
        <v>91</v>
      </c>
    </row>
    <row r="47" customFormat="false" ht="15" hidden="false" customHeight="false" outlineLevel="0" collapsed="false">
      <c r="B47" s="5" t="s">
        <v>92</v>
      </c>
      <c r="C47" s="27" t="n">
        <v>5</v>
      </c>
      <c r="E47" s="19" t="s">
        <v>93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B2:I19"/>
  <sheetViews>
    <sheetView showFormulas="false" showGridLines="fals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2"/>
    <col collapsed="false" customWidth="true" hidden="false" outlineLevel="0" max="2" min="2" style="0" width="34"/>
    <col collapsed="false" customWidth="true" hidden="false" outlineLevel="0" max="7" min="3" style="0" width="13"/>
    <col collapsed="false" customWidth="true" hidden="false" outlineLevel="0" max="8" min="8" style="0" width="16"/>
    <col collapsed="false" customWidth="true" hidden="false" outlineLevel="0" max="9" min="9" style="0" width="60"/>
  </cols>
  <sheetData>
    <row r="2" customFormat="false" ht="19.7" hidden="false" customHeight="false" outlineLevel="0" collapsed="false">
      <c r="B2" s="1" t="s">
        <v>94</v>
      </c>
    </row>
    <row r="3" customFormat="false" ht="15" hidden="false" customHeight="false" outlineLevel="0" collapsed="false">
      <c r="B3" s="2" t="s">
        <v>95</v>
      </c>
    </row>
    <row r="5" customFormat="false" ht="15" hidden="false" customHeight="false" outlineLevel="0" collapsed="false">
      <c r="B5" s="28" t="s">
        <v>96</v>
      </c>
      <c r="C5" s="28" t="s">
        <v>97</v>
      </c>
      <c r="D5" s="28" t="s">
        <v>98</v>
      </c>
      <c r="E5" s="28" t="s">
        <v>99</v>
      </c>
      <c r="F5" s="28" t="s">
        <v>100</v>
      </c>
      <c r="G5" s="28" t="s">
        <v>101</v>
      </c>
      <c r="H5" s="28" t="s">
        <v>102</v>
      </c>
    </row>
    <row r="6" customFormat="false" ht="15" hidden="false" customHeight="false" outlineLevel="0" collapsed="false">
      <c r="B6" s="5" t="s">
        <v>103</v>
      </c>
      <c r="C6" s="14" t="n">
        <v>4924</v>
      </c>
      <c r="D6" s="14" t="n">
        <v>5122</v>
      </c>
      <c r="E6" s="14" t="n">
        <v>5265</v>
      </c>
      <c r="F6" s="14" t="n">
        <v>5681</v>
      </c>
      <c r="G6" s="14" t="n">
        <v>6075</v>
      </c>
      <c r="H6" s="14" t="n">
        <v>6445</v>
      </c>
    </row>
    <row r="7" customFormat="false" ht="15" hidden="false" customHeight="false" outlineLevel="0" collapsed="false">
      <c r="B7" s="5" t="s">
        <v>104</v>
      </c>
      <c r="D7" s="23" t="n">
        <f aca="false">D6/C6-1</f>
        <v>0.0402112103980503</v>
      </c>
      <c r="E7" s="23" t="n">
        <f aca="false">E6/D6-1</f>
        <v>0.0279187817258884</v>
      </c>
      <c r="F7" s="23" t="n">
        <f aca="false">F6/E6-1</f>
        <v>0.0790123456790124</v>
      </c>
      <c r="G7" s="23" t="n">
        <f aca="false">G6/F6-1</f>
        <v>0.0693539869741242</v>
      </c>
    </row>
    <row r="10" customFormat="false" ht="15" hidden="false" customHeight="false" outlineLevel="0" collapsed="false">
      <c r="B10" s="3" t="s">
        <v>105</v>
      </c>
    </row>
    <row r="11" customFormat="false" ht="15" hidden="false" customHeight="false" outlineLevel="0" collapsed="false">
      <c r="B11" s="5" t="s">
        <v>106</v>
      </c>
      <c r="C11" s="29" t="s">
        <v>97</v>
      </c>
      <c r="E11" s="5" t="s">
        <v>107</v>
      </c>
      <c r="G11" s="30" t="n">
        <v>4.5</v>
      </c>
    </row>
    <row r="12" customFormat="false" ht="15" hidden="false" customHeight="false" outlineLevel="0" collapsed="false">
      <c r="B12" s="5" t="s">
        <v>108</v>
      </c>
      <c r="C12" s="23" t="n">
        <f aca="false">(H6/INDEX(C6:H6,MATCH(C11,C5:H5,0)))^(1/G11)-1</f>
        <v>0.061643882710924</v>
      </c>
      <c r="I12" s="19" t="s">
        <v>81</v>
      </c>
    </row>
    <row r="15" customFormat="false" ht="15" hidden="false" customHeight="false" outlineLevel="0" collapsed="false">
      <c r="B15" s="3" t="s">
        <v>109</v>
      </c>
    </row>
    <row r="16" customFormat="false" ht="15" hidden="false" customHeight="false" outlineLevel="0" collapsed="false">
      <c r="B16" s="28" t="s">
        <v>96</v>
      </c>
      <c r="C16" s="28" t="s">
        <v>110</v>
      </c>
      <c r="D16" s="28" t="s">
        <v>111</v>
      </c>
      <c r="E16" s="28" t="s">
        <v>112</v>
      </c>
      <c r="F16" s="28" t="s">
        <v>113</v>
      </c>
      <c r="G16" s="28" t="s">
        <v>114</v>
      </c>
    </row>
    <row r="17" customFormat="false" ht="15" hidden="false" customHeight="false" outlineLevel="0" collapsed="false">
      <c r="B17" s="5" t="s">
        <v>115</v>
      </c>
      <c r="C17" s="22" t="n">
        <v>0.1759</v>
      </c>
      <c r="D17" s="22" t="n">
        <v>0.0259</v>
      </c>
      <c r="E17" s="22" t="n">
        <v>0.098</v>
      </c>
      <c r="F17" s="22" t="n">
        <v>0.1432</v>
      </c>
      <c r="G17" s="22" t="n">
        <v>0.1868</v>
      </c>
      <c r="I17" s="19" t="s">
        <v>116</v>
      </c>
    </row>
    <row r="18" customFormat="false" ht="15" hidden="false" customHeight="false" outlineLevel="0" collapsed="false">
      <c r="B18" s="5" t="s">
        <v>117</v>
      </c>
      <c r="C18" s="23" t="n">
        <f aca="false">C17+(Inputs!$C$23-Inputs!$C$16/Inputs!$C$12)</f>
        <v>0.20374549689441</v>
      </c>
      <c r="D18" s="23" t="n">
        <f aca="false">D17+(Inputs!$C$23-Inputs!$C$16/Inputs!$C$12)</f>
        <v>0.05374549689441</v>
      </c>
      <c r="E18" s="23" t="n">
        <f aca="false">E17+(Inputs!$C$23-Inputs!$C$16/Inputs!$C$12)</f>
        <v>0.12584549689441</v>
      </c>
      <c r="F18" s="23" t="n">
        <f aca="false">F17+(Inputs!$C$23-Inputs!$C$16/Inputs!$C$12)</f>
        <v>0.17104549689441</v>
      </c>
      <c r="G18" s="23" t="n">
        <f aca="false">G17+(Inputs!$C$23-Inputs!$C$16/Inputs!$C$12)</f>
        <v>0.21464549689441</v>
      </c>
    </row>
    <row r="19" customFormat="false" ht="15" hidden="false" customHeight="false" outlineLevel="0" collapsed="false">
      <c r="B19" s="5" t="s">
        <v>118</v>
      </c>
      <c r="C19" s="23" t="n">
        <f aca="false">MIN(C18:G18)</f>
        <v>0.05374549689441</v>
      </c>
      <c r="D19" s="23" t="n">
        <f aca="false">MAX(C18:G18)</f>
        <v>0.21464549689441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B2:H33"/>
  <sheetViews>
    <sheetView showFormulas="false" showGridLines="fals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2"/>
    <col collapsed="false" customWidth="true" hidden="false" outlineLevel="0" max="2" min="2" style="0" width="40"/>
    <col collapsed="false" customWidth="true" hidden="false" outlineLevel="0" max="7" min="3" style="0" width="14"/>
    <col collapsed="false" customWidth="true" hidden="false" outlineLevel="0" max="8" min="8" style="0" width="60"/>
  </cols>
  <sheetData>
    <row r="2" customFormat="false" ht="19.7" hidden="false" customHeight="false" outlineLevel="0" collapsed="false">
      <c r="B2" s="1" t="s">
        <v>119</v>
      </c>
    </row>
    <row r="3" customFormat="false" ht="15" hidden="false" customHeight="false" outlineLevel="0" collapsed="false">
      <c r="B3" s="2" t="s">
        <v>120</v>
      </c>
    </row>
    <row r="5" customFormat="false" ht="15" hidden="false" customHeight="false" outlineLevel="0" collapsed="false">
      <c r="B5" s="28" t="s">
        <v>121</v>
      </c>
      <c r="C5" s="28" t="s">
        <v>122</v>
      </c>
      <c r="D5" s="28" t="s">
        <v>123</v>
      </c>
      <c r="E5" s="28" t="s">
        <v>124</v>
      </c>
      <c r="F5" s="28" t="s">
        <v>55</v>
      </c>
      <c r="G5" s="28" t="s">
        <v>125</v>
      </c>
    </row>
    <row r="6" customFormat="false" ht="15" hidden="false" customHeight="false" outlineLevel="0" collapsed="false">
      <c r="B6" s="5" t="s">
        <v>126</v>
      </c>
      <c r="C6" s="31" t="n">
        <v>1.34063511586162</v>
      </c>
      <c r="D6" s="14" t="n">
        <v>5600</v>
      </c>
      <c r="E6" s="14" t="n">
        <v>15660</v>
      </c>
      <c r="F6" s="22" t="n">
        <v>0.25</v>
      </c>
      <c r="G6" s="32" t="n">
        <f aca="false">C6/(1+(1-F6)*D6/E6)</f>
        <v>1.05711711552834</v>
      </c>
      <c r="H6" s="19" t="s">
        <v>127</v>
      </c>
    </row>
    <row r="7" customFormat="false" ht="15" hidden="false" customHeight="false" outlineLevel="0" collapsed="false">
      <c r="B7" s="7" t="s">
        <v>128</v>
      </c>
      <c r="C7" s="31" t="n">
        <v>1.34235285049717</v>
      </c>
      <c r="D7" s="14" t="n">
        <v>5470</v>
      </c>
      <c r="E7" s="14" t="n">
        <v>17290</v>
      </c>
      <c r="F7" s="22" t="n">
        <v>0.25</v>
      </c>
      <c r="G7" s="32" t="n">
        <f aca="false">C7/(1+(1-F7)*D7/E7)</f>
        <v>1.08492606217581</v>
      </c>
    </row>
    <row r="8" customFormat="false" ht="15" hidden="false" customHeight="false" outlineLevel="0" collapsed="false">
      <c r="B8" s="5" t="s">
        <v>129</v>
      </c>
      <c r="C8" s="31" t="n">
        <v>1.57907093175696</v>
      </c>
      <c r="D8" s="14" t="n">
        <v>5660</v>
      </c>
      <c r="E8" s="14" t="n">
        <v>12830</v>
      </c>
      <c r="F8" s="22" t="n">
        <v>0.25</v>
      </c>
      <c r="G8" s="32" t="n">
        <f aca="false">C8/(1+(1-F8)*D8/E8)</f>
        <v>1.18649956394974</v>
      </c>
    </row>
    <row r="10" customFormat="false" ht="15" hidden="false" customHeight="false" outlineLevel="0" collapsed="false">
      <c r="B10" s="5" t="s">
        <v>130</v>
      </c>
      <c r="C10" s="32" t="n">
        <f aca="false">MEDIAN(G6:G8)</f>
        <v>1.08492606217581</v>
      </c>
    </row>
    <row r="11" customFormat="false" ht="15" hidden="false" customHeight="false" outlineLevel="0" collapsed="false">
      <c r="B11" s="5" t="s">
        <v>123</v>
      </c>
      <c r="C11" s="16" t="n">
        <f aca="false">Inputs!$C$27</f>
        <v>5470</v>
      </c>
    </row>
    <row r="12" customFormat="false" ht="15" hidden="false" customHeight="false" outlineLevel="0" collapsed="false">
      <c r="B12" s="5" t="s">
        <v>37</v>
      </c>
      <c r="C12" s="16" t="n">
        <f aca="false">Inputs!$C$8</f>
        <v>17290</v>
      </c>
    </row>
    <row r="13" customFormat="false" ht="15" hidden="false" customHeight="false" outlineLevel="0" collapsed="false">
      <c r="B13" s="5" t="s">
        <v>55</v>
      </c>
      <c r="C13" s="9" t="n">
        <f aca="false">Inputs!$C$20</f>
        <v>0.25</v>
      </c>
    </row>
    <row r="14" customFormat="false" ht="15" hidden="false" customHeight="false" outlineLevel="0" collapsed="false">
      <c r="B14" s="5" t="s">
        <v>131</v>
      </c>
      <c r="C14" s="32" t="n">
        <f aca="false">WACC!$C$10*(1+(1-WACC!$C$13)*WACC!$C$11/WACC!$C$12)</f>
        <v>1.34235285049717</v>
      </c>
      <c r="H14" s="19" t="s">
        <v>132</v>
      </c>
    </row>
    <row r="15" customFormat="false" ht="15" hidden="false" customHeight="false" outlineLevel="0" collapsed="false">
      <c r="B15" s="5" t="s">
        <v>133</v>
      </c>
      <c r="C15" s="12" t="n">
        <f aca="false">Inputs!$C$35</f>
        <v>0.0521</v>
      </c>
    </row>
    <row r="16" customFormat="false" ht="15" hidden="false" customHeight="false" outlineLevel="0" collapsed="false">
      <c r="B16" s="5" t="s">
        <v>77</v>
      </c>
      <c r="C16" s="12" t="n">
        <f aca="false">Inputs!$C$38</f>
        <v>0.0423</v>
      </c>
    </row>
    <row r="17" customFormat="false" ht="15" hidden="false" customHeight="false" outlineLevel="0" collapsed="false">
      <c r="B17" s="5" t="s">
        <v>134</v>
      </c>
      <c r="C17" s="25" t="n">
        <f aca="false">WACC!$C$15+WACC!$C$14*WACC!$C$16</f>
        <v>0.10888152557603</v>
      </c>
      <c r="H17" s="19" t="s">
        <v>135</v>
      </c>
    </row>
    <row r="19" customFormat="false" ht="15" hidden="false" customHeight="false" outlineLevel="0" collapsed="false">
      <c r="B19" s="3" t="s">
        <v>136</v>
      </c>
    </row>
    <row r="20" customFormat="false" ht="15" hidden="false" customHeight="false" outlineLevel="0" collapsed="false">
      <c r="B20" s="28" t="s">
        <v>137</v>
      </c>
      <c r="C20" s="28" t="s">
        <v>138</v>
      </c>
    </row>
    <row r="21" customFormat="false" ht="15" hidden="false" customHeight="false" outlineLevel="0" collapsed="false">
      <c r="B21" s="33" t="n">
        <v>1</v>
      </c>
      <c r="C21" s="24" t="n">
        <v>0.01</v>
      </c>
      <c r="H21" s="19" t="s">
        <v>139</v>
      </c>
    </row>
    <row r="22" customFormat="false" ht="15" hidden="false" customHeight="false" outlineLevel="0" collapsed="false">
      <c r="B22" s="33" t="n">
        <v>2</v>
      </c>
      <c r="C22" s="24" t="n">
        <v>0.0125</v>
      </c>
    </row>
    <row r="23" customFormat="false" ht="15" hidden="false" customHeight="false" outlineLevel="0" collapsed="false">
      <c r="B23" s="33" t="n">
        <v>3</v>
      </c>
      <c r="C23" s="24" t="n">
        <v>0.016</v>
      </c>
    </row>
    <row r="24" customFormat="false" ht="15" hidden="false" customHeight="false" outlineLevel="0" collapsed="false">
      <c r="B24" s="33" t="n">
        <v>4</v>
      </c>
      <c r="C24" s="24" t="n">
        <v>0.02</v>
      </c>
    </row>
    <row r="25" customFormat="false" ht="15" hidden="false" customHeight="false" outlineLevel="0" collapsed="false">
      <c r="B25" s="33" t="n">
        <v>99</v>
      </c>
      <c r="C25" s="24" t="n">
        <v>0.0275</v>
      </c>
    </row>
    <row r="27" customFormat="false" ht="15" hidden="false" customHeight="false" outlineLevel="0" collapsed="false">
      <c r="B27" s="5" t="s">
        <v>140</v>
      </c>
      <c r="C27" s="34" t="n">
        <f aca="false">Inputs!$C$27/Inputs!$C$24</f>
        <v>2.84895833333333</v>
      </c>
    </row>
    <row r="28" customFormat="false" ht="15" hidden="false" customHeight="false" outlineLevel="0" collapsed="false">
      <c r="B28" s="5" t="s">
        <v>141</v>
      </c>
      <c r="C28" s="25" t="n">
        <f aca="false">INDEX(C21:C25,COUNTIF(B21:B25,"&lt;="&amp;WACC!$C$27)+1)</f>
        <v>0.016</v>
      </c>
      <c r="H28" s="19" t="s">
        <v>142</v>
      </c>
    </row>
    <row r="29" customFormat="false" ht="15" hidden="false" customHeight="false" outlineLevel="0" collapsed="false">
      <c r="B29" s="5" t="s">
        <v>143</v>
      </c>
      <c r="C29" s="25" t="n">
        <f aca="false">WACC!$C$15+WACC!$C$28</f>
        <v>0.0681</v>
      </c>
    </row>
    <row r="30" customFormat="false" ht="15" hidden="false" customHeight="false" outlineLevel="0" collapsed="false">
      <c r="B30" s="5" t="s">
        <v>144</v>
      </c>
      <c r="C30" s="25" t="n">
        <f aca="false">WACC!$C$29*(1-WACC!$C$13)</f>
        <v>0.051075</v>
      </c>
    </row>
    <row r="31" customFormat="false" ht="15" hidden="false" customHeight="false" outlineLevel="0" collapsed="false">
      <c r="B31" s="5" t="s">
        <v>145</v>
      </c>
      <c r="C31" s="23" t="n">
        <f aca="false">WACC!$C$11/(WACC!$C$11+WACC!$C$12)</f>
        <v>0.240333919156415</v>
      </c>
      <c r="H31" s="19" t="s">
        <v>146</v>
      </c>
    </row>
    <row r="32" customFormat="false" ht="15" hidden="false" customHeight="false" outlineLevel="0" collapsed="false">
      <c r="B32" s="5" t="s">
        <v>147</v>
      </c>
      <c r="C32" s="23" t="n">
        <f aca="false">1-WACC!$C$31</f>
        <v>0.759666080843585</v>
      </c>
    </row>
    <row r="33" customFormat="false" ht="15" hidden="false" customHeight="false" outlineLevel="0" collapsed="false">
      <c r="B33" s="5" t="s">
        <v>11</v>
      </c>
      <c r="C33" s="35" t="n">
        <f aca="false">WACC!$C$32*WACC!$C$17+WACC!$C$31*WACC!$C$30</f>
        <v>0.0949886567315273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W722"/>
  <sheetViews>
    <sheetView showFormulas="false" showGridLines="fals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1" ySplit="3" topLeftCell="B4" activePane="bottomRight" state="frozen"/>
      <selection pane="topLeft" activeCell="A1" activeCellId="0" sqref="A1"/>
      <selection pane="topRight" activeCell="B1" activeCellId="0" sqref="B1"/>
      <selection pane="bottomLeft" activeCell="A4" activeCellId="0" sqref="A4"/>
      <selection pane="bottomRigh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6"/>
    <col collapsed="false" customWidth="true" hidden="false" outlineLevel="0" max="3" min="2" style="0" width="10"/>
    <col collapsed="false" customWidth="true" hidden="false" outlineLevel="0" max="20" min="4" style="0" width="11"/>
  </cols>
  <sheetData>
    <row r="1" customFormat="false" ht="15" hidden="false" customHeight="false" outlineLevel="0" collapsed="false">
      <c r="A1" s="3" t="s">
        <v>148</v>
      </c>
    </row>
    <row r="2" customFormat="false" ht="15" hidden="false" customHeight="false" outlineLevel="0" collapsed="false">
      <c r="B2" s="5" t="s">
        <v>149</v>
      </c>
      <c r="C2" s="16" t="n">
        <f aca="false">Inputs!$C$12</f>
        <v>6440</v>
      </c>
      <c r="D2" s="5" t="s">
        <v>150</v>
      </c>
      <c r="E2" s="9" t="n">
        <f aca="false">Inputs!$C$23</f>
        <v>0.200205745341615</v>
      </c>
      <c r="F2" s="5" t="s">
        <v>151</v>
      </c>
      <c r="G2" s="16" t="n">
        <f aca="false">Inputs!$C$27</f>
        <v>5470</v>
      </c>
      <c r="H2" s="5" t="s">
        <v>152</v>
      </c>
      <c r="I2" s="16" t="n">
        <f aca="false">Inputs!$C$28</f>
        <v>170.1</v>
      </c>
      <c r="J2" s="5" t="s">
        <v>153</v>
      </c>
      <c r="K2" s="36" t="n">
        <f aca="false">Inputs!$C$7</f>
        <v>117.48</v>
      </c>
      <c r="L2" s="5" t="s">
        <v>154</v>
      </c>
      <c r="M2" s="6" t="n">
        <f aca="false">Inputs!$C$6</f>
        <v>147.173987061628</v>
      </c>
      <c r="N2" s="5" t="s">
        <v>155</v>
      </c>
      <c r="O2" s="37" t="n">
        <f aca="false">Inputs!$C$46</f>
        <v>5</v>
      </c>
      <c r="P2" s="5" t="s">
        <v>156</v>
      </c>
      <c r="Q2" s="37" t="n">
        <f aca="false">Inputs!$C$47</f>
        <v>5</v>
      </c>
    </row>
    <row r="3" customFormat="false" ht="15" hidden="false" customHeight="false" outlineLevel="0" collapsed="false">
      <c r="D3" s="38" t="s">
        <v>157</v>
      </c>
      <c r="E3" s="39" t="n">
        <v>1</v>
      </c>
      <c r="F3" s="39" t="n">
        <v>2</v>
      </c>
      <c r="G3" s="39" t="n">
        <v>3</v>
      </c>
      <c r="H3" s="39" t="n">
        <v>4</v>
      </c>
      <c r="I3" s="39" t="n">
        <v>5</v>
      </c>
      <c r="J3" s="39" t="n">
        <v>6</v>
      </c>
      <c r="K3" s="39" t="n">
        <v>7</v>
      </c>
      <c r="L3" s="39" t="n">
        <v>8</v>
      </c>
      <c r="M3" s="39" t="n">
        <v>9</v>
      </c>
      <c r="N3" s="39" t="n">
        <v>10</v>
      </c>
    </row>
    <row r="4" customFormat="false" ht="15" hidden="false" customHeight="false" outlineLevel="0" collapsed="false">
      <c r="A4" s="19" t="s">
        <v>158</v>
      </c>
    </row>
    <row r="6" customFormat="false" ht="15" hidden="false" customHeight="false" outlineLevel="0" collapsed="false">
      <c r="A6" s="38" t="s">
        <v>159</v>
      </c>
      <c r="E6" s="5" t="s">
        <v>11</v>
      </c>
      <c r="F6" s="12" t="n">
        <f aca="false">WACC!$C$33</f>
        <v>0.0949886567315273</v>
      </c>
      <c r="G6" s="5" t="s">
        <v>12</v>
      </c>
      <c r="I6" s="12" t="n">
        <f aca="false">Inputs!$C$37</f>
        <v>0.0283</v>
      </c>
      <c r="W6" s="38" t="s">
        <v>160</v>
      </c>
    </row>
    <row r="7" customFormat="false" ht="23.85" hidden="false" customHeight="false" outlineLevel="0" collapsed="false">
      <c r="A7" s="38" t="s">
        <v>161</v>
      </c>
      <c r="B7" s="28" t="s">
        <v>162</v>
      </c>
      <c r="C7" s="28" t="s">
        <v>163</v>
      </c>
      <c r="D7" s="28" t="s">
        <v>164</v>
      </c>
      <c r="E7" s="28" t="s">
        <v>165</v>
      </c>
      <c r="F7" s="28" t="s">
        <v>166</v>
      </c>
      <c r="G7" s="28" t="s">
        <v>167</v>
      </c>
      <c r="H7" s="28" t="s">
        <v>168</v>
      </c>
      <c r="I7" s="28" t="s">
        <v>169</v>
      </c>
      <c r="J7" s="28" t="s">
        <v>170</v>
      </c>
      <c r="K7" s="28" t="s">
        <v>171</v>
      </c>
      <c r="L7" s="28" t="s">
        <v>172</v>
      </c>
      <c r="M7" s="28" t="s">
        <v>173</v>
      </c>
      <c r="N7" s="28" t="s">
        <v>174</v>
      </c>
      <c r="O7" s="28" t="s">
        <v>175</v>
      </c>
      <c r="P7" s="28" t="s">
        <v>176</v>
      </c>
      <c r="Q7" s="28" t="s">
        <v>177</v>
      </c>
      <c r="R7" s="28" t="s">
        <v>178</v>
      </c>
      <c r="S7" s="28" t="s">
        <v>179</v>
      </c>
      <c r="T7" s="28" t="s">
        <v>180</v>
      </c>
      <c r="W7" s="40" t="n">
        <f aca="false">$D$47</f>
        <v>0.0510126700942237</v>
      </c>
    </row>
    <row r="8" customFormat="false" ht="15" hidden="false" customHeight="false" outlineLevel="0" collapsed="false">
      <c r="A8" s="5" t="n">
        <v>1</v>
      </c>
      <c r="B8" s="24" t="n">
        <v>-0.5</v>
      </c>
      <c r="C8" s="24" t="n">
        <v>1</v>
      </c>
      <c r="D8" s="41" t="n">
        <f aca="false">(B8+C8)/2</f>
        <v>0.25</v>
      </c>
      <c r="E8" s="15" t="n">
        <f aca="false">$C$2*(1+IF(E$3&lt;=$O$2,$D8,$D8-($D8-$I$6)*MIN(E$3-$O$2,$Q$2)/$Q$2))</f>
        <v>8050</v>
      </c>
      <c r="F8" s="15" t="n">
        <f aca="false">E8*(1+IF(F$3&lt;=$O$2,$D8,$D8-($D8-$I$6)*MIN(F$3-$O$2,$Q$2)/$Q$2))</f>
        <v>10062.5</v>
      </c>
      <c r="G8" s="15" t="n">
        <f aca="false">F8*(1+IF(G$3&lt;=$O$2,$D8,$D8-($D8-$I$6)*MIN(G$3-$O$2,$Q$2)/$Q$2))</f>
        <v>12578.125</v>
      </c>
      <c r="H8" s="15" t="n">
        <f aca="false">G8*(1+IF(H$3&lt;=$O$2,$D8,$D8-($D8-$I$6)*MIN(H$3-$O$2,$Q$2)/$Q$2))</f>
        <v>15722.65625</v>
      </c>
      <c r="I8" s="15" t="n">
        <f aca="false">H8*(1+IF(I$3&lt;=$O$2,$D8,$D8-($D8-$I$6)*MIN(I$3-$O$2,$Q$2)/$Q$2))</f>
        <v>19653.3203125</v>
      </c>
      <c r="J8" s="15" t="n">
        <f aca="false">I8*(1+IF(J$3&lt;=$O$2,$D8,$D8-($D8-$I$6)*MIN(J$3-$O$2,$Q$2)/$Q$2))</f>
        <v>23695.2221679688</v>
      </c>
      <c r="K8" s="15" t="n">
        <f aca="false">J8*(1+IF(K$3&lt;=$O$2,$D8,$D8-($D8-$I$6)*MIN(K$3-$O$2,$Q$2)/$Q$2))</f>
        <v>27517.7354081055</v>
      </c>
      <c r="L8" s="15" t="n">
        <f aca="false">K8*(1+IF(L$3&lt;=$O$2,$D8,$D8-($D8-$I$6)*MIN(L$3-$O$2,$Q$2)/$Q$2))</f>
        <v>30736.7600961456</v>
      </c>
      <c r="M8" s="15" t="n">
        <f aca="false">L8*(1+IF(M$3&lt;=$O$2,$D8,$D8-($D8-$I$6)*MIN(M$3-$O$2,$Q$2)/$Q$2))</f>
        <v>32969.4783495297</v>
      </c>
      <c r="N8" s="15" t="n">
        <f aca="false">M8*(1+IF(N$3&lt;=$O$2,$D8,$D8-($D8-$I$6)*MIN(N$3-$O$2,$Q$2)/$Q$2))</f>
        <v>33902.5145868214</v>
      </c>
      <c r="O8" s="15" t="n">
        <f aca="false">SUMPRODUCT(E8:N8,1/(1+$F$6)^$E$3:$N$3)*$E$2</f>
        <v>24063.8349716891</v>
      </c>
      <c r="P8" s="15" t="n">
        <f aca="false">N8*$E$2*(1+$I$6)/($F$6-$I$6)/(1+$F$6)^$N$3</f>
        <v>42235.7403721722</v>
      </c>
      <c r="Q8" s="15" t="n">
        <f aca="false">O8+P8</f>
        <v>66299.5753438613</v>
      </c>
      <c r="R8" s="15" t="n">
        <f aca="false">Q8-$G$2+$I$2</f>
        <v>60999.6753438613</v>
      </c>
      <c r="S8" s="42" t="n">
        <f aca="false">R8/$K$2</f>
        <v>519.234553488775</v>
      </c>
      <c r="T8" s="43" t="n">
        <f aca="false">S8-$M$2</f>
        <v>372.060566427148</v>
      </c>
      <c r="W8" s="5" t="str">
        <f aca="false">IF(OR(ABS(W7+0.5)&lt;0.000001,ABS(W7-1)&lt;0.000001),"Out of range","Solved")</f>
        <v>Solved</v>
      </c>
    </row>
    <row r="9" customFormat="false" ht="15" hidden="false" customHeight="false" outlineLevel="0" collapsed="false">
      <c r="A9" s="5" t="n">
        <v>2</v>
      </c>
      <c r="B9" s="25" t="n">
        <f aca="false">IF(T8&gt;0,B8,D8)</f>
        <v>-0.5</v>
      </c>
      <c r="C9" s="25" t="n">
        <f aca="false">IF(T8&gt;0,D8,C8)</f>
        <v>0.25</v>
      </c>
      <c r="D9" s="41" t="n">
        <f aca="false">(B9+C9)/2</f>
        <v>-0.125</v>
      </c>
      <c r="E9" s="15" t="n">
        <f aca="false">$C$2*(1+IF(E$3&lt;=$O$2,$D9,$D9-($D9-$I$6)*MIN(E$3-$O$2,$Q$2)/$Q$2))</f>
        <v>5635</v>
      </c>
      <c r="F9" s="15" t="n">
        <f aca="false">E9*(1+IF(F$3&lt;=$O$2,$D9,$D9-($D9-$I$6)*MIN(F$3-$O$2,$Q$2)/$Q$2))</f>
        <v>4930.625</v>
      </c>
      <c r="G9" s="15" t="n">
        <f aca="false">F9*(1+IF(G$3&lt;=$O$2,$D9,$D9-($D9-$I$6)*MIN(G$3-$O$2,$Q$2)/$Q$2))</f>
        <v>4314.296875</v>
      </c>
      <c r="H9" s="15" t="n">
        <f aca="false">G9*(1+IF(H$3&lt;=$O$2,$D9,$D9-($D9-$I$6)*MIN(H$3-$O$2,$Q$2)/$Q$2))</f>
        <v>3775.009765625</v>
      </c>
      <c r="I9" s="15" t="n">
        <f aca="false">H9*(1+IF(I$3&lt;=$O$2,$D9,$D9-($D9-$I$6)*MIN(I$3-$O$2,$Q$2)/$Q$2))</f>
        <v>3303.13354492188</v>
      </c>
      <c r="J9" s="15" t="n">
        <f aca="false">I9*(1+IF(J$3&lt;=$O$2,$D9,$D9-($D9-$I$6)*MIN(J$3-$O$2,$Q$2)/$Q$2))</f>
        <v>2991.51592629395</v>
      </c>
      <c r="K9" s="15" t="n">
        <f aca="false">J9*(1+IF(K$3&lt;=$O$2,$D9,$D9-($D9-$I$6)*MIN(K$3-$O$2,$Q$2)/$Q$2))</f>
        <v>2801.01619210755</v>
      </c>
      <c r="L9" s="15" t="n">
        <f aca="false">K9*(1+IF(L$3&lt;=$O$2,$D9,$D9-($D9-$I$6)*MIN(L$3-$O$2,$Q$2)/$Q$2))</f>
        <v>2708.52663744416</v>
      </c>
      <c r="M9" s="15" t="n">
        <f aca="false">L9*(1+IF(M$3&lt;=$O$2,$D9,$D9-($D9-$I$6)*MIN(M$3-$O$2,$Q$2)/$Q$2))</f>
        <v>2702.13451457979</v>
      </c>
      <c r="N9" s="15" t="n">
        <f aca="false">M9*(1+IF(N$3&lt;=$O$2,$D9,$D9-($D9-$I$6)*MIN(N$3-$O$2,$Q$2)/$Q$2))</f>
        <v>2778.6049213424</v>
      </c>
      <c r="O9" s="15" t="n">
        <f aca="false">SUMPRODUCT(E9:N9,1/(1+$F$6)^$E$3:$N$3)*$E$2</f>
        <v>4827.82622646764</v>
      </c>
      <c r="P9" s="15" t="n">
        <f aca="false">N9*$E$2*(1+$I$6)/($F$6-$I$6)/(1+$F$6)^$N$3</f>
        <v>3461.58500290938</v>
      </c>
      <c r="Q9" s="15" t="n">
        <f aca="false">O9+P9</f>
        <v>8289.41122937702</v>
      </c>
      <c r="R9" s="15" t="n">
        <f aca="false">Q9-$G$2+$I$2</f>
        <v>2989.51122937702</v>
      </c>
      <c r="S9" s="42" t="n">
        <f aca="false">R9/$K$2</f>
        <v>25.446980161534</v>
      </c>
      <c r="T9" s="43" t="n">
        <f aca="false">S9-$M$2</f>
        <v>-121.727006900093</v>
      </c>
    </row>
    <row r="10" customFormat="false" ht="15" hidden="false" customHeight="false" outlineLevel="0" collapsed="false">
      <c r="A10" s="5" t="n">
        <v>3</v>
      </c>
      <c r="B10" s="25" t="n">
        <f aca="false">IF(T9&gt;0,B9,D9)</f>
        <v>-0.125</v>
      </c>
      <c r="C10" s="25" t="n">
        <f aca="false">IF(T9&gt;0,D9,C9)</f>
        <v>0.25</v>
      </c>
      <c r="D10" s="41" t="n">
        <f aca="false">(B10+C10)/2</f>
        <v>0.0625</v>
      </c>
      <c r="E10" s="15" t="n">
        <f aca="false">$C$2*(1+IF(E$3&lt;=$O$2,$D10,$D10-($D10-$I$6)*MIN(E$3-$O$2,$Q$2)/$Q$2))</f>
        <v>6842.5</v>
      </c>
      <c r="F10" s="15" t="n">
        <f aca="false">E10*(1+IF(F$3&lt;=$O$2,$D10,$D10-($D10-$I$6)*MIN(F$3-$O$2,$Q$2)/$Q$2))</f>
        <v>7270.15625</v>
      </c>
      <c r="G10" s="15" t="n">
        <f aca="false">F10*(1+IF(G$3&lt;=$O$2,$D10,$D10-($D10-$I$6)*MIN(G$3-$O$2,$Q$2)/$Q$2))</f>
        <v>7724.541015625</v>
      </c>
      <c r="H10" s="15" t="n">
        <f aca="false">G10*(1+IF(H$3&lt;=$O$2,$D10,$D10-($D10-$I$6)*MIN(H$3-$O$2,$Q$2)/$Q$2))</f>
        <v>8207.32482910156</v>
      </c>
      <c r="I10" s="15" t="n">
        <f aca="false">H10*(1+IF(I$3&lt;=$O$2,$D10,$D10-($D10-$I$6)*MIN(I$3-$O$2,$Q$2)/$Q$2))</f>
        <v>8720.28263092041</v>
      </c>
      <c r="J10" s="15" t="n">
        <f aca="false">I10*(1+IF(J$3&lt;=$O$2,$D10,$D10-($D10-$I$6)*MIN(J$3-$O$2,$Q$2)/$Q$2))</f>
        <v>9205.65356215744</v>
      </c>
      <c r="K10" s="15" t="n">
        <f aca="false">J10*(1+IF(K$3&lt;=$O$2,$D10,$D10-($D10-$I$6)*MIN(K$3-$O$2,$Q$2)/$Q$2))</f>
        <v>9655.07356906197</v>
      </c>
      <c r="L10" s="15" t="n">
        <f aca="false">K10*(1+IF(L$3&lt;=$O$2,$D10,$D10-($D10-$I$6)*MIN(L$3-$O$2,$Q$2)/$Q$2))</f>
        <v>10060.3935574912</v>
      </c>
      <c r="M10" s="15" t="n">
        <f aca="false">L10*(1+IF(M$3&lt;=$O$2,$D10,$D10-($D10-$I$6)*MIN(M$3-$O$2,$Q$2)/$Q$2))</f>
        <v>10413.9157871014</v>
      </c>
      <c r="N10" s="15" t="n">
        <f aca="false">M10*(1+IF(N$3&lt;=$O$2,$D10,$D10-($D10-$I$6)*MIN(N$3-$O$2,$Q$2)/$Q$2))</f>
        <v>10708.6296038764</v>
      </c>
      <c r="O10" s="15" t="n">
        <f aca="false">SUMPRODUCT(E10:N10,1/(1+$F$6)^$E$3:$N$3)*$E$2</f>
        <v>10749.4698507045</v>
      </c>
      <c r="P10" s="15" t="n">
        <f aca="false">N10*$E$2*(1+$I$6)/($F$6-$I$6)/(1+$F$6)^$N$3</f>
        <v>13340.806875337</v>
      </c>
      <c r="Q10" s="15" t="n">
        <f aca="false">O10+P10</f>
        <v>24090.2767260415</v>
      </c>
      <c r="R10" s="15" t="n">
        <f aca="false">Q10-$G$2+$I$2</f>
        <v>18790.3767260415</v>
      </c>
      <c r="S10" s="42" t="n">
        <f aca="false">R10/$K$2</f>
        <v>159.945324532189</v>
      </c>
      <c r="T10" s="43" t="n">
        <f aca="false">S10-$M$2</f>
        <v>12.7713374705612</v>
      </c>
    </row>
    <row r="11" customFormat="false" ht="15" hidden="false" customHeight="false" outlineLevel="0" collapsed="false">
      <c r="A11" s="5" t="n">
        <v>4</v>
      </c>
      <c r="B11" s="25" t="n">
        <f aca="false">IF(T10&gt;0,B10,D10)</f>
        <v>-0.125</v>
      </c>
      <c r="C11" s="25" t="n">
        <f aca="false">IF(T10&gt;0,D10,C10)</f>
        <v>0.0625</v>
      </c>
      <c r="D11" s="41" t="n">
        <f aca="false">(B11+C11)/2</f>
        <v>-0.03125</v>
      </c>
      <c r="E11" s="15" t="n">
        <f aca="false">$C$2*(1+IF(E$3&lt;=$O$2,$D11,$D11-($D11-$I$6)*MIN(E$3-$O$2,$Q$2)/$Q$2))</f>
        <v>6238.75</v>
      </c>
      <c r="F11" s="15" t="n">
        <f aca="false">E11*(1+IF(F$3&lt;=$O$2,$D11,$D11-($D11-$I$6)*MIN(F$3-$O$2,$Q$2)/$Q$2))</f>
        <v>6043.7890625</v>
      </c>
      <c r="G11" s="15" t="n">
        <f aca="false">F11*(1+IF(G$3&lt;=$O$2,$D11,$D11-($D11-$I$6)*MIN(G$3-$O$2,$Q$2)/$Q$2))</f>
        <v>5854.92065429688</v>
      </c>
      <c r="H11" s="15" t="n">
        <f aca="false">G11*(1+IF(H$3&lt;=$O$2,$D11,$D11-($D11-$I$6)*MIN(H$3-$O$2,$Q$2)/$Q$2))</f>
        <v>5671.9543838501</v>
      </c>
      <c r="I11" s="15" t="n">
        <f aca="false">H11*(1+IF(I$3&lt;=$O$2,$D11,$D11-($D11-$I$6)*MIN(I$3-$O$2,$Q$2)/$Q$2))</f>
        <v>5494.70580935478</v>
      </c>
      <c r="J11" s="15" t="n">
        <f aca="false">I11*(1+IF(J$3&lt;=$O$2,$D11,$D11-($D11-$I$6)*MIN(J$3-$O$2,$Q$2)/$Q$2))</f>
        <v>5388.43819900186</v>
      </c>
      <c r="K11" s="15" t="n">
        <f aca="false">J11*(1+IF(K$3&lt;=$O$2,$D11,$D11-($D11-$I$6)*MIN(K$3-$O$2,$Q$2)/$Q$2))</f>
        <v>5348.40210318328</v>
      </c>
      <c r="L11" s="15" t="n">
        <f aca="false">K11*(1+IF(L$3&lt;=$O$2,$D11,$D11-($D11-$I$6)*MIN(L$3-$O$2,$Q$2)/$Q$2))</f>
        <v>5372.36294460554</v>
      </c>
      <c r="M11" s="15" t="n">
        <f aca="false">L11*(1+IF(M$3&lt;=$O$2,$D11,$D11-($D11-$I$6)*MIN(M$3-$O$2,$Q$2)/$Q$2))</f>
        <v>5460.41597326762</v>
      </c>
      <c r="N11" s="15" t="n">
        <f aca="false">M11*(1+IF(N$3&lt;=$O$2,$D11,$D11-($D11-$I$6)*MIN(N$3-$O$2,$Q$2)/$Q$2))</f>
        <v>5614.9457453111</v>
      </c>
      <c r="O11" s="15" t="n">
        <f aca="false">SUMPRODUCT(E11:N11,1/(1+$F$6)^$E$3:$N$3)*$E$2</f>
        <v>7181.77439963681</v>
      </c>
      <c r="P11" s="15" t="n">
        <f aca="false">N11*$E$2*(1+$I$6)/($F$6-$I$6)/(1+$F$6)^$N$3</f>
        <v>6995.09737236359</v>
      </c>
      <c r="Q11" s="15" t="n">
        <f aca="false">O11+P11</f>
        <v>14176.8717720004</v>
      </c>
      <c r="R11" s="15" t="n">
        <f aca="false">Q11-$G$2+$I$2</f>
        <v>8876.9717720004</v>
      </c>
      <c r="S11" s="42" t="n">
        <f aca="false">R11/$K$2</f>
        <v>75.5615574736159</v>
      </c>
      <c r="T11" s="43" t="n">
        <f aca="false">S11-$M$2</f>
        <v>-71.6124295880116</v>
      </c>
    </row>
    <row r="12" customFormat="false" ht="15" hidden="false" customHeight="false" outlineLevel="0" collapsed="false">
      <c r="A12" s="5" t="n">
        <v>5</v>
      </c>
      <c r="B12" s="25" t="n">
        <f aca="false">IF(T11&gt;0,B11,D11)</f>
        <v>-0.03125</v>
      </c>
      <c r="C12" s="25" t="n">
        <f aca="false">IF(T11&gt;0,D11,C11)</f>
        <v>0.0625</v>
      </c>
      <c r="D12" s="41" t="n">
        <f aca="false">(B12+C12)/2</f>
        <v>0.015625</v>
      </c>
      <c r="E12" s="15" t="n">
        <f aca="false">$C$2*(1+IF(E$3&lt;=$O$2,$D12,$D12-($D12-$I$6)*MIN(E$3-$O$2,$Q$2)/$Q$2))</f>
        <v>6540.625</v>
      </c>
      <c r="F12" s="15" t="n">
        <f aca="false">E12*(1+IF(F$3&lt;=$O$2,$D12,$D12-($D12-$I$6)*MIN(F$3-$O$2,$Q$2)/$Q$2))</f>
        <v>6642.822265625</v>
      </c>
      <c r="G12" s="15" t="n">
        <f aca="false">F12*(1+IF(G$3&lt;=$O$2,$D12,$D12-($D12-$I$6)*MIN(G$3-$O$2,$Q$2)/$Q$2))</f>
        <v>6746.61636352539</v>
      </c>
      <c r="H12" s="15" t="n">
        <f aca="false">G12*(1+IF(H$3&lt;=$O$2,$D12,$D12-($D12-$I$6)*MIN(H$3-$O$2,$Q$2)/$Q$2))</f>
        <v>6852.03224420548</v>
      </c>
      <c r="I12" s="15" t="n">
        <f aca="false">H12*(1+IF(I$3&lt;=$O$2,$D12,$D12-($D12-$I$6)*MIN(I$3-$O$2,$Q$2)/$Q$2))</f>
        <v>6959.09524802119</v>
      </c>
      <c r="J12" s="15" t="n">
        <f aca="false">I12*(1+IF(J$3&lt;=$O$2,$D12,$D12-($D12-$I$6)*MIN(J$3-$O$2,$Q$2)/$Q$2))</f>
        <v>7085.47241772525</v>
      </c>
      <c r="K12" s="15" t="n">
        <f aca="false">J12*(1+IF(K$3&lt;=$O$2,$D12,$D12-($D12-$I$6)*MIN(K$3-$O$2,$Q$2)/$Q$2))</f>
        <v>7232.10626941007</v>
      </c>
      <c r="L12" s="15" t="n">
        <f aca="false">K12*(1+IF(L$3&lt;=$O$2,$D12,$D12-($D12-$I$6)*MIN(L$3-$O$2,$Q$2)/$Q$2))</f>
        <v>7400.10809804847</v>
      </c>
      <c r="M12" s="15" t="n">
        <f aca="false">L12*(1+IF(M$3&lt;=$O$2,$D12,$D12-($D12-$I$6)*MIN(M$3-$O$2,$Q$2)/$Q$2))</f>
        <v>7590.77188319469</v>
      </c>
      <c r="N12" s="15" t="n">
        <f aca="false">M12*(1+IF(N$3&lt;=$O$2,$D12,$D12-($D12-$I$6)*MIN(N$3-$O$2,$Q$2)/$Q$2))</f>
        <v>7805.5907274891</v>
      </c>
      <c r="O12" s="15" t="n">
        <f aca="false">SUMPRODUCT(E12:N12,1/(1+$F$6)^$E$3:$N$3)*$E$2</f>
        <v>8782.37371205722</v>
      </c>
      <c r="P12" s="15" t="n">
        <f aca="false">N12*$E$2*(1+$I$6)/($F$6-$I$6)/(1+$F$6)^$N$3</f>
        <v>9724.2020963783</v>
      </c>
      <c r="Q12" s="15" t="n">
        <f aca="false">O12+P12</f>
        <v>18506.5758084355</v>
      </c>
      <c r="R12" s="15" t="n">
        <f aca="false">Q12-$G$2+$I$2</f>
        <v>13206.6758084355</v>
      </c>
      <c r="S12" s="42" t="n">
        <f aca="false">R12/$K$2</f>
        <v>112.41637562509</v>
      </c>
      <c r="T12" s="43" t="n">
        <f aca="false">S12-$M$2</f>
        <v>-34.757611436538</v>
      </c>
    </row>
    <row r="13" customFormat="false" ht="15" hidden="false" customHeight="false" outlineLevel="0" collapsed="false">
      <c r="A13" s="5" t="n">
        <v>6</v>
      </c>
      <c r="B13" s="25" t="n">
        <f aca="false">IF(T12&gt;0,B12,D12)</f>
        <v>0.015625</v>
      </c>
      <c r="C13" s="25" t="n">
        <f aca="false">IF(T12&gt;0,D12,C12)</f>
        <v>0.0625</v>
      </c>
      <c r="D13" s="41" t="n">
        <f aca="false">(B13+C13)/2</f>
        <v>0.0390625</v>
      </c>
      <c r="E13" s="15" t="n">
        <f aca="false">$C$2*(1+IF(E$3&lt;=$O$2,$D13,$D13-($D13-$I$6)*MIN(E$3-$O$2,$Q$2)/$Q$2))</f>
        <v>6691.5625</v>
      </c>
      <c r="F13" s="15" t="n">
        <f aca="false">E13*(1+IF(F$3&lt;=$O$2,$D13,$D13-($D13-$I$6)*MIN(F$3-$O$2,$Q$2)/$Q$2))</f>
        <v>6952.95166015625</v>
      </c>
      <c r="G13" s="15" t="n">
        <f aca="false">F13*(1+IF(G$3&lt;=$O$2,$D13,$D13-($D13-$I$6)*MIN(G$3-$O$2,$Q$2)/$Q$2))</f>
        <v>7224.5513343811</v>
      </c>
      <c r="H13" s="15" t="n">
        <f aca="false">G13*(1+IF(H$3&lt;=$O$2,$D13,$D13-($D13-$I$6)*MIN(H$3-$O$2,$Q$2)/$Q$2))</f>
        <v>7506.76037088037</v>
      </c>
      <c r="I13" s="15" t="n">
        <f aca="false">H13*(1+IF(I$3&lt;=$O$2,$D13,$D13-($D13-$I$6)*MIN(I$3-$O$2,$Q$2)/$Q$2))</f>
        <v>7799.99319786788</v>
      </c>
      <c r="J13" s="15" t="n">
        <f aca="false">I13*(1+IF(J$3&lt;=$O$2,$D13,$D13-($D13-$I$6)*MIN(J$3-$O$2,$Q$2)/$Q$2))</f>
        <v>8087.89094680118</v>
      </c>
      <c r="K13" s="15" t="n">
        <f aca="false">J13*(1+IF(K$3&lt;=$O$2,$D13,$D13-($D13-$I$6)*MIN(K$3-$O$2,$Q$2)/$Q$2))</f>
        <v>8369.00581638463</v>
      </c>
      <c r="L13" s="15" t="n">
        <f aca="false">K13*(1+IF(L$3&lt;=$O$2,$D13,$D13-($D13-$I$6)*MIN(L$3-$O$2,$Q$2)/$Q$2))</f>
        <v>8641.87725102785</v>
      </c>
      <c r="M13" s="15" t="n">
        <f aca="false">L13*(1+IF(M$3&lt;=$O$2,$D13,$D13-($D13-$I$6)*MIN(M$3-$O$2,$Q$2)/$Q$2))</f>
        <v>8905.04401801477</v>
      </c>
      <c r="N13" s="15" t="n">
        <f aca="false">M13*(1+IF(N$3&lt;=$O$2,$D13,$D13-($D13-$I$6)*MIN(N$3-$O$2,$Q$2)/$Q$2))</f>
        <v>9157.05676372459</v>
      </c>
      <c r="O13" s="15" t="n">
        <f aca="false">SUMPRODUCT(E13:N13,1/(1+$F$6)^$E$3:$N$3)*$E$2</f>
        <v>9715.54648854642</v>
      </c>
      <c r="P13" s="15" t="n">
        <f aca="false">N13*$E$2*(1+$I$6)/($F$6-$I$6)/(1+$F$6)^$N$3</f>
        <v>11407.8579939983</v>
      </c>
      <c r="Q13" s="15" t="n">
        <f aca="false">O13+P13</f>
        <v>21123.4044825448</v>
      </c>
      <c r="R13" s="15" t="n">
        <f aca="false">Q13-$G$2+$I$2</f>
        <v>15823.5044825448</v>
      </c>
      <c r="S13" s="42" t="n">
        <f aca="false">R13/$K$2</f>
        <v>134.691049391767</v>
      </c>
      <c r="T13" s="43" t="n">
        <f aca="false">S13-$M$2</f>
        <v>-12.4829376698608</v>
      </c>
    </row>
    <row r="14" customFormat="false" ht="15" hidden="false" customHeight="false" outlineLevel="0" collapsed="false">
      <c r="A14" s="5" t="n">
        <v>7</v>
      </c>
      <c r="B14" s="25" t="n">
        <f aca="false">IF(T13&gt;0,B13,D13)</f>
        <v>0.0390625</v>
      </c>
      <c r="C14" s="25" t="n">
        <f aca="false">IF(T13&gt;0,D13,C13)</f>
        <v>0.0625</v>
      </c>
      <c r="D14" s="41" t="n">
        <f aca="false">(B14+C14)/2</f>
        <v>0.05078125</v>
      </c>
      <c r="E14" s="15" t="n">
        <f aca="false">$C$2*(1+IF(E$3&lt;=$O$2,$D14,$D14-($D14-$I$6)*MIN(E$3-$O$2,$Q$2)/$Q$2))</f>
        <v>6767.03125</v>
      </c>
      <c r="F14" s="15" t="n">
        <f aca="false">E14*(1+IF(F$3&lt;=$O$2,$D14,$D14-($D14-$I$6)*MIN(F$3-$O$2,$Q$2)/$Q$2))</f>
        <v>7110.66955566406</v>
      </c>
      <c r="G14" s="15" t="n">
        <f aca="false">F14*(1+IF(G$3&lt;=$O$2,$D14,$D14-($D14-$I$6)*MIN(G$3-$O$2,$Q$2)/$Q$2))</f>
        <v>7471.75824403763</v>
      </c>
      <c r="H14" s="15" t="n">
        <f aca="false">G14*(1+IF(H$3&lt;=$O$2,$D14,$D14-($D14-$I$6)*MIN(H$3-$O$2,$Q$2)/$Q$2))</f>
        <v>7851.18346736766</v>
      </c>
      <c r="I14" s="15" t="n">
        <f aca="false">H14*(1+IF(I$3&lt;=$O$2,$D14,$D14-($D14-$I$6)*MIN(I$3-$O$2,$Q$2)/$Q$2))</f>
        <v>8249.87637781993</v>
      </c>
      <c r="J14" s="15" t="n">
        <f aca="false">I14*(1+IF(J$3&lt;=$O$2,$D14,$D14-($D14-$I$6)*MIN(J$3-$O$2,$Q$2)/$Q$2))</f>
        <v>8631.72190596732</v>
      </c>
      <c r="K14" s="15" t="n">
        <f aca="false">J14*(1+IF(K$3&lt;=$O$2,$D14,$D14-($D14-$I$6)*MIN(K$3-$O$2,$Q$2)/$Q$2))</f>
        <v>8992.43077476532</v>
      </c>
      <c r="L14" s="15" t="n">
        <f aca="false">K14*(1+IF(L$3&lt;=$O$2,$D14,$D14-($D14-$I$6)*MIN(L$3-$O$2,$Q$2)/$Q$2))</f>
        <v>9327.78099943325</v>
      </c>
      <c r="M14" s="15" t="n">
        <f aca="false">L14*(1+IF(M$3&lt;=$O$2,$D14,$D14-($D14-$I$6)*MIN(M$3-$O$2,$Q$2)/$Q$2))</f>
        <v>9633.69723703591</v>
      </c>
      <c r="N14" s="15" t="n">
        <f aca="false">M14*(1+IF(N$3&lt;=$O$2,$D14,$D14-($D14-$I$6)*MIN(N$3-$O$2,$Q$2)/$Q$2))</f>
        <v>9906.33086884403</v>
      </c>
      <c r="O14" s="15" t="n">
        <f aca="false">SUMPRODUCT(E14:N14,1/(1+$F$6)^$E$3:$N$3)*$E$2</f>
        <v>10219.300810256</v>
      </c>
      <c r="P14" s="15" t="n">
        <f aca="false">N14*$E$2*(1+$I$6)/($F$6-$I$6)/(1+$F$6)^$N$3</f>
        <v>12341.3034023138</v>
      </c>
      <c r="Q14" s="15" t="n">
        <f aca="false">O14+P14</f>
        <v>22560.6042125698</v>
      </c>
      <c r="R14" s="15" t="n">
        <f aca="false">Q14-$G$2+$I$2</f>
        <v>17260.7042125698</v>
      </c>
      <c r="S14" s="42" t="n">
        <f aca="false">R14/$K$2</f>
        <v>146.92461876549</v>
      </c>
      <c r="T14" s="43" t="n">
        <f aca="false">S14-$M$2</f>
        <v>-0.249368296137106</v>
      </c>
    </row>
    <row r="15" customFormat="false" ht="15" hidden="false" customHeight="false" outlineLevel="0" collapsed="false">
      <c r="A15" s="5" t="n">
        <v>8</v>
      </c>
      <c r="B15" s="25" t="n">
        <f aca="false">IF(T14&gt;0,B14,D14)</f>
        <v>0.05078125</v>
      </c>
      <c r="C15" s="25" t="n">
        <f aca="false">IF(T14&gt;0,D14,C14)</f>
        <v>0.0625</v>
      </c>
      <c r="D15" s="41" t="n">
        <f aca="false">(B15+C15)/2</f>
        <v>0.056640625</v>
      </c>
      <c r="E15" s="15" t="n">
        <f aca="false">$C$2*(1+IF(E$3&lt;=$O$2,$D15,$D15-($D15-$I$6)*MIN(E$3-$O$2,$Q$2)/$Q$2))</f>
        <v>6804.765625</v>
      </c>
      <c r="F15" s="15" t="n">
        <f aca="false">E15*(1+IF(F$3&lt;=$O$2,$D15,$D15-($D15-$I$6)*MIN(F$3-$O$2,$Q$2)/$Q$2))</f>
        <v>7190.19180297852</v>
      </c>
      <c r="G15" s="15" t="n">
        <f aca="false">F15*(1+IF(G$3&lt;=$O$2,$D15,$D15-($D15-$I$6)*MIN(G$3-$O$2,$Q$2)/$Q$2))</f>
        <v>7597.4487605691</v>
      </c>
      <c r="H15" s="15" t="n">
        <f aca="false">G15*(1+IF(H$3&lt;=$O$2,$D15,$D15-($D15-$I$6)*MIN(H$3-$O$2,$Q$2)/$Q$2))</f>
        <v>8027.7730067732</v>
      </c>
      <c r="I15" s="15" t="n">
        <f aca="false">H15*(1+IF(I$3&lt;=$O$2,$D15,$D15-($D15-$I$6)*MIN(I$3-$O$2,$Q$2)/$Q$2))</f>
        <v>8482.47108723497</v>
      </c>
      <c r="J15" s="15" t="n">
        <f aca="false">I15*(1+IF(J$3&lt;=$O$2,$D15,$D15-($D15-$I$6)*MIN(J$3-$O$2,$Q$2)/$Q$2))</f>
        <v>8914.84384472905</v>
      </c>
      <c r="K15" s="15" t="n">
        <f aca="false">J15*(1+IF(K$3&lt;=$O$2,$D15,$D15-($D15-$I$6)*MIN(K$3-$O$2,$Q$2)/$Q$2))</f>
        <v>9318.7252733371</v>
      </c>
      <c r="L15" s="15" t="n">
        <f aca="false">K15*(1+IF(L$3&lt;=$O$2,$D15,$D15-($D15-$I$6)*MIN(L$3-$O$2,$Q$2)/$Q$2))</f>
        <v>9688.08459795241</v>
      </c>
      <c r="M15" s="15" t="n">
        <f aca="false">L15*(1+IF(M$3&lt;=$O$2,$D15,$D15-($D15-$I$6)*MIN(M$3-$O$2,$Q$2)/$Q$2))</f>
        <v>10017.1706665862</v>
      </c>
      <c r="N15" s="15" t="n">
        <f aca="false">M15*(1+IF(N$3&lt;=$O$2,$D15,$D15-($D15-$I$6)*MIN(N$3-$O$2,$Q$2)/$Q$2))</f>
        <v>10300.6565964506</v>
      </c>
      <c r="O15" s="15" t="n">
        <f aca="false">SUMPRODUCT(E15:N15,1/(1+$F$6)^$E$3:$N$3)*$E$2</f>
        <v>10481.0039595373</v>
      </c>
      <c r="P15" s="15" t="n">
        <f aca="false">N15*$E$2*(1+$I$6)/($F$6-$I$6)/(1+$F$6)^$N$3</f>
        <v>12832.5542507017</v>
      </c>
      <c r="Q15" s="15" t="n">
        <f aca="false">O15+P15</f>
        <v>23313.558210239</v>
      </c>
      <c r="R15" s="15" t="n">
        <f aca="false">Q15-$G$2+$I$2</f>
        <v>18013.658210239</v>
      </c>
      <c r="S15" s="42" t="n">
        <f aca="false">R15/$K$2</f>
        <v>153.333828823962</v>
      </c>
      <c r="T15" s="43" t="n">
        <f aca="false">S15-$M$2</f>
        <v>6.15984176233434</v>
      </c>
    </row>
    <row r="16" customFormat="false" ht="15" hidden="false" customHeight="false" outlineLevel="0" collapsed="false">
      <c r="A16" s="5" t="n">
        <v>9</v>
      </c>
      <c r="B16" s="25" t="n">
        <f aca="false">IF(T15&gt;0,B15,D15)</f>
        <v>0.05078125</v>
      </c>
      <c r="C16" s="25" t="n">
        <f aca="false">IF(T15&gt;0,D15,C15)</f>
        <v>0.056640625</v>
      </c>
      <c r="D16" s="41" t="n">
        <f aca="false">(B16+C16)/2</f>
        <v>0.0537109375</v>
      </c>
      <c r="E16" s="15" t="n">
        <f aca="false">$C$2*(1+IF(E$3&lt;=$O$2,$D16,$D16-($D16-$I$6)*MIN(E$3-$O$2,$Q$2)/$Q$2))</f>
        <v>6785.8984375</v>
      </c>
      <c r="F16" s="15" t="n">
        <f aca="false">E16*(1+IF(F$3&lt;=$O$2,$D16,$D16-($D16-$I$6)*MIN(F$3-$O$2,$Q$2)/$Q$2))</f>
        <v>7150.37540435791</v>
      </c>
      <c r="G16" s="15" t="n">
        <f aca="false">F16*(1+IF(G$3&lt;=$O$2,$D16,$D16-($D16-$I$6)*MIN(G$3-$O$2,$Q$2)/$Q$2))</f>
        <v>7534.42877080292</v>
      </c>
      <c r="H16" s="15" t="n">
        <f aca="false">G16*(1+IF(H$3&lt;=$O$2,$D16,$D16-($D16-$I$6)*MIN(H$3-$O$2,$Q$2)/$Q$2))</f>
        <v>7939.11000360971</v>
      </c>
      <c r="I16" s="15" t="n">
        <f aca="false">H16*(1+IF(I$3&lt;=$O$2,$D16,$D16-($D16-$I$6)*MIN(I$3-$O$2,$Q$2)/$Q$2))</f>
        <v>8365.52704481922</v>
      </c>
      <c r="J16" s="15" t="n">
        <f aca="false">I16*(1+IF(J$3&lt;=$O$2,$D16,$D16-($D16-$I$6)*MIN(J$3-$O$2,$Q$2)/$Q$2))</f>
        <v>8772.33216809997</v>
      </c>
      <c r="K16" s="15" t="n">
        <f aca="false">J16*(1+IF(K$3&lt;=$O$2,$D16,$D16-($D16-$I$6)*MIN(K$3-$O$2,$Q$2)/$Q$2))</f>
        <v>9154.3370791289</v>
      </c>
      <c r="L16" s="15" t="n">
        <f aca="false">K16*(1+IF(L$3&lt;=$O$2,$D16,$D16-($D16-$I$6)*MIN(L$3-$O$2,$Q$2)/$Q$2))</f>
        <v>9506.45293341692</v>
      </c>
      <c r="M16" s="15" t="n">
        <f aca="false">L16*(1+IF(M$3&lt;=$O$2,$D16,$D16-($D16-$I$6)*MIN(M$3-$O$2,$Q$2)/$Q$2))</f>
        <v>9823.79912770016</v>
      </c>
      <c r="N16" s="15" t="n">
        <f aca="false">M16*(1+IF(N$3&lt;=$O$2,$D16,$D16-($D16-$I$6)*MIN(N$3-$O$2,$Q$2)/$Q$2))</f>
        <v>10101.8126430141</v>
      </c>
      <c r="O16" s="15" t="n">
        <f aca="false">SUMPRODUCT(E16:N16,1/(1+$F$6)^$E$3:$N$3)*$E$2</f>
        <v>10349.3171131506</v>
      </c>
      <c r="P16" s="15" t="n">
        <f aca="false">N16*$E$2*(1+$I$6)/($F$6-$I$6)/(1+$F$6)^$N$3</f>
        <v>12584.8345256526</v>
      </c>
      <c r="Q16" s="15" t="n">
        <f aca="false">O16+P16</f>
        <v>22934.1516388032</v>
      </c>
      <c r="R16" s="15" t="n">
        <f aca="false">Q16-$G$2+$I$2</f>
        <v>17634.2516388032</v>
      </c>
      <c r="S16" s="42" t="n">
        <f aca="false">R16/$K$2</f>
        <v>150.104287017392</v>
      </c>
      <c r="T16" s="43" t="n">
        <f aca="false">S16-$M$2</f>
        <v>2.93029995576421</v>
      </c>
    </row>
    <row r="17" customFormat="false" ht="15" hidden="false" customHeight="false" outlineLevel="0" collapsed="false">
      <c r="A17" s="5" t="n">
        <v>10</v>
      </c>
      <c r="B17" s="25" t="n">
        <f aca="false">IF(T16&gt;0,B16,D16)</f>
        <v>0.05078125</v>
      </c>
      <c r="C17" s="25" t="n">
        <f aca="false">IF(T16&gt;0,D16,C16)</f>
        <v>0.0537109375</v>
      </c>
      <c r="D17" s="41" t="n">
        <f aca="false">(B17+C17)/2</f>
        <v>0.05224609375</v>
      </c>
      <c r="E17" s="15" t="n">
        <f aca="false">$C$2*(1+IF(E$3&lt;=$O$2,$D17,$D17-($D17-$I$6)*MIN(E$3-$O$2,$Q$2)/$Q$2))</f>
        <v>6776.46484375</v>
      </c>
      <c r="F17" s="15" t="n">
        <f aca="false">E17*(1+IF(F$3&lt;=$O$2,$D17,$D17-($D17-$I$6)*MIN(F$3-$O$2,$Q$2)/$Q$2))</f>
        <v>7130.50866127014</v>
      </c>
      <c r="G17" s="15" t="n">
        <f aca="false">F17*(1+IF(G$3&lt;=$O$2,$D17,$D17-($D17-$I$6)*MIN(G$3-$O$2,$Q$2)/$Q$2))</f>
        <v>7503.04988527205</v>
      </c>
      <c r="H17" s="15" t="n">
        <f aca="false">G17*(1+IF(H$3&lt;=$O$2,$D17,$D17-($D17-$I$6)*MIN(H$3-$O$2,$Q$2)/$Q$2))</f>
        <v>7895.0549329889</v>
      </c>
      <c r="I17" s="15" t="n">
        <f aca="false">H17*(1+IF(I$3&lt;=$O$2,$D17,$D17-($D17-$I$6)*MIN(I$3-$O$2,$Q$2)/$Q$2))</f>
        <v>8307.54071317924</v>
      </c>
      <c r="J17" s="15" t="n">
        <f aca="false">I17*(1+IF(J$3&lt;=$O$2,$D17,$D17-($D17-$I$6)*MIN(J$3-$O$2,$Q$2)/$Q$2))</f>
        <v>8701.79063436199</v>
      </c>
      <c r="K17" s="15" t="n">
        <f aca="false">J17*(1+IF(K$3&lt;=$O$2,$D17,$D17-($D17-$I$6)*MIN(K$3-$O$2,$Q$2)/$Q$2))</f>
        <v>9073.07564590842</v>
      </c>
      <c r="L17" s="15" t="n">
        <f aca="false">K17*(1+IF(L$3&lt;=$O$2,$D17,$D17-($D17-$I$6)*MIN(L$3-$O$2,$Q$2)/$Q$2))</f>
        <v>9416.74957469474</v>
      </c>
      <c r="M17" s="15" t="n">
        <f aca="false">L17*(1+IF(M$3&lt;=$O$2,$D17,$D17-($D17-$I$6)*MIN(M$3-$O$2,$Q$2)/$Q$2))</f>
        <v>9728.34246128578</v>
      </c>
      <c r="N17" s="15" t="n">
        <f aca="false">M17*(1+IF(N$3&lt;=$O$2,$D17,$D17-($D17-$I$6)*MIN(N$3-$O$2,$Q$2)/$Q$2))</f>
        <v>10003.6545529402</v>
      </c>
      <c r="O17" s="15" t="n">
        <f aca="false">SUMPRODUCT(E17:N17,1/(1+$F$6)^$E$3:$N$3)*$E$2</f>
        <v>10284.1013912126</v>
      </c>
      <c r="P17" s="15" t="n">
        <f aca="false">N17*$E$2*(1+$I$6)/($F$6-$I$6)/(1+$F$6)^$N$3</f>
        <v>12462.549212651</v>
      </c>
      <c r="Q17" s="15" t="n">
        <f aca="false">O17+P17</f>
        <v>22746.6506038636</v>
      </c>
      <c r="R17" s="15" t="n">
        <f aca="false">Q17-$G$2+$I$2</f>
        <v>17446.7506038636</v>
      </c>
      <c r="S17" s="42" t="n">
        <f aca="false">R17/$K$2</f>
        <v>148.508261864688</v>
      </c>
      <c r="T17" s="43" t="n">
        <f aca="false">S17-$M$2</f>
        <v>1.33427480306057</v>
      </c>
    </row>
    <row r="18" customFormat="false" ht="15" hidden="false" customHeight="false" outlineLevel="0" collapsed="false">
      <c r="A18" s="5" t="n">
        <v>11</v>
      </c>
      <c r="B18" s="25" t="n">
        <f aca="false">IF(T17&gt;0,B17,D17)</f>
        <v>0.05078125</v>
      </c>
      <c r="C18" s="25" t="n">
        <f aca="false">IF(T17&gt;0,D17,C17)</f>
        <v>0.05224609375</v>
      </c>
      <c r="D18" s="41" t="n">
        <f aca="false">(B18+C18)/2</f>
        <v>0.051513671875</v>
      </c>
      <c r="E18" s="15" t="n">
        <f aca="false">$C$2*(1+IF(E$3&lt;=$O$2,$D18,$D18-($D18-$I$6)*MIN(E$3-$O$2,$Q$2)/$Q$2))</f>
        <v>6771.748046875</v>
      </c>
      <c r="F18" s="15" t="n">
        <f aca="false">E18*(1+IF(F$3&lt;=$O$2,$D18,$D18-($D18-$I$6)*MIN(F$3-$O$2,$Q$2)/$Q$2))</f>
        <v>7120.58565378189</v>
      </c>
      <c r="G18" s="15" t="n">
        <f aca="false">F18*(1+IF(G$3&lt;=$O$2,$D18,$D18-($D18-$I$6)*MIN(G$3-$O$2,$Q$2)/$Q$2))</f>
        <v>7487.39316670864</v>
      </c>
      <c r="H18" s="15" t="n">
        <f aca="false">G18*(1+IF(H$3&lt;=$O$2,$D18,$D18-($D18-$I$6)*MIN(H$3-$O$2,$Q$2)/$Q$2))</f>
        <v>7873.09628149759</v>
      </c>
      <c r="I18" s="15" t="n">
        <f aca="false">H18*(1+IF(I$3&lt;=$O$2,$D18,$D18-($D18-$I$6)*MIN(I$3-$O$2,$Q$2)/$Q$2))</f>
        <v>8278.66837998294</v>
      </c>
      <c r="J18" s="15" t="n">
        <f aca="false">I18*(1+IF(J$3&lt;=$O$2,$D18,$D18-($D18-$I$6)*MIN(J$3-$O$2,$Q$2)/$Q$2))</f>
        <v>8666.69732820435</v>
      </c>
      <c r="K18" s="15" t="n">
        <f aca="false">J18*(1+IF(K$3&lt;=$O$2,$D18,$D18-($D18-$I$6)*MIN(K$3-$O$2,$Q$2)/$Q$2))</f>
        <v>9032.67638340265</v>
      </c>
      <c r="L18" s="15" t="n">
        <f aca="false">K18*(1+IF(L$3&lt;=$O$2,$D18,$D18-($D18-$I$6)*MIN(L$3-$O$2,$Q$2)/$Q$2))</f>
        <v>9372.1737593399</v>
      </c>
      <c r="M18" s="15" t="n">
        <f aca="false">L18*(1+IF(M$3&lt;=$O$2,$D18,$D18-($D18-$I$6)*MIN(M$3-$O$2,$Q$2)/$Q$2))</f>
        <v>9680.91879001018</v>
      </c>
      <c r="N18" s="15" t="n">
        <f aca="false">M18*(1+IF(N$3&lt;=$O$2,$D18,$D18-($D18-$I$6)*MIN(N$3-$O$2,$Q$2)/$Q$2))</f>
        <v>9954.88879176746</v>
      </c>
      <c r="O18" s="15" t="n">
        <f aca="false">SUMPRODUCT(E18:N18,1/(1+$F$6)^$E$3:$N$3)*$E$2</f>
        <v>10251.6493633327</v>
      </c>
      <c r="P18" s="15" t="n">
        <f aca="false">N18*$E$2*(1+$I$6)/($F$6-$I$6)/(1+$F$6)^$N$3</f>
        <v>12401.7968450746</v>
      </c>
      <c r="Q18" s="15" t="n">
        <f aca="false">O18+P18</f>
        <v>22653.4462084073</v>
      </c>
      <c r="R18" s="15" t="n">
        <f aca="false">Q18-$G$2+$I$2</f>
        <v>17353.5462084073</v>
      </c>
      <c r="S18" s="42" t="n">
        <f aca="false">R18/$K$2</f>
        <v>147.714897926518</v>
      </c>
      <c r="T18" s="43" t="n">
        <f aca="false">S18-$M$2</f>
        <v>0.540910864890122</v>
      </c>
    </row>
    <row r="19" customFormat="false" ht="15" hidden="false" customHeight="false" outlineLevel="0" collapsed="false">
      <c r="A19" s="5" t="n">
        <v>12</v>
      </c>
      <c r="B19" s="25" t="n">
        <f aca="false">IF(T18&gt;0,B18,D18)</f>
        <v>0.05078125</v>
      </c>
      <c r="C19" s="25" t="n">
        <f aca="false">IF(T18&gt;0,D18,C18)</f>
        <v>0.051513671875</v>
      </c>
      <c r="D19" s="41" t="n">
        <f aca="false">(B19+C19)/2</f>
        <v>0.0511474609375</v>
      </c>
      <c r="E19" s="15" t="n">
        <f aca="false">$C$2*(1+IF(E$3&lt;=$O$2,$D19,$D19-($D19-$I$6)*MIN(E$3-$O$2,$Q$2)/$Q$2))</f>
        <v>6769.3896484375</v>
      </c>
      <c r="F19" s="15" t="n">
        <f aca="false">E19*(1+IF(F$3&lt;=$O$2,$D19,$D19-($D19-$I$6)*MIN(F$3-$O$2,$Q$2)/$Q$2))</f>
        <v>7115.62674105167</v>
      </c>
      <c r="G19" s="15" t="n">
        <f aca="false">F19*(1+IF(G$3&lt;=$O$2,$D19,$D19-($D19-$I$6)*MIN(G$3-$O$2,$Q$2)/$Q$2))</f>
        <v>7479.57298183545</v>
      </c>
      <c r="H19" s="15" t="n">
        <f aca="false">G19*(1+IF(H$3&lt;=$O$2,$D19,$D19-($D19-$I$6)*MIN(H$3-$O$2,$Q$2)/$Q$2))</f>
        <v>7862.13414875305</v>
      </c>
      <c r="I19" s="15" t="n">
        <f aca="false">H19*(1+IF(I$3&lt;=$O$2,$D19,$D19-($D19-$I$6)*MIN(I$3-$O$2,$Q$2)/$Q$2))</f>
        <v>8264.26234801179</v>
      </c>
      <c r="J19" s="15" t="n">
        <f aca="false">I19*(1+IF(J$3&lt;=$O$2,$D19,$D19-($D19-$I$6)*MIN(J$3-$O$2,$Q$2)/$Q$2))</f>
        <v>8649.19490139928</v>
      </c>
      <c r="K19" s="15" t="n">
        <f aca="false">J19*(1+IF(K$3&lt;=$O$2,$D19,$D19-($D19-$I$6)*MIN(K$3-$O$2,$Q$2)/$Q$2))</f>
        <v>9012.53440269921</v>
      </c>
      <c r="L19" s="15" t="n">
        <f aca="false">K19*(1+IF(L$3&lt;=$O$2,$D19,$D19-($D19-$I$6)*MIN(L$3-$O$2,$Q$2)/$Q$2))</f>
        <v>9349.95453738101</v>
      </c>
      <c r="M19" s="15" t="n">
        <f aca="false">L19*(1+IF(M$3&lt;=$O$2,$D19,$D19-($D19-$I$6)*MIN(M$3-$O$2,$Q$2)/$Q$2))</f>
        <v>9657.28279500094</v>
      </c>
      <c r="N19" s="15" t="n">
        <f aca="false">M19*(1+IF(N$3&lt;=$O$2,$D19,$D19-($D19-$I$6)*MIN(N$3-$O$2,$Q$2)/$Q$2))</f>
        <v>9930.58389809947</v>
      </c>
      <c r="O19" s="15" t="n">
        <f aca="false">SUMPRODUCT(E19:N19,1/(1+$F$6)^$E$3:$N$3)*$E$2</f>
        <v>10235.4621718024</v>
      </c>
      <c r="P19" s="15" t="n">
        <f aca="false">N19*$E$2*(1+$I$6)/($F$6-$I$6)/(1+$F$6)^$N$3</f>
        <v>12371.517817361</v>
      </c>
      <c r="Q19" s="15" t="n">
        <f aca="false">O19+P19</f>
        <v>22606.9799891634</v>
      </c>
      <c r="R19" s="15" t="n">
        <f aca="false">Q19-$G$2+$I$2</f>
        <v>17307.0799891634</v>
      </c>
      <c r="S19" s="42" t="n">
        <f aca="false">R19/$K$2</f>
        <v>147.319373418143</v>
      </c>
      <c r="T19" s="43" t="n">
        <f aca="false">S19-$M$2</f>
        <v>0.145386356515104</v>
      </c>
    </row>
    <row r="20" customFormat="false" ht="15" hidden="false" customHeight="false" outlineLevel="0" collapsed="false">
      <c r="A20" s="5" t="n">
        <v>13</v>
      </c>
      <c r="B20" s="25" t="n">
        <f aca="false">IF(T19&gt;0,B19,D19)</f>
        <v>0.05078125</v>
      </c>
      <c r="C20" s="25" t="n">
        <f aca="false">IF(T19&gt;0,D19,C19)</f>
        <v>0.0511474609375</v>
      </c>
      <c r="D20" s="41" t="n">
        <f aca="false">(B20+C20)/2</f>
        <v>0.05096435546875</v>
      </c>
      <c r="E20" s="15" t="n">
        <f aca="false">$C$2*(1+IF(E$3&lt;=$O$2,$D20,$D20-($D20-$I$6)*MIN(E$3-$O$2,$Q$2)/$Q$2))</f>
        <v>6768.21044921875</v>
      </c>
      <c r="F20" s="15" t="n">
        <f aca="false">E20*(1+IF(F$3&lt;=$O$2,$D20,$D20-($D20-$I$6)*MIN(F$3-$O$2,$Q$2)/$Q$2))</f>
        <v>7113.14793244004</v>
      </c>
      <c r="G20" s="15" t="n">
        <f aca="false">F20*(1+IF(G$3&lt;=$O$2,$D20,$D20-($D20-$I$6)*MIN(G$3-$O$2,$Q$2)/$Q$2))</f>
        <v>7475.66493217072</v>
      </c>
      <c r="H20" s="15" t="n">
        <f aca="false">G20*(1+IF(H$3&lt;=$O$2,$D20,$D20-($D20-$I$6)*MIN(H$3-$O$2,$Q$2)/$Q$2))</f>
        <v>7856.65737713914</v>
      </c>
      <c r="I20" s="15" t="n">
        <f aca="false">H20*(1+IF(I$3&lt;=$O$2,$D20,$D20-($D20-$I$6)*MIN(I$3-$O$2,$Q$2)/$Q$2))</f>
        <v>8257.06685650383</v>
      </c>
      <c r="J20" s="15" t="n">
        <f aca="false">I20*(1+IF(J$3&lt;=$O$2,$D20,$D20-($D20-$I$6)*MIN(J$3-$O$2,$Q$2)/$Q$2))</f>
        <v>8640.45472723492</v>
      </c>
      <c r="K20" s="15" t="n">
        <f aca="false">J20*(1+IF(K$3&lt;=$O$2,$D20,$D20-($D20-$I$6)*MIN(K$3-$O$2,$Q$2)/$Q$2))</f>
        <v>9002.47779842549</v>
      </c>
      <c r="L20" s="15" t="n">
        <f aca="false">K20*(1+IF(L$3&lt;=$O$2,$D20,$D20-($D20-$I$6)*MIN(L$3-$O$2,$Q$2)/$Q$2))</f>
        <v>9338.86206289015</v>
      </c>
      <c r="M20" s="15" t="n">
        <f aca="false">L20*(1+IF(M$3&lt;=$O$2,$D20,$D20-($D20-$I$6)*MIN(M$3-$O$2,$Q$2)/$Q$2))</f>
        <v>9645.48371716333</v>
      </c>
      <c r="N20" s="15" t="n">
        <f aca="false">M20*(1+IF(N$3&lt;=$O$2,$D20,$D20-($D20-$I$6)*MIN(N$3-$O$2,$Q$2)/$Q$2))</f>
        <v>9918.45090635905</v>
      </c>
      <c r="O20" s="15" t="n">
        <f aca="false">SUMPRODUCT(E20:N20,1/(1+$F$6)^$E$3:$N$3)*$E$2</f>
        <v>10227.3782646982</v>
      </c>
      <c r="P20" s="15" t="n">
        <f aca="false">N20*$E$2*(1+$I$6)/($F$6-$I$6)/(1+$F$6)^$N$3</f>
        <v>12356.4025406528</v>
      </c>
      <c r="Q20" s="15" t="n">
        <f aca="false">O20+P20</f>
        <v>22583.780805351</v>
      </c>
      <c r="R20" s="15" t="n">
        <f aca="false">Q20-$G$2+$I$2</f>
        <v>17283.880805351</v>
      </c>
      <c r="S20" s="42" t="n">
        <f aca="false">R20/$K$2</f>
        <v>147.121899943403</v>
      </c>
      <c r="T20" s="43" t="n">
        <f aca="false">S20-$M$2</f>
        <v>-0.0520871182243354</v>
      </c>
    </row>
    <row r="21" customFormat="false" ht="15" hidden="false" customHeight="false" outlineLevel="0" collapsed="false">
      <c r="A21" s="5" t="n">
        <v>14</v>
      </c>
      <c r="B21" s="25" t="n">
        <f aca="false">IF(T20&gt;0,B20,D20)</f>
        <v>0.05096435546875</v>
      </c>
      <c r="C21" s="25" t="n">
        <f aca="false">IF(T20&gt;0,D20,C20)</f>
        <v>0.0511474609375</v>
      </c>
      <c r="D21" s="41" t="n">
        <f aca="false">(B21+C21)/2</f>
        <v>0.051055908203125</v>
      </c>
      <c r="E21" s="15" t="n">
        <f aca="false">$C$2*(1+IF(E$3&lt;=$O$2,$D21,$D21-($D21-$I$6)*MIN(E$3-$O$2,$Q$2)/$Q$2))</f>
        <v>6768.80004882813</v>
      </c>
      <c r="F21" s="15" t="n">
        <f aca="false">E21*(1+IF(F$3&lt;=$O$2,$D21,$D21-($D21-$I$6)*MIN(F$3-$O$2,$Q$2)/$Q$2))</f>
        <v>7114.3872827664</v>
      </c>
      <c r="G21" s="15" t="n">
        <f aca="false">F21*(1+IF(G$3&lt;=$O$2,$D21,$D21-($D21-$I$6)*MIN(G$3-$O$2,$Q$2)/$Q$2))</f>
        <v>7477.6187867968</v>
      </c>
      <c r="H21" s="15" t="n">
        <f aca="false">G21*(1+IF(H$3&lt;=$O$2,$D21,$D21-($D21-$I$6)*MIN(H$3-$O$2,$Q$2)/$Q$2))</f>
        <v>7859.39540515346</v>
      </c>
      <c r="I21" s="15" t="n">
        <f aca="false">H21*(1+IF(I$3&lt;=$O$2,$D21,$D21-($D21-$I$6)*MIN(I$3-$O$2,$Q$2)/$Q$2))</f>
        <v>8260.66397549104</v>
      </c>
      <c r="J21" s="15" t="n">
        <f aca="false">I21*(1+IF(J$3&lt;=$O$2,$D21,$D21-($D21-$I$6)*MIN(J$3-$O$2,$Q$2)/$Q$2))</f>
        <v>8644.82389489595</v>
      </c>
      <c r="K21" s="15" t="n">
        <f aca="false">J21*(1+IF(K$3&lt;=$O$2,$D21,$D21-($D21-$I$6)*MIN(K$3-$O$2,$Q$2)/$Q$2))</f>
        <v>9007.50490251216</v>
      </c>
      <c r="L21" s="15" t="n">
        <f aca="false">K21*(1+IF(L$3&lt;=$O$2,$D21,$D21-($D21-$I$6)*MIN(L$3-$O$2,$Q$2)/$Q$2))</f>
        <v>9344.40687313356</v>
      </c>
      <c r="M21" s="15" t="n">
        <f aca="false">L21*(1+IF(M$3&lt;=$O$2,$D21,$D21-($D21-$I$6)*MIN(M$3-$O$2,$Q$2)/$Q$2))</f>
        <v>9651.38168064678</v>
      </c>
      <c r="N21" s="15" t="n">
        <f aca="false">M21*(1+IF(N$3&lt;=$O$2,$D21,$D21-($D21-$I$6)*MIN(N$3-$O$2,$Q$2)/$Q$2))</f>
        <v>9924.51578220908</v>
      </c>
      <c r="O21" s="15" t="n">
        <f aca="false">SUMPRODUCT(E21:N21,1/(1+$F$6)^$E$3:$N$3)*$E$2</f>
        <v>10231.4194113656</v>
      </c>
      <c r="P21" s="15" t="n">
        <f aca="false">N21*$E$2*(1+$I$6)/($F$6-$I$6)/(1+$F$6)^$N$3</f>
        <v>12363.9581607863</v>
      </c>
      <c r="Q21" s="15" t="n">
        <f aca="false">O21+P21</f>
        <v>22595.3775721519</v>
      </c>
      <c r="R21" s="15" t="n">
        <f aca="false">Q21-$G$2+$I$2</f>
        <v>17295.4775721519</v>
      </c>
      <c r="S21" s="42" t="n">
        <f aca="false">R21/$K$2</f>
        <v>147.22061263323</v>
      </c>
      <c r="T21" s="43" t="n">
        <f aca="false">S21-$M$2</f>
        <v>0.0466255716028741</v>
      </c>
    </row>
    <row r="22" customFormat="false" ht="15" hidden="false" customHeight="false" outlineLevel="0" collapsed="false">
      <c r="A22" s="5" t="n">
        <v>15</v>
      </c>
      <c r="B22" s="25" t="n">
        <f aca="false">IF(T21&gt;0,B21,D21)</f>
        <v>0.05096435546875</v>
      </c>
      <c r="C22" s="25" t="n">
        <f aca="false">IF(T21&gt;0,D21,C21)</f>
        <v>0.051055908203125</v>
      </c>
      <c r="D22" s="41" t="n">
        <f aca="false">(B22+C22)/2</f>
        <v>0.0510101318359375</v>
      </c>
      <c r="E22" s="15" t="n">
        <f aca="false">$C$2*(1+IF(E$3&lt;=$O$2,$D22,$D22-($D22-$I$6)*MIN(E$3-$O$2,$Q$2)/$Q$2))</f>
        <v>6768.50524902344</v>
      </c>
      <c r="F22" s="15" t="n">
        <f aca="false">E22*(1+IF(F$3&lt;=$O$2,$D22,$D22-($D22-$I$6)*MIN(F$3-$O$2,$Q$2)/$Q$2))</f>
        <v>7113.76759410836</v>
      </c>
      <c r="G22" s="15" t="n">
        <f aca="false">F22*(1+IF(G$3&lt;=$O$2,$D22,$D22-($D22-$I$6)*MIN(G$3-$O$2,$Q$2)/$Q$2))</f>
        <v>7476.64181693405</v>
      </c>
      <c r="H22" s="15" t="n">
        <f aca="false">G22*(1+IF(H$3&lt;=$O$2,$D22,$D22-($D22-$I$6)*MIN(H$3-$O$2,$Q$2)/$Q$2))</f>
        <v>7858.02630170593</v>
      </c>
      <c r="I22" s="15" t="n">
        <f aca="false">H22*(1+IF(I$3&lt;=$O$2,$D22,$D22-($D22-$I$6)*MIN(I$3-$O$2,$Q$2)/$Q$2))</f>
        <v>8258.86525932622</v>
      </c>
      <c r="J22" s="15" t="n">
        <f aca="false">I22*(1+IF(J$3&lt;=$O$2,$D22,$D22-($D22-$I$6)*MIN(J$3-$O$2,$Q$2)/$Q$2))</f>
        <v>8642.63908124878</v>
      </c>
      <c r="K22" s="15" t="n">
        <f aca="false">J22*(1+IF(K$3&lt;=$O$2,$D22,$D22-($D22-$I$6)*MIN(K$3-$O$2,$Q$2)/$Q$2))</f>
        <v>9004.99105101548</v>
      </c>
      <c r="L22" s="15" t="n">
        <f aca="false">K22*(1+IF(L$3&lt;=$O$2,$D22,$D22-($D22-$I$6)*MIN(L$3-$O$2,$Q$2)/$Q$2))</f>
        <v>9341.63411133921</v>
      </c>
      <c r="M22" s="15" t="n">
        <f aca="false">L22*(1+IF(M$3&lt;=$O$2,$D22,$D22-($D22-$I$6)*MIN(M$3-$O$2,$Q$2)/$Q$2))</f>
        <v>9648.43230513643</v>
      </c>
      <c r="N22" s="15" t="n">
        <f aca="false">M22*(1+IF(N$3&lt;=$O$2,$D22,$D22-($D22-$I$6)*MIN(N$3-$O$2,$Q$2)/$Q$2))</f>
        <v>9921.48293937179</v>
      </c>
      <c r="O22" s="15" t="n">
        <f aca="false">SUMPRODUCT(E22:N22,1/(1+$F$6)^$E$3:$N$3)*$E$2</f>
        <v>10229.3986363485</v>
      </c>
      <c r="P22" s="15" t="n">
        <f aca="false">N22*$E$2*(1+$I$6)/($F$6-$I$6)/(1+$F$6)^$N$3</f>
        <v>12360.17984628</v>
      </c>
      <c r="Q22" s="15" t="n">
        <f aca="false">O22+P22</f>
        <v>22589.5784826285</v>
      </c>
      <c r="R22" s="15" t="n">
        <f aca="false">Q22-$G$2+$I$2</f>
        <v>17289.6784826285</v>
      </c>
      <c r="S22" s="42" t="n">
        <f aca="false">R22/$K$2</f>
        <v>147.171250277736</v>
      </c>
      <c r="T22" s="43" t="n">
        <f aca="false">S22-$M$2</f>
        <v>-0.00273678389115162</v>
      </c>
    </row>
    <row r="23" customFormat="false" ht="15" hidden="false" customHeight="false" outlineLevel="0" collapsed="false">
      <c r="A23" s="5" t="n">
        <v>16</v>
      </c>
      <c r="B23" s="25" t="n">
        <f aca="false">IF(T22&gt;0,B22,D22)</f>
        <v>0.0510101318359375</v>
      </c>
      <c r="C23" s="25" t="n">
        <f aca="false">IF(T22&gt;0,D22,C22)</f>
        <v>0.051055908203125</v>
      </c>
      <c r="D23" s="41" t="n">
        <f aca="false">(B23+C23)/2</f>
        <v>0.0510330200195313</v>
      </c>
      <c r="E23" s="15" t="n">
        <f aca="false">$C$2*(1+IF(E$3&lt;=$O$2,$D23,$D23-($D23-$I$6)*MIN(E$3-$O$2,$Q$2)/$Q$2))</f>
        <v>6768.65264892578</v>
      </c>
      <c r="F23" s="15" t="n">
        <f aca="false">E23*(1+IF(F$3&lt;=$O$2,$D23,$D23-($D23-$I$6)*MIN(F$3-$O$2,$Q$2)/$Q$2))</f>
        <v>7114.07743506366</v>
      </c>
      <c r="G23" s="15" t="n">
        <f aca="false">F23*(1+IF(G$3&lt;=$O$2,$D23,$D23-($D23-$I$6)*MIN(G$3-$O$2,$Q$2)/$Q$2))</f>
        <v>7477.13029122776</v>
      </c>
      <c r="H23" s="15" t="n">
        <f aca="false">G23*(1+IF(H$3&lt;=$O$2,$D23,$D23-($D23-$I$6)*MIN(H$3-$O$2,$Q$2)/$Q$2))</f>
        <v>7858.71083106863</v>
      </c>
      <c r="I23" s="15" t="n">
        <f aca="false">H23*(1+IF(I$3&lt;=$O$2,$D23,$D23-($D23-$I$6)*MIN(I$3-$O$2,$Q$2)/$Q$2))</f>
        <v>8259.76457823827</v>
      </c>
      <c r="J23" s="15" t="n">
        <f aca="false">I23*(1+IF(J$3&lt;=$O$2,$D23,$D23-($D23-$I$6)*MIN(J$3-$O$2,$Q$2)/$Q$2))</f>
        <v>8643.73143061337</v>
      </c>
      <c r="K23" s="15" t="n">
        <f aca="false">J23*(1+IF(K$3&lt;=$O$2,$D23,$D23-($D23-$I$6)*MIN(K$3-$O$2,$Q$2)/$Q$2))</f>
        <v>9006.24790189308</v>
      </c>
      <c r="L23" s="15" t="n">
        <f aca="false">K23*(1+IF(L$3&lt;=$O$2,$D23,$D23-($D23-$I$6)*MIN(L$3-$O$2,$Q$2)/$Q$2))</f>
        <v>9343.0204030585</v>
      </c>
      <c r="M23" s="15" t="n">
        <f aca="false">L23*(1+IF(M$3&lt;=$O$2,$D23,$D23-($D23-$I$6)*MIN(M$3-$O$2,$Q$2)/$Q$2))</f>
        <v>9649.90689443817</v>
      </c>
      <c r="N23" s="15" t="n">
        <f aca="false">M23*(1+IF(N$3&lt;=$O$2,$D23,$D23-($D23-$I$6)*MIN(N$3-$O$2,$Q$2)/$Q$2))</f>
        <v>9922.99925955077</v>
      </c>
      <c r="O23" s="15" t="n">
        <f aca="false">SUMPRODUCT(E23:N23,1/(1+$F$6)^$E$3:$N$3)*$E$2</f>
        <v>10230.4089734314</v>
      </c>
      <c r="P23" s="15" t="n">
        <f aca="false">N23*$E$2*(1+$I$6)/($F$6-$I$6)/(1+$F$6)^$N$3</f>
        <v>12362.0688774088</v>
      </c>
      <c r="Q23" s="15" t="n">
        <f aca="false">O23+P23</f>
        <v>22592.4778508403</v>
      </c>
      <c r="R23" s="15" t="n">
        <f aca="false">Q23-$G$2+$I$2</f>
        <v>17292.5778508403</v>
      </c>
      <c r="S23" s="42" t="n">
        <f aca="false">R23/$K$2</f>
        <v>147.195929952675</v>
      </c>
      <c r="T23" s="43" t="n">
        <f aca="false">S23-$M$2</f>
        <v>0.021942891047587</v>
      </c>
    </row>
    <row r="24" customFormat="false" ht="15" hidden="false" customHeight="false" outlineLevel="0" collapsed="false">
      <c r="A24" s="5" t="n">
        <v>17</v>
      </c>
      <c r="B24" s="25" t="n">
        <f aca="false">IF(T23&gt;0,B23,D23)</f>
        <v>0.0510101318359375</v>
      </c>
      <c r="C24" s="25" t="n">
        <f aca="false">IF(T23&gt;0,D23,C23)</f>
        <v>0.0510330200195313</v>
      </c>
      <c r="D24" s="41" t="n">
        <f aca="false">(B24+C24)/2</f>
        <v>0.0510215759277344</v>
      </c>
      <c r="E24" s="15" t="n">
        <f aca="false">$C$2*(1+IF(E$3&lt;=$O$2,$D24,$D24-($D24-$I$6)*MIN(E$3-$O$2,$Q$2)/$Q$2))</f>
        <v>6768.57894897461</v>
      </c>
      <c r="F24" s="15" t="n">
        <f aca="false">E24*(1+IF(F$3&lt;=$O$2,$D24,$D24-($D24-$I$6)*MIN(F$3-$O$2,$Q$2)/$Q$2))</f>
        <v>7113.92251374258</v>
      </c>
      <c r="G24" s="15" t="n">
        <f aca="false">F24*(1+IF(G$3&lt;=$O$2,$D24,$D24-($D24-$I$6)*MIN(G$3-$O$2,$Q$2)/$Q$2))</f>
        <v>7476.88605142152</v>
      </c>
      <c r="H24" s="15" t="n">
        <f aca="false">G24*(1+IF(H$3&lt;=$O$2,$D24,$D24-($D24-$I$6)*MIN(H$3-$O$2,$Q$2)/$Q$2))</f>
        <v>7858.36856079714</v>
      </c>
      <c r="I24" s="15" t="n">
        <f aca="false">H24*(1+IF(I$3&lt;=$O$2,$D24,$D24-($D24-$I$6)*MIN(I$3-$O$2,$Q$2)/$Q$2))</f>
        <v>8259.31490898997</v>
      </c>
      <c r="J24" s="15" t="n">
        <f aca="false">I24*(1+IF(J$3&lt;=$O$2,$D24,$D24-($D24-$I$6)*MIN(J$3-$O$2,$Q$2)/$Q$2))</f>
        <v>8643.18524156694</v>
      </c>
      <c r="K24" s="15" t="n">
        <f aca="false">J24*(1+IF(K$3&lt;=$O$2,$D24,$D24-($D24-$I$6)*MIN(K$3-$O$2,$Q$2)/$Q$2))</f>
        <v>9005.61945773752</v>
      </c>
      <c r="L24" s="15" t="n">
        <f aca="false">K24*(1+IF(L$3&lt;=$O$2,$D24,$D24-($D24-$I$6)*MIN(L$3-$O$2,$Q$2)/$Q$2))</f>
        <v>9342.3272349056</v>
      </c>
      <c r="M24" s="15" t="n">
        <f aca="false">L24*(1+IF(M$3&lt;=$O$2,$D24,$D24-($D24-$I$6)*MIN(M$3-$O$2,$Q$2)/$Q$2))</f>
        <v>9649.16957517536</v>
      </c>
      <c r="N24" s="15" t="n">
        <f aca="false">M24*(1+IF(N$3&lt;=$O$2,$D24,$D24-($D24-$I$6)*MIN(N$3-$O$2,$Q$2)/$Q$2))</f>
        <v>9922.24107415282</v>
      </c>
      <c r="O24" s="15" t="n">
        <f aca="false">SUMPRODUCT(E24:N24,1/(1+$F$6)^$E$3:$N$3)*$E$2</f>
        <v>10229.9037922842</v>
      </c>
      <c r="P24" s="15" t="n">
        <f aca="false">N24*$E$2*(1+$I$6)/($F$6-$I$6)/(1+$F$6)^$N$3</f>
        <v>12361.1243303151</v>
      </c>
      <c r="Q24" s="15" t="n">
        <f aca="false">O24+P24</f>
        <v>22591.0281225993</v>
      </c>
      <c r="R24" s="15" t="n">
        <f aca="false">Q24-$G$2+$I$2</f>
        <v>17291.1281225993</v>
      </c>
      <c r="S24" s="42" t="n">
        <f aca="false">R24/$K$2</f>
        <v>147.183589739524</v>
      </c>
      <c r="T24" s="43" t="n">
        <f aca="false">S24-$M$2</f>
        <v>0.00960267789656655</v>
      </c>
    </row>
    <row r="25" customFormat="false" ht="15" hidden="false" customHeight="false" outlineLevel="0" collapsed="false">
      <c r="A25" s="5" t="n">
        <v>18</v>
      </c>
      <c r="B25" s="25" t="n">
        <f aca="false">IF(T24&gt;0,B24,D24)</f>
        <v>0.0510101318359375</v>
      </c>
      <c r="C25" s="25" t="n">
        <f aca="false">IF(T24&gt;0,D24,C24)</f>
        <v>0.0510215759277344</v>
      </c>
      <c r="D25" s="41" t="n">
        <f aca="false">(B25+C25)/2</f>
        <v>0.0510158538818359</v>
      </c>
      <c r="E25" s="15" t="n">
        <f aca="false">$C$2*(1+IF(E$3&lt;=$O$2,$D25,$D25-($D25-$I$6)*MIN(E$3-$O$2,$Q$2)/$Q$2))</f>
        <v>6768.54209899902</v>
      </c>
      <c r="F25" s="15" t="n">
        <f aca="false">E25*(1+IF(F$3&lt;=$O$2,$D25,$D25-($D25-$I$6)*MIN(F$3-$O$2,$Q$2)/$Q$2))</f>
        <v>7113.84505371461</v>
      </c>
      <c r="G25" s="15" t="n">
        <f aca="false">F25*(1+IF(G$3&lt;=$O$2,$D25,$D25-($D25-$I$6)*MIN(G$3-$O$2,$Q$2)/$Q$2))</f>
        <v>7476.76393351294</v>
      </c>
      <c r="H25" s="15" t="n">
        <f aca="false">G25*(1+IF(H$3&lt;=$O$2,$D25,$D25-($D25-$I$6)*MIN(H$3-$O$2,$Q$2)/$Q$2))</f>
        <v>7858.19742985402</v>
      </c>
      <c r="I25" s="15" t="n">
        <f aca="false">H25*(1+IF(I$3&lt;=$O$2,$D25,$D25-($D25-$I$6)*MIN(I$3-$O$2,$Q$2)/$Q$2))</f>
        <v>8259.09008171007</v>
      </c>
      <c r="J25" s="15" t="n">
        <f aca="false">I25*(1+IF(J$3&lt;=$O$2,$D25,$D25-($D25-$I$6)*MIN(J$3-$O$2,$Q$2)/$Q$2))</f>
        <v>8642.9121578169</v>
      </c>
      <c r="K25" s="15" t="n">
        <f aca="false">J25*(1+IF(K$3&lt;=$O$2,$D25,$D25-($D25-$I$6)*MIN(K$3-$O$2,$Q$2)/$Q$2))</f>
        <v>9005.30524969743</v>
      </c>
      <c r="L25" s="15" t="n">
        <f aca="false">K25*(1+IF(L$3&lt;=$O$2,$D25,$D25-($D25-$I$6)*MIN(L$3-$O$2,$Q$2)/$Q$2))</f>
        <v>9341.98066754925</v>
      </c>
      <c r="M25" s="15" t="n">
        <f aca="false">L25*(1+IF(M$3&lt;=$O$2,$D25,$D25-($D25-$I$6)*MIN(M$3-$O$2,$Q$2)/$Q$2))</f>
        <v>9648.80093400309</v>
      </c>
      <c r="N25" s="15" t="n">
        <f aca="false">M25*(1+IF(N$3&lt;=$O$2,$D25,$D25-($D25-$I$6)*MIN(N$3-$O$2,$Q$2)/$Q$2))</f>
        <v>9921.86200043537</v>
      </c>
      <c r="O25" s="15" t="n">
        <f aca="false">SUMPRODUCT(E25:N25,1/(1+$F$6)^$E$3:$N$3)*$E$2</f>
        <v>10229.6512111649</v>
      </c>
      <c r="P25" s="15" t="n">
        <f aca="false">N25*$E$2*(1+$I$6)/($F$6-$I$6)/(1+$F$6)^$N$3</f>
        <v>12360.6520804155</v>
      </c>
      <c r="Q25" s="15" t="n">
        <f aca="false">O25+P25</f>
        <v>22590.3032915804</v>
      </c>
      <c r="R25" s="15" t="n">
        <f aca="false">Q25-$G$2+$I$2</f>
        <v>17290.4032915804</v>
      </c>
      <c r="S25" s="42" t="n">
        <f aca="false">R25/$K$2</f>
        <v>147.177419914712</v>
      </c>
      <c r="T25" s="43" t="n">
        <f aca="false">S25-$M$2</f>
        <v>0.00343285308488817</v>
      </c>
    </row>
    <row r="26" customFormat="false" ht="15" hidden="false" customHeight="false" outlineLevel="0" collapsed="false">
      <c r="A26" s="5" t="n">
        <v>19</v>
      </c>
      <c r="B26" s="25" t="n">
        <f aca="false">IF(T25&gt;0,B25,D25)</f>
        <v>0.0510101318359375</v>
      </c>
      <c r="C26" s="25" t="n">
        <f aca="false">IF(T25&gt;0,D25,C25)</f>
        <v>0.0510158538818359</v>
      </c>
      <c r="D26" s="41" t="n">
        <f aca="false">(B26+C26)/2</f>
        <v>0.0510129928588867</v>
      </c>
      <c r="E26" s="15" t="n">
        <f aca="false">$C$2*(1+IF(E$3&lt;=$O$2,$D26,$D26-($D26-$I$6)*MIN(E$3-$O$2,$Q$2)/$Q$2))</f>
        <v>6768.52367401123</v>
      </c>
      <c r="F26" s="15" t="n">
        <f aca="false">E26*(1+IF(F$3&lt;=$O$2,$D26,$D26-($D26-$I$6)*MIN(F$3-$O$2,$Q$2)/$Q$2))</f>
        <v>7113.80632385877</v>
      </c>
      <c r="G26" s="15" t="n">
        <f aca="false">F26*(1+IF(G$3&lt;=$O$2,$D26,$D26-($D26-$I$6)*MIN(G$3-$O$2,$Q$2)/$Q$2))</f>
        <v>7476.70287505728</v>
      </c>
      <c r="H26" s="15" t="n">
        <f aca="false">G26*(1+IF(H$3&lt;=$O$2,$D26,$D26-($D26-$I$6)*MIN(H$3-$O$2,$Q$2)/$Q$2))</f>
        <v>7858.1118654306</v>
      </c>
      <c r="I26" s="15" t="n">
        <f aca="false">H26*(1+IF(I$3&lt;=$O$2,$D26,$D26-($D26-$I$6)*MIN(I$3-$O$2,$Q$2)/$Q$2))</f>
        <v>8258.97766990614</v>
      </c>
      <c r="J26" s="15" t="n">
        <f aca="false">I26*(1+IF(J$3&lt;=$O$2,$D26,$D26-($D26-$I$6)*MIN(J$3-$O$2,$Q$2)/$Q$2))</f>
        <v>8642.77561863511</v>
      </c>
      <c r="K26" s="15" t="n">
        <f aca="false">J26*(1+IF(K$3&lt;=$O$2,$D26,$D26-($D26-$I$6)*MIN(K$3-$O$2,$Q$2)/$Q$2))</f>
        <v>9005.1481491867</v>
      </c>
      <c r="L26" s="15" t="n">
        <f aca="false">K26*(1+IF(L$3&lt;=$O$2,$D26,$D26-($D26-$I$6)*MIN(L$3-$O$2,$Q$2)/$Q$2))</f>
        <v>9341.80738805096</v>
      </c>
      <c r="M26" s="15" t="n">
        <f aca="false">L26*(1+IF(M$3&lt;=$O$2,$D26,$D26-($D26-$I$6)*MIN(M$3-$O$2,$Q$2)/$Q$2))</f>
        <v>9648.61661803158</v>
      </c>
      <c r="N26" s="15" t="n">
        <f aca="false">M26*(1+IF(N$3&lt;=$O$2,$D26,$D26-($D26-$I$6)*MIN(N$3-$O$2,$Q$2)/$Q$2))</f>
        <v>9921.67246832187</v>
      </c>
      <c r="O26" s="15" t="n">
        <f aca="false">SUMPRODUCT(E26:N26,1/(1+$F$6)^$E$3:$N$3)*$E$2</f>
        <v>10229.5249229689</v>
      </c>
      <c r="P26" s="15" t="n">
        <f aca="false">N26*$E$2*(1+$I$6)/($F$6-$I$6)/(1+$F$6)^$N$3</f>
        <v>12360.4159613772</v>
      </c>
      <c r="Q26" s="15" t="n">
        <f aca="false">O26+P26</f>
        <v>22589.9408843461</v>
      </c>
      <c r="R26" s="15" t="n">
        <f aca="false">Q26-$G$2+$I$2</f>
        <v>17290.0408843461</v>
      </c>
      <c r="S26" s="42" t="n">
        <f aca="false">R26/$K$2</f>
        <v>147.174335072745</v>
      </c>
      <c r="T26" s="43" t="n">
        <f aca="false">S26-$M$2</f>
        <v>0.000348011117694114</v>
      </c>
    </row>
    <row r="27" customFormat="false" ht="15" hidden="false" customHeight="false" outlineLevel="0" collapsed="false">
      <c r="A27" s="5" t="n">
        <v>20</v>
      </c>
      <c r="B27" s="25" t="n">
        <f aca="false">IF(T26&gt;0,B26,D26)</f>
        <v>0.0510101318359375</v>
      </c>
      <c r="C27" s="25" t="n">
        <f aca="false">IF(T26&gt;0,D26,C26)</f>
        <v>0.0510129928588867</v>
      </c>
      <c r="D27" s="41" t="n">
        <f aca="false">(B27+C27)/2</f>
        <v>0.0510115623474121</v>
      </c>
      <c r="E27" s="15" t="n">
        <f aca="false">$C$2*(1+IF(E$3&lt;=$O$2,$D27,$D27-($D27-$I$6)*MIN(E$3-$O$2,$Q$2)/$Q$2))</f>
        <v>6768.51446151733</v>
      </c>
      <c r="F27" s="15" t="n">
        <f aca="false">E27*(1+IF(F$3&lt;=$O$2,$D27,$D27-($D27-$I$6)*MIN(F$3-$O$2,$Q$2)/$Q$2))</f>
        <v>7113.78695897039</v>
      </c>
      <c r="G27" s="15" t="n">
        <f aca="false">F27*(1+IF(G$3&lt;=$O$2,$D27,$D27-($D27-$I$6)*MIN(G$3-$O$2,$Q$2)/$Q$2))</f>
        <v>7476.67234595411</v>
      </c>
      <c r="H27" s="15" t="n">
        <f aca="false">G27*(1+IF(H$3&lt;=$O$2,$D27,$D27-($D27-$I$6)*MIN(H$3-$O$2,$Q$2)/$Q$2))</f>
        <v>7858.06908348092</v>
      </c>
      <c r="I27" s="15" t="n">
        <f aca="false">H27*(1+IF(I$3&lt;=$O$2,$D27,$D27-($D27-$I$6)*MIN(I$3-$O$2,$Q$2)/$Q$2))</f>
        <v>8258.92146446318</v>
      </c>
      <c r="J27" s="15" t="n">
        <f aca="false">I27*(1+IF(J$3&lt;=$O$2,$D27,$D27-($D27-$I$6)*MIN(J$3-$O$2,$Q$2)/$Q$2))</f>
        <v>8642.70734971752</v>
      </c>
      <c r="K27" s="15" t="n">
        <f aca="false">J27*(1+IF(K$3&lt;=$O$2,$D27,$D27-($D27-$I$6)*MIN(K$3-$O$2,$Q$2)/$Q$2))</f>
        <v>9005.06959980865</v>
      </c>
      <c r="L27" s="15" t="n">
        <f aca="false">K27*(1+IF(L$3&lt;=$O$2,$D27,$D27-($D27-$I$6)*MIN(L$3-$O$2,$Q$2)/$Q$2))</f>
        <v>9341.72074934677</v>
      </c>
      <c r="M27" s="15" t="n">
        <f aca="false">L27*(1+IF(M$3&lt;=$O$2,$D27,$D27-($D27-$I$6)*MIN(M$3-$O$2,$Q$2)/$Q$2))</f>
        <v>9648.52446119946</v>
      </c>
      <c r="N27" s="15" t="n">
        <f aca="false">M27*(1+IF(N$3&lt;=$O$2,$D27,$D27-($D27-$I$6)*MIN(N$3-$O$2,$Q$2)/$Q$2))</f>
        <v>9921.57770345141</v>
      </c>
      <c r="O27" s="15" t="n">
        <f aca="false">SUMPRODUCT(E27:N27,1/(1+$F$6)^$E$3:$N$3)*$E$2</f>
        <v>10229.4617794617</v>
      </c>
      <c r="P27" s="15" t="n">
        <f aca="false">N27*$E$2*(1+$I$6)/($F$6-$I$6)/(1+$F$6)^$N$3</f>
        <v>12360.297903336</v>
      </c>
      <c r="Q27" s="15" t="n">
        <f aca="false">O27+P27</f>
        <v>22589.7596827977</v>
      </c>
      <c r="R27" s="15" t="n">
        <f aca="false">Q27-$G$2+$I$2</f>
        <v>17289.8596827977</v>
      </c>
      <c r="S27" s="42" t="n">
        <f aca="false">R27/$K$2</f>
        <v>147.172792669371</v>
      </c>
      <c r="T27" s="43" t="n">
        <f aca="false">S27-$M$2</f>
        <v>-0.00119439225645124</v>
      </c>
    </row>
    <row r="28" customFormat="false" ht="15" hidden="false" customHeight="false" outlineLevel="0" collapsed="false">
      <c r="A28" s="5" t="n">
        <v>21</v>
      </c>
      <c r="B28" s="25" t="n">
        <f aca="false">IF(T27&gt;0,B27,D27)</f>
        <v>0.0510115623474121</v>
      </c>
      <c r="C28" s="25" t="n">
        <f aca="false">IF(T27&gt;0,D27,C27)</f>
        <v>0.0510129928588867</v>
      </c>
      <c r="D28" s="41" t="n">
        <f aca="false">(B28+C28)/2</f>
        <v>0.0510122776031494</v>
      </c>
      <c r="E28" s="15" t="n">
        <f aca="false">$C$2*(1+IF(E$3&lt;=$O$2,$D28,$D28-($D28-$I$6)*MIN(E$3-$O$2,$Q$2)/$Q$2))</f>
        <v>6768.51906776428</v>
      </c>
      <c r="F28" s="15" t="n">
        <f aca="false">E28*(1+IF(F$3&lt;=$O$2,$D28,$D28-($D28-$I$6)*MIN(F$3-$O$2,$Q$2)/$Q$2))</f>
        <v>7113.79664141128</v>
      </c>
      <c r="G28" s="15" t="n">
        <f aca="false">F28*(1+IF(G$3&lt;=$O$2,$D28,$D28-($D28-$I$6)*MIN(G$3-$O$2,$Q$2)/$Q$2))</f>
        <v>7476.68761049531</v>
      </c>
      <c r="H28" s="15" t="n">
        <f aca="false">G28*(1+IF(H$3&lt;=$O$2,$D28,$D28-($D28-$I$6)*MIN(H$3-$O$2,$Q$2)/$Q$2))</f>
        <v>7858.09047443392</v>
      </c>
      <c r="I28" s="15" t="n">
        <f aca="false">H28*(1+IF(I$3&lt;=$O$2,$D28,$D28-($D28-$I$6)*MIN(I$3-$O$2,$Q$2)/$Q$2))</f>
        <v>8258.94956714641</v>
      </c>
      <c r="J28" s="15" t="n">
        <f aca="false">I28*(1+IF(J$3&lt;=$O$2,$D28,$D28-($D28-$I$6)*MIN(J$3-$O$2,$Q$2)/$Q$2))</f>
        <v>8642.7414841202</v>
      </c>
      <c r="K28" s="15" t="n">
        <f aca="false">J28*(1+IF(K$3&lt;=$O$2,$D28,$D28-($D28-$I$6)*MIN(K$3-$O$2,$Q$2)/$Q$2))</f>
        <v>9005.10887442456</v>
      </c>
      <c r="L28" s="15" t="n">
        <f aca="false">K28*(1+IF(L$3&lt;=$O$2,$D28,$D28-($D28-$I$6)*MIN(L$3-$O$2,$Q$2)/$Q$2))</f>
        <v>9341.76406861178</v>
      </c>
      <c r="M28" s="15" t="n">
        <f aca="false">L28*(1+IF(M$3&lt;=$O$2,$D28,$D28-($D28-$I$6)*MIN(M$3-$O$2,$Q$2)/$Q$2))</f>
        <v>9648.57053951938</v>
      </c>
      <c r="N28" s="15" t="n">
        <f aca="false">M28*(1+IF(N$3&lt;=$O$2,$D28,$D28-($D28-$I$6)*MIN(N$3-$O$2,$Q$2)/$Q$2))</f>
        <v>9921.62508578778</v>
      </c>
      <c r="O28" s="15" t="n">
        <f aca="false">SUMPRODUCT(E28:N28,1/(1+$F$6)^$E$3:$N$3)*$E$2</f>
        <v>10229.4933511661</v>
      </c>
      <c r="P28" s="15" t="n">
        <f aca="false">N28*$E$2*(1+$I$6)/($F$6-$I$6)/(1+$F$6)^$N$3</f>
        <v>12360.3569322335</v>
      </c>
      <c r="Q28" s="15" t="n">
        <f aca="false">O28+P28</f>
        <v>22589.8502833995</v>
      </c>
      <c r="R28" s="15" t="n">
        <f aca="false">Q28-$G$2+$I$2</f>
        <v>17289.9502833995</v>
      </c>
      <c r="S28" s="42" t="n">
        <f aca="false">R28/$K$2</f>
        <v>147.173563869591</v>
      </c>
      <c r="T28" s="43" t="n">
        <f aca="false">S28-$M$2</f>
        <v>-0.000423192036834053</v>
      </c>
    </row>
    <row r="29" customFormat="false" ht="15" hidden="false" customHeight="false" outlineLevel="0" collapsed="false">
      <c r="A29" s="5" t="n">
        <v>22</v>
      </c>
      <c r="B29" s="25" t="n">
        <f aca="false">IF(T28&gt;0,B28,D28)</f>
        <v>0.0510122776031494</v>
      </c>
      <c r="C29" s="25" t="n">
        <f aca="false">IF(T28&gt;0,D28,C28)</f>
        <v>0.0510129928588867</v>
      </c>
      <c r="D29" s="41" t="n">
        <f aca="false">(B29+C29)/2</f>
        <v>0.0510126352310181</v>
      </c>
      <c r="E29" s="15" t="n">
        <f aca="false">$C$2*(1+IF(E$3&lt;=$O$2,$D29,$D29-($D29-$I$6)*MIN(E$3-$O$2,$Q$2)/$Q$2))</f>
        <v>6768.52137088776</v>
      </c>
      <c r="F29" s="15" t="n">
        <f aca="false">E29*(1+IF(F$3&lt;=$O$2,$D29,$D29-($D29-$I$6)*MIN(F$3-$O$2,$Q$2)/$Q$2))</f>
        <v>7113.8014826342</v>
      </c>
      <c r="G29" s="15" t="n">
        <f aca="false">F29*(1+IF(G$3&lt;=$O$2,$D29,$D29-($D29-$I$6)*MIN(G$3-$O$2,$Q$2)/$Q$2))</f>
        <v>7476.6952427737</v>
      </c>
      <c r="H29" s="15" t="n">
        <f aca="false">G29*(1+IF(H$3&lt;=$O$2,$D29,$D29-($D29-$I$6)*MIN(H$3-$O$2,$Q$2)/$Q$2))</f>
        <v>7858.1011699268</v>
      </c>
      <c r="I29" s="15" t="n">
        <f aca="false">H29*(1+IF(I$3&lt;=$O$2,$D29,$D29-($D29-$I$6)*MIN(I$3-$O$2,$Q$2)/$Q$2))</f>
        <v>8258.96361851671</v>
      </c>
      <c r="J29" s="15" t="n">
        <f aca="false">I29*(1+IF(J$3&lt;=$O$2,$D29,$D29-($D29-$I$6)*MIN(J$3-$O$2,$Q$2)/$Q$2))</f>
        <v>8642.75855136363</v>
      </c>
      <c r="K29" s="15" t="n">
        <f aca="false">J29*(1+IF(K$3&lt;=$O$2,$D29,$D29-($D29-$I$6)*MIN(K$3-$O$2,$Q$2)/$Q$2))</f>
        <v>9005.12851178735</v>
      </c>
      <c r="L29" s="15" t="n">
        <f aca="false">K29*(1+IF(L$3&lt;=$O$2,$D29,$D29-($D29-$I$6)*MIN(L$3-$O$2,$Q$2)/$Q$2))</f>
        <v>9341.7857283096</v>
      </c>
      <c r="M29" s="15" t="n">
        <f aca="false">L29*(1+IF(M$3&lt;=$O$2,$D29,$D29-($D29-$I$6)*MIN(M$3-$O$2,$Q$2)/$Q$2))</f>
        <v>9648.59357875145</v>
      </c>
      <c r="N29" s="15" t="n">
        <f aca="false">M29*(1+IF(N$3&lt;=$O$2,$D29,$D29-($D29-$I$6)*MIN(N$3-$O$2,$Q$2)/$Q$2))</f>
        <v>9921.64877703011</v>
      </c>
      <c r="O29" s="15" t="n">
        <f aca="false">SUMPRODUCT(E29:N29,1/(1+$F$6)^$E$3:$N$3)*$E$2</f>
        <v>10229.5091370552</v>
      </c>
      <c r="P29" s="15" t="n">
        <f aca="false">N29*$E$2*(1+$I$6)/($F$6-$I$6)/(1+$F$6)^$N$3</f>
        <v>12360.3864467746</v>
      </c>
      <c r="Q29" s="15" t="n">
        <f aca="false">O29+P29</f>
        <v>22589.8955838297</v>
      </c>
      <c r="R29" s="15" t="n">
        <f aca="false">Q29-$G$2+$I$2</f>
        <v>17289.9955838297</v>
      </c>
      <c r="S29" s="42" t="n">
        <f aca="false">R29/$K$2</f>
        <v>147.173949470801</v>
      </c>
      <c r="T29" s="43" t="n">
        <f aca="false">S29-$M$2</f>
        <v>-3.75908264516056E-005</v>
      </c>
    </row>
    <row r="30" customFormat="false" ht="15" hidden="false" customHeight="false" outlineLevel="0" collapsed="false">
      <c r="A30" s="5" t="n">
        <v>23</v>
      </c>
      <c r="B30" s="25" t="n">
        <f aca="false">IF(T29&gt;0,B29,D29)</f>
        <v>0.0510126352310181</v>
      </c>
      <c r="C30" s="25" t="n">
        <f aca="false">IF(T29&gt;0,D29,C29)</f>
        <v>0.0510129928588867</v>
      </c>
      <c r="D30" s="41" t="n">
        <f aca="false">(B30+C30)/2</f>
        <v>0.0510128140449524</v>
      </c>
      <c r="E30" s="15" t="n">
        <f aca="false">$C$2*(1+IF(E$3&lt;=$O$2,$D30,$D30-($D30-$I$6)*MIN(E$3-$O$2,$Q$2)/$Q$2))</f>
        <v>6768.52252244949</v>
      </c>
      <c r="F30" s="15" t="n">
        <f aca="false">E30*(1+IF(F$3&lt;=$O$2,$D30,$D30-($D30-$I$6)*MIN(F$3-$O$2,$Q$2)/$Q$2))</f>
        <v>7113.80390324628</v>
      </c>
      <c r="G30" s="15" t="n">
        <f aca="false">F30*(1+IF(G$3&lt;=$O$2,$D30,$D30-($D30-$I$6)*MIN(G$3-$O$2,$Q$2)/$Q$2))</f>
        <v>7476.69905891484</v>
      </c>
      <c r="H30" s="15" t="n">
        <f aca="false">G30*(1+IF(H$3&lt;=$O$2,$D30,$D30-($D30-$I$6)*MIN(H$3-$O$2,$Q$2)/$Q$2))</f>
        <v>7858.10651767733</v>
      </c>
      <c r="I30" s="15" t="n">
        <f aca="false">H30*(1+IF(I$3&lt;=$O$2,$D30,$D30-($D30-$I$6)*MIN(I$3-$O$2,$Q$2)/$Q$2))</f>
        <v>8258.97064420904</v>
      </c>
      <c r="J30" s="15" t="n">
        <f aca="false">I30*(1+IF(J$3&lt;=$O$2,$D30,$D30-($D30-$I$6)*MIN(J$3-$O$2,$Q$2)/$Q$2))</f>
        <v>8642.76708499586</v>
      </c>
      <c r="K30" s="15" t="n">
        <f aca="false">J30*(1+IF(K$3&lt;=$O$2,$D30,$D30-($D30-$I$6)*MIN(K$3-$O$2,$Q$2)/$Q$2))</f>
        <v>9005.13833048245</v>
      </c>
      <c r="L30" s="15" t="n">
        <f aca="false">K30*(1+IF(L$3&lt;=$O$2,$D30,$D30-($D30-$I$6)*MIN(L$3-$O$2,$Q$2)/$Q$2))</f>
        <v>9341.79655817484</v>
      </c>
      <c r="M30" s="15" t="n">
        <f aca="false">L30*(1+IF(M$3&lt;=$O$2,$D30,$D30-($D30-$I$6)*MIN(M$3-$O$2,$Q$2)/$Q$2))</f>
        <v>9648.6050983855</v>
      </c>
      <c r="N30" s="15" t="n">
        <f aca="false">M30*(1+IF(N$3&lt;=$O$2,$D30,$D30-($D30-$I$6)*MIN(N$3-$O$2,$Q$2)/$Q$2))</f>
        <v>9921.66062266981</v>
      </c>
      <c r="O30" s="15" t="n">
        <f aca="false">SUMPRODUCT(E30:N30,1/(1+$F$6)^$E$3:$N$3)*$E$2</f>
        <v>10229.5170300089</v>
      </c>
      <c r="P30" s="15" t="n">
        <f aca="false">N30*$E$2*(1+$I$6)/($F$6-$I$6)/(1+$F$6)^$N$3</f>
        <v>12360.4012040682</v>
      </c>
      <c r="Q30" s="15" t="n">
        <f aca="false">O30+P30</f>
        <v>22589.9182340771</v>
      </c>
      <c r="R30" s="15" t="n">
        <f aca="false">Q30-$G$2+$I$2</f>
        <v>17290.0182340771</v>
      </c>
      <c r="S30" s="42" t="n">
        <f aca="false">R30/$K$2</f>
        <v>147.174142271681</v>
      </c>
      <c r="T30" s="43" t="n">
        <f aca="false">S30-$M$2</f>
        <v>0.000155210053918609</v>
      </c>
    </row>
    <row r="31" customFormat="false" ht="15" hidden="false" customHeight="false" outlineLevel="0" collapsed="false">
      <c r="A31" s="5" t="n">
        <v>24</v>
      </c>
      <c r="B31" s="25" t="n">
        <f aca="false">IF(T30&gt;0,B30,D30)</f>
        <v>0.0510126352310181</v>
      </c>
      <c r="C31" s="25" t="n">
        <f aca="false">IF(T30&gt;0,D30,C30)</f>
        <v>0.0510128140449524</v>
      </c>
      <c r="D31" s="41" t="n">
        <f aca="false">(B31+C31)/2</f>
        <v>0.0510127246379852</v>
      </c>
      <c r="E31" s="15" t="n">
        <f aca="false">$C$2*(1+IF(E$3&lt;=$O$2,$D31,$D31-($D31-$I$6)*MIN(E$3-$O$2,$Q$2)/$Q$2))</f>
        <v>6768.52194666863</v>
      </c>
      <c r="F31" s="15" t="n">
        <f aca="false">E31*(1+IF(F$3&lt;=$O$2,$D31,$D31-($D31-$I$6)*MIN(F$3-$O$2,$Q$2)/$Q$2))</f>
        <v>7113.80269294019</v>
      </c>
      <c r="G31" s="15" t="n">
        <f aca="false">F31*(1+IF(G$3&lt;=$O$2,$D31,$D31-($D31-$I$6)*MIN(G$3-$O$2,$Q$2)/$Q$2))</f>
        <v>7476.69715084411</v>
      </c>
      <c r="H31" s="15" t="n">
        <f aca="false">G31*(1+IF(H$3&lt;=$O$2,$D31,$D31-($D31-$I$6)*MIN(H$3-$O$2,$Q$2)/$Q$2))</f>
        <v>7858.10384380173</v>
      </c>
      <c r="I31" s="15" t="n">
        <f aca="false">H31*(1+IF(I$3&lt;=$O$2,$D31,$D31-($D31-$I$6)*MIN(I$3-$O$2,$Q$2)/$Q$2))</f>
        <v>8258.96713136228</v>
      </c>
      <c r="J31" s="15" t="n">
        <f aca="false">I31*(1+IF(J$3&lt;=$O$2,$D31,$D31-($D31-$I$6)*MIN(J$3-$O$2,$Q$2)/$Q$2))</f>
        <v>8642.76281817887</v>
      </c>
      <c r="K31" s="15" t="n">
        <f aca="false">J31*(1+IF(K$3&lt;=$O$2,$D31,$D31-($D31-$I$6)*MIN(K$3-$O$2,$Q$2)/$Q$2))</f>
        <v>9005.13342113376</v>
      </c>
      <c r="L31" s="15" t="n">
        <f aca="false">K31*(1+IF(L$3&lt;=$O$2,$D31,$D31-($D31-$I$6)*MIN(L$3-$O$2,$Q$2)/$Q$2))</f>
        <v>9341.79114324086</v>
      </c>
      <c r="M31" s="15" t="n">
        <f aca="false">L31*(1+IF(M$3&lt;=$O$2,$D31,$D31-($D31-$I$6)*MIN(M$3-$O$2,$Q$2)/$Q$2))</f>
        <v>9648.59933856698</v>
      </c>
      <c r="N31" s="15" t="n">
        <f aca="false">M31*(1+IF(N$3&lt;=$O$2,$D31,$D31-($D31-$I$6)*MIN(N$3-$O$2,$Q$2)/$Q$2))</f>
        <v>9921.65469984842</v>
      </c>
      <c r="O31" s="15" t="n">
        <f aca="false">SUMPRODUCT(E31:N31,1/(1+$F$6)^$E$3:$N$3)*$E$2</f>
        <v>10229.5130835313</v>
      </c>
      <c r="P31" s="15" t="n">
        <f aca="false">N31*$E$2*(1+$I$6)/($F$6-$I$6)/(1+$F$6)^$N$3</f>
        <v>12360.3938254195</v>
      </c>
      <c r="Q31" s="15" t="n">
        <f aca="false">O31+P31</f>
        <v>22589.9069089507</v>
      </c>
      <c r="R31" s="15" t="n">
        <f aca="false">Q31-$G$2+$I$2</f>
        <v>17290.0069089507</v>
      </c>
      <c r="S31" s="42" t="n">
        <f aca="false">R31/$K$2</f>
        <v>147.174045871218</v>
      </c>
      <c r="T31" s="43" t="n">
        <f aca="false">S31-$M$2</f>
        <v>5.88095908256037E-005</v>
      </c>
    </row>
    <row r="32" customFormat="false" ht="15" hidden="false" customHeight="false" outlineLevel="0" collapsed="false">
      <c r="A32" s="5" t="n">
        <v>25</v>
      </c>
      <c r="B32" s="25" t="n">
        <f aca="false">IF(T31&gt;0,B31,D31)</f>
        <v>0.0510126352310181</v>
      </c>
      <c r="C32" s="25" t="n">
        <f aca="false">IF(T31&gt;0,D31,C31)</f>
        <v>0.0510127246379852</v>
      </c>
      <c r="D32" s="41" t="n">
        <f aca="false">(B32+C32)/2</f>
        <v>0.0510126799345017</v>
      </c>
      <c r="E32" s="15" t="n">
        <f aca="false">$C$2*(1+IF(E$3&lt;=$O$2,$D32,$D32-($D32-$I$6)*MIN(E$3-$O$2,$Q$2)/$Q$2))</f>
        <v>6768.52165877819</v>
      </c>
      <c r="F32" s="15" t="n">
        <f aca="false">E32*(1+IF(F$3&lt;=$O$2,$D32,$D32-($D32-$I$6)*MIN(F$3-$O$2,$Q$2)/$Q$2))</f>
        <v>7113.80208778719</v>
      </c>
      <c r="G32" s="15" t="n">
        <f aca="false">F32*(1+IF(G$3&lt;=$O$2,$D32,$D32-($D32-$I$6)*MIN(G$3-$O$2,$Q$2)/$Q$2))</f>
        <v>7476.69619680886</v>
      </c>
      <c r="H32" s="15" t="n">
        <f aca="false">G32*(1+IF(H$3&lt;=$O$2,$D32,$D32-($D32-$I$6)*MIN(H$3-$O$2,$Q$2)/$Q$2))</f>
        <v>7858.10250686418</v>
      </c>
      <c r="I32" s="15" t="n">
        <f aca="false">H32*(1+IF(I$3&lt;=$O$2,$D32,$D32-($D32-$I$6)*MIN(I$3-$O$2,$Q$2)/$Q$2))</f>
        <v>8258.96537493935</v>
      </c>
      <c r="J32" s="15" t="n">
        <f aca="false">I32*(1+IF(J$3&lt;=$O$2,$D32,$D32-($D32-$I$6)*MIN(J$3-$O$2,$Q$2)/$Q$2))</f>
        <v>8642.76068477103</v>
      </c>
      <c r="K32" s="15" t="n">
        <f aca="false">J32*(1+IF(K$3&lt;=$O$2,$D32,$D32-($D32-$I$6)*MIN(K$3-$O$2,$Q$2)/$Q$2))</f>
        <v>9005.13096646027</v>
      </c>
      <c r="L32" s="15" t="n">
        <f aca="false">K32*(1+IF(L$3&lt;=$O$2,$D32,$D32-($D32-$I$6)*MIN(L$3-$O$2,$Q$2)/$Q$2))</f>
        <v>9341.78843577489</v>
      </c>
      <c r="M32" s="15" t="n">
        <f aca="false">L32*(1+IF(M$3&lt;=$O$2,$D32,$D32-($D32-$I$6)*MIN(M$3-$O$2,$Q$2)/$Q$2))</f>
        <v>9648.59645865884</v>
      </c>
      <c r="N32" s="15" t="n">
        <f aca="false">M32*(1+IF(N$3&lt;=$O$2,$D32,$D32-($D32-$I$6)*MIN(N$3-$O$2,$Q$2)/$Q$2))</f>
        <v>9921.65173843888</v>
      </c>
      <c r="O32" s="15" t="n">
        <f aca="false">SUMPRODUCT(E32:N32,1/(1+$F$6)^$E$3:$N$3)*$E$2</f>
        <v>10229.511110293</v>
      </c>
      <c r="P32" s="15" t="n">
        <f aca="false">N32*$E$2*(1+$I$6)/($F$6-$I$6)/(1+$F$6)^$N$3</f>
        <v>12360.3901360965</v>
      </c>
      <c r="Q32" s="15" t="n">
        <f aca="false">O32+P32</f>
        <v>22589.9012463896</v>
      </c>
      <c r="R32" s="15" t="n">
        <f aca="false">Q32-$G$2+$I$2</f>
        <v>17290.0012463895</v>
      </c>
      <c r="S32" s="42" t="n">
        <f aca="false">R32/$K$2</f>
        <v>147.173997671004</v>
      </c>
      <c r="T32" s="43" t="n">
        <f aca="false">S32-$M$2</f>
        <v>1.06093764600246E-005</v>
      </c>
    </row>
    <row r="33" customFormat="false" ht="15" hidden="false" customHeight="false" outlineLevel="0" collapsed="false">
      <c r="A33" s="5" t="n">
        <v>26</v>
      </c>
      <c r="B33" s="25" t="n">
        <f aca="false">IF(T32&gt;0,B32,D32)</f>
        <v>0.0510126352310181</v>
      </c>
      <c r="C33" s="25" t="n">
        <f aca="false">IF(T32&gt;0,D32,C32)</f>
        <v>0.0510126799345017</v>
      </c>
      <c r="D33" s="41" t="n">
        <f aca="false">(B33+C33)/2</f>
        <v>0.0510126575827599</v>
      </c>
      <c r="E33" s="15" t="n">
        <f aca="false">$C$2*(1+IF(E$3&lt;=$O$2,$D33,$D33-($D33-$I$6)*MIN(E$3-$O$2,$Q$2)/$Q$2))</f>
        <v>6768.52151483297</v>
      </c>
      <c r="F33" s="15" t="n">
        <f aca="false">E33*(1+IF(F$3&lt;=$O$2,$D33,$D33-($D33-$I$6)*MIN(F$3-$O$2,$Q$2)/$Q$2))</f>
        <v>7113.80178521069</v>
      </c>
      <c r="G33" s="15" t="n">
        <f aca="false">F33*(1+IF(G$3&lt;=$O$2,$D33,$D33-($D33-$I$6)*MIN(G$3-$O$2,$Q$2)/$Q$2))</f>
        <v>7476.69571979127</v>
      </c>
      <c r="H33" s="15" t="n">
        <f aca="false">G33*(1+IF(H$3&lt;=$O$2,$D33,$D33-($D33-$I$6)*MIN(H$3-$O$2,$Q$2)/$Q$2))</f>
        <v>7858.10183839547</v>
      </c>
      <c r="I33" s="15" t="n">
        <f aca="false">H33*(1+IF(I$3&lt;=$O$2,$D33,$D33-($D33-$I$6)*MIN(I$3-$O$2,$Q$2)/$Q$2))</f>
        <v>8258.96449672799</v>
      </c>
      <c r="J33" s="15" t="n">
        <f aca="false">I33*(1+IF(J$3&lt;=$O$2,$D33,$D33-($D33-$I$6)*MIN(J$3-$O$2,$Q$2)/$Q$2))</f>
        <v>8642.75961806728</v>
      </c>
      <c r="K33" s="15" t="n">
        <f aca="false">J33*(1+IF(K$3&lt;=$O$2,$D33,$D33-($D33-$I$6)*MIN(K$3-$O$2,$Q$2)/$Q$2))</f>
        <v>9005.12973912374</v>
      </c>
      <c r="L33" s="15" t="n">
        <f aca="false">K33*(1+IF(L$3&lt;=$O$2,$D33,$D33-($D33-$I$6)*MIN(L$3-$O$2,$Q$2)/$Q$2))</f>
        <v>9341.78708204216</v>
      </c>
      <c r="M33" s="15" t="n">
        <f aca="false">L33*(1+IF(M$3&lt;=$O$2,$D33,$D33-($D33-$I$6)*MIN(M$3-$O$2,$Q$2)/$Q$2))</f>
        <v>9648.59501870505</v>
      </c>
      <c r="N33" s="15" t="n">
        <f aca="false">M33*(1+IF(N$3&lt;=$O$2,$D33,$D33-($D33-$I$6)*MIN(N$3-$O$2,$Q$2)/$Q$2))</f>
        <v>9921.6502577344</v>
      </c>
      <c r="O33" s="15" t="n">
        <f aca="false">SUMPRODUCT(E33:N33,1/(1+$F$6)^$E$3:$N$3)*$E$2</f>
        <v>10229.510123674</v>
      </c>
      <c r="P33" s="15" t="n">
        <f aca="false">N33*$E$2*(1+$I$6)/($F$6-$I$6)/(1+$F$6)^$N$3</f>
        <v>12360.3882914354</v>
      </c>
      <c r="Q33" s="15" t="n">
        <f aca="false">O33+P33</f>
        <v>22589.8984151095</v>
      </c>
      <c r="R33" s="15" t="n">
        <f aca="false">Q33-$G$2+$I$2</f>
        <v>17289.9984151095</v>
      </c>
      <c r="S33" s="42" t="n">
        <f aca="false">R33/$K$2</f>
        <v>147.173973570901</v>
      </c>
      <c r="T33" s="43" t="n">
        <f aca="false">S33-$M$2</f>
        <v>-1.3490726416876E-005</v>
      </c>
    </row>
    <row r="34" customFormat="false" ht="15" hidden="false" customHeight="false" outlineLevel="0" collapsed="false">
      <c r="A34" s="5" t="n">
        <v>27</v>
      </c>
      <c r="B34" s="25" t="n">
        <f aca="false">IF(T33&gt;0,B33,D33)</f>
        <v>0.0510126575827599</v>
      </c>
      <c r="C34" s="25" t="n">
        <f aca="false">IF(T33&gt;0,D33,C33)</f>
        <v>0.0510126799345017</v>
      </c>
      <c r="D34" s="41" t="n">
        <f aca="false">(B34+C34)/2</f>
        <v>0.0510126687586308</v>
      </c>
      <c r="E34" s="15" t="n">
        <f aca="false">$C$2*(1+IF(E$3&lt;=$O$2,$D34,$D34-($D34-$I$6)*MIN(E$3-$O$2,$Q$2)/$Q$2))</f>
        <v>6768.52158680558</v>
      </c>
      <c r="F34" s="15" t="n">
        <f aca="false">E34*(1+IF(F$3&lt;=$O$2,$D34,$D34-($D34-$I$6)*MIN(F$3-$O$2,$Q$2)/$Q$2))</f>
        <v>7113.80193649894</v>
      </c>
      <c r="G34" s="15" t="n">
        <f aca="false">F34*(1+IF(G$3&lt;=$O$2,$D34,$D34-($D34-$I$6)*MIN(G$3-$O$2,$Q$2)/$Q$2))</f>
        <v>7476.69595830006</v>
      </c>
      <c r="H34" s="15" t="n">
        <f aca="false">G34*(1+IF(H$3&lt;=$O$2,$D34,$D34-($D34-$I$6)*MIN(H$3-$O$2,$Q$2)/$Q$2))</f>
        <v>7858.10217262982</v>
      </c>
      <c r="I34" s="15" t="n">
        <f aca="false">H34*(1+IF(I$3&lt;=$O$2,$D34,$D34-($D34-$I$6)*MIN(I$3-$O$2,$Q$2)/$Q$2))</f>
        <v>8258.96493583366</v>
      </c>
      <c r="J34" s="15" t="n">
        <f aca="false">I34*(1+IF(J$3&lt;=$O$2,$D34,$D34-($D34-$I$6)*MIN(J$3-$O$2,$Q$2)/$Q$2))</f>
        <v>8642.76015141914</v>
      </c>
      <c r="K34" s="15" t="n">
        <f aca="false">J34*(1+IF(K$3&lt;=$O$2,$D34,$D34-($D34-$I$6)*MIN(K$3-$O$2,$Q$2)/$Q$2))</f>
        <v>9005.13035279199</v>
      </c>
      <c r="L34" s="15" t="n">
        <f aca="false">K34*(1+IF(L$3&lt;=$O$2,$D34,$D34-($D34-$I$6)*MIN(L$3-$O$2,$Q$2)/$Q$2))</f>
        <v>9341.7877589085</v>
      </c>
      <c r="M34" s="15" t="n">
        <f aca="false">L34*(1+IF(M$3&lt;=$O$2,$D34,$D34-($D34-$I$6)*MIN(M$3-$O$2,$Q$2)/$Q$2))</f>
        <v>9648.59573868192</v>
      </c>
      <c r="N34" s="15" t="n">
        <f aca="false">M34*(1+IF(N$3&lt;=$O$2,$D34,$D34-($D34-$I$6)*MIN(N$3-$O$2,$Q$2)/$Q$2))</f>
        <v>9921.65099808662</v>
      </c>
      <c r="O34" s="15" t="n">
        <f aca="false">SUMPRODUCT(E34:N34,1/(1+$F$6)^$E$3:$N$3)*$E$2</f>
        <v>10229.5106169835</v>
      </c>
      <c r="P34" s="15" t="n">
        <f aca="false">N34*$E$2*(1+$I$6)/($F$6-$I$6)/(1+$F$6)^$N$3</f>
        <v>12360.3892137659</v>
      </c>
      <c r="Q34" s="15" t="n">
        <f aca="false">O34+P34</f>
        <v>22589.8998307495</v>
      </c>
      <c r="R34" s="15" t="n">
        <f aca="false">Q34-$G$2+$I$2</f>
        <v>17289.9998307495</v>
      </c>
      <c r="S34" s="42" t="n">
        <f aca="false">R34/$K$2</f>
        <v>147.173985620952</v>
      </c>
      <c r="T34" s="43" t="n">
        <f aca="false">S34-$M$2</f>
        <v>-1.44067527685365E-006</v>
      </c>
    </row>
    <row r="35" customFormat="false" ht="15" hidden="false" customHeight="false" outlineLevel="0" collapsed="false">
      <c r="A35" s="5" t="n">
        <v>28</v>
      </c>
      <c r="B35" s="25" t="n">
        <f aca="false">IF(T34&gt;0,B34,D34)</f>
        <v>0.0510126687586308</v>
      </c>
      <c r="C35" s="25" t="n">
        <f aca="false">IF(T34&gt;0,D34,C34)</f>
        <v>0.0510126799345017</v>
      </c>
      <c r="D35" s="41" t="n">
        <f aca="false">(B35+C35)/2</f>
        <v>0.0510126743465662</v>
      </c>
      <c r="E35" s="15" t="n">
        <f aca="false">$C$2*(1+IF(E$3&lt;=$O$2,$D35,$D35-($D35-$I$6)*MIN(E$3-$O$2,$Q$2)/$Q$2))</f>
        <v>6768.52162279189</v>
      </c>
      <c r="F35" s="15" t="n">
        <f aca="false">E35*(1+IF(F$3&lt;=$O$2,$D35,$D35-($D35-$I$6)*MIN(F$3-$O$2,$Q$2)/$Q$2))</f>
        <v>7113.80201214306</v>
      </c>
      <c r="G35" s="15" t="n">
        <f aca="false">F35*(1+IF(G$3&lt;=$O$2,$D35,$D35-($D35-$I$6)*MIN(G$3-$O$2,$Q$2)/$Q$2))</f>
        <v>7476.69607755446</v>
      </c>
      <c r="H35" s="15" t="n">
        <f aca="false">G35*(1+IF(H$3&lt;=$O$2,$D35,$D35-($D35-$I$6)*MIN(H$3-$O$2,$Q$2)/$Q$2))</f>
        <v>7858.102339747</v>
      </c>
      <c r="I35" s="15" t="n">
        <f aca="false">H35*(1+IF(I$3&lt;=$O$2,$D35,$D35-($D35-$I$6)*MIN(I$3-$O$2,$Q$2)/$Q$2))</f>
        <v>8258.9651553865</v>
      </c>
      <c r="J35" s="15" t="n">
        <f aca="false">I35*(1+IF(J$3&lt;=$O$2,$D35,$D35-($D35-$I$6)*MIN(J$3-$O$2,$Q$2)/$Q$2))</f>
        <v>8642.76041809508</v>
      </c>
      <c r="K35" s="15" t="n">
        <f aca="false">J35*(1+IF(K$3&lt;=$O$2,$D35,$D35-($D35-$I$6)*MIN(K$3-$O$2,$Q$2)/$Q$2))</f>
        <v>9005.13065962613</v>
      </c>
      <c r="L35" s="15" t="n">
        <f aca="false">K35*(1+IF(L$3&lt;=$O$2,$D35,$D35-($D35-$I$6)*MIN(L$3-$O$2,$Q$2)/$Q$2))</f>
        <v>9341.78809734169</v>
      </c>
      <c r="M35" s="15" t="n">
        <f aca="false">L35*(1+IF(M$3&lt;=$O$2,$D35,$D35-($D35-$I$6)*MIN(M$3-$O$2,$Q$2)/$Q$2))</f>
        <v>9648.59609867037</v>
      </c>
      <c r="N35" s="15" t="n">
        <f aca="false">M35*(1+IF(N$3&lt;=$O$2,$D35,$D35-($D35-$I$6)*MIN(N$3-$O$2,$Q$2)/$Q$2))</f>
        <v>9921.65136826274</v>
      </c>
      <c r="O35" s="15" t="n">
        <f aca="false">SUMPRODUCT(E35:N35,1/(1+$F$6)^$E$3:$N$3)*$E$2</f>
        <v>10229.5108636383</v>
      </c>
      <c r="P35" s="15" t="n">
        <f aca="false">N35*$E$2*(1+$I$6)/($F$6-$I$6)/(1+$F$6)^$N$3</f>
        <v>12360.3896749312</v>
      </c>
      <c r="Q35" s="15" t="n">
        <f aca="false">O35+P35</f>
        <v>22589.9005385695</v>
      </c>
      <c r="R35" s="15" t="n">
        <f aca="false">Q35-$G$2+$I$2</f>
        <v>17290.0005385695</v>
      </c>
      <c r="S35" s="42" t="n">
        <f aca="false">R35/$K$2</f>
        <v>147.173991645978</v>
      </c>
      <c r="T35" s="43" t="n">
        <f aca="false">S35-$M$2</f>
        <v>4.58435047789862E-006</v>
      </c>
    </row>
    <row r="36" customFormat="false" ht="15" hidden="false" customHeight="false" outlineLevel="0" collapsed="false">
      <c r="A36" s="5" t="n">
        <v>29</v>
      </c>
      <c r="B36" s="25" t="n">
        <f aca="false">IF(T35&gt;0,B35,D35)</f>
        <v>0.0510126687586308</v>
      </c>
      <c r="C36" s="25" t="n">
        <f aca="false">IF(T35&gt;0,D35,C35)</f>
        <v>0.0510126743465662</v>
      </c>
      <c r="D36" s="41" t="n">
        <f aca="false">(B36+C36)/2</f>
        <v>0.0510126715525985</v>
      </c>
      <c r="E36" s="15" t="n">
        <f aca="false">$C$2*(1+IF(E$3&lt;=$O$2,$D36,$D36-($D36-$I$6)*MIN(E$3-$O$2,$Q$2)/$Q$2))</f>
        <v>6768.52160479873</v>
      </c>
      <c r="F36" s="15" t="n">
        <f aca="false">E36*(1+IF(F$3&lt;=$O$2,$D36,$D36-($D36-$I$6)*MIN(F$3-$O$2,$Q$2)/$Q$2))</f>
        <v>7113.801974321</v>
      </c>
      <c r="G36" s="15" t="n">
        <f aca="false">F36*(1+IF(G$3&lt;=$O$2,$D36,$D36-($D36-$I$6)*MIN(G$3-$O$2,$Q$2)/$Q$2))</f>
        <v>7476.69601792726</v>
      </c>
      <c r="H36" s="15" t="n">
        <f aca="false">G36*(1+IF(H$3&lt;=$O$2,$D36,$D36-($D36-$I$6)*MIN(H$3-$O$2,$Q$2)/$Q$2))</f>
        <v>7858.10225618841</v>
      </c>
      <c r="I36" s="15" t="n">
        <f aca="false">H36*(1+IF(I$3&lt;=$O$2,$D36,$D36-($D36-$I$6)*MIN(I$3-$O$2,$Q$2)/$Q$2))</f>
        <v>8258.96504561008</v>
      </c>
      <c r="J36" s="15" t="n">
        <f aca="false">I36*(1+IF(J$3&lt;=$O$2,$D36,$D36-($D36-$I$6)*MIN(J$3-$O$2,$Q$2)/$Q$2))</f>
        <v>8642.76028475711</v>
      </c>
      <c r="K36" s="15" t="n">
        <f aca="false">J36*(1+IF(K$3&lt;=$O$2,$D36,$D36-($D36-$I$6)*MIN(K$3-$O$2,$Q$2)/$Q$2))</f>
        <v>9005.13050620906</v>
      </c>
      <c r="L36" s="15" t="n">
        <f aca="false">K36*(1+IF(L$3&lt;=$O$2,$D36,$D36-($D36-$I$6)*MIN(L$3-$O$2,$Q$2)/$Q$2))</f>
        <v>9341.7879281251</v>
      </c>
      <c r="M36" s="15" t="n">
        <f aca="false">L36*(1+IF(M$3&lt;=$O$2,$D36,$D36-($D36-$I$6)*MIN(M$3-$O$2,$Q$2)/$Q$2))</f>
        <v>9648.59591867614</v>
      </c>
      <c r="N36" s="15" t="n">
        <f aca="false">M36*(1+IF(N$3&lt;=$O$2,$D36,$D36-($D36-$I$6)*MIN(N$3-$O$2,$Q$2)/$Q$2))</f>
        <v>9921.65118317468</v>
      </c>
      <c r="O36" s="15" t="n">
        <f aca="false">SUMPRODUCT(E36:N36,1/(1+$F$6)^$E$3:$N$3)*$E$2</f>
        <v>10229.5107403109</v>
      </c>
      <c r="P36" s="15" t="n">
        <f aca="false">N36*$E$2*(1+$I$6)/($F$6-$I$6)/(1+$F$6)^$N$3</f>
        <v>12360.3894443486</v>
      </c>
      <c r="Q36" s="15" t="n">
        <f aca="false">O36+P36</f>
        <v>22589.9001846595</v>
      </c>
      <c r="R36" s="15" t="n">
        <f aca="false">Q36-$G$2+$I$2</f>
        <v>17290.0001846595</v>
      </c>
      <c r="S36" s="42" t="n">
        <f aca="false">R36/$K$2</f>
        <v>147.173988633465</v>
      </c>
      <c r="T36" s="43" t="n">
        <f aca="false">S36-$M$2</f>
        <v>1.57183751525736E-006</v>
      </c>
    </row>
    <row r="37" customFormat="false" ht="15" hidden="false" customHeight="false" outlineLevel="0" collapsed="false">
      <c r="A37" s="5" t="n">
        <v>30</v>
      </c>
      <c r="B37" s="25" t="n">
        <f aca="false">IF(T36&gt;0,B36,D36)</f>
        <v>0.0510126687586308</v>
      </c>
      <c r="C37" s="25" t="n">
        <f aca="false">IF(T36&gt;0,D36,C36)</f>
        <v>0.0510126715525985</v>
      </c>
      <c r="D37" s="41" t="n">
        <f aca="false">(B37+C37)/2</f>
        <v>0.0510126701556146</v>
      </c>
      <c r="E37" s="15" t="n">
        <f aca="false">$C$2*(1+IF(E$3&lt;=$O$2,$D37,$D37-($D37-$I$6)*MIN(E$3-$O$2,$Q$2)/$Q$2))</f>
        <v>6768.52159580216</v>
      </c>
      <c r="F37" s="15" t="n">
        <f aca="false">E37*(1+IF(F$3&lt;=$O$2,$D37,$D37-($D37-$I$6)*MIN(F$3-$O$2,$Q$2)/$Q$2))</f>
        <v>7113.80195540997</v>
      </c>
      <c r="G37" s="15" t="n">
        <f aca="false">F37*(1+IF(G$3&lt;=$O$2,$D37,$D37-($D37-$I$6)*MIN(G$3-$O$2,$Q$2)/$Q$2))</f>
        <v>7476.69598811366</v>
      </c>
      <c r="H37" s="15" t="n">
        <f aca="false">G37*(1+IF(H$3&lt;=$O$2,$D37,$D37-($D37-$I$6)*MIN(H$3-$O$2,$Q$2)/$Q$2))</f>
        <v>7858.10221440911</v>
      </c>
      <c r="I37" s="15" t="n">
        <f aca="false">H37*(1+IF(I$3&lt;=$O$2,$D37,$D37-($D37-$I$6)*MIN(I$3-$O$2,$Q$2)/$Q$2))</f>
        <v>8258.96499072187</v>
      </c>
      <c r="J37" s="15" t="n">
        <f aca="false">I37*(1+IF(J$3&lt;=$O$2,$D37,$D37-($D37-$I$6)*MIN(J$3-$O$2,$Q$2)/$Q$2))</f>
        <v>8642.76021808813</v>
      </c>
      <c r="K37" s="15" t="n">
        <f aca="false">J37*(1+IF(K$3&lt;=$O$2,$D37,$D37-($D37-$I$6)*MIN(K$3-$O$2,$Q$2)/$Q$2))</f>
        <v>9005.13042950052</v>
      </c>
      <c r="L37" s="15" t="n">
        <f aca="false">K37*(1+IF(L$3&lt;=$O$2,$D37,$D37-($D37-$I$6)*MIN(L$3-$O$2,$Q$2)/$Q$2))</f>
        <v>9341.7878435168</v>
      </c>
      <c r="M37" s="15" t="n">
        <f aca="false">L37*(1+IF(M$3&lt;=$O$2,$D37,$D37-($D37-$I$6)*MIN(M$3-$O$2,$Q$2)/$Q$2))</f>
        <v>9648.59582867903</v>
      </c>
      <c r="N37" s="15" t="n">
        <f aca="false">M37*(1+IF(N$3&lt;=$O$2,$D37,$D37-($D37-$I$6)*MIN(N$3-$O$2,$Q$2)/$Q$2))</f>
        <v>9921.65109063065</v>
      </c>
      <c r="O37" s="15" t="n">
        <f aca="false">SUMPRODUCT(E37:N37,1/(1+$F$6)^$E$3:$N$3)*$E$2</f>
        <v>10229.5106786472</v>
      </c>
      <c r="P37" s="15" t="n">
        <f aca="false">N37*$E$2*(1+$I$6)/($F$6-$I$6)/(1+$F$6)^$N$3</f>
        <v>12360.3893290573</v>
      </c>
      <c r="Q37" s="15" t="n">
        <f aca="false">O37+P37</f>
        <v>22589.9000077045</v>
      </c>
      <c r="R37" s="15" t="n">
        <f aca="false">Q37-$G$2+$I$2</f>
        <v>17290.0000077045</v>
      </c>
      <c r="S37" s="42" t="n">
        <f aca="false">R37/$K$2</f>
        <v>147.173987127209</v>
      </c>
      <c r="T37" s="43" t="n">
        <f aca="false">S37-$M$2</f>
        <v>6.55811334127066E-008</v>
      </c>
    </row>
    <row r="38" customFormat="false" ht="15" hidden="false" customHeight="false" outlineLevel="0" collapsed="false">
      <c r="A38" s="5" t="n">
        <v>31</v>
      </c>
      <c r="B38" s="25" t="n">
        <f aca="false">IF(T37&gt;0,B37,D37)</f>
        <v>0.0510126687586308</v>
      </c>
      <c r="C38" s="25" t="n">
        <f aca="false">IF(T37&gt;0,D37,C37)</f>
        <v>0.0510126701556146</v>
      </c>
      <c r="D38" s="41" t="n">
        <f aca="false">(B38+C38)/2</f>
        <v>0.0510126694571227</v>
      </c>
      <c r="E38" s="15" t="n">
        <f aca="false">$C$2*(1+IF(E$3&lt;=$O$2,$D38,$D38-($D38-$I$6)*MIN(E$3-$O$2,$Q$2)/$Q$2))</f>
        <v>6768.52159130387</v>
      </c>
      <c r="F38" s="15" t="n">
        <f aca="false">E38*(1+IF(F$3&lt;=$O$2,$D38,$D38-($D38-$I$6)*MIN(F$3-$O$2,$Q$2)/$Q$2))</f>
        <v>7113.80194595445</v>
      </c>
      <c r="G38" s="15" t="n">
        <f aca="false">F38*(1+IF(G$3&lt;=$O$2,$D38,$D38-($D38-$I$6)*MIN(G$3-$O$2,$Q$2)/$Q$2))</f>
        <v>7476.69597320686</v>
      </c>
      <c r="H38" s="15" t="n">
        <f aca="false">G38*(1+IF(H$3&lt;=$O$2,$D38,$D38-($D38-$I$6)*MIN(H$3-$O$2,$Q$2)/$Q$2))</f>
        <v>7858.10219351947</v>
      </c>
      <c r="I38" s="15" t="n">
        <f aca="false">H38*(1+IF(I$3&lt;=$O$2,$D38,$D38-($D38-$I$6)*MIN(I$3-$O$2,$Q$2)/$Q$2))</f>
        <v>8258.96496327776</v>
      </c>
      <c r="J38" s="15" t="n">
        <f aca="false">I38*(1+IF(J$3&lt;=$O$2,$D38,$D38-($D38-$I$6)*MIN(J$3-$O$2,$Q$2)/$Q$2))</f>
        <v>8642.76018475363</v>
      </c>
      <c r="K38" s="15" t="n">
        <f aca="false">J38*(1+IF(K$3&lt;=$O$2,$D38,$D38-($D38-$I$6)*MIN(K$3-$O$2,$Q$2)/$Q$2))</f>
        <v>9005.13039114626</v>
      </c>
      <c r="L38" s="15" t="n">
        <f aca="false">K38*(1+IF(L$3&lt;=$O$2,$D38,$D38-($D38-$I$6)*MIN(L$3-$O$2,$Q$2)/$Q$2))</f>
        <v>9341.78780121265</v>
      </c>
      <c r="M38" s="15" t="n">
        <f aca="false">L38*(1+IF(M$3&lt;=$O$2,$D38,$D38-($D38-$I$6)*MIN(M$3-$O$2,$Q$2)/$Q$2))</f>
        <v>9648.59578368047</v>
      </c>
      <c r="N38" s="15" t="n">
        <f aca="false">M38*(1+IF(N$3&lt;=$O$2,$D38,$D38-($D38-$I$6)*MIN(N$3-$O$2,$Q$2)/$Q$2))</f>
        <v>9921.65104435863</v>
      </c>
      <c r="O38" s="15" t="n">
        <f aca="false">SUMPRODUCT(E38:N38,1/(1+$F$6)^$E$3:$N$3)*$E$2</f>
        <v>10229.5106478154</v>
      </c>
      <c r="P38" s="15" t="n">
        <f aca="false">N38*$E$2*(1+$I$6)/($F$6-$I$6)/(1+$F$6)^$N$3</f>
        <v>12360.3892714116</v>
      </c>
      <c r="Q38" s="15" t="n">
        <f aca="false">O38+P38</f>
        <v>22589.899919227</v>
      </c>
      <c r="R38" s="15" t="n">
        <f aca="false">Q38-$G$2+$I$2</f>
        <v>17289.999919227</v>
      </c>
      <c r="S38" s="42" t="n">
        <f aca="false">R38/$K$2</f>
        <v>147.17398637408</v>
      </c>
      <c r="T38" s="43" t="n">
        <f aca="false">S38-$M$2</f>
        <v>-6.87547128563892E-007</v>
      </c>
    </row>
    <row r="39" customFormat="false" ht="15" hidden="false" customHeight="false" outlineLevel="0" collapsed="false">
      <c r="A39" s="5" t="n">
        <v>32</v>
      </c>
      <c r="B39" s="25" t="n">
        <f aca="false">IF(T38&gt;0,B38,D38)</f>
        <v>0.0510126694571227</v>
      </c>
      <c r="C39" s="25" t="n">
        <f aca="false">IF(T38&gt;0,D38,C38)</f>
        <v>0.0510126701556146</v>
      </c>
      <c r="D39" s="41" t="n">
        <f aca="false">(B39+C39)/2</f>
        <v>0.0510126698063687</v>
      </c>
      <c r="E39" s="15" t="n">
        <f aca="false">$C$2*(1+IF(E$3&lt;=$O$2,$D39,$D39-($D39-$I$6)*MIN(E$3-$O$2,$Q$2)/$Q$2))</f>
        <v>6768.52159355301</v>
      </c>
      <c r="F39" s="15" t="n">
        <f aca="false">E39*(1+IF(F$3&lt;=$O$2,$D39,$D39-($D39-$I$6)*MIN(F$3-$O$2,$Q$2)/$Q$2))</f>
        <v>7113.80195068221</v>
      </c>
      <c r="G39" s="15" t="n">
        <f aca="false">F39*(1+IF(G$3&lt;=$O$2,$D39,$D39-($D39-$I$6)*MIN(G$3-$O$2,$Q$2)/$Q$2))</f>
        <v>7476.69598066026</v>
      </c>
      <c r="H39" s="15" t="n">
        <f aca="false">G39*(1+IF(H$3&lt;=$O$2,$D39,$D39-($D39-$I$6)*MIN(H$3-$O$2,$Q$2)/$Q$2))</f>
        <v>7858.10220396429</v>
      </c>
      <c r="I39" s="15" t="n">
        <f aca="false">H39*(1+IF(I$3&lt;=$O$2,$D39,$D39-($D39-$I$6)*MIN(I$3-$O$2,$Q$2)/$Q$2))</f>
        <v>8258.96497699982</v>
      </c>
      <c r="J39" s="15" t="n">
        <f aca="false">I39*(1+IF(J$3&lt;=$O$2,$D39,$D39-($D39-$I$6)*MIN(J$3-$O$2,$Q$2)/$Q$2))</f>
        <v>8642.76020142088</v>
      </c>
      <c r="K39" s="15" t="n">
        <f aca="false">J39*(1+IF(K$3&lt;=$O$2,$D39,$D39-($D39-$I$6)*MIN(K$3-$O$2,$Q$2)/$Q$2))</f>
        <v>9005.13041032339</v>
      </c>
      <c r="L39" s="15" t="n">
        <f aca="false">K39*(1+IF(L$3&lt;=$O$2,$D39,$D39-($D39-$I$6)*MIN(L$3-$O$2,$Q$2)/$Q$2))</f>
        <v>9341.78782236473</v>
      </c>
      <c r="M39" s="15" t="n">
        <f aca="false">L39*(1+IF(M$3&lt;=$O$2,$D39,$D39-($D39-$I$6)*MIN(M$3-$O$2,$Q$2)/$Q$2))</f>
        <v>9648.59580617975</v>
      </c>
      <c r="N39" s="15" t="n">
        <f aca="false">M39*(1+IF(N$3&lt;=$O$2,$D39,$D39-($D39-$I$6)*MIN(N$3-$O$2,$Q$2)/$Q$2))</f>
        <v>9921.65106749464</v>
      </c>
      <c r="O39" s="15" t="n">
        <f aca="false">SUMPRODUCT(E39:N39,1/(1+$F$6)^$E$3:$N$3)*$E$2</f>
        <v>10229.5106632313</v>
      </c>
      <c r="P39" s="15" t="n">
        <f aca="false">N39*$E$2*(1+$I$6)/($F$6-$I$6)/(1+$F$6)^$N$3</f>
        <v>12360.3893002344</v>
      </c>
      <c r="Q39" s="15" t="n">
        <f aca="false">O39+P39</f>
        <v>22589.8999634657</v>
      </c>
      <c r="R39" s="15" t="n">
        <f aca="false">Q39-$G$2+$I$2</f>
        <v>17289.9999634657</v>
      </c>
      <c r="S39" s="42" t="n">
        <f aca="false">R39/$K$2</f>
        <v>147.173986750645</v>
      </c>
      <c r="T39" s="43" t="n">
        <f aca="false">S39-$M$2</f>
        <v>-3.10983011786448E-007</v>
      </c>
    </row>
    <row r="40" customFormat="false" ht="15" hidden="false" customHeight="false" outlineLevel="0" collapsed="false">
      <c r="A40" s="5" t="n">
        <v>33</v>
      </c>
      <c r="B40" s="25" t="n">
        <f aca="false">IF(T39&gt;0,B39,D39)</f>
        <v>0.0510126698063687</v>
      </c>
      <c r="C40" s="25" t="n">
        <f aca="false">IF(T39&gt;0,D39,C39)</f>
        <v>0.0510126701556146</v>
      </c>
      <c r="D40" s="41" t="n">
        <f aca="false">(B40+C40)/2</f>
        <v>0.0510126699809916</v>
      </c>
      <c r="E40" s="15" t="n">
        <f aca="false">$C$2*(1+IF(E$3&lt;=$O$2,$D40,$D40-($D40-$I$6)*MIN(E$3-$O$2,$Q$2)/$Q$2))</f>
        <v>6768.52159467759</v>
      </c>
      <c r="F40" s="15" t="n">
        <f aca="false">E40*(1+IF(F$3&lt;=$O$2,$D40,$D40-($D40-$I$6)*MIN(F$3-$O$2,$Q$2)/$Q$2))</f>
        <v>7113.80195304609</v>
      </c>
      <c r="G40" s="15" t="n">
        <f aca="false">F40*(1+IF(G$3&lt;=$O$2,$D40,$D40-($D40-$I$6)*MIN(G$3-$O$2,$Q$2)/$Q$2))</f>
        <v>7476.69598438696</v>
      </c>
      <c r="H40" s="15" t="n">
        <f aca="false">G40*(1+IF(H$3&lt;=$O$2,$D40,$D40-($D40-$I$6)*MIN(H$3-$O$2,$Q$2)/$Q$2))</f>
        <v>7858.1022091867</v>
      </c>
      <c r="I40" s="15" t="n">
        <f aca="false">H40*(1+IF(I$3&lt;=$O$2,$D40,$D40-($D40-$I$6)*MIN(I$3-$O$2,$Q$2)/$Q$2))</f>
        <v>8258.96498386084</v>
      </c>
      <c r="J40" s="15" t="n">
        <f aca="false">I40*(1+IF(J$3&lt;=$O$2,$D40,$D40-($D40-$I$6)*MIN(J$3-$O$2,$Q$2)/$Q$2))</f>
        <v>8642.7602097545</v>
      </c>
      <c r="K40" s="15" t="n">
        <f aca="false">J40*(1+IF(K$3&lt;=$O$2,$D40,$D40-($D40-$I$6)*MIN(K$3-$O$2,$Q$2)/$Q$2))</f>
        <v>9005.13041991195</v>
      </c>
      <c r="L40" s="15" t="n">
        <f aca="false">K40*(1+IF(L$3&lt;=$O$2,$D40,$D40-($D40-$I$6)*MIN(L$3-$O$2,$Q$2)/$Q$2))</f>
        <v>9341.78783294076</v>
      </c>
      <c r="M40" s="15" t="n">
        <f aca="false">L40*(1+IF(M$3&lt;=$O$2,$D40,$D40-($D40-$I$6)*MIN(M$3-$O$2,$Q$2)/$Q$2))</f>
        <v>9648.59581742939</v>
      </c>
      <c r="N40" s="15" t="n">
        <f aca="false">M40*(1+IF(N$3&lt;=$O$2,$D40,$D40-($D40-$I$6)*MIN(N$3-$O$2,$Q$2)/$Q$2))</f>
        <v>9921.65107906264</v>
      </c>
      <c r="O40" s="15" t="n">
        <f aca="false">SUMPRODUCT(E40:N40,1/(1+$F$6)^$E$3:$N$3)*$E$2</f>
        <v>10229.5106709392</v>
      </c>
      <c r="P40" s="15" t="n">
        <f aca="false">N40*$E$2*(1+$I$6)/($F$6-$I$6)/(1+$F$6)^$N$3</f>
        <v>12360.3893146458</v>
      </c>
      <c r="Q40" s="15" t="n">
        <f aca="false">O40+P40</f>
        <v>22589.8999855851</v>
      </c>
      <c r="R40" s="15" t="n">
        <f aca="false">Q40-$G$2+$I$2</f>
        <v>17289.9999855851</v>
      </c>
      <c r="S40" s="42" t="n">
        <f aca="false">R40/$K$2</f>
        <v>147.173986938927</v>
      </c>
      <c r="T40" s="43" t="n">
        <f aca="false">S40-$M$2</f>
        <v>-1.22700981819435E-007</v>
      </c>
    </row>
    <row r="41" customFormat="false" ht="15" hidden="false" customHeight="false" outlineLevel="0" collapsed="false">
      <c r="A41" s="5" t="n">
        <v>34</v>
      </c>
      <c r="B41" s="25" t="n">
        <f aca="false">IF(T40&gt;0,B40,D40)</f>
        <v>0.0510126699809916</v>
      </c>
      <c r="C41" s="25" t="n">
        <f aca="false">IF(T40&gt;0,D40,C40)</f>
        <v>0.0510126701556146</v>
      </c>
      <c r="D41" s="41" t="n">
        <f aca="false">(B41+C41)/2</f>
        <v>0.0510126700683031</v>
      </c>
      <c r="E41" s="15" t="n">
        <f aca="false">$C$2*(1+IF(E$3&lt;=$O$2,$D41,$D41-($D41-$I$6)*MIN(E$3-$O$2,$Q$2)/$Q$2))</f>
        <v>6768.52159523987</v>
      </c>
      <c r="F41" s="15" t="n">
        <f aca="false">E41*(1+IF(F$3&lt;=$O$2,$D41,$D41-($D41-$I$6)*MIN(F$3-$O$2,$Q$2)/$Q$2))</f>
        <v>7113.80195422803</v>
      </c>
      <c r="G41" s="15" t="n">
        <f aca="false">F41*(1+IF(G$3&lt;=$O$2,$D41,$D41-($D41-$I$6)*MIN(G$3-$O$2,$Q$2)/$Q$2))</f>
        <v>7476.69598625031</v>
      </c>
      <c r="H41" s="15" t="n">
        <f aca="false">G41*(1+IF(H$3&lt;=$O$2,$D41,$D41-($D41-$I$6)*MIN(H$3-$O$2,$Q$2)/$Q$2))</f>
        <v>7858.10221179791</v>
      </c>
      <c r="I41" s="15" t="n">
        <f aca="false">H41*(1+IF(I$3&lt;=$O$2,$D41,$D41-($D41-$I$6)*MIN(I$3-$O$2,$Q$2)/$Q$2))</f>
        <v>8258.96498729136</v>
      </c>
      <c r="J41" s="15" t="n">
        <f aca="false">I41*(1+IF(J$3&lt;=$O$2,$D41,$D41-($D41-$I$6)*MIN(J$3-$O$2,$Q$2)/$Q$2))</f>
        <v>8642.76021392131</v>
      </c>
      <c r="K41" s="15" t="n">
        <f aca="false">J41*(1+IF(K$3&lt;=$O$2,$D41,$D41-($D41-$I$6)*MIN(K$3-$O$2,$Q$2)/$Q$2))</f>
        <v>9005.13042470624</v>
      </c>
      <c r="L41" s="15" t="n">
        <f aca="false">K41*(1+IF(L$3&lt;=$O$2,$D41,$D41-($D41-$I$6)*MIN(L$3-$O$2,$Q$2)/$Q$2))</f>
        <v>9341.78783822878</v>
      </c>
      <c r="M41" s="15" t="n">
        <f aca="false">L41*(1+IF(M$3&lt;=$O$2,$D41,$D41-($D41-$I$6)*MIN(M$3-$O$2,$Q$2)/$Q$2))</f>
        <v>9648.59582305421</v>
      </c>
      <c r="N41" s="15" t="n">
        <f aca="false">M41*(1+IF(N$3&lt;=$O$2,$D41,$D41-($D41-$I$6)*MIN(N$3-$O$2,$Q$2)/$Q$2))</f>
        <v>9921.65108484665</v>
      </c>
      <c r="O41" s="15" t="n">
        <f aca="false">SUMPRODUCT(E41:N41,1/(1+$F$6)^$E$3:$N$3)*$E$2</f>
        <v>10229.5106747932</v>
      </c>
      <c r="P41" s="15" t="n">
        <f aca="false">N41*$E$2*(1+$I$6)/($F$6-$I$6)/(1+$F$6)^$N$3</f>
        <v>12360.3893218516</v>
      </c>
      <c r="Q41" s="15" t="n">
        <f aca="false">O41+P41</f>
        <v>22589.8999966448</v>
      </c>
      <c r="R41" s="15" t="n">
        <f aca="false">Q41-$G$2+$I$2</f>
        <v>17289.9999966448</v>
      </c>
      <c r="S41" s="42" t="n">
        <f aca="false">R41/$K$2</f>
        <v>147.173987033068</v>
      </c>
      <c r="T41" s="43" t="n">
        <f aca="false">S41-$M$2</f>
        <v>-2.85598673599452E-008</v>
      </c>
    </row>
    <row r="42" customFormat="false" ht="15" hidden="false" customHeight="false" outlineLevel="0" collapsed="false">
      <c r="A42" s="5" t="n">
        <v>35</v>
      </c>
      <c r="B42" s="25" t="n">
        <f aca="false">IF(T41&gt;0,B41,D41)</f>
        <v>0.0510126700683031</v>
      </c>
      <c r="C42" s="25" t="n">
        <f aca="false">IF(T41&gt;0,D41,C41)</f>
        <v>0.0510126701556146</v>
      </c>
      <c r="D42" s="41" t="n">
        <f aca="false">(B42+C42)/2</f>
        <v>0.0510126701119589</v>
      </c>
      <c r="E42" s="15" t="n">
        <f aca="false">$C$2*(1+IF(E$3&lt;=$O$2,$D42,$D42-($D42-$I$6)*MIN(E$3-$O$2,$Q$2)/$Q$2))</f>
        <v>6768.52159552102</v>
      </c>
      <c r="F42" s="15" t="n">
        <f aca="false">E42*(1+IF(F$3&lt;=$O$2,$D42,$D42-($D42-$I$6)*MIN(F$3-$O$2,$Q$2)/$Q$2))</f>
        <v>7113.801954819</v>
      </c>
      <c r="G42" s="15" t="n">
        <f aca="false">F42*(1+IF(G$3&lt;=$O$2,$D42,$D42-($D42-$I$6)*MIN(G$3-$O$2,$Q$2)/$Q$2))</f>
        <v>7476.69598718199</v>
      </c>
      <c r="H42" s="15" t="n">
        <f aca="false">G42*(1+IF(H$3&lt;=$O$2,$D42,$D42-($D42-$I$6)*MIN(H$3-$O$2,$Q$2)/$Q$2))</f>
        <v>7858.10221310351</v>
      </c>
      <c r="I42" s="15" t="n">
        <f aca="false">H42*(1+IF(I$3&lt;=$O$2,$D42,$D42-($D42-$I$6)*MIN(I$3-$O$2,$Q$2)/$Q$2))</f>
        <v>8258.96498900661</v>
      </c>
      <c r="J42" s="15" t="n">
        <f aca="false">I42*(1+IF(J$3&lt;=$O$2,$D42,$D42-($D42-$I$6)*MIN(J$3-$O$2,$Q$2)/$Q$2))</f>
        <v>8642.76021600472</v>
      </c>
      <c r="K42" s="15" t="n">
        <f aca="false">J42*(1+IF(K$3&lt;=$O$2,$D42,$D42-($D42-$I$6)*MIN(K$3-$O$2,$Q$2)/$Q$2))</f>
        <v>9005.13042710338</v>
      </c>
      <c r="L42" s="15" t="n">
        <f aca="false">K42*(1+IF(L$3&lt;=$O$2,$D42,$D42-($D42-$I$6)*MIN(L$3-$O$2,$Q$2)/$Q$2))</f>
        <v>9341.78784087279</v>
      </c>
      <c r="M42" s="15" t="n">
        <f aca="false">L42*(1+IF(M$3&lt;=$O$2,$D42,$D42-($D42-$I$6)*MIN(M$3-$O$2,$Q$2)/$Q$2))</f>
        <v>9648.59582586662</v>
      </c>
      <c r="N42" s="15" t="n">
        <f aca="false">M42*(1+IF(N$3&lt;=$O$2,$D42,$D42-($D42-$I$6)*MIN(N$3-$O$2,$Q$2)/$Q$2))</f>
        <v>9921.65108773865</v>
      </c>
      <c r="O42" s="15" t="n">
        <f aca="false">SUMPRODUCT(E42:N42,1/(1+$F$6)^$E$3:$N$3)*$E$2</f>
        <v>10229.5106767202</v>
      </c>
      <c r="P42" s="15" t="n">
        <f aca="false">N42*$E$2*(1+$I$6)/($F$6-$I$6)/(1+$F$6)^$N$3</f>
        <v>12360.3893254544</v>
      </c>
      <c r="Q42" s="15" t="n">
        <f aca="false">O42+P42</f>
        <v>22589.9000021746</v>
      </c>
      <c r="R42" s="15" t="n">
        <f aca="false">Q42-$G$2+$I$2</f>
        <v>17290.0000021746</v>
      </c>
      <c r="S42" s="42" t="n">
        <f aca="false">R42/$K$2</f>
        <v>147.173987080138</v>
      </c>
      <c r="T42" s="43" t="n">
        <f aca="false">S42-$M$2</f>
        <v>1.85105761829618E-008</v>
      </c>
    </row>
    <row r="43" customFormat="false" ht="15" hidden="false" customHeight="false" outlineLevel="0" collapsed="false">
      <c r="A43" s="5" t="n">
        <v>36</v>
      </c>
      <c r="B43" s="25" t="n">
        <f aca="false">IF(T42&gt;0,B42,D42)</f>
        <v>0.0510126700683031</v>
      </c>
      <c r="C43" s="25" t="n">
        <f aca="false">IF(T42&gt;0,D42,C42)</f>
        <v>0.0510126701119589</v>
      </c>
      <c r="D43" s="41" t="n">
        <f aca="false">(B43+C43)/2</f>
        <v>0.051012670090131</v>
      </c>
      <c r="E43" s="15" t="n">
        <f aca="false">$C$2*(1+IF(E$3&lt;=$O$2,$D43,$D43-($D43-$I$6)*MIN(E$3-$O$2,$Q$2)/$Q$2))</f>
        <v>6768.52159538044</v>
      </c>
      <c r="F43" s="15" t="n">
        <f aca="false">E43*(1+IF(F$3&lt;=$O$2,$D43,$D43-($D43-$I$6)*MIN(F$3-$O$2,$Q$2)/$Q$2))</f>
        <v>7113.80195452351</v>
      </c>
      <c r="G43" s="15" t="n">
        <f aca="false">F43*(1+IF(G$3&lt;=$O$2,$D43,$D43-($D43-$I$6)*MIN(G$3-$O$2,$Q$2)/$Q$2))</f>
        <v>7476.69598671615</v>
      </c>
      <c r="H43" s="15" t="n">
        <f aca="false">G43*(1+IF(H$3&lt;=$O$2,$D43,$D43-($D43-$I$6)*MIN(H$3-$O$2,$Q$2)/$Q$2))</f>
        <v>7858.10221245071</v>
      </c>
      <c r="I43" s="15" t="n">
        <f aca="false">H43*(1+IF(I$3&lt;=$O$2,$D43,$D43-($D43-$I$6)*MIN(I$3-$O$2,$Q$2)/$Q$2))</f>
        <v>8258.96498814898</v>
      </c>
      <c r="J43" s="15" t="n">
        <f aca="false">I43*(1+IF(J$3&lt;=$O$2,$D43,$D43-($D43-$I$6)*MIN(J$3-$O$2,$Q$2)/$Q$2))</f>
        <v>8642.76021496302</v>
      </c>
      <c r="K43" s="15" t="n">
        <f aca="false">J43*(1+IF(K$3&lt;=$O$2,$D43,$D43-($D43-$I$6)*MIN(K$3-$O$2,$Q$2)/$Q$2))</f>
        <v>9005.13042590481</v>
      </c>
      <c r="L43" s="15" t="n">
        <f aca="false">K43*(1+IF(L$3&lt;=$O$2,$D43,$D43-($D43-$I$6)*MIN(L$3-$O$2,$Q$2)/$Q$2))</f>
        <v>9341.78783955079</v>
      </c>
      <c r="M43" s="15" t="n">
        <f aca="false">L43*(1+IF(M$3&lt;=$O$2,$D43,$D43-($D43-$I$6)*MIN(M$3-$O$2,$Q$2)/$Q$2))</f>
        <v>9648.59582446042</v>
      </c>
      <c r="N43" s="15" t="n">
        <f aca="false">M43*(1+IF(N$3&lt;=$O$2,$D43,$D43-($D43-$I$6)*MIN(N$3-$O$2,$Q$2)/$Q$2))</f>
        <v>9921.65108629264</v>
      </c>
      <c r="O43" s="15" t="n">
        <f aca="false">SUMPRODUCT(E43:N43,1/(1+$F$6)^$E$3:$N$3)*$E$2</f>
        <v>10229.5106757567</v>
      </c>
      <c r="P43" s="15" t="n">
        <f aca="false">N43*$E$2*(1+$I$6)/($F$6-$I$6)/(1+$F$6)^$N$3</f>
        <v>12360.389323653</v>
      </c>
      <c r="Q43" s="15" t="n">
        <f aca="false">O43+P43</f>
        <v>22589.8999994097</v>
      </c>
      <c r="R43" s="15" t="n">
        <f aca="false">Q43-$G$2+$I$2</f>
        <v>17289.9999994097</v>
      </c>
      <c r="S43" s="42" t="n">
        <f aca="false">R43/$K$2</f>
        <v>147.173987056603</v>
      </c>
      <c r="T43" s="43" t="n">
        <f aca="false">S43-$M$2</f>
        <v>-5.02467401020112E-009</v>
      </c>
    </row>
    <row r="44" customFormat="false" ht="15" hidden="false" customHeight="false" outlineLevel="0" collapsed="false">
      <c r="A44" s="5" t="n">
        <v>37</v>
      </c>
      <c r="B44" s="25" t="n">
        <f aca="false">IF(T43&gt;0,B43,D43)</f>
        <v>0.051012670090131</v>
      </c>
      <c r="C44" s="25" t="n">
        <f aca="false">IF(T43&gt;0,D43,C43)</f>
        <v>0.0510126701119589</v>
      </c>
      <c r="D44" s="41" t="n">
        <f aca="false">(B44+C44)/2</f>
        <v>0.0510126701010449</v>
      </c>
      <c r="E44" s="15" t="n">
        <f aca="false">$C$2*(1+IF(E$3&lt;=$O$2,$D44,$D44-($D44-$I$6)*MIN(E$3-$O$2,$Q$2)/$Q$2))</f>
        <v>6768.52159545073</v>
      </c>
      <c r="F44" s="15" t="n">
        <f aca="false">E44*(1+IF(F$3&lt;=$O$2,$D44,$D44-($D44-$I$6)*MIN(F$3-$O$2,$Q$2)/$Q$2))</f>
        <v>7113.80195467126</v>
      </c>
      <c r="G44" s="15" t="n">
        <f aca="false">F44*(1+IF(G$3&lt;=$O$2,$D44,$D44-($D44-$I$6)*MIN(G$3-$O$2,$Q$2)/$Q$2))</f>
        <v>7476.69598694907</v>
      </c>
      <c r="H44" s="15" t="n">
        <f aca="false">G44*(1+IF(H$3&lt;=$O$2,$D44,$D44-($D44-$I$6)*MIN(H$3-$O$2,$Q$2)/$Q$2))</f>
        <v>7858.10221277711</v>
      </c>
      <c r="I44" s="15" t="n">
        <f aca="false">H44*(1+IF(I$3&lt;=$O$2,$D44,$D44-($D44-$I$6)*MIN(I$3-$O$2,$Q$2)/$Q$2))</f>
        <v>8258.9649885778</v>
      </c>
      <c r="J44" s="15" t="n">
        <f aca="false">I44*(1+IF(J$3&lt;=$O$2,$D44,$D44-($D44-$I$6)*MIN(J$3-$O$2,$Q$2)/$Q$2))</f>
        <v>8642.76021548387</v>
      </c>
      <c r="K44" s="15" t="n">
        <f aca="false">J44*(1+IF(K$3&lt;=$O$2,$D44,$D44-($D44-$I$6)*MIN(K$3-$O$2,$Q$2)/$Q$2))</f>
        <v>9005.13042650409</v>
      </c>
      <c r="L44" s="15" t="n">
        <f aca="false">K44*(1+IF(L$3&lt;=$O$2,$D44,$D44-($D44-$I$6)*MIN(L$3-$O$2,$Q$2)/$Q$2))</f>
        <v>9341.78784021179</v>
      </c>
      <c r="M44" s="15" t="n">
        <f aca="false">L44*(1+IF(M$3&lt;=$O$2,$D44,$D44-($D44-$I$6)*MIN(M$3-$O$2,$Q$2)/$Q$2))</f>
        <v>9648.59582516352</v>
      </c>
      <c r="N44" s="15" t="n">
        <f aca="false">M44*(1+IF(N$3&lt;=$O$2,$D44,$D44-($D44-$I$6)*MIN(N$3-$O$2,$Q$2)/$Q$2))</f>
        <v>9921.65108701565</v>
      </c>
      <c r="O44" s="15" t="n">
        <f aca="false">SUMPRODUCT(E44:N44,1/(1+$F$6)^$E$3:$N$3)*$E$2</f>
        <v>10229.5106762385</v>
      </c>
      <c r="P44" s="15" t="n">
        <f aca="false">N44*$E$2*(1+$I$6)/($F$6-$I$6)/(1+$F$6)^$N$3</f>
        <v>12360.3893245537</v>
      </c>
      <c r="Q44" s="15" t="n">
        <f aca="false">O44+P44</f>
        <v>22589.9000007922</v>
      </c>
      <c r="R44" s="15" t="n">
        <f aca="false">Q44-$G$2+$I$2</f>
        <v>17290.0000007922</v>
      </c>
      <c r="S44" s="42" t="n">
        <f aca="false">R44/$K$2</f>
        <v>147.17398706837</v>
      </c>
      <c r="T44" s="43" t="n">
        <f aca="false">S44-$M$2</f>
        <v>6.74293687552563E-009</v>
      </c>
    </row>
    <row r="45" customFormat="false" ht="15" hidden="false" customHeight="false" outlineLevel="0" collapsed="false">
      <c r="A45" s="5" t="n">
        <v>38</v>
      </c>
      <c r="B45" s="25" t="n">
        <f aca="false">IF(T44&gt;0,B44,D44)</f>
        <v>0.051012670090131</v>
      </c>
      <c r="C45" s="25" t="n">
        <f aca="false">IF(T44&gt;0,D44,C44)</f>
        <v>0.0510126701010449</v>
      </c>
      <c r="D45" s="41" t="n">
        <f aca="false">(B45+C45)/2</f>
        <v>0.051012670095588</v>
      </c>
      <c r="E45" s="15" t="n">
        <f aca="false">$C$2*(1+IF(E$3&lt;=$O$2,$D45,$D45-($D45-$I$6)*MIN(E$3-$O$2,$Q$2)/$Q$2))</f>
        <v>6768.52159541559</v>
      </c>
      <c r="F45" s="15" t="n">
        <f aca="false">E45*(1+IF(F$3&lt;=$O$2,$D45,$D45-($D45-$I$6)*MIN(F$3-$O$2,$Q$2)/$Q$2))</f>
        <v>7113.80195459739</v>
      </c>
      <c r="G45" s="15" t="n">
        <f aca="false">F45*(1+IF(G$3&lt;=$O$2,$D45,$D45-($D45-$I$6)*MIN(G$3-$O$2,$Q$2)/$Q$2))</f>
        <v>7476.69598683261</v>
      </c>
      <c r="H45" s="15" t="n">
        <f aca="false">G45*(1+IF(H$3&lt;=$O$2,$D45,$D45-($D45-$I$6)*MIN(H$3-$O$2,$Q$2)/$Q$2))</f>
        <v>7858.10221261391</v>
      </c>
      <c r="I45" s="15" t="n">
        <f aca="false">H45*(1+IF(I$3&lt;=$O$2,$D45,$D45-($D45-$I$6)*MIN(I$3-$O$2,$Q$2)/$Q$2))</f>
        <v>8258.96498836339</v>
      </c>
      <c r="J45" s="15" t="n">
        <f aca="false">I45*(1+IF(J$3&lt;=$O$2,$D45,$D45-($D45-$I$6)*MIN(J$3-$O$2,$Q$2)/$Q$2))</f>
        <v>8642.76021522344</v>
      </c>
      <c r="K45" s="15" t="n">
        <f aca="false">J45*(1+IF(K$3&lt;=$O$2,$D45,$D45-($D45-$I$6)*MIN(K$3-$O$2,$Q$2)/$Q$2))</f>
        <v>9005.13042620445</v>
      </c>
      <c r="L45" s="15" t="n">
        <f aca="false">K45*(1+IF(L$3&lt;=$O$2,$D45,$D45-($D45-$I$6)*MIN(L$3-$O$2,$Q$2)/$Q$2))</f>
        <v>9341.78783988129</v>
      </c>
      <c r="M45" s="15" t="n">
        <f aca="false">L45*(1+IF(M$3&lt;=$O$2,$D45,$D45-($D45-$I$6)*MIN(M$3-$O$2,$Q$2)/$Q$2))</f>
        <v>9648.59582481197</v>
      </c>
      <c r="N45" s="15" t="n">
        <f aca="false">M45*(1+IF(N$3&lt;=$O$2,$D45,$D45-($D45-$I$6)*MIN(N$3-$O$2,$Q$2)/$Q$2))</f>
        <v>9921.65108665415</v>
      </c>
      <c r="O45" s="15" t="n">
        <f aca="false">SUMPRODUCT(E45:N45,1/(1+$F$6)^$E$3:$N$3)*$E$2</f>
        <v>10229.5106759976</v>
      </c>
      <c r="P45" s="15" t="n">
        <f aca="false">N45*$E$2*(1+$I$6)/($F$6-$I$6)/(1+$F$6)^$N$3</f>
        <v>12360.3893241033</v>
      </c>
      <c r="Q45" s="15" t="n">
        <f aca="false">O45+P45</f>
        <v>22589.9000001009</v>
      </c>
      <c r="R45" s="15" t="n">
        <f aca="false">Q45-$G$2+$I$2</f>
        <v>17290.0000001009</v>
      </c>
      <c r="S45" s="42" t="n">
        <f aca="false">R45/$K$2</f>
        <v>147.173987062487</v>
      </c>
      <c r="T45" s="43" t="n">
        <f aca="false">S45-$M$2</f>
        <v>8.59188276081113E-010</v>
      </c>
    </row>
    <row r="46" customFormat="false" ht="15" hidden="false" customHeight="false" outlineLevel="0" collapsed="false">
      <c r="A46" s="5" t="n">
        <v>39</v>
      </c>
      <c r="B46" s="25" t="n">
        <f aca="false">IF(T45&gt;0,B45,D45)</f>
        <v>0.051012670090131</v>
      </c>
      <c r="C46" s="25" t="n">
        <f aca="false">IF(T45&gt;0,D45,C45)</f>
        <v>0.051012670095588</v>
      </c>
      <c r="D46" s="41" t="n">
        <f aca="false">(B46+C46)/2</f>
        <v>0.0510126700928595</v>
      </c>
      <c r="E46" s="15" t="n">
        <f aca="false">$C$2*(1+IF(E$3&lt;=$O$2,$D46,$D46-($D46-$I$6)*MIN(E$3-$O$2,$Q$2)/$Q$2))</f>
        <v>6768.52159539802</v>
      </c>
      <c r="F46" s="15" t="n">
        <f aca="false">E46*(1+IF(F$3&lt;=$O$2,$D46,$D46-($D46-$I$6)*MIN(F$3-$O$2,$Q$2)/$Q$2))</f>
        <v>7113.80195456045</v>
      </c>
      <c r="G46" s="15" t="n">
        <f aca="false">F46*(1+IF(G$3&lt;=$O$2,$D46,$D46-($D46-$I$6)*MIN(G$3-$O$2,$Q$2)/$Q$2))</f>
        <v>7476.69598677438</v>
      </c>
      <c r="H46" s="15" t="n">
        <f aca="false">G46*(1+IF(H$3&lt;=$O$2,$D46,$D46-($D46-$I$6)*MIN(H$3-$O$2,$Q$2)/$Q$2))</f>
        <v>7858.10221253231</v>
      </c>
      <c r="I46" s="15" t="n">
        <f aca="false">H46*(1+IF(I$3&lt;=$O$2,$D46,$D46-($D46-$I$6)*MIN(I$3-$O$2,$Q$2)/$Q$2))</f>
        <v>8258.96498825619</v>
      </c>
      <c r="J46" s="15" t="n">
        <f aca="false">I46*(1+IF(J$3&lt;=$O$2,$D46,$D46-($D46-$I$6)*MIN(J$3-$O$2,$Q$2)/$Q$2))</f>
        <v>8642.76021509323</v>
      </c>
      <c r="K46" s="15" t="n">
        <f aca="false">J46*(1+IF(K$3&lt;=$O$2,$D46,$D46-($D46-$I$6)*MIN(K$3-$O$2,$Q$2)/$Q$2))</f>
        <v>9005.13042605463</v>
      </c>
      <c r="L46" s="15" t="n">
        <f aca="false">K46*(1+IF(L$3&lt;=$O$2,$D46,$D46-($D46-$I$6)*MIN(L$3-$O$2,$Q$2)/$Q$2))</f>
        <v>9341.78783971604</v>
      </c>
      <c r="M46" s="15" t="n">
        <f aca="false">L46*(1+IF(M$3&lt;=$O$2,$D46,$D46-($D46-$I$6)*MIN(M$3-$O$2,$Q$2)/$Q$2))</f>
        <v>9648.59582463619</v>
      </c>
      <c r="N46" s="15" t="n">
        <f aca="false">M46*(1+IF(N$3&lt;=$O$2,$D46,$D46-($D46-$I$6)*MIN(N$3-$O$2,$Q$2)/$Q$2))</f>
        <v>9921.6510864734</v>
      </c>
      <c r="O46" s="15" t="n">
        <f aca="false">SUMPRODUCT(E46:N46,1/(1+$F$6)^$E$3:$N$3)*$E$2</f>
        <v>10229.5106758772</v>
      </c>
      <c r="P46" s="15" t="n">
        <f aca="false">N46*$E$2*(1+$I$6)/($F$6-$I$6)/(1+$F$6)^$N$3</f>
        <v>12360.3893238782</v>
      </c>
      <c r="Q46" s="15" t="n">
        <f aca="false">O46+P46</f>
        <v>22589.8999997553</v>
      </c>
      <c r="R46" s="15" t="n">
        <f aca="false">Q46-$G$2+$I$2</f>
        <v>17289.9999997553</v>
      </c>
      <c r="S46" s="42" t="n">
        <f aca="false">R46/$K$2</f>
        <v>147.173987059545</v>
      </c>
      <c r="T46" s="43" t="n">
        <f aca="false">S46-$M$2</f>
        <v>-2.08271444535058E-009</v>
      </c>
    </row>
    <row r="47" customFormat="false" ht="15" hidden="false" customHeight="false" outlineLevel="0" collapsed="false">
      <c r="A47" s="5" t="n">
        <v>40</v>
      </c>
      <c r="B47" s="25" t="n">
        <f aca="false">IF(T46&gt;0,B46,D46)</f>
        <v>0.0510126700928595</v>
      </c>
      <c r="C47" s="25" t="n">
        <f aca="false">IF(T46&gt;0,D46,C46)</f>
        <v>0.051012670095588</v>
      </c>
      <c r="D47" s="41" t="n">
        <f aca="false">(B47+C47)/2</f>
        <v>0.0510126700942237</v>
      </c>
      <c r="E47" s="15" t="n">
        <f aca="false">$C$2*(1+IF(E$3&lt;=$O$2,$D47,$D47-($D47-$I$6)*MIN(E$3-$O$2,$Q$2)/$Q$2))</f>
        <v>6768.5215954068</v>
      </c>
      <c r="F47" s="15" t="n">
        <f aca="false">E47*(1+IF(F$3&lt;=$O$2,$D47,$D47-($D47-$I$6)*MIN(F$3-$O$2,$Q$2)/$Q$2))</f>
        <v>7113.80195457892</v>
      </c>
      <c r="G47" s="15" t="n">
        <f aca="false">F47*(1+IF(G$3&lt;=$O$2,$D47,$D47-($D47-$I$6)*MIN(G$3-$O$2,$Q$2)/$Q$2))</f>
        <v>7476.6959868035</v>
      </c>
      <c r="H47" s="15" t="n">
        <f aca="false">G47*(1+IF(H$3&lt;=$O$2,$D47,$D47-($D47-$I$6)*MIN(H$3-$O$2,$Q$2)/$Q$2))</f>
        <v>7858.10221257311</v>
      </c>
      <c r="I47" s="15" t="n">
        <f aca="false">H47*(1+IF(I$3&lt;=$O$2,$D47,$D47-($D47-$I$6)*MIN(I$3-$O$2,$Q$2)/$Q$2))</f>
        <v>8258.96498830979</v>
      </c>
      <c r="J47" s="15" t="n">
        <f aca="false">I47*(1+IF(J$3&lt;=$O$2,$D47,$D47-($D47-$I$6)*MIN(J$3-$O$2,$Q$2)/$Q$2))</f>
        <v>8642.76021515834</v>
      </c>
      <c r="K47" s="15" t="n">
        <f aca="false">J47*(1+IF(K$3&lt;=$O$2,$D47,$D47-($D47-$I$6)*MIN(K$3-$O$2,$Q$2)/$Q$2))</f>
        <v>9005.13042612954</v>
      </c>
      <c r="L47" s="15" t="n">
        <f aca="false">K47*(1+IF(L$3&lt;=$O$2,$D47,$D47-($D47-$I$6)*MIN(L$3-$O$2,$Q$2)/$Q$2))</f>
        <v>9341.78783979866</v>
      </c>
      <c r="M47" s="15" t="n">
        <f aca="false">L47*(1+IF(M$3&lt;=$O$2,$D47,$D47-($D47-$I$6)*MIN(M$3-$O$2,$Q$2)/$Q$2))</f>
        <v>9648.59582472408</v>
      </c>
      <c r="N47" s="15" t="n">
        <f aca="false">M47*(1+IF(N$3&lt;=$O$2,$D47,$D47-($D47-$I$6)*MIN(N$3-$O$2,$Q$2)/$Q$2))</f>
        <v>9921.65108656377</v>
      </c>
      <c r="O47" s="15" t="n">
        <f aca="false">SUMPRODUCT(E47:N47,1/(1+$F$6)^$E$3:$N$3)*$E$2</f>
        <v>10229.5106759374</v>
      </c>
      <c r="P47" s="15" t="n">
        <f aca="false">N47*$E$2*(1+$I$6)/($F$6-$I$6)/(1+$F$6)^$N$3</f>
        <v>12360.3893239907</v>
      </c>
      <c r="Q47" s="15" t="n">
        <f aca="false">O47+P47</f>
        <v>22589.8999999281</v>
      </c>
      <c r="R47" s="15" t="n">
        <f aca="false">Q47-$G$2+$I$2</f>
        <v>17289.9999999281</v>
      </c>
      <c r="S47" s="42" t="n">
        <f aca="false">R47/$K$2</f>
        <v>147.173987061016</v>
      </c>
      <c r="T47" s="43" t="n">
        <f aca="false">S47-$M$2</f>
        <v>-6.11862560617738E-010</v>
      </c>
    </row>
    <row r="49" customFormat="false" ht="15" hidden="false" customHeight="false" outlineLevel="0" collapsed="false">
      <c r="A49" s="38" t="s">
        <v>181</v>
      </c>
      <c r="E49" s="5" t="s">
        <v>11</v>
      </c>
      <c r="F49" s="12" t="n">
        <f aca="false">Sensitivity!$B$10</f>
        <v>0.0849886567315273</v>
      </c>
      <c r="G49" s="5" t="s">
        <v>12</v>
      </c>
      <c r="I49" s="12" t="n">
        <f aca="false">Sensitivity!$C$9</f>
        <v>0.0183</v>
      </c>
    </row>
    <row r="50" customFormat="false" ht="23.85" hidden="false" customHeight="false" outlineLevel="0" collapsed="false">
      <c r="A50" s="38" t="s">
        <v>161</v>
      </c>
      <c r="B50" s="28" t="s">
        <v>162</v>
      </c>
      <c r="C50" s="28" t="s">
        <v>163</v>
      </c>
      <c r="D50" s="28" t="s">
        <v>164</v>
      </c>
      <c r="E50" s="28" t="s">
        <v>165</v>
      </c>
      <c r="F50" s="28" t="s">
        <v>166</v>
      </c>
      <c r="G50" s="28" t="s">
        <v>167</v>
      </c>
      <c r="H50" s="28" t="s">
        <v>168</v>
      </c>
      <c r="I50" s="28" t="s">
        <v>169</v>
      </c>
      <c r="J50" s="28" t="s">
        <v>170</v>
      </c>
      <c r="K50" s="28" t="s">
        <v>171</v>
      </c>
      <c r="L50" s="28" t="s">
        <v>172</v>
      </c>
      <c r="M50" s="28" t="s">
        <v>173</v>
      </c>
      <c r="N50" s="28" t="s">
        <v>174</v>
      </c>
      <c r="O50" s="28" t="s">
        <v>175</v>
      </c>
      <c r="P50" s="28" t="s">
        <v>176</v>
      </c>
      <c r="Q50" s="28" t="s">
        <v>177</v>
      </c>
      <c r="R50" s="28" t="s">
        <v>178</v>
      </c>
      <c r="S50" s="28" t="s">
        <v>179</v>
      </c>
      <c r="T50" s="28" t="s">
        <v>180</v>
      </c>
    </row>
    <row r="51" customFormat="false" ht="15" hidden="false" customHeight="false" outlineLevel="0" collapsed="false">
      <c r="A51" s="5" t="n">
        <v>1</v>
      </c>
      <c r="B51" s="24" t="n">
        <v>-0.5</v>
      </c>
      <c r="C51" s="24" t="n">
        <v>1</v>
      </c>
      <c r="D51" s="41" t="n">
        <f aca="false">(B51+C51)/2</f>
        <v>0.25</v>
      </c>
      <c r="E51" s="15" t="n">
        <f aca="false">$C$2*(1+IF(E$3&lt;=$O$2,$D51,$D51-($D51-$I$49)*MIN(E$3-$O$2,$Q$2)/$Q$2))</f>
        <v>8050</v>
      </c>
      <c r="F51" s="15" t="n">
        <f aca="false">E51*(1+IF(F$3&lt;=$O$2,$D51,$D51-($D51-$I$49)*MIN(F$3-$O$2,$Q$2)/$Q$2))</f>
        <v>10062.5</v>
      </c>
      <c r="G51" s="15" t="n">
        <f aca="false">F51*(1+IF(G$3&lt;=$O$2,$D51,$D51-($D51-$I$49)*MIN(G$3-$O$2,$Q$2)/$Q$2))</f>
        <v>12578.125</v>
      </c>
      <c r="H51" s="15" t="n">
        <f aca="false">G51*(1+IF(H$3&lt;=$O$2,$D51,$D51-($D51-$I$49)*MIN(H$3-$O$2,$Q$2)/$Q$2))</f>
        <v>15722.65625</v>
      </c>
      <c r="I51" s="15" t="n">
        <f aca="false">H51*(1+IF(I$3&lt;=$O$2,$D51,$D51-($D51-$I$49)*MIN(I$3-$O$2,$Q$2)/$Q$2))</f>
        <v>19653.3203125</v>
      </c>
      <c r="J51" s="15" t="n">
        <f aca="false">I51*(1+IF(J$3&lt;=$O$2,$D51,$D51-($D51-$I$49)*MIN(J$3-$O$2,$Q$2)/$Q$2))</f>
        <v>23655.9155273438</v>
      </c>
      <c r="K51" s="15" t="n">
        <f aca="false">J51*(1+IF(K$3&lt;=$O$2,$D51,$D51-($D51-$I$49)*MIN(K$3-$O$2,$Q$2)/$Q$2))</f>
        <v>27377.4641581055</v>
      </c>
      <c r="L51" s="15" t="n">
        <f aca="false">K51*(1+IF(L$3&lt;=$O$2,$D51,$D51-($D51-$I$49)*MIN(L$3-$O$2,$Q$2)/$Q$2))</f>
        <v>30415.815130372</v>
      </c>
      <c r="M51" s="15" t="n">
        <f aca="false">L51*(1+IF(M$3&lt;=$O$2,$D51,$D51-($D51-$I$49)*MIN(M$3-$O$2,$Q$2)/$Q$2))</f>
        <v>32381.8934203993</v>
      </c>
      <c r="N51" s="15" t="n">
        <f aca="false">M51*(1+IF(N$3&lt;=$O$2,$D51,$D51-($D51-$I$49)*MIN(N$3-$O$2,$Q$2)/$Q$2))</f>
        <v>32974.4820699926</v>
      </c>
      <c r="O51" s="15" t="n">
        <f aca="false">SUMPRODUCT(E51:N51,1/(1+$F$49)^$E$3:$N$3)*$E$2</f>
        <v>25258.7905951627</v>
      </c>
      <c r="P51" s="15" t="n">
        <f aca="false">N51*$E$2*(1+$I$49)/($F$49-$I$49)/(1+$F$49)^$N$3</f>
        <v>44588.8545056079</v>
      </c>
      <c r="Q51" s="15" t="n">
        <f aca="false">O51+P51</f>
        <v>69847.6451007706</v>
      </c>
      <c r="R51" s="15" t="n">
        <f aca="false">Q51-$G$2+$I$2</f>
        <v>64547.7451007706</v>
      </c>
      <c r="S51" s="42" t="n">
        <f aca="false">R51/$K$2</f>
        <v>549.436032522732</v>
      </c>
      <c r="T51" s="43" t="n">
        <f aca="false">S51-$M$2</f>
        <v>402.262045461105</v>
      </c>
    </row>
    <row r="52" customFormat="false" ht="15" hidden="false" customHeight="false" outlineLevel="0" collapsed="false">
      <c r="A52" s="5" t="n">
        <v>2</v>
      </c>
      <c r="B52" s="25" t="n">
        <f aca="false">IF(T51&gt;0,B51,D51)</f>
        <v>-0.5</v>
      </c>
      <c r="C52" s="25" t="n">
        <f aca="false">IF(T51&gt;0,D51,C51)</f>
        <v>0.25</v>
      </c>
      <c r="D52" s="41" t="n">
        <f aca="false">(B52+C52)/2</f>
        <v>-0.125</v>
      </c>
      <c r="E52" s="15" t="n">
        <f aca="false">$C$2*(1+IF(E$3&lt;=$O$2,$D52,$D52-($D52-$I$49)*MIN(E$3-$O$2,$Q$2)/$Q$2))</f>
        <v>5635</v>
      </c>
      <c r="F52" s="15" t="n">
        <f aca="false">E52*(1+IF(F$3&lt;=$O$2,$D52,$D52-($D52-$I$49)*MIN(F$3-$O$2,$Q$2)/$Q$2))</f>
        <v>4930.625</v>
      </c>
      <c r="G52" s="15" t="n">
        <f aca="false">F52*(1+IF(G$3&lt;=$O$2,$D52,$D52-($D52-$I$49)*MIN(G$3-$O$2,$Q$2)/$Q$2))</f>
        <v>4314.296875</v>
      </c>
      <c r="H52" s="15" t="n">
        <f aca="false">G52*(1+IF(H$3&lt;=$O$2,$D52,$D52-($D52-$I$49)*MIN(H$3-$O$2,$Q$2)/$Q$2))</f>
        <v>3775.009765625</v>
      </c>
      <c r="I52" s="15" t="n">
        <f aca="false">H52*(1+IF(I$3&lt;=$O$2,$D52,$D52-($D52-$I$49)*MIN(I$3-$O$2,$Q$2)/$Q$2))</f>
        <v>3303.13354492188</v>
      </c>
      <c r="J52" s="15" t="n">
        <f aca="false">I52*(1+IF(J$3&lt;=$O$2,$D52,$D52-($D52-$I$49)*MIN(J$3-$O$2,$Q$2)/$Q$2))</f>
        <v>2984.9096592041</v>
      </c>
      <c r="K52" s="15" t="n">
        <f aca="false">J52*(1+IF(K$3&lt;=$O$2,$D52,$D52-($D52-$I$49)*MIN(K$3-$O$2,$Q$2)/$Q$2))</f>
        <v>2782.89097346917</v>
      </c>
      <c r="L52" s="15" t="n">
        <f aca="false">K52*(1+IF(L$3&lt;=$O$2,$D52,$D52-($D52-$I$49)*MIN(L$3-$O$2,$Q$2)/$Q$2))</f>
        <v>2674.3025676844</v>
      </c>
      <c r="M52" s="15" t="n">
        <f aca="false">L52*(1+IF(M$3&lt;=$O$2,$D52,$D52-($D52-$I$49)*MIN(M$3-$O$2,$Q$2)/$Q$2))</f>
        <v>2646.59679308319</v>
      </c>
      <c r="N52" s="15" t="n">
        <f aca="false">M52*(1+IF(N$3&lt;=$O$2,$D52,$D52-($D52-$I$49)*MIN(N$3-$O$2,$Q$2)/$Q$2))</f>
        <v>2695.02951439661</v>
      </c>
      <c r="O52" s="15" t="n">
        <f aca="false">SUMPRODUCT(E52:N52,1/(1+$F$49)^$E$3:$N$3)*$E$2</f>
        <v>4992.6317122771</v>
      </c>
      <c r="P52" s="15" t="n">
        <f aca="false">N52*$E$2*(1+$I$49)/($F$49-$I$49)/(1+$F$49)^$N$3</f>
        <v>3644.28101253197</v>
      </c>
      <c r="Q52" s="15" t="n">
        <f aca="false">O52+P52</f>
        <v>8636.91272480907</v>
      </c>
      <c r="R52" s="15" t="n">
        <f aca="false">Q52-$G$2+$I$2</f>
        <v>3337.01272480907</v>
      </c>
      <c r="S52" s="42" t="n">
        <f aca="false">R52/$K$2</f>
        <v>28.4049431801929</v>
      </c>
      <c r="T52" s="43" t="n">
        <f aca="false">S52-$M$2</f>
        <v>-118.769043881435</v>
      </c>
    </row>
    <row r="53" customFormat="false" ht="15" hidden="false" customHeight="false" outlineLevel="0" collapsed="false">
      <c r="A53" s="5" t="n">
        <v>3</v>
      </c>
      <c r="B53" s="25" t="n">
        <f aca="false">IF(T52&gt;0,B52,D52)</f>
        <v>-0.125</v>
      </c>
      <c r="C53" s="25" t="n">
        <f aca="false">IF(T52&gt;0,D52,C52)</f>
        <v>0.25</v>
      </c>
      <c r="D53" s="41" t="n">
        <f aca="false">(B53+C53)/2</f>
        <v>0.0625</v>
      </c>
      <c r="E53" s="15" t="n">
        <f aca="false">$C$2*(1+IF(E$3&lt;=$O$2,$D53,$D53-($D53-$I$49)*MIN(E$3-$O$2,$Q$2)/$Q$2))</f>
        <v>6842.5</v>
      </c>
      <c r="F53" s="15" t="n">
        <f aca="false">E53*(1+IF(F$3&lt;=$O$2,$D53,$D53-($D53-$I$49)*MIN(F$3-$O$2,$Q$2)/$Q$2))</f>
        <v>7270.15625</v>
      </c>
      <c r="G53" s="15" t="n">
        <f aca="false">F53*(1+IF(G$3&lt;=$O$2,$D53,$D53-($D53-$I$49)*MIN(G$3-$O$2,$Q$2)/$Q$2))</f>
        <v>7724.541015625</v>
      </c>
      <c r="H53" s="15" t="n">
        <f aca="false">G53*(1+IF(H$3&lt;=$O$2,$D53,$D53-($D53-$I$49)*MIN(H$3-$O$2,$Q$2)/$Q$2))</f>
        <v>8207.32482910156</v>
      </c>
      <c r="I53" s="15" t="n">
        <f aca="false">H53*(1+IF(I$3&lt;=$O$2,$D53,$D53-($D53-$I$49)*MIN(I$3-$O$2,$Q$2)/$Q$2))</f>
        <v>8720.28263092041</v>
      </c>
      <c r="J53" s="15" t="n">
        <f aca="false">I53*(1+IF(J$3&lt;=$O$2,$D53,$D53-($D53-$I$49)*MIN(J$3-$O$2,$Q$2)/$Q$2))</f>
        <v>9188.2129968956</v>
      </c>
      <c r="K53" s="15" t="n">
        <f aca="false">J53*(1+IF(K$3&lt;=$O$2,$D53,$D53-($D53-$I$49)*MIN(K$3-$O$2,$Q$2)/$Q$2))</f>
        <v>9600.02870341646</v>
      </c>
      <c r="L53" s="15" t="n">
        <f aca="false">K53*(1+IF(L$3&lt;=$O$2,$D53,$D53-($D53-$I$49)*MIN(L$3-$O$2,$Q$2)/$Q$2))</f>
        <v>9945.43773616538</v>
      </c>
      <c r="M53" s="15" t="n">
        <f aca="false">L53*(1+IF(M$3&lt;=$O$2,$D53,$D53-($D53-$I$49)*MIN(M$3-$O$2,$Q$2)/$Q$2))</f>
        <v>10215.3569163249</v>
      </c>
      <c r="N53" s="15" t="n">
        <f aca="false">M53*(1+IF(N$3&lt;=$O$2,$D53,$D53-($D53-$I$49)*MIN(N$3-$O$2,$Q$2)/$Q$2))</f>
        <v>10402.2979478937</v>
      </c>
      <c r="O53" s="15" t="n">
        <f aca="false">SUMPRODUCT(E53:N53,1/(1+$F$49)^$E$3:$N$3)*$E$2</f>
        <v>11209.6721167749</v>
      </c>
      <c r="P53" s="15" t="n">
        <f aca="false">N53*$E$2*(1+$I$49)/($F$49-$I$49)/(1+$F$49)^$N$3</f>
        <v>14066.2269914682</v>
      </c>
      <c r="Q53" s="15" t="n">
        <f aca="false">O53+P53</f>
        <v>25275.8991082431</v>
      </c>
      <c r="R53" s="15" t="n">
        <f aca="false">Q53-$G$2+$I$2</f>
        <v>19975.9991082431</v>
      </c>
      <c r="S53" s="42" t="n">
        <f aca="false">R53/$K$2</f>
        <v>170.037445592808</v>
      </c>
      <c r="T53" s="43" t="n">
        <f aca="false">S53-$M$2</f>
        <v>22.8634585311804</v>
      </c>
    </row>
    <row r="54" customFormat="false" ht="15" hidden="false" customHeight="false" outlineLevel="0" collapsed="false">
      <c r="A54" s="5" t="n">
        <v>4</v>
      </c>
      <c r="B54" s="25" t="n">
        <f aca="false">IF(T53&gt;0,B53,D53)</f>
        <v>-0.125</v>
      </c>
      <c r="C54" s="25" t="n">
        <f aca="false">IF(T53&gt;0,D53,C53)</f>
        <v>0.0625</v>
      </c>
      <c r="D54" s="41" t="n">
        <f aca="false">(B54+C54)/2</f>
        <v>-0.03125</v>
      </c>
      <c r="E54" s="15" t="n">
        <f aca="false">$C$2*(1+IF(E$3&lt;=$O$2,$D54,$D54-($D54-$I$49)*MIN(E$3-$O$2,$Q$2)/$Q$2))</f>
        <v>6238.75</v>
      </c>
      <c r="F54" s="15" t="n">
        <f aca="false">E54*(1+IF(F$3&lt;=$O$2,$D54,$D54-($D54-$I$49)*MIN(F$3-$O$2,$Q$2)/$Q$2))</f>
        <v>6043.7890625</v>
      </c>
      <c r="G54" s="15" t="n">
        <f aca="false">F54*(1+IF(G$3&lt;=$O$2,$D54,$D54-($D54-$I$49)*MIN(G$3-$O$2,$Q$2)/$Q$2))</f>
        <v>5854.92065429688</v>
      </c>
      <c r="H54" s="15" t="n">
        <f aca="false">G54*(1+IF(H$3&lt;=$O$2,$D54,$D54-($D54-$I$49)*MIN(H$3-$O$2,$Q$2)/$Q$2))</f>
        <v>5671.9543838501</v>
      </c>
      <c r="I54" s="15" t="n">
        <f aca="false">H54*(1+IF(I$3&lt;=$O$2,$D54,$D54-($D54-$I$49)*MIN(I$3-$O$2,$Q$2)/$Q$2))</f>
        <v>5494.70580935478</v>
      </c>
      <c r="J54" s="15" t="n">
        <f aca="false">I54*(1+IF(J$3&lt;=$O$2,$D54,$D54-($D54-$I$49)*MIN(J$3-$O$2,$Q$2)/$Q$2))</f>
        <v>5377.44878738315</v>
      </c>
      <c r="K54" s="15" t="n">
        <f aca="false">J54*(1+IF(K$3&lt;=$O$2,$D54,$D54-($D54-$I$49)*MIN(K$3-$O$2,$Q$2)/$Q$2))</f>
        <v>5315.98454774336</v>
      </c>
      <c r="L54" s="15" t="n">
        <f aca="false">K54*(1+IF(L$3&lt;=$O$2,$D54,$D54-($D54-$I$49)*MIN(L$3-$O$2,$Q$2)/$Q$2))</f>
        <v>5307.90425123079</v>
      </c>
      <c r="M54" s="15" t="n">
        <f aca="false">L54*(1+IF(M$3&lt;=$O$2,$D54,$D54-($D54-$I$49)*MIN(M$3-$O$2,$Q$2)/$Q$2))</f>
        <v>5352.43756789862</v>
      </c>
      <c r="N54" s="15" t="n">
        <f aca="false">M54*(1+IF(N$3&lt;=$O$2,$D54,$D54-($D54-$I$49)*MIN(N$3-$O$2,$Q$2)/$Q$2))</f>
        <v>5450.38717539116</v>
      </c>
      <c r="O54" s="15" t="n">
        <f aca="false">SUMPRODUCT(E54:N54,1/(1+$F$49)^$E$3:$N$3)*$E$2</f>
        <v>7459.38988856761</v>
      </c>
      <c r="P54" s="15" t="n">
        <f aca="false">N54*$E$2*(1+$I$49)/($F$49-$I$49)/(1+$F$49)^$N$3</f>
        <v>7370.13913507096</v>
      </c>
      <c r="Q54" s="15" t="n">
        <f aca="false">O54+P54</f>
        <v>14829.5290236386</v>
      </c>
      <c r="R54" s="15" t="n">
        <f aca="false">Q54-$G$2+$I$2</f>
        <v>9529.62902363856</v>
      </c>
      <c r="S54" s="42" t="n">
        <f aca="false">R54/$K$2</f>
        <v>81.1170328876282</v>
      </c>
      <c r="T54" s="43" t="n">
        <f aca="false">S54-$M$2</f>
        <v>-66.0569541739993</v>
      </c>
    </row>
    <row r="55" customFormat="false" ht="15" hidden="false" customHeight="false" outlineLevel="0" collapsed="false">
      <c r="A55" s="5" t="n">
        <v>5</v>
      </c>
      <c r="B55" s="25" t="n">
        <f aca="false">IF(T54&gt;0,B54,D54)</f>
        <v>-0.03125</v>
      </c>
      <c r="C55" s="25" t="n">
        <f aca="false">IF(T54&gt;0,D54,C54)</f>
        <v>0.0625</v>
      </c>
      <c r="D55" s="41" t="n">
        <f aca="false">(B55+C55)/2</f>
        <v>0.015625</v>
      </c>
      <c r="E55" s="15" t="n">
        <f aca="false">$C$2*(1+IF(E$3&lt;=$O$2,$D55,$D55-($D55-$I$49)*MIN(E$3-$O$2,$Q$2)/$Q$2))</f>
        <v>6540.625</v>
      </c>
      <c r="F55" s="15" t="n">
        <f aca="false">E55*(1+IF(F$3&lt;=$O$2,$D55,$D55-($D55-$I$49)*MIN(F$3-$O$2,$Q$2)/$Q$2))</f>
        <v>6642.822265625</v>
      </c>
      <c r="G55" s="15" t="n">
        <f aca="false">F55*(1+IF(G$3&lt;=$O$2,$D55,$D55-($D55-$I$49)*MIN(G$3-$O$2,$Q$2)/$Q$2))</f>
        <v>6746.61636352539</v>
      </c>
      <c r="H55" s="15" t="n">
        <f aca="false">G55*(1+IF(H$3&lt;=$O$2,$D55,$D55-($D55-$I$49)*MIN(H$3-$O$2,$Q$2)/$Q$2))</f>
        <v>6852.03224420548</v>
      </c>
      <c r="I55" s="15" t="n">
        <f aca="false">H55*(1+IF(I$3&lt;=$O$2,$D55,$D55-($D55-$I$49)*MIN(I$3-$O$2,$Q$2)/$Q$2))</f>
        <v>6959.09524802119</v>
      </c>
      <c r="J55" s="15" t="n">
        <f aca="false">I55*(1+IF(J$3&lt;=$O$2,$D55,$D55-($D55-$I$49)*MIN(J$3-$O$2,$Q$2)/$Q$2))</f>
        <v>7071.55422722921</v>
      </c>
      <c r="K55" s="15" t="n">
        <f aca="false">J55*(1+IF(K$3&lt;=$O$2,$D55,$D55-($D55-$I$49)*MIN(K$3-$O$2,$Q$2)/$Q$2))</f>
        <v>7189.6138250528</v>
      </c>
      <c r="L55" s="15" t="n">
        <f aca="false">K55*(1+IF(L$3&lt;=$O$2,$D55,$D55-($D55-$I$49)*MIN(L$3-$O$2,$Q$2)/$Q$2))</f>
        <v>7313.49087125846</v>
      </c>
      <c r="M55" s="15" t="n">
        <f aca="false">L55*(1+IF(M$3&lt;=$O$2,$D55,$D55-($D55-$I$49)*MIN(M$3-$O$2,$Q$2)/$Q$2))</f>
        <v>7443.41503658637</v>
      </c>
      <c r="N55" s="15" t="n">
        <f aca="false">M55*(1+IF(N$3&lt;=$O$2,$D55,$D55-($D55-$I$49)*MIN(N$3-$O$2,$Q$2)/$Q$2))</f>
        <v>7579.6295317559</v>
      </c>
      <c r="O55" s="15" t="n">
        <f aca="false">SUMPRODUCT(E55:N55,1/(1+$F$49)^$E$3:$N$3)*$E$2</f>
        <v>9140.59599425335</v>
      </c>
      <c r="P55" s="15" t="n">
        <f aca="false">N55*$E$2*(1+$I$49)/($F$49-$I$49)/(1+$F$49)^$N$3</f>
        <v>10249.3497147429</v>
      </c>
      <c r="Q55" s="15" t="n">
        <f aca="false">O55+P55</f>
        <v>19389.9457089962</v>
      </c>
      <c r="R55" s="15" t="n">
        <f aca="false">Q55-$G$2+$I$2</f>
        <v>14090.0457089962</v>
      </c>
      <c r="S55" s="42" t="n">
        <f aca="false">R55/$K$2</f>
        <v>119.935697216515</v>
      </c>
      <c r="T55" s="43" t="n">
        <f aca="false">S55-$M$2</f>
        <v>-27.2382898451121</v>
      </c>
    </row>
    <row r="56" customFormat="false" ht="15" hidden="false" customHeight="false" outlineLevel="0" collapsed="false">
      <c r="A56" s="5" t="n">
        <v>6</v>
      </c>
      <c r="B56" s="25" t="n">
        <f aca="false">IF(T55&gt;0,B55,D55)</f>
        <v>0.015625</v>
      </c>
      <c r="C56" s="25" t="n">
        <f aca="false">IF(T55&gt;0,D55,C55)</f>
        <v>0.0625</v>
      </c>
      <c r="D56" s="41" t="n">
        <f aca="false">(B56+C56)/2</f>
        <v>0.0390625</v>
      </c>
      <c r="E56" s="15" t="n">
        <f aca="false">$C$2*(1+IF(E$3&lt;=$O$2,$D56,$D56-($D56-$I$49)*MIN(E$3-$O$2,$Q$2)/$Q$2))</f>
        <v>6691.5625</v>
      </c>
      <c r="F56" s="15" t="n">
        <f aca="false">E56*(1+IF(F$3&lt;=$O$2,$D56,$D56-($D56-$I$49)*MIN(F$3-$O$2,$Q$2)/$Q$2))</f>
        <v>6952.95166015625</v>
      </c>
      <c r="G56" s="15" t="n">
        <f aca="false">F56*(1+IF(G$3&lt;=$O$2,$D56,$D56-($D56-$I$49)*MIN(G$3-$O$2,$Q$2)/$Q$2))</f>
        <v>7224.5513343811</v>
      </c>
      <c r="H56" s="15" t="n">
        <f aca="false">G56*(1+IF(H$3&lt;=$O$2,$D56,$D56-($D56-$I$49)*MIN(H$3-$O$2,$Q$2)/$Q$2))</f>
        <v>7506.76037088037</v>
      </c>
      <c r="I56" s="15" t="n">
        <f aca="false">H56*(1+IF(I$3&lt;=$O$2,$D56,$D56-($D56-$I$49)*MIN(I$3-$O$2,$Q$2)/$Q$2))</f>
        <v>7799.99319786788</v>
      </c>
      <c r="J56" s="15" t="n">
        <f aca="false">I56*(1+IF(J$3&lt;=$O$2,$D56,$D56-($D56-$I$49)*MIN(J$3-$O$2,$Q$2)/$Q$2))</f>
        <v>8072.29096040545</v>
      </c>
      <c r="K56" s="15" t="n">
        <f aca="false">J56*(1+IF(K$3&lt;=$O$2,$D56,$D56-($D56-$I$49)*MIN(K$3-$O$2,$Q$2)/$Q$2))</f>
        <v>8320.57444962012</v>
      </c>
      <c r="L56" s="15" t="n">
        <f aca="false">K56*(1+IF(L$3&lt;=$O$2,$D56,$D56-($D56-$I$49)*MIN(L$3-$O$2,$Q$2)/$Q$2))</f>
        <v>8541.94333285226</v>
      </c>
      <c r="M56" s="15" t="n">
        <f aca="false">L56*(1+IF(M$3&lt;=$O$2,$D56,$D56-($D56-$I$49)*MIN(M$3-$O$2,$Q$2)/$Q$2))</f>
        <v>8733.73131553313</v>
      </c>
      <c r="N56" s="15" t="n">
        <f aca="false">M56*(1+IF(N$3&lt;=$O$2,$D56,$D56-($D56-$I$49)*MIN(N$3-$O$2,$Q$2)/$Q$2))</f>
        <v>8893.55859860738</v>
      </c>
      <c r="O56" s="15" t="n">
        <f aca="false">SUMPRODUCT(E56:N56,1/(1+$F$49)^$E$3:$N$3)*$E$2</f>
        <v>10121.8005256719</v>
      </c>
      <c r="P56" s="15" t="n">
        <f aca="false">N56*$E$2*(1+$I$49)/($F$49-$I$49)/(1+$F$49)^$N$3</f>
        <v>12026.0748765869</v>
      </c>
      <c r="Q56" s="15" t="n">
        <f aca="false">O56+P56</f>
        <v>22147.8754022588</v>
      </c>
      <c r="R56" s="15" t="n">
        <f aca="false">Q56-$G$2+$I$2</f>
        <v>16847.9754022588</v>
      </c>
      <c r="S56" s="42" t="n">
        <f aca="false">R56/$K$2</f>
        <v>143.411435157123</v>
      </c>
      <c r="T56" s="43" t="n">
        <f aca="false">S56-$M$2</f>
        <v>-3.76255190450451</v>
      </c>
    </row>
    <row r="57" customFormat="false" ht="15" hidden="false" customHeight="false" outlineLevel="0" collapsed="false">
      <c r="A57" s="5" t="n">
        <v>7</v>
      </c>
      <c r="B57" s="25" t="n">
        <f aca="false">IF(T56&gt;0,B56,D56)</f>
        <v>0.0390625</v>
      </c>
      <c r="C57" s="25" t="n">
        <f aca="false">IF(T56&gt;0,D56,C56)</f>
        <v>0.0625</v>
      </c>
      <c r="D57" s="41" t="n">
        <f aca="false">(B57+C57)/2</f>
        <v>0.05078125</v>
      </c>
      <c r="E57" s="15" t="n">
        <f aca="false">$C$2*(1+IF(E$3&lt;=$O$2,$D57,$D57-($D57-$I$49)*MIN(E$3-$O$2,$Q$2)/$Q$2))</f>
        <v>6767.03125</v>
      </c>
      <c r="F57" s="15" t="n">
        <f aca="false">E57*(1+IF(F$3&lt;=$O$2,$D57,$D57-($D57-$I$49)*MIN(F$3-$O$2,$Q$2)/$Q$2))</f>
        <v>7110.66955566406</v>
      </c>
      <c r="G57" s="15" t="n">
        <f aca="false">F57*(1+IF(G$3&lt;=$O$2,$D57,$D57-($D57-$I$49)*MIN(G$3-$O$2,$Q$2)/$Q$2))</f>
        <v>7471.75824403763</v>
      </c>
      <c r="H57" s="15" t="n">
        <f aca="false">G57*(1+IF(H$3&lt;=$O$2,$D57,$D57-($D57-$I$49)*MIN(H$3-$O$2,$Q$2)/$Q$2))</f>
        <v>7851.18346736766</v>
      </c>
      <c r="I57" s="15" t="n">
        <f aca="false">H57*(1+IF(I$3&lt;=$O$2,$D57,$D57-($D57-$I$49)*MIN(I$3-$O$2,$Q$2)/$Q$2))</f>
        <v>8249.87637781993</v>
      </c>
      <c r="J57" s="15" t="n">
        <f aca="false">I57*(1+IF(J$3&lt;=$O$2,$D57,$D57-($D57-$I$49)*MIN(J$3-$O$2,$Q$2)/$Q$2))</f>
        <v>8615.22215321168</v>
      </c>
      <c r="K57" s="15" t="n">
        <f aca="false">J57*(1+IF(K$3&lt;=$O$2,$D57,$D57-($D57-$I$49)*MIN(K$3-$O$2,$Q$2)/$Q$2))</f>
        <v>8940.78062935386</v>
      </c>
      <c r="L57" s="15" t="n">
        <f aca="false">K57*(1+IF(L$3&lt;=$O$2,$D57,$D57-($D57-$I$49)*MIN(L$3-$O$2,$Q$2)/$Q$2))</f>
        <v>9220.56000719792</v>
      </c>
      <c r="M57" s="15" t="n">
        <f aca="false">L57*(1+IF(M$3&lt;=$O$2,$D57,$D57-($D57-$I$49)*MIN(M$3-$O$2,$Q$2)/$Q$2))</f>
        <v>9449.1953182764</v>
      </c>
      <c r="N57" s="15" t="n">
        <f aca="false">M57*(1+IF(N$3&lt;=$O$2,$D57,$D57-($D57-$I$49)*MIN(N$3-$O$2,$Q$2)/$Q$2))</f>
        <v>9622.11559260086</v>
      </c>
      <c r="O57" s="15" t="n">
        <f aca="false">SUMPRODUCT(E57:N57,1/(1+$F$49)^$E$3:$N$3)*$E$2</f>
        <v>10651.7507194224</v>
      </c>
      <c r="P57" s="15" t="n">
        <f aca="false">N57*$E$2*(1+$I$49)/($F$49-$I$49)/(1+$F$49)^$N$3</f>
        <v>13011.2464324362</v>
      </c>
      <c r="Q57" s="15" t="n">
        <f aca="false">O57+P57</f>
        <v>23662.9971518586</v>
      </c>
      <c r="R57" s="15" t="n">
        <f aca="false">Q57-$G$2+$I$2</f>
        <v>18363.0971518586</v>
      </c>
      <c r="S57" s="42" t="n">
        <f aca="false">R57/$K$2</f>
        <v>156.308283553444</v>
      </c>
      <c r="T57" s="43" t="n">
        <f aca="false">S57-$M$2</f>
        <v>9.13429649181643</v>
      </c>
    </row>
    <row r="58" customFormat="false" ht="15" hidden="false" customHeight="false" outlineLevel="0" collapsed="false">
      <c r="A58" s="5" t="n">
        <v>8</v>
      </c>
      <c r="B58" s="25" t="n">
        <f aca="false">IF(T57&gt;0,B57,D57)</f>
        <v>0.0390625</v>
      </c>
      <c r="C58" s="25" t="n">
        <f aca="false">IF(T57&gt;0,D57,C57)</f>
        <v>0.05078125</v>
      </c>
      <c r="D58" s="41" t="n">
        <f aca="false">(B58+C58)/2</f>
        <v>0.044921875</v>
      </c>
      <c r="E58" s="15" t="n">
        <f aca="false">$C$2*(1+IF(E$3&lt;=$O$2,$D58,$D58-($D58-$I$49)*MIN(E$3-$O$2,$Q$2)/$Q$2))</f>
        <v>6729.296875</v>
      </c>
      <c r="F58" s="15" t="n">
        <f aca="false">E58*(1+IF(F$3&lt;=$O$2,$D58,$D58-($D58-$I$49)*MIN(F$3-$O$2,$Q$2)/$Q$2))</f>
        <v>7031.58950805664</v>
      </c>
      <c r="G58" s="15" t="n">
        <f aca="false">F58*(1+IF(G$3&lt;=$O$2,$D58,$D58-($D58-$I$49)*MIN(G$3-$O$2,$Q$2)/$Q$2))</f>
        <v>7347.46169298887</v>
      </c>
      <c r="H58" s="15" t="n">
        <f aca="false">G58*(1+IF(H$3&lt;=$O$2,$D58,$D58-($D58-$I$49)*MIN(H$3-$O$2,$Q$2)/$Q$2))</f>
        <v>7677.52344872861</v>
      </c>
      <c r="I58" s="15" t="n">
        <f aca="false">H58*(1+IF(I$3&lt;=$O$2,$D58,$D58-($D58-$I$49)*MIN(I$3-$O$2,$Q$2)/$Q$2))</f>
        <v>8022.41219740196</v>
      </c>
      <c r="J58" s="15" t="n">
        <f aca="false">I58*(1+IF(J$3&lt;=$O$2,$D58,$D58-($D58-$I$49)*MIN(J$3-$O$2,$Q$2)/$Q$2))</f>
        <v>8340.07966438859</v>
      </c>
      <c r="K58" s="15" t="n">
        <f aca="false">J58*(1+IF(K$3&lt;=$O$2,$D58,$D58-($D58-$I$49)*MIN(K$3-$O$2,$Q$2)/$Q$2))</f>
        <v>8625.92025723613</v>
      </c>
      <c r="L58" s="15" t="n">
        <f aca="false">K58*(1+IF(L$3&lt;=$O$2,$D58,$D58-($D58-$I$49)*MIN(L$3-$O$2,$Q$2)/$Q$2))</f>
        <v>8875.6298662828</v>
      </c>
      <c r="M58" s="15" t="n">
        <f aca="false">L58*(1+IF(M$3&lt;=$O$2,$D58,$D58-($D58-$I$49)*MIN(M$3-$O$2,$Q$2)/$Q$2))</f>
        <v>9085.31107460506</v>
      </c>
      <c r="N58" s="15" t="n">
        <f aca="false">M58*(1+IF(N$3&lt;=$O$2,$D58,$D58-($D58-$I$49)*MIN(N$3-$O$2,$Q$2)/$Q$2))</f>
        <v>9251.57226727034</v>
      </c>
      <c r="O58" s="15" t="n">
        <f aca="false">SUMPRODUCT(E58:N58,1/(1+$F$49)^$E$3:$N$3)*$E$2</f>
        <v>10383.3628971951</v>
      </c>
      <c r="P58" s="15" t="n">
        <f aca="false">N58*$E$2*(1+$I$49)/($F$49-$I$49)/(1+$F$49)^$N$3</f>
        <v>12510.1892092744</v>
      </c>
      <c r="Q58" s="15" t="n">
        <f aca="false">O58+P58</f>
        <v>22893.5521064695</v>
      </c>
      <c r="R58" s="15" t="n">
        <f aca="false">Q58-$G$2+$I$2</f>
        <v>17593.6521064695</v>
      </c>
      <c r="S58" s="42" t="n">
        <f aca="false">R58/$K$2</f>
        <v>149.758700259359</v>
      </c>
      <c r="T58" s="43" t="n">
        <f aca="false">S58-$M$2</f>
        <v>2.5847131977315</v>
      </c>
    </row>
    <row r="59" customFormat="false" ht="15" hidden="false" customHeight="false" outlineLevel="0" collapsed="false">
      <c r="A59" s="5" t="n">
        <v>9</v>
      </c>
      <c r="B59" s="25" t="n">
        <f aca="false">IF(T58&gt;0,B58,D58)</f>
        <v>0.0390625</v>
      </c>
      <c r="C59" s="25" t="n">
        <f aca="false">IF(T58&gt;0,D58,C58)</f>
        <v>0.044921875</v>
      </c>
      <c r="D59" s="41" t="n">
        <f aca="false">(B59+C59)/2</f>
        <v>0.0419921875</v>
      </c>
      <c r="E59" s="15" t="n">
        <f aca="false">$C$2*(1+IF(E$3&lt;=$O$2,$D59,$D59-($D59-$I$49)*MIN(E$3-$O$2,$Q$2)/$Q$2))</f>
        <v>6710.4296875</v>
      </c>
      <c r="F59" s="15" t="n">
        <f aca="false">E59*(1+IF(F$3&lt;=$O$2,$D59,$D59-($D59-$I$49)*MIN(F$3-$O$2,$Q$2)/$Q$2))</f>
        <v>6992.21530914307</v>
      </c>
      <c r="G59" s="15" t="n">
        <f aca="false">F59*(1+IF(G$3&lt;=$O$2,$D59,$D59-($D59-$I$49)*MIN(G$3-$O$2,$Q$2)/$Q$2))</f>
        <v>7285.83372544497</v>
      </c>
      <c r="H59" s="15" t="n">
        <f aca="false">G59*(1+IF(H$3&lt;=$O$2,$D59,$D59-($D59-$I$49)*MIN(H$3-$O$2,$Q$2)/$Q$2))</f>
        <v>7591.78182133768</v>
      </c>
      <c r="I59" s="15" t="n">
        <f aca="false">H59*(1+IF(I$3&lt;=$O$2,$D59,$D59-($D59-$I$49)*MIN(I$3-$O$2,$Q$2)/$Q$2))</f>
        <v>7910.57734703839</v>
      </c>
      <c r="J59" s="15" t="n">
        <f aca="false">I59*(1+IF(J$3&lt;=$O$2,$D59,$D59-($D59-$I$49)*MIN(J$3-$O$2,$Q$2)/$Q$2))</f>
        <v>8205.27601788062</v>
      </c>
      <c r="K59" s="15" t="n">
        <f aca="false">J59*(1+IF(K$3&lt;=$O$2,$D59,$D59-($D59-$I$49)*MIN(K$3-$O$2,$Q$2)/$Q$2))</f>
        <v>8472.07313175076</v>
      </c>
      <c r="L59" s="15" t="n">
        <f aca="false">K59*(1+IF(L$3&lt;=$O$2,$D59,$D59-($D59-$I$49)*MIN(L$3-$O$2,$Q$2)/$Q$2))</f>
        <v>8707.40084812226</v>
      </c>
      <c r="M59" s="15" t="n">
        <f aca="false">L59*(1+IF(M$3&lt;=$O$2,$D59,$D59-($D59-$I$49)*MIN(M$3-$O$2,$Q$2)/$Q$2))</f>
        <v>8908.00575834917</v>
      </c>
      <c r="N59" s="15" t="n">
        <f aca="false">M59*(1+IF(N$3&lt;=$O$2,$D59,$D59-($D59-$I$49)*MIN(N$3-$O$2,$Q$2)/$Q$2))</f>
        <v>9071.02226372696</v>
      </c>
      <c r="O59" s="15" t="n">
        <f aca="false">SUMPRODUCT(E59:N59,1/(1+$F$49)^$E$3:$N$3)*$E$2</f>
        <v>10251.738798625</v>
      </c>
      <c r="P59" s="15" t="n">
        <f aca="false">N59*$E$2*(1+$I$49)/($F$49-$I$49)/(1+$F$49)^$N$3</f>
        <v>12266.0453339622</v>
      </c>
      <c r="Q59" s="15" t="n">
        <f aca="false">O59+P59</f>
        <v>22517.7841325872</v>
      </c>
      <c r="R59" s="15" t="n">
        <f aca="false">Q59-$G$2+$I$2</f>
        <v>17217.8841325872</v>
      </c>
      <c r="S59" s="42" t="n">
        <f aca="false">R59/$K$2</f>
        <v>146.560130512319</v>
      </c>
      <c r="T59" s="43" t="n">
        <f aca="false">S59-$M$2</f>
        <v>-0.61385654930902</v>
      </c>
    </row>
    <row r="60" customFormat="false" ht="15" hidden="false" customHeight="false" outlineLevel="0" collapsed="false">
      <c r="A60" s="5" t="n">
        <v>10</v>
      </c>
      <c r="B60" s="25" t="n">
        <f aca="false">IF(T59&gt;0,B59,D59)</f>
        <v>0.0419921875</v>
      </c>
      <c r="C60" s="25" t="n">
        <f aca="false">IF(T59&gt;0,D59,C59)</f>
        <v>0.044921875</v>
      </c>
      <c r="D60" s="41" t="n">
        <f aca="false">(B60+C60)/2</f>
        <v>0.04345703125</v>
      </c>
      <c r="E60" s="15" t="n">
        <f aca="false">$C$2*(1+IF(E$3&lt;=$O$2,$D60,$D60-($D60-$I$49)*MIN(E$3-$O$2,$Q$2)/$Q$2))</f>
        <v>6719.86328125</v>
      </c>
      <c r="F60" s="15" t="n">
        <f aca="false">E60*(1+IF(F$3&lt;=$O$2,$D60,$D60-($D60-$I$49)*MIN(F$3-$O$2,$Q$2)/$Q$2))</f>
        <v>7011.88858985901</v>
      </c>
      <c r="G60" s="15" t="n">
        <f aca="false">F60*(1+IF(G$3&lt;=$O$2,$D60,$D60-($D60-$I$49)*MIN(G$3-$O$2,$Q$2)/$Q$2))</f>
        <v>7316.60445143003</v>
      </c>
      <c r="H60" s="15" t="n">
        <f aca="false">G60*(1+IF(H$3&lt;=$O$2,$D60,$D60-($D60-$I$49)*MIN(H$3-$O$2,$Q$2)/$Q$2))</f>
        <v>7634.56235971971</v>
      </c>
      <c r="I60" s="15" t="n">
        <f aca="false">H60*(1+IF(I$3&lt;=$O$2,$D60,$D60-($D60-$I$49)*MIN(I$3-$O$2,$Q$2)/$Q$2))</f>
        <v>7966.33777476613</v>
      </c>
      <c r="J60" s="15" t="n">
        <f aca="false">I60*(1+IF(J$3&lt;=$O$2,$D60,$D60-($D60-$I$49)*MIN(J$3-$O$2,$Q$2)/$Q$2))</f>
        <v>8272.44928272262</v>
      </c>
      <c r="K60" s="15" t="n">
        <f aca="false">J60*(1+IF(K$3&lt;=$O$2,$D60,$D60-($D60-$I$49)*MIN(K$3-$O$2,$Q$2)/$Q$2))</f>
        <v>8548.70126366815</v>
      </c>
      <c r="L60" s="15" t="n">
        <f aca="false">K60*(1+IF(L$3&lt;=$O$2,$D60,$D60-($D60-$I$49)*MIN(L$3-$O$2,$Q$2)/$Q$2))</f>
        <v>8791.16647472808</v>
      </c>
      <c r="M60" s="15" t="n">
        <f aca="false">L60*(1+IF(M$3&lt;=$O$2,$D60,$D60-($D60-$I$49)*MIN(M$3-$O$2,$Q$2)/$Q$2))</f>
        <v>8996.27675116134</v>
      </c>
      <c r="N60" s="15" t="n">
        <f aca="false">M60*(1+IF(N$3&lt;=$O$2,$D60,$D60-($D60-$I$49)*MIN(N$3-$O$2,$Q$2)/$Q$2))</f>
        <v>9160.90861570759</v>
      </c>
      <c r="O60" s="15" t="n">
        <f aca="false">SUMPRODUCT(E60:N60,1/(1+$F$49)^$E$3:$N$3)*$E$2</f>
        <v>10317.3388445665</v>
      </c>
      <c r="P60" s="15" t="n">
        <f aca="false">N60*$E$2*(1+$I$49)/($F$49-$I$49)/(1+$F$49)^$N$3</f>
        <v>12387.5917304149</v>
      </c>
      <c r="Q60" s="15" t="n">
        <f aca="false">O60+P60</f>
        <v>22704.9305749814</v>
      </c>
      <c r="R60" s="15" t="n">
        <f aca="false">Q60-$G$2+$I$2</f>
        <v>17405.0305749814</v>
      </c>
      <c r="S60" s="42" t="n">
        <f aca="false">R60/$K$2</f>
        <v>148.153137342368</v>
      </c>
      <c r="T60" s="43" t="n">
        <f aca="false">S60-$M$2</f>
        <v>0.979150280740868</v>
      </c>
    </row>
    <row r="61" customFormat="false" ht="15" hidden="false" customHeight="false" outlineLevel="0" collapsed="false">
      <c r="A61" s="5" t="n">
        <v>11</v>
      </c>
      <c r="B61" s="25" t="n">
        <f aca="false">IF(T60&gt;0,B60,D60)</f>
        <v>0.0419921875</v>
      </c>
      <c r="C61" s="25" t="n">
        <f aca="false">IF(T60&gt;0,D60,C60)</f>
        <v>0.04345703125</v>
      </c>
      <c r="D61" s="41" t="n">
        <f aca="false">(B61+C61)/2</f>
        <v>0.042724609375</v>
      </c>
      <c r="E61" s="15" t="n">
        <f aca="false">$C$2*(1+IF(E$3&lt;=$O$2,$D61,$D61-($D61-$I$49)*MIN(E$3-$O$2,$Q$2)/$Q$2))</f>
        <v>6715.146484375</v>
      </c>
      <c r="F61" s="15" t="n">
        <f aca="false">E61*(1+IF(F$3&lt;=$O$2,$D61,$D61-($D61-$I$49)*MIN(F$3-$O$2,$Q$2)/$Q$2))</f>
        <v>7002.04849481583</v>
      </c>
      <c r="G61" s="15" t="n">
        <f aca="false">F61*(1+IF(G$3&lt;=$O$2,$D61,$D61-($D61-$I$49)*MIN(G$3-$O$2,$Q$2)/$Q$2))</f>
        <v>7301.20828158164</v>
      </c>
      <c r="H61" s="15" t="n">
        <f aca="false">G61*(1+IF(H$3&lt;=$O$2,$D61,$D61-($D61-$I$49)*MIN(H$3-$O$2,$Q$2)/$Q$2))</f>
        <v>7613.14955337773</v>
      </c>
      <c r="I61" s="15" t="n">
        <f aca="false">H61*(1+IF(I$3&lt;=$O$2,$D61,$D61-($D61-$I$49)*MIN(I$3-$O$2,$Q$2)/$Q$2))</f>
        <v>7938.41839415925</v>
      </c>
      <c r="J61" s="15" t="n">
        <f aca="false">I61*(1+IF(J$3&lt;=$O$2,$D61,$D61-($D61-$I$49)*MIN(J$3-$O$2,$Q$2)/$Q$2))</f>
        <v>8238.80566543849</v>
      </c>
      <c r="K61" s="15" t="n">
        <f aca="false">J61*(1+IF(K$3&lt;=$O$2,$D61,$D61-($D61-$I$49)*MIN(K$3-$O$2,$Q$2)/$Q$2))</f>
        <v>8510.31357517294</v>
      </c>
      <c r="L61" s="15" t="n">
        <f aca="false">K61*(1+IF(L$3&lt;=$O$2,$D61,$D61-($D61-$I$49)*MIN(L$3-$O$2,$Q$2)/$Q$2))</f>
        <v>8749.19674749154</v>
      </c>
      <c r="M61" s="15" t="n">
        <f aca="false">L61*(1+IF(M$3&lt;=$O$2,$D61,$D61-($D61-$I$49)*MIN(M$3-$O$2,$Q$2)/$Q$2))</f>
        <v>8952.04619055114</v>
      </c>
      <c r="N61" s="15" t="n">
        <f aca="false">M61*(1+IF(N$3&lt;=$O$2,$D61,$D61-($D61-$I$49)*MIN(N$3-$O$2,$Q$2)/$Q$2))</f>
        <v>9115.86863583822</v>
      </c>
      <c r="O61" s="15" t="n">
        <f aca="false">SUMPRODUCT(E61:N61,1/(1+$F$49)^$E$3:$N$3)*$E$2</f>
        <v>10284.4859806766</v>
      </c>
      <c r="P61" s="15" t="n">
        <f aca="false">N61*$E$2*(1+$I$49)/($F$49-$I$49)/(1+$F$49)^$N$3</f>
        <v>12326.6876317526</v>
      </c>
      <c r="Q61" s="15" t="n">
        <f aca="false">O61+P61</f>
        <v>22611.1736124292</v>
      </c>
      <c r="R61" s="15" t="n">
        <f aca="false">Q61-$G$2+$I$2</f>
        <v>17311.2736124292</v>
      </c>
      <c r="S61" s="42" t="n">
        <f aca="false">R61/$K$2</f>
        <v>147.355069904913</v>
      </c>
      <c r="T61" s="43" t="n">
        <f aca="false">S61-$M$2</f>
        <v>0.181082843285395</v>
      </c>
    </row>
    <row r="62" customFormat="false" ht="15" hidden="false" customHeight="false" outlineLevel="0" collapsed="false">
      <c r="A62" s="5" t="n">
        <v>12</v>
      </c>
      <c r="B62" s="25" t="n">
        <f aca="false">IF(T61&gt;0,B61,D61)</f>
        <v>0.0419921875</v>
      </c>
      <c r="C62" s="25" t="n">
        <f aca="false">IF(T61&gt;0,D61,C61)</f>
        <v>0.042724609375</v>
      </c>
      <c r="D62" s="41" t="n">
        <f aca="false">(B62+C62)/2</f>
        <v>0.0423583984375</v>
      </c>
      <c r="E62" s="15" t="n">
        <f aca="false">$C$2*(1+IF(E$3&lt;=$O$2,$D62,$D62-($D62-$I$49)*MIN(E$3-$O$2,$Q$2)/$Q$2))</f>
        <v>6712.7880859375</v>
      </c>
      <c r="F62" s="15" t="n">
        <f aca="false">E62*(1+IF(F$3&lt;=$O$2,$D62,$D62-($D62-$I$49)*MIN(F$3-$O$2,$Q$2)/$Q$2))</f>
        <v>6997.13103830814</v>
      </c>
      <c r="G62" s="15" t="n">
        <f aca="false">F62*(1+IF(G$3&lt;=$O$2,$D62,$D62-($D62-$I$49)*MIN(G$3-$O$2,$Q$2)/$Q$2))</f>
        <v>7293.5183027482</v>
      </c>
      <c r="H62" s="15" t="n">
        <f aca="false">G62*(1+IF(H$3&lt;=$O$2,$D62,$D62-($D62-$I$49)*MIN(H$3-$O$2,$Q$2)/$Q$2))</f>
        <v>7602.46005702721</v>
      </c>
      <c r="I62" s="15" t="n">
        <f aca="false">H62*(1+IF(I$3&lt;=$O$2,$D62,$D62-($D62-$I$49)*MIN(I$3-$O$2,$Q$2)/$Q$2))</f>
        <v>7924.48808922794</v>
      </c>
      <c r="J62" s="15" t="n">
        <f aca="false">I62*(1+IF(J$3&lt;=$O$2,$D62,$D62-($D62-$I$49)*MIN(J$3-$O$2,$Q$2)/$Q$2))</f>
        <v>8222.02661475191</v>
      </c>
      <c r="K62" s="15" t="n">
        <f aca="false">J62*(1+IF(K$3&lt;=$O$2,$D62,$D62-($D62-$I$49)*MIN(K$3-$O$2,$Q$2)/$Q$2))</f>
        <v>8491.17497715873</v>
      </c>
      <c r="L62" s="15" t="n">
        <f aca="false">K62*(1+IF(L$3&lt;=$O$2,$D62,$D62-($D62-$I$49)*MIN(L$3-$O$2,$Q$2)/$Q$2))</f>
        <v>8728.27710756194</v>
      </c>
      <c r="M62" s="15" t="n">
        <f aca="false">L62*(1+IF(M$3&lt;=$O$2,$D62,$D62-($D62-$I$49)*MIN(M$3-$O$2,$Q$2)/$Q$2))</f>
        <v>8930.00225229565</v>
      </c>
      <c r="N62" s="15" t="n">
        <f aca="false">M62*(1+IF(N$3&lt;=$O$2,$D62,$D62-($D62-$I$49)*MIN(N$3-$O$2,$Q$2)/$Q$2))</f>
        <v>9093.42129351266</v>
      </c>
      <c r="O62" s="15" t="n">
        <f aca="false">SUMPRODUCT(E62:N62,1/(1+$F$49)^$E$3:$N$3)*$E$2</f>
        <v>10268.0991993647</v>
      </c>
      <c r="P62" s="15" t="n">
        <f aca="false">N62*$E$2*(1+$I$49)/($F$49-$I$49)/(1+$F$49)^$N$3</f>
        <v>12296.3338181925</v>
      </c>
      <c r="Q62" s="15" t="n">
        <f aca="false">O62+P62</f>
        <v>22564.4330175572</v>
      </c>
      <c r="R62" s="15" t="n">
        <f aca="false">Q62-$G$2+$I$2</f>
        <v>17264.5330175572</v>
      </c>
      <c r="S62" s="42" t="n">
        <f aca="false">R62/$K$2</f>
        <v>146.957209887276</v>
      </c>
      <c r="T62" s="43" t="n">
        <f aca="false">S62-$M$2</f>
        <v>-0.21677717435162</v>
      </c>
    </row>
    <row r="63" customFormat="false" ht="15" hidden="false" customHeight="false" outlineLevel="0" collapsed="false">
      <c r="A63" s="5" t="n">
        <v>13</v>
      </c>
      <c r="B63" s="25" t="n">
        <f aca="false">IF(T62&gt;0,B62,D62)</f>
        <v>0.0423583984375</v>
      </c>
      <c r="C63" s="25" t="n">
        <f aca="false">IF(T62&gt;0,D62,C62)</f>
        <v>0.042724609375</v>
      </c>
      <c r="D63" s="41" t="n">
        <f aca="false">(B63+C63)/2</f>
        <v>0.04254150390625</v>
      </c>
      <c r="E63" s="15" t="n">
        <f aca="false">$C$2*(1+IF(E$3&lt;=$O$2,$D63,$D63-($D63-$I$49)*MIN(E$3-$O$2,$Q$2)/$Q$2))</f>
        <v>6713.96728515625</v>
      </c>
      <c r="F63" s="15" t="n">
        <f aca="false">E63*(1+IF(F$3&lt;=$O$2,$D63,$D63-($D63-$I$49)*MIN(F$3-$O$2,$Q$2)/$Q$2))</f>
        <v>6999.58955064416</v>
      </c>
      <c r="G63" s="15" t="n">
        <f aca="false">F63*(1+IF(G$3&lt;=$O$2,$D63,$D63-($D63-$I$49)*MIN(G$3-$O$2,$Q$2)/$Q$2))</f>
        <v>7297.36261685503</v>
      </c>
      <c r="H63" s="15" t="n">
        <f aca="false">G63*(1+IF(H$3&lt;=$O$2,$D63,$D63-($D63-$I$49)*MIN(H$3-$O$2,$Q$2)/$Q$2))</f>
        <v>7607.8033971253</v>
      </c>
      <c r="I63" s="15" t="n">
        <f aca="false">H63*(1+IF(I$3&lt;=$O$2,$D63,$D63-($D63-$I$49)*MIN(I$3-$O$2,$Q$2)/$Q$2))</f>
        <v>7931.45079506208</v>
      </c>
      <c r="J63" s="15" t="n">
        <f aca="false">I63*(1+IF(J$3&lt;=$O$2,$D63,$D63-($D63-$I$49)*MIN(J$3-$O$2,$Q$2)/$Q$2))</f>
        <v>8230.4125809563</v>
      </c>
      <c r="K63" s="15" t="n">
        <f aca="false">J63*(1+IF(K$3&lt;=$O$2,$D63,$D63-($D63-$I$49)*MIN(K$3-$O$2,$Q$2)/$Q$2))</f>
        <v>8500.73967842658</v>
      </c>
      <c r="L63" s="15" t="n">
        <f aca="false">K63*(1+IF(L$3&lt;=$O$2,$D63,$D63-($D63-$I$49)*MIN(L$3-$O$2,$Q$2)/$Q$2))</f>
        <v>8738.73150019002</v>
      </c>
      <c r="M63" s="15" t="n">
        <f aca="false">L63*(1+IF(M$3&lt;=$O$2,$D63,$D63-($D63-$I$49)*MIN(M$3-$O$2,$Q$2)/$Q$2))</f>
        <v>8941.01828540301</v>
      </c>
      <c r="N63" s="15" t="n">
        <f aca="false">M63*(1+IF(N$3&lt;=$O$2,$D63,$D63-($D63-$I$49)*MIN(N$3-$O$2,$Q$2)/$Q$2))</f>
        <v>9104.63892002588</v>
      </c>
      <c r="O63" s="15" t="n">
        <f aca="false">SUMPRODUCT(E63:N63,1/(1+$F$49)^$E$3:$N$3)*$E$2</f>
        <v>10276.2892899582</v>
      </c>
      <c r="P63" s="15" t="n">
        <f aca="false">N63*$E$2*(1+$I$49)/($F$49-$I$49)/(1+$F$49)^$N$3</f>
        <v>12311.5025512581</v>
      </c>
      <c r="Q63" s="15" t="n">
        <f aca="false">O63+P63</f>
        <v>22587.7918412163</v>
      </c>
      <c r="R63" s="15" t="n">
        <f aca="false">Q63-$G$2+$I$2</f>
        <v>17287.8918412163</v>
      </c>
      <c r="S63" s="42" t="n">
        <f aca="false">R63/$K$2</f>
        <v>147.156042230306</v>
      </c>
      <c r="T63" s="43" t="n">
        <f aca="false">S63-$M$2</f>
        <v>-0.0179448313218984</v>
      </c>
    </row>
    <row r="64" customFormat="false" ht="15" hidden="false" customHeight="false" outlineLevel="0" collapsed="false">
      <c r="A64" s="5" t="n">
        <v>14</v>
      </c>
      <c r="B64" s="25" t="n">
        <f aca="false">IF(T63&gt;0,B63,D63)</f>
        <v>0.04254150390625</v>
      </c>
      <c r="C64" s="25" t="n">
        <f aca="false">IF(T63&gt;0,D63,C63)</f>
        <v>0.042724609375</v>
      </c>
      <c r="D64" s="41" t="n">
        <f aca="false">(B64+C64)/2</f>
        <v>0.042633056640625</v>
      </c>
      <c r="E64" s="15" t="n">
        <f aca="false">$C$2*(1+IF(E$3&lt;=$O$2,$D64,$D64-($D64-$I$49)*MIN(E$3-$O$2,$Q$2)/$Q$2))</f>
        <v>6714.55688476563</v>
      </c>
      <c r="F64" s="15" t="n">
        <f aca="false">E64*(1+IF(F$3&lt;=$O$2,$D64,$D64-($D64-$I$49)*MIN(F$3-$O$2,$Q$2)/$Q$2))</f>
        <v>7000.81896875054</v>
      </c>
      <c r="G64" s="15" t="n">
        <f aca="false">F64*(1+IF(G$3&lt;=$O$2,$D64,$D64-($D64-$I$49)*MIN(G$3-$O$2,$Q$2)/$Q$2))</f>
        <v>7299.28528037604</v>
      </c>
      <c r="H64" s="15" t="n">
        <f aca="false">G64*(1+IF(H$3&lt;=$O$2,$D64,$D64-($D64-$I$49)*MIN(H$3-$O$2,$Q$2)/$Q$2))</f>
        <v>7610.47612317039</v>
      </c>
      <c r="I64" s="15" t="n">
        <f aca="false">H64*(1+IF(I$3&lt;=$O$2,$D64,$D64-($D64-$I$49)*MIN(I$3-$O$2,$Q$2)/$Q$2))</f>
        <v>7934.93398279164</v>
      </c>
      <c r="J64" s="15" t="n">
        <f aca="false">I64*(1+IF(J$3&lt;=$O$2,$D64,$D64-($D64-$I$49)*MIN(J$3-$O$2,$Q$2)/$Q$2))</f>
        <v>8234.60823311104</v>
      </c>
      <c r="K64" s="15" t="n">
        <f aca="false">J64*(1+IF(K$3&lt;=$O$2,$D64,$D64-($D64-$I$49)*MIN(K$3-$O$2,$Q$2)/$Q$2))</f>
        <v>8505.52547690676</v>
      </c>
      <c r="L64" s="15" t="n">
        <f aca="false">K64*(1+IF(L$3&lt;=$O$2,$D64,$D64-($D64-$I$49)*MIN(L$3-$O$2,$Q$2)/$Q$2))</f>
        <v>8743.96276640929</v>
      </c>
      <c r="M64" s="15" t="n">
        <f aca="false">L64*(1+IF(M$3&lt;=$O$2,$D64,$D64-($D64-$I$49)*MIN(M$3-$O$2,$Q$2)/$Q$2))</f>
        <v>8946.53075328629</v>
      </c>
      <c r="N64" s="15" t="n">
        <f aca="false">M64*(1+IF(N$3&lt;=$O$2,$D64,$D64-($D64-$I$49)*MIN(N$3-$O$2,$Q$2)/$Q$2))</f>
        <v>9110.25226607143</v>
      </c>
      <c r="O64" s="15" t="n">
        <f aca="false">SUMPRODUCT(E64:N64,1/(1+$F$49)^$E$3:$N$3)*$E$2</f>
        <v>10280.3868099902</v>
      </c>
      <c r="P64" s="15" t="n">
        <f aca="false">N64*$E$2*(1+$I$49)/($F$49-$I$49)/(1+$F$49)^$N$3</f>
        <v>12319.0930471326</v>
      </c>
      <c r="Q64" s="15" t="n">
        <f aca="false">O64+P64</f>
        <v>22599.4798571228</v>
      </c>
      <c r="R64" s="15" t="n">
        <f aca="false">Q64-$G$2+$I$2</f>
        <v>17299.5798571228</v>
      </c>
      <c r="S64" s="42" t="n">
        <f aca="false">R64/$K$2</f>
        <v>147.255531640473</v>
      </c>
      <c r="T64" s="43" t="n">
        <f aca="false">S64-$M$2</f>
        <v>0.0815445788458931</v>
      </c>
    </row>
    <row r="65" customFormat="false" ht="15" hidden="false" customHeight="false" outlineLevel="0" collapsed="false">
      <c r="A65" s="5" t="n">
        <v>15</v>
      </c>
      <c r="B65" s="25" t="n">
        <f aca="false">IF(T64&gt;0,B64,D64)</f>
        <v>0.04254150390625</v>
      </c>
      <c r="C65" s="25" t="n">
        <f aca="false">IF(T64&gt;0,D64,C64)</f>
        <v>0.042633056640625</v>
      </c>
      <c r="D65" s="41" t="n">
        <f aca="false">(B65+C65)/2</f>
        <v>0.0425872802734375</v>
      </c>
      <c r="E65" s="15" t="n">
        <f aca="false">$C$2*(1+IF(E$3&lt;=$O$2,$D65,$D65-($D65-$I$49)*MIN(E$3-$O$2,$Q$2)/$Q$2))</f>
        <v>6714.26208496094</v>
      </c>
      <c r="F65" s="15" t="n">
        <f aca="false">E65*(1+IF(F$3&lt;=$O$2,$D65,$D65-($D65-$I$49)*MIN(F$3-$O$2,$Q$2)/$Q$2))</f>
        <v>7000.20424620248</v>
      </c>
      <c r="G65" s="15" t="n">
        <f aca="false">F65*(1+IF(G$3&lt;=$O$2,$D65,$D65-($D65-$I$49)*MIN(G$3-$O$2,$Q$2)/$Q$2))</f>
        <v>7298.32390640682</v>
      </c>
      <c r="H65" s="15" t="n">
        <f aca="false">G65*(1+IF(H$3&lt;=$O$2,$D65,$D65-($D65-$I$49)*MIN(H$3-$O$2,$Q$2)/$Q$2))</f>
        <v>7609.13967213529</v>
      </c>
      <c r="I65" s="15" t="n">
        <f aca="false">H65*(1+IF(I$3&lt;=$O$2,$D65,$D65-($D65-$I$49)*MIN(I$3-$O$2,$Q$2)/$Q$2))</f>
        <v>7933.19223599225</v>
      </c>
      <c r="J65" s="15" t="n">
        <f aca="false">I65*(1+IF(J$3&lt;=$O$2,$D65,$D65-($D65-$I$49)*MIN(J$3-$O$2,$Q$2)/$Q$2))</f>
        <v>8232.51018454979</v>
      </c>
      <c r="K65" s="15" t="n">
        <f aca="false">J65*(1+IF(K$3&lt;=$O$2,$D65,$D65-($D65-$I$49)*MIN(K$3-$O$2,$Q$2)/$Q$2))</f>
        <v>8503.13229025071</v>
      </c>
      <c r="L65" s="15" t="n">
        <f aca="false">K65*(1+IF(L$3&lt;=$O$2,$D65,$D65-($D65-$I$49)*MIN(L$3-$O$2,$Q$2)/$Q$2))</f>
        <v>8741.34679401647</v>
      </c>
      <c r="M65" s="15" t="n">
        <f aca="false">L65*(1+IF(M$3&lt;=$O$2,$D65,$D65-($D65-$I$49)*MIN(M$3-$O$2,$Q$2)/$Q$2))</f>
        <v>8943.77414825769</v>
      </c>
      <c r="N65" s="15" t="n">
        <f aca="false">M65*(1+IF(N$3&lt;=$O$2,$D65,$D65-($D65-$I$49)*MIN(N$3-$O$2,$Q$2)/$Q$2))</f>
        <v>9107.4452151708</v>
      </c>
      <c r="O65" s="15" t="n">
        <f aca="false">SUMPRODUCT(E65:N65,1/(1+$F$49)^$E$3:$N$3)*$E$2</f>
        <v>10278.3378436814</v>
      </c>
      <c r="P65" s="15" t="n">
        <f aca="false">N65*$E$2*(1+$I$49)/($F$49-$I$49)/(1+$F$49)^$N$3</f>
        <v>12315.2972882202</v>
      </c>
      <c r="Q65" s="15" t="n">
        <f aca="false">O65+P65</f>
        <v>22593.6351319016</v>
      </c>
      <c r="R65" s="15" t="n">
        <f aca="false">Q65-$G$2+$I$2</f>
        <v>17293.7351319016</v>
      </c>
      <c r="S65" s="42" t="n">
        <f aca="false">R65/$K$2</f>
        <v>147.205780829942</v>
      </c>
      <c r="T65" s="43" t="n">
        <f aca="false">S65-$M$2</f>
        <v>0.0317937683144294</v>
      </c>
    </row>
    <row r="66" customFormat="false" ht="15" hidden="false" customHeight="false" outlineLevel="0" collapsed="false">
      <c r="A66" s="5" t="n">
        <v>16</v>
      </c>
      <c r="B66" s="25" t="n">
        <f aca="false">IF(T65&gt;0,B65,D65)</f>
        <v>0.04254150390625</v>
      </c>
      <c r="C66" s="25" t="n">
        <f aca="false">IF(T65&gt;0,D65,C65)</f>
        <v>0.0425872802734375</v>
      </c>
      <c r="D66" s="41" t="n">
        <f aca="false">(B66+C66)/2</f>
        <v>0.0425643920898438</v>
      </c>
      <c r="E66" s="15" t="n">
        <f aca="false">$C$2*(1+IF(E$3&lt;=$O$2,$D66,$D66-($D66-$I$49)*MIN(E$3-$O$2,$Q$2)/$Q$2))</f>
        <v>6714.11468505859</v>
      </c>
      <c r="F66" s="15" t="n">
        <f aca="false">E66*(1+IF(F$3&lt;=$O$2,$D66,$D66-($D66-$I$49)*MIN(F$3-$O$2,$Q$2)/$Q$2))</f>
        <v>6999.89689504961</v>
      </c>
      <c r="G66" s="15" t="n">
        <f aca="false">F66*(1+IF(G$3&lt;=$O$2,$D66,$D66-($D66-$I$49)*MIN(G$3-$O$2,$Q$2)/$Q$2))</f>
        <v>7297.84325107898</v>
      </c>
      <c r="H66" s="15" t="n">
        <f aca="false">G66*(1+IF(H$3&lt;=$O$2,$D66,$D66-($D66-$I$49)*MIN(H$3-$O$2,$Q$2)/$Q$2))</f>
        <v>7608.47151262812</v>
      </c>
      <c r="I66" s="15" t="n">
        <f aca="false">H66*(1+IF(I$3&lt;=$O$2,$D66,$D66-($D66-$I$49)*MIN(I$3-$O$2,$Q$2)/$Q$2))</f>
        <v>7932.32147729603</v>
      </c>
      <c r="J66" s="15" t="n">
        <f aca="false">I66*(1+IF(J$3&lt;=$O$2,$D66,$D66-($D66-$I$49)*MIN(J$3-$O$2,$Q$2)/$Q$2))</f>
        <v>8231.46132713679</v>
      </c>
      <c r="K66" s="15" t="n">
        <f aca="false">J66*(1+IF(K$3&lt;=$O$2,$D66,$D66-($D66-$I$49)*MIN(K$3-$O$2,$Q$2)/$Q$2))</f>
        <v>8501.93591249181</v>
      </c>
      <c r="L66" s="15" t="n">
        <f aca="false">K66*(1+IF(L$3&lt;=$O$2,$D66,$D66-($D66-$I$49)*MIN(L$3-$O$2,$Q$2)/$Q$2))</f>
        <v>8740.03906229178</v>
      </c>
      <c r="M66" s="15" t="n">
        <f aca="false">L66*(1+IF(M$3&lt;=$O$2,$D66,$D66-($D66-$I$49)*MIN(M$3-$O$2,$Q$2)/$Q$2))</f>
        <v>8942.39612406932</v>
      </c>
      <c r="N66" s="15" t="n">
        <f aca="false">M66*(1+IF(N$3&lt;=$O$2,$D66,$D66-($D66-$I$49)*MIN(N$3-$O$2,$Q$2)/$Q$2))</f>
        <v>9106.04197313979</v>
      </c>
      <c r="O66" s="15" t="n">
        <f aca="false">SUMPRODUCT(E66:N66,1/(1+$F$49)^$E$3:$N$3)*$E$2</f>
        <v>10277.3135152514</v>
      </c>
      <c r="P66" s="15" t="n">
        <f aca="false">N66*$E$2*(1+$I$49)/($F$49-$I$49)/(1+$F$49)^$N$3</f>
        <v>12313.3997920101</v>
      </c>
      <c r="Q66" s="15" t="n">
        <f aca="false">O66+P66</f>
        <v>22590.7133072616</v>
      </c>
      <c r="R66" s="15" t="n">
        <f aca="false">Q66-$G$2+$I$2</f>
        <v>17290.8133072616</v>
      </c>
      <c r="S66" s="42" t="n">
        <f aca="false">R66/$K$2</f>
        <v>147.180910003929</v>
      </c>
      <c r="T66" s="43" t="n">
        <f aca="false">S66-$M$2</f>
        <v>0.00692294230140078</v>
      </c>
    </row>
    <row r="67" customFormat="false" ht="15" hidden="false" customHeight="false" outlineLevel="0" collapsed="false">
      <c r="A67" s="5" t="n">
        <v>17</v>
      </c>
      <c r="B67" s="25" t="n">
        <f aca="false">IF(T66&gt;0,B66,D66)</f>
        <v>0.04254150390625</v>
      </c>
      <c r="C67" s="25" t="n">
        <f aca="false">IF(T66&gt;0,D66,C66)</f>
        <v>0.0425643920898438</v>
      </c>
      <c r="D67" s="41" t="n">
        <f aca="false">(B67+C67)/2</f>
        <v>0.0425529479980469</v>
      </c>
      <c r="E67" s="15" t="n">
        <f aca="false">$C$2*(1+IF(E$3&lt;=$O$2,$D67,$D67-($D67-$I$49)*MIN(E$3-$O$2,$Q$2)/$Q$2))</f>
        <v>6714.04098510742</v>
      </c>
      <c r="F67" s="15" t="n">
        <f aca="false">E67*(1+IF(F$3&lt;=$O$2,$D67,$D67-($D67-$I$49)*MIN(F$3-$O$2,$Q$2)/$Q$2))</f>
        <v>6999.74322200345</v>
      </c>
      <c r="G67" s="15" t="n">
        <f aca="false">F67*(1+IF(G$3&lt;=$O$2,$D67,$D67-($D67-$I$49)*MIN(G$3-$O$2,$Q$2)/$Q$2))</f>
        <v>7297.60293132905</v>
      </c>
      <c r="H67" s="15" t="n">
        <f aca="false">G67*(1+IF(H$3&lt;=$O$2,$D67,$D67-($D67-$I$49)*MIN(H$3-$O$2,$Q$2)/$Q$2))</f>
        <v>7608.13744937629</v>
      </c>
      <c r="I67" s="15" t="n">
        <f aca="false">H67*(1+IF(I$3&lt;=$O$2,$D67,$D67-($D67-$I$49)*MIN(I$3-$O$2,$Q$2)/$Q$2))</f>
        <v>7931.88612662159</v>
      </c>
      <c r="J67" s="15" t="n">
        <f aca="false">I67*(1+IF(J$3&lt;=$O$2,$D67,$D67-($D67-$I$49)*MIN(J$3-$O$2,$Q$2)/$Q$2))</f>
        <v>8230.93694014307</v>
      </c>
      <c r="K67" s="15" t="n">
        <f aca="false">J67*(1+IF(K$3&lt;=$O$2,$D67,$D67-($D67-$I$49)*MIN(K$3-$O$2,$Q$2)/$Q$2))</f>
        <v>8501.33777749838</v>
      </c>
      <c r="L67" s="15" t="n">
        <f aca="false">K67*(1+IF(L$3&lt;=$O$2,$D67,$D67-($D67-$I$49)*MIN(L$3-$O$2,$Q$2)/$Q$2))</f>
        <v>8739.3852600392</v>
      </c>
      <c r="M67" s="15" t="n">
        <f aca="false">L67*(1+IF(M$3&lt;=$O$2,$D67,$D67-($D67-$I$49)*MIN(M$3-$O$2,$Q$2)/$Q$2))</f>
        <v>8941.70718154725</v>
      </c>
      <c r="N67" s="15" t="n">
        <f aca="false">M67*(1+IF(N$3&lt;=$O$2,$D67,$D67-($D67-$I$49)*MIN(N$3-$O$2,$Q$2)/$Q$2))</f>
        <v>9105.34042296956</v>
      </c>
      <c r="O67" s="15" t="n">
        <f aca="false">SUMPRODUCT(E67:N67,1/(1+$F$49)^$E$3:$N$3)*$E$2</f>
        <v>10276.8013897133</v>
      </c>
      <c r="P67" s="15" t="n">
        <f aca="false">N67*$E$2*(1+$I$49)/($F$49-$I$49)/(1+$F$49)^$N$3</f>
        <v>12312.4511397037</v>
      </c>
      <c r="Q67" s="15" t="n">
        <f aca="false">O67+P67</f>
        <v>22589.2525294171</v>
      </c>
      <c r="R67" s="15" t="n">
        <f aca="false">Q67-$G$2+$I$2</f>
        <v>17289.352529417</v>
      </c>
      <c r="S67" s="42" t="n">
        <f aca="false">R67/$K$2</f>
        <v>147.168475735589</v>
      </c>
      <c r="T67" s="43" t="n">
        <f aca="false">S67-$M$2</f>
        <v>-0.00551132603808924</v>
      </c>
    </row>
    <row r="68" customFormat="false" ht="15" hidden="false" customHeight="false" outlineLevel="0" collapsed="false">
      <c r="A68" s="5" t="n">
        <v>18</v>
      </c>
      <c r="B68" s="25" t="n">
        <f aca="false">IF(T67&gt;0,B67,D67)</f>
        <v>0.0425529479980469</v>
      </c>
      <c r="C68" s="25" t="n">
        <f aca="false">IF(T67&gt;0,D67,C67)</f>
        <v>0.0425643920898438</v>
      </c>
      <c r="D68" s="41" t="n">
        <f aca="false">(B68+C68)/2</f>
        <v>0.0425586700439453</v>
      </c>
      <c r="E68" s="15" t="n">
        <f aca="false">$C$2*(1+IF(E$3&lt;=$O$2,$D68,$D68-($D68-$I$49)*MIN(E$3-$O$2,$Q$2)/$Q$2))</f>
        <v>6714.07783508301</v>
      </c>
      <c r="F68" s="15" t="n">
        <f aca="false">E68*(1+IF(F$3&lt;=$O$2,$D68,$D68-($D68-$I$49)*MIN(F$3-$O$2,$Q$2)/$Q$2))</f>
        <v>6999.82005831567</v>
      </c>
      <c r="G68" s="15" t="n">
        <f aca="false">F68*(1+IF(G$3&lt;=$O$2,$D68,$D68-($D68-$I$49)*MIN(G$3-$O$2,$Q$2)/$Q$2))</f>
        <v>7297.72309054452</v>
      </c>
      <c r="H68" s="15" t="n">
        <f aca="false">G68*(1+IF(H$3&lt;=$O$2,$D68,$D68-($D68-$I$49)*MIN(H$3-$O$2,$Q$2)/$Q$2))</f>
        <v>7608.30447962708</v>
      </c>
      <c r="I68" s="15" t="n">
        <f aca="false">H68*(1+IF(I$3&lt;=$O$2,$D68,$D68-($D68-$I$49)*MIN(I$3-$O$2,$Q$2)/$Q$2))</f>
        <v>7932.1037995694</v>
      </c>
      <c r="J68" s="15" t="n">
        <f aca="false">I68*(1+IF(J$3&lt;=$O$2,$D68,$D68-($D68-$I$49)*MIN(J$3-$O$2,$Q$2)/$Q$2))</f>
        <v>8231.19913016399</v>
      </c>
      <c r="K68" s="15" t="n">
        <f aca="false">J68*(1+IF(K$3&lt;=$O$2,$D68,$D68-($D68-$I$49)*MIN(K$3-$O$2,$Q$2)/$Q$2))</f>
        <v>8501.63684050478</v>
      </c>
      <c r="L68" s="15" t="n">
        <f aca="false">K68*(1+IF(L$3&lt;=$O$2,$D68,$D68-($D68-$I$49)*MIN(L$3-$O$2,$Q$2)/$Q$2))</f>
        <v>8739.71215586492</v>
      </c>
      <c r="M68" s="15" t="n">
        <f aca="false">L68*(1+IF(M$3&lt;=$O$2,$D68,$D68-($D68-$I$49)*MIN(M$3-$O$2,$Q$2)/$Q$2))</f>
        <v>8942.05164701089</v>
      </c>
      <c r="N68" s="15" t="n">
        <f aca="false">M68*(1+IF(N$3&lt;=$O$2,$D68,$D68-($D68-$I$49)*MIN(N$3-$O$2,$Q$2)/$Q$2))</f>
        <v>9105.69119215119</v>
      </c>
      <c r="O68" s="15" t="n">
        <f aca="false">SUMPRODUCT(E68:N68,1/(1+$F$49)^$E$3:$N$3)*$E$2</f>
        <v>10277.0574492594</v>
      </c>
      <c r="P68" s="15" t="n">
        <f aca="false">N68*$E$2*(1+$I$49)/($F$49-$I$49)/(1+$F$49)^$N$3</f>
        <v>12312.9254578741</v>
      </c>
      <c r="Q68" s="15" t="n">
        <f aca="false">O68+P68</f>
        <v>22589.9829071335</v>
      </c>
      <c r="R68" s="15" t="n">
        <f aca="false">Q68-$G$2+$I$2</f>
        <v>17290.0829071335</v>
      </c>
      <c r="S68" s="42" t="n">
        <f aca="false">R68/$K$2</f>
        <v>147.174692774375</v>
      </c>
      <c r="T68" s="43" t="n">
        <f aca="false">S68-$M$2</f>
        <v>0.000705712747048892</v>
      </c>
    </row>
    <row r="69" customFormat="false" ht="15" hidden="false" customHeight="false" outlineLevel="0" collapsed="false">
      <c r="A69" s="5" t="n">
        <v>19</v>
      </c>
      <c r="B69" s="25" t="n">
        <f aca="false">IF(T68&gt;0,B68,D68)</f>
        <v>0.0425529479980469</v>
      </c>
      <c r="C69" s="25" t="n">
        <f aca="false">IF(T68&gt;0,D68,C68)</f>
        <v>0.0425586700439453</v>
      </c>
      <c r="D69" s="41" t="n">
        <f aca="false">(B69+C69)/2</f>
        <v>0.0425558090209961</v>
      </c>
      <c r="E69" s="15" t="n">
        <f aca="false">$C$2*(1+IF(E$3&lt;=$O$2,$D69,$D69-($D69-$I$49)*MIN(E$3-$O$2,$Q$2)/$Q$2))</f>
        <v>6714.05941009522</v>
      </c>
      <c r="F69" s="15" t="n">
        <f aca="false">E69*(1+IF(F$3&lt;=$O$2,$D69,$D69-($D69-$I$49)*MIN(F$3-$O$2,$Q$2)/$Q$2))</f>
        <v>6999.78164010685</v>
      </c>
      <c r="G69" s="15" t="n">
        <f aca="false">F69*(1+IF(G$3&lt;=$O$2,$D69,$D69-($D69-$I$49)*MIN(G$3-$O$2,$Q$2)/$Q$2))</f>
        <v>7297.66301077191</v>
      </c>
      <c r="H69" s="15" t="n">
        <f aca="false">G69*(1+IF(H$3&lt;=$O$2,$D69,$D69-($D69-$I$49)*MIN(H$3-$O$2,$Q$2)/$Q$2))</f>
        <v>7608.22096415791</v>
      </c>
      <c r="I69" s="15" t="n">
        <f aca="false">H69*(1+IF(I$3&lt;=$O$2,$D69,$D69-($D69-$I$49)*MIN(I$3-$O$2,$Q$2)/$Q$2))</f>
        <v>7931.99496249815</v>
      </c>
      <c r="J69" s="15" t="n">
        <f aca="false">I69*(1+IF(J$3&lt;=$O$2,$D69,$D69-($D69-$I$49)*MIN(J$3-$O$2,$Q$2)/$Q$2))</f>
        <v>8231.06803428455</v>
      </c>
      <c r="K69" s="15" t="n">
        <f aca="false">J69*(1+IF(K$3&lt;=$O$2,$D69,$D69-($D69-$I$49)*MIN(K$3-$O$2,$Q$2)/$Q$2))</f>
        <v>8501.48730787902</v>
      </c>
      <c r="L69" s="15" t="n">
        <f aca="false">K69*(1+IF(L$3&lt;=$O$2,$D69,$D69-($D69-$I$49)*MIN(L$3-$O$2,$Q$2)/$Q$2))</f>
        <v>8739.54870662694</v>
      </c>
      <c r="M69" s="15" t="n">
        <f aca="false">L69*(1+IF(M$3&lt;=$O$2,$D69,$D69-($D69-$I$49)*MIN(M$3-$O$2,$Q$2)/$Q$2))</f>
        <v>8941.87941282974</v>
      </c>
      <c r="N69" s="15" t="n">
        <f aca="false">M69*(1+IF(N$3&lt;=$O$2,$D69,$D69-($D69-$I$49)*MIN(N$3-$O$2,$Q$2)/$Q$2))</f>
        <v>9105.51580608452</v>
      </c>
      <c r="O69" s="15" t="n">
        <f aca="false">SUMPRODUCT(E69:N69,1/(1+$F$49)^$E$3:$N$3)*$E$2</f>
        <v>10276.9294186807</v>
      </c>
      <c r="P69" s="15" t="n">
        <f aca="false">N69*$E$2*(1+$I$49)/($F$49-$I$49)/(1+$F$49)^$N$3</f>
        <v>12312.6882967932</v>
      </c>
      <c r="Q69" s="15" t="n">
        <f aca="false">O69+P69</f>
        <v>22589.6177154739</v>
      </c>
      <c r="R69" s="15" t="n">
        <f aca="false">Q69-$G$2+$I$2</f>
        <v>17289.7177154739</v>
      </c>
      <c r="S69" s="42" t="n">
        <f aca="false">R69/$K$2</f>
        <v>147.171584231136</v>
      </c>
      <c r="T69" s="43" t="n">
        <f aca="false">S69-$M$2</f>
        <v>-0.00240283049132017</v>
      </c>
    </row>
    <row r="70" customFormat="false" ht="15" hidden="false" customHeight="false" outlineLevel="0" collapsed="false">
      <c r="A70" s="5" t="n">
        <v>20</v>
      </c>
      <c r="B70" s="25" t="n">
        <f aca="false">IF(T69&gt;0,B69,D69)</f>
        <v>0.0425558090209961</v>
      </c>
      <c r="C70" s="25" t="n">
        <f aca="false">IF(T69&gt;0,D69,C69)</f>
        <v>0.0425586700439453</v>
      </c>
      <c r="D70" s="41" t="n">
        <f aca="false">(B70+C70)/2</f>
        <v>0.0425572395324707</v>
      </c>
      <c r="E70" s="15" t="n">
        <f aca="false">$C$2*(1+IF(E$3&lt;=$O$2,$D70,$D70-($D70-$I$49)*MIN(E$3-$O$2,$Q$2)/$Q$2))</f>
        <v>6714.06862258911</v>
      </c>
      <c r="F70" s="15" t="n">
        <f aca="false">E70*(1+IF(F$3&lt;=$O$2,$D70,$D70-($D70-$I$49)*MIN(F$3-$O$2,$Q$2)/$Q$2))</f>
        <v>6999.80084919808</v>
      </c>
      <c r="G70" s="15" t="n">
        <f aca="false">F70*(1+IF(G$3&lt;=$O$2,$D70,$D70-($D70-$I$49)*MIN(G$3-$O$2,$Q$2)/$Q$2))</f>
        <v>7297.693050617</v>
      </c>
      <c r="H70" s="15" t="n">
        <f aca="false">G70*(1+IF(H$3&lt;=$O$2,$D70,$D70-($D70-$I$49)*MIN(H$3-$O$2,$Q$2)/$Q$2))</f>
        <v>7608.26272180655</v>
      </c>
      <c r="I70" s="15" t="n">
        <f aca="false">H70*(1+IF(I$3&lt;=$O$2,$D70,$D70-($D70-$I$49)*MIN(I$3-$O$2,$Q$2)/$Q$2))</f>
        <v>7932.04938088444</v>
      </c>
      <c r="J70" s="15" t="n">
        <f aca="false">I70*(1+IF(J$3&lt;=$O$2,$D70,$D70-($D70-$I$49)*MIN(J$3-$O$2,$Q$2)/$Q$2))</f>
        <v>8231.13358200703</v>
      </c>
      <c r="K70" s="15" t="n">
        <f aca="false">J70*(1+IF(K$3&lt;=$O$2,$D70,$D70-($D70-$I$49)*MIN(K$3-$O$2,$Q$2)/$Q$2))</f>
        <v>8501.56207391126</v>
      </c>
      <c r="L70" s="15" t="n">
        <f aca="false">K70*(1+IF(L$3&lt;=$O$2,$D70,$D70-($D70-$I$49)*MIN(L$3-$O$2,$Q$2)/$Q$2))</f>
        <v>8739.63043091465</v>
      </c>
      <c r="M70" s="15" t="n">
        <f aca="false">L70*(1+IF(M$3&lt;=$O$2,$D70,$D70-($D70-$I$49)*MIN(M$3-$O$2,$Q$2)/$Q$2))</f>
        <v>8941.96552955798</v>
      </c>
      <c r="N70" s="15" t="n">
        <f aca="false">M70*(1+IF(N$3&lt;=$O$2,$D70,$D70-($D70-$I$49)*MIN(N$3-$O$2,$Q$2)/$Q$2))</f>
        <v>9105.60349874889</v>
      </c>
      <c r="O70" s="15" t="n">
        <f aca="false">SUMPRODUCT(E70:N70,1/(1+$F$49)^$E$3:$N$3)*$E$2</f>
        <v>10276.9934337686</v>
      </c>
      <c r="P70" s="15" t="n">
        <f aca="false">N70*$E$2*(1+$I$49)/($F$49-$I$49)/(1+$F$49)^$N$3</f>
        <v>12312.8068768347</v>
      </c>
      <c r="Q70" s="15" t="n">
        <f aca="false">O70+P70</f>
        <v>22589.8003106034</v>
      </c>
      <c r="R70" s="15" t="n">
        <f aca="false">Q70-$G$2+$I$2</f>
        <v>17289.9003106034</v>
      </c>
      <c r="S70" s="42" t="n">
        <f aca="false">R70/$K$2</f>
        <v>147.173138496794</v>
      </c>
      <c r="T70" s="43" t="n">
        <f aca="false">S70-$M$2</f>
        <v>-0.000848564833603405</v>
      </c>
    </row>
    <row r="71" customFormat="false" ht="15" hidden="false" customHeight="false" outlineLevel="0" collapsed="false">
      <c r="A71" s="5" t="n">
        <v>21</v>
      </c>
      <c r="B71" s="25" t="n">
        <f aca="false">IF(T70&gt;0,B70,D70)</f>
        <v>0.0425572395324707</v>
      </c>
      <c r="C71" s="25" t="n">
        <f aca="false">IF(T70&gt;0,D70,C70)</f>
        <v>0.0425586700439453</v>
      </c>
      <c r="D71" s="41" t="n">
        <f aca="false">(B71+C71)/2</f>
        <v>0.042557954788208</v>
      </c>
      <c r="E71" s="15" t="n">
        <f aca="false">$C$2*(1+IF(E$3&lt;=$O$2,$D71,$D71-($D71-$I$49)*MIN(E$3-$O$2,$Q$2)/$Q$2))</f>
        <v>6714.07322883606</v>
      </c>
      <c r="F71" s="15" t="n">
        <f aca="false">E71*(1+IF(F$3&lt;=$O$2,$D71,$D71-($D71-$I$49)*MIN(F$3-$O$2,$Q$2)/$Q$2))</f>
        <v>6999.81045375358</v>
      </c>
      <c r="G71" s="15" t="n">
        <f aca="false">F71*(1+IF(G$3&lt;=$O$2,$D71,$D71-($D71-$I$49)*MIN(G$3-$O$2,$Q$2)/$Q$2))</f>
        <v>7297.70807057045</v>
      </c>
      <c r="H71" s="15" t="n">
        <f aca="false">G71*(1+IF(H$3&lt;=$O$2,$D71,$D71-($D71-$I$49)*MIN(H$3-$O$2,$Q$2)/$Q$2))</f>
        <v>7608.28360069533</v>
      </c>
      <c r="I71" s="15" t="n">
        <f aca="false">H71*(1+IF(I$3&lt;=$O$2,$D71,$D71-($D71-$I$49)*MIN(I$3-$O$2,$Q$2)/$Q$2))</f>
        <v>7932.07659018959</v>
      </c>
      <c r="J71" s="15" t="n">
        <f aca="false">I71*(1+IF(J$3&lt;=$O$2,$D71,$D71-($D71-$I$49)*MIN(J$3-$O$2,$Q$2)/$Q$2))</f>
        <v>8231.16635603119</v>
      </c>
      <c r="K71" s="15" t="n">
        <f aca="false">J71*(1+IF(K$3&lt;=$O$2,$D71,$D71-($D71-$I$49)*MIN(K$3-$O$2,$Q$2)/$Q$2))</f>
        <v>8501.59945713786</v>
      </c>
      <c r="L71" s="15" t="n">
        <f aca="false">K71*(1+IF(L$3&lt;=$O$2,$D71,$D71-($D71-$I$49)*MIN(L$3-$O$2,$Q$2)/$Q$2))</f>
        <v>8739.67129330696</v>
      </c>
      <c r="M71" s="15" t="n">
        <f aca="false">L71*(1+IF(M$3&lt;=$O$2,$D71,$D71-($D71-$I$49)*MIN(M$3-$O$2,$Q$2)/$Q$2))</f>
        <v>8942.00858819385</v>
      </c>
      <c r="N71" s="15" t="n">
        <f aca="false">M71*(1+IF(N$3&lt;=$O$2,$D71,$D71-($D71-$I$49)*MIN(N$3-$O$2,$Q$2)/$Q$2))</f>
        <v>9105.6473453578</v>
      </c>
      <c r="O71" s="15" t="n">
        <f aca="false">SUMPRODUCT(E71:N71,1/(1+$F$49)^$E$3:$N$3)*$E$2</f>
        <v>10277.0254414637</v>
      </c>
      <c r="P71" s="15" t="n">
        <f aca="false">N71*$E$2*(1+$I$49)/($F$49-$I$49)/(1+$F$49)^$N$3</f>
        <v>12312.8661672297</v>
      </c>
      <c r="Q71" s="15" t="n">
        <f aca="false">O71+P71</f>
        <v>22589.8916086934</v>
      </c>
      <c r="R71" s="15" t="n">
        <f aca="false">Q71-$G$2+$I$2</f>
        <v>17289.9916086934</v>
      </c>
      <c r="S71" s="42" t="n">
        <f aca="false">R71/$K$2</f>
        <v>147.173915634094</v>
      </c>
      <c r="T71" s="43" t="n">
        <f aca="false">S71-$M$2</f>
        <v>-7.14275336122228E-005</v>
      </c>
    </row>
    <row r="72" customFormat="false" ht="15" hidden="false" customHeight="false" outlineLevel="0" collapsed="false">
      <c r="A72" s="5" t="n">
        <v>22</v>
      </c>
      <c r="B72" s="25" t="n">
        <f aca="false">IF(T71&gt;0,B71,D71)</f>
        <v>0.042557954788208</v>
      </c>
      <c r="C72" s="25" t="n">
        <f aca="false">IF(T71&gt;0,D71,C71)</f>
        <v>0.0425586700439453</v>
      </c>
      <c r="D72" s="41" t="n">
        <f aca="false">(B72+C72)/2</f>
        <v>0.0425583124160767</v>
      </c>
      <c r="E72" s="15" t="n">
        <f aca="false">$C$2*(1+IF(E$3&lt;=$O$2,$D72,$D72-($D72-$I$49)*MIN(E$3-$O$2,$Q$2)/$Q$2))</f>
        <v>6714.07553195953</v>
      </c>
      <c r="F72" s="15" t="n">
        <f aca="false">E72*(1+IF(F$3&lt;=$O$2,$D72,$D72-($D72-$I$49)*MIN(F$3-$O$2,$Q$2)/$Q$2))</f>
        <v>6999.8152560338</v>
      </c>
      <c r="G72" s="15" t="n">
        <f aca="false">F72*(1+IF(G$3&lt;=$O$2,$D72,$D72-($D72-$I$49)*MIN(G$3-$O$2,$Q$2)/$Q$2))</f>
        <v>7297.71558055491</v>
      </c>
      <c r="H72" s="15" t="n">
        <f aca="false">G72*(1+IF(H$3&lt;=$O$2,$D72,$D72-($D72-$I$49)*MIN(H$3-$O$2,$Q$2)/$Q$2))</f>
        <v>7608.29404015584</v>
      </c>
      <c r="I72" s="15" t="n">
        <f aca="false">H72*(1+IF(I$3&lt;=$O$2,$D72,$D72-($D72-$I$49)*MIN(I$3-$O$2,$Q$2)/$Q$2))</f>
        <v>7932.09019487016</v>
      </c>
      <c r="J72" s="15" t="n">
        <f aca="false">I72*(1+IF(J$3&lt;=$O$2,$D72,$D72-($D72-$I$49)*MIN(J$3-$O$2,$Q$2)/$Q$2))</f>
        <v>8231.18274308401</v>
      </c>
      <c r="K72" s="15" t="n">
        <f aca="false">J72*(1+IF(K$3&lt;=$O$2,$D72,$D72-($D72-$I$49)*MIN(K$3-$O$2,$Q$2)/$Q$2))</f>
        <v>8501.61814880378</v>
      </c>
      <c r="L72" s="15" t="n">
        <f aca="false">K72*(1+IF(L$3&lt;=$O$2,$D72,$D72-($D72-$I$49)*MIN(L$3-$O$2,$Q$2)/$Q$2))</f>
        <v>8739.69172456524</v>
      </c>
      <c r="M72" s="15" t="n">
        <f aca="false">L72*(1+IF(M$3&lt;=$O$2,$D72,$D72-($D72-$I$49)*MIN(M$3-$O$2,$Q$2)/$Q$2))</f>
        <v>8942.03011757972</v>
      </c>
      <c r="N72" s="15" t="n">
        <f aca="false">M72*(1+IF(N$3&lt;=$O$2,$D72,$D72-($D72-$I$49)*MIN(N$3-$O$2,$Q$2)/$Q$2))</f>
        <v>9105.66926873143</v>
      </c>
      <c r="O72" s="15" t="n">
        <f aca="false">SUMPRODUCT(E72:N72,1/(1+$F$49)^$E$3:$N$3)*$E$2</f>
        <v>10277.041445349</v>
      </c>
      <c r="P72" s="15" t="n">
        <f aca="false">N72*$E$2*(1+$I$49)/($F$49-$I$49)/(1+$F$49)^$N$3</f>
        <v>12312.8958125207</v>
      </c>
      <c r="Q72" s="15" t="n">
        <f aca="false">O72+P72</f>
        <v>22589.9372578697</v>
      </c>
      <c r="R72" s="15" t="n">
        <f aca="false">Q72-$G$2+$I$2</f>
        <v>17290.0372578697</v>
      </c>
      <c r="S72" s="42" t="n">
        <f aca="false">R72/$K$2</f>
        <v>147.174304203862</v>
      </c>
      <c r="T72" s="43" t="n">
        <f aca="false">S72-$M$2</f>
        <v>0.000317142234081302</v>
      </c>
    </row>
    <row r="73" customFormat="false" ht="15" hidden="false" customHeight="false" outlineLevel="0" collapsed="false">
      <c r="A73" s="5" t="n">
        <v>23</v>
      </c>
      <c r="B73" s="25" t="n">
        <f aca="false">IF(T72&gt;0,B72,D72)</f>
        <v>0.042557954788208</v>
      </c>
      <c r="C73" s="25" t="n">
        <f aca="false">IF(T72&gt;0,D72,C72)</f>
        <v>0.0425583124160767</v>
      </c>
      <c r="D73" s="41" t="n">
        <f aca="false">(B73+C73)/2</f>
        <v>0.0425581336021423</v>
      </c>
      <c r="E73" s="15" t="n">
        <f aca="false">$C$2*(1+IF(E$3&lt;=$O$2,$D73,$D73-($D73-$I$49)*MIN(E$3-$O$2,$Q$2)/$Q$2))</f>
        <v>6714.0743803978</v>
      </c>
      <c r="F73" s="15" t="n">
        <f aca="false">E73*(1+IF(F$3&lt;=$O$2,$D73,$D73-($D73-$I$49)*MIN(F$3-$O$2,$Q$2)/$Q$2))</f>
        <v>6999.81285489349</v>
      </c>
      <c r="G73" s="15" t="n">
        <f aca="false">F73*(1+IF(G$3&lt;=$O$2,$D73,$D73-($D73-$I$49)*MIN(G$3-$O$2,$Q$2)/$Q$2))</f>
        <v>7297.71182556204</v>
      </c>
      <c r="H73" s="15" t="n">
        <f aca="false">G73*(1+IF(H$3&lt;=$O$2,$D73,$D73-($D73-$I$49)*MIN(H$3-$O$2,$Q$2)/$Q$2))</f>
        <v>7608.28882042424</v>
      </c>
      <c r="I73" s="15" t="n">
        <f aca="false">H73*(1+IF(I$3&lt;=$O$2,$D73,$D73-($D73-$I$49)*MIN(I$3-$O$2,$Q$2)/$Q$2))</f>
        <v>7932.08339252754</v>
      </c>
      <c r="J73" s="15" t="n">
        <f aca="false">I73*(1+IF(J$3&lt;=$O$2,$D73,$D73-($D73-$I$49)*MIN(J$3-$O$2,$Q$2)/$Q$2))</f>
        <v>8231.17454955421</v>
      </c>
      <c r="K73" s="15" t="n">
        <f aca="false">J73*(1+IF(K$3&lt;=$O$2,$D73,$D73-($D73-$I$49)*MIN(K$3-$O$2,$Q$2)/$Q$2))</f>
        <v>8501.60880296644</v>
      </c>
      <c r="L73" s="15" t="n">
        <f aca="false">K73*(1+IF(L$3&lt;=$O$2,$D73,$D73-($D73-$I$49)*MIN(L$3-$O$2,$Q$2)/$Q$2))</f>
        <v>8739.68150893093</v>
      </c>
      <c r="M73" s="15" t="n">
        <f aca="false">L73*(1+IF(M$3&lt;=$O$2,$D73,$D73-($D73-$I$49)*MIN(M$3-$O$2,$Q$2)/$Q$2))</f>
        <v>8942.01935288113</v>
      </c>
      <c r="N73" s="15" t="n">
        <f aca="false">M73*(1+IF(N$3&lt;=$O$2,$D73,$D73-($D73-$I$49)*MIN(N$3-$O$2,$Q$2)/$Q$2))</f>
        <v>9105.65830703885</v>
      </c>
      <c r="O73" s="15" t="n">
        <f aca="false">SUMPRODUCT(E73:N73,1/(1+$F$49)^$E$3:$N$3)*$E$2</f>
        <v>10277.0334434032</v>
      </c>
      <c r="P73" s="15" t="n">
        <f aca="false">N73*$E$2*(1+$I$49)/($F$49-$I$49)/(1+$F$49)^$N$3</f>
        <v>12312.8809898674</v>
      </c>
      <c r="Q73" s="15" t="n">
        <f aca="false">O73+P73</f>
        <v>22589.9144332706</v>
      </c>
      <c r="R73" s="15" t="n">
        <f aca="false">Q73-$G$2+$I$2</f>
        <v>17290.0144332706</v>
      </c>
      <c r="S73" s="42" t="n">
        <f aca="false">R73/$K$2</f>
        <v>147.174109918885</v>
      </c>
      <c r="T73" s="43" t="n">
        <f aca="false">S73-$M$2</f>
        <v>0.000122857257110809</v>
      </c>
    </row>
    <row r="74" customFormat="false" ht="15" hidden="false" customHeight="false" outlineLevel="0" collapsed="false">
      <c r="A74" s="5" t="n">
        <v>24</v>
      </c>
      <c r="B74" s="25" t="n">
        <f aca="false">IF(T73&gt;0,B73,D73)</f>
        <v>0.042557954788208</v>
      </c>
      <c r="C74" s="25" t="n">
        <f aca="false">IF(T73&gt;0,D73,C73)</f>
        <v>0.0425581336021423</v>
      </c>
      <c r="D74" s="41" t="n">
        <f aca="false">(B74+C74)/2</f>
        <v>0.0425580441951752</v>
      </c>
      <c r="E74" s="15" t="n">
        <f aca="false">$C$2*(1+IF(E$3&lt;=$O$2,$D74,$D74-($D74-$I$49)*MIN(E$3-$O$2,$Q$2)/$Q$2))</f>
        <v>6714.07380461693</v>
      </c>
      <c r="F74" s="15" t="n">
        <f aca="false">E74*(1+IF(F$3&lt;=$O$2,$D74,$D74-($D74-$I$49)*MIN(F$3-$O$2,$Q$2)/$Q$2))</f>
        <v>6999.81165432348</v>
      </c>
      <c r="G74" s="15" t="n">
        <f aca="false">F74*(1+IF(G$3&lt;=$O$2,$D74,$D74-($D74-$I$49)*MIN(G$3-$O$2,$Q$2)/$Q$2))</f>
        <v>7297.70994806608</v>
      </c>
      <c r="H74" s="15" t="n">
        <f aca="false">G74*(1+IF(H$3&lt;=$O$2,$D74,$D74-($D74-$I$49)*MIN(H$3-$O$2,$Q$2)/$Q$2))</f>
        <v>7608.28621055945</v>
      </c>
      <c r="I74" s="15" t="n">
        <f aca="false">H74*(1+IF(I$3&lt;=$O$2,$D74,$D74-($D74-$I$49)*MIN(I$3-$O$2,$Q$2)/$Q$2))</f>
        <v>7932.07999135798</v>
      </c>
      <c r="J74" s="15" t="n">
        <f aca="false">I74*(1+IF(J$3&lt;=$O$2,$D74,$D74-($D74-$I$49)*MIN(J$3-$O$2,$Q$2)/$Q$2))</f>
        <v>8231.17045279185</v>
      </c>
      <c r="K74" s="15" t="n">
        <f aca="false">J74*(1+IF(K$3&lt;=$O$2,$D74,$D74-($D74-$I$49)*MIN(K$3-$O$2,$Q$2)/$Q$2))</f>
        <v>8501.60413005105</v>
      </c>
      <c r="L74" s="15" t="n">
        <f aca="false">K74*(1+IF(L$3&lt;=$O$2,$D74,$D74-($D74-$I$49)*MIN(L$3-$O$2,$Q$2)/$Q$2))</f>
        <v>8739.67640111765</v>
      </c>
      <c r="M74" s="15" t="n">
        <f aca="false">L74*(1+IF(M$3&lt;=$O$2,$D74,$D74-($D74-$I$49)*MIN(M$3-$O$2,$Q$2)/$Q$2))</f>
        <v>8942.01397053607</v>
      </c>
      <c r="N74" s="15" t="n">
        <f aca="false">M74*(1+IF(N$3&lt;=$O$2,$D74,$D74-($D74-$I$49)*MIN(N$3-$O$2,$Q$2)/$Q$2))</f>
        <v>9105.65282619688</v>
      </c>
      <c r="O74" s="15" t="n">
        <f aca="false">SUMPRODUCT(E74:N74,1/(1+$F$49)^$E$3:$N$3)*$E$2</f>
        <v>10277.0294424326</v>
      </c>
      <c r="P74" s="15" t="n">
        <f aca="false">N74*$E$2*(1+$I$49)/($F$49-$I$49)/(1+$F$49)^$N$3</f>
        <v>12312.8735785466</v>
      </c>
      <c r="Q74" s="15" t="n">
        <f aca="false">O74+P74</f>
        <v>22589.9030209792</v>
      </c>
      <c r="R74" s="15" t="n">
        <f aca="false">Q74-$G$2+$I$2</f>
        <v>17290.0030209792</v>
      </c>
      <c r="S74" s="42" t="n">
        <f aca="false">R74/$K$2</f>
        <v>147.174012776466</v>
      </c>
      <c r="T74" s="43" t="n">
        <f aca="false">S74-$M$2</f>
        <v>2.57148384150696E-005</v>
      </c>
    </row>
    <row r="76" customFormat="false" ht="15" hidden="false" customHeight="false" outlineLevel="0" collapsed="false">
      <c r="A76" s="38" t="s">
        <v>182</v>
      </c>
      <c r="E76" s="5" t="s">
        <v>11</v>
      </c>
      <c r="F76" s="12" t="n">
        <f aca="false">Sensitivity!$B$10</f>
        <v>0.0849886567315273</v>
      </c>
      <c r="G76" s="5" t="s">
        <v>12</v>
      </c>
      <c r="I76" s="12" t="n">
        <f aca="false">Sensitivity!$D$9</f>
        <v>0.0233</v>
      </c>
    </row>
    <row r="77" customFormat="false" ht="23.85" hidden="false" customHeight="false" outlineLevel="0" collapsed="false">
      <c r="A77" s="38" t="s">
        <v>161</v>
      </c>
      <c r="B77" s="28" t="s">
        <v>162</v>
      </c>
      <c r="C77" s="28" t="s">
        <v>163</v>
      </c>
      <c r="D77" s="28" t="s">
        <v>164</v>
      </c>
      <c r="E77" s="28" t="s">
        <v>165</v>
      </c>
      <c r="F77" s="28" t="s">
        <v>166</v>
      </c>
      <c r="G77" s="28" t="s">
        <v>167</v>
      </c>
      <c r="H77" s="28" t="s">
        <v>168</v>
      </c>
      <c r="I77" s="28" t="s">
        <v>169</v>
      </c>
      <c r="J77" s="28" t="s">
        <v>170</v>
      </c>
      <c r="K77" s="28" t="s">
        <v>171</v>
      </c>
      <c r="L77" s="28" t="s">
        <v>172</v>
      </c>
      <c r="M77" s="28" t="s">
        <v>173</v>
      </c>
      <c r="N77" s="28" t="s">
        <v>174</v>
      </c>
      <c r="O77" s="28" t="s">
        <v>175</v>
      </c>
      <c r="P77" s="28" t="s">
        <v>176</v>
      </c>
      <c r="Q77" s="28" t="s">
        <v>177</v>
      </c>
      <c r="R77" s="28" t="s">
        <v>178</v>
      </c>
      <c r="S77" s="28" t="s">
        <v>179</v>
      </c>
      <c r="T77" s="28" t="s">
        <v>180</v>
      </c>
    </row>
    <row r="78" customFormat="false" ht="15" hidden="false" customHeight="false" outlineLevel="0" collapsed="false">
      <c r="A78" s="5" t="n">
        <v>1</v>
      </c>
      <c r="B78" s="24" t="n">
        <v>-0.5</v>
      </c>
      <c r="C78" s="24" t="n">
        <v>1</v>
      </c>
      <c r="D78" s="41" t="n">
        <f aca="false">(B78+C78)/2</f>
        <v>0.25</v>
      </c>
      <c r="E78" s="15" t="n">
        <f aca="false">$C$2*(1+IF(E$3&lt;=$O$2,$D78,$D78-($D78-$I$76)*MIN(E$3-$O$2,$Q$2)/$Q$2))</f>
        <v>8050</v>
      </c>
      <c r="F78" s="15" t="n">
        <f aca="false">E78*(1+IF(F$3&lt;=$O$2,$D78,$D78-($D78-$I$76)*MIN(F$3-$O$2,$Q$2)/$Q$2))</f>
        <v>10062.5</v>
      </c>
      <c r="G78" s="15" t="n">
        <f aca="false">F78*(1+IF(G$3&lt;=$O$2,$D78,$D78-($D78-$I$76)*MIN(G$3-$O$2,$Q$2)/$Q$2))</f>
        <v>12578.125</v>
      </c>
      <c r="H78" s="15" t="n">
        <f aca="false">G78*(1+IF(H$3&lt;=$O$2,$D78,$D78-($D78-$I$76)*MIN(H$3-$O$2,$Q$2)/$Q$2))</f>
        <v>15722.65625</v>
      </c>
      <c r="I78" s="15" t="n">
        <f aca="false">H78*(1+IF(I$3&lt;=$O$2,$D78,$D78-($D78-$I$76)*MIN(I$3-$O$2,$Q$2)/$Q$2))</f>
        <v>19653.3203125</v>
      </c>
      <c r="J78" s="15" t="n">
        <f aca="false">I78*(1+IF(J$3&lt;=$O$2,$D78,$D78-($D78-$I$76)*MIN(J$3-$O$2,$Q$2)/$Q$2))</f>
        <v>23675.5688476563</v>
      </c>
      <c r="K78" s="15" t="n">
        <f aca="false">J78*(1+IF(K$3&lt;=$O$2,$D78,$D78-($D78-$I$76)*MIN(K$3-$O$2,$Q$2)/$Q$2))</f>
        <v>27447.5604764648</v>
      </c>
      <c r="L78" s="15" t="n">
        <f aca="false">K78*(1+IF(L$3&lt;=$O$2,$D78,$D78-($D78-$I$76)*MIN(L$3-$O$2,$Q$2)/$Q$2))</f>
        <v>30576.0334195723</v>
      </c>
      <c r="M78" s="15" t="n">
        <f aca="false">L78*(1+IF(M$3&lt;=$O$2,$D78,$D78-($D78-$I$76)*MIN(M$3-$O$2,$Q$2)/$Q$2))</f>
        <v>32674.7723534918</v>
      </c>
      <c r="N78" s="15" t="n">
        <f aca="false">M78*(1+IF(N$3&lt;=$O$2,$D78,$D78-($D78-$I$76)*MIN(N$3-$O$2,$Q$2)/$Q$2))</f>
        <v>33436.0945493281</v>
      </c>
      <c r="O78" s="15" t="n">
        <f aca="false">SUMPRODUCT(E78:N78,1/(1+$F$76)^$E$3:$N$3)*$E$2</f>
        <v>25354.8538660532</v>
      </c>
      <c r="P78" s="15" t="n">
        <f aca="false">N78*$E$2*(1+$I$76)/($F$76-$I$76)/(1+$F$76)^$N$3</f>
        <v>49117.6707719721</v>
      </c>
      <c r="Q78" s="15" t="n">
        <f aca="false">O78+P78</f>
        <v>74472.5246380253</v>
      </c>
      <c r="R78" s="15" t="n">
        <f aca="false">Q78-$G$2+$I$2</f>
        <v>69172.6246380253</v>
      </c>
      <c r="S78" s="42" t="n">
        <f aca="false">R78/$K$2</f>
        <v>588.803410265793</v>
      </c>
      <c r="T78" s="43" t="n">
        <f aca="false">S78-$M$2</f>
        <v>441.629423204165</v>
      </c>
    </row>
    <row r="79" customFormat="false" ht="15" hidden="false" customHeight="false" outlineLevel="0" collapsed="false">
      <c r="A79" s="5" t="n">
        <v>2</v>
      </c>
      <c r="B79" s="25" t="n">
        <f aca="false">IF(T78&gt;0,B78,D78)</f>
        <v>-0.5</v>
      </c>
      <c r="C79" s="25" t="n">
        <f aca="false">IF(T78&gt;0,D78,C78)</f>
        <v>0.25</v>
      </c>
      <c r="D79" s="41" t="n">
        <f aca="false">(B79+C79)/2</f>
        <v>-0.125</v>
      </c>
      <c r="E79" s="15" t="n">
        <f aca="false">$C$2*(1+IF(E$3&lt;=$O$2,$D79,$D79-($D79-$I$76)*MIN(E$3-$O$2,$Q$2)/$Q$2))</f>
        <v>5635</v>
      </c>
      <c r="F79" s="15" t="n">
        <f aca="false">E79*(1+IF(F$3&lt;=$O$2,$D79,$D79-($D79-$I$76)*MIN(F$3-$O$2,$Q$2)/$Q$2))</f>
        <v>4930.625</v>
      </c>
      <c r="G79" s="15" t="n">
        <f aca="false">F79*(1+IF(G$3&lt;=$O$2,$D79,$D79-($D79-$I$76)*MIN(G$3-$O$2,$Q$2)/$Q$2))</f>
        <v>4314.296875</v>
      </c>
      <c r="H79" s="15" t="n">
        <f aca="false">G79*(1+IF(H$3&lt;=$O$2,$D79,$D79-($D79-$I$76)*MIN(H$3-$O$2,$Q$2)/$Q$2))</f>
        <v>3775.009765625</v>
      </c>
      <c r="I79" s="15" t="n">
        <f aca="false">H79*(1+IF(I$3&lt;=$O$2,$D79,$D79-($D79-$I$76)*MIN(I$3-$O$2,$Q$2)/$Q$2))</f>
        <v>3303.13354492188</v>
      </c>
      <c r="J79" s="15" t="n">
        <f aca="false">I79*(1+IF(J$3&lt;=$O$2,$D79,$D79-($D79-$I$76)*MIN(J$3-$O$2,$Q$2)/$Q$2))</f>
        <v>2988.21279274902</v>
      </c>
      <c r="K79" s="15" t="n">
        <f aca="false">J79*(1+IF(K$3&lt;=$O$2,$D79,$D79-($D79-$I$76)*MIN(K$3-$O$2,$Q$2)/$Q$2))</f>
        <v>2791.94697652127</v>
      </c>
      <c r="L79" s="15" t="n">
        <f aca="false">K79*(1+IF(L$3&lt;=$O$2,$D79,$D79-($D79-$I$76)*MIN(L$3-$O$2,$Q$2)/$Q$2))</f>
        <v>2691.38104642697</v>
      </c>
      <c r="M79" s="15" t="n">
        <f aca="false">L79*(1+IF(M$3&lt;=$O$2,$D79,$D79-($D79-$I$76)*MIN(M$3-$O$2,$Q$2)/$Q$2))</f>
        <v>2674.2638629717</v>
      </c>
      <c r="N79" s="15" t="n">
        <f aca="false">M79*(1+IF(N$3&lt;=$O$2,$D79,$D79-($D79-$I$76)*MIN(N$3-$O$2,$Q$2)/$Q$2))</f>
        <v>2736.57421097894</v>
      </c>
      <c r="O79" s="15" t="n">
        <f aca="false">SUMPRODUCT(E79:N79,1/(1+$F$76)^$E$3:$N$3)*$E$2</f>
        <v>5002.17927397874</v>
      </c>
      <c r="P79" s="15" t="n">
        <f aca="false">N79*$E$2*(1+$I$76)/($F$76-$I$76)/(1+$F$76)^$N$3</f>
        <v>4020.03143458134</v>
      </c>
      <c r="Q79" s="15" t="n">
        <f aca="false">O79+P79</f>
        <v>9022.21070856008</v>
      </c>
      <c r="R79" s="15" t="n">
        <f aca="false">Q79-$G$2+$I$2</f>
        <v>3722.31070856008</v>
      </c>
      <c r="S79" s="42" t="n">
        <f aca="false">R79/$K$2</f>
        <v>31.6846332019074</v>
      </c>
      <c r="T79" s="43" t="n">
        <f aca="false">S79-$M$2</f>
        <v>-115.48935385972</v>
      </c>
    </row>
    <row r="80" customFormat="false" ht="15" hidden="false" customHeight="false" outlineLevel="0" collapsed="false">
      <c r="A80" s="5" t="n">
        <v>3</v>
      </c>
      <c r="B80" s="25" t="n">
        <f aca="false">IF(T79&gt;0,B79,D79)</f>
        <v>-0.125</v>
      </c>
      <c r="C80" s="25" t="n">
        <f aca="false">IF(T79&gt;0,D79,C79)</f>
        <v>0.25</v>
      </c>
      <c r="D80" s="41" t="n">
        <f aca="false">(B80+C80)/2</f>
        <v>0.0625</v>
      </c>
      <c r="E80" s="15" t="n">
        <f aca="false">$C$2*(1+IF(E$3&lt;=$O$2,$D80,$D80-($D80-$I$76)*MIN(E$3-$O$2,$Q$2)/$Q$2))</f>
        <v>6842.5</v>
      </c>
      <c r="F80" s="15" t="n">
        <f aca="false">E80*(1+IF(F$3&lt;=$O$2,$D80,$D80-($D80-$I$76)*MIN(F$3-$O$2,$Q$2)/$Q$2))</f>
        <v>7270.15625</v>
      </c>
      <c r="G80" s="15" t="n">
        <f aca="false">F80*(1+IF(G$3&lt;=$O$2,$D80,$D80-($D80-$I$76)*MIN(G$3-$O$2,$Q$2)/$Q$2))</f>
        <v>7724.541015625</v>
      </c>
      <c r="H80" s="15" t="n">
        <f aca="false">G80*(1+IF(H$3&lt;=$O$2,$D80,$D80-($D80-$I$76)*MIN(H$3-$O$2,$Q$2)/$Q$2))</f>
        <v>8207.32482910156</v>
      </c>
      <c r="I80" s="15" t="n">
        <f aca="false">H80*(1+IF(I$3&lt;=$O$2,$D80,$D80-($D80-$I$76)*MIN(I$3-$O$2,$Q$2)/$Q$2))</f>
        <v>8720.28263092041</v>
      </c>
      <c r="J80" s="15" t="n">
        <f aca="false">I80*(1+IF(J$3&lt;=$O$2,$D80,$D80-($D80-$I$76)*MIN(J$3-$O$2,$Q$2)/$Q$2))</f>
        <v>9196.93327952652</v>
      </c>
      <c r="K80" s="15" t="n">
        <f aca="false">J80*(1+IF(K$3&lt;=$O$2,$D80,$D80-($D80-$I$76)*MIN(K$3-$O$2,$Q$2)/$Q$2))</f>
        <v>9627.53369567395</v>
      </c>
      <c r="L80" s="15" t="n">
        <f aca="false">K80*(1+IF(L$3&lt;=$O$2,$D80,$D80-($D80-$I$76)*MIN(L$3-$O$2,$Q$2)/$Q$2))</f>
        <v>10002.8149591313</v>
      </c>
      <c r="M80" s="15" t="n">
        <f aca="false">L80*(1+IF(M$3&lt;=$O$2,$D80,$D80-($D80-$I$76)*MIN(M$3-$O$2,$Q$2)/$Q$2))</f>
        <v>10314.3026169587</v>
      </c>
      <c r="N80" s="15" t="n">
        <f aca="false">M80*(1+IF(N$3&lt;=$O$2,$D80,$D80-($D80-$I$76)*MIN(N$3-$O$2,$Q$2)/$Q$2))</f>
        <v>10554.6258679338</v>
      </c>
      <c r="O80" s="15" t="n">
        <f aca="false">SUMPRODUCT(E80:N80,1/(1+$F$76)^$E$3:$N$3)*$E$2</f>
        <v>11242.8317634126</v>
      </c>
      <c r="P80" s="15" t="n">
        <f aca="false">N80*$E$2*(1+$I$76)/($F$76-$I$76)/(1+$F$76)^$N$3</f>
        <v>15504.7605137524</v>
      </c>
      <c r="Q80" s="15" t="n">
        <f aca="false">O80+P80</f>
        <v>26747.5922771649</v>
      </c>
      <c r="R80" s="15" t="n">
        <f aca="false">Q80-$G$2+$I$2</f>
        <v>21447.6922771649</v>
      </c>
      <c r="S80" s="42" t="n">
        <f aca="false">R80/$K$2</f>
        <v>182.564626124999</v>
      </c>
      <c r="T80" s="43" t="n">
        <f aca="false">S80-$M$2</f>
        <v>35.3906390633719</v>
      </c>
    </row>
    <row r="81" customFormat="false" ht="15" hidden="false" customHeight="false" outlineLevel="0" collapsed="false">
      <c r="A81" s="5" t="n">
        <v>4</v>
      </c>
      <c r="B81" s="25" t="n">
        <f aca="false">IF(T80&gt;0,B80,D80)</f>
        <v>-0.125</v>
      </c>
      <c r="C81" s="25" t="n">
        <f aca="false">IF(T80&gt;0,D80,C80)</f>
        <v>0.0625</v>
      </c>
      <c r="D81" s="41" t="n">
        <f aca="false">(B81+C81)/2</f>
        <v>-0.03125</v>
      </c>
      <c r="E81" s="15" t="n">
        <f aca="false">$C$2*(1+IF(E$3&lt;=$O$2,$D81,$D81-($D81-$I$76)*MIN(E$3-$O$2,$Q$2)/$Q$2))</f>
        <v>6238.75</v>
      </c>
      <c r="F81" s="15" t="n">
        <f aca="false">E81*(1+IF(F$3&lt;=$O$2,$D81,$D81-($D81-$I$76)*MIN(F$3-$O$2,$Q$2)/$Q$2))</f>
        <v>6043.7890625</v>
      </c>
      <c r="G81" s="15" t="n">
        <f aca="false">F81*(1+IF(G$3&lt;=$O$2,$D81,$D81-($D81-$I$76)*MIN(G$3-$O$2,$Q$2)/$Q$2))</f>
        <v>5854.92065429688</v>
      </c>
      <c r="H81" s="15" t="n">
        <f aca="false">G81*(1+IF(H$3&lt;=$O$2,$D81,$D81-($D81-$I$76)*MIN(H$3-$O$2,$Q$2)/$Q$2))</f>
        <v>5671.9543838501</v>
      </c>
      <c r="I81" s="15" t="n">
        <f aca="false">H81*(1+IF(I$3&lt;=$O$2,$D81,$D81-($D81-$I$76)*MIN(I$3-$O$2,$Q$2)/$Q$2))</f>
        <v>5494.70580935478</v>
      </c>
      <c r="J81" s="15" t="n">
        <f aca="false">I81*(1+IF(J$3&lt;=$O$2,$D81,$D81-($D81-$I$76)*MIN(J$3-$O$2,$Q$2)/$Q$2))</f>
        <v>5382.94349319251</v>
      </c>
      <c r="K81" s="15" t="n">
        <f aca="false">J81*(1+IF(K$3&lt;=$O$2,$D81,$D81-($D81-$I$76)*MIN(K$3-$O$2,$Q$2)/$Q$2))</f>
        <v>5332.1823360517</v>
      </c>
      <c r="L81" s="15" t="n">
        <f aca="false">K81*(1+IF(L$3&lt;=$O$2,$D81,$D81-($D81-$I$76)*MIN(L$3-$O$2,$Q$2)/$Q$2))</f>
        <v>5340.07396590906</v>
      </c>
      <c r="M81" s="15" t="n">
        <f aca="false">L81*(1+IF(M$3&lt;=$O$2,$D81,$D81-($D81-$I$76)*MIN(M$3-$O$2,$Q$2)/$Q$2))</f>
        <v>5406.23748234667</v>
      </c>
      <c r="N81" s="15" t="n">
        <f aca="false">M81*(1+IF(N$3&lt;=$O$2,$D81,$D81-($D81-$I$76)*MIN(N$3-$O$2,$Q$2)/$Q$2))</f>
        <v>5532.20281568535</v>
      </c>
      <c r="O81" s="15" t="n">
        <f aca="false">SUMPRODUCT(E81:N81,1/(1+$F$76)^$E$3:$N$3)*$E$2</f>
        <v>7477.66469752038</v>
      </c>
      <c r="P81" s="15" t="n">
        <f aca="false">N81*$E$2*(1+$I$76)/($F$76-$I$76)/(1+$F$76)^$N$3</f>
        <v>8126.81385811162</v>
      </c>
      <c r="Q81" s="15" t="n">
        <f aca="false">O81+P81</f>
        <v>15604.478555632</v>
      </c>
      <c r="R81" s="15" t="n">
        <f aca="false">Q81-$G$2+$I$2</f>
        <v>10304.578555632</v>
      </c>
      <c r="S81" s="42" t="n">
        <f aca="false">R81/$K$2</f>
        <v>87.7134708514811</v>
      </c>
      <c r="T81" s="43" t="n">
        <f aca="false">S81-$M$2</f>
        <v>-59.4605162101464</v>
      </c>
    </row>
    <row r="82" customFormat="false" ht="15" hidden="false" customHeight="false" outlineLevel="0" collapsed="false">
      <c r="A82" s="5" t="n">
        <v>5</v>
      </c>
      <c r="B82" s="25" t="n">
        <f aca="false">IF(T81&gt;0,B81,D81)</f>
        <v>-0.03125</v>
      </c>
      <c r="C82" s="25" t="n">
        <f aca="false">IF(T81&gt;0,D81,C81)</f>
        <v>0.0625</v>
      </c>
      <c r="D82" s="41" t="n">
        <f aca="false">(B82+C82)/2</f>
        <v>0.015625</v>
      </c>
      <c r="E82" s="15" t="n">
        <f aca="false">$C$2*(1+IF(E$3&lt;=$O$2,$D82,$D82-($D82-$I$76)*MIN(E$3-$O$2,$Q$2)/$Q$2))</f>
        <v>6540.625</v>
      </c>
      <c r="F82" s="15" t="n">
        <f aca="false">E82*(1+IF(F$3&lt;=$O$2,$D82,$D82-($D82-$I$76)*MIN(F$3-$O$2,$Q$2)/$Q$2))</f>
        <v>6642.822265625</v>
      </c>
      <c r="G82" s="15" t="n">
        <f aca="false">F82*(1+IF(G$3&lt;=$O$2,$D82,$D82-($D82-$I$76)*MIN(G$3-$O$2,$Q$2)/$Q$2))</f>
        <v>6746.61636352539</v>
      </c>
      <c r="H82" s="15" t="n">
        <f aca="false">G82*(1+IF(H$3&lt;=$O$2,$D82,$D82-($D82-$I$76)*MIN(H$3-$O$2,$Q$2)/$Q$2))</f>
        <v>6852.03224420548</v>
      </c>
      <c r="I82" s="15" t="n">
        <f aca="false">H82*(1+IF(I$3&lt;=$O$2,$D82,$D82-($D82-$I$76)*MIN(I$3-$O$2,$Q$2)/$Q$2))</f>
        <v>6959.09524802119</v>
      </c>
      <c r="J82" s="15" t="n">
        <f aca="false">I82*(1+IF(J$3&lt;=$O$2,$D82,$D82-($D82-$I$76)*MIN(J$3-$O$2,$Q$2)/$Q$2))</f>
        <v>7078.51332247723</v>
      </c>
      <c r="K82" s="15" t="n">
        <f aca="false">J82*(1+IF(K$3&lt;=$O$2,$D82,$D82-($D82-$I$76)*MIN(K$3-$O$2,$Q$2)/$Q$2))</f>
        <v>7210.84612904094</v>
      </c>
      <c r="L82" s="15" t="n">
        <f aca="false">K82*(1+IF(L$3&lt;=$O$2,$D82,$D82-($D82-$I$76)*MIN(L$3-$O$2,$Q$2)/$Q$2))</f>
        <v>7356.72154623144</v>
      </c>
      <c r="M82" s="15" t="n">
        <f aca="false">L82*(1+IF(M$3&lt;=$O$2,$D82,$D82-($D82-$I$76)*MIN(M$3-$O$2,$Q$2)/$Q$2))</f>
        <v>7516.84059068517</v>
      </c>
      <c r="N82" s="15" t="n">
        <f aca="false">M82*(1+IF(N$3&lt;=$O$2,$D82,$D82-($D82-$I$76)*MIN(N$3-$O$2,$Q$2)/$Q$2))</f>
        <v>7691.98297644813</v>
      </c>
      <c r="O82" s="15" t="n">
        <f aca="false">SUMPRODUCT(E82:N82,1/(1+$F$76)^$E$3:$N$3)*$E$2</f>
        <v>9165.36312327097</v>
      </c>
      <c r="P82" s="15" t="n">
        <f aca="false">N82*$E$2*(1+$I$76)/($F$76-$I$76)/(1+$F$76)^$N$3</f>
        <v>11299.5340069819</v>
      </c>
      <c r="Q82" s="15" t="n">
        <f aca="false">O82+P82</f>
        <v>20464.8971302528</v>
      </c>
      <c r="R82" s="15" t="n">
        <f aca="false">Q82-$G$2+$I$2</f>
        <v>15164.9971302528</v>
      </c>
      <c r="S82" s="42" t="n">
        <f aca="false">R82/$K$2</f>
        <v>129.085777411073</v>
      </c>
      <c r="T82" s="43" t="n">
        <f aca="false">S82-$M$2</f>
        <v>-18.0882096505548</v>
      </c>
    </row>
    <row r="83" customFormat="false" ht="15" hidden="false" customHeight="false" outlineLevel="0" collapsed="false">
      <c r="A83" s="5" t="n">
        <v>6</v>
      </c>
      <c r="B83" s="25" t="n">
        <f aca="false">IF(T82&gt;0,B82,D82)</f>
        <v>0.015625</v>
      </c>
      <c r="C83" s="25" t="n">
        <f aca="false">IF(T82&gt;0,D82,C82)</f>
        <v>0.0625</v>
      </c>
      <c r="D83" s="41" t="n">
        <f aca="false">(B83+C83)/2</f>
        <v>0.0390625</v>
      </c>
      <c r="E83" s="15" t="n">
        <f aca="false">$C$2*(1+IF(E$3&lt;=$O$2,$D83,$D83-($D83-$I$76)*MIN(E$3-$O$2,$Q$2)/$Q$2))</f>
        <v>6691.5625</v>
      </c>
      <c r="F83" s="15" t="n">
        <f aca="false">E83*(1+IF(F$3&lt;=$O$2,$D83,$D83-($D83-$I$76)*MIN(F$3-$O$2,$Q$2)/$Q$2))</f>
        <v>6952.95166015625</v>
      </c>
      <c r="G83" s="15" t="n">
        <f aca="false">F83*(1+IF(G$3&lt;=$O$2,$D83,$D83-($D83-$I$76)*MIN(G$3-$O$2,$Q$2)/$Q$2))</f>
        <v>7224.5513343811</v>
      </c>
      <c r="H83" s="15" t="n">
        <f aca="false">G83*(1+IF(H$3&lt;=$O$2,$D83,$D83-($D83-$I$76)*MIN(H$3-$O$2,$Q$2)/$Q$2))</f>
        <v>7506.76037088037</v>
      </c>
      <c r="I83" s="15" t="n">
        <f aca="false">H83*(1+IF(I$3&lt;=$O$2,$D83,$D83-($D83-$I$76)*MIN(I$3-$O$2,$Q$2)/$Q$2))</f>
        <v>7799.99319786788</v>
      </c>
      <c r="J83" s="15" t="n">
        <f aca="false">I83*(1+IF(J$3&lt;=$O$2,$D83,$D83-($D83-$I$76)*MIN(J$3-$O$2,$Q$2)/$Q$2))</f>
        <v>8080.09095360331</v>
      </c>
      <c r="K83" s="15" t="n">
        <f aca="false">J83*(1+IF(K$3&lt;=$O$2,$D83,$D83-($D83-$I$76)*MIN(K$3-$O$2,$Q$2)/$Q$2))</f>
        <v>8344.77453301597</v>
      </c>
      <c r="L83" s="15" t="n">
        <f aca="false">K83*(1+IF(L$3&lt;=$O$2,$D83,$D83-($D83-$I$76)*MIN(L$3-$O$2,$Q$2)/$Q$2))</f>
        <v>8591.82158306591</v>
      </c>
      <c r="M83" s="15" t="n">
        <f aca="false">L83*(1+IF(M$3&lt;=$O$2,$D83,$D83-($D83-$I$76)*MIN(M$3-$O$2,$Q$2)/$Q$2))</f>
        <v>8819.09674349196</v>
      </c>
      <c r="N83" s="15" t="n">
        <f aca="false">M83*(1+IF(N$3&lt;=$O$2,$D83,$D83-($D83-$I$76)*MIN(N$3-$O$2,$Q$2)/$Q$2))</f>
        <v>9024.58169761533</v>
      </c>
      <c r="O83" s="15" t="n">
        <f aca="false">SUMPRODUCT(E83:N83,1/(1+$F$76)^$E$3:$N$3)*$E$2</f>
        <v>10150.5001071482</v>
      </c>
      <c r="P83" s="15" t="n">
        <f aca="false">N83*$E$2*(1+$I$76)/($F$76-$I$76)/(1+$F$76)^$N$3</f>
        <v>13257.1234365989</v>
      </c>
      <c r="Q83" s="15" t="n">
        <f aca="false">O83+P83</f>
        <v>23407.6235437471</v>
      </c>
      <c r="R83" s="15" t="n">
        <f aca="false">Q83-$G$2+$I$2</f>
        <v>18107.7235437471</v>
      </c>
      <c r="S83" s="42" t="n">
        <f aca="false">R83/$K$2</f>
        <v>154.134521141872</v>
      </c>
      <c r="T83" s="43" t="n">
        <f aca="false">S83-$M$2</f>
        <v>6.96053408024463</v>
      </c>
    </row>
    <row r="84" customFormat="false" ht="15" hidden="false" customHeight="false" outlineLevel="0" collapsed="false">
      <c r="A84" s="5" t="n">
        <v>7</v>
      </c>
      <c r="B84" s="25" t="n">
        <f aca="false">IF(T83&gt;0,B83,D83)</f>
        <v>0.015625</v>
      </c>
      <c r="C84" s="25" t="n">
        <f aca="false">IF(T83&gt;0,D83,C83)</f>
        <v>0.0390625</v>
      </c>
      <c r="D84" s="41" t="n">
        <f aca="false">(B84+C84)/2</f>
        <v>0.02734375</v>
      </c>
      <c r="E84" s="15" t="n">
        <f aca="false">$C$2*(1+IF(E$3&lt;=$O$2,$D84,$D84-($D84-$I$76)*MIN(E$3-$O$2,$Q$2)/$Q$2))</f>
        <v>6616.09375</v>
      </c>
      <c r="F84" s="15" t="n">
        <f aca="false">E84*(1+IF(F$3&lt;=$O$2,$D84,$D84-($D84-$I$76)*MIN(F$3-$O$2,$Q$2)/$Q$2))</f>
        <v>6797.00256347656</v>
      </c>
      <c r="G84" s="15" t="n">
        <f aca="false">F84*(1+IF(G$3&lt;=$O$2,$D84,$D84-($D84-$I$76)*MIN(G$3-$O$2,$Q$2)/$Q$2))</f>
        <v>6982.85810232163</v>
      </c>
      <c r="H84" s="15" t="n">
        <f aca="false">G84*(1+IF(H$3&lt;=$O$2,$D84,$D84-($D84-$I$76)*MIN(H$3-$O$2,$Q$2)/$Q$2))</f>
        <v>7173.79562855698</v>
      </c>
      <c r="I84" s="15" t="n">
        <f aca="false">H84*(1+IF(I$3&lt;=$O$2,$D84,$D84-($D84-$I$76)*MIN(I$3-$O$2,$Q$2)/$Q$2))</f>
        <v>7369.95410277534</v>
      </c>
      <c r="J84" s="15" t="n">
        <f aca="false">I84*(1+IF(J$3&lt;=$O$2,$D84,$D84-($D84-$I$76)*MIN(J$3-$O$2,$Q$2)/$Q$2))</f>
        <v>7565.51583489248</v>
      </c>
      <c r="K84" s="15" t="n">
        <f aca="false">J84*(1+IF(K$3&lt;=$O$2,$D84,$D84-($D84-$I$76)*MIN(K$3-$O$2,$Q$2)/$Q$2))</f>
        <v>7760.14818663988</v>
      </c>
      <c r="L84" s="15" t="n">
        <f aca="false">K84*(1+IF(L$3&lt;=$O$2,$D84,$D84-($D84-$I$76)*MIN(L$3-$O$2,$Q$2)/$Q$2))</f>
        <v>7953.51167908048</v>
      </c>
      <c r="M84" s="15" t="n">
        <f aca="false">L84*(1+IF(M$3&lt;=$O$2,$D84,$D84-($D84-$I$76)*MIN(M$3-$O$2,$Q$2)/$Q$2))</f>
        <v>8145.26090377351</v>
      </c>
      <c r="N84" s="15" t="n">
        <f aca="false">M84*(1+IF(N$3&lt;=$O$2,$D84,$D84-($D84-$I$76)*MIN(N$3-$O$2,$Q$2)/$Q$2))</f>
        <v>8335.04548283143</v>
      </c>
      <c r="O84" s="15" t="n">
        <f aca="false">SUMPRODUCT(E84:N84,1/(1+$F$76)^$E$3:$N$3)*$E$2</f>
        <v>9645.17436513095</v>
      </c>
      <c r="P84" s="15" t="n">
        <f aca="false">N84*$E$2*(1+$I$76)/($F$76-$I$76)/(1+$F$76)^$N$3</f>
        <v>12244.193749696</v>
      </c>
      <c r="Q84" s="15" t="n">
        <f aca="false">O84+P84</f>
        <v>21889.368114827</v>
      </c>
      <c r="R84" s="15" t="n">
        <f aca="false">Q84-$G$2+$I$2</f>
        <v>16589.468114827</v>
      </c>
      <c r="S84" s="42" t="n">
        <f aca="false">R84/$K$2</f>
        <v>141.210998594033</v>
      </c>
      <c r="T84" s="43" t="n">
        <f aca="false">S84-$M$2</f>
        <v>-5.96298846759484</v>
      </c>
    </row>
    <row r="85" customFormat="false" ht="15" hidden="false" customHeight="false" outlineLevel="0" collapsed="false">
      <c r="A85" s="5" t="n">
        <v>8</v>
      </c>
      <c r="B85" s="25" t="n">
        <f aca="false">IF(T84&gt;0,B84,D84)</f>
        <v>0.02734375</v>
      </c>
      <c r="C85" s="25" t="n">
        <f aca="false">IF(T84&gt;0,D84,C84)</f>
        <v>0.0390625</v>
      </c>
      <c r="D85" s="41" t="n">
        <f aca="false">(B85+C85)/2</f>
        <v>0.033203125</v>
      </c>
      <c r="E85" s="15" t="n">
        <f aca="false">$C$2*(1+IF(E$3&lt;=$O$2,$D85,$D85-($D85-$I$76)*MIN(E$3-$O$2,$Q$2)/$Q$2))</f>
        <v>6653.828125</v>
      </c>
      <c r="F85" s="15" t="n">
        <f aca="false">E85*(1+IF(F$3&lt;=$O$2,$D85,$D85-($D85-$I$76)*MIN(F$3-$O$2,$Q$2)/$Q$2))</f>
        <v>6874.75601196289</v>
      </c>
      <c r="G85" s="15" t="n">
        <f aca="false">F85*(1+IF(G$3&lt;=$O$2,$D85,$D85-($D85-$I$76)*MIN(G$3-$O$2,$Q$2)/$Q$2))</f>
        <v>7103.0193951726</v>
      </c>
      <c r="H85" s="15" t="n">
        <f aca="false">G85*(1+IF(H$3&lt;=$O$2,$D85,$D85-($D85-$I$76)*MIN(H$3-$O$2,$Q$2)/$Q$2))</f>
        <v>7338.86183602794</v>
      </c>
      <c r="I85" s="15" t="n">
        <f aca="false">H85*(1+IF(I$3&lt;=$O$2,$D85,$D85-($D85-$I$76)*MIN(I$3-$O$2,$Q$2)/$Q$2))</f>
        <v>7582.5349829273</v>
      </c>
      <c r="J85" s="15" t="n">
        <f aca="false">I85*(1+IF(J$3&lt;=$O$2,$D85,$D85-($D85-$I$76)*MIN(J$3-$O$2,$Q$2)/$Q$2))</f>
        <v>7819.28068143175</v>
      </c>
      <c r="K85" s="15" t="n">
        <f aca="false">J85*(1+IF(K$3&lt;=$O$2,$D85,$D85-($D85-$I$76)*MIN(K$3-$O$2,$Q$2)/$Q$2))</f>
        <v>8047.93110970809</v>
      </c>
      <c r="L85" s="15" t="n">
        <f aca="false">K85*(1+IF(L$3&lt;=$O$2,$D85,$D85-($D85-$I$76)*MIN(L$3-$O$2,$Q$2)/$Q$2))</f>
        <v>8267.32777167262</v>
      </c>
      <c r="M85" s="15" t="n">
        <f aca="false">L85*(1+IF(M$3&lt;=$O$2,$D85,$D85-($D85-$I$76)*MIN(M$3-$O$2,$Q$2)/$Q$2))</f>
        <v>8476.33098482036</v>
      </c>
      <c r="N85" s="15" t="n">
        <f aca="false">M85*(1+IF(N$3&lt;=$O$2,$D85,$D85-($D85-$I$76)*MIN(N$3-$O$2,$Q$2)/$Q$2))</f>
        <v>8673.82949676668</v>
      </c>
      <c r="O85" s="15" t="n">
        <f aca="false">SUMPRODUCT(E85:N85,1/(1+$F$76)^$E$3:$N$3)*$E$2</f>
        <v>9894.56977824992</v>
      </c>
      <c r="P85" s="15" t="n">
        <f aca="false">N85*$E$2*(1+$I$76)/($F$76-$I$76)/(1+$F$76)^$N$3</f>
        <v>12741.8679512906</v>
      </c>
      <c r="Q85" s="15" t="n">
        <f aca="false">O85+P85</f>
        <v>22636.4377295405</v>
      </c>
      <c r="R85" s="15" t="n">
        <f aca="false">Q85-$G$2+$I$2</f>
        <v>17336.5377295405</v>
      </c>
      <c r="S85" s="42" t="n">
        <f aca="false">R85/$K$2</f>
        <v>147.570120271881</v>
      </c>
      <c r="T85" s="43" t="n">
        <f aca="false">S85-$M$2</f>
        <v>0.396133210253026</v>
      </c>
    </row>
    <row r="86" customFormat="false" ht="15" hidden="false" customHeight="false" outlineLevel="0" collapsed="false">
      <c r="A86" s="5" t="n">
        <v>9</v>
      </c>
      <c r="B86" s="25" t="n">
        <f aca="false">IF(T85&gt;0,B85,D85)</f>
        <v>0.02734375</v>
      </c>
      <c r="C86" s="25" t="n">
        <f aca="false">IF(T85&gt;0,D85,C85)</f>
        <v>0.033203125</v>
      </c>
      <c r="D86" s="41" t="n">
        <f aca="false">(B86+C86)/2</f>
        <v>0.0302734375</v>
      </c>
      <c r="E86" s="15" t="n">
        <f aca="false">$C$2*(1+IF(E$3&lt;=$O$2,$D86,$D86-($D86-$I$76)*MIN(E$3-$O$2,$Q$2)/$Q$2))</f>
        <v>6634.9609375</v>
      </c>
      <c r="F86" s="15" t="n">
        <f aca="false">E86*(1+IF(F$3&lt;=$O$2,$D86,$D86-($D86-$I$76)*MIN(F$3-$O$2,$Q$2)/$Q$2))</f>
        <v>6835.82401275635</v>
      </c>
      <c r="G86" s="15" t="n">
        <f aca="false">F86*(1+IF(G$3&lt;=$O$2,$D86,$D86-($D86-$I$76)*MIN(G$3-$O$2,$Q$2)/$Q$2))</f>
        <v>7042.76790376753</v>
      </c>
      <c r="H86" s="15" t="n">
        <f aca="false">G86*(1+IF(H$3&lt;=$O$2,$D86,$D86-($D86-$I$76)*MIN(H$3-$O$2,$Q$2)/$Q$2))</f>
        <v>7255.97669772924</v>
      </c>
      <c r="I86" s="15" t="n">
        <f aca="false">H86*(1+IF(I$3&lt;=$O$2,$D86,$D86-($D86-$I$76)*MIN(I$3-$O$2,$Q$2)/$Q$2))</f>
        <v>7475.6400547894</v>
      </c>
      <c r="J86" s="15" t="n">
        <f aca="false">I86*(1+IF(J$3&lt;=$O$2,$D86,$D86-($D86-$I$76)*MIN(J$3-$O$2,$Q$2)/$Q$2))</f>
        <v>7691.52719502165</v>
      </c>
      <c r="K86" s="15" t="n">
        <f aca="false">J86*(1+IF(K$3&lt;=$O$2,$D86,$D86-($D86-$I$76)*MIN(K$3-$O$2,$Q$2)/$Q$2))</f>
        <v>7902.92160917008</v>
      </c>
      <c r="L86" s="15" t="n">
        <f aca="false">K86*(1+IF(L$3&lt;=$O$2,$D86,$D86-($D86-$I$76)*MIN(L$3-$O$2,$Q$2)/$Q$2))</f>
        <v>8109.10389462732</v>
      </c>
      <c r="M86" s="15" t="n">
        <f aca="false">L86*(1+IF(M$3&lt;=$O$2,$D86,$D86-($D86-$I$76)*MIN(M$3-$O$2,$Q$2)/$Q$2))</f>
        <v>8309.35568121017</v>
      </c>
      <c r="N86" s="15" t="n">
        <f aca="false">M86*(1+IF(N$3&lt;=$O$2,$D86,$D86-($D86-$I$76)*MIN(N$3-$O$2,$Q$2)/$Q$2))</f>
        <v>8502.96366858237</v>
      </c>
      <c r="O86" s="15" t="n">
        <f aca="false">SUMPRODUCT(E86:N86,1/(1+$F$76)^$E$3:$N$3)*$E$2</f>
        <v>9769.06510505372</v>
      </c>
      <c r="P86" s="15" t="n">
        <f aca="false">N86*$E$2*(1+$I$76)/($F$76-$I$76)/(1+$F$76)^$N$3</f>
        <v>12490.8658050155</v>
      </c>
      <c r="Q86" s="15" t="n">
        <f aca="false">O86+P86</f>
        <v>22259.9309100693</v>
      </c>
      <c r="R86" s="15" t="n">
        <f aca="false">Q86-$G$2+$I$2</f>
        <v>16960.0309100693</v>
      </c>
      <c r="S86" s="42" t="n">
        <f aca="false">R86/$K$2</f>
        <v>144.365261406786</v>
      </c>
      <c r="T86" s="43" t="n">
        <f aca="false">S86-$M$2</f>
        <v>-2.80872565484114</v>
      </c>
    </row>
    <row r="87" customFormat="false" ht="15" hidden="false" customHeight="false" outlineLevel="0" collapsed="false">
      <c r="A87" s="5" t="n">
        <v>10</v>
      </c>
      <c r="B87" s="25" t="n">
        <f aca="false">IF(T86&gt;0,B86,D86)</f>
        <v>0.0302734375</v>
      </c>
      <c r="C87" s="25" t="n">
        <f aca="false">IF(T86&gt;0,D86,C86)</f>
        <v>0.033203125</v>
      </c>
      <c r="D87" s="41" t="n">
        <f aca="false">(B87+C87)/2</f>
        <v>0.03173828125</v>
      </c>
      <c r="E87" s="15" t="n">
        <f aca="false">$C$2*(1+IF(E$3&lt;=$O$2,$D87,$D87-($D87-$I$76)*MIN(E$3-$O$2,$Q$2)/$Q$2))</f>
        <v>6644.39453125</v>
      </c>
      <c r="F87" s="15" t="n">
        <f aca="false">E87*(1+IF(F$3&lt;=$O$2,$D87,$D87-($D87-$I$76)*MIN(F$3-$O$2,$Q$2)/$Q$2))</f>
        <v>6855.27619361877</v>
      </c>
      <c r="G87" s="15" t="n">
        <f aca="false">F87*(1+IF(G$3&lt;=$O$2,$D87,$D87-($D87-$I$76)*MIN(G$3-$O$2,$Q$2)/$Q$2))</f>
        <v>7072.85087749828</v>
      </c>
      <c r="H87" s="15" t="n">
        <f aca="false">G87*(1+IF(H$3&lt;=$O$2,$D87,$D87-($D87-$I$76)*MIN(H$3-$O$2,$Q$2)/$Q$2))</f>
        <v>7297.33100788763</v>
      </c>
      <c r="I87" s="15" t="n">
        <f aca="false">H87*(1+IF(I$3&lt;=$O$2,$D87,$D87-($D87-$I$76)*MIN(I$3-$O$2,$Q$2)/$Q$2))</f>
        <v>7528.93575179031</v>
      </c>
      <c r="J87" s="15" t="n">
        <f aca="false">I87*(1+IF(J$3&lt;=$O$2,$D87,$D87-($D87-$I$76)*MIN(J$3-$O$2,$Q$2)/$Q$2))</f>
        <v>7755.18497671645</v>
      </c>
      <c r="K87" s="15" t="n">
        <f aca="false">J87*(1+IF(K$3&lt;=$O$2,$D87,$D87-($D87-$I$76)*MIN(K$3-$O$2,$Q$2)/$Q$2))</f>
        <v>7975.14504586153</v>
      </c>
      <c r="L87" s="15" t="n">
        <f aca="false">K87*(1+IF(L$3&lt;=$O$2,$D87,$D87-($D87-$I$76)*MIN(L$3-$O$2,$Q$2)/$Q$2))</f>
        <v>8187.88453219272</v>
      </c>
      <c r="M87" s="15" t="n">
        <f aca="false">L87*(1+IF(M$3&lt;=$O$2,$D87,$D87-($D87-$I$76)*MIN(M$3-$O$2,$Q$2)/$Q$2))</f>
        <v>8392.48057629784</v>
      </c>
      <c r="N87" s="15" t="n">
        <f aca="false">M87*(1+IF(N$3&lt;=$O$2,$D87,$D87-($D87-$I$76)*MIN(N$3-$O$2,$Q$2)/$Q$2))</f>
        <v>8588.02537372558</v>
      </c>
      <c r="O87" s="15" t="n">
        <f aca="false">SUMPRODUCT(E87:N87,1/(1+$F$76)^$E$3:$N$3)*$E$2</f>
        <v>9831.61447094536</v>
      </c>
      <c r="P87" s="15" t="n">
        <f aca="false">N87*$E$2*(1+$I$76)/($F$76-$I$76)/(1+$F$76)^$N$3</f>
        <v>12615.8215716755</v>
      </c>
      <c r="Q87" s="15" t="n">
        <f aca="false">O87+P87</f>
        <v>22447.4360426209</v>
      </c>
      <c r="R87" s="15" t="n">
        <f aca="false">Q87-$G$2+$I$2</f>
        <v>17147.5360426209</v>
      </c>
      <c r="S87" s="42" t="n">
        <f aca="false">R87/$K$2</f>
        <v>145.96132143872</v>
      </c>
      <c r="T87" s="43" t="n">
        <f aca="false">S87-$M$2</f>
        <v>-1.21266562290705</v>
      </c>
    </row>
    <row r="88" customFormat="false" ht="15" hidden="false" customHeight="false" outlineLevel="0" collapsed="false">
      <c r="A88" s="5" t="n">
        <v>11</v>
      </c>
      <c r="B88" s="25" t="n">
        <f aca="false">IF(T87&gt;0,B87,D87)</f>
        <v>0.03173828125</v>
      </c>
      <c r="C88" s="25" t="n">
        <f aca="false">IF(T87&gt;0,D87,C87)</f>
        <v>0.033203125</v>
      </c>
      <c r="D88" s="41" t="n">
        <f aca="false">(B88+C88)/2</f>
        <v>0.032470703125</v>
      </c>
      <c r="E88" s="15" t="n">
        <f aca="false">$C$2*(1+IF(E$3&lt;=$O$2,$D88,$D88-($D88-$I$76)*MIN(E$3-$O$2,$Q$2)/$Q$2))</f>
        <v>6649.111328125</v>
      </c>
      <c r="F88" s="15" t="n">
        <f aca="false">E88*(1+IF(F$3&lt;=$O$2,$D88,$D88-($D88-$I$76)*MIN(F$3-$O$2,$Q$2)/$Q$2))</f>
        <v>6865.01264810562</v>
      </c>
      <c r="G88" s="15" t="n">
        <f aca="false">F88*(1+IF(G$3&lt;=$O$2,$D88,$D88-($D88-$I$76)*MIN(G$3-$O$2,$Q$2)/$Q$2))</f>
        <v>7087.92443575163</v>
      </c>
      <c r="H88" s="15" t="n">
        <f aca="false">G88*(1+IF(H$3&lt;=$O$2,$D88,$D88-($D88-$I$76)*MIN(H$3-$O$2,$Q$2)/$Q$2))</f>
        <v>7318.07432587735</v>
      </c>
      <c r="I88" s="15" t="n">
        <f aca="false">H88*(1+IF(I$3&lt;=$O$2,$D88,$D88-($D88-$I$76)*MIN(I$3-$O$2,$Q$2)/$Q$2))</f>
        <v>7555.6973447596</v>
      </c>
      <c r="J88" s="15" t="n">
        <f aca="false">I88*(1+IF(J$3&lt;=$O$2,$D88,$D88-($D88-$I$76)*MIN(J$3-$O$2,$Q$2)/$Q$2))</f>
        <v>7787.17793869341</v>
      </c>
      <c r="K88" s="15" t="n">
        <f aca="false">J88*(1+IF(K$3&lt;=$O$2,$D88,$D88-($D88-$I$76)*MIN(K$3-$O$2,$Q$2)/$Q$2))</f>
        <v>8011.46752289936</v>
      </c>
      <c r="L88" s="15" t="n">
        <f aca="false">K88*(1+IF(L$3&lt;=$O$2,$D88,$D88-($D88-$I$76)*MIN(L$3-$O$2,$Q$2)/$Q$2))</f>
        <v>8227.52303228215</v>
      </c>
      <c r="M88" s="15" t="n">
        <f aca="false">L88*(1+IF(M$3&lt;=$O$2,$D88,$D88-($D88-$I$76)*MIN(M$3-$O$2,$Q$2)/$Q$2))</f>
        <v>8434.31475317095</v>
      </c>
      <c r="N88" s="15" t="n">
        <f aca="false">M88*(1+IF(N$3&lt;=$O$2,$D88,$D88-($D88-$I$76)*MIN(N$3-$O$2,$Q$2)/$Q$2))</f>
        <v>8630.83428691984</v>
      </c>
      <c r="O88" s="15" t="n">
        <f aca="false">SUMPRODUCT(E88:N88,1/(1+$F$76)^$E$3:$N$3)*$E$2</f>
        <v>9863.04122757699</v>
      </c>
      <c r="P88" s="15" t="n">
        <f aca="false">N88*$E$2*(1+$I$76)/($F$76-$I$76)/(1+$F$76)^$N$3</f>
        <v>12678.7079264584</v>
      </c>
      <c r="Q88" s="15" t="n">
        <f aca="false">O88+P88</f>
        <v>22541.7491540354</v>
      </c>
      <c r="R88" s="15" t="n">
        <f aca="false">Q88-$G$2+$I$2</f>
        <v>17241.8491540354</v>
      </c>
      <c r="S88" s="42" t="n">
        <f aca="false">R88/$K$2</f>
        <v>146.764122863767</v>
      </c>
      <c r="T88" s="43" t="n">
        <f aca="false">S88-$M$2</f>
        <v>-0.409864197860486</v>
      </c>
    </row>
    <row r="89" customFormat="false" ht="15" hidden="false" customHeight="false" outlineLevel="0" collapsed="false">
      <c r="A89" s="5" t="n">
        <v>12</v>
      </c>
      <c r="B89" s="25" t="n">
        <f aca="false">IF(T88&gt;0,B88,D88)</f>
        <v>0.032470703125</v>
      </c>
      <c r="C89" s="25" t="n">
        <f aca="false">IF(T88&gt;0,D88,C88)</f>
        <v>0.033203125</v>
      </c>
      <c r="D89" s="41" t="n">
        <f aca="false">(B89+C89)/2</f>
        <v>0.0328369140625</v>
      </c>
      <c r="E89" s="15" t="n">
        <f aca="false">$C$2*(1+IF(E$3&lt;=$O$2,$D89,$D89-($D89-$I$76)*MIN(E$3-$O$2,$Q$2)/$Q$2))</f>
        <v>6651.4697265625</v>
      </c>
      <c r="F89" s="15" t="n">
        <f aca="false">E89*(1+IF(F$3&lt;=$O$2,$D89,$D89-($D89-$I$76)*MIN(F$3-$O$2,$Q$2)/$Q$2))</f>
        <v>6869.88346636295</v>
      </c>
      <c r="G89" s="15" t="n">
        <f aca="false">F89*(1+IF(G$3&lt;=$O$2,$D89,$D89-($D89-$I$76)*MIN(G$3-$O$2,$Q$2)/$Q$2))</f>
        <v>7095.4692393673</v>
      </c>
      <c r="H89" s="15" t="n">
        <f aca="false">G89*(1+IF(H$3&lt;=$O$2,$D89,$D89-($D89-$I$76)*MIN(H$3-$O$2,$Q$2)/$Q$2))</f>
        <v>7328.46255301352</v>
      </c>
      <c r="I89" s="15" t="n">
        <f aca="false">H89*(1+IF(I$3&lt;=$O$2,$D89,$D89-($D89-$I$76)*MIN(I$3-$O$2,$Q$2)/$Q$2))</f>
        <v>7569.10664807707</v>
      </c>
      <c r="J89" s="15" t="n">
        <f aca="false">I89*(1+IF(J$3&lt;=$O$2,$D89,$D89-($D89-$I$76)*MIN(J$3-$O$2,$Q$2)/$Q$2))</f>
        <v>7803.21556868336</v>
      </c>
      <c r="K89" s="15" t="n">
        <f aca="false">J89*(1+IF(K$3&lt;=$O$2,$D89,$D89-($D89-$I$76)*MIN(K$3-$O$2,$Q$2)/$Q$2))</f>
        <v>8029.6816492075</v>
      </c>
      <c r="L89" s="15" t="n">
        <f aca="false">K89*(1+IF(L$3&lt;=$O$2,$D89,$D89-($D89-$I$76)*MIN(L$3-$O$2,$Q$2)/$Q$2))</f>
        <v>8247.40458516912</v>
      </c>
      <c r="M89" s="15" t="n">
        <f aca="false">L89*(1+IF(M$3&lt;=$O$2,$D89,$D89-($D89-$I$76)*MIN(M$3-$O$2,$Q$2)/$Q$2))</f>
        <v>8455.30006975704</v>
      </c>
      <c r="N89" s="15" t="n">
        <f aca="false">M89*(1+IF(N$3&lt;=$O$2,$D89,$D89-($D89-$I$76)*MIN(N$3-$O$2,$Q$2)/$Q$2))</f>
        <v>8652.30856138238</v>
      </c>
      <c r="O89" s="15" t="n">
        <f aca="false">SUMPRODUCT(E89:N89,1/(1+$F$76)^$E$3:$N$3)*$E$2</f>
        <v>9878.79275932057</v>
      </c>
      <c r="P89" s="15" t="n">
        <f aca="false">N89*$E$2*(1+$I$76)/($F$76-$I$76)/(1+$F$76)^$N$3</f>
        <v>12710.2536663941</v>
      </c>
      <c r="Q89" s="15" t="n">
        <f aca="false">O89+P89</f>
        <v>22589.0464257146</v>
      </c>
      <c r="R89" s="15" t="n">
        <f aca="false">Q89-$G$2+$I$2</f>
        <v>17289.1464257146</v>
      </c>
      <c r="S89" s="42" t="n">
        <f aca="false">R89/$K$2</f>
        <v>147.16672136291</v>
      </c>
      <c r="T89" s="43" t="n">
        <f aca="false">S89-$M$2</f>
        <v>-0.00726569871790161</v>
      </c>
    </row>
    <row r="90" customFormat="false" ht="15" hidden="false" customHeight="false" outlineLevel="0" collapsed="false">
      <c r="A90" s="5" t="n">
        <v>13</v>
      </c>
      <c r="B90" s="25" t="n">
        <f aca="false">IF(T89&gt;0,B89,D89)</f>
        <v>0.0328369140625</v>
      </c>
      <c r="C90" s="25" t="n">
        <f aca="false">IF(T89&gt;0,D89,C89)</f>
        <v>0.033203125</v>
      </c>
      <c r="D90" s="41" t="n">
        <f aca="false">(B90+C90)/2</f>
        <v>0.03302001953125</v>
      </c>
      <c r="E90" s="15" t="n">
        <f aca="false">$C$2*(1+IF(E$3&lt;=$O$2,$D90,$D90-($D90-$I$76)*MIN(E$3-$O$2,$Q$2)/$Q$2))</f>
        <v>6652.64892578125</v>
      </c>
      <c r="F90" s="15" t="n">
        <f aca="false">E90*(1+IF(F$3&lt;=$O$2,$D90,$D90-($D90-$I$76)*MIN(F$3-$O$2,$Q$2)/$Q$2))</f>
        <v>6872.3195232451</v>
      </c>
      <c r="G90" s="15" t="n">
        <f aca="false">F90*(1+IF(G$3&lt;=$O$2,$D90,$D90-($D90-$I$76)*MIN(G$3-$O$2,$Q$2)/$Q$2))</f>
        <v>7099.24364812764</v>
      </c>
      <c r="H90" s="15" t="n">
        <f aca="false">G90*(1+IF(H$3&lt;=$O$2,$D90,$D90-($D90-$I$76)*MIN(H$3-$O$2,$Q$2)/$Q$2))</f>
        <v>7333.66081204592</v>
      </c>
      <c r="I90" s="15" t="n">
        <f aca="false">H90*(1+IF(I$3&lt;=$O$2,$D90,$D90-($D90-$I$76)*MIN(I$3-$O$2,$Q$2)/$Q$2))</f>
        <v>7575.81843529524</v>
      </c>
      <c r="J90" s="15" t="n">
        <f aca="false">I90*(1+IF(J$3&lt;=$O$2,$D90,$D90-($D90-$I$76)*MIN(J$3-$O$2,$Q$2)/$Q$2))</f>
        <v>7811.24468736263</v>
      </c>
      <c r="K90" s="15" t="n">
        <f aca="false">J90*(1+IF(K$3&lt;=$O$2,$D90,$D90-($D90-$I$76)*MIN(K$3-$O$2,$Q$2)/$Q$2))</f>
        <v>8038.80195913291</v>
      </c>
      <c r="L90" s="15" t="n">
        <f aca="false">K90*(1+IF(L$3&lt;=$O$2,$D90,$D90-($D90-$I$76)*MIN(L$3-$O$2,$Q$2)/$Q$2))</f>
        <v>8257.36096960095</v>
      </c>
      <c r="M90" s="15" t="n">
        <f aca="false">L90*(1+IF(M$3&lt;=$O$2,$D90,$D90-($D90-$I$76)*MIN(M$3-$O$2,$Q$2)/$Q$2))</f>
        <v>8465.80982217287</v>
      </c>
      <c r="N90" s="15" t="n">
        <f aca="false">M90*(1+IF(N$3&lt;=$O$2,$D90,$D90-($D90-$I$76)*MIN(N$3-$O$2,$Q$2)/$Q$2))</f>
        <v>8663.0631910295</v>
      </c>
      <c r="O90" s="15" t="n">
        <f aca="false">SUMPRODUCT(E90:N90,1/(1+$F$76)^$E$3:$N$3)*$E$2</f>
        <v>9886.67808046701</v>
      </c>
      <c r="P90" s="15" t="n">
        <f aca="false">N90*$E$2*(1+$I$76)/($F$76-$I$76)/(1+$F$76)^$N$3</f>
        <v>12726.0522327458</v>
      </c>
      <c r="Q90" s="15" t="n">
        <f aca="false">O90+P90</f>
        <v>22612.7303132128</v>
      </c>
      <c r="R90" s="15" t="n">
        <f aca="false">Q90-$G$2+$I$2</f>
        <v>17312.8303132128</v>
      </c>
      <c r="S90" s="42" t="n">
        <f aca="false">R90/$K$2</f>
        <v>147.368320677671</v>
      </c>
      <c r="T90" s="43" t="n">
        <f aca="false">S90-$M$2</f>
        <v>0.194333616043878</v>
      </c>
    </row>
    <row r="91" customFormat="false" ht="15" hidden="false" customHeight="false" outlineLevel="0" collapsed="false">
      <c r="A91" s="5" t="n">
        <v>14</v>
      </c>
      <c r="B91" s="25" t="n">
        <f aca="false">IF(T90&gt;0,B90,D90)</f>
        <v>0.0328369140625</v>
      </c>
      <c r="C91" s="25" t="n">
        <f aca="false">IF(T90&gt;0,D90,C90)</f>
        <v>0.03302001953125</v>
      </c>
      <c r="D91" s="41" t="n">
        <f aca="false">(B91+C91)/2</f>
        <v>0.032928466796875</v>
      </c>
      <c r="E91" s="15" t="n">
        <f aca="false">$C$2*(1+IF(E$3&lt;=$O$2,$D91,$D91-($D91-$I$76)*MIN(E$3-$O$2,$Q$2)/$Q$2))</f>
        <v>6652.05932617188</v>
      </c>
      <c r="F91" s="15" t="n">
        <f aca="false">E91*(1+IF(F$3&lt;=$O$2,$D91,$D91-($D91-$I$76)*MIN(F$3-$O$2,$Q$2)/$Q$2))</f>
        <v>6871.10144082457</v>
      </c>
      <c r="G91" s="15" t="n">
        <f aca="false">F91*(1+IF(G$3&lt;=$O$2,$D91,$D91-($D91-$I$76)*MIN(G$3-$O$2,$Q$2)/$Q$2))</f>
        <v>7097.35627647672</v>
      </c>
      <c r="H91" s="15" t="n">
        <f aca="false">G91*(1+IF(H$3&lt;=$O$2,$D91,$D91-($D91-$I$76)*MIN(H$3-$O$2,$Q$2)/$Q$2))</f>
        <v>7331.06133697228</v>
      </c>
      <c r="I91" s="15" t="n">
        <f aca="false">H91*(1+IF(I$3&lt;=$O$2,$D91,$D91-($D91-$I$76)*MIN(I$3-$O$2,$Q$2)/$Q$2))</f>
        <v>7572.46194679262</v>
      </c>
      <c r="J91" s="15" t="n">
        <f aca="false">I91*(1+IF(J$3&lt;=$O$2,$D91,$D91-($D91-$I$76)*MIN(J$3-$O$2,$Q$2)/$Q$2))</f>
        <v>7807.22926889312</v>
      </c>
      <c r="K91" s="15" t="n">
        <f aca="false">J91*(1+IF(K$3&lt;=$O$2,$D91,$D91-($D91-$I$76)*MIN(K$3-$O$2,$Q$2)/$Q$2))</f>
        <v>8034.24069953301</v>
      </c>
      <c r="L91" s="15" t="n">
        <f aca="false">K91*(1+IF(L$3&lt;=$O$2,$D91,$D91-($D91-$I$76)*MIN(L$3-$O$2,$Q$2)/$Q$2))</f>
        <v>8252.38147575755</v>
      </c>
      <c r="M91" s="15" t="n">
        <f aca="false">L91*(1+IF(M$3&lt;=$O$2,$D91,$D91-($D91-$I$76)*MIN(M$3-$O$2,$Q$2)/$Q$2))</f>
        <v>8460.5535203496</v>
      </c>
      <c r="N91" s="15" t="n">
        <f aca="false">M91*(1+IF(N$3&lt;=$O$2,$D91,$D91-($D91-$I$76)*MIN(N$3-$O$2,$Q$2)/$Q$2))</f>
        <v>8657.68441737375</v>
      </c>
      <c r="O91" s="15" t="n">
        <f aca="false">SUMPRODUCT(E91:N91,1/(1+$F$76)^$E$3:$N$3)*$E$2</f>
        <v>9882.73462311686</v>
      </c>
      <c r="P91" s="15" t="n">
        <f aca="false">N91*$E$2*(1+$I$76)/($F$76-$I$76)/(1+$F$76)^$N$3</f>
        <v>12718.1508065434</v>
      </c>
      <c r="Q91" s="15" t="n">
        <f aca="false">O91+P91</f>
        <v>22600.8854296602</v>
      </c>
      <c r="R91" s="15" t="n">
        <f aca="false">Q91-$G$2+$I$2</f>
        <v>17300.9854296602</v>
      </c>
      <c r="S91" s="42" t="n">
        <f aca="false">R91/$K$2</f>
        <v>147.267495996427</v>
      </c>
      <c r="T91" s="43" t="n">
        <f aca="false">S91-$M$2</f>
        <v>0.0935089347992175</v>
      </c>
    </row>
    <row r="92" customFormat="false" ht="15" hidden="false" customHeight="false" outlineLevel="0" collapsed="false">
      <c r="A92" s="5" t="n">
        <v>15</v>
      </c>
      <c r="B92" s="25" t="n">
        <f aca="false">IF(T91&gt;0,B91,D91)</f>
        <v>0.0328369140625</v>
      </c>
      <c r="C92" s="25" t="n">
        <f aca="false">IF(T91&gt;0,D91,C91)</f>
        <v>0.032928466796875</v>
      </c>
      <c r="D92" s="41" t="n">
        <f aca="false">(B92+C92)/2</f>
        <v>0.0328826904296875</v>
      </c>
      <c r="E92" s="15" t="n">
        <f aca="false">$C$2*(1+IF(E$3&lt;=$O$2,$D92,$D92-($D92-$I$76)*MIN(E$3-$O$2,$Q$2)/$Q$2))</f>
        <v>6651.76452636719</v>
      </c>
      <c r="F92" s="15" t="n">
        <f aca="false">E92*(1+IF(F$3&lt;=$O$2,$D92,$D92-($D92-$I$76)*MIN(F$3-$O$2,$Q$2)/$Q$2))</f>
        <v>6870.4924400989</v>
      </c>
      <c r="G92" s="15" t="n">
        <f aca="false">F92*(1+IF(G$3&lt;=$O$2,$D92,$D92-($D92-$I$76)*MIN(G$3-$O$2,$Q$2)/$Q$2))</f>
        <v>7096.41271610618</v>
      </c>
      <c r="H92" s="15" t="n">
        <f aca="false">G92*(1+IF(H$3&lt;=$O$2,$D92,$D92-($D92-$I$76)*MIN(H$3-$O$2,$Q$2)/$Q$2))</f>
        <v>7329.76185861119</v>
      </c>
      <c r="I92" s="15" t="n">
        <f aca="false">H92*(1+IF(I$3&lt;=$O$2,$D92,$D92-($D92-$I$76)*MIN(I$3-$O$2,$Q$2)/$Q$2))</f>
        <v>7570.78414873124</v>
      </c>
      <c r="J92" s="15" t="n">
        <f aca="false">I92*(1+IF(J$3&lt;=$O$2,$D92,$D92-($D92-$I$76)*MIN(J$3-$O$2,$Q$2)/$Q$2))</f>
        <v>7805.2222040425</v>
      </c>
      <c r="K92" s="15" t="n">
        <f aca="false">J92*(1+IF(K$3&lt;=$O$2,$D92,$D92-($D92-$I$76)*MIN(K$3-$O$2,$Q$2)/$Q$2))</f>
        <v>8031.96089826644</v>
      </c>
      <c r="L92" s="15" t="n">
        <f aca="false">K92*(1+IF(L$3&lt;=$O$2,$D92,$D92-($D92-$I$76)*MIN(L$3-$O$2,$Q$2)/$Q$2))</f>
        <v>8249.89270512863</v>
      </c>
      <c r="M92" s="15" t="n">
        <f aca="false">L92*(1+IF(M$3&lt;=$O$2,$D92,$D92-($D92-$I$76)*MIN(M$3-$O$2,$Q$2)/$Q$2))</f>
        <v>8457.9264387324</v>
      </c>
      <c r="N92" s="15" t="n">
        <f aca="false">M92*(1+IF(N$3&lt;=$O$2,$D92,$D92-($D92-$I$76)*MIN(N$3-$O$2,$Q$2)/$Q$2))</f>
        <v>8654.99612475487</v>
      </c>
      <c r="O92" s="15" t="n">
        <f aca="false">SUMPRODUCT(E92:N92,1/(1+$F$76)^$E$3:$N$3)*$E$2</f>
        <v>9880.7634920623</v>
      </c>
      <c r="P92" s="15" t="n">
        <f aca="false">N92*$E$2*(1+$I$76)/($F$76-$I$76)/(1+$F$76)^$N$3</f>
        <v>12714.2017008367</v>
      </c>
      <c r="Q92" s="15" t="n">
        <f aca="false">O92+P92</f>
        <v>22594.965192899</v>
      </c>
      <c r="R92" s="15" t="n">
        <f aca="false">Q92-$G$2+$I$2</f>
        <v>17295.065192899</v>
      </c>
      <c r="S92" s="42" t="n">
        <f aca="false">R92/$K$2</f>
        <v>147.217102425085</v>
      </c>
      <c r="T92" s="43" t="n">
        <f aca="false">S92-$M$2</f>
        <v>0.0431153634576447</v>
      </c>
    </row>
    <row r="93" customFormat="false" ht="15" hidden="false" customHeight="false" outlineLevel="0" collapsed="false">
      <c r="A93" s="5" t="n">
        <v>16</v>
      </c>
      <c r="B93" s="25" t="n">
        <f aca="false">IF(T92&gt;0,B92,D92)</f>
        <v>0.0328369140625</v>
      </c>
      <c r="C93" s="25" t="n">
        <f aca="false">IF(T92&gt;0,D92,C92)</f>
        <v>0.0328826904296875</v>
      </c>
      <c r="D93" s="41" t="n">
        <f aca="false">(B93+C93)/2</f>
        <v>0.0328598022460938</v>
      </c>
      <c r="E93" s="15" t="n">
        <f aca="false">$C$2*(1+IF(E$3&lt;=$O$2,$D93,$D93-($D93-$I$76)*MIN(E$3-$O$2,$Q$2)/$Q$2))</f>
        <v>6651.61712646484</v>
      </c>
      <c r="F93" s="15" t="n">
        <f aca="false">E93*(1+IF(F$3&lt;=$O$2,$D93,$D93-($D93-$I$76)*MIN(F$3-$O$2,$Q$2)/$Q$2))</f>
        <v>6870.18794985721</v>
      </c>
      <c r="G93" s="15" t="n">
        <f aca="false">F93*(1+IF(G$3&lt;=$O$2,$D93,$D93-($D93-$I$76)*MIN(G$3-$O$2,$Q$2)/$Q$2))</f>
        <v>7095.94096728301</v>
      </c>
      <c r="H93" s="15" t="n">
        <f aca="false">G93*(1+IF(H$3&lt;=$O$2,$D93,$D93-($D93-$I$76)*MIN(H$3-$O$2,$Q$2)/$Q$2))</f>
        <v>7329.11218421789</v>
      </c>
      <c r="I93" s="15" t="n">
        <f aca="false">H93*(1+IF(I$3&lt;=$O$2,$D93,$D93-($D93-$I$76)*MIN(I$3-$O$2,$Q$2)/$Q$2))</f>
        <v>7569.94536123072</v>
      </c>
      <c r="J93" s="15" t="n">
        <f aca="false">I93*(1+IF(J$3&lt;=$O$2,$D93,$D93-($D93-$I$76)*MIN(J$3-$O$2,$Q$2)/$Q$2))</f>
        <v>7804.21883268108</v>
      </c>
      <c r="K93" s="15" t="n">
        <f aca="false">J93*(1+IF(K$3&lt;=$O$2,$D93,$D93-($D93-$I$76)*MIN(K$3-$O$2,$Q$2)/$Q$2))</f>
        <v>8030.82120471795</v>
      </c>
      <c r="L93" s="15" t="n">
        <f aca="false">K93*(1+IF(L$3&lt;=$O$2,$D93,$D93-($D93-$I$76)*MIN(L$3-$O$2,$Q$2)/$Q$2))</f>
        <v>8248.64856382422</v>
      </c>
      <c r="M93" s="15" t="n">
        <f aca="false">L93*(1+IF(M$3&lt;=$O$2,$D93,$D93-($D93-$I$76)*MIN(M$3-$O$2,$Q$2)/$Q$2))</f>
        <v>8456.61316517486</v>
      </c>
      <c r="N93" s="15" t="n">
        <f aca="false">M93*(1+IF(N$3&lt;=$O$2,$D93,$D93-($D93-$I$76)*MIN(N$3-$O$2,$Q$2)/$Q$2))</f>
        <v>8653.65225192343</v>
      </c>
      <c r="O93" s="15" t="n">
        <f aca="false">SUMPRODUCT(E93:N93,1/(1+$F$76)^$E$3:$N$3)*$E$2</f>
        <v>9879.77807590706</v>
      </c>
      <c r="P93" s="15" t="n">
        <f aca="false">N93*$E$2*(1+$I$76)/($F$76-$I$76)/(1+$F$76)^$N$3</f>
        <v>12712.227549723</v>
      </c>
      <c r="Q93" s="15" t="n">
        <f aca="false">O93+P93</f>
        <v>22592.00562563</v>
      </c>
      <c r="R93" s="15" t="n">
        <f aca="false">Q93-$G$2+$I$2</f>
        <v>17292.10562563</v>
      </c>
      <c r="S93" s="42" t="n">
        <f aca="false">R93/$K$2</f>
        <v>147.191910330524</v>
      </c>
      <c r="T93" s="43" t="n">
        <f aca="false">S93-$M$2</f>
        <v>0.0179232688969364</v>
      </c>
    </row>
    <row r="94" customFormat="false" ht="15" hidden="false" customHeight="false" outlineLevel="0" collapsed="false">
      <c r="A94" s="5" t="n">
        <v>17</v>
      </c>
      <c r="B94" s="25" t="n">
        <f aca="false">IF(T93&gt;0,B93,D93)</f>
        <v>0.0328369140625</v>
      </c>
      <c r="C94" s="25" t="n">
        <f aca="false">IF(T93&gt;0,D93,C93)</f>
        <v>0.0328598022460938</v>
      </c>
      <c r="D94" s="41" t="n">
        <f aca="false">(B94+C94)/2</f>
        <v>0.0328483581542969</v>
      </c>
      <c r="E94" s="15" t="n">
        <f aca="false">$C$2*(1+IF(E$3&lt;=$O$2,$D94,$D94-($D94-$I$76)*MIN(E$3-$O$2,$Q$2)/$Q$2))</f>
        <v>6651.54342651367</v>
      </c>
      <c r="F94" s="15" t="n">
        <f aca="false">E94*(1+IF(F$3&lt;=$O$2,$D94,$D94-($D94-$I$76)*MIN(F$3-$O$2,$Q$2)/$Q$2))</f>
        <v>6870.03570726665</v>
      </c>
      <c r="G94" s="15" t="n">
        <f aca="false">F94*(1+IF(G$3&lt;=$O$2,$D94,$D94-($D94-$I$76)*MIN(G$3-$O$2,$Q$2)/$Q$2))</f>
        <v>7095.70510071176</v>
      </c>
      <c r="H94" s="15" t="n">
        <f aca="false">G94*(1+IF(H$3&lt;=$O$2,$D94,$D94-($D94-$I$76)*MIN(H$3-$O$2,$Q$2)/$Q$2))</f>
        <v>7328.78736321721</v>
      </c>
      <c r="I94" s="15" t="n">
        <f aca="false">H94*(1+IF(I$3&lt;=$O$2,$D94,$D94-($D94-$I$76)*MIN(I$3-$O$2,$Q$2)/$Q$2))</f>
        <v>7569.52599536085</v>
      </c>
      <c r="J94" s="15" t="n">
        <f aca="false">I94*(1+IF(J$3&lt;=$O$2,$D94,$D94-($D94-$I$76)*MIN(J$3-$O$2,$Q$2)/$Q$2))</f>
        <v>7803.71718726233</v>
      </c>
      <c r="K94" s="15" t="n">
        <f aca="false">J94*(1+IF(K$3&lt;=$O$2,$D94,$D94-($D94-$I$76)*MIN(K$3-$O$2,$Q$2)/$Q$2))</f>
        <v>8030.25140970884</v>
      </c>
      <c r="L94" s="15" t="n">
        <f aca="false">K94*(1+IF(L$3&lt;=$O$2,$D94,$D94-($D94-$I$76)*MIN(L$3-$O$2,$Q$2)/$Q$2))</f>
        <v>8248.02655416663</v>
      </c>
      <c r="M94" s="15" t="n">
        <f aca="false">L94*(1+IF(M$3&lt;=$O$2,$D94,$D94-($D94-$I$76)*MIN(M$3-$O$2,$Q$2)/$Q$2))</f>
        <v>8455.95659519978</v>
      </c>
      <c r="N94" s="15" t="n">
        <f aca="false">M94*(1+IF(N$3&lt;=$O$2,$D94,$D94-($D94-$I$76)*MIN(N$3-$O$2,$Q$2)/$Q$2))</f>
        <v>8652.98038386794</v>
      </c>
      <c r="O94" s="15" t="n">
        <f aca="false">SUMPRODUCT(E94:N94,1/(1+$F$76)^$E$3:$N$3)*$E$2</f>
        <v>9879.28540516831</v>
      </c>
      <c r="P94" s="15" t="n">
        <f aca="false">N94*$E$2*(1+$I$76)/($F$76-$I$76)/(1+$F$76)^$N$3</f>
        <v>12711.2405745873</v>
      </c>
      <c r="Q94" s="15" t="n">
        <f aca="false">O94+P94</f>
        <v>22590.5259797557</v>
      </c>
      <c r="R94" s="15" t="n">
        <f aca="false">Q94-$G$2+$I$2</f>
        <v>17290.6259797557</v>
      </c>
      <c r="S94" s="42" t="n">
        <f aca="false">R94/$K$2</f>
        <v>147.17931545587</v>
      </c>
      <c r="T94" s="43" t="n">
        <f aca="false">S94-$M$2</f>
        <v>0.00532839424289477</v>
      </c>
    </row>
    <row r="95" customFormat="false" ht="15" hidden="false" customHeight="false" outlineLevel="0" collapsed="false">
      <c r="A95" s="5" t="n">
        <v>18</v>
      </c>
      <c r="B95" s="25" t="n">
        <f aca="false">IF(T94&gt;0,B94,D94)</f>
        <v>0.0328369140625</v>
      </c>
      <c r="C95" s="25" t="n">
        <f aca="false">IF(T94&gt;0,D94,C94)</f>
        <v>0.0328483581542969</v>
      </c>
      <c r="D95" s="41" t="n">
        <f aca="false">(B95+C95)/2</f>
        <v>0.0328426361083984</v>
      </c>
      <c r="E95" s="15" t="n">
        <f aca="false">$C$2*(1+IF(E$3&lt;=$O$2,$D95,$D95-($D95-$I$76)*MIN(E$3-$O$2,$Q$2)/$Q$2))</f>
        <v>6651.50657653809</v>
      </c>
      <c r="F95" s="15" t="n">
        <f aca="false">E95*(1+IF(F$3&lt;=$O$2,$D95,$D95-($D95-$I$76)*MIN(F$3-$O$2,$Q$2)/$Q$2))</f>
        <v>6869.95958660395</v>
      </c>
      <c r="G95" s="15" t="n">
        <f aca="false">F95*(1+IF(G$3&lt;=$O$2,$D95,$D95-($D95-$I$76)*MIN(G$3-$O$2,$Q$2)/$Q$2))</f>
        <v>7095.58716938618</v>
      </c>
      <c r="H95" s="15" t="n">
        <f aca="false">G95*(1+IF(H$3&lt;=$O$2,$D95,$D95-($D95-$I$76)*MIN(H$3-$O$2,$Q$2)/$Q$2))</f>
        <v>7328.62495676575</v>
      </c>
      <c r="I95" s="15" t="n">
        <f aca="false">H95*(1+IF(I$3&lt;=$O$2,$D95,$D95-($D95-$I$76)*MIN(I$3-$O$2,$Q$2)/$Q$2))</f>
        <v>7569.31631939574</v>
      </c>
      <c r="J95" s="15" t="n">
        <f aca="false">I95*(1+IF(J$3&lt;=$O$2,$D95,$D95-($D95-$I$76)*MIN(J$3-$O$2,$Q$2)/$Q$2))</f>
        <v>7803.46637461794</v>
      </c>
      <c r="K95" s="15" t="n">
        <f aca="false">J95*(1+IF(K$3&lt;=$O$2,$D95,$D95-($D95-$I$76)*MIN(K$3-$O$2,$Q$2)/$Q$2))</f>
        <v>8029.9665251448</v>
      </c>
      <c r="L95" s="15" t="n">
        <f aca="false">K95*(1+IF(L$3&lt;=$O$2,$D95,$D95-($D95-$I$76)*MIN(L$3-$O$2,$Q$2)/$Q$2))</f>
        <v>8247.71556458551</v>
      </c>
      <c r="M95" s="15" t="n">
        <f aca="false">L95*(1+IF(M$3&lt;=$O$2,$D95,$D95-($D95-$I$76)*MIN(M$3-$O$2,$Q$2)/$Q$2))</f>
        <v>8455.62832691203</v>
      </c>
      <c r="N95" s="15" t="n">
        <f aca="false">M95*(1+IF(N$3&lt;=$O$2,$D95,$D95-($D95-$I$76)*MIN(N$3-$O$2,$Q$2)/$Q$2))</f>
        <v>8652.64446692909</v>
      </c>
      <c r="O95" s="15" t="n">
        <f aca="false">SUMPRODUCT(E95:N95,1/(1+$F$76)^$E$3:$N$3)*$E$2</f>
        <v>9879.03907913314</v>
      </c>
      <c r="P95" s="15" t="n">
        <f aca="false">N95*$E$2*(1+$I$76)/($F$76-$I$76)/(1+$F$76)^$N$3</f>
        <v>12710.7471121232</v>
      </c>
      <c r="Q95" s="15" t="n">
        <f aca="false">O95+P95</f>
        <v>22589.7861912563</v>
      </c>
      <c r="R95" s="15" t="n">
        <f aca="false">Q95-$G$2+$I$2</f>
        <v>17289.8861912563</v>
      </c>
      <c r="S95" s="42" t="n">
        <f aca="false">R95/$K$2</f>
        <v>147.173018311681</v>
      </c>
      <c r="T95" s="43" t="n">
        <f aca="false">S95-$M$2</f>
        <v>-0.000968749946451908</v>
      </c>
    </row>
    <row r="96" customFormat="false" ht="15" hidden="false" customHeight="false" outlineLevel="0" collapsed="false">
      <c r="A96" s="5" t="n">
        <v>19</v>
      </c>
      <c r="B96" s="25" t="n">
        <f aca="false">IF(T95&gt;0,B95,D95)</f>
        <v>0.0328426361083984</v>
      </c>
      <c r="C96" s="25" t="n">
        <f aca="false">IF(T95&gt;0,D95,C95)</f>
        <v>0.0328483581542969</v>
      </c>
      <c r="D96" s="41" t="n">
        <f aca="false">(B96+C96)/2</f>
        <v>0.0328454971313477</v>
      </c>
      <c r="E96" s="15" t="n">
        <f aca="false">$C$2*(1+IF(E$3&lt;=$O$2,$D96,$D96-($D96-$I$76)*MIN(E$3-$O$2,$Q$2)/$Q$2))</f>
        <v>6651.52500152588</v>
      </c>
      <c r="F96" s="15" t="n">
        <f aca="false">E96*(1+IF(F$3&lt;=$O$2,$D96,$D96-($D96-$I$76)*MIN(F$3-$O$2,$Q$2)/$Q$2))</f>
        <v>6869.99764688258</v>
      </c>
      <c r="G96" s="15" t="n">
        <f aca="false">F96*(1+IF(G$3&lt;=$O$2,$D96,$D96-($D96-$I$76)*MIN(G$3-$O$2,$Q$2)/$Q$2))</f>
        <v>7095.64613488563</v>
      </c>
      <c r="H96" s="15" t="n">
        <f aca="false">G96*(1+IF(H$3&lt;=$O$2,$D96,$D96-($D96-$I$76)*MIN(H$3-$O$2,$Q$2)/$Q$2))</f>
        <v>7328.70615965408</v>
      </c>
      <c r="I96" s="15" t="n">
        <f aca="false">H96*(1+IF(I$3&lt;=$O$2,$D96,$D96-($D96-$I$76)*MIN(I$3-$O$2,$Q$2)/$Q$2))</f>
        <v>7569.42115679748</v>
      </c>
      <c r="J96" s="15" t="n">
        <f aca="false">I96*(1+IF(J$3&lt;=$O$2,$D96,$D96-($D96-$I$76)*MIN(J$3-$O$2,$Q$2)/$Q$2))</f>
        <v>7803.5917801014</v>
      </c>
      <c r="K96" s="15" t="n">
        <f aca="false">J96*(1+IF(K$3&lt;=$O$2,$D96,$D96-($D96-$I$76)*MIN(K$3-$O$2,$Q$2)/$Q$2))</f>
        <v>8030.10896634847</v>
      </c>
      <c r="L96" s="15" t="n">
        <f aca="false">K96*(1+IF(L$3&lt;=$O$2,$D96,$D96-($D96-$I$76)*MIN(L$3-$O$2,$Q$2)/$Q$2))</f>
        <v>8247.87105810546</v>
      </c>
      <c r="M96" s="15" t="n">
        <f aca="false">L96*(1+IF(M$3&lt;=$O$2,$D96,$D96-($D96-$I$76)*MIN(M$3-$O$2,$Q$2)/$Q$2))</f>
        <v>8455.79245966429</v>
      </c>
      <c r="N96" s="15" t="n">
        <f aca="false">M96*(1+IF(N$3&lt;=$O$2,$D96,$D96-($D96-$I$76)*MIN(N$3-$O$2,$Q$2)/$Q$2))</f>
        <v>8652.81242397447</v>
      </c>
      <c r="O96" s="15" t="n">
        <f aca="false">SUMPRODUCT(E96:N96,1/(1+$F$76)^$E$3:$N$3)*$E$2</f>
        <v>9879.16224137289</v>
      </c>
      <c r="P96" s="15" t="n">
        <f aca="false">N96*$E$2*(1+$I$76)/($F$76-$I$76)/(1+$F$76)^$N$3</f>
        <v>12710.9938412633</v>
      </c>
      <c r="Q96" s="15" t="n">
        <f aca="false">O96+P96</f>
        <v>22590.1560826362</v>
      </c>
      <c r="R96" s="15" t="n">
        <f aca="false">Q96-$G$2+$I$2</f>
        <v>17290.2560826362</v>
      </c>
      <c r="S96" s="42" t="n">
        <f aca="false">R96/$K$2</f>
        <v>147.176166859348</v>
      </c>
      <c r="T96" s="43" t="n">
        <f aca="false">S96-$M$2</f>
        <v>0.00217979772065746</v>
      </c>
    </row>
    <row r="97" customFormat="false" ht="15" hidden="false" customHeight="false" outlineLevel="0" collapsed="false">
      <c r="A97" s="5" t="n">
        <v>20</v>
      </c>
      <c r="B97" s="25" t="n">
        <f aca="false">IF(T96&gt;0,B96,D96)</f>
        <v>0.0328426361083984</v>
      </c>
      <c r="C97" s="25" t="n">
        <f aca="false">IF(T96&gt;0,D96,C96)</f>
        <v>0.0328454971313477</v>
      </c>
      <c r="D97" s="41" t="n">
        <f aca="false">(B97+C97)/2</f>
        <v>0.0328440666198731</v>
      </c>
      <c r="E97" s="15" t="n">
        <f aca="false">$C$2*(1+IF(E$3&lt;=$O$2,$D97,$D97-($D97-$I$76)*MIN(E$3-$O$2,$Q$2)/$Q$2))</f>
        <v>6651.51578903198</v>
      </c>
      <c r="F97" s="15" t="n">
        <f aca="false">E97*(1+IF(F$3&lt;=$O$2,$D97,$D97-($D97-$I$76)*MIN(F$3-$O$2,$Q$2)/$Q$2))</f>
        <v>6869.97861673009</v>
      </c>
      <c r="G97" s="15" t="n">
        <f aca="false">F97*(1+IF(G$3&lt;=$O$2,$D97,$D97-($D97-$I$76)*MIN(G$3-$O$2,$Q$2)/$Q$2))</f>
        <v>7095.61665209507</v>
      </c>
      <c r="H97" s="15" t="n">
        <f aca="false">G97*(1+IF(H$3&lt;=$O$2,$D97,$D97-($D97-$I$76)*MIN(H$3-$O$2,$Q$2)/$Q$2))</f>
        <v>7328.66555812556</v>
      </c>
      <c r="I97" s="15" t="n">
        <f aca="false">H97*(1+IF(I$3&lt;=$O$2,$D97,$D97-($D97-$I$76)*MIN(I$3-$O$2,$Q$2)/$Q$2))</f>
        <v>7569.36873795141</v>
      </c>
      <c r="J97" s="15" t="n">
        <f aca="false">I97*(1+IF(J$3&lt;=$O$2,$D97,$D97-($D97-$I$76)*MIN(J$3-$O$2,$Q$2)/$Q$2))</f>
        <v>7803.52907714999</v>
      </c>
      <c r="K97" s="15" t="n">
        <f aca="false">J97*(1+IF(K$3&lt;=$O$2,$D97,$D97-($D97-$I$76)*MIN(K$3-$O$2,$Q$2)/$Q$2))</f>
        <v>8030.03774547705</v>
      </c>
      <c r="L97" s="15" t="n">
        <f aca="false">K97*(1+IF(L$3&lt;=$O$2,$D97,$D97-($D97-$I$76)*MIN(L$3-$O$2,$Q$2)/$Q$2))</f>
        <v>8247.79331102783</v>
      </c>
      <c r="M97" s="15" t="n">
        <f aca="false">L97*(1+IF(M$3&lt;=$O$2,$D97,$D97-($D97-$I$76)*MIN(M$3-$O$2,$Q$2)/$Q$2))</f>
        <v>8455.71039294026</v>
      </c>
      <c r="N97" s="15" t="n">
        <f aca="false">M97*(1+IF(N$3&lt;=$O$2,$D97,$D97-($D97-$I$76)*MIN(N$3-$O$2,$Q$2)/$Q$2))</f>
        <v>8652.72844509577</v>
      </c>
      <c r="O97" s="15" t="n">
        <f aca="false">SUMPRODUCT(E97:N97,1/(1+$F$76)^$E$3:$N$3)*$E$2</f>
        <v>9879.10066005856</v>
      </c>
      <c r="P97" s="15" t="n">
        <f aca="false">N97*$E$2*(1+$I$76)/($F$76-$I$76)/(1+$F$76)^$N$3</f>
        <v>12710.8704761703</v>
      </c>
      <c r="Q97" s="15" t="n">
        <f aca="false">O97+P97</f>
        <v>22589.9711362288</v>
      </c>
      <c r="R97" s="15" t="n">
        <f aca="false">Q97-$G$2+$I$2</f>
        <v>17290.0711362288</v>
      </c>
      <c r="S97" s="42" t="n">
        <f aca="false">R97/$K$2</f>
        <v>147.174592579408</v>
      </c>
      <c r="T97" s="43" t="n">
        <f aca="false">S97-$M$2</f>
        <v>0.000605517780201126</v>
      </c>
    </row>
    <row r="98" customFormat="false" ht="15" hidden="false" customHeight="false" outlineLevel="0" collapsed="false">
      <c r="A98" s="5" t="n">
        <v>21</v>
      </c>
      <c r="B98" s="25" t="n">
        <f aca="false">IF(T97&gt;0,B97,D97)</f>
        <v>0.0328426361083984</v>
      </c>
      <c r="C98" s="25" t="n">
        <f aca="false">IF(T97&gt;0,D97,C97)</f>
        <v>0.0328440666198731</v>
      </c>
      <c r="D98" s="41" t="n">
        <f aca="false">(B98+C98)/2</f>
        <v>0.0328433513641357</v>
      </c>
      <c r="E98" s="15" t="n">
        <f aca="false">$C$2*(1+IF(E$3&lt;=$O$2,$D98,$D98-($D98-$I$76)*MIN(E$3-$O$2,$Q$2)/$Q$2))</f>
        <v>6651.51118278503</v>
      </c>
      <c r="F98" s="15" t="n">
        <f aca="false">E98*(1+IF(F$3&lt;=$O$2,$D98,$D98-($D98-$I$76)*MIN(F$3-$O$2,$Q$2)/$Q$2))</f>
        <v>6869.96910166372</v>
      </c>
      <c r="G98" s="15" t="n">
        <f aca="false">F98*(1+IF(G$3&lt;=$O$2,$D98,$D98-($D98-$I$76)*MIN(G$3-$O$2,$Q$2)/$Q$2))</f>
        <v>7095.60191073042</v>
      </c>
      <c r="H98" s="15" t="n">
        <f aca="false">G98*(1+IF(H$3&lt;=$O$2,$D98,$D98-($D98-$I$76)*MIN(H$3-$O$2,$Q$2)/$Q$2))</f>
        <v>7328.64525742457</v>
      </c>
      <c r="I98" s="15" t="n">
        <f aca="false">H98*(1+IF(I$3&lt;=$O$2,$D98,$D98-($D98-$I$76)*MIN(I$3-$O$2,$Q$2)/$Q$2))</f>
        <v>7569.34252863727</v>
      </c>
      <c r="J98" s="15" t="n">
        <f aca="false">I98*(1+IF(J$3&lt;=$O$2,$D98,$D98-($D98-$I$76)*MIN(J$3-$O$2,$Q$2)/$Q$2))</f>
        <v>7803.49772583155</v>
      </c>
      <c r="K98" s="15" t="n">
        <f aca="false">J98*(1+IF(K$3&lt;=$O$2,$D98,$D98-($D98-$I$76)*MIN(K$3-$O$2,$Q$2)/$Q$2))</f>
        <v>8030.00213524353</v>
      </c>
      <c r="L98" s="15" t="n">
        <f aca="false">K98*(1+IF(L$3&lt;=$O$2,$D98,$D98-($D98-$I$76)*MIN(L$3-$O$2,$Q$2)/$Q$2))</f>
        <v>8247.75443772726</v>
      </c>
      <c r="M98" s="15" t="n">
        <f aca="false">L98*(1+IF(M$3&lt;=$O$2,$D98,$D98-($D98-$I$76)*MIN(M$3-$O$2,$Q$2)/$Q$2))</f>
        <v>8455.66935983917</v>
      </c>
      <c r="N98" s="15" t="n">
        <f aca="false">M98*(1+IF(N$3&lt;=$O$2,$D98,$D98-($D98-$I$76)*MIN(N$3-$O$2,$Q$2)/$Q$2))</f>
        <v>8652.68645592343</v>
      </c>
      <c r="O98" s="15" t="n">
        <f aca="false">SUMPRODUCT(E98:N98,1/(1+$F$76)^$E$3:$N$3)*$E$2</f>
        <v>9879.06986954724</v>
      </c>
      <c r="P98" s="15" t="n">
        <f aca="false">N98*$E$2*(1+$I$76)/($F$76-$I$76)/(1+$F$76)^$N$3</f>
        <v>12710.808794016</v>
      </c>
      <c r="Q98" s="15" t="n">
        <f aca="false">O98+P98</f>
        <v>22589.8786635632</v>
      </c>
      <c r="R98" s="15" t="n">
        <f aca="false">Q98-$G$2+$I$2</f>
        <v>17289.9786635632</v>
      </c>
      <c r="S98" s="42" t="n">
        <f aca="false">R98/$K$2</f>
        <v>147.173805444018</v>
      </c>
      <c r="T98" s="43" t="n">
        <f aca="false">S98-$M$2</f>
        <v>-0.000181617609769091</v>
      </c>
    </row>
    <row r="99" customFormat="false" ht="15" hidden="false" customHeight="false" outlineLevel="0" collapsed="false">
      <c r="A99" s="5" t="n">
        <v>22</v>
      </c>
      <c r="B99" s="25" t="n">
        <f aca="false">IF(T98&gt;0,B98,D98)</f>
        <v>0.0328433513641357</v>
      </c>
      <c r="C99" s="25" t="n">
        <f aca="false">IF(T98&gt;0,D98,C98)</f>
        <v>0.0328440666198731</v>
      </c>
      <c r="D99" s="41" t="n">
        <f aca="false">(B99+C99)/2</f>
        <v>0.0328437089920044</v>
      </c>
      <c r="E99" s="15" t="n">
        <f aca="false">$C$2*(1+IF(E$3&lt;=$O$2,$D99,$D99-($D99-$I$76)*MIN(E$3-$O$2,$Q$2)/$Q$2))</f>
        <v>6651.51348590851</v>
      </c>
      <c r="F99" s="15" t="n">
        <f aca="false">E99*(1+IF(F$3&lt;=$O$2,$D99,$D99-($D99-$I$76)*MIN(F$3-$O$2,$Q$2)/$Q$2))</f>
        <v>6869.97385919608</v>
      </c>
      <c r="G99" s="15" t="n">
        <f aca="false">F99*(1+IF(G$3&lt;=$O$2,$D99,$D99-($D99-$I$76)*MIN(G$3-$O$2,$Q$2)/$Q$2))</f>
        <v>7095.60928141019</v>
      </c>
      <c r="H99" s="15" t="n">
        <f aca="false">G99*(1+IF(H$3&lt;=$O$2,$D99,$D99-($D99-$I$76)*MIN(H$3-$O$2,$Q$2)/$Q$2))</f>
        <v>7328.6554077698</v>
      </c>
      <c r="I99" s="15" t="n">
        <f aca="false">H99*(1+IF(I$3&lt;=$O$2,$D99,$D99-($D99-$I$76)*MIN(I$3-$O$2,$Q$2)/$Q$2))</f>
        <v>7569.35563328527</v>
      </c>
      <c r="J99" s="15" t="n">
        <f aca="false">I99*(1+IF(J$3&lt;=$O$2,$D99,$D99-($D99-$I$76)*MIN(J$3-$O$2,$Q$2)/$Q$2))</f>
        <v>7803.51340147766</v>
      </c>
      <c r="K99" s="15" t="n">
        <f aca="false">J99*(1+IF(K$3&lt;=$O$2,$D99,$D99-($D99-$I$76)*MIN(K$3-$O$2,$Q$2)/$Q$2))</f>
        <v>8030.01994034344</v>
      </c>
      <c r="L99" s="15" t="n">
        <f aca="false">K99*(1+IF(L$3&lt;=$O$2,$D99,$D99-($D99-$I$76)*MIN(L$3-$O$2,$Q$2)/$Q$2))</f>
        <v>8247.77387435769</v>
      </c>
      <c r="M99" s="15" t="n">
        <f aca="false">L99*(1+IF(M$3&lt;=$O$2,$D99,$D99-($D99-$I$76)*MIN(M$3-$O$2,$Q$2)/$Q$2))</f>
        <v>8455.68987636797</v>
      </c>
      <c r="N99" s="15" t="n">
        <f aca="false">M99*(1+IF(N$3&lt;=$O$2,$D99,$D99-($D99-$I$76)*MIN(N$3-$O$2,$Q$2)/$Q$2))</f>
        <v>8652.70745048735</v>
      </c>
      <c r="O99" s="15" t="n">
        <f aca="false">SUMPRODUCT(E99:N99,1/(1+$F$76)^$E$3:$N$3)*$E$2</f>
        <v>9879.08526479074</v>
      </c>
      <c r="P99" s="15" t="n">
        <f aca="false">N99*$E$2*(1+$I$76)/($F$76-$I$76)/(1+$F$76)^$N$3</f>
        <v>12710.8396350604</v>
      </c>
      <c r="Q99" s="15" t="n">
        <f aca="false">O99+P99</f>
        <v>22589.9248998512</v>
      </c>
      <c r="R99" s="15" t="n">
        <f aca="false">Q99-$G$2+$I$2</f>
        <v>17290.0248998512</v>
      </c>
      <c r="S99" s="42" t="n">
        <f aca="false">R99/$K$2</f>
        <v>147.174199011331</v>
      </c>
      <c r="T99" s="43" t="n">
        <f aca="false">S99-$M$2</f>
        <v>0.000211949703583514</v>
      </c>
    </row>
    <row r="100" customFormat="false" ht="15" hidden="false" customHeight="false" outlineLevel="0" collapsed="false">
      <c r="A100" s="5" t="n">
        <v>23</v>
      </c>
      <c r="B100" s="25" t="n">
        <f aca="false">IF(T99&gt;0,B99,D99)</f>
        <v>0.0328433513641357</v>
      </c>
      <c r="C100" s="25" t="n">
        <f aca="false">IF(T99&gt;0,D99,C99)</f>
        <v>0.0328437089920044</v>
      </c>
      <c r="D100" s="41" t="n">
        <f aca="false">(B100+C100)/2</f>
        <v>0.0328435301780701</v>
      </c>
      <c r="E100" s="15" t="n">
        <f aca="false">$C$2*(1+IF(E$3&lt;=$O$2,$D100,$D100-($D100-$I$76)*MIN(E$3-$O$2,$Q$2)/$Q$2))</f>
        <v>6651.51233434677</v>
      </c>
      <c r="F100" s="15" t="n">
        <f aca="false">E100*(1+IF(F$3&lt;=$O$2,$D100,$D100-($D100-$I$76)*MIN(F$3-$O$2,$Q$2)/$Q$2))</f>
        <v>6869.9714804297</v>
      </c>
      <c r="G100" s="15" t="n">
        <f aca="false">F100*(1+IF(G$3&lt;=$O$2,$D100,$D100-($D100-$I$76)*MIN(G$3-$O$2,$Q$2)/$Q$2))</f>
        <v>7095.60559606967</v>
      </c>
      <c r="H100" s="15" t="n">
        <f aca="false">G100*(1+IF(H$3&lt;=$O$2,$D100,$D100-($D100-$I$76)*MIN(H$3-$O$2,$Q$2)/$Q$2))</f>
        <v>7328.65033259587</v>
      </c>
      <c r="I100" s="15" t="n">
        <f aca="false">H100*(1+IF(I$3&lt;=$O$2,$D100,$D100-($D100-$I$76)*MIN(I$3-$O$2,$Q$2)/$Q$2))</f>
        <v>7569.349080959</v>
      </c>
      <c r="J100" s="15" t="n">
        <f aca="false">I100*(1+IF(J$3&lt;=$O$2,$D100,$D100-($D100-$I$76)*MIN(J$3-$O$2,$Q$2)/$Q$2))</f>
        <v>7803.50556365133</v>
      </c>
      <c r="K100" s="15" t="n">
        <f aca="false">J100*(1+IF(K$3&lt;=$O$2,$D100,$D100-($D100-$I$76)*MIN(K$3-$O$2,$Q$2)/$Q$2))</f>
        <v>8030.01103778927</v>
      </c>
      <c r="L100" s="15" t="n">
        <f aca="false">K100*(1+IF(L$3&lt;=$O$2,$D100,$D100-($D100-$I$76)*MIN(L$3-$O$2,$Q$2)/$Q$2))</f>
        <v>8247.76415603751</v>
      </c>
      <c r="M100" s="15" t="n">
        <f aca="false">L100*(1+IF(M$3&lt;=$O$2,$D100,$D100-($D100-$I$76)*MIN(M$3-$O$2,$Q$2)/$Q$2))</f>
        <v>8455.67961809814</v>
      </c>
      <c r="N100" s="15" t="n">
        <f aca="false">M100*(1+IF(N$3&lt;=$O$2,$D100,$D100-($D100-$I$76)*MIN(N$3-$O$2,$Q$2)/$Q$2))</f>
        <v>8652.69695319982</v>
      </c>
      <c r="O100" s="15" t="n">
        <f aca="false">SUMPRODUCT(E100:N100,1/(1+$F$76)^$E$3:$N$3)*$E$2</f>
        <v>9879.07756716595</v>
      </c>
      <c r="P100" s="15" t="n">
        <f aca="false">N100*$E$2*(1+$I$76)/($F$76-$I$76)/(1+$F$76)^$N$3</f>
        <v>12710.82421453</v>
      </c>
      <c r="Q100" s="15" t="n">
        <f aca="false">O100+P100</f>
        <v>22589.901781696</v>
      </c>
      <c r="R100" s="15" t="n">
        <f aca="false">Q100-$G$2+$I$2</f>
        <v>17290.001781696</v>
      </c>
      <c r="S100" s="42" t="n">
        <f aca="false">R100/$K$2</f>
        <v>147.174002227579</v>
      </c>
      <c r="T100" s="43" t="n">
        <f aca="false">S100-$M$2</f>
        <v>1.51659514813218E-005</v>
      </c>
    </row>
    <row r="101" customFormat="false" ht="15" hidden="false" customHeight="false" outlineLevel="0" collapsed="false">
      <c r="A101" s="5" t="n">
        <v>24</v>
      </c>
      <c r="B101" s="25" t="n">
        <f aca="false">IF(T100&gt;0,B100,D100)</f>
        <v>0.0328433513641357</v>
      </c>
      <c r="C101" s="25" t="n">
        <f aca="false">IF(T100&gt;0,D100,C100)</f>
        <v>0.0328435301780701</v>
      </c>
      <c r="D101" s="41" t="n">
        <f aca="false">(B101+C101)/2</f>
        <v>0.0328434407711029</v>
      </c>
      <c r="E101" s="15" t="n">
        <f aca="false">$C$2*(1+IF(E$3&lt;=$O$2,$D101,$D101-($D101-$I$76)*MIN(E$3-$O$2,$Q$2)/$Q$2))</f>
        <v>6651.5117585659</v>
      </c>
      <c r="F101" s="15" t="n">
        <f aca="false">E101*(1+IF(F$3&lt;=$O$2,$D101,$D101-($D101-$I$76)*MIN(F$3-$O$2,$Q$2)/$Q$2))</f>
        <v>6869.97029104666</v>
      </c>
      <c r="G101" s="15" t="n">
        <f aca="false">F101*(1+IF(G$3&lt;=$O$2,$D101,$D101-($D101-$I$76)*MIN(G$3-$O$2,$Q$2)/$Q$2))</f>
        <v>7095.60375339988</v>
      </c>
      <c r="H101" s="15" t="n">
        <f aca="false">G101*(1+IF(H$3&lt;=$O$2,$D101,$D101-($D101-$I$76)*MIN(H$3-$O$2,$Q$2)/$Q$2))</f>
        <v>7328.64779500989</v>
      </c>
      <c r="I101" s="15" t="n">
        <f aca="false">H101*(1+IF(I$3&lt;=$O$2,$D101,$D101-($D101-$I$76)*MIN(I$3-$O$2,$Q$2)/$Q$2))</f>
        <v>7569.34580479757</v>
      </c>
      <c r="J101" s="15" t="n">
        <f aca="false">I101*(1+IF(J$3&lt;=$O$2,$D101,$D101-($D101-$I$76)*MIN(J$3-$O$2,$Q$2)/$Q$2))</f>
        <v>7803.50164474062</v>
      </c>
      <c r="K101" s="15" t="n">
        <f aca="false">J101*(1+IF(K$3&lt;=$O$2,$D101,$D101-($D101-$I$76)*MIN(K$3-$O$2,$Q$2)/$Q$2))</f>
        <v>8030.00658651535</v>
      </c>
      <c r="L101" s="15" t="n">
        <f aca="false">K101*(1+IF(L$3&lt;=$O$2,$D101,$D101-($D101-$I$76)*MIN(L$3-$O$2,$Q$2)/$Q$2))</f>
        <v>8247.75929688114</v>
      </c>
      <c r="M101" s="15" t="n">
        <f aca="false">L101*(1+IF(M$3&lt;=$O$2,$D101,$D101-($D101-$I$76)*MIN(M$3-$O$2,$Q$2)/$Q$2))</f>
        <v>8455.6744889673</v>
      </c>
      <c r="N101" s="15" t="n">
        <f aca="false">M101*(1+IF(N$3&lt;=$O$2,$D101,$D101-($D101-$I$76)*MIN(N$3-$O$2,$Q$2)/$Q$2))</f>
        <v>8652.69170456024</v>
      </c>
      <c r="O101" s="15" t="n">
        <f aca="false">SUMPRODUCT(E101:N101,1/(1+$F$76)^$E$3:$N$3)*$E$2</f>
        <v>9879.07371835583</v>
      </c>
      <c r="P101" s="15" t="n">
        <f aca="false">N101*$E$2*(1+$I$76)/($F$76-$I$76)/(1+$F$76)^$N$3</f>
        <v>12710.816504271</v>
      </c>
      <c r="Q101" s="15" t="n">
        <f aca="false">O101+P101</f>
        <v>22589.8902226268</v>
      </c>
      <c r="R101" s="15" t="n">
        <f aca="false">Q101-$G$2+$I$2</f>
        <v>17289.9902226268</v>
      </c>
      <c r="S101" s="42" t="n">
        <f aca="false">R101/$K$2</f>
        <v>147.173903835775</v>
      </c>
      <c r="T101" s="43" t="n">
        <f aca="false">S101-$M$2</f>
        <v>-8.3225852989699E-005</v>
      </c>
    </row>
    <row r="103" customFormat="false" ht="15" hidden="false" customHeight="false" outlineLevel="0" collapsed="false">
      <c r="A103" s="38" t="s">
        <v>183</v>
      </c>
      <c r="E103" s="5" t="s">
        <v>11</v>
      </c>
      <c r="F103" s="12" t="n">
        <f aca="false">Sensitivity!$B$10</f>
        <v>0.0849886567315273</v>
      </c>
      <c r="G103" s="5" t="s">
        <v>12</v>
      </c>
      <c r="I103" s="12" t="n">
        <f aca="false">Sensitivity!$E$9</f>
        <v>0.0283</v>
      </c>
    </row>
    <row r="104" customFormat="false" ht="23.85" hidden="false" customHeight="false" outlineLevel="0" collapsed="false">
      <c r="A104" s="38" t="s">
        <v>161</v>
      </c>
      <c r="B104" s="28" t="s">
        <v>162</v>
      </c>
      <c r="C104" s="28" t="s">
        <v>163</v>
      </c>
      <c r="D104" s="28" t="s">
        <v>164</v>
      </c>
      <c r="E104" s="28" t="s">
        <v>165</v>
      </c>
      <c r="F104" s="28" t="s">
        <v>166</v>
      </c>
      <c r="G104" s="28" t="s">
        <v>167</v>
      </c>
      <c r="H104" s="28" t="s">
        <v>168</v>
      </c>
      <c r="I104" s="28" t="s">
        <v>169</v>
      </c>
      <c r="J104" s="28" t="s">
        <v>170</v>
      </c>
      <c r="K104" s="28" t="s">
        <v>171</v>
      </c>
      <c r="L104" s="28" t="s">
        <v>172</v>
      </c>
      <c r="M104" s="28" t="s">
        <v>173</v>
      </c>
      <c r="N104" s="28" t="s">
        <v>174</v>
      </c>
      <c r="O104" s="28" t="s">
        <v>175</v>
      </c>
      <c r="P104" s="28" t="s">
        <v>176</v>
      </c>
      <c r="Q104" s="28" t="s">
        <v>177</v>
      </c>
      <c r="R104" s="28" t="s">
        <v>178</v>
      </c>
      <c r="S104" s="28" t="s">
        <v>179</v>
      </c>
      <c r="T104" s="28" t="s">
        <v>180</v>
      </c>
    </row>
    <row r="105" customFormat="false" ht="15" hidden="false" customHeight="false" outlineLevel="0" collapsed="false">
      <c r="A105" s="5" t="n">
        <v>1</v>
      </c>
      <c r="B105" s="24" t="n">
        <v>-0.5</v>
      </c>
      <c r="C105" s="24" t="n">
        <v>1</v>
      </c>
      <c r="D105" s="41" t="n">
        <f aca="false">(B105+C105)/2</f>
        <v>0.25</v>
      </c>
      <c r="E105" s="15" t="n">
        <f aca="false">$C$2*(1+IF(E$3&lt;=$O$2,$D105,$D105-($D105-$I$103)*MIN(E$3-$O$2,$Q$2)/$Q$2))</f>
        <v>8050</v>
      </c>
      <c r="F105" s="15" t="n">
        <f aca="false">E105*(1+IF(F$3&lt;=$O$2,$D105,$D105-($D105-$I$103)*MIN(F$3-$O$2,$Q$2)/$Q$2))</f>
        <v>10062.5</v>
      </c>
      <c r="G105" s="15" t="n">
        <f aca="false">F105*(1+IF(G$3&lt;=$O$2,$D105,$D105-($D105-$I$103)*MIN(G$3-$O$2,$Q$2)/$Q$2))</f>
        <v>12578.125</v>
      </c>
      <c r="H105" s="15" t="n">
        <f aca="false">G105*(1+IF(H$3&lt;=$O$2,$D105,$D105-($D105-$I$103)*MIN(H$3-$O$2,$Q$2)/$Q$2))</f>
        <v>15722.65625</v>
      </c>
      <c r="I105" s="15" t="n">
        <f aca="false">H105*(1+IF(I$3&lt;=$O$2,$D105,$D105-($D105-$I$103)*MIN(I$3-$O$2,$Q$2)/$Q$2))</f>
        <v>19653.3203125</v>
      </c>
      <c r="J105" s="15" t="n">
        <f aca="false">I105*(1+IF(J$3&lt;=$O$2,$D105,$D105-($D105-$I$103)*MIN(J$3-$O$2,$Q$2)/$Q$2))</f>
        <v>23695.2221679688</v>
      </c>
      <c r="K105" s="15" t="n">
        <f aca="false">J105*(1+IF(K$3&lt;=$O$2,$D105,$D105-($D105-$I$103)*MIN(K$3-$O$2,$Q$2)/$Q$2))</f>
        <v>27517.7354081055</v>
      </c>
      <c r="L105" s="15" t="n">
        <f aca="false">K105*(1+IF(L$3&lt;=$O$2,$D105,$D105-($D105-$I$103)*MIN(L$3-$O$2,$Q$2)/$Q$2))</f>
        <v>30736.7600961456</v>
      </c>
      <c r="M105" s="15" t="n">
        <f aca="false">L105*(1+IF(M$3&lt;=$O$2,$D105,$D105-($D105-$I$103)*MIN(M$3-$O$2,$Q$2)/$Q$2))</f>
        <v>32969.4783495297</v>
      </c>
      <c r="N105" s="15" t="n">
        <f aca="false">M105*(1+IF(N$3&lt;=$O$2,$D105,$D105-($D105-$I$103)*MIN(N$3-$O$2,$Q$2)/$Q$2))</f>
        <v>33902.5145868214</v>
      </c>
      <c r="O105" s="15" t="n">
        <f aca="false">SUMPRODUCT(E105:N105,1/(1+$F$103)^$E$3:$N$3)*$E$2</f>
        <v>25451.5803236638</v>
      </c>
      <c r="P105" s="15" t="n">
        <f aca="false">N105*$E$2*(1+$I$103)/($F$103-$I$103)/(1+$F$103)^$N$3</f>
        <v>54460.3138280509</v>
      </c>
      <c r="Q105" s="15" t="n">
        <f aca="false">O105+P105</f>
        <v>79911.8941517148</v>
      </c>
      <c r="R105" s="15" t="n">
        <f aca="false">Q105-$G$2+$I$2</f>
        <v>74611.9941517148</v>
      </c>
      <c r="S105" s="42" t="n">
        <f aca="false">R105/$K$2</f>
        <v>635.103797682284</v>
      </c>
      <c r="T105" s="43" t="n">
        <f aca="false">S105-$M$2</f>
        <v>487.929810620657</v>
      </c>
    </row>
    <row r="106" customFormat="false" ht="15" hidden="false" customHeight="false" outlineLevel="0" collapsed="false">
      <c r="A106" s="5" t="n">
        <v>2</v>
      </c>
      <c r="B106" s="25" t="n">
        <f aca="false">IF(T105&gt;0,B105,D105)</f>
        <v>-0.5</v>
      </c>
      <c r="C106" s="25" t="n">
        <f aca="false">IF(T105&gt;0,D105,C105)</f>
        <v>0.25</v>
      </c>
      <c r="D106" s="41" t="n">
        <f aca="false">(B106+C106)/2</f>
        <v>-0.125</v>
      </c>
      <c r="E106" s="15" t="n">
        <f aca="false">$C$2*(1+IF(E$3&lt;=$O$2,$D106,$D106-($D106-$I$103)*MIN(E$3-$O$2,$Q$2)/$Q$2))</f>
        <v>5635</v>
      </c>
      <c r="F106" s="15" t="n">
        <f aca="false">E106*(1+IF(F$3&lt;=$O$2,$D106,$D106-($D106-$I$103)*MIN(F$3-$O$2,$Q$2)/$Q$2))</f>
        <v>4930.625</v>
      </c>
      <c r="G106" s="15" t="n">
        <f aca="false">F106*(1+IF(G$3&lt;=$O$2,$D106,$D106-($D106-$I$103)*MIN(G$3-$O$2,$Q$2)/$Q$2))</f>
        <v>4314.296875</v>
      </c>
      <c r="H106" s="15" t="n">
        <f aca="false">G106*(1+IF(H$3&lt;=$O$2,$D106,$D106-($D106-$I$103)*MIN(H$3-$O$2,$Q$2)/$Q$2))</f>
        <v>3775.009765625</v>
      </c>
      <c r="I106" s="15" t="n">
        <f aca="false">H106*(1+IF(I$3&lt;=$O$2,$D106,$D106-($D106-$I$103)*MIN(I$3-$O$2,$Q$2)/$Q$2))</f>
        <v>3303.13354492188</v>
      </c>
      <c r="J106" s="15" t="n">
        <f aca="false">I106*(1+IF(J$3&lt;=$O$2,$D106,$D106-($D106-$I$103)*MIN(J$3-$O$2,$Q$2)/$Q$2))</f>
        <v>2991.51592629395</v>
      </c>
      <c r="K106" s="15" t="n">
        <f aca="false">J106*(1+IF(K$3&lt;=$O$2,$D106,$D106-($D106-$I$103)*MIN(K$3-$O$2,$Q$2)/$Q$2))</f>
        <v>2801.01619210755</v>
      </c>
      <c r="L106" s="15" t="n">
        <f aca="false">K106*(1+IF(L$3&lt;=$O$2,$D106,$D106-($D106-$I$103)*MIN(L$3-$O$2,$Q$2)/$Q$2))</f>
        <v>2708.52663744416</v>
      </c>
      <c r="M106" s="15" t="n">
        <f aca="false">L106*(1+IF(M$3&lt;=$O$2,$D106,$D106-($D106-$I$103)*MIN(M$3-$O$2,$Q$2)/$Q$2))</f>
        <v>2702.13451457979</v>
      </c>
      <c r="N106" s="15" t="n">
        <f aca="false">M106*(1+IF(N$3&lt;=$O$2,$D106,$D106-($D106-$I$103)*MIN(N$3-$O$2,$Q$2)/$Q$2))</f>
        <v>2778.6049213424</v>
      </c>
      <c r="O106" s="15" t="n">
        <f aca="false">SUMPRODUCT(E106:N106,1/(1+$F$103)^$E$3:$N$3)*$E$2</f>
        <v>5011.79792755772</v>
      </c>
      <c r="P106" s="15" t="n">
        <f aca="false">N106*$E$2*(1+$I$103)/($F$103-$I$103)/(1+$F$103)^$N$3</f>
        <v>4463.49475443619</v>
      </c>
      <c r="Q106" s="15" t="n">
        <f aca="false">O106+P106</f>
        <v>9475.29268199392</v>
      </c>
      <c r="R106" s="15" t="n">
        <f aca="false">Q106-$G$2+$I$2</f>
        <v>4175.39268199392</v>
      </c>
      <c r="S106" s="42" t="n">
        <f aca="false">R106/$K$2</f>
        <v>35.5413064521103</v>
      </c>
      <c r="T106" s="43" t="n">
        <f aca="false">S106-$M$2</f>
        <v>-111.632680609517</v>
      </c>
    </row>
    <row r="107" customFormat="false" ht="15" hidden="false" customHeight="false" outlineLevel="0" collapsed="false">
      <c r="A107" s="5" t="n">
        <v>3</v>
      </c>
      <c r="B107" s="25" t="n">
        <f aca="false">IF(T106&gt;0,B106,D106)</f>
        <v>-0.125</v>
      </c>
      <c r="C107" s="25" t="n">
        <f aca="false">IF(T106&gt;0,D106,C106)</f>
        <v>0.25</v>
      </c>
      <c r="D107" s="41" t="n">
        <f aca="false">(B107+C107)/2</f>
        <v>0.0625</v>
      </c>
      <c r="E107" s="15" t="n">
        <f aca="false">$C$2*(1+IF(E$3&lt;=$O$2,$D107,$D107-($D107-$I$103)*MIN(E$3-$O$2,$Q$2)/$Q$2))</f>
        <v>6842.5</v>
      </c>
      <c r="F107" s="15" t="n">
        <f aca="false">E107*(1+IF(F$3&lt;=$O$2,$D107,$D107-($D107-$I$103)*MIN(F$3-$O$2,$Q$2)/$Q$2))</f>
        <v>7270.15625</v>
      </c>
      <c r="G107" s="15" t="n">
        <f aca="false">F107*(1+IF(G$3&lt;=$O$2,$D107,$D107-($D107-$I$103)*MIN(G$3-$O$2,$Q$2)/$Q$2))</f>
        <v>7724.541015625</v>
      </c>
      <c r="H107" s="15" t="n">
        <f aca="false">G107*(1+IF(H$3&lt;=$O$2,$D107,$D107-($D107-$I$103)*MIN(H$3-$O$2,$Q$2)/$Q$2))</f>
        <v>8207.32482910156</v>
      </c>
      <c r="I107" s="15" t="n">
        <f aca="false">H107*(1+IF(I$3&lt;=$O$2,$D107,$D107-($D107-$I$103)*MIN(I$3-$O$2,$Q$2)/$Q$2))</f>
        <v>8720.28263092041</v>
      </c>
      <c r="J107" s="15" t="n">
        <f aca="false">I107*(1+IF(J$3&lt;=$O$2,$D107,$D107-($D107-$I$103)*MIN(J$3-$O$2,$Q$2)/$Q$2))</f>
        <v>9205.65356215744</v>
      </c>
      <c r="K107" s="15" t="n">
        <f aca="false">J107*(1+IF(K$3&lt;=$O$2,$D107,$D107-($D107-$I$103)*MIN(K$3-$O$2,$Q$2)/$Q$2))</f>
        <v>9655.07356906197</v>
      </c>
      <c r="L107" s="15" t="n">
        <f aca="false">K107*(1+IF(L$3&lt;=$O$2,$D107,$D107-($D107-$I$103)*MIN(L$3-$O$2,$Q$2)/$Q$2))</f>
        <v>10060.3935574912</v>
      </c>
      <c r="M107" s="15" t="n">
        <f aca="false">L107*(1+IF(M$3&lt;=$O$2,$D107,$D107-($D107-$I$103)*MIN(M$3-$O$2,$Q$2)/$Q$2))</f>
        <v>10413.9157871014</v>
      </c>
      <c r="N107" s="15" t="n">
        <f aca="false">M107*(1+IF(N$3&lt;=$O$2,$D107,$D107-($D107-$I$103)*MIN(N$3-$O$2,$Q$2)/$Q$2))</f>
        <v>10708.6296038764</v>
      </c>
      <c r="O107" s="15" t="n">
        <f aca="false">SUMPRODUCT(E107:N107,1/(1+$F$103)^$E$3:$N$3)*$E$2</f>
        <v>11276.2288875211</v>
      </c>
      <c r="P107" s="15" t="n">
        <f aca="false">N107*$E$2*(1+$I$103)/($F$103-$I$103)/(1+$F$103)^$N$3</f>
        <v>17202.1260370511</v>
      </c>
      <c r="Q107" s="15" t="n">
        <f aca="false">O107+P107</f>
        <v>28478.3549245722</v>
      </c>
      <c r="R107" s="15" t="n">
        <f aca="false">Q107-$G$2+$I$2</f>
        <v>23178.4549245722</v>
      </c>
      <c r="S107" s="42" t="n">
        <f aca="false">R107/$K$2</f>
        <v>197.297028639532</v>
      </c>
      <c r="T107" s="43" t="n">
        <f aca="false">S107-$M$2</f>
        <v>50.1230415779047</v>
      </c>
    </row>
    <row r="108" customFormat="false" ht="15" hidden="false" customHeight="false" outlineLevel="0" collapsed="false">
      <c r="A108" s="5" t="n">
        <v>4</v>
      </c>
      <c r="B108" s="25" t="n">
        <f aca="false">IF(T107&gt;0,B107,D107)</f>
        <v>-0.125</v>
      </c>
      <c r="C108" s="25" t="n">
        <f aca="false">IF(T107&gt;0,D107,C107)</f>
        <v>0.0625</v>
      </c>
      <c r="D108" s="41" t="n">
        <f aca="false">(B108+C108)/2</f>
        <v>-0.03125</v>
      </c>
      <c r="E108" s="15" t="n">
        <f aca="false">$C$2*(1+IF(E$3&lt;=$O$2,$D108,$D108-($D108-$I$103)*MIN(E$3-$O$2,$Q$2)/$Q$2))</f>
        <v>6238.75</v>
      </c>
      <c r="F108" s="15" t="n">
        <f aca="false">E108*(1+IF(F$3&lt;=$O$2,$D108,$D108-($D108-$I$103)*MIN(F$3-$O$2,$Q$2)/$Q$2))</f>
        <v>6043.7890625</v>
      </c>
      <c r="G108" s="15" t="n">
        <f aca="false">F108*(1+IF(G$3&lt;=$O$2,$D108,$D108-($D108-$I$103)*MIN(G$3-$O$2,$Q$2)/$Q$2))</f>
        <v>5854.92065429688</v>
      </c>
      <c r="H108" s="15" t="n">
        <f aca="false">G108*(1+IF(H$3&lt;=$O$2,$D108,$D108-($D108-$I$103)*MIN(H$3-$O$2,$Q$2)/$Q$2))</f>
        <v>5671.9543838501</v>
      </c>
      <c r="I108" s="15" t="n">
        <f aca="false">H108*(1+IF(I$3&lt;=$O$2,$D108,$D108-($D108-$I$103)*MIN(I$3-$O$2,$Q$2)/$Q$2))</f>
        <v>5494.70580935478</v>
      </c>
      <c r="J108" s="15" t="n">
        <f aca="false">I108*(1+IF(J$3&lt;=$O$2,$D108,$D108-($D108-$I$103)*MIN(J$3-$O$2,$Q$2)/$Q$2))</f>
        <v>5388.43819900186</v>
      </c>
      <c r="K108" s="15" t="n">
        <f aca="false">J108*(1+IF(K$3&lt;=$O$2,$D108,$D108-($D108-$I$103)*MIN(K$3-$O$2,$Q$2)/$Q$2))</f>
        <v>5348.40210318328</v>
      </c>
      <c r="L108" s="15" t="n">
        <f aca="false">K108*(1+IF(L$3&lt;=$O$2,$D108,$D108-($D108-$I$103)*MIN(L$3-$O$2,$Q$2)/$Q$2))</f>
        <v>5372.36294460554</v>
      </c>
      <c r="M108" s="15" t="n">
        <f aca="false">L108*(1+IF(M$3&lt;=$O$2,$D108,$D108-($D108-$I$103)*MIN(M$3-$O$2,$Q$2)/$Q$2))</f>
        <v>5460.41597326762</v>
      </c>
      <c r="N108" s="15" t="n">
        <f aca="false">M108*(1+IF(N$3&lt;=$O$2,$D108,$D108-($D108-$I$103)*MIN(N$3-$O$2,$Q$2)/$Q$2))</f>
        <v>5614.9457453111</v>
      </c>
      <c r="O108" s="15" t="n">
        <f aca="false">SUMPRODUCT(E108:N108,1/(1+$F$103)^$E$3:$N$3)*$E$2</f>
        <v>7496.07291904228</v>
      </c>
      <c r="P108" s="15" t="n">
        <f aca="false">N108*$E$2*(1+$I$103)/($F$103-$I$103)/(1+$F$103)^$N$3</f>
        <v>9019.73529526891</v>
      </c>
      <c r="Q108" s="15" t="n">
        <f aca="false">O108+P108</f>
        <v>16515.8082143112</v>
      </c>
      <c r="R108" s="15" t="n">
        <f aca="false">Q108-$G$2+$I$2</f>
        <v>11215.9082143112</v>
      </c>
      <c r="S108" s="42" t="n">
        <f aca="false">R108/$K$2</f>
        <v>95.4707883410895</v>
      </c>
      <c r="T108" s="43" t="n">
        <f aca="false">S108-$M$2</f>
        <v>-51.7031987205381</v>
      </c>
    </row>
    <row r="109" customFormat="false" ht="15" hidden="false" customHeight="false" outlineLevel="0" collapsed="false">
      <c r="A109" s="5" t="n">
        <v>5</v>
      </c>
      <c r="B109" s="25" t="n">
        <f aca="false">IF(T108&gt;0,B108,D108)</f>
        <v>-0.03125</v>
      </c>
      <c r="C109" s="25" t="n">
        <f aca="false">IF(T108&gt;0,D108,C108)</f>
        <v>0.0625</v>
      </c>
      <c r="D109" s="41" t="n">
        <f aca="false">(B109+C109)/2</f>
        <v>0.015625</v>
      </c>
      <c r="E109" s="15" t="n">
        <f aca="false">$C$2*(1+IF(E$3&lt;=$O$2,$D109,$D109-($D109-$I$103)*MIN(E$3-$O$2,$Q$2)/$Q$2))</f>
        <v>6540.625</v>
      </c>
      <c r="F109" s="15" t="n">
        <f aca="false">E109*(1+IF(F$3&lt;=$O$2,$D109,$D109-($D109-$I$103)*MIN(F$3-$O$2,$Q$2)/$Q$2))</f>
        <v>6642.822265625</v>
      </c>
      <c r="G109" s="15" t="n">
        <f aca="false">F109*(1+IF(G$3&lt;=$O$2,$D109,$D109-($D109-$I$103)*MIN(G$3-$O$2,$Q$2)/$Q$2))</f>
        <v>6746.61636352539</v>
      </c>
      <c r="H109" s="15" t="n">
        <f aca="false">G109*(1+IF(H$3&lt;=$O$2,$D109,$D109-($D109-$I$103)*MIN(H$3-$O$2,$Q$2)/$Q$2))</f>
        <v>6852.03224420548</v>
      </c>
      <c r="I109" s="15" t="n">
        <f aca="false">H109*(1+IF(I$3&lt;=$O$2,$D109,$D109-($D109-$I$103)*MIN(I$3-$O$2,$Q$2)/$Q$2))</f>
        <v>6959.09524802119</v>
      </c>
      <c r="J109" s="15" t="n">
        <f aca="false">I109*(1+IF(J$3&lt;=$O$2,$D109,$D109-($D109-$I$103)*MIN(J$3-$O$2,$Q$2)/$Q$2))</f>
        <v>7085.47241772525</v>
      </c>
      <c r="K109" s="15" t="n">
        <f aca="false">J109*(1+IF(K$3&lt;=$O$2,$D109,$D109-($D109-$I$103)*MIN(K$3-$O$2,$Q$2)/$Q$2))</f>
        <v>7232.10626941007</v>
      </c>
      <c r="L109" s="15" t="n">
        <f aca="false">K109*(1+IF(L$3&lt;=$O$2,$D109,$D109-($D109-$I$103)*MIN(L$3-$O$2,$Q$2)/$Q$2))</f>
        <v>7400.10809804847</v>
      </c>
      <c r="M109" s="15" t="n">
        <f aca="false">L109*(1+IF(M$3&lt;=$O$2,$D109,$D109-($D109-$I$103)*MIN(M$3-$O$2,$Q$2)/$Q$2))</f>
        <v>7590.77188319469</v>
      </c>
      <c r="N109" s="15" t="n">
        <f aca="false">M109*(1+IF(N$3&lt;=$O$2,$D109,$D109-($D109-$I$103)*MIN(N$3-$O$2,$Q$2)/$Q$2))</f>
        <v>7805.5907274891</v>
      </c>
      <c r="O109" s="15" t="n">
        <f aca="false">SUMPRODUCT(E109:N109,1/(1+$F$103)^$E$3:$N$3)*$E$2</f>
        <v>9190.30932222953</v>
      </c>
      <c r="P109" s="15" t="n">
        <f aca="false">N109*$E$2*(1+$I$103)/($F$103-$I$103)/(1+$F$103)^$N$3</f>
        <v>12538.7430936354</v>
      </c>
      <c r="Q109" s="15" t="n">
        <f aca="false">O109+P109</f>
        <v>21729.052415865</v>
      </c>
      <c r="R109" s="15" t="n">
        <f aca="false">Q109-$G$2+$I$2</f>
        <v>16429.152415865</v>
      </c>
      <c r="S109" s="42" t="n">
        <f aca="false">R109/$K$2</f>
        <v>139.846377390747</v>
      </c>
      <c r="T109" s="43" t="n">
        <f aca="false">S109-$M$2</f>
        <v>-7.32760967088044</v>
      </c>
    </row>
    <row r="110" customFormat="false" ht="15" hidden="false" customHeight="false" outlineLevel="0" collapsed="false">
      <c r="A110" s="5" t="n">
        <v>6</v>
      </c>
      <c r="B110" s="25" t="n">
        <f aca="false">IF(T109&gt;0,B109,D109)</f>
        <v>0.015625</v>
      </c>
      <c r="C110" s="25" t="n">
        <f aca="false">IF(T109&gt;0,D109,C109)</f>
        <v>0.0625</v>
      </c>
      <c r="D110" s="41" t="n">
        <f aca="false">(B110+C110)/2</f>
        <v>0.0390625</v>
      </c>
      <c r="E110" s="15" t="n">
        <f aca="false">$C$2*(1+IF(E$3&lt;=$O$2,$D110,$D110-($D110-$I$103)*MIN(E$3-$O$2,$Q$2)/$Q$2))</f>
        <v>6691.5625</v>
      </c>
      <c r="F110" s="15" t="n">
        <f aca="false">E110*(1+IF(F$3&lt;=$O$2,$D110,$D110-($D110-$I$103)*MIN(F$3-$O$2,$Q$2)/$Q$2))</f>
        <v>6952.95166015625</v>
      </c>
      <c r="G110" s="15" t="n">
        <f aca="false">F110*(1+IF(G$3&lt;=$O$2,$D110,$D110-($D110-$I$103)*MIN(G$3-$O$2,$Q$2)/$Q$2))</f>
        <v>7224.5513343811</v>
      </c>
      <c r="H110" s="15" t="n">
        <f aca="false">G110*(1+IF(H$3&lt;=$O$2,$D110,$D110-($D110-$I$103)*MIN(H$3-$O$2,$Q$2)/$Q$2))</f>
        <v>7506.76037088037</v>
      </c>
      <c r="I110" s="15" t="n">
        <f aca="false">H110*(1+IF(I$3&lt;=$O$2,$D110,$D110-($D110-$I$103)*MIN(I$3-$O$2,$Q$2)/$Q$2))</f>
        <v>7799.99319786788</v>
      </c>
      <c r="J110" s="15" t="n">
        <f aca="false">I110*(1+IF(J$3&lt;=$O$2,$D110,$D110-($D110-$I$103)*MIN(J$3-$O$2,$Q$2)/$Q$2))</f>
        <v>8087.89094680118</v>
      </c>
      <c r="K110" s="15" t="n">
        <f aca="false">J110*(1+IF(K$3&lt;=$O$2,$D110,$D110-($D110-$I$103)*MIN(K$3-$O$2,$Q$2)/$Q$2))</f>
        <v>8369.00581638463</v>
      </c>
      <c r="L110" s="15" t="n">
        <f aca="false">K110*(1+IF(L$3&lt;=$O$2,$D110,$D110-($D110-$I$103)*MIN(L$3-$O$2,$Q$2)/$Q$2))</f>
        <v>8641.87725102785</v>
      </c>
      <c r="M110" s="15" t="n">
        <f aca="false">L110*(1+IF(M$3&lt;=$O$2,$D110,$D110-($D110-$I$103)*MIN(M$3-$O$2,$Q$2)/$Q$2))</f>
        <v>8905.04401801477</v>
      </c>
      <c r="N110" s="15" t="n">
        <f aca="false">M110*(1+IF(N$3&lt;=$O$2,$D110,$D110-($D110-$I$103)*MIN(N$3-$O$2,$Q$2)/$Q$2))</f>
        <v>9157.05676372459</v>
      </c>
      <c r="O110" s="15" t="n">
        <f aca="false">SUMPRODUCT(E110:N110,1/(1+$F$103)^$E$3:$N$3)*$E$2</f>
        <v>10179.406201718</v>
      </c>
      <c r="P110" s="15" t="n">
        <f aca="false">N110*$E$2*(1+$I$103)/($F$103-$I$103)/(1+$F$103)^$N$3</f>
        <v>14709.710803799</v>
      </c>
      <c r="Q110" s="15" t="n">
        <f aca="false">O110+P110</f>
        <v>24889.117005517</v>
      </c>
      <c r="R110" s="15" t="n">
        <f aca="false">Q110-$G$2+$I$2</f>
        <v>19589.217005517</v>
      </c>
      <c r="S110" s="42" t="n">
        <f aca="false">R110/$K$2</f>
        <v>166.745122621016</v>
      </c>
      <c r="T110" s="43" t="n">
        <f aca="false">S110-$M$2</f>
        <v>19.5711355593887</v>
      </c>
    </row>
    <row r="111" customFormat="false" ht="15" hidden="false" customHeight="false" outlineLevel="0" collapsed="false">
      <c r="A111" s="5" t="n">
        <v>7</v>
      </c>
      <c r="B111" s="25" t="n">
        <f aca="false">IF(T110&gt;0,B110,D110)</f>
        <v>0.015625</v>
      </c>
      <c r="C111" s="25" t="n">
        <f aca="false">IF(T110&gt;0,D110,C110)</f>
        <v>0.0390625</v>
      </c>
      <c r="D111" s="41" t="n">
        <f aca="false">(B111+C111)/2</f>
        <v>0.02734375</v>
      </c>
      <c r="E111" s="15" t="n">
        <f aca="false">$C$2*(1+IF(E$3&lt;=$O$2,$D111,$D111-($D111-$I$103)*MIN(E$3-$O$2,$Q$2)/$Q$2))</f>
        <v>6616.09375</v>
      </c>
      <c r="F111" s="15" t="n">
        <f aca="false">E111*(1+IF(F$3&lt;=$O$2,$D111,$D111-($D111-$I$103)*MIN(F$3-$O$2,$Q$2)/$Q$2))</f>
        <v>6797.00256347656</v>
      </c>
      <c r="G111" s="15" t="n">
        <f aca="false">F111*(1+IF(G$3&lt;=$O$2,$D111,$D111-($D111-$I$103)*MIN(G$3-$O$2,$Q$2)/$Q$2))</f>
        <v>6982.85810232163</v>
      </c>
      <c r="H111" s="15" t="n">
        <f aca="false">G111*(1+IF(H$3&lt;=$O$2,$D111,$D111-($D111-$I$103)*MIN(H$3-$O$2,$Q$2)/$Q$2))</f>
        <v>7173.79562855698</v>
      </c>
      <c r="I111" s="15" t="n">
        <f aca="false">H111*(1+IF(I$3&lt;=$O$2,$D111,$D111-($D111-$I$103)*MIN(I$3-$O$2,$Q$2)/$Q$2))</f>
        <v>7369.95410277534</v>
      </c>
      <c r="J111" s="15" t="n">
        <f aca="false">I111*(1+IF(J$3&lt;=$O$2,$D111,$D111-($D111-$I$103)*MIN(J$3-$O$2,$Q$2)/$Q$2))</f>
        <v>7572.88578899526</v>
      </c>
      <c r="K111" s="15" t="n">
        <f aca="false">J111*(1+IF(K$3&lt;=$O$2,$D111,$D111-($D111-$I$103)*MIN(K$3-$O$2,$Q$2)/$Q$2))</f>
        <v>7782.85351360239</v>
      </c>
      <c r="L111" s="15" t="n">
        <f aca="false">K111*(1+IF(L$3&lt;=$O$2,$D111,$D111-($D111-$I$103)*MIN(L$3-$O$2,$Q$2)/$Q$2))</f>
        <v>8000.13132656838</v>
      </c>
      <c r="M111" s="15" t="n">
        <f aca="false">L111*(1+IF(M$3&lt;=$O$2,$D111,$D111-($D111-$I$103)*MIN(M$3-$O$2,$Q$2)/$Q$2))</f>
        <v>8225.00501799406</v>
      </c>
      <c r="N111" s="15" t="n">
        <f aca="false">M111*(1+IF(N$3&lt;=$O$2,$D111,$D111-($D111-$I$103)*MIN(N$3-$O$2,$Q$2)/$Q$2))</f>
        <v>8457.77266000329</v>
      </c>
      <c r="O111" s="15" t="n">
        <f aca="false">SUMPRODUCT(E111:N111,1/(1+$F$103)^$E$3:$N$3)*$E$2</f>
        <v>9672.03760952572</v>
      </c>
      <c r="P111" s="15" t="n">
        <f aca="false">N111*$E$2*(1+$I$103)/($F$103-$I$103)/(1+$F$103)^$N$3</f>
        <v>13586.3949610729</v>
      </c>
      <c r="Q111" s="15" t="n">
        <f aca="false">O111+P111</f>
        <v>23258.4325705986</v>
      </c>
      <c r="R111" s="15" t="n">
        <f aca="false">Q111-$G$2+$I$2</f>
        <v>17958.5325705986</v>
      </c>
      <c r="S111" s="42" t="n">
        <f aca="false">R111/$K$2</f>
        <v>152.864594574383</v>
      </c>
      <c r="T111" s="43" t="n">
        <f aca="false">S111-$M$2</f>
        <v>5.69060751275595</v>
      </c>
    </row>
    <row r="112" customFormat="false" ht="15" hidden="false" customHeight="false" outlineLevel="0" collapsed="false">
      <c r="A112" s="5" t="n">
        <v>8</v>
      </c>
      <c r="B112" s="25" t="n">
        <f aca="false">IF(T111&gt;0,B111,D111)</f>
        <v>0.015625</v>
      </c>
      <c r="C112" s="25" t="n">
        <f aca="false">IF(T111&gt;0,D111,C111)</f>
        <v>0.02734375</v>
      </c>
      <c r="D112" s="41" t="n">
        <f aca="false">(B112+C112)/2</f>
        <v>0.021484375</v>
      </c>
      <c r="E112" s="15" t="n">
        <f aca="false">$C$2*(1+IF(E$3&lt;=$O$2,$D112,$D112-($D112-$I$103)*MIN(E$3-$O$2,$Q$2)/$Q$2))</f>
        <v>6578.359375</v>
      </c>
      <c r="F112" s="15" t="n">
        <f aca="false">E112*(1+IF(F$3&lt;=$O$2,$D112,$D112-($D112-$I$103)*MIN(F$3-$O$2,$Q$2)/$Q$2))</f>
        <v>6719.69131469727</v>
      </c>
      <c r="G112" s="15" t="n">
        <f aca="false">F112*(1+IF(G$3&lt;=$O$2,$D112,$D112-($D112-$I$103)*MIN(G$3-$O$2,$Q$2)/$Q$2))</f>
        <v>6864.05968278647</v>
      </c>
      <c r="H112" s="15" t="n">
        <f aca="false">G112*(1+IF(H$3&lt;=$O$2,$D112,$D112-($D112-$I$103)*MIN(H$3-$O$2,$Q$2)/$Q$2))</f>
        <v>7011.52971503383</v>
      </c>
      <c r="I112" s="15" t="n">
        <f aca="false">H112*(1+IF(I$3&lt;=$O$2,$D112,$D112-($D112-$I$103)*MIN(I$3-$O$2,$Q$2)/$Q$2))</f>
        <v>7162.16804875526</v>
      </c>
      <c r="J112" s="15" t="n">
        <f aca="false">I112*(1+IF(J$3&lt;=$O$2,$D112,$D112-($D112-$I$103)*MIN(J$3-$O$2,$Q$2)/$Q$2))</f>
        <v>7325.8056832492</v>
      </c>
      <c r="K112" s="15" t="n">
        <f aca="false">J112*(1+IF(K$3&lt;=$O$2,$D112,$D112-($D112-$I$103)*MIN(K$3-$O$2,$Q$2)/$Q$2))</f>
        <v>7503.16801746921</v>
      </c>
      <c r="L112" s="15" t="n">
        <f aca="false">K112*(1+IF(L$3&lt;=$O$2,$D112,$D112-($D112-$I$103)*MIN(L$3-$O$2,$Q$2)/$Q$2))</f>
        <v>7695.05216055596</v>
      </c>
      <c r="M112" s="15" t="n">
        <f aca="false">L112*(1+IF(M$3&lt;=$O$2,$D112,$D112-($D112-$I$103)*MIN(M$3-$O$2,$Q$2)/$Q$2))</f>
        <v>7902.33281872334</v>
      </c>
      <c r="N112" s="15" t="n">
        <f aca="false">M112*(1+IF(N$3&lt;=$O$2,$D112,$D112-($D112-$I$103)*MIN(N$3-$O$2,$Q$2)/$Q$2))</f>
        <v>8125.96883749321</v>
      </c>
      <c r="O112" s="15" t="n">
        <f aca="false">SUMPRODUCT(E112:N112,1/(1+$F$103)^$E$3:$N$3)*$E$2</f>
        <v>9428.0461672602</v>
      </c>
      <c r="P112" s="15" t="n">
        <f aca="false">N112*$E$2*(1+$I$103)/($F$103-$I$103)/(1+$F$103)^$N$3</f>
        <v>13053.3920105994</v>
      </c>
      <c r="Q112" s="15" t="n">
        <f aca="false">O112+P112</f>
        <v>22481.4381778596</v>
      </c>
      <c r="R112" s="15" t="n">
        <f aca="false">Q112-$G$2+$I$2</f>
        <v>17181.5381778596</v>
      </c>
      <c r="S112" s="42" t="n">
        <f aca="false">R112/$K$2</f>
        <v>146.250750577627</v>
      </c>
      <c r="T112" s="43" t="n">
        <f aca="false">S112-$M$2</f>
        <v>-0.923236484000881</v>
      </c>
    </row>
    <row r="113" customFormat="false" ht="15" hidden="false" customHeight="false" outlineLevel="0" collapsed="false">
      <c r="A113" s="5" t="n">
        <v>9</v>
      </c>
      <c r="B113" s="25" t="n">
        <f aca="false">IF(T112&gt;0,B112,D112)</f>
        <v>0.021484375</v>
      </c>
      <c r="C113" s="25" t="n">
        <f aca="false">IF(T112&gt;0,D112,C112)</f>
        <v>0.02734375</v>
      </c>
      <c r="D113" s="41" t="n">
        <f aca="false">(B113+C113)/2</f>
        <v>0.0244140625</v>
      </c>
      <c r="E113" s="15" t="n">
        <f aca="false">$C$2*(1+IF(E$3&lt;=$O$2,$D113,$D113-($D113-$I$103)*MIN(E$3-$O$2,$Q$2)/$Q$2))</f>
        <v>6597.2265625</v>
      </c>
      <c r="F113" s="15" t="n">
        <f aca="false">E113*(1+IF(F$3&lt;=$O$2,$D113,$D113-($D113-$I$103)*MIN(F$3-$O$2,$Q$2)/$Q$2))</f>
        <v>6758.29166412354</v>
      </c>
      <c r="G113" s="15" t="n">
        <f aca="false">F113*(1+IF(G$3&lt;=$O$2,$D113,$D113-($D113-$I$103)*MIN(G$3-$O$2,$Q$2)/$Q$2))</f>
        <v>6923.28901920468</v>
      </c>
      <c r="H113" s="15" t="n">
        <f aca="false">G113*(1+IF(H$3&lt;=$O$2,$D113,$D113-($D113-$I$103)*MIN(H$3-$O$2,$Q$2)/$Q$2))</f>
        <v>7092.3146300251</v>
      </c>
      <c r="I113" s="15" t="n">
        <f aca="false">H113*(1+IF(I$3&lt;=$O$2,$D113,$D113-($D113-$I$103)*MIN(I$3-$O$2,$Q$2)/$Q$2))</f>
        <v>7265.4668426722</v>
      </c>
      <c r="J113" s="15" t="n">
        <f aca="false">I113*(1+IF(J$3&lt;=$O$2,$D113,$D113-($D113-$I$103)*MIN(J$3-$O$2,$Q$2)/$Q$2))</f>
        <v>7448.49303427267</v>
      </c>
      <c r="K113" s="15" t="n">
        <f aca="false">J113*(1+IF(K$3&lt;=$O$2,$D113,$D113-($D113-$I$103)*MIN(K$3-$O$2,$Q$2)/$Q$2))</f>
        <v>7641.91876010236</v>
      </c>
      <c r="L113" s="15" t="n">
        <f aca="false">K113*(1+IF(L$3&lt;=$O$2,$D113,$D113-($D113-$I$103)*MIN(L$3-$O$2,$Q$2)/$Q$2))</f>
        <v>7846.30665354052</v>
      </c>
      <c r="M113" s="15" t="n">
        <f aca="false">L113*(1+IF(M$3&lt;=$O$2,$D113,$D113-($D113-$I$103)*MIN(M$3-$O$2,$Q$2)/$Q$2))</f>
        <v>8062.25908038342</v>
      </c>
      <c r="N113" s="15" t="n">
        <f aca="false">M113*(1+IF(N$3&lt;=$O$2,$D113,$D113-($D113-$I$103)*MIN(N$3-$O$2,$Q$2)/$Q$2))</f>
        <v>8290.42101235827</v>
      </c>
      <c r="O113" s="15" t="n">
        <f aca="false">SUMPRODUCT(E113:N113,1/(1+$F$103)^$E$3:$N$3)*$E$2</f>
        <v>9549.25047533106</v>
      </c>
      <c r="P113" s="15" t="n">
        <f aca="false">N113*$E$2*(1+$I$103)/($F$103-$I$103)/(1+$F$103)^$N$3</f>
        <v>13317.564658617</v>
      </c>
      <c r="Q113" s="15" t="n">
        <f aca="false">O113+P113</f>
        <v>22866.8151339481</v>
      </c>
      <c r="R113" s="15" t="n">
        <f aca="false">Q113-$G$2+$I$2</f>
        <v>17566.9151339481</v>
      </c>
      <c r="S113" s="42" t="n">
        <f aca="false">R113/$K$2</f>
        <v>149.531112818761</v>
      </c>
      <c r="T113" s="43" t="n">
        <f aca="false">S113-$M$2</f>
        <v>2.35712575713356</v>
      </c>
    </row>
    <row r="114" customFormat="false" ht="15" hidden="false" customHeight="false" outlineLevel="0" collapsed="false">
      <c r="A114" s="5" t="n">
        <v>10</v>
      </c>
      <c r="B114" s="25" t="n">
        <f aca="false">IF(T113&gt;0,B113,D113)</f>
        <v>0.021484375</v>
      </c>
      <c r="C114" s="25" t="n">
        <f aca="false">IF(T113&gt;0,D113,C113)</f>
        <v>0.0244140625</v>
      </c>
      <c r="D114" s="41" t="n">
        <f aca="false">(B114+C114)/2</f>
        <v>0.02294921875</v>
      </c>
      <c r="E114" s="15" t="n">
        <f aca="false">$C$2*(1+IF(E$3&lt;=$O$2,$D114,$D114-($D114-$I$103)*MIN(E$3-$O$2,$Q$2)/$Q$2))</f>
        <v>6587.79296875</v>
      </c>
      <c r="F114" s="15" t="n">
        <f aca="false">E114*(1+IF(F$3&lt;=$O$2,$D114,$D114-($D114-$I$103)*MIN(F$3-$O$2,$Q$2)/$Q$2))</f>
        <v>6738.97767066956</v>
      </c>
      <c r="G114" s="15" t="n">
        <f aca="false">F114*(1+IF(G$3&lt;=$O$2,$D114,$D114-($D114-$I$103)*MIN(G$3-$O$2,$Q$2)/$Q$2))</f>
        <v>6893.63194338512</v>
      </c>
      <c r="H114" s="15" t="n">
        <f aca="false">G114*(1+IF(H$3&lt;=$O$2,$D114,$D114-($D114-$I$103)*MIN(H$3-$O$2,$Q$2)/$Q$2))</f>
        <v>7051.83541083585</v>
      </c>
      <c r="I114" s="15" t="n">
        <f aca="false">H114*(1+IF(I$3&lt;=$O$2,$D114,$D114-($D114-$I$103)*MIN(I$3-$O$2,$Q$2)/$Q$2))</f>
        <v>7213.66952426812</v>
      </c>
      <c r="J114" s="15" t="n">
        <f aca="false">I114*(1+IF(J$3&lt;=$O$2,$D114,$D114-($D114-$I$103)*MIN(J$3-$O$2,$Q$2)/$Q$2))</f>
        <v>7386.93735769758</v>
      </c>
      <c r="K114" s="15" t="n">
        <f aca="false">J114*(1+IF(K$3&lt;=$O$2,$D114,$D114-($D114-$I$103)*MIN(K$3-$O$2,$Q$2)/$Q$2))</f>
        <v>7572.27215337533</v>
      </c>
      <c r="L114" s="15" t="n">
        <f aca="false">K114*(1+IF(L$3&lt;=$O$2,$D114,$D114-($D114-$I$103)*MIN(L$3-$O$2,$Q$2)/$Q$2))</f>
        <v>7770.36042657258</v>
      </c>
      <c r="M114" s="15" t="n">
        <f aca="false">L114*(1+IF(M$3&lt;=$O$2,$D114,$D114-($D114-$I$103)*MIN(M$3-$O$2,$Q$2)/$Q$2))</f>
        <v>7981.94612686934</v>
      </c>
      <c r="N114" s="15" t="n">
        <f aca="false">M114*(1+IF(N$3&lt;=$O$2,$D114,$D114-($D114-$I$103)*MIN(N$3-$O$2,$Q$2)/$Q$2))</f>
        <v>8207.83520225974</v>
      </c>
      <c r="O114" s="15" t="n">
        <f aca="false">SUMPRODUCT(E114:N114,1/(1+$F$103)^$E$3:$N$3)*$E$2</f>
        <v>9488.45167456764</v>
      </c>
      <c r="P114" s="15" t="n">
        <f aca="false">N114*$E$2*(1+$I$103)/($F$103-$I$103)/(1+$F$103)^$N$3</f>
        <v>13184.9004833921</v>
      </c>
      <c r="Q114" s="15" t="n">
        <f aca="false">O114+P114</f>
        <v>22673.3521579598</v>
      </c>
      <c r="R114" s="15" t="n">
        <f aca="false">Q114-$G$2+$I$2</f>
        <v>17373.4521579598</v>
      </c>
      <c r="S114" s="42" t="n">
        <f aca="false">R114/$K$2</f>
        <v>147.884339104186</v>
      </c>
      <c r="T114" s="43" t="n">
        <f aca="false">S114-$M$2</f>
        <v>0.710352042558355</v>
      </c>
    </row>
    <row r="115" customFormat="false" ht="15" hidden="false" customHeight="false" outlineLevel="0" collapsed="false">
      <c r="A115" s="5" t="n">
        <v>11</v>
      </c>
      <c r="B115" s="25" t="n">
        <f aca="false">IF(T114&gt;0,B114,D114)</f>
        <v>0.021484375</v>
      </c>
      <c r="C115" s="25" t="n">
        <f aca="false">IF(T114&gt;0,D114,C114)</f>
        <v>0.02294921875</v>
      </c>
      <c r="D115" s="41" t="n">
        <f aca="false">(B115+C115)/2</f>
        <v>0.022216796875</v>
      </c>
      <c r="E115" s="15" t="n">
        <f aca="false">$C$2*(1+IF(E$3&lt;=$O$2,$D115,$D115-($D115-$I$103)*MIN(E$3-$O$2,$Q$2)/$Q$2))</f>
        <v>6583.076171875</v>
      </c>
      <c r="F115" s="15" t="n">
        <f aca="false">E115*(1+IF(F$3&lt;=$O$2,$D115,$D115-($D115-$I$103)*MIN(F$3-$O$2,$Q$2)/$Q$2))</f>
        <v>6729.3310379982</v>
      </c>
      <c r="G115" s="15" t="n">
        <f aca="false">F115*(1+IF(G$3&lt;=$O$2,$D115,$D115-($D115-$I$103)*MIN(G$3-$O$2,$Q$2)/$Q$2))</f>
        <v>6878.83521877404</v>
      </c>
      <c r="H115" s="15" t="n">
        <f aca="false">G115*(1+IF(H$3&lt;=$O$2,$D115,$D115-($D115-$I$103)*MIN(H$3-$O$2,$Q$2)/$Q$2))</f>
        <v>7031.66090356614</v>
      </c>
      <c r="I115" s="15" t="n">
        <f aca="false">H115*(1+IF(I$3&lt;=$O$2,$D115,$D115-($D115-$I$103)*MIN(I$3-$O$2,$Q$2)/$Q$2))</f>
        <v>7187.88188555455</v>
      </c>
      <c r="J115" s="15" t="n">
        <f aca="false">I115*(1+IF(J$3&lt;=$O$2,$D115,$D115-($D115-$I$103)*MIN(J$3-$O$2,$Q$2)/$Q$2))</f>
        <v>7356.31866647707</v>
      </c>
      <c r="K115" s="15" t="n">
        <f aca="false">J115*(1+IF(K$3&lt;=$O$2,$D115,$D115-($D115-$I$103)*MIN(K$3-$O$2,$Q$2)/$Q$2))</f>
        <v>7537.65249631813</v>
      </c>
      <c r="L115" s="15" t="n">
        <f aca="false">K115*(1+IF(L$3&lt;=$O$2,$D115,$D115-($D115-$I$103)*MIN(L$3-$O$2,$Q$2)/$Q$2))</f>
        <v>7732.62683347562</v>
      </c>
      <c r="M115" s="15" t="n">
        <f aca="false">L115*(1+IF(M$3&lt;=$O$2,$D115,$D115-($D115-$I$103)*MIN(M$3-$O$2,$Q$2)/$Q$2))</f>
        <v>7942.05234491941</v>
      </c>
      <c r="N115" s="15" t="n">
        <f aca="false">M115*(1+IF(N$3&lt;=$O$2,$D115,$D115-($D115-$I$103)*MIN(N$3-$O$2,$Q$2)/$Q$2))</f>
        <v>8166.81242628063</v>
      </c>
      <c r="O115" s="15" t="n">
        <f aca="false">SUMPRODUCT(E115:N115,1/(1+$F$103)^$E$3:$N$3)*$E$2</f>
        <v>9458.19990934752</v>
      </c>
      <c r="P115" s="15" t="n">
        <f aca="false">N115*$E$2*(1+$I$103)/($F$103-$I$103)/(1+$F$103)^$N$3</f>
        <v>13119.0023256552</v>
      </c>
      <c r="Q115" s="15" t="n">
        <f aca="false">O115+P115</f>
        <v>22577.2022350027</v>
      </c>
      <c r="R115" s="15" t="n">
        <f aca="false">Q115-$G$2+$I$2</f>
        <v>17277.3022350027</v>
      </c>
      <c r="S115" s="42" t="n">
        <f aca="false">R115/$K$2</f>
        <v>147.065902579186</v>
      </c>
      <c r="T115" s="43" t="n">
        <f aca="false">S115-$M$2</f>
        <v>-0.108084482441797</v>
      </c>
    </row>
    <row r="116" customFormat="false" ht="15" hidden="false" customHeight="false" outlineLevel="0" collapsed="false">
      <c r="A116" s="5" t="n">
        <v>12</v>
      </c>
      <c r="B116" s="25" t="n">
        <f aca="false">IF(T115&gt;0,B115,D115)</f>
        <v>0.022216796875</v>
      </c>
      <c r="C116" s="25" t="n">
        <f aca="false">IF(T115&gt;0,D115,C115)</f>
        <v>0.02294921875</v>
      </c>
      <c r="D116" s="41" t="n">
        <f aca="false">(B116+C116)/2</f>
        <v>0.0225830078125</v>
      </c>
      <c r="E116" s="15" t="n">
        <f aca="false">$C$2*(1+IF(E$3&lt;=$O$2,$D116,$D116-($D116-$I$103)*MIN(E$3-$O$2,$Q$2)/$Q$2))</f>
        <v>6585.4345703125</v>
      </c>
      <c r="F116" s="15" t="n">
        <f aca="false">E116*(1+IF(F$3&lt;=$O$2,$D116,$D116-($D116-$I$103)*MIN(F$3-$O$2,$Q$2)/$Q$2))</f>
        <v>6734.15349066258</v>
      </c>
      <c r="G116" s="15" t="n">
        <f aca="false">F116*(1+IF(G$3&lt;=$O$2,$D116,$D116-($D116-$I$103)*MIN(G$3-$O$2,$Q$2)/$Q$2))</f>
        <v>6886.23093155278</v>
      </c>
      <c r="H116" s="15" t="n">
        <f aca="false">G116*(1+IF(H$3&lt;=$O$2,$D116,$D116-($D116-$I$103)*MIN(H$3-$O$2,$Q$2)/$Q$2))</f>
        <v>7041.74273847872</v>
      </c>
      <c r="I116" s="15" t="n">
        <f aca="false">H116*(1+IF(I$3&lt;=$O$2,$D116,$D116-($D116-$I$103)*MIN(I$3-$O$2,$Q$2)/$Q$2))</f>
        <v>7200.7664697554</v>
      </c>
      <c r="J116" s="15" t="n">
        <f aca="false">I116*(1+IF(J$3&lt;=$O$2,$D116,$D116-($D116-$I$103)*MIN(J$3-$O$2,$Q$2)/$Q$2))</f>
        <v>7371.61478032819</v>
      </c>
      <c r="K116" s="15" t="n">
        <f aca="false">J116*(1+IF(K$3&lt;=$O$2,$D116,$D116-($D116-$I$103)*MIN(K$3-$O$2,$Q$2)/$Q$2))</f>
        <v>7554.94540014644</v>
      </c>
      <c r="L116" s="15" t="n">
        <f aca="false">K116*(1+IF(L$3&lt;=$O$2,$D116,$D116-($D116-$I$103)*MIN(L$3-$O$2,$Q$2)/$Q$2))</f>
        <v>7751.47372943874</v>
      </c>
      <c r="M116" s="15" t="n">
        <f aca="false">L116*(1+IF(M$3&lt;=$O$2,$D116,$D116-($D116-$I$103)*MIN(M$3-$O$2,$Q$2)/$Q$2))</f>
        <v>7961.97741303129</v>
      </c>
      <c r="N116" s="15" t="n">
        <f aca="false">M116*(1+IF(N$3&lt;=$O$2,$D116,$D116-($D116-$I$103)*MIN(N$3-$O$2,$Q$2)/$Q$2))</f>
        <v>8187.30137382008</v>
      </c>
      <c r="O116" s="15" t="n">
        <f aca="false">SUMPRODUCT(E116:N116,1/(1+$F$103)^$E$3:$N$3)*$E$2</f>
        <v>9473.31352033276</v>
      </c>
      <c r="P116" s="15" t="n">
        <f aca="false">N116*$E$2*(1+$I$103)/($F$103-$I$103)/(1+$F$103)^$N$3</f>
        <v>13151.9153566384</v>
      </c>
      <c r="Q116" s="15" t="n">
        <f aca="false">O116+P116</f>
        <v>22625.2288769712</v>
      </c>
      <c r="R116" s="15" t="n">
        <f aca="false">Q116-$G$2+$I$2</f>
        <v>17325.3288769712</v>
      </c>
      <c r="S116" s="42" t="n">
        <f aca="false">R116/$K$2</f>
        <v>147.474709541804</v>
      </c>
      <c r="T116" s="43" t="n">
        <f aca="false">S116-$M$2</f>
        <v>0.300722480176944</v>
      </c>
    </row>
    <row r="117" customFormat="false" ht="15" hidden="false" customHeight="false" outlineLevel="0" collapsed="false">
      <c r="A117" s="5" t="n">
        <v>13</v>
      </c>
      <c r="B117" s="25" t="n">
        <f aca="false">IF(T116&gt;0,B116,D116)</f>
        <v>0.022216796875</v>
      </c>
      <c r="C117" s="25" t="n">
        <f aca="false">IF(T116&gt;0,D116,C116)</f>
        <v>0.0225830078125</v>
      </c>
      <c r="D117" s="41" t="n">
        <f aca="false">(B117+C117)/2</f>
        <v>0.02239990234375</v>
      </c>
      <c r="E117" s="15" t="n">
        <f aca="false">$C$2*(1+IF(E$3&lt;=$O$2,$D117,$D117-($D117-$I$103)*MIN(E$3-$O$2,$Q$2)/$Q$2))</f>
        <v>6584.25537109375</v>
      </c>
      <c r="F117" s="15" t="n">
        <f aca="false">E117*(1+IF(F$3&lt;=$O$2,$D117,$D117-($D117-$I$103)*MIN(F$3-$O$2,$Q$2)/$Q$2))</f>
        <v>6731.74204841256</v>
      </c>
      <c r="G117" s="15" t="n">
        <f aca="false">F117*(1+IF(G$3&lt;=$O$2,$D117,$D117-($D117-$I$103)*MIN(G$3-$O$2,$Q$2)/$Q$2))</f>
        <v>6882.53241290032</v>
      </c>
      <c r="H117" s="15" t="n">
        <f aca="false">G117*(1+IF(H$3&lt;=$O$2,$D117,$D117-($D117-$I$103)*MIN(H$3-$O$2,$Q$2)/$Q$2))</f>
        <v>7036.70046682698</v>
      </c>
      <c r="I117" s="15" t="n">
        <f aca="false">H117*(1+IF(I$3&lt;=$O$2,$D117,$D117-($D117-$I$103)*MIN(I$3-$O$2,$Q$2)/$Q$2))</f>
        <v>7194.32187010612</v>
      </c>
      <c r="J117" s="15" t="n">
        <f aca="false">I117*(1+IF(J$3&lt;=$O$2,$D117,$D117-($D117-$I$103)*MIN(J$3-$O$2,$Q$2)/$Q$2))</f>
        <v>7363.96341774683</v>
      </c>
      <c r="K117" s="15" t="n">
        <f aca="false">J117*(1+IF(K$3&lt;=$O$2,$D117,$D117-($D117-$I$103)*MIN(K$3-$O$2,$Q$2)/$Q$2))</f>
        <v>7546.29472048801</v>
      </c>
      <c r="L117" s="15" t="n">
        <f aca="false">K117*(1+IF(L$3&lt;=$O$2,$D117,$D117-($D117-$I$103)*MIN(L$3-$O$2,$Q$2)/$Q$2))</f>
        <v>7742.04531076033</v>
      </c>
      <c r="M117" s="15" t="n">
        <f aca="false">L117*(1+IF(M$3&lt;=$O$2,$D117,$D117-($D117-$I$103)*MIN(M$3-$O$2,$Q$2)/$Q$2))</f>
        <v>7952.00942837633</v>
      </c>
      <c r="N117" s="15" t="n">
        <f aca="false">M117*(1+IF(N$3&lt;=$O$2,$D117,$D117-($D117-$I$103)*MIN(N$3-$O$2,$Q$2)/$Q$2))</f>
        <v>8177.05129519938</v>
      </c>
      <c r="O117" s="15" t="n">
        <f aca="false">SUMPRODUCT(E117:N117,1/(1+$F$103)^$E$3:$N$3)*$E$2</f>
        <v>9465.75364927754</v>
      </c>
      <c r="P117" s="15" t="n">
        <f aca="false">N117*$E$2*(1+$I$103)/($F$103-$I$103)/(1+$F$103)^$N$3</f>
        <v>13135.4498376276</v>
      </c>
      <c r="Q117" s="15" t="n">
        <f aca="false">O117+P117</f>
        <v>22601.2034869051</v>
      </c>
      <c r="R117" s="15" t="n">
        <f aca="false">Q117-$G$2+$I$2</f>
        <v>17301.3034869051</v>
      </c>
      <c r="S117" s="42" t="n">
        <f aca="false">R117/$K$2</f>
        <v>147.270203327418</v>
      </c>
      <c r="T117" s="43" t="n">
        <f aca="false">S117-$M$2</f>
        <v>0.0962162657908152</v>
      </c>
    </row>
    <row r="118" customFormat="false" ht="15" hidden="false" customHeight="false" outlineLevel="0" collapsed="false">
      <c r="A118" s="5" t="n">
        <v>14</v>
      </c>
      <c r="B118" s="25" t="n">
        <f aca="false">IF(T117&gt;0,B117,D117)</f>
        <v>0.022216796875</v>
      </c>
      <c r="C118" s="25" t="n">
        <f aca="false">IF(T117&gt;0,D117,C117)</f>
        <v>0.02239990234375</v>
      </c>
      <c r="D118" s="41" t="n">
        <f aca="false">(B118+C118)/2</f>
        <v>0.022308349609375</v>
      </c>
      <c r="E118" s="15" t="n">
        <f aca="false">$C$2*(1+IF(E$3&lt;=$O$2,$D118,$D118-($D118-$I$103)*MIN(E$3-$O$2,$Q$2)/$Q$2))</f>
        <v>6583.66577148438</v>
      </c>
      <c r="F118" s="15" t="n">
        <f aca="false">E118*(1+IF(F$3&lt;=$O$2,$D118,$D118-($D118-$I$103)*MIN(F$3-$O$2,$Q$2)/$Q$2))</f>
        <v>6730.53648922592</v>
      </c>
      <c r="G118" s="15" t="n">
        <f aca="false">F118*(1+IF(G$3&lt;=$O$2,$D118,$D118-($D118-$I$103)*MIN(G$3-$O$2,$Q$2)/$Q$2))</f>
        <v>6880.68365028623</v>
      </c>
      <c r="H118" s="15" t="n">
        <f aca="false">G118*(1+IF(H$3&lt;=$O$2,$D118,$D118-($D118-$I$103)*MIN(H$3-$O$2,$Q$2)/$Q$2))</f>
        <v>7034.18034670833</v>
      </c>
      <c r="I118" s="15" t="n">
        <f aca="false">H118*(1+IF(I$3&lt;=$O$2,$D118,$D118-($D118-$I$103)*MIN(I$3-$O$2,$Q$2)/$Q$2))</f>
        <v>7191.10130109809</v>
      </c>
      <c r="J118" s="15" t="n">
        <f aca="false">I118*(1+IF(J$3&lt;=$O$2,$D118,$D118-($D118-$I$103)*MIN(J$3-$O$2,$Q$2)/$Q$2))</f>
        <v>7360.14021598337</v>
      </c>
      <c r="K118" s="15" t="n">
        <f aca="false">J118*(1+IF(K$3&lt;=$O$2,$D118,$D118-($D118-$I$103)*MIN(K$3-$O$2,$Q$2)/$Q$2))</f>
        <v>7541.97255189561</v>
      </c>
      <c r="L118" s="15" t="n">
        <f aca="false">K118*(1+IF(L$3&lt;=$O$2,$D118,$D118-($D118-$I$103)*MIN(L$3-$O$2,$Q$2)/$Q$2))</f>
        <v>7737.33482999959</v>
      </c>
      <c r="M118" s="15" t="n">
        <f aca="false">L118*(1+IF(M$3&lt;=$O$2,$D118,$D118-($D118-$I$103)*MIN(M$3-$O$2,$Q$2)/$Q$2))</f>
        <v>7947.02952463727</v>
      </c>
      <c r="N118" s="15" t="n">
        <f aca="false">M118*(1+IF(N$3&lt;=$O$2,$D118,$D118-($D118-$I$103)*MIN(N$3-$O$2,$Q$2)/$Q$2))</f>
        <v>8171.9304601845</v>
      </c>
      <c r="O118" s="15" t="n">
        <f aca="false">SUMPRODUCT(E118:N118,1/(1+$F$103)^$E$3:$N$3)*$E$2</f>
        <v>9461.97601321466</v>
      </c>
      <c r="P118" s="15" t="n">
        <f aca="false">N118*$E$2*(1+$I$103)/($F$103-$I$103)/(1+$F$103)^$N$3</f>
        <v>13127.2238318174</v>
      </c>
      <c r="Q118" s="15" t="n">
        <f aca="false">O118+P118</f>
        <v>22589.199845032</v>
      </c>
      <c r="R118" s="15" t="n">
        <f aca="false">Q118-$G$2+$I$2</f>
        <v>17289.299845032</v>
      </c>
      <c r="S118" s="42" t="n">
        <f aca="false">R118/$K$2</f>
        <v>147.168027281512</v>
      </c>
      <c r="T118" s="43" t="n">
        <f aca="false">S118-$M$2</f>
        <v>-0.00595978011563147</v>
      </c>
    </row>
    <row r="119" customFormat="false" ht="15" hidden="false" customHeight="false" outlineLevel="0" collapsed="false">
      <c r="A119" s="5" t="n">
        <v>15</v>
      </c>
      <c r="B119" s="25" t="n">
        <f aca="false">IF(T118&gt;0,B118,D118)</f>
        <v>0.022308349609375</v>
      </c>
      <c r="C119" s="25" t="n">
        <f aca="false">IF(T118&gt;0,D118,C118)</f>
        <v>0.02239990234375</v>
      </c>
      <c r="D119" s="41" t="n">
        <f aca="false">(B119+C119)/2</f>
        <v>0.0223541259765625</v>
      </c>
      <c r="E119" s="15" t="n">
        <f aca="false">$C$2*(1+IF(E$3&lt;=$O$2,$D119,$D119-($D119-$I$103)*MIN(E$3-$O$2,$Q$2)/$Q$2))</f>
        <v>6583.96057128906</v>
      </c>
      <c r="F119" s="15" t="n">
        <f aca="false">E119*(1+IF(F$3&lt;=$O$2,$D119,$D119-($D119-$I$103)*MIN(F$3-$O$2,$Q$2)/$Q$2))</f>
        <v>6731.13925532438</v>
      </c>
      <c r="G119" s="15" t="n">
        <f aca="false">F119*(1+IF(G$3&lt;=$O$2,$D119,$D119-($D119-$I$103)*MIN(G$3-$O$2,$Q$2)/$Q$2))</f>
        <v>6881.60799020368</v>
      </c>
      <c r="H119" s="15" t="n">
        <f aca="false">G119*(1+IF(H$3&lt;=$O$2,$D119,$D119-($D119-$I$103)*MIN(H$3-$O$2,$Q$2)/$Q$2))</f>
        <v>7035.44032213802</v>
      </c>
      <c r="I119" s="15" t="n">
        <f aca="false">H119*(1+IF(I$3&lt;=$O$2,$D119,$D119-($D119-$I$103)*MIN(I$3-$O$2,$Q$2)/$Q$2))</f>
        <v>7192.71144139968</v>
      </c>
      <c r="J119" s="15" t="n">
        <f aca="false">I119*(1+IF(J$3&lt;=$O$2,$D119,$D119-($D119-$I$103)*MIN(J$3-$O$2,$Q$2)/$Q$2))</f>
        <v>7362.05161029729</v>
      </c>
      <c r="K119" s="15" t="n">
        <f aca="false">J119*(1+IF(K$3&lt;=$O$2,$D119,$D119-($D119-$I$103)*MIN(K$3-$O$2,$Q$2)/$Q$2))</f>
        <v>7544.13337201138</v>
      </c>
      <c r="L119" s="15" t="n">
        <f aca="false">K119*(1+IF(L$3&lt;=$O$2,$D119,$D119-($D119-$I$103)*MIN(L$3-$O$2,$Q$2)/$Q$2))</f>
        <v>7739.6897597809</v>
      </c>
      <c r="M119" s="15" t="n">
        <f aca="false">L119*(1+IF(M$3&lt;=$O$2,$D119,$D119-($D119-$I$103)*MIN(M$3-$O$2,$Q$2)/$Q$2))</f>
        <v>7949.51913592427</v>
      </c>
      <c r="N119" s="15" t="n">
        <f aca="false">M119*(1+IF(N$3&lt;=$O$2,$D119,$D119-($D119-$I$103)*MIN(N$3-$O$2,$Q$2)/$Q$2))</f>
        <v>8174.49052747093</v>
      </c>
      <c r="O119" s="15" t="n">
        <f aca="false">SUMPRODUCT(E119:N119,1/(1+$F$103)^$E$3:$N$3)*$E$2</f>
        <v>9463.86463968504</v>
      </c>
      <c r="P119" s="15" t="n">
        <f aca="false">N119*$E$2*(1+$I$103)/($F$103-$I$103)/(1+$F$103)^$N$3</f>
        <v>13131.3362721345</v>
      </c>
      <c r="Q119" s="15" t="n">
        <f aca="false">O119+P119</f>
        <v>22595.2009118196</v>
      </c>
      <c r="R119" s="15" t="n">
        <f aca="false">Q119-$G$2+$I$2</f>
        <v>17295.3009118196</v>
      </c>
      <c r="S119" s="42" t="n">
        <f aca="false">R119/$K$2</f>
        <v>147.219108885083</v>
      </c>
      <c r="T119" s="43" t="n">
        <f aca="false">S119-$M$2</f>
        <v>0.0451218234554744</v>
      </c>
    </row>
    <row r="120" customFormat="false" ht="15" hidden="false" customHeight="false" outlineLevel="0" collapsed="false">
      <c r="A120" s="5" t="n">
        <v>16</v>
      </c>
      <c r="B120" s="25" t="n">
        <f aca="false">IF(T119&gt;0,B119,D119)</f>
        <v>0.022308349609375</v>
      </c>
      <c r="C120" s="25" t="n">
        <f aca="false">IF(T119&gt;0,D119,C119)</f>
        <v>0.0223541259765625</v>
      </c>
      <c r="D120" s="41" t="n">
        <f aca="false">(B120+C120)/2</f>
        <v>0.0223312377929688</v>
      </c>
      <c r="E120" s="15" t="n">
        <f aca="false">$C$2*(1+IF(E$3&lt;=$O$2,$D120,$D120-($D120-$I$103)*MIN(E$3-$O$2,$Q$2)/$Q$2))</f>
        <v>6583.81317138672</v>
      </c>
      <c r="F120" s="15" t="n">
        <f aca="false">E120*(1+IF(F$3&lt;=$O$2,$D120,$D120-($D120-$I$103)*MIN(F$3-$O$2,$Q$2)/$Q$2))</f>
        <v>6730.83786890144</v>
      </c>
      <c r="G120" s="15" t="n">
        <f aca="false">F120*(1+IF(G$3&lt;=$O$2,$D120,$D120-($D120-$I$103)*MIN(G$3-$O$2,$Q$2)/$Q$2))</f>
        <v>6881.14580989779</v>
      </c>
      <c r="H120" s="15" t="n">
        <f aca="false">G120*(1+IF(H$3&lt;=$O$2,$D120,$D120-($D120-$I$103)*MIN(H$3-$O$2,$Q$2)/$Q$2))</f>
        <v>7034.81031326671</v>
      </c>
      <c r="I120" s="15" t="n">
        <f aca="false">H120*(1+IF(I$3&lt;=$O$2,$D120,$D120-($D120-$I$103)*MIN(I$3-$O$2,$Q$2)/$Q$2))</f>
        <v>7191.9063352007</v>
      </c>
      <c r="J120" s="15" t="n">
        <f aca="false">I120*(1+IF(J$3&lt;=$O$2,$D120,$D120-($D120-$I$103)*MIN(J$3-$O$2,$Q$2)/$Q$2))</f>
        <v>7361.09586150283</v>
      </c>
      <c r="K120" s="15" t="n">
        <f aca="false">J120*(1+IF(K$3&lt;=$O$2,$D120,$D120-($D120-$I$103)*MIN(K$3-$O$2,$Q$2)/$Q$2))</f>
        <v>7543.05289591508</v>
      </c>
      <c r="L120" s="15" t="n">
        <f aca="false">K120*(1+IF(L$3&lt;=$O$2,$D120,$D120-($D120-$I$103)*MIN(L$3-$O$2,$Q$2)/$Q$2))</f>
        <v>7738.51221724917</v>
      </c>
      <c r="M120" s="15" t="n">
        <f aca="false">L120*(1+IF(M$3&lt;=$O$2,$D120,$D120-($D120-$I$103)*MIN(M$3-$O$2,$Q$2)/$Q$2))</f>
        <v>7948.27424514513</v>
      </c>
      <c r="N120" s="15" t="n">
        <f aca="false">M120*(1+IF(N$3&lt;=$O$2,$D120,$D120-($D120-$I$103)*MIN(N$3-$O$2,$Q$2)/$Q$2))</f>
        <v>8173.21040628273</v>
      </c>
      <c r="O120" s="15" t="n">
        <f aca="false">SUMPRODUCT(E120:N120,1/(1+$F$103)^$E$3:$N$3)*$E$2</f>
        <v>9462.92027856416</v>
      </c>
      <c r="P120" s="15" t="n">
        <f aca="false">N120*$E$2*(1+$I$103)/($F$103-$I$103)/(1+$F$103)^$N$3</f>
        <v>13129.2799113454</v>
      </c>
      <c r="Q120" s="15" t="n">
        <f aca="false">O120+P120</f>
        <v>22592.2001899096</v>
      </c>
      <c r="R120" s="15" t="n">
        <f aca="false">Q120-$G$2+$I$2</f>
        <v>17292.3001899096</v>
      </c>
      <c r="S120" s="42" t="n">
        <f aca="false">R120/$K$2</f>
        <v>147.193566478631</v>
      </c>
      <c r="T120" s="43" t="n">
        <f aca="false">S120-$M$2</f>
        <v>0.0195794170037118</v>
      </c>
    </row>
    <row r="121" customFormat="false" ht="15" hidden="false" customHeight="false" outlineLevel="0" collapsed="false">
      <c r="A121" s="5" t="n">
        <v>17</v>
      </c>
      <c r="B121" s="25" t="n">
        <f aca="false">IF(T120&gt;0,B120,D120)</f>
        <v>0.022308349609375</v>
      </c>
      <c r="C121" s="25" t="n">
        <f aca="false">IF(T120&gt;0,D120,C120)</f>
        <v>0.0223312377929688</v>
      </c>
      <c r="D121" s="41" t="n">
        <f aca="false">(B121+C121)/2</f>
        <v>0.0223197937011719</v>
      </c>
      <c r="E121" s="15" t="n">
        <f aca="false">$C$2*(1+IF(E$3&lt;=$O$2,$D121,$D121-($D121-$I$103)*MIN(E$3-$O$2,$Q$2)/$Q$2))</f>
        <v>6583.73947143555</v>
      </c>
      <c r="F121" s="15" t="n">
        <f aca="false">E121*(1+IF(F$3&lt;=$O$2,$D121,$D121-($D121-$I$103)*MIN(F$3-$O$2,$Q$2)/$Q$2))</f>
        <v>6730.68717822025</v>
      </c>
      <c r="G121" s="15" t="n">
        <f aca="false">F121*(1+IF(G$3&lt;=$O$2,$D121,$D121-($D121-$I$103)*MIN(G$3-$O$2,$Q$2)/$Q$2))</f>
        <v>6880.91472750525</v>
      </c>
      <c r="H121" s="15" t="n">
        <f aca="false">G121*(1+IF(H$3&lt;=$O$2,$D121,$D121-($D121-$I$103)*MIN(H$3-$O$2,$Q$2)/$Q$2))</f>
        <v>7034.49532469852</v>
      </c>
      <c r="I121" s="15" t="n">
        <f aca="false">H121*(1+IF(I$3&lt;=$O$2,$D121,$D121-($D121-$I$103)*MIN(I$3-$O$2,$Q$2)/$Q$2))</f>
        <v>7191.50380913765</v>
      </c>
      <c r="J121" s="15" t="n">
        <f aca="false">I121*(1+IF(J$3&lt;=$O$2,$D121,$D121-($D121-$I$103)*MIN(J$3-$O$2,$Q$2)/$Q$2))</f>
        <v>7360.61802583429</v>
      </c>
      <c r="K121" s="15" t="n">
        <f aca="false">J121*(1+IF(K$3&lt;=$O$2,$D121,$D121-($D121-$I$103)*MIN(K$3-$O$2,$Q$2)/$Q$2))</f>
        <v>7542.51270739658</v>
      </c>
      <c r="L121" s="15" t="n">
        <f aca="false">K121*(1+IF(L$3&lt;=$O$2,$D121,$D121-($D121-$I$103)*MIN(L$3-$O$2,$Q$2)/$Q$2))</f>
        <v>7737.9235042152</v>
      </c>
      <c r="M121" s="15" t="n">
        <f aca="false">L121*(1+IF(M$3&lt;=$O$2,$D121,$D121-($D121-$I$103)*MIN(M$3-$O$2,$Q$2)/$Q$2))</f>
        <v>7947.65186360853</v>
      </c>
      <c r="N121" s="15" t="n">
        <f aca="false">M121*(1+IF(N$3&lt;=$O$2,$D121,$D121-($D121-$I$103)*MIN(N$3-$O$2,$Q$2)/$Q$2))</f>
        <v>8172.57041134866</v>
      </c>
      <c r="O121" s="15" t="n">
        <f aca="false">SUMPRODUCT(E121:N121,1/(1+$F$103)^$E$3:$N$3)*$E$2</f>
        <v>9462.44813391856</v>
      </c>
      <c r="P121" s="15" t="n">
        <f aca="false">N121*$E$2*(1+$I$103)/($F$103-$I$103)/(1+$F$103)^$N$3</f>
        <v>13128.2518364258</v>
      </c>
      <c r="Q121" s="15" t="n">
        <f aca="false">O121+P121</f>
        <v>22590.6999703444</v>
      </c>
      <c r="R121" s="15" t="n">
        <f aca="false">Q121-$G$2+$I$2</f>
        <v>17290.7999703444</v>
      </c>
      <c r="S121" s="42" t="n">
        <f aca="false">R121/$K$2</f>
        <v>147.180796478927</v>
      </c>
      <c r="T121" s="43" t="n">
        <f aca="false">S121-$M$2</f>
        <v>0.00680941729990536</v>
      </c>
    </row>
    <row r="122" customFormat="false" ht="15" hidden="false" customHeight="false" outlineLevel="0" collapsed="false">
      <c r="A122" s="5" t="n">
        <v>18</v>
      </c>
      <c r="B122" s="25" t="n">
        <f aca="false">IF(T121&gt;0,B121,D121)</f>
        <v>0.022308349609375</v>
      </c>
      <c r="C122" s="25" t="n">
        <f aca="false">IF(T121&gt;0,D121,C121)</f>
        <v>0.0223197937011719</v>
      </c>
      <c r="D122" s="41" t="n">
        <f aca="false">(B122+C122)/2</f>
        <v>0.0223140716552734</v>
      </c>
      <c r="E122" s="15" t="n">
        <f aca="false">$C$2*(1+IF(E$3&lt;=$O$2,$D122,$D122-($D122-$I$103)*MIN(E$3-$O$2,$Q$2)/$Q$2))</f>
        <v>6583.70262145996</v>
      </c>
      <c r="F122" s="15" t="n">
        <f aca="false">E122*(1+IF(F$3&lt;=$O$2,$D122,$D122-($D122-$I$103)*MIN(F$3-$O$2,$Q$2)/$Q$2))</f>
        <v>6730.61183351223</v>
      </c>
      <c r="G122" s="15" t="n">
        <f aca="false">F122*(1+IF(G$3&lt;=$O$2,$D122,$D122-($D122-$I$103)*MIN(G$3-$O$2,$Q$2)/$Q$2))</f>
        <v>6880.79918824905</v>
      </c>
      <c r="H122" s="15" t="n">
        <f aca="false">G122*(1+IF(H$3&lt;=$O$2,$D122,$D122-($D122-$I$103)*MIN(H$3-$O$2,$Q$2)/$Q$2))</f>
        <v>7034.33783438119</v>
      </c>
      <c r="I122" s="15" t="n">
        <f aca="false">H122*(1+IF(I$3&lt;=$O$2,$D122,$D122-($D122-$I$103)*MIN(I$3-$O$2,$Q$2)/$Q$2))</f>
        <v>7191.30255286497</v>
      </c>
      <c r="J122" s="15" t="n">
        <f aca="false">I122*(1+IF(J$3&lt;=$O$2,$D122,$D122-($D122-$I$103)*MIN(J$3-$O$2,$Q$2)/$Q$2))</f>
        <v>7360.37911768169</v>
      </c>
      <c r="K122" s="15" t="n">
        <f aca="false">J122*(1+IF(K$3&lt;=$O$2,$D122,$D122-($D122-$I$103)*MIN(K$3-$O$2,$Q$2)/$Q$2))</f>
        <v>7542.24262551901</v>
      </c>
      <c r="L122" s="15" t="n">
        <f aca="false">K122*(1+IF(L$3&lt;=$O$2,$D122,$D122-($D122-$I$103)*MIN(L$3-$O$2,$Q$2)/$Q$2))</f>
        <v>7737.62916225523</v>
      </c>
      <c r="M122" s="15" t="n">
        <f aca="false">L122*(1+IF(M$3&lt;=$O$2,$D122,$D122-($D122-$I$103)*MIN(M$3-$O$2,$Q$2)/$Q$2))</f>
        <v>7947.34068880239</v>
      </c>
      <c r="N122" s="15" t="n">
        <f aca="false">M122*(1+IF(N$3&lt;=$O$2,$D122,$D122-($D122-$I$103)*MIN(N$3-$O$2,$Q$2)/$Q$2))</f>
        <v>8172.2504302955</v>
      </c>
      <c r="O122" s="15" t="n">
        <f aca="false">SUMPRODUCT(E122:N122,1/(1+$F$103)^$E$3:$N$3)*$E$2</f>
        <v>9462.21207057397</v>
      </c>
      <c r="P122" s="15" t="n">
        <f aca="false">N122*$E$2*(1+$I$103)/($F$103-$I$103)/(1+$F$103)^$N$3</f>
        <v>13127.737825333</v>
      </c>
      <c r="Q122" s="15" t="n">
        <f aca="false">O122+P122</f>
        <v>22589.9498959069</v>
      </c>
      <c r="R122" s="15" t="n">
        <f aca="false">Q122-$G$2+$I$2</f>
        <v>17290.0498959069</v>
      </c>
      <c r="S122" s="42" t="n">
        <f aca="false">R122/$K$2</f>
        <v>147.174411779936</v>
      </c>
      <c r="T122" s="43" t="n">
        <f aca="false">S122-$M$2</f>
        <v>0.000424718308892125</v>
      </c>
    </row>
    <row r="123" customFormat="false" ht="15" hidden="false" customHeight="false" outlineLevel="0" collapsed="false">
      <c r="A123" s="5" t="n">
        <v>19</v>
      </c>
      <c r="B123" s="25" t="n">
        <f aca="false">IF(T122&gt;0,B122,D122)</f>
        <v>0.022308349609375</v>
      </c>
      <c r="C123" s="25" t="n">
        <f aca="false">IF(T122&gt;0,D122,C122)</f>
        <v>0.0223140716552734</v>
      </c>
      <c r="D123" s="41" t="n">
        <f aca="false">(B123+C123)/2</f>
        <v>0.0223112106323242</v>
      </c>
      <c r="E123" s="15" t="n">
        <f aca="false">$C$2*(1+IF(E$3&lt;=$O$2,$D123,$D123-($D123-$I$103)*MIN(E$3-$O$2,$Q$2)/$Q$2))</f>
        <v>6583.68419647217</v>
      </c>
      <c r="F123" s="15" t="n">
        <f aca="false">E123*(1+IF(F$3&lt;=$O$2,$D123,$D123-($D123-$I$103)*MIN(F$3-$O$2,$Q$2)/$Q$2))</f>
        <v>6730.57416131636</v>
      </c>
      <c r="G123" s="15" t="n">
        <f aca="false">F123*(1+IF(G$3&lt;=$O$2,$D123,$D123-($D123-$I$103)*MIN(G$3-$O$2,$Q$2)/$Q$2))</f>
        <v>6880.74141910597</v>
      </c>
      <c r="H123" s="15" t="n">
        <f aca="false">G123*(1+IF(H$3&lt;=$O$2,$D123,$D123-($D123-$I$103)*MIN(H$3-$O$2,$Q$2)/$Q$2))</f>
        <v>7034.2590902142</v>
      </c>
      <c r="I123" s="15" t="n">
        <f aca="false">H123*(1+IF(I$3&lt;=$O$2,$D123,$D123-($D123-$I$103)*MIN(I$3-$O$2,$Q$2)/$Q$2))</f>
        <v>7191.20192641831</v>
      </c>
      <c r="J123" s="15" t="n">
        <f aca="false">I123*(1+IF(J$3&lt;=$O$2,$D123,$D123-($D123-$I$103)*MIN(J$3-$O$2,$Q$2)/$Q$2))</f>
        <v>7360.25966602576</v>
      </c>
      <c r="K123" s="15" t="n">
        <f aca="false">J123*(1+IF(K$3&lt;=$O$2,$D123,$D123-($D123-$I$103)*MIN(K$3-$O$2,$Q$2)/$Q$2))</f>
        <v>7542.10758767555</v>
      </c>
      <c r="L123" s="15" t="n">
        <f aca="false">K123*(1+IF(L$3&lt;=$O$2,$D123,$D123-($D123-$I$103)*MIN(L$3-$O$2,$Q$2)/$Q$2))</f>
        <v>7737.48199491439</v>
      </c>
      <c r="M123" s="15" t="n">
        <f aca="false">L123*(1+IF(M$3&lt;=$O$2,$D123,$D123-($D123-$I$103)*MIN(M$3-$O$2,$Q$2)/$Q$2))</f>
        <v>7947.18510538972</v>
      </c>
      <c r="N123" s="15" t="n">
        <f aca="false">M123*(1+IF(N$3&lt;=$O$2,$D123,$D123-($D123-$I$103)*MIN(N$3-$O$2,$Q$2)/$Q$2))</f>
        <v>8172.09044387225</v>
      </c>
      <c r="O123" s="15" t="n">
        <f aca="false">SUMPRODUCT(E123:N123,1/(1+$F$103)^$E$3:$N$3)*$E$2</f>
        <v>9462.09404114616</v>
      </c>
      <c r="P123" s="15" t="n">
        <f aca="false">N123*$E$2*(1+$I$103)/($F$103-$I$103)/(1+$F$103)^$N$3</f>
        <v>13127.480826378</v>
      </c>
      <c r="Q123" s="15" t="n">
        <f aca="false">O123+P123</f>
        <v>22589.5748675242</v>
      </c>
      <c r="R123" s="15" t="n">
        <f aca="false">Q123-$G$2+$I$2</f>
        <v>17289.6748675242</v>
      </c>
      <c r="S123" s="42" t="n">
        <f aca="false">R123/$K$2</f>
        <v>147.171219505654</v>
      </c>
      <c r="T123" s="43" t="n">
        <f aca="false">S123-$M$2</f>
        <v>-0.00276755597383271</v>
      </c>
    </row>
    <row r="124" customFormat="false" ht="15" hidden="false" customHeight="false" outlineLevel="0" collapsed="false">
      <c r="A124" s="5" t="n">
        <v>20</v>
      </c>
      <c r="B124" s="25" t="n">
        <f aca="false">IF(T123&gt;0,B123,D123)</f>
        <v>0.0223112106323242</v>
      </c>
      <c r="C124" s="25" t="n">
        <f aca="false">IF(T123&gt;0,D123,C123)</f>
        <v>0.0223140716552734</v>
      </c>
      <c r="D124" s="41" t="n">
        <f aca="false">(B124+C124)/2</f>
        <v>0.0223126411437988</v>
      </c>
      <c r="E124" s="15" t="n">
        <f aca="false">$C$2*(1+IF(E$3&lt;=$O$2,$D124,$D124-($D124-$I$103)*MIN(E$3-$O$2,$Q$2)/$Q$2))</f>
        <v>6583.69340896606</v>
      </c>
      <c r="F124" s="15" t="n">
        <f aca="false">E124*(1+IF(F$3&lt;=$O$2,$D124,$D124-($D124-$I$103)*MIN(F$3-$O$2,$Q$2)/$Q$2))</f>
        <v>6730.59299740112</v>
      </c>
      <c r="G124" s="15" t="n">
        <f aca="false">F124*(1+IF(G$3&lt;=$O$2,$D124,$D124-($D124-$I$103)*MIN(G$3-$O$2,$Q$2)/$Q$2))</f>
        <v>6880.77030363709</v>
      </c>
      <c r="H124" s="15" t="n">
        <f aca="false">G124*(1+IF(H$3&lt;=$O$2,$D124,$D124-($D124-$I$103)*MIN(H$3-$O$2,$Q$2)/$Q$2))</f>
        <v>7034.29846221506</v>
      </c>
      <c r="I124" s="15" t="n">
        <f aca="false">H124*(1+IF(I$3&lt;=$O$2,$D124,$D124-($D124-$I$103)*MIN(I$3-$O$2,$Q$2)/$Q$2))</f>
        <v>7191.25223950084</v>
      </c>
      <c r="J124" s="15" t="n">
        <f aca="false">I124*(1+IF(J$3&lt;=$O$2,$D124,$D124-($D124-$I$103)*MIN(J$3-$O$2,$Q$2)/$Q$2))</f>
        <v>7360.31939165203</v>
      </c>
      <c r="K124" s="15" t="n">
        <f aca="false">J124*(1+IF(K$3&lt;=$O$2,$D124,$D124-($D124-$I$103)*MIN(K$3-$O$2,$Q$2)/$Q$2))</f>
        <v>7542.17510633933</v>
      </c>
      <c r="L124" s="15" t="n">
        <f aca="false">K124*(1+IF(L$3&lt;=$O$2,$D124,$D124-($D124-$I$103)*MIN(L$3-$O$2,$Q$2)/$Q$2))</f>
        <v>7737.55557828155</v>
      </c>
      <c r="M124" s="15" t="n">
        <f aca="false">L124*(1+IF(M$3&lt;=$O$2,$D124,$D124-($D124-$I$103)*MIN(M$3-$O$2,$Q$2)/$Q$2))</f>
        <v>7947.26289676353</v>
      </c>
      <c r="N124" s="15" t="n">
        <f aca="false">M124*(1+IF(N$3&lt;=$O$2,$D124,$D124-($D124-$I$103)*MIN(N$3-$O$2,$Q$2)/$Q$2))</f>
        <v>8172.17043674194</v>
      </c>
      <c r="O124" s="15" t="n">
        <f aca="false">SUMPRODUCT(E124:N124,1/(1+$F$103)^$E$3:$N$3)*$E$2</f>
        <v>9462.15305567303</v>
      </c>
      <c r="P124" s="15" t="n">
        <f aca="false">N124*$E$2*(1+$I$103)/($F$103-$I$103)/(1+$F$103)^$N$3</f>
        <v>13127.6093253062</v>
      </c>
      <c r="Q124" s="15" t="n">
        <f aca="false">O124+P124</f>
        <v>22589.7623809792</v>
      </c>
      <c r="R124" s="15" t="n">
        <f aca="false">Q124-$G$2+$I$2</f>
        <v>17289.8623809792</v>
      </c>
      <c r="S124" s="42" t="n">
        <f aca="false">R124/$K$2</f>
        <v>147.172815636527</v>
      </c>
      <c r="T124" s="43" t="n">
        <f aca="false">S124-$M$2</f>
        <v>-0.00117142510009671</v>
      </c>
    </row>
    <row r="125" customFormat="false" ht="15" hidden="false" customHeight="false" outlineLevel="0" collapsed="false">
      <c r="A125" s="5" t="n">
        <v>21</v>
      </c>
      <c r="B125" s="25" t="n">
        <f aca="false">IF(T124&gt;0,B124,D124)</f>
        <v>0.0223126411437988</v>
      </c>
      <c r="C125" s="25" t="n">
        <f aca="false">IF(T124&gt;0,D124,C124)</f>
        <v>0.0223140716552734</v>
      </c>
      <c r="D125" s="41" t="n">
        <f aca="false">(B125+C125)/2</f>
        <v>0.0223133563995361</v>
      </c>
      <c r="E125" s="15" t="n">
        <f aca="false">$C$2*(1+IF(E$3&lt;=$O$2,$D125,$D125-($D125-$I$103)*MIN(E$3-$O$2,$Q$2)/$Q$2))</f>
        <v>6583.69801521301</v>
      </c>
      <c r="F125" s="15" t="n">
        <f aca="false">E125*(1+IF(F$3&lt;=$O$2,$D125,$D125-($D125-$I$103)*MIN(F$3-$O$2,$Q$2)/$Q$2))</f>
        <v>6730.60241545338</v>
      </c>
      <c r="G125" s="15" t="n">
        <f aca="false">F125*(1+IF(G$3&lt;=$O$2,$D125,$D125-($D125-$I$103)*MIN(G$3-$O$2,$Q$2)/$Q$2))</f>
        <v>6880.78474593297</v>
      </c>
      <c r="H125" s="15" t="n">
        <f aca="false">G125*(1+IF(H$3&lt;=$O$2,$D125,$D125-($D125-$I$103)*MIN(H$3-$O$2,$Q$2)/$Q$2))</f>
        <v>7034.31814827746</v>
      </c>
      <c r="I125" s="15" t="n">
        <f aca="false">H125*(1+IF(I$3&lt;=$O$2,$D125,$D125-($D125-$I$103)*MIN(I$3-$O$2,$Q$2)/$Q$2))</f>
        <v>7191.2773961477</v>
      </c>
      <c r="J125" s="15" t="n">
        <f aca="false">I125*(1+IF(J$3&lt;=$O$2,$D125,$D125-($D125-$I$103)*MIN(J$3-$O$2,$Q$2)/$Q$2))</f>
        <v>7360.34925461644</v>
      </c>
      <c r="K125" s="15" t="n">
        <f aca="false">J125*(1+IF(K$3&lt;=$O$2,$D125,$D125-($D125-$I$103)*MIN(K$3-$O$2,$Q$2)/$Q$2))</f>
        <v>7542.20886586468</v>
      </c>
      <c r="L125" s="15" t="n">
        <f aca="false">K125*(1+IF(L$3&lt;=$O$2,$D125,$D125-($D125-$I$103)*MIN(L$3-$O$2,$Q$2)/$Q$2))</f>
        <v>7737.59237019258</v>
      </c>
      <c r="M125" s="15" t="n">
        <f aca="false">L125*(1+IF(M$3&lt;=$O$2,$D125,$D125-($D125-$I$103)*MIN(M$3-$O$2,$Q$2)/$Q$2))</f>
        <v>7947.30179269983</v>
      </c>
      <c r="N125" s="15" t="n">
        <f aca="false">M125*(1+IF(N$3&lt;=$O$2,$D125,$D125-($D125-$I$103)*MIN(N$3-$O$2,$Q$2)/$Q$2))</f>
        <v>8172.21043343323</v>
      </c>
      <c r="O125" s="15" t="n">
        <f aca="false">SUMPRODUCT(E125:N125,1/(1+$F$103)^$E$3:$N$3)*$E$2</f>
        <v>9462.18256307674</v>
      </c>
      <c r="P125" s="15" t="n">
        <f aca="false">N125*$E$2*(1+$I$103)/($F$103-$I$103)/(1+$F$103)^$N$3</f>
        <v>13127.6735751823</v>
      </c>
      <c r="Q125" s="15" t="n">
        <f aca="false">O125+P125</f>
        <v>22589.856138259</v>
      </c>
      <c r="R125" s="15" t="n">
        <f aca="false">Q125-$G$2+$I$2</f>
        <v>17289.956138259</v>
      </c>
      <c r="S125" s="42" t="n">
        <f aca="false">R125/$K$2</f>
        <v>147.173613706665</v>
      </c>
      <c r="T125" s="43" t="n">
        <f aca="false">S125-$M$2</f>
        <v>-0.000373354962562189</v>
      </c>
    </row>
    <row r="126" customFormat="false" ht="15" hidden="false" customHeight="false" outlineLevel="0" collapsed="false">
      <c r="A126" s="5" t="n">
        <v>22</v>
      </c>
      <c r="B126" s="25" t="n">
        <f aca="false">IF(T125&gt;0,B125,D125)</f>
        <v>0.0223133563995361</v>
      </c>
      <c r="C126" s="25" t="n">
        <f aca="false">IF(T125&gt;0,D125,C125)</f>
        <v>0.0223140716552734</v>
      </c>
      <c r="D126" s="41" t="n">
        <f aca="false">(B126+C126)/2</f>
        <v>0.0223137140274048</v>
      </c>
      <c r="E126" s="15" t="n">
        <f aca="false">$C$2*(1+IF(E$3&lt;=$O$2,$D126,$D126-($D126-$I$103)*MIN(E$3-$O$2,$Q$2)/$Q$2))</f>
        <v>6583.70031833649</v>
      </c>
      <c r="F126" s="15" t="n">
        <f aca="false">E126*(1+IF(F$3&lt;=$O$2,$D126,$D126-($D126-$I$103)*MIN(F$3-$O$2,$Q$2)/$Q$2))</f>
        <v>6730.60712448198</v>
      </c>
      <c r="G126" s="15" t="n">
        <f aca="false">F126*(1+IF(G$3&lt;=$O$2,$D126,$D126-($D126-$I$103)*MIN(G$3-$O$2,$Q$2)/$Q$2))</f>
        <v>6880.79196708849</v>
      </c>
      <c r="H126" s="15" t="n">
        <f aca="false">G126*(1+IF(H$3&lt;=$O$2,$D126,$D126-($D126-$I$103)*MIN(H$3-$O$2,$Q$2)/$Q$2))</f>
        <v>7034.32799132416</v>
      </c>
      <c r="I126" s="15" t="n">
        <f aca="false">H126*(1+IF(I$3&lt;=$O$2,$D126,$D126-($D126-$I$103)*MIN(I$3-$O$2,$Q$2)/$Q$2))</f>
        <v>7191.28997449754</v>
      </c>
      <c r="J126" s="15" t="n">
        <f aca="false">I126*(1+IF(J$3&lt;=$O$2,$D126,$D126-($D126-$I$103)*MIN(J$3-$O$2,$Q$2)/$Q$2))</f>
        <v>7360.36418613646</v>
      </c>
      <c r="K126" s="15" t="n">
        <f aca="false">J126*(1+IF(K$3&lt;=$O$2,$D126,$D126-($D126-$I$103)*MIN(K$3-$O$2,$Q$2)/$Q$2))</f>
        <v>7542.22574567573</v>
      </c>
      <c r="L126" s="15" t="n">
        <f aca="false">K126*(1+IF(L$3&lt;=$O$2,$D126,$D126-($D126-$I$103)*MIN(L$3-$O$2,$Q$2)/$Q$2))</f>
        <v>7737.61076620495</v>
      </c>
      <c r="M126" s="15" t="n">
        <f aca="false">L126*(1+IF(M$3&lt;=$O$2,$D126,$D126-($D126-$I$103)*MIN(M$3-$O$2,$Q$2)/$Q$2))</f>
        <v>7947.32124073033</v>
      </c>
      <c r="N126" s="15" t="n">
        <f aca="false">M126*(1+IF(N$3&lt;=$O$2,$D126,$D126-($D126-$I$103)*MIN(N$3-$O$2,$Q$2)/$Q$2))</f>
        <v>8172.230431843</v>
      </c>
      <c r="O126" s="15" t="n">
        <f aca="false">SUMPRODUCT(E126:N126,1/(1+$F$103)^$E$3:$N$3)*$E$2</f>
        <v>9462.19731681366</v>
      </c>
      <c r="P126" s="15" t="n">
        <f aca="false">N126*$E$2*(1+$I$103)/($F$103-$I$103)/(1+$F$103)^$N$3</f>
        <v>13127.7057002233</v>
      </c>
      <c r="Q126" s="15" t="n">
        <f aca="false">O126+P126</f>
        <v>22589.903017037</v>
      </c>
      <c r="R126" s="15" t="n">
        <f aca="false">Q126-$G$2+$I$2</f>
        <v>17290.003017037</v>
      </c>
      <c r="S126" s="42" t="n">
        <f aca="false">R126/$K$2</f>
        <v>147.174012742909</v>
      </c>
      <c r="T126" s="43" t="n">
        <f aca="false">S126-$M$2</f>
        <v>2.5681281499601E-005</v>
      </c>
    </row>
    <row r="127" customFormat="false" ht="15" hidden="false" customHeight="false" outlineLevel="0" collapsed="false">
      <c r="A127" s="5" t="n">
        <v>23</v>
      </c>
      <c r="B127" s="25" t="n">
        <f aca="false">IF(T126&gt;0,B126,D126)</f>
        <v>0.0223133563995361</v>
      </c>
      <c r="C127" s="25" t="n">
        <f aca="false">IF(T126&gt;0,D126,C126)</f>
        <v>0.0223137140274048</v>
      </c>
      <c r="D127" s="41" t="n">
        <f aca="false">(B127+C127)/2</f>
        <v>0.0223135352134705</v>
      </c>
      <c r="E127" s="15" t="n">
        <f aca="false">$C$2*(1+IF(E$3&lt;=$O$2,$D127,$D127-($D127-$I$103)*MIN(E$3-$O$2,$Q$2)/$Q$2))</f>
        <v>6583.69916677475</v>
      </c>
      <c r="F127" s="15" t="n">
        <f aca="false">E127*(1+IF(F$3&lt;=$O$2,$D127,$D127-($D127-$I$103)*MIN(F$3-$O$2,$Q$2)/$Q$2))</f>
        <v>6730.60476996748</v>
      </c>
      <c r="G127" s="15" t="n">
        <f aca="false">F127*(1+IF(G$3&lt;=$O$2,$D127,$D127-($D127-$I$103)*MIN(G$3-$O$2,$Q$2)/$Q$2))</f>
        <v>6880.7883565101</v>
      </c>
      <c r="H127" s="15" t="n">
        <f aca="false">G127*(1+IF(H$3&lt;=$O$2,$D127,$D127-($D127-$I$103)*MIN(H$3-$O$2,$Q$2)/$Q$2))</f>
        <v>7034.32306979952</v>
      </c>
      <c r="I127" s="15" t="n">
        <f aca="false">H127*(1+IF(I$3&lt;=$O$2,$D127,$D127-($D127-$I$103)*MIN(I$3-$O$2,$Q$2)/$Q$2))</f>
        <v>7191.28368532042</v>
      </c>
      <c r="J127" s="15" t="n">
        <f aca="false">I127*(1+IF(J$3&lt;=$O$2,$D127,$D127-($D127-$I$103)*MIN(J$3-$O$2,$Q$2)/$Q$2))</f>
        <v>7360.3567203733</v>
      </c>
      <c r="K127" s="15" t="n">
        <f aca="false">J127*(1+IF(K$3&lt;=$O$2,$D127,$D127-($D127-$I$103)*MIN(K$3-$O$2,$Q$2)/$Q$2))</f>
        <v>7542.21730576618</v>
      </c>
      <c r="L127" s="15" t="n">
        <f aca="false">K127*(1+IF(L$3&lt;=$O$2,$D127,$D127-($D127-$I$103)*MIN(L$3-$O$2,$Q$2)/$Q$2))</f>
        <v>7737.60156819403</v>
      </c>
      <c r="M127" s="15" t="n">
        <f aca="false">L127*(1+IF(M$3&lt;=$O$2,$D127,$D127-($D127-$I$103)*MIN(M$3-$O$2,$Q$2)/$Q$2))</f>
        <v>7947.31151670988</v>
      </c>
      <c r="N127" s="15" t="n">
        <f aca="false">M127*(1+IF(N$3&lt;=$O$2,$D127,$D127-($D127-$I$103)*MIN(N$3-$O$2,$Q$2)/$Q$2))</f>
        <v>8172.22043263277</v>
      </c>
      <c r="O127" s="15" t="n">
        <f aca="false">SUMPRODUCT(E127:N127,1/(1+$F$103)^$E$3:$N$3)*$E$2</f>
        <v>9462.18993994228</v>
      </c>
      <c r="P127" s="15" t="n">
        <f aca="false">N127*$E$2*(1+$I$103)/($F$103-$I$103)/(1+$F$103)^$N$3</f>
        <v>13127.6896376942</v>
      </c>
      <c r="Q127" s="15" t="n">
        <f aca="false">O127+P127</f>
        <v>22589.8795776365</v>
      </c>
      <c r="R127" s="15" t="n">
        <f aca="false">Q127-$G$2+$I$2</f>
        <v>17289.9795776365</v>
      </c>
      <c r="S127" s="42" t="n">
        <f aca="false">R127/$K$2</f>
        <v>147.173813224689</v>
      </c>
      <c r="T127" s="43" t="n">
        <f aca="false">S127-$M$2</f>
        <v>-0.000173836938444083</v>
      </c>
    </row>
    <row r="128" customFormat="false" ht="15" hidden="false" customHeight="false" outlineLevel="0" collapsed="false">
      <c r="A128" s="5" t="n">
        <v>24</v>
      </c>
      <c r="B128" s="25" t="n">
        <f aca="false">IF(T127&gt;0,B127,D127)</f>
        <v>0.0223135352134705</v>
      </c>
      <c r="C128" s="25" t="n">
        <f aca="false">IF(T127&gt;0,D127,C127)</f>
        <v>0.0223137140274048</v>
      </c>
      <c r="D128" s="41" t="n">
        <f aca="false">(B128+C128)/2</f>
        <v>0.0223136246204376</v>
      </c>
      <c r="E128" s="15" t="n">
        <f aca="false">$C$2*(1+IF(E$3&lt;=$O$2,$D128,$D128-($D128-$I$103)*MIN(E$3-$O$2,$Q$2)/$Q$2))</f>
        <v>6583.69974255562</v>
      </c>
      <c r="F128" s="15" t="n">
        <f aca="false">E128*(1+IF(F$3&lt;=$O$2,$D128,$D128-($D128-$I$103)*MIN(F$3-$O$2,$Q$2)/$Q$2))</f>
        <v>6730.60594722468</v>
      </c>
      <c r="G128" s="15" t="n">
        <f aca="false">F128*(1+IF(G$3&lt;=$O$2,$D128,$D128-($D128-$I$103)*MIN(G$3-$O$2,$Q$2)/$Q$2))</f>
        <v>6880.79016179913</v>
      </c>
      <c r="H128" s="15" t="n">
        <f aca="false">G128*(1+IF(H$3&lt;=$O$2,$D128,$D128-($D128-$I$103)*MIN(H$3-$O$2,$Q$2)/$Q$2))</f>
        <v>7034.32553056152</v>
      </c>
      <c r="I128" s="15" t="n">
        <f aca="false">H128*(1+IF(I$3&lt;=$O$2,$D128,$D128-($D128-$I$103)*MIN(I$3-$O$2,$Q$2)/$Q$2))</f>
        <v>7191.28682990843</v>
      </c>
      <c r="J128" s="15" t="n">
        <f aca="false">I128*(1+IF(J$3&lt;=$O$2,$D128,$D128-($D128-$I$103)*MIN(J$3-$O$2,$Q$2)/$Q$2))</f>
        <v>7360.36045325409</v>
      </c>
      <c r="K128" s="15" t="n">
        <f aca="false">J128*(1+IF(K$3&lt;=$O$2,$D128,$D128-($D128-$I$103)*MIN(K$3-$O$2,$Q$2)/$Q$2))</f>
        <v>7542.22152571994</v>
      </c>
      <c r="L128" s="15" t="n">
        <f aca="false">K128*(1+IF(L$3&lt;=$O$2,$D128,$D128-($D128-$I$103)*MIN(L$3-$O$2,$Q$2)/$Q$2))</f>
        <v>7737.60616719831</v>
      </c>
      <c r="M128" s="15" t="n">
        <f aca="false">L128*(1+IF(M$3&lt;=$O$2,$D128,$D128-($D128-$I$103)*MIN(M$3-$O$2,$Q$2)/$Q$2))</f>
        <v>7947.31637871881</v>
      </c>
      <c r="N128" s="15" t="n">
        <f aca="false">M128*(1+IF(N$3&lt;=$O$2,$D128,$D128-($D128-$I$103)*MIN(N$3-$O$2,$Q$2)/$Q$2))</f>
        <v>8172.22543223655</v>
      </c>
      <c r="O128" s="15" t="n">
        <f aca="false">SUMPRODUCT(E128:N128,1/(1+$F$103)^$E$3:$N$3)*$E$2</f>
        <v>9462.19362837724</v>
      </c>
      <c r="P128" s="15" t="n">
        <f aca="false">N128*$E$2*(1+$I$103)/($F$103-$I$103)/(1+$F$103)^$N$3</f>
        <v>13127.6976689566</v>
      </c>
      <c r="Q128" s="15" t="n">
        <f aca="false">O128+P128</f>
        <v>22589.8912973338</v>
      </c>
      <c r="R128" s="15" t="n">
        <f aca="false">Q128-$G$2+$I$2</f>
        <v>17289.9912973338</v>
      </c>
      <c r="S128" s="42" t="n">
        <f aca="false">R128/$K$2</f>
        <v>147.173912983775</v>
      </c>
      <c r="T128" s="43" t="n">
        <f aca="false">S128-$M$2</f>
        <v>-7.40778529575437E-005</v>
      </c>
    </row>
    <row r="130" customFormat="false" ht="15" hidden="false" customHeight="false" outlineLevel="0" collapsed="false">
      <c r="A130" s="38" t="s">
        <v>184</v>
      </c>
      <c r="E130" s="5" t="s">
        <v>11</v>
      </c>
      <c r="F130" s="12" t="n">
        <f aca="false">Sensitivity!$B$10</f>
        <v>0.0849886567315273</v>
      </c>
      <c r="G130" s="5" t="s">
        <v>12</v>
      </c>
      <c r="I130" s="12" t="n">
        <f aca="false">Sensitivity!$F$9</f>
        <v>0.0333</v>
      </c>
    </row>
    <row r="131" customFormat="false" ht="23.85" hidden="false" customHeight="false" outlineLevel="0" collapsed="false">
      <c r="A131" s="38" t="s">
        <v>161</v>
      </c>
      <c r="B131" s="28" t="s">
        <v>162</v>
      </c>
      <c r="C131" s="28" t="s">
        <v>163</v>
      </c>
      <c r="D131" s="28" t="s">
        <v>164</v>
      </c>
      <c r="E131" s="28" t="s">
        <v>165</v>
      </c>
      <c r="F131" s="28" t="s">
        <v>166</v>
      </c>
      <c r="G131" s="28" t="s">
        <v>167</v>
      </c>
      <c r="H131" s="28" t="s">
        <v>168</v>
      </c>
      <c r="I131" s="28" t="s">
        <v>169</v>
      </c>
      <c r="J131" s="28" t="s">
        <v>170</v>
      </c>
      <c r="K131" s="28" t="s">
        <v>171</v>
      </c>
      <c r="L131" s="28" t="s">
        <v>172</v>
      </c>
      <c r="M131" s="28" t="s">
        <v>173</v>
      </c>
      <c r="N131" s="28" t="s">
        <v>174</v>
      </c>
      <c r="O131" s="28" t="s">
        <v>175</v>
      </c>
      <c r="P131" s="28" t="s">
        <v>176</v>
      </c>
      <c r="Q131" s="28" t="s">
        <v>177</v>
      </c>
      <c r="R131" s="28" t="s">
        <v>178</v>
      </c>
      <c r="S131" s="28" t="s">
        <v>179</v>
      </c>
      <c r="T131" s="28" t="s">
        <v>180</v>
      </c>
    </row>
    <row r="132" customFormat="false" ht="15" hidden="false" customHeight="false" outlineLevel="0" collapsed="false">
      <c r="A132" s="5" t="n">
        <v>1</v>
      </c>
      <c r="B132" s="24" t="n">
        <v>-0.5</v>
      </c>
      <c r="C132" s="24" t="n">
        <v>1</v>
      </c>
      <c r="D132" s="41" t="n">
        <f aca="false">(B132+C132)/2</f>
        <v>0.25</v>
      </c>
      <c r="E132" s="15" t="n">
        <f aca="false">$C$2*(1+IF(E$3&lt;=$O$2,$D132,$D132-($D132-$I$130)*MIN(E$3-$O$2,$Q$2)/$Q$2))</f>
        <v>8050</v>
      </c>
      <c r="F132" s="15" t="n">
        <f aca="false">E132*(1+IF(F$3&lt;=$O$2,$D132,$D132-($D132-$I$130)*MIN(F$3-$O$2,$Q$2)/$Q$2))</f>
        <v>10062.5</v>
      </c>
      <c r="G132" s="15" t="n">
        <f aca="false">F132*(1+IF(G$3&lt;=$O$2,$D132,$D132-($D132-$I$130)*MIN(G$3-$O$2,$Q$2)/$Q$2))</f>
        <v>12578.125</v>
      </c>
      <c r="H132" s="15" t="n">
        <f aca="false">G132*(1+IF(H$3&lt;=$O$2,$D132,$D132-($D132-$I$130)*MIN(H$3-$O$2,$Q$2)/$Q$2))</f>
        <v>15722.65625</v>
      </c>
      <c r="I132" s="15" t="n">
        <f aca="false">H132*(1+IF(I$3&lt;=$O$2,$D132,$D132-($D132-$I$130)*MIN(I$3-$O$2,$Q$2)/$Q$2))</f>
        <v>19653.3203125</v>
      </c>
      <c r="J132" s="15" t="n">
        <f aca="false">I132*(1+IF(J$3&lt;=$O$2,$D132,$D132-($D132-$I$130)*MIN(J$3-$O$2,$Q$2)/$Q$2))</f>
        <v>23714.8754882813</v>
      </c>
      <c r="K132" s="15" t="n">
        <f aca="false">J132*(1+IF(K$3&lt;=$O$2,$D132,$D132-($D132-$I$130)*MIN(K$3-$O$2,$Q$2)/$Q$2))</f>
        <v>27587.9889530273</v>
      </c>
      <c r="L132" s="15" t="n">
        <f aca="false">K132*(1+IF(L$3&lt;=$O$2,$D132,$D132-($D132-$I$130)*MIN(L$3-$O$2,$Q$2)/$Q$2))</f>
        <v>30897.9958676116</v>
      </c>
      <c r="M132" s="15" t="n">
        <f aca="false">L132*(1+IF(M$3&lt;=$O$2,$D132,$D132-($D132-$I$130)*MIN(M$3-$O$2,$Q$2)/$Q$2))</f>
        <v>33266.0182709053</v>
      </c>
      <c r="N132" s="15" t="n">
        <f aca="false">M132*(1+IF(N$3&lt;=$O$2,$D132,$D132-($D132-$I$130)*MIN(N$3-$O$2,$Q$2)/$Q$2))</f>
        <v>34373.7766793265</v>
      </c>
      <c r="O132" s="15" t="n">
        <f aca="false">SUMPRODUCT(E132:N132,1/(1+$F$130)^$E$3:$N$3)*$E$2</f>
        <v>25548.9737560671</v>
      </c>
      <c r="P132" s="15" t="n">
        <f aca="false">N132*$E$2*(1+$I$130)/($F$130-$I$130)/(1+$F$130)^$N$3</f>
        <v>60853.1400712832</v>
      </c>
      <c r="Q132" s="15" t="n">
        <f aca="false">O132+P132</f>
        <v>86402.1138273503</v>
      </c>
      <c r="R132" s="15" t="n">
        <f aca="false">Q132-$G$2+$I$2</f>
        <v>81102.2138273503</v>
      </c>
      <c r="S132" s="42" t="n">
        <f aca="false">R132/$K$2</f>
        <v>690.349113273326</v>
      </c>
      <c r="T132" s="43" t="n">
        <f aca="false">S132-$M$2</f>
        <v>543.175126211698</v>
      </c>
    </row>
    <row r="133" customFormat="false" ht="15" hidden="false" customHeight="false" outlineLevel="0" collapsed="false">
      <c r="A133" s="5" t="n">
        <v>2</v>
      </c>
      <c r="B133" s="25" t="n">
        <f aca="false">IF(T132&gt;0,B132,D132)</f>
        <v>-0.5</v>
      </c>
      <c r="C133" s="25" t="n">
        <f aca="false">IF(T132&gt;0,D132,C132)</f>
        <v>0.25</v>
      </c>
      <c r="D133" s="41" t="n">
        <f aca="false">(B133+C133)/2</f>
        <v>-0.125</v>
      </c>
      <c r="E133" s="15" t="n">
        <f aca="false">$C$2*(1+IF(E$3&lt;=$O$2,$D133,$D133-($D133-$I$130)*MIN(E$3-$O$2,$Q$2)/$Q$2))</f>
        <v>5635</v>
      </c>
      <c r="F133" s="15" t="n">
        <f aca="false">E133*(1+IF(F$3&lt;=$O$2,$D133,$D133-($D133-$I$130)*MIN(F$3-$O$2,$Q$2)/$Q$2))</f>
        <v>4930.625</v>
      </c>
      <c r="G133" s="15" t="n">
        <f aca="false">F133*(1+IF(G$3&lt;=$O$2,$D133,$D133-($D133-$I$130)*MIN(G$3-$O$2,$Q$2)/$Q$2))</f>
        <v>4314.296875</v>
      </c>
      <c r="H133" s="15" t="n">
        <f aca="false">G133*(1+IF(H$3&lt;=$O$2,$D133,$D133-($D133-$I$130)*MIN(H$3-$O$2,$Q$2)/$Q$2))</f>
        <v>3775.009765625</v>
      </c>
      <c r="I133" s="15" t="n">
        <f aca="false">H133*(1+IF(I$3&lt;=$O$2,$D133,$D133-($D133-$I$130)*MIN(I$3-$O$2,$Q$2)/$Q$2))</f>
        <v>3303.13354492188</v>
      </c>
      <c r="J133" s="15" t="n">
        <f aca="false">I133*(1+IF(J$3&lt;=$O$2,$D133,$D133-($D133-$I$130)*MIN(J$3-$O$2,$Q$2)/$Q$2))</f>
        <v>2994.81905983887</v>
      </c>
      <c r="K133" s="15" t="n">
        <f aca="false">J133*(1+IF(K$3&lt;=$O$2,$D133,$D133-($D133-$I$130)*MIN(K$3-$O$2,$Q$2)/$Q$2))</f>
        <v>2810.09862022801</v>
      </c>
      <c r="L133" s="15" t="n">
        <f aca="false">K133*(1+IF(L$3&lt;=$O$2,$D133,$D133-($D133-$I$130)*MIN(L$3-$O$2,$Q$2)/$Q$2))</f>
        <v>2725.73945964876</v>
      </c>
      <c r="M133" s="15" t="n">
        <f aca="false">L133*(1+IF(M$3&lt;=$O$2,$D133,$D133-($D133-$I$130)*MIN(M$3-$O$2,$Q$2)/$Q$2))</f>
        <v>2730.20967236259</v>
      </c>
      <c r="N133" s="15" t="n">
        <f aca="false">M133*(1+IF(N$3&lt;=$O$2,$D133,$D133-($D133-$I$130)*MIN(N$3-$O$2,$Q$2)/$Q$2))</f>
        <v>2821.12565445226</v>
      </c>
      <c r="O133" s="15" t="n">
        <f aca="false">SUMPRODUCT(E133:N133,1/(1+$F$130)^$E$3:$N$3)*$E$2</f>
        <v>5021.48812925907</v>
      </c>
      <c r="P133" s="15" t="n">
        <f aca="false">N133*$E$2*(1+$I$130)/($F$130-$I$130)/(1+$F$130)^$N$3</f>
        <v>4994.340779328</v>
      </c>
      <c r="Q133" s="15" t="n">
        <f aca="false">O133+P133</f>
        <v>10015.8289085871</v>
      </c>
      <c r="R133" s="15" t="n">
        <f aca="false">Q133-$G$2+$I$2</f>
        <v>4715.92890858707</v>
      </c>
      <c r="S133" s="42" t="n">
        <f aca="false">R133/$K$2</f>
        <v>40.1423979280479</v>
      </c>
      <c r="T133" s="43" t="n">
        <f aca="false">S133-$M$2</f>
        <v>-107.03158913358</v>
      </c>
    </row>
    <row r="134" customFormat="false" ht="15" hidden="false" customHeight="false" outlineLevel="0" collapsed="false">
      <c r="A134" s="5" t="n">
        <v>3</v>
      </c>
      <c r="B134" s="25" t="n">
        <f aca="false">IF(T133&gt;0,B133,D133)</f>
        <v>-0.125</v>
      </c>
      <c r="C134" s="25" t="n">
        <f aca="false">IF(T133&gt;0,D133,C133)</f>
        <v>0.25</v>
      </c>
      <c r="D134" s="41" t="n">
        <f aca="false">(B134+C134)/2</f>
        <v>0.0625</v>
      </c>
      <c r="E134" s="15" t="n">
        <f aca="false">$C$2*(1+IF(E$3&lt;=$O$2,$D134,$D134-($D134-$I$130)*MIN(E$3-$O$2,$Q$2)/$Q$2))</f>
        <v>6842.5</v>
      </c>
      <c r="F134" s="15" t="n">
        <f aca="false">E134*(1+IF(F$3&lt;=$O$2,$D134,$D134-($D134-$I$130)*MIN(F$3-$O$2,$Q$2)/$Q$2))</f>
        <v>7270.15625</v>
      </c>
      <c r="G134" s="15" t="n">
        <f aca="false">F134*(1+IF(G$3&lt;=$O$2,$D134,$D134-($D134-$I$130)*MIN(G$3-$O$2,$Q$2)/$Q$2))</f>
        <v>7724.541015625</v>
      </c>
      <c r="H134" s="15" t="n">
        <f aca="false">G134*(1+IF(H$3&lt;=$O$2,$D134,$D134-($D134-$I$130)*MIN(H$3-$O$2,$Q$2)/$Q$2))</f>
        <v>8207.32482910156</v>
      </c>
      <c r="I134" s="15" t="n">
        <f aca="false">H134*(1+IF(I$3&lt;=$O$2,$D134,$D134-($D134-$I$130)*MIN(I$3-$O$2,$Q$2)/$Q$2))</f>
        <v>8720.28263092041</v>
      </c>
      <c r="J134" s="15" t="n">
        <f aca="false">I134*(1+IF(J$3&lt;=$O$2,$D134,$D134-($D134-$I$130)*MIN(J$3-$O$2,$Q$2)/$Q$2))</f>
        <v>9214.37384478836</v>
      </c>
      <c r="K134" s="15" t="n">
        <f aca="false">J134*(1+IF(K$3&lt;=$O$2,$D134,$D134-($D134-$I$130)*MIN(K$3-$O$2,$Q$2)/$Q$2))</f>
        <v>9682.64832358051</v>
      </c>
      <c r="L134" s="15" t="n">
        <f aca="false">K134*(1+IF(L$3&lt;=$O$2,$D134,$D134-($D134-$I$130)*MIN(L$3-$O$2,$Q$2)/$Q$2))</f>
        <v>10118.1738451752</v>
      </c>
      <c r="M134" s="15" t="n">
        <f aca="false">L134*(1+IF(M$3&lt;=$O$2,$D134,$D134-($D134-$I$130)*MIN(M$3-$O$2,$Q$2)/$Q$2))</f>
        <v>10514.1991694753</v>
      </c>
      <c r="N134" s="15" t="n">
        <f aca="false">M134*(1+IF(N$3&lt;=$O$2,$D134,$D134-($D134-$I$130)*MIN(N$3-$O$2,$Q$2)/$Q$2))</f>
        <v>10864.3220018188</v>
      </c>
      <c r="O134" s="15" t="n">
        <f aca="false">SUMPRODUCT(E134:N134,1/(1+$F$130)^$E$3:$N$3)*$E$2</f>
        <v>11309.8649229748</v>
      </c>
      <c r="P134" s="15" t="n">
        <f aca="false">N134*$E$2*(1+$I$130)/($F$130-$I$130)/(1+$F$130)^$N$3</f>
        <v>19233.502175914</v>
      </c>
      <c r="Q134" s="15" t="n">
        <f aca="false">O134+P134</f>
        <v>30543.3670988888</v>
      </c>
      <c r="R134" s="15" t="n">
        <f aca="false">Q134-$G$2+$I$2</f>
        <v>25243.4670988888</v>
      </c>
      <c r="S134" s="42" t="n">
        <f aca="false">R134/$K$2</f>
        <v>214.874592261566</v>
      </c>
      <c r="T134" s="43" t="n">
        <f aca="false">S134-$M$2</f>
        <v>67.7006051999384</v>
      </c>
    </row>
    <row r="135" customFormat="false" ht="15" hidden="false" customHeight="false" outlineLevel="0" collapsed="false">
      <c r="A135" s="5" t="n">
        <v>4</v>
      </c>
      <c r="B135" s="25" t="n">
        <f aca="false">IF(T134&gt;0,B134,D134)</f>
        <v>-0.125</v>
      </c>
      <c r="C135" s="25" t="n">
        <f aca="false">IF(T134&gt;0,D134,C134)</f>
        <v>0.0625</v>
      </c>
      <c r="D135" s="41" t="n">
        <f aca="false">(B135+C135)/2</f>
        <v>-0.03125</v>
      </c>
      <c r="E135" s="15" t="n">
        <f aca="false">$C$2*(1+IF(E$3&lt;=$O$2,$D135,$D135-($D135-$I$130)*MIN(E$3-$O$2,$Q$2)/$Q$2))</f>
        <v>6238.75</v>
      </c>
      <c r="F135" s="15" t="n">
        <f aca="false">E135*(1+IF(F$3&lt;=$O$2,$D135,$D135-($D135-$I$130)*MIN(F$3-$O$2,$Q$2)/$Q$2))</f>
        <v>6043.7890625</v>
      </c>
      <c r="G135" s="15" t="n">
        <f aca="false">F135*(1+IF(G$3&lt;=$O$2,$D135,$D135-($D135-$I$130)*MIN(G$3-$O$2,$Q$2)/$Q$2))</f>
        <v>5854.92065429688</v>
      </c>
      <c r="H135" s="15" t="n">
        <f aca="false">G135*(1+IF(H$3&lt;=$O$2,$D135,$D135-($D135-$I$130)*MIN(H$3-$O$2,$Q$2)/$Q$2))</f>
        <v>5671.9543838501</v>
      </c>
      <c r="I135" s="15" t="n">
        <f aca="false">H135*(1+IF(I$3&lt;=$O$2,$D135,$D135-($D135-$I$130)*MIN(I$3-$O$2,$Q$2)/$Q$2))</f>
        <v>5494.70580935478</v>
      </c>
      <c r="J135" s="15" t="n">
        <f aca="false">I135*(1+IF(J$3&lt;=$O$2,$D135,$D135-($D135-$I$130)*MIN(J$3-$O$2,$Q$2)/$Q$2))</f>
        <v>5393.93290481122</v>
      </c>
      <c r="K135" s="15" t="n">
        <f aca="false">J135*(1+IF(K$3&lt;=$O$2,$D135,$D135-($D135-$I$130)*MIN(K$3-$O$2,$Q$2)/$Q$2))</f>
        <v>5364.64384913809</v>
      </c>
      <c r="L135" s="15" t="n">
        <f aca="false">K135*(1+IF(L$3&lt;=$O$2,$D135,$D135-($D135-$I$130)*MIN(L$3-$O$2,$Q$2)/$Q$2))</f>
        <v>5404.77138512964</v>
      </c>
      <c r="M135" s="15" t="n">
        <f aca="false">L135*(1+IF(M$3&lt;=$O$2,$D135,$D135-($D135-$I$130)*MIN(M$3-$O$2,$Q$2)/$Q$2))</f>
        <v>5514.97467367244</v>
      </c>
      <c r="N135" s="15" t="n">
        <f aca="false">M135*(1+IF(N$3&lt;=$O$2,$D135,$D135-($D135-$I$130)*MIN(N$3-$O$2,$Q$2)/$Q$2))</f>
        <v>5698.62333030573</v>
      </c>
      <c r="O135" s="15" t="n">
        <f aca="false">SUMPRODUCT(E135:N135,1/(1+$F$130)^$E$3:$N$3)*$E$2</f>
        <v>7514.61538297731</v>
      </c>
      <c r="P135" s="15" t="n">
        <f aca="false">N135*$E$2*(1+$I$130)/($F$130-$I$130)/(1+$F$130)^$N$3</f>
        <v>10088.4789869814</v>
      </c>
      <c r="Q135" s="15" t="n">
        <f aca="false">O135+P135</f>
        <v>17603.0943699587</v>
      </c>
      <c r="R135" s="15" t="n">
        <f aca="false">Q135-$G$2+$I$2</f>
        <v>12303.1943699587</v>
      </c>
      <c r="S135" s="42" t="n">
        <f aca="false">R135/$K$2</f>
        <v>104.725862869925</v>
      </c>
      <c r="T135" s="43" t="n">
        <f aca="false">S135-$M$2</f>
        <v>-42.448124191703</v>
      </c>
    </row>
    <row r="136" customFormat="false" ht="15" hidden="false" customHeight="false" outlineLevel="0" collapsed="false">
      <c r="A136" s="5" t="n">
        <v>5</v>
      </c>
      <c r="B136" s="25" t="n">
        <f aca="false">IF(T135&gt;0,B135,D135)</f>
        <v>-0.03125</v>
      </c>
      <c r="C136" s="25" t="n">
        <f aca="false">IF(T135&gt;0,D135,C135)</f>
        <v>0.0625</v>
      </c>
      <c r="D136" s="41" t="n">
        <f aca="false">(B136+C136)/2</f>
        <v>0.015625</v>
      </c>
      <c r="E136" s="15" t="n">
        <f aca="false">$C$2*(1+IF(E$3&lt;=$O$2,$D136,$D136-($D136-$I$130)*MIN(E$3-$O$2,$Q$2)/$Q$2))</f>
        <v>6540.625</v>
      </c>
      <c r="F136" s="15" t="n">
        <f aca="false">E136*(1+IF(F$3&lt;=$O$2,$D136,$D136-($D136-$I$130)*MIN(F$3-$O$2,$Q$2)/$Q$2))</f>
        <v>6642.822265625</v>
      </c>
      <c r="G136" s="15" t="n">
        <f aca="false">F136*(1+IF(G$3&lt;=$O$2,$D136,$D136-($D136-$I$130)*MIN(G$3-$O$2,$Q$2)/$Q$2))</f>
        <v>6746.61636352539</v>
      </c>
      <c r="H136" s="15" t="n">
        <f aca="false">G136*(1+IF(H$3&lt;=$O$2,$D136,$D136-($D136-$I$130)*MIN(H$3-$O$2,$Q$2)/$Q$2))</f>
        <v>6852.03224420548</v>
      </c>
      <c r="I136" s="15" t="n">
        <f aca="false">H136*(1+IF(I$3&lt;=$O$2,$D136,$D136-($D136-$I$130)*MIN(I$3-$O$2,$Q$2)/$Q$2))</f>
        <v>6959.09524802119</v>
      </c>
      <c r="J136" s="15" t="n">
        <f aca="false">I136*(1+IF(J$3&lt;=$O$2,$D136,$D136-($D136-$I$130)*MIN(J$3-$O$2,$Q$2)/$Q$2))</f>
        <v>7092.43151297327</v>
      </c>
      <c r="K136" s="15" t="n">
        <f aca="false">J136*(1+IF(K$3&lt;=$O$2,$D136,$D136-($D136-$I$130)*MIN(K$3-$O$2,$Q$2)/$Q$2))</f>
        <v>7253.3942461602</v>
      </c>
      <c r="L136" s="15" t="n">
        <f aca="false">K136*(1+IF(L$3&lt;=$O$2,$D136,$D136-($D136-$I$130)*MIN(L$3-$O$2,$Q$2)/$Q$2))</f>
        <v>7443.65077723698</v>
      </c>
      <c r="M136" s="15" t="n">
        <f aca="false">L136*(1+IF(M$3&lt;=$O$2,$D136,$D136-($D136-$I$130)*MIN(M$3-$O$2,$Q$2)/$Q$2))</f>
        <v>7665.21104262144</v>
      </c>
      <c r="N136" s="15" t="n">
        <f aca="false">M136*(1+IF(N$3&lt;=$O$2,$D136,$D136-($D136-$I$130)*MIN(N$3-$O$2,$Q$2)/$Q$2))</f>
        <v>7920.46257034074</v>
      </c>
      <c r="O136" s="15" t="n">
        <f aca="false">SUMPRODUCT(E136:N136,1/(1+$F$130)^$E$3:$N$3)*$E$2</f>
        <v>9215.43568833575</v>
      </c>
      <c r="P136" s="15" t="n">
        <f aca="false">N136*$E$2*(1+$I$130)/($F$130-$I$130)/(1+$F$130)^$N$3</f>
        <v>14021.881352135</v>
      </c>
      <c r="Q136" s="15" t="n">
        <f aca="false">O136+P136</f>
        <v>23237.3170404708</v>
      </c>
      <c r="R136" s="15" t="n">
        <f aca="false">Q136-$G$2+$I$2</f>
        <v>17937.4170404708</v>
      </c>
      <c r="S136" s="42" t="n">
        <f aca="false">R136/$K$2</f>
        <v>152.684857341426</v>
      </c>
      <c r="T136" s="43" t="n">
        <f aca="false">S136-$M$2</f>
        <v>5.51087027979872</v>
      </c>
    </row>
    <row r="137" customFormat="false" ht="15" hidden="false" customHeight="false" outlineLevel="0" collapsed="false">
      <c r="A137" s="5" t="n">
        <v>6</v>
      </c>
      <c r="B137" s="25" t="n">
        <f aca="false">IF(T136&gt;0,B136,D136)</f>
        <v>-0.03125</v>
      </c>
      <c r="C137" s="25" t="n">
        <f aca="false">IF(T136&gt;0,D136,C136)</f>
        <v>0.015625</v>
      </c>
      <c r="D137" s="41" t="n">
        <f aca="false">(B137+C137)/2</f>
        <v>-0.0078125</v>
      </c>
      <c r="E137" s="15" t="n">
        <f aca="false">$C$2*(1+IF(E$3&lt;=$O$2,$D137,$D137-($D137-$I$130)*MIN(E$3-$O$2,$Q$2)/$Q$2))</f>
        <v>6389.6875</v>
      </c>
      <c r="F137" s="15" t="n">
        <f aca="false">E137*(1+IF(F$3&lt;=$O$2,$D137,$D137-($D137-$I$130)*MIN(F$3-$O$2,$Q$2)/$Q$2))</f>
        <v>6339.76806640625</v>
      </c>
      <c r="G137" s="15" t="n">
        <f aca="false">F137*(1+IF(G$3&lt;=$O$2,$D137,$D137-($D137-$I$130)*MIN(G$3-$O$2,$Q$2)/$Q$2))</f>
        <v>6290.23862838745</v>
      </c>
      <c r="H137" s="15" t="n">
        <f aca="false">G137*(1+IF(H$3&lt;=$O$2,$D137,$D137-($D137-$I$130)*MIN(H$3-$O$2,$Q$2)/$Q$2))</f>
        <v>6241.09613910317</v>
      </c>
      <c r="I137" s="15" t="n">
        <f aca="false">H137*(1+IF(I$3&lt;=$O$2,$D137,$D137-($D137-$I$130)*MIN(I$3-$O$2,$Q$2)/$Q$2))</f>
        <v>6192.33757551643</v>
      </c>
      <c r="J137" s="15" t="n">
        <f aca="false">I137*(1+IF(J$3&lt;=$O$2,$D137,$D137-($D137-$I$130)*MIN(J$3-$O$2,$Q$2)/$Q$2))</f>
        <v>6194.87643392239</v>
      </c>
      <c r="K137" s="15" t="n">
        <f aca="false">J137*(1+IF(K$3&lt;=$O$2,$D137,$D137-($D137-$I$130)*MIN(K$3-$O$2,$Q$2)/$Q$2))</f>
        <v>6248.35370473823</v>
      </c>
      <c r="L137" s="15" t="n">
        <f aca="false">K137*(1+IF(L$3&lt;=$O$2,$D137,$D137-($D137-$I$130)*MIN(L$3-$O$2,$Q$2)/$Q$2))</f>
        <v>6353.66970643159</v>
      </c>
      <c r="M137" s="15" t="n">
        <f aca="false">L137*(1+IF(M$3&lt;=$O$2,$D137,$D137-($D137-$I$130)*MIN(M$3-$O$2,$Q$2)/$Q$2))</f>
        <v>6513.00385849463</v>
      </c>
      <c r="N137" s="15" t="n">
        <f aca="false">M137*(1+IF(N$3&lt;=$O$2,$D137,$D137-($D137-$I$130)*MIN(N$3-$O$2,$Q$2)/$Q$2))</f>
        <v>6729.8868869825</v>
      </c>
      <c r="O137" s="15" t="n">
        <f aca="false">SUMPRODUCT(E137:N137,1/(1+$F$130)^$E$3:$N$3)*$E$2</f>
        <v>8320.54709664708</v>
      </c>
      <c r="P137" s="15" t="n">
        <f aca="false">N137*$E$2*(1+$I$130)/($F$130-$I$130)/(1+$F$130)^$N$3</f>
        <v>11914.1621596601</v>
      </c>
      <c r="Q137" s="15" t="n">
        <f aca="false">O137+P137</f>
        <v>20234.7092563072</v>
      </c>
      <c r="R137" s="15" t="n">
        <f aca="false">Q137-$G$2+$I$2</f>
        <v>14934.8092563072</v>
      </c>
      <c r="S137" s="42" t="n">
        <f aca="false">R137/$K$2</f>
        <v>127.126398164004</v>
      </c>
      <c r="T137" s="43" t="n">
        <f aca="false">S137-$M$2</f>
        <v>-20.0475888976236</v>
      </c>
    </row>
    <row r="138" customFormat="false" ht="15" hidden="false" customHeight="false" outlineLevel="0" collapsed="false">
      <c r="A138" s="5" t="n">
        <v>7</v>
      </c>
      <c r="B138" s="25" t="n">
        <f aca="false">IF(T137&gt;0,B137,D137)</f>
        <v>-0.0078125</v>
      </c>
      <c r="C138" s="25" t="n">
        <f aca="false">IF(T137&gt;0,D137,C137)</f>
        <v>0.015625</v>
      </c>
      <c r="D138" s="41" t="n">
        <f aca="false">(B138+C138)/2</f>
        <v>0.00390625</v>
      </c>
      <c r="E138" s="15" t="n">
        <f aca="false">$C$2*(1+IF(E$3&lt;=$O$2,$D138,$D138-($D138-$I$130)*MIN(E$3-$O$2,$Q$2)/$Q$2))</f>
        <v>6465.15625</v>
      </c>
      <c r="F138" s="15" t="n">
        <f aca="false">E138*(1+IF(F$3&lt;=$O$2,$D138,$D138-($D138-$I$130)*MIN(F$3-$O$2,$Q$2)/$Q$2))</f>
        <v>6490.41076660156</v>
      </c>
      <c r="G138" s="15" t="n">
        <f aca="false">F138*(1+IF(G$3&lt;=$O$2,$D138,$D138-($D138-$I$130)*MIN(G$3-$O$2,$Q$2)/$Q$2))</f>
        <v>6515.7639336586</v>
      </c>
      <c r="H138" s="15" t="n">
        <f aca="false">G138*(1+IF(H$3&lt;=$O$2,$D138,$D138-($D138-$I$130)*MIN(H$3-$O$2,$Q$2)/$Q$2))</f>
        <v>6541.21613652445</v>
      </c>
      <c r="I138" s="15" t="n">
        <f aca="false">H138*(1+IF(I$3&lt;=$O$2,$D138,$D138-($D138-$I$130)*MIN(I$3-$O$2,$Q$2)/$Q$2))</f>
        <v>6566.76776205775</v>
      </c>
      <c r="J138" s="15" t="n">
        <f aca="false">I138*(1+IF(J$3&lt;=$O$2,$D138,$D138-($D138-$I$130)*MIN(J$3-$O$2,$Q$2)/$Q$2))</f>
        <v>6631.02358460949</v>
      </c>
      <c r="K138" s="15" t="n">
        <f aca="false">J138*(1+IF(K$3&lt;=$O$2,$D138,$D138-($D138-$I$130)*MIN(K$3-$O$2,$Q$2)/$Q$2))</f>
        <v>6734.89028028292</v>
      </c>
      <c r="L138" s="15" t="n">
        <f aca="false">K138*(1+IF(L$3&lt;=$O$2,$D138,$D138-($D138-$I$130)*MIN(L$3-$O$2,$Q$2)/$Q$2))</f>
        <v>6879.97665414591</v>
      </c>
      <c r="M138" s="15" t="n">
        <f aca="false">L138*(1+IF(M$3&lt;=$O$2,$D138,$D138-($D138-$I$130)*MIN(M$3-$O$2,$Q$2)/$Q$2))</f>
        <v>7068.63421397341</v>
      </c>
      <c r="N138" s="15" t="n">
        <f aca="false">M138*(1+IF(N$3&lt;=$O$2,$D138,$D138-($D138-$I$130)*MIN(N$3-$O$2,$Q$2)/$Q$2))</f>
        <v>7304.01973329872</v>
      </c>
      <c r="O138" s="15" t="n">
        <f aca="false">SUMPRODUCT(E138:N138,1/(1+$F$130)^$E$3:$N$3)*$E$2</f>
        <v>8756.31302478678</v>
      </c>
      <c r="P138" s="15" t="n">
        <f aca="false">N138*$E$2*(1+$I$130)/($F$130-$I$130)/(1+$F$130)^$N$3</f>
        <v>12930.5703024819</v>
      </c>
      <c r="Q138" s="15" t="n">
        <f aca="false">O138+P138</f>
        <v>21686.8833272687</v>
      </c>
      <c r="R138" s="15" t="n">
        <f aca="false">Q138-$G$2+$I$2</f>
        <v>16386.9833272687</v>
      </c>
      <c r="S138" s="42" t="n">
        <f aca="false">R138/$K$2</f>
        <v>139.487430432999</v>
      </c>
      <c r="T138" s="43" t="n">
        <f aca="false">S138-$M$2</f>
        <v>-7.68655662862881</v>
      </c>
    </row>
    <row r="139" customFormat="false" ht="15" hidden="false" customHeight="false" outlineLevel="0" collapsed="false">
      <c r="A139" s="5" t="n">
        <v>8</v>
      </c>
      <c r="B139" s="25" t="n">
        <f aca="false">IF(T138&gt;0,B138,D138)</f>
        <v>0.00390625</v>
      </c>
      <c r="C139" s="25" t="n">
        <f aca="false">IF(T138&gt;0,D138,C138)</f>
        <v>0.015625</v>
      </c>
      <c r="D139" s="41" t="n">
        <f aca="false">(B139+C139)/2</f>
        <v>0.009765625</v>
      </c>
      <c r="E139" s="15" t="n">
        <f aca="false">$C$2*(1+IF(E$3&lt;=$O$2,$D139,$D139-($D139-$I$130)*MIN(E$3-$O$2,$Q$2)/$Q$2))</f>
        <v>6502.890625</v>
      </c>
      <c r="F139" s="15" t="n">
        <f aca="false">E139*(1+IF(F$3&lt;=$O$2,$D139,$D139-($D139-$I$130)*MIN(F$3-$O$2,$Q$2)/$Q$2))</f>
        <v>6566.39541625977</v>
      </c>
      <c r="G139" s="15" t="n">
        <f aca="false">F139*(1+IF(G$3&lt;=$O$2,$D139,$D139-($D139-$I$130)*MIN(G$3-$O$2,$Q$2)/$Q$2))</f>
        <v>6630.52037149668</v>
      </c>
      <c r="H139" s="15" t="n">
        <f aca="false">G139*(1+IF(H$3&lt;=$O$2,$D139,$D139-($D139-$I$130)*MIN(H$3-$O$2,$Q$2)/$Q$2))</f>
        <v>6695.27154699958</v>
      </c>
      <c r="I139" s="15" t="n">
        <f aca="false">H139*(1+IF(I$3&lt;=$O$2,$D139,$D139-($D139-$I$130)*MIN(I$3-$O$2,$Q$2)/$Q$2))</f>
        <v>6760.65505820074</v>
      </c>
      <c r="J139" s="15" t="n">
        <f aca="false">I139*(1+IF(J$3&lt;=$O$2,$D139,$D139-($D139-$I$130)*MIN(J$3-$O$2,$Q$2)/$Q$2))</f>
        <v>6858.49863853055</v>
      </c>
      <c r="K139" s="15" t="n">
        <f aca="false">J139*(1+IF(K$3&lt;=$O$2,$D139,$D139-($D139-$I$130)*MIN(K$3-$O$2,$Q$2)/$Q$2))</f>
        <v>6990.04035585592</v>
      </c>
      <c r="L139" s="15" t="n">
        <f aca="false">K139*(1+IF(L$3&lt;=$O$2,$D139,$D139-($D139-$I$130)*MIN(L$3-$O$2,$Q$2)/$Q$2))</f>
        <v>7157.00620730598</v>
      </c>
      <c r="M139" s="15" t="n">
        <f aca="false">L139*(1+IF(M$3&lt;=$O$2,$D139,$D139-($D139-$I$130)*MIN(M$3-$O$2,$Q$2)/$Q$2))</f>
        <v>7361.64738041726</v>
      </c>
      <c r="N139" s="15" t="n">
        <f aca="false">M139*(1+IF(N$3&lt;=$O$2,$D139,$D139-($D139-$I$130)*MIN(N$3-$O$2,$Q$2)/$Q$2))</f>
        <v>7606.79023818516</v>
      </c>
      <c r="O139" s="15" t="n">
        <f aca="false">SUMPRODUCT(E139:N139,1/(1+$F$130)^$E$3:$N$3)*$E$2</f>
        <v>8982.88224523948</v>
      </c>
      <c r="P139" s="15" t="n">
        <f aca="false">N139*$E$2*(1+$I$130)/($F$130-$I$130)/(1+$F$130)^$N$3</f>
        <v>13466.5758777549</v>
      </c>
      <c r="Q139" s="15" t="n">
        <f aca="false">O139+P139</f>
        <v>22449.4581229944</v>
      </c>
      <c r="R139" s="15" t="n">
        <f aca="false">Q139-$G$2+$I$2</f>
        <v>17149.5581229944</v>
      </c>
      <c r="S139" s="42" t="n">
        <f aca="false">R139/$K$2</f>
        <v>145.978533563112</v>
      </c>
      <c r="T139" s="43" t="n">
        <f aca="false">S139-$M$2</f>
        <v>-1.1954534985158</v>
      </c>
    </row>
    <row r="140" customFormat="false" ht="15" hidden="false" customHeight="false" outlineLevel="0" collapsed="false">
      <c r="A140" s="5" t="n">
        <v>9</v>
      </c>
      <c r="B140" s="25" t="n">
        <f aca="false">IF(T139&gt;0,B139,D139)</f>
        <v>0.009765625</v>
      </c>
      <c r="C140" s="25" t="n">
        <f aca="false">IF(T139&gt;0,D139,C139)</f>
        <v>0.015625</v>
      </c>
      <c r="D140" s="41" t="n">
        <f aca="false">(B140+C140)/2</f>
        <v>0.0126953125</v>
      </c>
      <c r="E140" s="15" t="n">
        <f aca="false">$C$2*(1+IF(E$3&lt;=$O$2,$D140,$D140-($D140-$I$130)*MIN(E$3-$O$2,$Q$2)/$Q$2))</f>
        <v>6521.7578125</v>
      </c>
      <c r="F140" s="15" t="n">
        <f aca="false">E140*(1+IF(F$3&lt;=$O$2,$D140,$D140-($D140-$I$130)*MIN(F$3-$O$2,$Q$2)/$Q$2))</f>
        <v>6604.553565979</v>
      </c>
      <c r="G140" s="15" t="n">
        <f aca="false">F140*(1+IF(G$3&lt;=$O$2,$D140,$D140-($D140-$I$130)*MIN(G$3-$O$2,$Q$2)/$Q$2))</f>
        <v>6688.4004374221</v>
      </c>
      <c r="H140" s="15" t="n">
        <f aca="false">G140*(1+IF(H$3&lt;=$O$2,$D140,$D140-($D140-$I$130)*MIN(H$3-$O$2,$Q$2)/$Q$2))</f>
        <v>6773.31177110031</v>
      </c>
      <c r="I140" s="15" t="n">
        <f aca="false">H140*(1+IF(I$3&lt;=$O$2,$D140,$D140-($D140-$I$130)*MIN(I$3-$O$2,$Q$2)/$Q$2))</f>
        <v>6859.30108069435</v>
      </c>
      <c r="J140" s="15" t="n">
        <f aca="false">I140*(1+IF(J$3&lt;=$O$2,$D140,$D140-($D140-$I$130)*MIN(J$3-$O$2,$Q$2)/$Q$2))</f>
        <v>6974.64880249258</v>
      </c>
      <c r="K140" s="15" t="n">
        <f aca="false">J140*(1+IF(K$3&lt;=$O$2,$D140,$D140-($D140-$I$130)*MIN(K$3-$O$2,$Q$2)/$Q$2))</f>
        <v>7120.67833221702</v>
      </c>
      <c r="L140" s="15" t="n">
        <f aca="false">K140*(1+IF(L$3&lt;=$O$2,$D140,$D140-($D140-$I$130)*MIN(L$3-$O$2,$Q$2)/$Q$2))</f>
        <v>7299.1091799505</v>
      </c>
      <c r="M140" s="15" t="n">
        <f aca="false">L140*(1+IF(M$3&lt;=$O$2,$D140,$D140-($D140-$I$130)*MIN(M$3-$O$2,$Q$2)/$Q$2))</f>
        <v>7512.0903429066</v>
      </c>
      <c r="N140" s="15" t="n">
        <f aca="false">M140*(1+IF(N$3&lt;=$O$2,$D140,$D140-($D140-$I$130)*MIN(N$3-$O$2,$Q$2)/$Q$2))</f>
        <v>7762.24295132539</v>
      </c>
      <c r="O140" s="15" t="n">
        <f aca="false">SUMPRODUCT(E140:N140,1/(1+$F$130)^$E$3:$N$3)*$E$2</f>
        <v>9098.40170235774</v>
      </c>
      <c r="P140" s="15" t="n">
        <f aca="false">N140*$E$2*(1+$I$130)/($F$130-$I$130)/(1+$F$130)^$N$3</f>
        <v>13741.7794381735</v>
      </c>
      <c r="Q140" s="15" t="n">
        <f aca="false">O140+P140</f>
        <v>22840.1811405312</v>
      </c>
      <c r="R140" s="15" t="n">
        <f aca="false">Q140-$G$2+$I$2</f>
        <v>17540.2811405312</v>
      </c>
      <c r="S140" s="42" t="n">
        <f aca="false">R140/$K$2</f>
        <v>149.304401945278</v>
      </c>
      <c r="T140" s="43" t="n">
        <f aca="false">S140-$M$2</f>
        <v>2.13041488365002</v>
      </c>
    </row>
    <row r="141" customFormat="false" ht="15" hidden="false" customHeight="false" outlineLevel="0" collapsed="false">
      <c r="A141" s="5" t="n">
        <v>10</v>
      </c>
      <c r="B141" s="25" t="n">
        <f aca="false">IF(T140&gt;0,B140,D140)</f>
        <v>0.009765625</v>
      </c>
      <c r="C141" s="25" t="n">
        <f aca="false">IF(T140&gt;0,D140,C140)</f>
        <v>0.0126953125</v>
      </c>
      <c r="D141" s="41" t="n">
        <f aca="false">(B141+C141)/2</f>
        <v>0.01123046875</v>
      </c>
      <c r="E141" s="15" t="n">
        <f aca="false">$C$2*(1+IF(E$3&lt;=$O$2,$D141,$D141-($D141-$I$130)*MIN(E$3-$O$2,$Q$2)/$Q$2))</f>
        <v>6512.32421875</v>
      </c>
      <c r="F141" s="15" t="n">
        <f aca="false">E141*(1+IF(F$3&lt;=$O$2,$D141,$D141-($D141-$I$130)*MIN(F$3-$O$2,$Q$2)/$Q$2))</f>
        <v>6585.46067237854</v>
      </c>
      <c r="G141" s="15" t="n">
        <f aca="false">F141*(1+IF(G$3&lt;=$O$2,$D141,$D141-($D141-$I$130)*MIN(G$3-$O$2,$Q$2)/$Q$2))</f>
        <v>6659.41848266404</v>
      </c>
      <c r="H141" s="15" t="n">
        <f aca="false">G141*(1+IF(H$3&lt;=$O$2,$D141,$D141-($D141-$I$130)*MIN(H$3-$O$2,$Q$2)/$Q$2))</f>
        <v>6734.20687382677</v>
      </c>
      <c r="I141" s="15" t="n">
        <f aca="false">H141*(1+IF(I$3&lt;=$O$2,$D141,$D141-($D141-$I$130)*MIN(I$3-$O$2,$Q$2)/$Q$2))</f>
        <v>6809.83517367932</v>
      </c>
      <c r="J141" s="15" t="n">
        <f aca="false">I141*(1+IF(J$3&lt;=$O$2,$D141,$D141-($D141-$I$130)*MIN(J$3-$O$2,$Q$2)/$Q$2))</f>
        <v>6916.37078882455</v>
      </c>
      <c r="K141" s="15" t="n">
        <f aca="false">J141*(1+IF(K$3&lt;=$O$2,$D141,$D141-($D141-$I$130)*MIN(K$3-$O$2,$Q$2)/$Q$2))</f>
        <v>7055.10129933608</v>
      </c>
      <c r="L141" s="15" t="n">
        <f aca="false">K141*(1+IF(L$3&lt;=$O$2,$D141,$D141-($D141-$I$130)*MIN(L$3-$O$2,$Q$2)/$Q$2))</f>
        <v>7227.75506116492</v>
      </c>
      <c r="M141" s="15" t="n">
        <f aca="false">L141*(1+IF(M$3&lt;=$O$2,$D141,$D141-($D141-$I$130)*MIN(M$3-$O$2,$Q$2)/$Q$2))</f>
        <v>7436.53667146377</v>
      </c>
      <c r="N141" s="15" t="n">
        <f aca="false">M141*(1+IF(N$3&lt;=$O$2,$D141,$D141-($D141-$I$130)*MIN(N$3-$O$2,$Q$2)/$Q$2))</f>
        <v>7684.17334262351</v>
      </c>
      <c r="O141" s="15" t="n">
        <f aca="false">SUMPRODUCT(E141:N141,1/(1+$F$130)^$E$3:$N$3)*$E$2</f>
        <v>9040.45382001883</v>
      </c>
      <c r="P141" s="15" t="n">
        <f aca="false">N141*$E$2*(1+$I$130)/($F$130-$I$130)/(1+$F$130)^$N$3</f>
        <v>13603.5699863007</v>
      </c>
      <c r="Q141" s="15" t="n">
        <f aca="false">O141+P141</f>
        <v>22644.0238063196</v>
      </c>
      <c r="R141" s="15" t="n">
        <f aca="false">Q141-$G$2+$I$2</f>
        <v>17344.1238063196</v>
      </c>
      <c r="S141" s="42" t="n">
        <f aca="false">R141/$K$2</f>
        <v>147.634693618655</v>
      </c>
      <c r="T141" s="43" t="n">
        <f aca="false">S141-$M$2</f>
        <v>0.460706557027123</v>
      </c>
    </row>
    <row r="142" customFormat="false" ht="15" hidden="false" customHeight="false" outlineLevel="0" collapsed="false">
      <c r="A142" s="5" t="n">
        <v>11</v>
      </c>
      <c r="B142" s="25" t="n">
        <f aca="false">IF(T141&gt;0,B141,D141)</f>
        <v>0.009765625</v>
      </c>
      <c r="C142" s="25" t="n">
        <f aca="false">IF(T141&gt;0,D141,C141)</f>
        <v>0.01123046875</v>
      </c>
      <c r="D142" s="41" t="n">
        <f aca="false">(B142+C142)/2</f>
        <v>0.010498046875</v>
      </c>
      <c r="E142" s="15" t="n">
        <f aca="false">$C$2*(1+IF(E$3&lt;=$O$2,$D142,$D142-($D142-$I$130)*MIN(E$3-$O$2,$Q$2)/$Q$2))</f>
        <v>6507.607421875</v>
      </c>
      <c r="F142" s="15" t="n">
        <f aca="false">E142*(1+IF(F$3&lt;=$O$2,$D142,$D142-($D142-$I$130)*MIN(F$3-$O$2,$Q$2)/$Q$2))</f>
        <v>6575.92458963394</v>
      </c>
      <c r="G142" s="15" t="n">
        <f aca="false">F142*(1+IF(G$3&lt;=$O$2,$D142,$D142-($D142-$I$130)*MIN(G$3-$O$2,$Q$2)/$Q$2))</f>
        <v>6644.95895422238</v>
      </c>
      <c r="H142" s="15" t="n">
        <f aca="false">G142*(1+IF(H$3&lt;=$O$2,$D142,$D142-($D142-$I$130)*MIN(H$3-$O$2,$Q$2)/$Q$2))</f>
        <v>6714.71804480626</v>
      </c>
      <c r="I142" s="15" t="n">
        <f aca="false">H142*(1+IF(I$3&lt;=$O$2,$D142,$D142-($D142-$I$130)*MIN(I$3-$O$2,$Q$2)/$Q$2))</f>
        <v>6785.20946959305</v>
      </c>
      <c r="J142" s="15" t="n">
        <f aca="false">I142*(1+IF(J$3&lt;=$O$2,$D142,$D142-($D142-$I$130)*MIN(J$3-$O$2,$Q$2)/$Q$2))</f>
        <v>6887.38412231532</v>
      </c>
      <c r="K142" s="15" t="n">
        <f aca="false">J142*(1+IF(K$3&lt;=$O$2,$D142,$D142-($D142-$I$130)*MIN(K$3-$O$2,$Q$2)/$Q$2))</f>
        <v>7022.50652764188</v>
      </c>
      <c r="L142" s="15" t="n">
        <f aca="false">K142*(1+IF(L$3&lt;=$O$2,$D142,$D142-($D142-$I$130)*MIN(L$3-$O$2,$Q$2)/$Q$2))</f>
        <v>7192.30524914704</v>
      </c>
      <c r="M142" s="15" t="n">
        <f aca="false">L142*(1+IF(M$3&lt;=$O$2,$D142,$D142-($D142-$I$130)*MIN(M$3-$O$2,$Q$2)/$Q$2))</f>
        <v>7399.00929251329</v>
      </c>
      <c r="N142" s="15" t="n">
        <f aca="false">M142*(1+IF(N$3&lt;=$O$2,$D142,$D142-($D142-$I$130)*MIN(N$3-$O$2,$Q$2)/$Q$2))</f>
        <v>7645.39630195398</v>
      </c>
      <c r="O142" s="15" t="n">
        <f aca="false">SUMPRODUCT(E142:N142,1/(1+$F$130)^$E$3:$N$3)*$E$2</f>
        <v>9011.6211387941</v>
      </c>
      <c r="P142" s="15" t="n">
        <f aca="false">N142*$E$2*(1+$I$130)/($F$130-$I$130)/(1+$F$130)^$N$3</f>
        <v>13534.9215887322</v>
      </c>
      <c r="Q142" s="15" t="n">
        <f aca="false">O142+P142</f>
        <v>22546.5427275263</v>
      </c>
      <c r="R142" s="15" t="n">
        <f aca="false">Q142-$G$2+$I$2</f>
        <v>17246.6427275263</v>
      </c>
      <c r="S142" s="42" t="n">
        <f aca="false">R142/$K$2</f>
        <v>146.804926179148</v>
      </c>
      <c r="T142" s="43" t="n">
        <f aca="false">S142-$M$2</f>
        <v>-0.369060882479346</v>
      </c>
    </row>
    <row r="143" customFormat="false" ht="15" hidden="false" customHeight="false" outlineLevel="0" collapsed="false">
      <c r="A143" s="5" t="n">
        <v>12</v>
      </c>
      <c r="B143" s="25" t="n">
        <f aca="false">IF(T142&gt;0,B142,D142)</f>
        <v>0.010498046875</v>
      </c>
      <c r="C143" s="25" t="n">
        <f aca="false">IF(T142&gt;0,D142,C142)</f>
        <v>0.01123046875</v>
      </c>
      <c r="D143" s="41" t="n">
        <f aca="false">(B143+C143)/2</f>
        <v>0.0108642578125</v>
      </c>
      <c r="E143" s="15" t="n">
        <f aca="false">$C$2*(1+IF(E$3&lt;=$O$2,$D143,$D143-($D143-$I$130)*MIN(E$3-$O$2,$Q$2)/$Q$2))</f>
        <v>6509.9658203125</v>
      </c>
      <c r="F143" s="15" t="n">
        <f aca="false">E143*(1+IF(F$3&lt;=$O$2,$D143,$D143-($D143-$I$130)*MIN(F$3-$O$2,$Q$2)/$Q$2))</f>
        <v>6580.69176733494</v>
      </c>
      <c r="G143" s="15" t="n">
        <f aca="false">F143*(1+IF(G$3&lt;=$O$2,$D143,$D143-($D143-$I$130)*MIN(G$3-$O$2,$Q$2)/$Q$2))</f>
        <v>6652.18609927986</v>
      </c>
      <c r="H143" s="15" t="n">
        <f aca="false">G143*(1+IF(H$3&lt;=$O$2,$D143,$D143-($D143-$I$130)*MIN(H$3-$O$2,$Q$2)/$Q$2))</f>
        <v>6724.45716407917</v>
      </c>
      <c r="I143" s="15" t="n">
        <f aca="false">H143*(1+IF(I$3&lt;=$O$2,$D143,$D143-($D143-$I$130)*MIN(I$3-$O$2,$Q$2)/$Q$2))</f>
        <v>6797.51340035884</v>
      </c>
      <c r="J143" s="15" t="n">
        <f aca="false">I143*(1+IF(J$3&lt;=$O$2,$D143,$D143-($D143-$I$130)*MIN(J$3-$O$2,$Q$2)/$Q$2))</f>
        <v>6901.86479005756</v>
      </c>
      <c r="K143" s="15" t="n">
        <f aca="false">J143*(1+IF(K$3&lt;=$O$2,$D143,$D143-($D143-$I$130)*MIN(K$3-$O$2,$Q$2)/$Q$2))</f>
        <v>7038.78781214085</v>
      </c>
      <c r="L143" s="15" t="n">
        <f aca="false">K143*(1+IF(L$3&lt;=$O$2,$D143,$D143-($D143-$I$130)*MIN(L$3-$O$2,$Q$2)/$Q$2))</f>
        <v>7210.01127481886</v>
      </c>
      <c r="M143" s="15" t="n">
        <f aca="false">L143*(1+IF(M$3&lt;=$O$2,$D143,$D143-($D143-$I$130)*MIN(M$3-$O$2,$Q$2)/$Q$2))</f>
        <v>7417.75225944416</v>
      </c>
      <c r="N143" s="15" t="n">
        <f aca="false">M143*(1+IF(N$3&lt;=$O$2,$D143,$D143-($D143-$I$130)*MIN(N$3-$O$2,$Q$2)/$Q$2))</f>
        <v>7664.76340968365</v>
      </c>
      <c r="O143" s="15" t="n">
        <f aca="false">SUMPRODUCT(E143:N143,1/(1+$F$130)^$E$3:$N$3)*$E$2</f>
        <v>9026.02573790179</v>
      </c>
      <c r="P143" s="15" t="n">
        <f aca="false">N143*$E$2*(1+$I$130)/($F$130-$I$130)/(1+$F$130)^$N$3</f>
        <v>13569.2078800072</v>
      </c>
      <c r="Q143" s="15" t="n">
        <f aca="false">O143+P143</f>
        <v>22595.233617909</v>
      </c>
      <c r="R143" s="15" t="n">
        <f aca="false">Q143-$G$2+$I$2</f>
        <v>17295.333617909</v>
      </c>
      <c r="S143" s="42" t="n">
        <f aca="false">R143/$K$2</f>
        <v>147.219387282167</v>
      </c>
      <c r="T143" s="43" t="n">
        <f aca="false">S143-$M$2</f>
        <v>0.0454002205398751</v>
      </c>
    </row>
    <row r="144" customFormat="false" ht="15" hidden="false" customHeight="false" outlineLevel="0" collapsed="false">
      <c r="A144" s="5" t="n">
        <v>13</v>
      </c>
      <c r="B144" s="25" t="n">
        <f aca="false">IF(T143&gt;0,B143,D143)</f>
        <v>0.010498046875</v>
      </c>
      <c r="C144" s="25" t="n">
        <f aca="false">IF(T143&gt;0,D143,C143)</f>
        <v>0.0108642578125</v>
      </c>
      <c r="D144" s="41" t="n">
        <f aca="false">(B144+C144)/2</f>
        <v>0.01068115234375</v>
      </c>
      <c r="E144" s="15" t="n">
        <f aca="false">$C$2*(1+IF(E$3&lt;=$O$2,$D144,$D144-($D144-$I$130)*MIN(E$3-$O$2,$Q$2)/$Q$2))</f>
        <v>6508.78662109375</v>
      </c>
      <c r="F144" s="15" t="n">
        <f aca="false">E144*(1+IF(F$3&lt;=$O$2,$D144,$D144-($D144-$I$130)*MIN(F$3-$O$2,$Q$2)/$Q$2))</f>
        <v>6578.30796256661</v>
      </c>
      <c r="G144" s="15" t="n">
        <f aca="false">F144*(1+IF(G$3&lt;=$O$2,$D144,$D144-($D144-$I$130)*MIN(G$3-$O$2,$Q$2)/$Q$2))</f>
        <v>6648.57187207889</v>
      </c>
      <c r="H144" s="15" t="n">
        <f aca="false">G144*(1+IF(H$3&lt;=$O$2,$D144,$D144-($D144-$I$130)*MIN(H$3-$O$2,$Q$2)/$Q$2))</f>
        <v>6719.58628111294</v>
      </c>
      <c r="I144" s="15" t="n">
        <f aca="false">H144*(1+IF(I$3&lt;=$O$2,$D144,$D144-($D144-$I$130)*MIN(I$3-$O$2,$Q$2)/$Q$2))</f>
        <v>6791.35920586848</v>
      </c>
      <c r="J144" s="15" t="n">
        <f aca="false">I144*(1+IF(J$3&lt;=$O$2,$D144,$D144-($D144-$I$130)*MIN(J$3-$O$2,$Q$2)/$Q$2))</f>
        <v>6894.62129201877</v>
      </c>
      <c r="K144" s="15" t="n">
        <f aca="false">J144*(1+IF(K$3&lt;=$O$2,$D144,$D144-($D144-$I$130)*MIN(K$3-$O$2,$Q$2)/$Q$2))</f>
        <v>7030.64314785197</v>
      </c>
      <c r="L144" s="15" t="n">
        <f aca="false">K144*(1+IF(L$3&lt;=$O$2,$D144,$D144-($D144-$I$130)*MIN(L$3-$O$2,$Q$2)/$Q$2))</f>
        <v>7201.15354616075</v>
      </c>
      <c r="M144" s="15" t="n">
        <f aca="false">L144*(1+IF(M$3&lt;=$O$2,$D144,$D144-($D144-$I$130)*MIN(M$3-$O$2,$Q$2)/$Q$2))</f>
        <v>7408.37560024593</v>
      </c>
      <c r="N144" s="15" t="n">
        <f aca="false">M144*(1+IF(N$3&lt;=$O$2,$D144,$D144-($D144-$I$130)*MIN(N$3-$O$2,$Q$2)/$Q$2))</f>
        <v>7655.07450773412</v>
      </c>
      <c r="O144" s="15" t="n">
        <f aca="false">SUMPRODUCT(E144:N144,1/(1+$F$130)^$E$3:$N$3)*$E$2</f>
        <v>9018.82050522941</v>
      </c>
      <c r="P144" s="15" t="n">
        <f aca="false">N144*$E$2*(1+$I$130)/($F$130-$I$130)/(1+$F$130)^$N$3</f>
        <v>13552.055266462</v>
      </c>
      <c r="Q144" s="15" t="n">
        <f aca="false">O144+P144</f>
        <v>22570.8757716914</v>
      </c>
      <c r="R144" s="15" t="n">
        <f aca="false">Q144-$G$2+$I$2</f>
        <v>17270.9757716914</v>
      </c>
      <c r="S144" s="42" t="n">
        <f aca="false">R144/$K$2</f>
        <v>147.012051172041</v>
      </c>
      <c r="T144" s="43" t="n">
        <f aca="false">S144-$M$2</f>
        <v>-0.161935889586545</v>
      </c>
    </row>
    <row r="145" customFormat="false" ht="15" hidden="false" customHeight="false" outlineLevel="0" collapsed="false">
      <c r="A145" s="5" t="n">
        <v>14</v>
      </c>
      <c r="B145" s="25" t="n">
        <f aca="false">IF(T144&gt;0,B144,D144)</f>
        <v>0.01068115234375</v>
      </c>
      <c r="C145" s="25" t="n">
        <f aca="false">IF(T144&gt;0,D144,C144)</f>
        <v>0.0108642578125</v>
      </c>
      <c r="D145" s="41" t="n">
        <f aca="false">(B145+C145)/2</f>
        <v>0.010772705078125</v>
      </c>
      <c r="E145" s="15" t="n">
        <f aca="false">$C$2*(1+IF(E$3&lt;=$O$2,$D145,$D145-($D145-$I$130)*MIN(E$3-$O$2,$Q$2)/$Q$2))</f>
        <v>6509.37622070313</v>
      </c>
      <c r="F145" s="15" t="n">
        <f aca="false">E145*(1+IF(F$3&lt;=$O$2,$D145,$D145-($D145-$I$130)*MIN(F$3-$O$2,$Q$2)/$Q$2))</f>
        <v>6579.49981097132</v>
      </c>
      <c r="G145" s="15" t="n">
        <f aca="false">F145*(1+IF(G$3&lt;=$O$2,$D145,$D145-($D145-$I$130)*MIN(G$3-$O$2,$Q$2)/$Q$2))</f>
        <v>6650.37882199649</v>
      </c>
      <c r="H145" s="15" t="n">
        <f aca="false">G145*(1+IF(H$3&lt;=$O$2,$D145,$D145-($D145-$I$130)*MIN(H$3-$O$2,$Q$2)/$Q$2))</f>
        <v>6722.02139170367</v>
      </c>
      <c r="I145" s="15" t="n">
        <f aca="false">H145*(1+IF(I$3&lt;=$O$2,$D145,$D145-($D145-$I$130)*MIN(I$3-$O$2,$Q$2)/$Q$2))</f>
        <v>6794.43574568534</v>
      </c>
      <c r="J145" s="15" t="n">
        <f aca="false">I145*(1+IF(J$3&lt;=$O$2,$D145,$D145-($D145-$I$130)*MIN(J$3-$O$2,$Q$2)/$Q$2))</f>
        <v>6898.24224972004</v>
      </c>
      <c r="K145" s="15" t="n">
        <f aca="false">J145*(1+IF(K$3&lt;=$O$2,$D145,$D145-($D145-$I$130)*MIN(K$3-$O$2,$Q$2)/$Q$2))</f>
        <v>7034.71447407452</v>
      </c>
      <c r="L145" s="15" t="n">
        <f aca="false">K145*(1+IF(L$3&lt;=$O$2,$D145,$D145-($D145-$I$130)*MIN(L$3-$O$2,$Q$2)/$Q$2))</f>
        <v>7205.58123100174</v>
      </c>
      <c r="M145" s="15" t="n">
        <f aca="false">L145*(1+IF(M$3&lt;=$O$2,$D145,$D145-($D145-$I$130)*MIN(M$3-$O$2,$Q$2)/$Q$2))</f>
        <v>7413.06263529924</v>
      </c>
      <c r="N145" s="15" t="n">
        <f aca="false">M145*(1+IF(N$3&lt;=$O$2,$D145,$D145-($D145-$I$130)*MIN(N$3-$O$2,$Q$2)/$Q$2))</f>
        <v>7659.9176210547</v>
      </c>
      <c r="O145" s="15" t="n">
        <f aca="false">SUMPRODUCT(E145:N145,1/(1+$F$130)^$E$3:$N$3)*$E$2</f>
        <v>9022.42238800388</v>
      </c>
      <c r="P145" s="15" t="n">
        <f aca="false">N145*$E$2*(1+$I$130)/($F$130-$I$130)/(1+$F$130)^$N$3</f>
        <v>13560.629205137</v>
      </c>
      <c r="Q145" s="15" t="n">
        <f aca="false">O145+P145</f>
        <v>22583.0515931409</v>
      </c>
      <c r="R145" s="15" t="n">
        <f aca="false">Q145-$G$2+$I$2</f>
        <v>17283.1515931409</v>
      </c>
      <c r="S145" s="42" t="n">
        <f aca="false">R145/$K$2</f>
        <v>147.11569282551</v>
      </c>
      <c r="T145" s="43" t="n">
        <f aca="false">S145-$M$2</f>
        <v>-0.0582942361176322</v>
      </c>
    </row>
    <row r="146" customFormat="false" ht="15" hidden="false" customHeight="false" outlineLevel="0" collapsed="false">
      <c r="A146" s="5" t="n">
        <v>15</v>
      </c>
      <c r="B146" s="25" t="n">
        <f aca="false">IF(T145&gt;0,B145,D145)</f>
        <v>0.010772705078125</v>
      </c>
      <c r="C146" s="25" t="n">
        <f aca="false">IF(T145&gt;0,D145,C145)</f>
        <v>0.0108642578125</v>
      </c>
      <c r="D146" s="41" t="n">
        <f aca="false">(B146+C146)/2</f>
        <v>0.0108184814453125</v>
      </c>
      <c r="E146" s="15" t="n">
        <f aca="false">$C$2*(1+IF(E$3&lt;=$O$2,$D146,$D146-($D146-$I$130)*MIN(E$3-$O$2,$Q$2)/$Q$2))</f>
        <v>6509.67102050781</v>
      </c>
      <c r="F146" s="15" t="n">
        <f aca="false">E146*(1+IF(F$3&lt;=$O$2,$D146,$D146-($D146-$I$130)*MIN(F$3-$O$2,$Q$2)/$Q$2))</f>
        <v>6580.09577565827</v>
      </c>
      <c r="G146" s="15" t="n">
        <f aca="false">F146*(1+IF(G$3&lt;=$O$2,$D146,$D146-($D146-$I$130)*MIN(G$3-$O$2,$Q$2)/$Q$2))</f>
        <v>6651.2824197156</v>
      </c>
      <c r="H146" s="15" t="n">
        <f aca="false">G146*(1+IF(H$3&lt;=$O$2,$D146,$D146-($D146-$I$130)*MIN(H$3-$O$2,$Q$2)/$Q$2))</f>
        <v>6723.23919516083</v>
      </c>
      <c r="I146" s="15" t="n">
        <f aca="false">H146*(1+IF(I$3&lt;=$O$2,$D146,$D146-($D146-$I$130)*MIN(I$3-$O$2,$Q$2)/$Q$2))</f>
        <v>6795.97443364607</v>
      </c>
      <c r="J146" s="15" t="n">
        <f aca="false">I146*(1+IF(J$3&lt;=$O$2,$D146,$D146-($D146-$I$130)*MIN(J$3-$O$2,$Q$2)/$Q$2))</f>
        <v>6900.05332202473</v>
      </c>
      <c r="K146" s="15" t="n">
        <f aca="false">J146*(1+IF(K$3&lt;=$O$2,$D146,$D146-($D146-$I$130)*MIN(K$3-$O$2,$Q$2)/$Q$2))</f>
        <v>7036.7508915757</v>
      </c>
      <c r="L146" s="15" t="n">
        <f aca="false">K146*(1+IF(L$3&lt;=$O$2,$D146,$D146-($D146-$I$130)*MIN(L$3-$O$2,$Q$2)/$Q$2))</f>
        <v>7207.7959579717</v>
      </c>
      <c r="M146" s="15" t="n">
        <f aca="false">L146*(1+IF(M$3&lt;=$O$2,$D146,$D146-($D146-$I$130)*MIN(M$3-$O$2,$Q$2)/$Q$2))</f>
        <v>7415.40712365865</v>
      </c>
      <c r="N146" s="15" t="n">
        <f aca="false">M146*(1+IF(N$3&lt;=$O$2,$D146,$D146-($D146-$I$130)*MIN(N$3-$O$2,$Q$2)/$Q$2))</f>
        <v>7662.34018087648</v>
      </c>
      <c r="O146" s="15" t="n">
        <f aca="false">SUMPRODUCT(E146:N146,1/(1+$F$130)^$E$3:$N$3)*$E$2</f>
        <v>9024.22387952713</v>
      </c>
      <c r="P146" s="15" t="n">
        <f aca="false">N146*$E$2*(1+$I$130)/($F$130-$I$130)/(1+$F$130)^$N$3</f>
        <v>13564.9179504076</v>
      </c>
      <c r="Q146" s="15" t="n">
        <f aca="false">O146+P146</f>
        <v>22589.1418299347</v>
      </c>
      <c r="R146" s="15" t="n">
        <f aca="false">Q146-$G$2+$I$2</f>
        <v>17289.2418299347</v>
      </c>
      <c r="S146" s="42" t="n">
        <f aca="false">R146/$K$2</f>
        <v>147.167533451947</v>
      </c>
      <c r="T146" s="43" t="n">
        <f aca="false">S146-$M$2</f>
        <v>-0.00645360968044884</v>
      </c>
    </row>
    <row r="147" customFormat="false" ht="15" hidden="false" customHeight="false" outlineLevel="0" collapsed="false">
      <c r="A147" s="5" t="n">
        <v>16</v>
      </c>
      <c r="B147" s="25" t="n">
        <f aca="false">IF(T146&gt;0,B146,D146)</f>
        <v>0.0108184814453125</v>
      </c>
      <c r="C147" s="25" t="n">
        <f aca="false">IF(T146&gt;0,D146,C146)</f>
        <v>0.0108642578125</v>
      </c>
      <c r="D147" s="41" t="n">
        <f aca="false">(B147+C147)/2</f>
        <v>0.0108413696289063</v>
      </c>
      <c r="E147" s="15" t="n">
        <f aca="false">$C$2*(1+IF(E$3&lt;=$O$2,$D147,$D147-($D147-$I$130)*MIN(E$3-$O$2,$Q$2)/$Q$2))</f>
        <v>6509.81842041016</v>
      </c>
      <c r="F147" s="15" t="n">
        <f aca="false">E147*(1+IF(F$3&lt;=$O$2,$D147,$D147-($D147-$I$130)*MIN(F$3-$O$2,$Q$2)/$Q$2))</f>
        <v>6580.39376812289</v>
      </c>
      <c r="G147" s="15" t="n">
        <f aca="false">F147*(1+IF(G$3&lt;=$O$2,$D147,$D147-($D147-$I$130)*MIN(G$3-$O$2,$Q$2)/$Q$2))</f>
        <v>6651.73424926686</v>
      </c>
      <c r="H147" s="15" t="n">
        <f aca="false">G147*(1+IF(H$3&lt;=$O$2,$D147,$D147-($D147-$I$130)*MIN(H$3-$O$2,$Q$2)/$Q$2))</f>
        <v>6723.84815893641</v>
      </c>
      <c r="I147" s="15" t="n">
        <f aca="false">H147*(1+IF(I$3&lt;=$O$2,$D147,$D147-($D147-$I$130)*MIN(I$3-$O$2,$Q$2)/$Q$2))</f>
        <v>6796.74388215608</v>
      </c>
      <c r="J147" s="15" t="n">
        <f aca="false">I147*(1+IF(J$3&lt;=$O$2,$D147,$D147-($D147-$I$130)*MIN(J$3-$O$2,$Q$2)/$Q$2))</f>
        <v>6900.95900657081</v>
      </c>
      <c r="K147" s="15" t="n">
        <f aca="false">J147*(1+IF(K$3&lt;=$O$2,$D147,$D147-($D147-$I$130)*MIN(K$3-$O$2,$Q$2)/$Q$2))</f>
        <v>7037.76928896884</v>
      </c>
      <c r="L147" s="15" t="n">
        <f aca="false">K147*(1+IF(L$3&lt;=$O$2,$D147,$D147-($D147-$I$130)*MIN(L$3-$O$2,$Q$2)/$Q$2))</f>
        <v>7208.9035426523</v>
      </c>
      <c r="M147" s="15" t="n">
        <f aca="false">L147*(1+IF(M$3&lt;=$O$2,$D147,$D147-($D147-$I$130)*MIN(M$3-$O$2,$Q$2)/$Q$2))</f>
        <v>7416.57961061357</v>
      </c>
      <c r="N147" s="15" t="n">
        <f aca="false">M147*(1+IF(N$3&lt;=$O$2,$D147,$D147-($D147-$I$130)*MIN(N$3-$O$2,$Q$2)/$Q$2))</f>
        <v>7663.551711647</v>
      </c>
      <c r="O147" s="15" t="n">
        <f aca="false">SUMPRODUCT(E147:N147,1/(1+$F$130)^$E$3:$N$3)*$E$2</f>
        <v>9025.12476285362</v>
      </c>
      <c r="P147" s="15" t="n">
        <f aca="false">N147*$E$2*(1+$I$130)/($F$130-$I$130)/(1+$F$130)^$N$3</f>
        <v>13567.0627671488</v>
      </c>
      <c r="Q147" s="15" t="n">
        <f aca="false">O147+P147</f>
        <v>22592.1875300024</v>
      </c>
      <c r="R147" s="15" t="n">
        <f aca="false">Q147-$G$2+$I$2</f>
        <v>17292.2875300024</v>
      </c>
      <c r="S147" s="42" t="n">
        <f aca="false">R147/$K$2</f>
        <v>147.193458716398</v>
      </c>
      <c r="T147" s="43" t="n">
        <f aca="false">S147-$M$2</f>
        <v>0.0194716547702001</v>
      </c>
    </row>
    <row r="148" customFormat="false" ht="15" hidden="false" customHeight="false" outlineLevel="0" collapsed="false">
      <c r="A148" s="5" t="n">
        <v>17</v>
      </c>
      <c r="B148" s="25" t="n">
        <f aca="false">IF(T147&gt;0,B147,D147)</f>
        <v>0.0108184814453125</v>
      </c>
      <c r="C148" s="25" t="n">
        <f aca="false">IF(T147&gt;0,D147,C147)</f>
        <v>0.0108413696289063</v>
      </c>
      <c r="D148" s="41" t="n">
        <f aca="false">(B148+C148)/2</f>
        <v>0.0108299255371094</v>
      </c>
      <c r="E148" s="15" t="n">
        <f aca="false">$C$2*(1+IF(E$3&lt;=$O$2,$D148,$D148-($D148-$I$130)*MIN(E$3-$O$2,$Q$2)/$Q$2))</f>
        <v>6509.74472045898</v>
      </c>
      <c r="F148" s="15" t="n">
        <f aca="false">E148*(1+IF(F$3&lt;=$O$2,$D148,$D148-($D148-$I$130)*MIN(F$3-$O$2,$Q$2)/$Q$2))</f>
        <v>6580.24477104715</v>
      </c>
      <c r="G148" s="15" t="n">
        <f aca="false">F148*(1+IF(G$3&lt;=$O$2,$D148,$D148-($D148-$I$130)*MIN(G$3-$O$2,$Q$2)/$Q$2))</f>
        <v>6651.50833193354</v>
      </c>
      <c r="H148" s="15" t="n">
        <f aca="false">G148*(1+IF(H$3&lt;=$O$2,$D148,$D148-($D148-$I$130)*MIN(H$3-$O$2,$Q$2)/$Q$2))</f>
        <v>6723.54367187784</v>
      </c>
      <c r="I148" s="15" t="n">
        <f aca="false">H148*(1+IF(I$3&lt;=$O$2,$D148,$D148-($D148-$I$130)*MIN(I$3-$O$2,$Q$2)/$Q$2))</f>
        <v>6796.35914918978</v>
      </c>
      <c r="J148" s="15" t="n">
        <f aca="false">I148*(1+IF(J$3&lt;=$O$2,$D148,$D148-($D148-$I$130)*MIN(J$3-$O$2,$Q$2)/$Q$2))</f>
        <v>6900.50615193073</v>
      </c>
      <c r="K148" s="15" t="n">
        <f aca="false">J148*(1+IF(K$3&lt;=$O$2,$D148,$D148-($D148-$I$130)*MIN(K$3-$O$2,$Q$2)/$Q$2))</f>
        <v>7037.26007455071</v>
      </c>
      <c r="L148" s="15" t="n">
        <f aca="false">K148*(1+IF(L$3&lt;=$O$2,$D148,$D148-($D148-$I$130)*MIN(L$3-$O$2,$Q$2)/$Q$2))</f>
        <v>7208.3497318773</v>
      </c>
      <c r="M148" s="15" t="n">
        <f aca="false">L148*(1+IF(M$3&lt;=$O$2,$D148,$D148-($D148-$I$130)*MIN(M$3-$O$2,$Q$2)/$Q$2))</f>
        <v>7415.99334690284</v>
      </c>
      <c r="N148" s="15" t="n">
        <f aca="false">M148*(1+IF(N$3&lt;=$O$2,$D148,$D148-($D148-$I$130)*MIN(N$3-$O$2,$Q$2)/$Q$2))</f>
        <v>7662.94592535471</v>
      </c>
      <c r="O148" s="15" t="n">
        <f aca="false">SUMPRODUCT(E148:N148,1/(1+$F$130)^$E$3:$N$3)*$E$2</f>
        <v>9024.67430972572</v>
      </c>
      <c r="P148" s="15" t="n">
        <f aca="false">N148*$E$2*(1+$I$130)/($F$130-$I$130)/(1+$F$130)^$N$3</f>
        <v>13565.9903217657</v>
      </c>
      <c r="Q148" s="15" t="n">
        <f aca="false">O148+P148</f>
        <v>22590.6646314914</v>
      </c>
      <c r="R148" s="15" t="n">
        <f aca="false">Q148-$G$2+$I$2</f>
        <v>17290.7646314914</v>
      </c>
      <c r="S148" s="42" t="n">
        <f aca="false">R148/$K$2</f>
        <v>147.180495671531</v>
      </c>
      <c r="T148" s="43" t="n">
        <f aca="false">S148-$M$2</f>
        <v>0.00650860990330671</v>
      </c>
    </row>
    <row r="149" customFormat="false" ht="15" hidden="false" customHeight="false" outlineLevel="0" collapsed="false">
      <c r="A149" s="5" t="n">
        <v>18</v>
      </c>
      <c r="B149" s="25" t="n">
        <f aca="false">IF(T148&gt;0,B148,D148)</f>
        <v>0.0108184814453125</v>
      </c>
      <c r="C149" s="25" t="n">
        <f aca="false">IF(T148&gt;0,D148,C148)</f>
        <v>0.0108299255371094</v>
      </c>
      <c r="D149" s="41" t="n">
        <f aca="false">(B149+C149)/2</f>
        <v>0.0108242034912109</v>
      </c>
      <c r="E149" s="15" t="n">
        <f aca="false">$C$2*(1+IF(E$3&lt;=$O$2,$D149,$D149-($D149-$I$130)*MIN(E$3-$O$2,$Q$2)/$Q$2))</f>
        <v>6509.7078704834</v>
      </c>
      <c r="F149" s="15" t="n">
        <f aca="false">E149*(1+IF(F$3&lt;=$O$2,$D149,$D149-($D149-$I$130)*MIN(F$3-$O$2,$Q$2)/$Q$2))</f>
        <v>6580.17027314185</v>
      </c>
      <c r="G149" s="15" t="n">
        <f aca="false">F149*(1+IF(G$3&lt;=$O$2,$D149,$D149-($D149-$I$130)*MIN(G$3-$O$2,$Q$2)/$Q$2))</f>
        <v>6651.39537518515</v>
      </c>
      <c r="H149" s="15" t="n">
        <f aca="false">G149*(1+IF(H$3&lt;=$O$2,$D149,$D149-($D149-$I$130)*MIN(H$3-$O$2,$Q$2)/$Q$2))</f>
        <v>6723.39143222666</v>
      </c>
      <c r="I149" s="15" t="n">
        <f aca="false">H149*(1+IF(I$3&lt;=$O$2,$D149,$D149-($D149-$I$130)*MIN(I$3-$O$2,$Q$2)/$Q$2))</f>
        <v>6796.16678924014</v>
      </c>
      <c r="J149" s="15" t="n">
        <f aca="false">I149*(1+IF(J$3&lt;=$O$2,$D149,$D149-($D149-$I$130)*MIN(J$3-$O$2,$Q$2)/$Q$2))</f>
        <v>6900.27973388604</v>
      </c>
      <c r="K149" s="15" t="n">
        <f aca="false">J149*(1+IF(K$3&lt;=$O$2,$D149,$D149-($D149-$I$130)*MIN(K$3-$O$2,$Q$2)/$Q$2))</f>
        <v>7037.00547913292</v>
      </c>
      <c r="L149" s="15" t="n">
        <f aca="false">K149*(1+IF(L$3&lt;=$O$2,$D149,$D149-($D149-$I$130)*MIN(L$3-$O$2,$Q$2)/$Q$2))</f>
        <v>7208.07284031595</v>
      </c>
      <c r="M149" s="15" t="n">
        <f aca="false">L149*(1+IF(M$3&lt;=$O$2,$D149,$D149-($D149-$I$130)*MIN(M$3-$O$2,$Q$2)/$Q$2))</f>
        <v>7415.70023022258</v>
      </c>
      <c r="N149" s="15" t="n">
        <f aca="false">M149*(1+IF(N$3&lt;=$O$2,$D149,$D149-($D149-$I$130)*MIN(N$3-$O$2,$Q$2)/$Q$2))</f>
        <v>7662.64304788899</v>
      </c>
      <c r="O149" s="15" t="n">
        <f aca="false">SUMPRODUCT(E149:N149,1/(1+$F$130)^$E$3:$N$3)*$E$2</f>
        <v>9024.44909176033</v>
      </c>
      <c r="P149" s="15" t="n">
        <f aca="false">N149*$E$2*(1+$I$130)/($F$130-$I$130)/(1+$F$130)^$N$3</f>
        <v>13565.4541268338</v>
      </c>
      <c r="Q149" s="15" t="n">
        <f aca="false">O149+P149</f>
        <v>22589.9032185942</v>
      </c>
      <c r="R149" s="15" t="n">
        <f aca="false">Q149-$G$2+$I$2</f>
        <v>17290.0032185942</v>
      </c>
      <c r="S149" s="42" t="n">
        <f aca="false">R149/$K$2</f>
        <v>147.174014458581</v>
      </c>
      <c r="T149" s="43" t="n">
        <f aca="false">S149-$M$2</f>
        <v>2.73969539250629E-005</v>
      </c>
    </row>
    <row r="150" customFormat="false" ht="15" hidden="false" customHeight="false" outlineLevel="0" collapsed="false">
      <c r="A150" s="5" t="n">
        <v>19</v>
      </c>
      <c r="B150" s="25" t="n">
        <f aca="false">IF(T149&gt;0,B149,D149)</f>
        <v>0.0108184814453125</v>
      </c>
      <c r="C150" s="25" t="n">
        <f aca="false">IF(T149&gt;0,D149,C149)</f>
        <v>0.0108242034912109</v>
      </c>
      <c r="D150" s="41" t="n">
        <f aca="false">(B150+C150)/2</f>
        <v>0.0108213424682617</v>
      </c>
      <c r="E150" s="15" t="n">
        <f aca="false">$C$2*(1+IF(E$3&lt;=$O$2,$D150,$D150-($D150-$I$130)*MIN(E$3-$O$2,$Q$2)/$Q$2))</f>
        <v>6509.68944549561</v>
      </c>
      <c r="F150" s="15" t="n">
        <f aca="false">E150*(1+IF(F$3&lt;=$O$2,$D150,$D150-($D150-$I$130)*MIN(F$3-$O$2,$Q$2)/$Q$2))</f>
        <v>6580.13302434734</v>
      </c>
      <c r="G150" s="15" t="n">
        <f aca="false">F150*(1+IF(G$3&lt;=$O$2,$D150,$D150-($D150-$I$130)*MIN(G$3-$O$2,$Q$2)/$Q$2))</f>
        <v>6651.33889729052</v>
      </c>
      <c r="H150" s="15" t="n">
        <f aca="false">G150*(1+IF(H$3&lt;=$O$2,$D150,$D150-($D150-$I$130)*MIN(H$3-$O$2,$Q$2)/$Q$2))</f>
        <v>6723.31531337058</v>
      </c>
      <c r="I150" s="15" t="n">
        <f aca="false">H150*(1+IF(I$3&lt;=$O$2,$D150,$D150-($D150-$I$130)*MIN(I$3-$O$2,$Q$2)/$Q$2))</f>
        <v>6796.07061089867</v>
      </c>
      <c r="J150" s="15" t="n">
        <f aca="false">I150*(1+IF(J$3&lt;=$O$2,$D150,$D150-($D150-$I$130)*MIN(J$3-$O$2,$Q$2)/$Q$2))</f>
        <v>6900.16652718247</v>
      </c>
      <c r="K150" s="15" t="n">
        <f aca="false">J150*(1+IF(K$3&lt;=$O$2,$D150,$D150-($D150-$I$130)*MIN(K$3-$O$2,$Q$2)/$Q$2))</f>
        <v>7036.87818437175</v>
      </c>
      <c r="L150" s="15" t="n">
        <f aca="false">K150*(1+IF(L$3&lt;=$O$2,$D150,$D150-($D150-$I$130)*MIN(L$3-$O$2,$Q$2)/$Q$2))</f>
        <v>7207.9343979917</v>
      </c>
      <c r="M150" s="15" t="n">
        <f aca="false">L150*(1+IF(M$3&lt;=$O$2,$D150,$D150-($D150-$I$130)*MIN(M$3-$O$2,$Q$2)/$Q$2))</f>
        <v>7415.55367567609</v>
      </c>
      <c r="N150" s="15" t="n">
        <f aca="false">M150*(1+IF(N$3&lt;=$O$2,$D150,$D150-($D150-$I$130)*MIN(N$3-$O$2,$Q$2)/$Q$2))</f>
        <v>7662.4916130761</v>
      </c>
      <c r="O150" s="15" t="n">
        <f aca="false">SUMPRODUCT(E150:N150,1/(1+$F$130)^$E$3:$N$3)*$E$2</f>
        <v>9024.33648492721</v>
      </c>
      <c r="P150" s="15" t="n">
        <f aca="false">N150*$E$2*(1+$I$130)/($F$130-$I$130)/(1+$F$130)^$N$3</f>
        <v>13565.1860363075</v>
      </c>
      <c r="Q150" s="15" t="n">
        <f aca="false">O150+P150</f>
        <v>22589.5225212348</v>
      </c>
      <c r="R150" s="15" t="n">
        <f aca="false">Q150-$G$2+$I$2</f>
        <v>17289.6225212348</v>
      </c>
      <c r="S150" s="42" t="n">
        <f aca="false">R150/$K$2</f>
        <v>147.170773929475</v>
      </c>
      <c r="T150" s="43" t="n">
        <f aca="false">S150-$M$2</f>
        <v>-0.00321313215229679</v>
      </c>
    </row>
    <row r="151" customFormat="false" ht="15" hidden="false" customHeight="false" outlineLevel="0" collapsed="false">
      <c r="A151" s="5" t="n">
        <v>20</v>
      </c>
      <c r="B151" s="25" t="n">
        <f aca="false">IF(T150&gt;0,B150,D150)</f>
        <v>0.0108213424682617</v>
      </c>
      <c r="C151" s="25" t="n">
        <f aca="false">IF(T150&gt;0,D150,C150)</f>
        <v>0.0108242034912109</v>
      </c>
      <c r="D151" s="41" t="n">
        <f aca="false">(B151+C151)/2</f>
        <v>0.0108227729797363</v>
      </c>
      <c r="E151" s="15" t="n">
        <f aca="false">$C$2*(1+IF(E$3&lt;=$O$2,$D151,$D151-($D151-$I$130)*MIN(E$3-$O$2,$Q$2)/$Q$2))</f>
        <v>6509.6986579895</v>
      </c>
      <c r="F151" s="15" t="n">
        <f aca="false">E151*(1+IF(F$3&lt;=$O$2,$D151,$D151-($D151-$I$130)*MIN(F$3-$O$2,$Q$2)/$Q$2))</f>
        <v>6580.15164873142</v>
      </c>
      <c r="G151" s="15" t="n">
        <f aca="false">F151*(1+IF(G$3&lt;=$O$2,$D151,$D151-($D151-$I$130)*MIN(G$3-$O$2,$Q$2)/$Q$2))</f>
        <v>6651.36713619787</v>
      </c>
      <c r="H151" s="15" t="n">
        <f aca="false">G151*(1+IF(H$3&lt;=$O$2,$D151,$D151-($D151-$I$130)*MIN(H$3-$O$2,$Q$2)/$Q$2))</f>
        <v>6723.35337271782</v>
      </c>
      <c r="I151" s="15" t="n">
        <f aca="false">H151*(1+IF(I$3&lt;=$O$2,$D151,$D151-($D151-$I$130)*MIN(I$3-$O$2,$Q$2)/$Q$2))</f>
        <v>6796.11869993329</v>
      </c>
      <c r="J151" s="15" t="n">
        <f aca="false">I151*(1+IF(J$3&lt;=$O$2,$D151,$D151-($D151-$I$130)*MIN(J$3-$O$2,$Q$2)/$Q$2))</f>
        <v>6900.22313034102</v>
      </c>
      <c r="K151" s="15" t="n">
        <f aca="false">J151*(1+IF(K$3&lt;=$O$2,$D151,$D151-($D151-$I$130)*MIN(K$3-$O$2,$Q$2)/$Q$2))</f>
        <v>7036.94183150669</v>
      </c>
      <c r="L151" s="15" t="n">
        <f aca="false">K151*(1+IF(L$3&lt;=$O$2,$D151,$D151-($D151-$I$130)*MIN(L$3-$O$2,$Q$2)/$Q$2))</f>
        <v>7208.0036188658</v>
      </c>
      <c r="M151" s="15" t="n">
        <f aca="false">L151*(1+IF(M$3&lt;=$O$2,$D151,$D151-($D151-$I$130)*MIN(M$3-$O$2,$Q$2)/$Q$2))</f>
        <v>7415.6269526332</v>
      </c>
      <c r="N151" s="15" t="n">
        <f aca="false">M151*(1+IF(N$3&lt;=$O$2,$D151,$D151-($D151-$I$130)*MIN(N$3-$O$2,$Q$2)/$Q$2))</f>
        <v>7662.56733015589</v>
      </c>
      <c r="O151" s="15" t="n">
        <f aca="false">SUMPRODUCT(E151:N151,1/(1+$F$130)^$E$3:$N$3)*$E$2</f>
        <v>9024.39278816464</v>
      </c>
      <c r="P151" s="15" t="n">
        <f aca="false">N151*$E$2*(1+$I$130)/($F$130-$I$130)/(1+$F$130)^$N$3</f>
        <v>13565.3200809924</v>
      </c>
      <c r="Q151" s="15" t="n">
        <f aca="false">O151+P151</f>
        <v>22589.712869157</v>
      </c>
      <c r="R151" s="15" t="n">
        <f aca="false">Q151-$G$2+$I$2</f>
        <v>17289.812869157</v>
      </c>
      <c r="S151" s="42" t="n">
        <f aca="false">R151/$K$2</f>
        <v>147.172394187581</v>
      </c>
      <c r="T151" s="43" t="n">
        <f aca="false">S151-$M$2</f>
        <v>-0.00159287404648012</v>
      </c>
    </row>
    <row r="152" customFormat="false" ht="15" hidden="false" customHeight="false" outlineLevel="0" collapsed="false">
      <c r="A152" s="5" t="n">
        <v>21</v>
      </c>
      <c r="B152" s="25" t="n">
        <f aca="false">IF(T151&gt;0,B151,D151)</f>
        <v>0.0108227729797363</v>
      </c>
      <c r="C152" s="25" t="n">
        <f aca="false">IF(T151&gt;0,D151,C151)</f>
        <v>0.0108242034912109</v>
      </c>
      <c r="D152" s="41" t="n">
        <f aca="false">(B152+C152)/2</f>
        <v>0.0108234882354736</v>
      </c>
      <c r="E152" s="15" t="n">
        <f aca="false">$C$2*(1+IF(E$3&lt;=$O$2,$D152,$D152-($D152-$I$130)*MIN(E$3-$O$2,$Q$2)/$Q$2))</f>
        <v>6509.70326423645</v>
      </c>
      <c r="F152" s="15" t="n">
        <f aca="false">E152*(1+IF(F$3&lt;=$O$2,$D152,$D152-($D152-$I$130)*MIN(F$3-$O$2,$Q$2)/$Q$2))</f>
        <v>6580.16096093334</v>
      </c>
      <c r="G152" s="15" t="n">
        <f aca="false">F152*(1+IF(G$3&lt;=$O$2,$D152,$D152-($D152-$I$130)*MIN(G$3-$O$2,$Q$2)/$Q$2))</f>
        <v>6651.38125568152</v>
      </c>
      <c r="H152" s="15" t="n">
        <f aca="false">G152*(1+IF(H$3&lt;=$O$2,$D152,$D152-($D152-$I$130)*MIN(H$3-$O$2,$Q$2)/$Q$2))</f>
        <v>6723.37240245204</v>
      </c>
      <c r="I152" s="15" t="n">
        <f aca="false">H152*(1+IF(I$3&lt;=$O$2,$D152,$D152-($D152-$I$130)*MIN(I$3-$O$2,$Q$2)/$Q$2))</f>
        <v>6796.14274455269</v>
      </c>
      <c r="J152" s="15" t="n">
        <f aca="false">I152*(1+IF(J$3&lt;=$O$2,$D152,$D152-($D152-$I$130)*MIN(J$3-$O$2,$Q$2)/$Q$2))</f>
        <v>6900.25143206522</v>
      </c>
      <c r="K152" s="15" t="n">
        <f aca="false">J152*(1+IF(K$3&lt;=$O$2,$D152,$D152-($D152-$I$130)*MIN(K$3-$O$2,$Q$2)/$Q$2))</f>
        <v>7036.97365525839</v>
      </c>
      <c r="L152" s="15" t="n">
        <f aca="false">K152*(1+IF(L$3&lt;=$O$2,$D152,$D152-($D152-$I$130)*MIN(L$3-$O$2,$Q$2)/$Q$2))</f>
        <v>7208.03822951887</v>
      </c>
      <c r="M152" s="15" t="n">
        <f aca="false">L152*(1+IF(M$3&lt;=$O$2,$D152,$D152-($D152-$I$130)*MIN(M$3-$O$2,$Q$2)/$Q$2))</f>
        <v>7415.66359134886</v>
      </c>
      <c r="N152" s="15" t="n">
        <f aca="false">M152*(1+IF(N$3&lt;=$O$2,$D152,$D152-($D152-$I$130)*MIN(N$3-$O$2,$Q$2)/$Q$2))</f>
        <v>7662.60518894078</v>
      </c>
      <c r="O152" s="15" t="n">
        <f aca="false">SUMPRODUCT(E152:N152,1/(1+$F$130)^$E$3:$N$3)*$E$2</f>
        <v>9024.4209399177</v>
      </c>
      <c r="P152" s="15" t="n">
        <f aca="false">N152*$E$2*(1+$I$130)/($F$130-$I$130)/(1+$F$130)^$N$3</f>
        <v>13565.3871037685</v>
      </c>
      <c r="Q152" s="15" t="n">
        <f aca="false">O152+P152</f>
        <v>22589.8080436862</v>
      </c>
      <c r="R152" s="15" t="n">
        <f aca="false">Q152-$G$2+$I$2</f>
        <v>17289.9080436862</v>
      </c>
      <c r="S152" s="42" t="n">
        <f aca="false">R152/$K$2</f>
        <v>147.173204321469</v>
      </c>
      <c r="T152" s="43" t="n">
        <f aca="false">S152-$M$2</f>
        <v>-0.000782740158086881</v>
      </c>
    </row>
    <row r="153" customFormat="false" ht="15" hidden="false" customHeight="false" outlineLevel="0" collapsed="false">
      <c r="A153" s="5" t="n">
        <v>22</v>
      </c>
      <c r="B153" s="25" t="n">
        <f aca="false">IF(T152&gt;0,B152,D152)</f>
        <v>0.0108234882354736</v>
      </c>
      <c r="C153" s="25" t="n">
        <f aca="false">IF(T152&gt;0,D152,C152)</f>
        <v>0.0108242034912109</v>
      </c>
      <c r="D153" s="41" t="n">
        <f aca="false">(B153+C153)/2</f>
        <v>0.0108238458633423</v>
      </c>
      <c r="E153" s="15" t="n">
        <f aca="false">$C$2*(1+IF(E$3&lt;=$O$2,$D153,$D153-($D153-$I$130)*MIN(E$3-$O$2,$Q$2)/$Q$2))</f>
        <v>6509.70556735992</v>
      </c>
      <c r="F153" s="15" t="n">
        <f aca="false">E153*(1+IF(F$3&lt;=$O$2,$D153,$D153-($D153-$I$130)*MIN(F$3-$O$2,$Q$2)/$Q$2))</f>
        <v>6580.16561703677</v>
      </c>
      <c r="G153" s="15" t="n">
        <f aca="false">F153*(1+IF(G$3&lt;=$O$2,$D153,$D153-($D153-$I$130)*MIN(G$3-$O$2,$Q$2)/$Q$2))</f>
        <v>6651.38831543084</v>
      </c>
      <c r="H153" s="15" t="n">
        <f aca="false">G153*(1+IF(H$3&lt;=$O$2,$D153,$D153-($D153-$I$130)*MIN(H$3-$O$2,$Q$2)/$Q$2))</f>
        <v>6723.3819173343</v>
      </c>
      <c r="I153" s="15" t="n">
        <f aca="false">H153*(1+IF(I$3&lt;=$O$2,$D153,$D153-($D153-$I$130)*MIN(I$3-$O$2,$Q$2)/$Q$2))</f>
        <v>6796.15476688791</v>
      </c>
      <c r="J153" s="15" t="n">
        <f aca="false">I153*(1+IF(J$3&lt;=$O$2,$D153,$D153-($D153-$I$130)*MIN(J$3-$O$2,$Q$2)/$Q$2))</f>
        <v>6900.26558296355</v>
      </c>
      <c r="K153" s="15" t="n">
        <f aca="false">J153*(1+IF(K$3&lt;=$O$2,$D153,$D153-($D153-$I$130)*MIN(K$3-$O$2,$Q$2)/$Q$2))</f>
        <v>7036.9895671803</v>
      </c>
      <c r="L153" s="15" t="n">
        <f aca="false">K153*(1+IF(L$3&lt;=$O$2,$D153,$D153-($D153-$I$130)*MIN(L$3-$O$2,$Q$2)/$Q$2))</f>
        <v>7208.05553489941</v>
      </c>
      <c r="M153" s="15" t="n">
        <f aca="false">L153*(1+IF(M$3&lt;=$O$2,$D153,$D153-($D153-$I$130)*MIN(M$3-$O$2,$Q$2)/$Q$2))</f>
        <v>7415.68191076596</v>
      </c>
      <c r="N153" s="15" t="n">
        <f aca="false">M153*(1+IF(N$3&lt;=$O$2,$D153,$D153-($D153-$I$130)*MIN(N$3-$O$2,$Q$2)/$Q$2))</f>
        <v>7662.62411839447</v>
      </c>
      <c r="O153" s="15" t="n">
        <f aca="false">SUMPRODUCT(E153:N153,1/(1+$F$130)^$E$3:$N$3)*$E$2</f>
        <v>9024.43501582782</v>
      </c>
      <c r="P153" s="15" t="n">
        <f aca="false">N153*$E$2*(1+$I$130)/($F$130-$I$130)/(1+$F$130)^$N$3</f>
        <v>13565.420615265</v>
      </c>
      <c r="Q153" s="15" t="n">
        <f aca="false">O153+P153</f>
        <v>22589.8556310929</v>
      </c>
      <c r="R153" s="15" t="n">
        <f aca="false">Q153-$G$2+$I$2</f>
        <v>17289.9556310929</v>
      </c>
      <c r="S153" s="42" t="n">
        <f aca="false">R153/$K$2</f>
        <v>147.173609389623</v>
      </c>
      <c r="T153" s="43" t="n">
        <f aca="false">S153-$M$2</f>
        <v>-0.000377672005015484</v>
      </c>
    </row>
    <row r="154" customFormat="false" ht="15" hidden="false" customHeight="false" outlineLevel="0" collapsed="false">
      <c r="A154" s="5" t="n">
        <v>23</v>
      </c>
      <c r="B154" s="25" t="n">
        <f aca="false">IF(T153&gt;0,B153,D153)</f>
        <v>0.0108238458633423</v>
      </c>
      <c r="C154" s="25" t="n">
        <f aca="false">IF(T153&gt;0,D153,C153)</f>
        <v>0.0108242034912109</v>
      </c>
      <c r="D154" s="41" t="n">
        <f aca="false">(B154+C154)/2</f>
        <v>0.0108240246772766</v>
      </c>
      <c r="E154" s="15" t="n">
        <f aca="false">$C$2*(1+IF(E$3&lt;=$O$2,$D154,$D154-($D154-$I$130)*MIN(E$3-$O$2,$Q$2)/$Q$2))</f>
        <v>6509.70671892166</v>
      </c>
      <c r="F154" s="15" t="n">
        <f aca="false">E154*(1+IF(F$3&lt;=$O$2,$D154,$D154-($D154-$I$130)*MIN(F$3-$O$2,$Q$2)/$Q$2))</f>
        <v>6580.1679450891</v>
      </c>
      <c r="G154" s="15" t="n">
        <f aca="false">F154*(1+IF(G$3&lt;=$O$2,$D154,$D154-($D154-$I$130)*MIN(G$3-$O$2,$Q$2)/$Q$2))</f>
        <v>6651.39184530737</v>
      </c>
      <c r="H154" s="15" t="n">
        <f aca="false">G154*(1+IF(H$3&lt;=$O$2,$D154,$D154-($D154-$I$130)*MIN(H$3-$O$2,$Q$2)/$Q$2))</f>
        <v>6723.38667477921</v>
      </c>
      <c r="I154" s="15" t="n">
        <f aca="false">H154*(1+IF(I$3&lt;=$O$2,$D154,$D154-($D154-$I$130)*MIN(I$3-$O$2,$Q$2)/$Q$2))</f>
        <v>6796.1607780619</v>
      </c>
      <c r="J154" s="15" t="n">
        <f aca="false">I154*(1+IF(J$3&lt;=$O$2,$D154,$D154-($D154-$I$130)*MIN(J$3-$O$2,$Q$2)/$Q$2))</f>
        <v>6900.27265842177</v>
      </c>
      <c r="K154" s="15" t="n">
        <f aca="false">J154*(1+IF(K$3&lt;=$O$2,$D154,$D154-($D154-$I$130)*MIN(K$3-$O$2,$Q$2)/$Q$2))</f>
        <v>7036.99752315277</v>
      </c>
      <c r="L154" s="15" t="n">
        <f aca="false">K154*(1+IF(L$3&lt;=$O$2,$D154,$D154-($D154-$I$130)*MIN(L$3-$O$2,$Q$2)/$Q$2))</f>
        <v>7208.06418760318</v>
      </c>
      <c r="M154" s="15" t="n">
        <f aca="false">L154*(1+IF(M$3&lt;=$O$2,$D154,$D154-($D154-$I$130)*MIN(M$3-$O$2,$Q$2)/$Q$2))</f>
        <v>7415.69107048933</v>
      </c>
      <c r="N154" s="15" t="n">
        <f aca="false">M154*(1+IF(N$3&lt;=$O$2,$D154,$D154-($D154-$I$130)*MIN(N$3-$O$2,$Q$2)/$Q$2))</f>
        <v>7662.63358313662</v>
      </c>
      <c r="O154" s="15" t="n">
        <f aca="false">SUMPRODUCT(E154:N154,1/(1+$F$130)^$E$3:$N$3)*$E$2</f>
        <v>9024.44205379127</v>
      </c>
      <c r="P154" s="15" t="n">
        <f aca="false">N154*$E$2*(1+$I$130)/($F$130-$I$130)/(1+$F$130)^$N$3</f>
        <v>13565.4373710404</v>
      </c>
      <c r="Q154" s="15" t="n">
        <f aca="false">O154+P154</f>
        <v>22589.8794248317</v>
      </c>
      <c r="R154" s="15" t="n">
        <f aca="false">Q154-$G$2+$I$2</f>
        <v>17289.9794248317</v>
      </c>
      <c r="S154" s="42" t="n">
        <f aca="false">R154/$K$2</f>
        <v>147.173811924001</v>
      </c>
      <c r="T154" s="43" t="n">
        <f aca="false">S154-$M$2</f>
        <v>-0.000175137626314381</v>
      </c>
    </row>
    <row r="155" customFormat="false" ht="15" hidden="false" customHeight="false" outlineLevel="0" collapsed="false">
      <c r="A155" s="5" t="n">
        <v>24</v>
      </c>
      <c r="B155" s="25" t="n">
        <f aca="false">IF(T154&gt;0,B154,D154)</f>
        <v>0.0108240246772766</v>
      </c>
      <c r="C155" s="25" t="n">
        <f aca="false">IF(T154&gt;0,D154,C154)</f>
        <v>0.0108242034912109</v>
      </c>
      <c r="D155" s="41" t="n">
        <f aca="false">(B155+C155)/2</f>
        <v>0.0108241140842438</v>
      </c>
      <c r="E155" s="15" t="n">
        <f aca="false">$C$2*(1+IF(E$3&lt;=$O$2,$D155,$D155-($D155-$I$130)*MIN(E$3-$O$2,$Q$2)/$Q$2))</f>
        <v>6509.70729470253</v>
      </c>
      <c r="F155" s="15" t="n">
        <f aca="false">E155*(1+IF(F$3&lt;=$O$2,$D155,$D155-($D155-$I$130)*MIN(F$3-$O$2,$Q$2)/$Q$2))</f>
        <v>6580.16910911542</v>
      </c>
      <c r="G155" s="15" t="n">
        <f aca="false">F155*(1+IF(G$3&lt;=$O$2,$D155,$D155-($D155-$I$130)*MIN(G$3-$O$2,$Q$2)/$Q$2))</f>
        <v>6651.39361024611</v>
      </c>
      <c r="H155" s="15" t="n">
        <f aca="false">G155*(1+IF(H$3&lt;=$O$2,$D155,$D155-($D155-$I$130)*MIN(H$3-$O$2,$Q$2)/$Q$2))</f>
        <v>6723.38905350262</v>
      </c>
      <c r="I155" s="15" t="n">
        <f aca="false">H155*(1+IF(I$3&lt;=$O$2,$D155,$D155-($D155-$I$130)*MIN(I$3-$O$2,$Q$2)/$Q$2))</f>
        <v>6796.16378365049</v>
      </c>
      <c r="J155" s="15" t="n">
        <f aca="false">I155*(1+IF(J$3&lt;=$O$2,$D155,$D155-($D155-$I$130)*MIN(J$3-$O$2,$Q$2)/$Q$2))</f>
        <v>6900.27619615315</v>
      </c>
      <c r="K155" s="15" t="n">
        <f aca="false">J155*(1+IF(K$3&lt;=$O$2,$D155,$D155-($D155-$I$130)*MIN(K$3-$O$2,$Q$2)/$Q$2))</f>
        <v>7037.00150114188</v>
      </c>
      <c r="L155" s="15" t="n">
        <f aca="false">K155*(1+IF(L$3&lt;=$O$2,$D155,$D155-($D155-$I$130)*MIN(L$3-$O$2,$Q$2)/$Q$2))</f>
        <v>7208.06851395844</v>
      </c>
      <c r="M155" s="15" t="n">
        <f aca="false">L155*(1+IF(M$3&lt;=$O$2,$D155,$D155-($D155-$I$130)*MIN(M$3-$O$2,$Q$2)/$Q$2))</f>
        <v>7415.69565035472</v>
      </c>
      <c r="N155" s="15" t="n">
        <f aca="false">M155*(1+IF(N$3&lt;=$O$2,$D155,$D155-($D155-$I$130)*MIN(N$3-$O$2,$Q$2)/$Q$2))</f>
        <v>7662.63831551153</v>
      </c>
      <c r="O155" s="15" t="n">
        <f aca="false">SUMPRODUCT(E155:N155,1/(1+$F$130)^$E$3:$N$3)*$E$2</f>
        <v>9024.4455727751</v>
      </c>
      <c r="P155" s="15" t="n">
        <f aca="false">N155*$E$2*(1+$I$130)/($F$130-$I$130)/(1+$F$130)^$N$3</f>
        <v>13565.4457489348</v>
      </c>
      <c r="Q155" s="15" t="n">
        <f aca="false">O155+P155</f>
        <v>22589.89132171</v>
      </c>
      <c r="R155" s="15" t="n">
        <f aca="false">Q155-$G$2+$I$2</f>
        <v>17289.99132171</v>
      </c>
      <c r="S155" s="42" t="n">
        <f aca="false">R155/$K$2</f>
        <v>147.173913191266</v>
      </c>
      <c r="T155" s="43" t="n">
        <f aca="false">S155-$M$2</f>
        <v>-7.3870361347872E-005</v>
      </c>
    </row>
    <row r="157" customFormat="false" ht="15" hidden="false" customHeight="false" outlineLevel="0" collapsed="false">
      <c r="A157" s="38" t="s">
        <v>185</v>
      </c>
      <c r="E157" s="5" t="s">
        <v>11</v>
      </c>
      <c r="F157" s="12" t="n">
        <f aca="false">Sensitivity!$B$10</f>
        <v>0.0849886567315273</v>
      </c>
      <c r="G157" s="5" t="s">
        <v>12</v>
      </c>
      <c r="I157" s="12" t="n">
        <f aca="false">Sensitivity!$G$9</f>
        <v>0.0383</v>
      </c>
    </row>
    <row r="158" customFormat="false" ht="23.85" hidden="false" customHeight="false" outlineLevel="0" collapsed="false">
      <c r="A158" s="38" t="s">
        <v>161</v>
      </c>
      <c r="B158" s="28" t="s">
        <v>162</v>
      </c>
      <c r="C158" s="28" t="s">
        <v>163</v>
      </c>
      <c r="D158" s="28" t="s">
        <v>164</v>
      </c>
      <c r="E158" s="28" t="s">
        <v>165</v>
      </c>
      <c r="F158" s="28" t="s">
        <v>166</v>
      </c>
      <c r="G158" s="28" t="s">
        <v>167</v>
      </c>
      <c r="H158" s="28" t="s">
        <v>168</v>
      </c>
      <c r="I158" s="28" t="s">
        <v>169</v>
      </c>
      <c r="J158" s="28" t="s">
        <v>170</v>
      </c>
      <c r="K158" s="28" t="s">
        <v>171</v>
      </c>
      <c r="L158" s="28" t="s">
        <v>172</v>
      </c>
      <c r="M158" s="28" t="s">
        <v>173</v>
      </c>
      <c r="N158" s="28" t="s">
        <v>174</v>
      </c>
      <c r="O158" s="28" t="s">
        <v>175</v>
      </c>
      <c r="P158" s="28" t="s">
        <v>176</v>
      </c>
      <c r="Q158" s="28" t="s">
        <v>177</v>
      </c>
      <c r="R158" s="28" t="s">
        <v>178</v>
      </c>
      <c r="S158" s="28" t="s">
        <v>179</v>
      </c>
      <c r="T158" s="28" t="s">
        <v>180</v>
      </c>
    </row>
    <row r="159" customFormat="false" ht="15" hidden="false" customHeight="false" outlineLevel="0" collapsed="false">
      <c r="A159" s="5" t="n">
        <v>1</v>
      </c>
      <c r="B159" s="24" t="n">
        <v>-0.5</v>
      </c>
      <c r="C159" s="24" t="n">
        <v>1</v>
      </c>
      <c r="D159" s="41" t="n">
        <f aca="false">(B159+C159)/2</f>
        <v>0.25</v>
      </c>
      <c r="E159" s="15" t="n">
        <f aca="false">$C$2*(1+IF(E$3&lt;=$O$2,$D159,$D159-($D159-$I$157)*MIN(E$3-$O$2,$Q$2)/$Q$2))</f>
        <v>8050</v>
      </c>
      <c r="F159" s="15" t="n">
        <f aca="false">E159*(1+IF(F$3&lt;=$O$2,$D159,$D159-($D159-$I$157)*MIN(F$3-$O$2,$Q$2)/$Q$2))</f>
        <v>10062.5</v>
      </c>
      <c r="G159" s="15" t="n">
        <f aca="false">F159*(1+IF(G$3&lt;=$O$2,$D159,$D159-($D159-$I$157)*MIN(G$3-$O$2,$Q$2)/$Q$2))</f>
        <v>12578.125</v>
      </c>
      <c r="H159" s="15" t="n">
        <f aca="false">G159*(1+IF(H$3&lt;=$O$2,$D159,$D159-($D159-$I$157)*MIN(H$3-$O$2,$Q$2)/$Q$2))</f>
        <v>15722.65625</v>
      </c>
      <c r="I159" s="15" t="n">
        <f aca="false">H159*(1+IF(I$3&lt;=$O$2,$D159,$D159-($D159-$I$157)*MIN(I$3-$O$2,$Q$2)/$Q$2))</f>
        <v>19653.3203125</v>
      </c>
      <c r="J159" s="15" t="n">
        <f aca="false">I159*(1+IF(J$3&lt;=$O$2,$D159,$D159-($D159-$I$157)*MIN(J$3-$O$2,$Q$2)/$Q$2))</f>
        <v>23734.5288085938</v>
      </c>
      <c r="K159" s="15" t="n">
        <f aca="false">J159*(1+IF(K$3&lt;=$O$2,$D159,$D159-($D159-$I$157)*MIN(K$3-$O$2,$Q$2)/$Q$2))</f>
        <v>27658.3211112305</v>
      </c>
      <c r="L159" s="15" t="n">
        <f aca="false">K159*(1+IF(L$3&lt;=$O$2,$D159,$D159-($D159-$I$157)*MIN(L$3-$O$2,$Q$2)/$Q$2))</f>
        <v>31059.7414414896</v>
      </c>
      <c r="M159" s="15" t="n">
        <f aca="false">L159*(1+IF(M$3&lt;=$O$2,$D159,$D159-($D159-$I$157)*MIN(M$3-$O$2,$Q$2)/$Q$2))</f>
        <v>33564.3989913313</v>
      </c>
      <c r="N159" s="15" t="n">
        <f aca="false">M159*(1+IF(N$3&lt;=$O$2,$D159,$D159-($D159-$I$157)*MIN(N$3-$O$2,$Q$2)/$Q$2))</f>
        <v>34849.9154726993</v>
      </c>
      <c r="O159" s="15" t="n">
        <f aca="false">SUMPRODUCT(E159:N159,1/(1+$F$157)^$E$3:$N$3)*$E$2</f>
        <v>25647.0379656182</v>
      </c>
      <c r="P159" s="15" t="n">
        <f aca="false">N159*$E$2*(1+$I$157)/($F$157-$I$157)/(1+$F$157)^$N$3</f>
        <v>68633.7553905105</v>
      </c>
      <c r="Q159" s="15" t="n">
        <f aca="false">O159+P159</f>
        <v>94280.7933561287</v>
      </c>
      <c r="R159" s="15" t="n">
        <f aca="false">Q159-$G$2+$I$2</f>
        <v>88980.8933561287</v>
      </c>
      <c r="S159" s="42" t="n">
        <f aca="false">R159/$K$2</f>
        <v>757.413120157718</v>
      </c>
      <c r="T159" s="43" t="n">
        <f aca="false">S159-$M$2</f>
        <v>610.239133096091</v>
      </c>
    </row>
    <row r="160" customFormat="false" ht="15" hidden="false" customHeight="false" outlineLevel="0" collapsed="false">
      <c r="A160" s="5" t="n">
        <v>2</v>
      </c>
      <c r="B160" s="25" t="n">
        <f aca="false">IF(T159&gt;0,B159,D159)</f>
        <v>-0.5</v>
      </c>
      <c r="C160" s="25" t="n">
        <f aca="false">IF(T159&gt;0,D159,C159)</f>
        <v>0.25</v>
      </c>
      <c r="D160" s="41" t="n">
        <f aca="false">(B160+C160)/2</f>
        <v>-0.125</v>
      </c>
      <c r="E160" s="15" t="n">
        <f aca="false">$C$2*(1+IF(E$3&lt;=$O$2,$D160,$D160-($D160-$I$157)*MIN(E$3-$O$2,$Q$2)/$Q$2))</f>
        <v>5635</v>
      </c>
      <c r="F160" s="15" t="n">
        <f aca="false">E160*(1+IF(F$3&lt;=$O$2,$D160,$D160-($D160-$I$157)*MIN(F$3-$O$2,$Q$2)/$Q$2))</f>
        <v>4930.625</v>
      </c>
      <c r="G160" s="15" t="n">
        <f aca="false">F160*(1+IF(G$3&lt;=$O$2,$D160,$D160-($D160-$I$157)*MIN(G$3-$O$2,$Q$2)/$Q$2))</f>
        <v>4314.296875</v>
      </c>
      <c r="H160" s="15" t="n">
        <f aca="false">G160*(1+IF(H$3&lt;=$O$2,$D160,$D160-($D160-$I$157)*MIN(H$3-$O$2,$Q$2)/$Q$2))</f>
        <v>3775.009765625</v>
      </c>
      <c r="I160" s="15" t="n">
        <f aca="false">H160*(1+IF(I$3&lt;=$O$2,$D160,$D160-($D160-$I$157)*MIN(I$3-$O$2,$Q$2)/$Q$2))</f>
        <v>3303.13354492188</v>
      </c>
      <c r="J160" s="15" t="n">
        <f aca="false">I160*(1+IF(J$3&lt;=$O$2,$D160,$D160-($D160-$I$157)*MIN(J$3-$O$2,$Q$2)/$Q$2))</f>
        <v>2998.12219338379</v>
      </c>
      <c r="K160" s="15" t="n">
        <f aca="false">J160*(1+IF(K$3&lt;=$O$2,$D160,$D160-($D160-$I$157)*MIN(K$3-$O$2,$Q$2)/$Q$2))</f>
        <v>2819.19426088265</v>
      </c>
      <c r="L160" s="15" t="n">
        <f aca="false">K160*(1+IF(L$3&lt;=$O$2,$D160,$D160-($D160-$I$157)*MIN(L$3-$O$2,$Q$2)/$Q$2))</f>
        <v>2743.0196319536</v>
      </c>
      <c r="M160" s="15" t="n">
        <f aca="false">L160*(1+IF(M$3&lt;=$O$2,$D160,$D160-($D160-$I$157)*MIN(M$3-$O$2,$Q$2)/$Q$2))</f>
        <v>2758.49026267781</v>
      </c>
      <c r="N160" s="15" t="n">
        <f aca="false">M160*(1+IF(N$3&lt;=$O$2,$D160,$D160-($D160-$I$157)*MIN(N$3-$O$2,$Q$2)/$Q$2))</f>
        <v>2864.14043973838</v>
      </c>
      <c r="O160" s="15" t="n">
        <f aca="false">SUMPRODUCT(E160:N160,1/(1+$F$157)^$E$3:$N$3)*$E$2</f>
        <v>5031.25033732286</v>
      </c>
      <c r="P160" s="15" t="n">
        <f aca="false">N160*$E$2*(1+$I$157)/($F$157-$I$157)/(1+$F$157)^$N$3</f>
        <v>5640.66545581917</v>
      </c>
      <c r="Q160" s="15" t="n">
        <f aca="false">O160+P160</f>
        <v>10671.915793142</v>
      </c>
      <c r="R160" s="15" t="n">
        <f aca="false">Q160-$G$2+$I$2</f>
        <v>5372.01579314203</v>
      </c>
      <c r="S160" s="42" t="n">
        <f aca="false">R160/$K$2</f>
        <v>45.7270666763877</v>
      </c>
      <c r="T160" s="43" t="n">
        <f aca="false">S160-$M$2</f>
        <v>-101.44692038524</v>
      </c>
    </row>
    <row r="161" customFormat="false" ht="15" hidden="false" customHeight="false" outlineLevel="0" collapsed="false">
      <c r="A161" s="5" t="n">
        <v>3</v>
      </c>
      <c r="B161" s="25" t="n">
        <f aca="false">IF(T160&gt;0,B160,D160)</f>
        <v>-0.125</v>
      </c>
      <c r="C161" s="25" t="n">
        <f aca="false">IF(T160&gt;0,D160,C160)</f>
        <v>0.25</v>
      </c>
      <c r="D161" s="41" t="n">
        <f aca="false">(B161+C161)/2</f>
        <v>0.0625</v>
      </c>
      <c r="E161" s="15" t="n">
        <f aca="false">$C$2*(1+IF(E$3&lt;=$O$2,$D161,$D161-($D161-$I$157)*MIN(E$3-$O$2,$Q$2)/$Q$2))</f>
        <v>6842.5</v>
      </c>
      <c r="F161" s="15" t="n">
        <f aca="false">E161*(1+IF(F$3&lt;=$O$2,$D161,$D161-($D161-$I$157)*MIN(F$3-$O$2,$Q$2)/$Q$2))</f>
        <v>7270.15625</v>
      </c>
      <c r="G161" s="15" t="n">
        <f aca="false">F161*(1+IF(G$3&lt;=$O$2,$D161,$D161-($D161-$I$157)*MIN(G$3-$O$2,$Q$2)/$Q$2))</f>
        <v>7724.541015625</v>
      </c>
      <c r="H161" s="15" t="n">
        <f aca="false">G161*(1+IF(H$3&lt;=$O$2,$D161,$D161-($D161-$I$157)*MIN(H$3-$O$2,$Q$2)/$Q$2))</f>
        <v>8207.32482910156</v>
      </c>
      <c r="I161" s="15" t="n">
        <f aca="false">H161*(1+IF(I$3&lt;=$O$2,$D161,$D161-($D161-$I$157)*MIN(I$3-$O$2,$Q$2)/$Q$2))</f>
        <v>8720.28263092041</v>
      </c>
      <c r="J161" s="15" t="n">
        <f aca="false">I161*(1+IF(J$3&lt;=$O$2,$D161,$D161-($D161-$I$157)*MIN(J$3-$O$2,$Q$2)/$Q$2))</f>
        <v>9223.09412741928</v>
      </c>
      <c r="K161" s="15" t="n">
        <f aca="false">J161*(1+IF(K$3&lt;=$O$2,$D161,$D161-($D161-$I$157)*MIN(K$3-$O$2,$Q$2)/$Q$2))</f>
        <v>9710.25795922957</v>
      </c>
      <c r="L161" s="15" t="n">
        <f aca="false">K161*(1+IF(L$3&lt;=$O$2,$D161,$D161-($D161-$I$157)*MIN(L$3-$O$2,$Q$2)/$Q$2))</f>
        <v>10176.1561361134</v>
      </c>
      <c r="M161" s="15" t="n">
        <f aca="false">L161*(1+IF(M$3&lt;=$O$2,$D161,$D161-($D161-$I$157)*MIN(M$3-$O$2,$Q$2)/$Q$2))</f>
        <v>10615.1555118253</v>
      </c>
      <c r="N161" s="15" t="n">
        <f aca="false">M161*(1+IF(N$3&lt;=$O$2,$D161,$D161-($D161-$I$157)*MIN(N$3-$O$2,$Q$2)/$Q$2))</f>
        <v>11021.7159679282</v>
      </c>
      <c r="O161" s="15" t="n">
        <f aca="false">SUMPRODUCT(E161:N161,1/(1+$F$157)^$E$3:$N$3)*$E$2</f>
        <v>11343.7413094501</v>
      </c>
      <c r="P161" s="15" t="n">
        <f aca="false">N161*$E$2*(1+$I$157)/($F$157-$I$157)/(1+$F$157)^$N$3</f>
        <v>21706.2723816093</v>
      </c>
      <c r="Q161" s="15" t="n">
        <f aca="false">O161+P161</f>
        <v>33050.0136910594</v>
      </c>
      <c r="R161" s="15" t="n">
        <f aca="false">Q161-$G$2+$I$2</f>
        <v>27750.1136910594</v>
      </c>
      <c r="S161" s="42" t="n">
        <f aca="false">R161/$K$2</f>
        <v>236.211386542896</v>
      </c>
      <c r="T161" s="43" t="n">
        <f aca="false">S161-$M$2</f>
        <v>89.0373994812681</v>
      </c>
    </row>
    <row r="162" customFormat="false" ht="15" hidden="false" customHeight="false" outlineLevel="0" collapsed="false">
      <c r="A162" s="5" t="n">
        <v>4</v>
      </c>
      <c r="B162" s="25" t="n">
        <f aca="false">IF(T161&gt;0,B161,D161)</f>
        <v>-0.125</v>
      </c>
      <c r="C162" s="25" t="n">
        <f aca="false">IF(T161&gt;0,D161,C161)</f>
        <v>0.0625</v>
      </c>
      <c r="D162" s="41" t="n">
        <f aca="false">(B162+C162)/2</f>
        <v>-0.03125</v>
      </c>
      <c r="E162" s="15" t="n">
        <f aca="false">$C$2*(1+IF(E$3&lt;=$O$2,$D162,$D162-($D162-$I$157)*MIN(E$3-$O$2,$Q$2)/$Q$2))</f>
        <v>6238.75</v>
      </c>
      <c r="F162" s="15" t="n">
        <f aca="false">E162*(1+IF(F$3&lt;=$O$2,$D162,$D162-($D162-$I$157)*MIN(F$3-$O$2,$Q$2)/$Q$2))</f>
        <v>6043.7890625</v>
      </c>
      <c r="G162" s="15" t="n">
        <f aca="false">F162*(1+IF(G$3&lt;=$O$2,$D162,$D162-($D162-$I$157)*MIN(G$3-$O$2,$Q$2)/$Q$2))</f>
        <v>5854.92065429688</v>
      </c>
      <c r="H162" s="15" t="n">
        <f aca="false">G162*(1+IF(H$3&lt;=$O$2,$D162,$D162-($D162-$I$157)*MIN(H$3-$O$2,$Q$2)/$Q$2))</f>
        <v>5671.9543838501</v>
      </c>
      <c r="I162" s="15" t="n">
        <f aca="false">H162*(1+IF(I$3&lt;=$O$2,$D162,$D162-($D162-$I$157)*MIN(I$3-$O$2,$Q$2)/$Q$2))</f>
        <v>5494.70580935478</v>
      </c>
      <c r="J162" s="15" t="n">
        <f aca="false">I162*(1+IF(J$3&lt;=$O$2,$D162,$D162-($D162-$I$157)*MIN(J$3-$O$2,$Q$2)/$Q$2))</f>
        <v>5399.42761062057</v>
      </c>
      <c r="K162" s="15" t="n">
        <f aca="false">J162*(1+IF(K$3&lt;=$O$2,$D162,$D162-($D162-$I$157)*MIN(K$3-$O$2,$Q$2)/$Q$2))</f>
        <v>5380.90757391614</v>
      </c>
      <c r="L162" s="15" t="n">
        <f aca="false">K162*(1+IF(L$3&lt;=$O$2,$D162,$D162-($D162-$I$157)*MIN(L$3-$O$2,$Q$2)/$Q$2))</f>
        <v>5437.29948529078</v>
      </c>
      <c r="M162" s="15" t="n">
        <f aca="false">L162*(1+IF(M$3&lt;=$O$2,$D162,$D162-($D162-$I$157)*MIN(M$3-$O$2,$Q$2)/$Q$2))</f>
        <v>5569.91521973702</v>
      </c>
      <c r="N162" s="15" t="n">
        <f aca="false">M162*(1+IF(N$3&lt;=$O$2,$D162,$D162-($D162-$I$157)*MIN(N$3-$O$2,$Q$2)/$Q$2))</f>
        <v>5783.24297265295</v>
      </c>
      <c r="O162" s="15" t="n">
        <f aca="false">SUMPRODUCT(E162:N162,1/(1+$F$157)^$E$3:$N$3)*$E$2</f>
        <v>7533.29292265688</v>
      </c>
      <c r="P162" s="15" t="n">
        <f aca="false">N162*$E$2*(1+$I$157)/($F$157-$I$157)/(1+$F$157)^$N$3</f>
        <v>11389.5737813165</v>
      </c>
      <c r="Q162" s="15" t="n">
        <f aca="false">O162+P162</f>
        <v>18922.8667039734</v>
      </c>
      <c r="R162" s="15" t="n">
        <f aca="false">Q162-$G$2+$I$2</f>
        <v>13622.9667039734</v>
      </c>
      <c r="S162" s="42" t="n">
        <f aca="false">R162/$K$2</f>
        <v>115.959880013393</v>
      </c>
      <c r="T162" s="43" t="n">
        <f aca="false">S162-$M$2</f>
        <v>-31.2141070482349</v>
      </c>
    </row>
    <row r="163" customFormat="false" ht="15" hidden="false" customHeight="false" outlineLevel="0" collapsed="false">
      <c r="A163" s="5" t="n">
        <v>5</v>
      </c>
      <c r="B163" s="25" t="n">
        <f aca="false">IF(T162&gt;0,B162,D162)</f>
        <v>-0.03125</v>
      </c>
      <c r="C163" s="25" t="n">
        <f aca="false">IF(T162&gt;0,D162,C162)</f>
        <v>0.0625</v>
      </c>
      <c r="D163" s="41" t="n">
        <f aca="false">(B163+C163)/2</f>
        <v>0.015625</v>
      </c>
      <c r="E163" s="15" t="n">
        <f aca="false">$C$2*(1+IF(E$3&lt;=$O$2,$D163,$D163-($D163-$I$157)*MIN(E$3-$O$2,$Q$2)/$Q$2))</f>
        <v>6540.625</v>
      </c>
      <c r="F163" s="15" t="n">
        <f aca="false">E163*(1+IF(F$3&lt;=$O$2,$D163,$D163-($D163-$I$157)*MIN(F$3-$O$2,$Q$2)/$Q$2))</f>
        <v>6642.822265625</v>
      </c>
      <c r="G163" s="15" t="n">
        <f aca="false">F163*(1+IF(G$3&lt;=$O$2,$D163,$D163-($D163-$I$157)*MIN(G$3-$O$2,$Q$2)/$Q$2))</f>
        <v>6746.61636352539</v>
      </c>
      <c r="H163" s="15" t="n">
        <f aca="false">G163*(1+IF(H$3&lt;=$O$2,$D163,$D163-($D163-$I$157)*MIN(H$3-$O$2,$Q$2)/$Q$2))</f>
        <v>6852.03224420548</v>
      </c>
      <c r="I163" s="15" t="n">
        <f aca="false">H163*(1+IF(I$3&lt;=$O$2,$D163,$D163-($D163-$I$157)*MIN(I$3-$O$2,$Q$2)/$Q$2))</f>
        <v>6959.09524802119</v>
      </c>
      <c r="J163" s="15" t="n">
        <f aca="false">I163*(1+IF(J$3&lt;=$O$2,$D163,$D163-($D163-$I$157)*MIN(J$3-$O$2,$Q$2)/$Q$2))</f>
        <v>7099.39060822129</v>
      </c>
      <c r="K163" s="15" t="n">
        <f aca="false">J163*(1+IF(K$3&lt;=$O$2,$D163,$D163-($D163-$I$157)*MIN(K$3-$O$2,$Q$2)/$Q$2))</f>
        <v>7274.71005929132</v>
      </c>
      <c r="L163" s="15" t="n">
        <f aca="false">K163*(1+IF(L$3&lt;=$O$2,$D163,$D163-($D163-$I$157)*MIN(L$3-$O$2,$Q$2)/$Q$2))</f>
        <v>7487.3498343244</v>
      </c>
      <c r="M163" s="15" t="n">
        <f aca="false">L163*(1+IF(M$3&lt;=$O$2,$D163,$D163-($D163-$I$157)*MIN(M$3-$O$2,$Q$2)/$Q$2))</f>
        <v>7740.16020148037</v>
      </c>
      <c r="N163" s="15" t="n">
        <f aca="false">M163*(1+IF(N$3&lt;=$O$2,$D163,$D163-($D163-$I$157)*MIN(N$3-$O$2,$Q$2)/$Q$2))</f>
        <v>8036.60833719706</v>
      </c>
      <c r="O163" s="15" t="n">
        <f aca="false">SUMPRODUCT(E163:N163,1/(1+$F$157)^$E$3:$N$3)*$E$2</f>
        <v>9240.74332331991</v>
      </c>
      <c r="P163" s="15" t="n">
        <f aca="false">N163*$E$2*(1+$I$157)/($F$157-$I$157)/(1+$F$157)^$N$3</f>
        <v>15827.3729879379</v>
      </c>
      <c r="Q163" s="15" t="n">
        <f aca="false">O163+P163</f>
        <v>25068.1163112578</v>
      </c>
      <c r="R163" s="15" t="n">
        <f aca="false">Q163-$G$2+$I$2</f>
        <v>19768.2163112578</v>
      </c>
      <c r="S163" s="42" t="n">
        <f aca="false">R163/$K$2</f>
        <v>168.268780313737</v>
      </c>
      <c r="T163" s="43" t="n">
        <f aca="false">S163-$M$2</f>
        <v>21.0947932521096</v>
      </c>
    </row>
    <row r="164" customFormat="false" ht="15" hidden="false" customHeight="false" outlineLevel="0" collapsed="false">
      <c r="A164" s="5" t="n">
        <v>6</v>
      </c>
      <c r="B164" s="25" t="n">
        <f aca="false">IF(T163&gt;0,B163,D163)</f>
        <v>-0.03125</v>
      </c>
      <c r="C164" s="25" t="n">
        <f aca="false">IF(T163&gt;0,D163,C163)</f>
        <v>0.015625</v>
      </c>
      <c r="D164" s="41" t="n">
        <f aca="false">(B164+C164)/2</f>
        <v>-0.0078125</v>
      </c>
      <c r="E164" s="15" t="n">
        <f aca="false">$C$2*(1+IF(E$3&lt;=$O$2,$D164,$D164-($D164-$I$157)*MIN(E$3-$O$2,$Q$2)/$Q$2))</f>
        <v>6389.6875</v>
      </c>
      <c r="F164" s="15" t="n">
        <f aca="false">E164*(1+IF(F$3&lt;=$O$2,$D164,$D164-($D164-$I$157)*MIN(F$3-$O$2,$Q$2)/$Q$2))</f>
        <v>6339.76806640625</v>
      </c>
      <c r="G164" s="15" t="n">
        <f aca="false">F164*(1+IF(G$3&lt;=$O$2,$D164,$D164-($D164-$I$157)*MIN(G$3-$O$2,$Q$2)/$Q$2))</f>
        <v>6290.23862838745</v>
      </c>
      <c r="H164" s="15" t="n">
        <f aca="false">G164*(1+IF(H$3&lt;=$O$2,$D164,$D164-($D164-$I$157)*MIN(H$3-$O$2,$Q$2)/$Q$2))</f>
        <v>6241.09613910317</v>
      </c>
      <c r="I164" s="15" t="n">
        <f aca="false">H164*(1+IF(I$3&lt;=$O$2,$D164,$D164-($D164-$I$157)*MIN(I$3-$O$2,$Q$2)/$Q$2))</f>
        <v>6192.33757551643</v>
      </c>
      <c r="J164" s="15" t="n">
        <f aca="false">I164*(1+IF(J$3&lt;=$O$2,$D164,$D164-($D164-$I$157)*MIN(J$3-$O$2,$Q$2)/$Q$2))</f>
        <v>6201.06877149791</v>
      </c>
      <c r="K164" s="15" t="n">
        <f aca="false">J164*(1+IF(K$3&lt;=$O$2,$D164,$D164-($D164-$I$157)*MIN(K$3-$O$2,$Q$2)/$Q$2))</f>
        <v>6267.00163521086</v>
      </c>
      <c r="L164" s="15" t="n">
        <f aca="false">K164*(1+IF(L$3&lt;=$O$2,$D164,$D164-($D164-$I$157)*MIN(L$3-$O$2,$Q$2)/$Q$2))</f>
        <v>6391.43295267797</v>
      </c>
      <c r="M164" s="15" t="n">
        <f aca="false">L164*(1+IF(M$3&lt;=$O$2,$D164,$D164-($D164-$I$157)*MIN(M$3-$O$2,$Q$2)/$Q$2))</f>
        <v>6577.27984435947</v>
      </c>
      <c r="N164" s="15" t="n">
        <f aca="false">M164*(1+IF(N$3&lt;=$O$2,$D164,$D164-($D164-$I$157)*MIN(N$3-$O$2,$Q$2)/$Q$2))</f>
        <v>6829.18966239843</v>
      </c>
      <c r="O164" s="15" t="n">
        <f aca="false">SUMPRODUCT(E164:N164,1/(1+$F$157)^$E$3:$N$3)*$E$2</f>
        <v>8342.32297410115</v>
      </c>
      <c r="P164" s="15" t="n">
        <f aca="false">N164*$E$2*(1+$I$157)/($F$157-$I$157)/(1+$F$157)^$N$3</f>
        <v>13449.4711521363</v>
      </c>
      <c r="Q164" s="15" t="n">
        <f aca="false">O164+P164</f>
        <v>21791.7941262374</v>
      </c>
      <c r="R164" s="15" t="n">
        <f aca="false">Q164-$G$2+$I$2</f>
        <v>16491.8941262374</v>
      </c>
      <c r="S164" s="42" t="n">
        <f aca="false">R164/$K$2</f>
        <v>140.380440298242</v>
      </c>
      <c r="T164" s="43" t="n">
        <f aca="false">S164-$M$2</f>
        <v>-6.79354676338588</v>
      </c>
    </row>
    <row r="165" customFormat="false" ht="15" hidden="false" customHeight="false" outlineLevel="0" collapsed="false">
      <c r="A165" s="5" t="n">
        <v>7</v>
      </c>
      <c r="B165" s="25" t="n">
        <f aca="false">IF(T164&gt;0,B164,D164)</f>
        <v>-0.0078125</v>
      </c>
      <c r="C165" s="25" t="n">
        <f aca="false">IF(T164&gt;0,D164,C164)</f>
        <v>0.015625</v>
      </c>
      <c r="D165" s="41" t="n">
        <f aca="false">(B165+C165)/2</f>
        <v>0.00390625</v>
      </c>
      <c r="E165" s="15" t="n">
        <f aca="false">$C$2*(1+IF(E$3&lt;=$O$2,$D165,$D165-($D165-$I$157)*MIN(E$3-$O$2,$Q$2)/$Q$2))</f>
        <v>6465.15625</v>
      </c>
      <c r="F165" s="15" t="n">
        <f aca="false">E165*(1+IF(F$3&lt;=$O$2,$D165,$D165-($D165-$I$157)*MIN(F$3-$O$2,$Q$2)/$Q$2))</f>
        <v>6490.41076660156</v>
      </c>
      <c r="G165" s="15" t="n">
        <f aca="false">F165*(1+IF(G$3&lt;=$O$2,$D165,$D165-($D165-$I$157)*MIN(G$3-$O$2,$Q$2)/$Q$2))</f>
        <v>6515.7639336586</v>
      </c>
      <c r="H165" s="15" t="n">
        <f aca="false">G165*(1+IF(H$3&lt;=$O$2,$D165,$D165-($D165-$I$157)*MIN(H$3-$O$2,$Q$2)/$Q$2))</f>
        <v>6541.21613652445</v>
      </c>
      <c r="I165" s="15" t="n">
        <f aca="false">H165*(1+IF(I$3&lt;=$O$2,$D165,$D165-($D165-$I$157)*MIN(I$3-$O$2,$Q$2)/$Q$2))</f>
        <v>6566.76776205775</v>
      </c>
      <c r="J165" s="15" t="n">
        <f aca="false">I165*(1+IF(J$3&lt;=$O$2,$D165,$D165-($D165-$I$157)*MIN(J$3-$O$2,$Q$2)/$Q$2))</f>
        <v>6637.59035237155</v>
      </c>
      <c r="K165" s="15" t="n">
        <f aca="false">J165*(1+IF(K$3&lt;=$O$2,$D165,$D165-($D165-$I$157)*MIN(K$3-$O$2,$Q$2)/$Q$2))</f>
        <v>6754.83508895825</v>
      </c>
      <c r="L165" s="15" t="n">
        <f aca="false">K165*(1+IF(L$3&lt;=$O$2,$D165,$D165-($D165-$I$157)*MIN(L$3-$O$2,$Q$2)/$Q$2))</f>
        <v>6920.61562912901</v>
      </c>
      <c r="M165" s="15" t="n">
        <f aca="false">L165*(1+IF(M$3&lt;=$O$2,$D165,$D165-($D165-$I$157)*MIN(M$3-$O$2,$Q$2)/$Q$2))</f>
        <v>7138.07002296578</v>
      </c>
      <c r="N165" s="15" t="n">
        <f aca="false">M165*(1+IF(N$3&lt;=$O$2,$D165,$D165-($D165-$I$157)*MIN(N$3-$O$2,$Q$2)/$Q$2))</f>
        <v>7411.45810484537</v>
      </c>
      <c r="O165" s="15" t="n">
        <f aca="false">SUMPRODUCT(E165:N165,1/(1+$F$157)^$E$3:$N$3)*$E$2</f>
        <v>8779.7975786186</v>
      </c>
      <c r="P165" s="15" t="n">
        <f aca="false">N165*$E$2*(1+$I$157)/($F$157-$I$157)/(1+$F$157)^$N$3</f>
        <v>14596.1961673468</v>
      </c>
      <c r="Q165" s="15" t="n">
        <f aca="false">O165+P165</f>
        <v>23375.9937459654</v>
      </c>
      <c r="R165" s="15" t="n">
        <f aca="false">Q165-$G$2+$I$2</f>
        <v>18076.0937459654</v>
      </c>
      <c r="S165" s="42" t="n">
        <f aca="false">R165/$K$2</f>
        <v>153.865285546181</v>
      </c>
      <c r="T165" s="43" t="n">
        <f aca="false">S165-$M$2</f>
        <v>6.69129848455395</v>
      </c>
    </row>
    <row r="166" customFormat="false" ht="15" hidden="false" customHeight="false" outlineLevel="0" collapsed="false">
      <c r="A166" s="5" t="n">
        <v>8</v>
      </c>
      <c r="B166" s="25" t="n">
        <f aca="false">IF(T165&gt;0,B165,D165)</f>
        <v>-0.0078125</v>
      </c>
      <c r="C166" s="25" t="n">
        <f aca="false">IF(T165&gt;0,D165,C165)</f>
        <v>0.00390625</v>
      </c>
      <c r="D166" s="41" t="n">
        <f aca="false">(B166+C166)/2</f>
        <v>-0.001953125</v>
      </c>
      <c r="E166" s="15" t="n">
        <f aca="false">$C$2*(1+IF(E$3&lt;=$O$2,$D166,$D166-($D166-$I$157)*MIN(E$3-$O$2,$Q$2)/$Q$2))</f>
        <v>6427.421875</v>
      </c>
      <c r="F166" s="15" t="n">
        <f aca="false">E166*(1+IF(F$3&lt;=$O$2,$D166,$D166-($D166-$I$157)*MIN(F$3-$O$2,$Q$2)/$Q$2))</f>
        <v>6414.86831665039</v>
      </c>
      <c r="G166" s="15" t="n">
        <f aca="false">F166*(1+IF(G$3&lt;=$O$2,$D166,$D166-($D166-$I$157)*MIN(G$3-$O$2,$Q$2)/$Q$2))</f>
        <v>6402.33927696943</v>
      </c>
      <c r="H166" s="15" t="n">
        <f aca="false">G166*(1+IF(H$3&lt;=$O$2,$D166,$D166-($D166-$I$157)*MIN(H$3-$O$2,$Q$2)/$Q$2))</f>
        <v>6389.8347080691</v>
      </c>
      <c r="I166" s="15" t="n">
        <f aca="false">H166*(1+IF(I$3&lt;=$O$2,$D166,$D166-($D166-$I$157)*MIN(I$3-$O$2,$Q$2)/$Q$2))</f>
        <v>6377.35456215491</v>
      </c>
      <c r="J166" s="15" t="n">
        <f aca="false">I166*(1+IF(J$3&lt;=$O$2,$D166,$D166-($D166-$I$157)*MIN(J$3-$O$2,$Q$2)/$Q$2))</f>
        <v>6416.24048159765</v>
      </c>
      <c r="K166" s="15" t="n">
        <f aca="false">J166*(1+IF(K$3&lt;=$O$2,$D166,$D166-($D166-$I$157)*MIN(K$3-$O$2,$Q$2)/$Q$2))</f>
        <v>6507.01825396135</v>
      </c>
      <c r="L166" s="15" t="n">
        <f aca="false">K166*(1+IF(L$3&lt;=$O$2,$D166,$D166-($D166-$I$157)*MIN(L$3-$O$2,$Q$2)/$Q$2))</f>
        <v>6651.46592542647</v>
      </c>
      <c r="M166" s="15" t="n">
        <f aca="false">L166*(1+IF(M$3&lt;=$O$2,$D166,$D166-($D166-$I$157)*MIN(M$3-$O$2,$Q$2)/$Q$2))</f>
        <v>6852.66861250442</v>
      </c>
      <c r="N166" s="15" t="n">
        <f aca="false">M166*(1+IF(N$3&lt;=$O$2,$D166,$D166-($D166-$I$157)*MIN(N$3-$O$2,$Q$2)/$Q$2))</f>
        <v>7115.12582036334</v>
      </c>
      <c r="O166" s="15" t="n">
        <f aca="false">SUMPRODUCT(E166:N166,1/(1+$F$157)^$E$3:$N$3)*$E$2</f>
        <v>8558.19851418549</v>
      </c>
      <c r="P166" s="15" t="n">
        <f aca="false">N166*$E$2*(1+$I$157)/($F$157-$I$157)/(1+$F$157)^$N$3</f>
        <v>14012.5965444615</v>
      </c>
      <c r="Q166" s="15" t="n">
        <f aca="false">O166+P166</f>
        <v>22570.795058647</v>
      </c>
      <c r="R166" s="15" t="n">
        <f aca="false">Q166-$G$2+$I$2</f>
        <v>17270.895058647</v>
      </c>
      <c r="S166" s="42" t="n">
        <f aca="false">R166/$K$2</f>
        <v>147.011364135572</v>
      </c>
      <c r="T166" s="43" t="n">
        <f aca="false">S166-$M$2</f>
        <v>-0.162622926055292</v>
      </c>
    </row>
    <row r="167" customFormat="false" ht="15" hidden="false" customHeight="false" outlineLevel="0" collapsed="false">
      <c r="A167" s="5" t="n">
        <v>9</v>
      </c>
      <c r="B167" s="25" t="n">
        <f aca="false">IF(T166&gt;0,B166,D166)</f>
        <v>-0.001953125</v>
      </c>
      <c r="C167" s="25" t="n">
        <f aca="false">IF(T166&gt;0,D166,C166)</f>
        <v>0.00390625</v>
      </c>
      <c r="D167" s="41" t="n">
        <f aca="false">(B167+C167)/2</f>
        <v>0.0009765625</v>
      </c>
      <c r="E167" s="15" t="n">
        <f aca="false">$C$2*(1+IF(E$3&lt;=$O$2,$D167,$D167-($D167-$I$157)*MIN(E$3-$O$2,$Q$2)/$Q$2))</f>
        <v>6446.2890625</v>
      </c>
      <c r="F167" s="15" t="n">
        <f aca="false">E167*(1+IF(F$3&lt;=$O$2,$D167,$D167-($D167-$I$157)*MIN(F$3-$O$2,$Q$2)/$Q$2))</f>
        <v>6452.5842666626</v>
      </c>
      <c r="G167" s="15" t="n">
        <f aca="false">F167*(1+IF(G$3&lt;=$O$2,$D167,$D167-($D167-$I$157)*MIN(G$3-$O$2,$Q$2)/$Q$2))</f>
        <v>6458.88561848551</v>
      </c>
      <c r="H167" s="15" t="n">
        <f aca="false">G167*(1+IF(H$3&lt;=$O$2,$D167,$D167-($D167-$I$157)*MIN(H$3-$O$2,$Q$2)/$Q$2))</f>
        <v>6465.19312397231</v>
      </c>
      <c r="I167" s="15" t="n">
        <f aca="false">H167*(1+IF(I$3&lt;=$O$2,$D167,$D167-($D167-$I$157)*MIN(I$3-$O$2,$Q$2)/$Q$2))</f>
        <v>6471.50678913244</v>
      </c>
      <c r="J167" s="15" t="n">
        <f aca="false">I167*(1+IF(J$3&lt;=$O$2,$D167,$D167-($D167-$I$157)*MIN(J$3-$O$2,$Q$2)/$Q$2))</f>
        <v>6526.13439581621</v>
      </c>
      <c r="K167" s="15" t="n">
        <f aca="false">J167*(1+IF(K$3&lt;=$O$2,$D167,$D167-($D167-$I$157)*MIN(K$3-$O$2,$Q$2)/$Q$2))</f>
        <v>6629.93868163266</v>
      </c>
      <c r="L167" s="15" t="n">
        <f aca="false">K167*(1+IF(L$3&lt;=$O$2,$D167,$D167-($D167-$I$157)*MIN(L$3-$O$2,$Q$2)/$Q$2))</f>
        <v>6784.88449233409</v>
      </c>
      <c r="M167" s="15" t="n">
        <f aca="false">L167*(1+IF(M$3&lt;=$O$2,$D167,$D167-($D167-$I$157)*MIN(M$3-$O$2,$Q$2)/$Q$2))</f>
        <v>6994.09852593162</v>
      </c>
      <c r="N167" s="15" t="n">
        <f aca="false">M167*(1+IF(N$3&lt;=$O$2,$D167,$D167-($D167-$I$157)*MIN(N$3-$O$2,$Q$2)/$Q$2))</f>
        <v>7261.9724994748</v>
      </c>
      <c r="O167" s="15" t="n">
        <f aca="false">SUMPRODUCT(E167:N167,1/(1+$F$157)^$E$3:$N$3)*$E$2</f>
        <v>8668.2737111362</v>
      </c>
      <c r="P167" s="15" t="n">
        <f aca="false">N167*$E$2*(1+$I$157)/($F$157-$I$157)/(1+$F$157)^$N$3</f>
        <v>14301.7977926522</v>
      </c>
      <c r="Q167" s="15" t="n">
        <f aca="false">O167+P167</f>
        <v>22970.0715037884</v>
      </c>
      <c r="R167" s="15" t="n">
        <f aca="false">Q167-$G$2+$I$2</f>
        <v>17670.1715037884</v>
      </c>
      <c r="S167" s="42" t="n">
        <f aca="false">R167/$K$2</f>
        <v>150.410040039057</v>
      </c>
      <c r="T167" s="43" t="n">
        <f aca="false">S167-$M$2</f>
        <v>3.23605297742952</v>
      </c>
    </row>
    <row r="168" customFormat="false" ht="15" hidden="false" customHeight="false" outlineLevel="0" collapsed="false">
      <c r="A168" s="5" t="n">
        <v>10</v>
      </c>
      <c r="B168" s="25" t="n">
        <f aca="false">IF(T167&gt;0,B167,D167)</f>
        <v>-0.001953125</v>
      </c>
      <c r="C168" s="25" t="n">
        <f aca="false">IF(T167&gt;0,D167,C167)</f>
        <v>0.0009765625</v>
      </c>
      <c r="D168" s="41" t="n">
        <f aca="false">(B168+C168)/2</f>
        <v>-0.00048828125</v>
      </c>
      <c r="E168" s="15" t="n">
        <f aca="false">$C$2*(1+IF(E$3&lt;=$O$2,$D168,$D168-($D168-$I$157)*MIN(E$3-$O$2,$Q$2)/$Q$2))</f>
        <v>6436.85546875</v>
      </c>
      <c r="F168" s="15" t="n">
        <f aca="false">E168*(1+IF(F$3&lt;=$O$2,$D168,$D168-($D168-$I$157)*MIN(F$3-$O$2,$Q$2)/$Q$2))</f>
        <v>6433.71247291565</v>
      </c>
      <c r="G168" s="15" t="n">
        <f aca="false">F168*(1+IF(G$3&lt;=$O$2,$D168,$D168-($D168-$I$157)*MIN(G$3-$O$2,$Q$2)/$Q$2))</f>
        <v>6430.57101174723</v>
      </c>
      <c r="H168" s="15" t="n">
        <f aca="false">G168*(1+IF(H$3&lt;=$O$2,$D168,$D168-($D168-$I$157)*MIN(H$3-$O$2,$Q$2)/$Q$2))</f>
        <v>6427.4310844954</v>
      </c>
      <c r="I168" s="15" t="n">
        <f aca="false">H168*(1+IF(I$3&lt;=$O$2,$D168,$D168-($D168-$I$157)*MIN(I$3-$O$2,$Q$2)/$Q$2))</f>
        <v>6424.29269041118</v>
      </c>
      <c r="J168" s="15" t="n">
        <f aca="false">I168*(1+IF(J$3&lt;=$O$2,$D168,$D168-($D168-$I$157)*MIN(J$3-$O$2,$Q$2)/$Q$2))</f>
        <v>6470.99328308753</v>
      </c>
      <c r="K168" s="15" t="n">
        <f aca="false">J168*(1+IF(K$3&lt;=$O$2,$D168,$D168-($D168-$I$157)*MIN(K$3-$O$2,$Q$2)/$Q$2))</f>
        <v>6568.23310137103</v>
      </c>
      <c r="L168" s="15" t="n">
        <f aca="false">K168*(1+IF(L$3&lt;=$O$2,$D168,$D168-($D168-$I$157)*MIN(L$3-$O$2,$Q$2)/$Q$2))</f>
        <v>6717.88824001293</v>
      </c>
      <c r="M168" s="15" t="n">
        <f aca="false">L168*(1+IF(M$3&lt;=$O$2,$D168,$D168-($D168-$I$157)*MIN(M$3-$O$2,$Q$2)/$Q$2))</f>
        <v>6923.06829191348</v>
      </c>
      <c r="N168" s="15" t="n">
        <f aca="false">M168*(1+IF(N$3&lt;=$O$2,$D168,$D168-($D168-$I$157)*MIN(N$3-$O$2,$Q$2)/$Q$2))</f>
        <v>7188.22180749377</v>
      </c>
      <c r="O168" s="15" t="n">
        <f aca="false">SUMPRODUCT(E168:N168,1/(1+$F$157)^$E$3:$N$3)*$E$2</f>
        <v>8613.05614820843</v>
      </c>
      <c r="P168" s="15" t="n">
        <f aca="false">N168*$E$2*(1+$I$157)/($F$157-$I$157)/(1+$F$157)^$N$3</f>
        <v>14156.5524775733</v>
      </c>
      <c r="Q168" s="15" t="n">
        <f aca="false">O168+P168</f>
        <v>22769.6086257817</v>
      </c>
      <c r="R168" s="15" t="n">
        <f aca="false">Q168-$G$2+$I$2</f>
        <v>17469.7086257817</v>
      </c>
      <c r="S168" s="42" t="n">
        <f aca="false">R168/$K$2</f>
        <v>148.703682548363</v>
      </c>
      <c r="T168" s="43" t="n">
        <f aca="false">S168-$M$2</f>
        <v>1.52969548673573</v>
      </c>
    </row>
    <row r="169" customFormat="false" ht="15" hidden="false" customHeight="false" outlineLevel="0" collapsed="false">
      <c r="A169" s="5" t="n">
        <v>11</v>
      </c>
      <c r="B169" s="25" t="n">
        <f aca="false">IF(T168&gt;0,B168,D168)</f>
        <v>-0.001953125</v>
      </c>
      <c r="C169" s="25" t="n">
        <f aca="false">IF(T168&gt;0,D168,C168)</f>
        <v>-0.00048828125</v>
      </c>
      <c r="D169" s="41" t="n">
        <f aca="false">(B169+C169)/2</f>
        <v>-0.001220703125</v>
      </c>
      <c r="E169" s="15" t="n">
        <f aca="false">$C$2*(1+IF(E$3&lt;=$O$2,$D169,$D169-($D169-$I$157)*MIN(E$3-$O$2,$Q$2)/$Q$2))</f>
        <v>6432.138671875</v>
      </c>
      <c r="F169" s="15" t="n">
        <f aca="false">E169*(1+IF(F$3&lt;=$O$2,$D169,$D169-($D169-$I$157)*MIN(F$3-$O$2,$Q$2)/$Q$2))</f>
        <v>6424.28694009781</v>
      </c>
      <c r="G169" s="15" t="n">
        <f aca="false">F169*(1+IF(G$3&lt;=$O$2,$D169,$D169-($D169-$I$157)*MIN(G$3-$O$2,$Q$2)/$Q$2))</f>
        <v>6416.44479295414</v>
      </c>
      <c r="H169" s="15" t="n">
        <f aca="false">G169*(1+IF(H$3&lt;=$O$2,$D169,$D169-($D169-$I$157)*MIN(H$3-$O$2,$Q$2)/$Q$2))</f>
        <v>6408.61221874399</v>
      </c>
      <c r="I169" s="15" t="n">
        <f aca="false">H169*(1+IF(I$3&lt;=$O$2,$D169,$D169-($D169-$I$157)*MIN(I$3-$O$2,$Q$2)/$Q$2))</f>
        <v>6400.78920578165</v>
      </c>
      <c r="J169" s="15" t="n">
        <f aca="false">I169*(1+IF(J$3&lt;=$O$2,$D169,$D169-($D169-$I$157)*MIN(J$3-$O$2,$Q$2)/$Q$2))</f>
        <v>6443.56848038917</v>
      </c>
      <c r="K169" s="15" t="n">
        <f aca="false">J169*(1+IF(K$3&lt;=$O$2,$D169,$D169-($D169-$I$157)*MIN(K$3-$O$2,$Q$2)/$Q$2))</f>
        <v>6537.56453900063</v>
      </c>
      <c r="L169" s="15" t="n">
        <f aca="false">K169*(1+IF(L$3&lt;=$O$2,$D169,$D169-($D169-$I$157)*MIN(L$3-$O$2,$Q$2)/$Q$2))</f>
        <v>6684.60560192181</v>
      </c>
      <c r="M169" s="15" t="n">
        <f aca="false">L169*(1+IF(M$3&lt;=$O$2,$D169,$D169-($D169-$I$157)*MIN(M$3-$O$2,$Q$2)/$Q$2))</f>
        <v>6887.78993377516</v>
      </c>
      <c r="N169" s="15" t="n">
        <f aca="false">M169*(1+IF(N$3&lt;=$O$2,$D169,$D169-($D169-$I$157)*MIN(N$3-$O$2,$Q$2)/$Q$2))</f>
        <v>7151.59228823875</v>
      </c>
      <c r="O169" s="15" t="n">
        <f aca="false">SUMPRODUCT(E169:N169,1/(1+$F$157)^$E$3:$N$3)*$E$2</f>
        <v>8585.58247934339</v>
      </c>
      <c r="P169" s="15" t="n">
        <f aca="false">N169*$E$2*(1+$I$157)/($F$157-$I$157)/(1+$F$157)^$N$3</f>
        <v>14084.4139535476</v>
      </c>
      <c r="Q169" s="15" t="n">
        <f aca="false">O169+P169</f>
        <v>22669.996432891</v>
      </c>
      <c r="R169" s="15" t="n">
        <f aca="false">Q169-$G$2+$I$2</f>
        <v>17370.096432891</v>
      </c>
      <c r="S169" s="42" t="n">
        <f aca="false">R169/$K$2</f>
        <v>147.855774879903</v>
      </c>
      <c r="T169" s="43" t="n">
        <f aca="false">S169-$M$2</f>
        <v>0.681787818275183</v>
      </c>
    </row>
    <row r="170" customFormat="false" ht="15" hidden="false" customHeight="false" outlineLevel="0" collapsed="false">
      <c r="A170" s="5" t="n">
        <v>12</v>
      </c>
      <c r="B170" s="25" t="n">
        <f aca="false">IF(T169&gt;0,B169,D169)</f>
        <v>-0.001953125</v>
      </c>
      <c r="C170" s="25" t="n">
        <f aca="false">IF(T169&gt;0,D169,C169)</f>
        <v>-0.001220703125</v>
      </c>
      <c r="D170" s="41" t="n">
        <f aca="false">(B170+C170)/2</f>
        <v>-0.0015869140625</v>
      </c>
      <c r="E170" s="15" t="n">
        <f aca="false">$C$2*(1+IF(E$3&lt;=$O$2,$D170,$D170-($D170-$I$157)*MIN(E$3-$O$2,$Q$2)/$Q$2))</f>
        <v>6429.7802734375</v>
      </c>
      <c r="F170" s="15" t="n">
        <f aca="false">E170*(1+IF(F$3&lt;=$O$2,$D170,$D170-($D170-$I$157)*MIN(F$3-$O$2,$Q$2)/$Q$2))</f>
        <v>6419.5767647028</v>
      </c>
      <c r="G170" s="15" t="n">
        <f aca="false">F170*(1+IF(G$3&lt;=$O$2,$D170,$D170-($D170-$I$157)*MIN(G$3-$O$2,$Q$2)/$Q$2))</f>
        <v>6409.38944805959</v>
      </c>
      <c r="H170" s="15" t="n">
        <f aca="false">G170*(1+IF(H$3&lt;=$O$2,$D170,$D170-($D170-$I$157)*MIN(H$3-$O$2,$Q$2)/$Q$2))</f>
        <v>6399.21829781243</v>
      </c>
      <c r="I170" s="15" t="n">
        <f aca="false">H170*(1+IF(I$3&lt;=$O$2,$D170,$D170-($D170-$I$157)*MIN(I$3-$O$2,$Q$2)/$Q$2))</f>
        <v>6389.06328830662</v>
      </c>
      <c r="J170" s="15" t="n">
        <f aca="false">I170*(1+IF(J$3&lt;=$O$2,$D170,$D170-($D170-$I$157)*MIN(J$3-$O$2,$Q$2)/$Q$2))</f>
        <v>6429.89239759232</v>
      </c>
      <c r="K170" s="15" t="n">
        <f aca="false">J170*(1+IF(K$3&lt;=$O$2,$D170,$D170-($D170-$I$157)*MIN(K$3-$O$2,$Q$2)/$Q$2))</f>
        <v>6522.27613712377</v>
      </c>
      <c r="L170" s="15" t="n">
        <f aca="false">K170*(1+IF(L$3&lt;=$O$2,$D170,$D170-($D170-$I$157)*MIN(L$3-$O$2,$Q$2)/$Q$2))</f>
        <v>6668.01792606627</v>
      </c>
      <c r="M170" s="15" t="n">
        <f aca="false">L170*(1+IF(M$3&lt;=$O$2,$D170,$D170-($D170-$I$157)*MIN(M$3-$O$2,$Q$2)/$Q$2))</f>
        <v>6870.20968103777</v>
      </c>
      <c r="N170" s="15" t="n">
        <f aca="false">M170*(1+IF(N$3&lt;=$O$2,$D170,$D170-($D170-$I$157)*MIN(N$3-$O$2,$Q$2)/$Q$2))</f>
        <v>7133.33871182151</v>
      </c>
      <c r="O170" s="15" t="n">
        <f aca="false">SUMPRODUCT(E170:N170,1/(1+$F$157)^$E$3:$N$3)*$E$2</f>
        <v>8571.87930116731</v>
      </c>
      <c r="P170" s="15" t="n">
        <f aca="false">N170*$E$2*(1+$I$157)/($F$157-$I$157)/(1+$F$157)^$N$3</f>
        <v>14048.4651863317</v>
      </c>
      <c r="Q170" s="15" t="n">
        <f aca="false">O170+P170</f>
        <v>22620.344487499</v>
      </c>
      <c r="R170" s="15" t="n">
        <f aca="false">Q170-$G$2+$I$2</f>
        <v>17320.444487499</v>
      </c>
      <c r="S170" s="42" t="n">
        <f aca="false">R170/$K$2</f>
        <v>147.433133192875</v>
      </c>
      <c r="T170" s="43" t="n">
        <f aca="false">S170-$M$2</f>
        <v>0.259146131247633</v>
      </c>
    </row>
    <row r="171" customFormat="false" ht="15" hidden="false" customHeight="false" outlineLevel="0" collapsed="false">
      <c r="A171" s="5" t="n">
        <v>13</v>
      </c>
      <c r="B171" s="25" t="n">
        <f aca="false">IF(T170&gt;0,B170,D170)</f>
        <v>-0.001953125</v>
      </c>
      <c r="C171" s="25" t="n">
        <f aca="false">IF(T170&gt;0,D170,C170)</f>
        <v>-0.0015869140625</v>
      </c>
      <c r="D171" s="41" t="n">
        <f aca="false">(B171+C171)/2</f>
        <v>-0.00177001953125</v>
      </c>
      <c r="E171" s="15" t="n">
        <f aca="false">$C$2*(1+IF(E$3&lt;=$O$2,$D171,$D171-($D171-$I$157)*MIN(E$3-$O$2,$Q$2)/$Q$2))</f>
        <v>6428.60107421875</v>
      </c>
      <c r="F171" s="15" t="n">
        <f aca="false">E171*(1+IF(F$3&lt;=$O$2,$D171,$D171-($D171-$I$157)*MIN(F$3-$O$2,$Q$2)/$Q$2))</f>
        <v>6417.22232475877</v>
      </c>
      <c r="G171" s="15" t="n">
        <f aca="false">F171*(1+IF(G$3&lt;=$O$2,$D171,$D171-($D171-$I$157)*MIN(G$3-$O$2,$Q$2)/$Q$2))</f>
        <v>6405.86371590757</v>
      </c>
      <c r="H171" s="15" t="n">
        <f aca="false">G171*(1+IF(H$3&lt;=$O$2,$D171,$D171-($D171-$I$157)*MIN(H$3-$O$2,$Q$2)/$Q$2))</f>
        <v>6394.52521201589</v>
      </c>
      <c r="I171" s="15" t="n">
        <f aca="false">H171*(1+IF(I$3&lt;=$O$2,$D171,$D171-($D171-$I$157)*MIN(I$3-$O$2,$Q$2)/$Q$2))</f>
        <v>6383.20677749755</v>
      </c>
      <c r="J171" s="15" t="n">
        <f aca="false">I171*(1+IF(J$3&lt;=$O$2,$D171,$D171-($D171-$I$157)*MIN(J$3-$O$2,$Q$2)/$Q$2))</f>
        <v>6423.06342087864</v>
      </c>
      <c r="K171" s="15" t="n">
        <f aca="false">J171*(1+IF(K$3&lt;=$O$2,$D171,$D171-($D171-$I$157)*MIN(K$3-$O$2,$Q$2)/$Q$2))</f>
        <v>6514.64338386325</v>
      </c>
      <c r="L171" s="15" t="n">
        <f aca="false">K171*(1+IF(L$3&lt;=$O$2,$D171,$D171-($D171-$I$157)*MIN(L$3-$O$2,$Q$2)/$Q$2))</f>
        <v>6659.737470413</v>
      </c>
      <c r="M171" s="15" t="n">
        <f aca="false">L171*(1+IF(M$3&lt;=$O$2,$D171,$D171-($D171-$I$157)*MIN(M$3-$O$2,$Q$2)/$Q$2))</f>
        <v>6861.43425342733</v>
      </c>
      <c r="N171" s="15" t="n">
        <f aca="false">M171*(1+IF(N$3&lt;=$O$2,$D171,$D171-($D171-$I$157)*MIN(N$3-$O$2,$Q$2)/$Q$2))</f>
        <v>7124.2271853336</v>
      </c>
      <c r="O171" s="15" t="n">
        <f aca="false">SUMPRODUCT(E171:N171,1/(1+$F$157)^$E$3:$N$3)*$E$2</f>
        <v>8565.03611094534</v>
      </c>
      <c r="P171" s="15" t="n">
        <f aca="false">N171*$E$2*(1+$I$157)/($F$157-$I$157)/(1+$F$157)^$N$3</f>
        <v>14030.5208593018</v>
      </c>
      <c r="Q171" s="15" t="n">
        <f aca="false">O171+P171</f>
        <v>22595.5569702471</v>
      </c>
      <c r="R171" s="15" t="n">
        <f aca="false">Q171-$G$2+$I$2</f>
        <v>17295.6569702471</v>
      </c>
      <c r="S171" s="42" t="n">
        <f aca="false">R171/$K$2</f>
        <v>147.222139685454</v>
      </c>
      <c r="T171" s="43" t="n">
        <f aca="false">S171-$M$2</f>
        <v>0.0481526238262973</v>
      </c>
    </row>
    <row r="172" customFormat="false" ht="15" hidden="false" customHeight="false" outlineLevel="0" collapsed="false">
      <c r="A172" s="5" t="n">
        <v>14</v>
      </c>
      <c r="B172" s="25" t="n">
        <f aca="false">IF(T171&gt;0,B171,D171)</f>
        <v>-0.001953125</v>
      </c>
      <c r="C172" s="25" t="n">
        <f aca="false">IF(T171&gt;0,D171,C171)</f>
        <v>-0.00177001953125</v>
      </c>
      <c r="D172" s="41" t="n">
        <f aca="false">(B172+C172)/2</f>
        <v>-0.001861572265625</v>
      </c>
      <c r="E172" s="15" t="n">
        <f aca="false">$C$2*(1+IF(E$3&lt;=$O$2,$D172,$D172-($D172-$I$157)*MIN(E$3-$O$2,$Q$2)/$Q$2))</f>
        <v>6428.01147460938</v>
      </c>
      <c r="F172" s="15" t="n">
        <f aca="false">E172*(1+IF(F$3&lt;=$O$2,$D172,$D172-($D172-$I$157)*MIN(F$3-$O$2,$Q$2)/$Q$2))</f>
        <v>6416.04526672512</v>
      </c>
      <c r="G172" s="15" t="n">
        <f aca="false">F172*(1+IF(G$3&lt;=$O$2,$D172,$D172-($D172-$I$157)*MIN(G$3-$O$2,$Q$2)/$Q$2))</f>
        <v>6404.10133480159</v>
      </c>
      <c r="H172" s="15" t="n">
        <f aca="false">G172*(1+IF(H$3&lt;=$O$2,$D172,$D172-($D172-$I$157)*MIN(H$3-$O$2,$Q$2)/$Q$2))</f>
        <v>6392.17963737048</v>
      </c>
      <c r="I172" s="15" t="n">
        <f aca="false">H172*(1+IF(I$3&lt;=$O$2,$D172,$D172-($D172-$I$157)*MIN(I$3-$O$2,$Q$2)/$Q$2))</f>
        <v>6380.28013304065</v>
      </c>
      <c r="J172" s="15" t="n">
        <f aca="false">I172*(1+IF(J$3&lt;=$O$2,$D172,$D172-($D172-$I$157)*MIN(J$3-$O$2,$Q$2)/$Q$2))</f>
        <v>6419.65119682568</v>
      </c>
      <c r="K172" s="15" t="n">
        <f aca="false">J172*(1+IF(K$3&lt;=$O$2,$D172,$D172-($D172-$I$157)*MIN(K$3-$O$2,$Q$2)/$Q$2))</f>
        <v>6510.82986638725</v>
      </c>
      <c r="L172" s="15" t="n">
        <f aca="false">K172*(1+IF(L$3&lt;=$O$2,$D172,$D172-($D172-$I$157)*MIN(L$3-$O$2,$Q$2)/$Q$2))</f>
        <v>6655.60058459464</v>
      </c>
      <c r="M172" s="15" t="n">
        <f aca="false">L172*(1+IF(M$3&lt;=$O$2,$D172,$D172-($D172-$I$157)*MIN(M$3-$O$2,$Q$2)/$Q$2))</f>
        <v>6857.05021021475</v>
      </c>
      <c r="N172" s="15" t="n">
        <f aca="false">M172*(1+IF(N$3&lt;=$O$2,$D172,$D172-($D172-$I$157)*MIN(N$3-$O$2,$Q$2)/$Q$2))</f>
        <v>7119.67523326597</v>
      </c>
      <c r="O172" s="15" t="n">
        <f aca="false">SUMPRODUCT(E172:N172,1/(1+$F$157)^$E$3:$N$3)*$E$2</f>
        <v>8561.61661365351</v>
      </c>
      <c r="P172" s="15" t="n">
        <f aca="false">N172*$E$2*(1+$I$157)/($F$157-$I$157)/(1+$F$157)^$N$3</f>
        <v>14021.5562015538</v>
      </c>
      <c r="Q172" s="15" t="n">
        <f aca="false">O172+P172</f>
        <v>22583.1728152073</v>
      </c>
      <c r="R172" s="15" t="n">
        <f aca="false">Q172-$G$2+$I$2</f>
        <v>17283.2728152073</v>
      </c>
      <c r="S172" s="42" t="n">
        <f aca="false">R172/$K$2</f>
        <v>147.116724678305</v>
      </c>
      <c r="T172" s="43" t="n">
        <f aca="false">S172-$M$2</f>
        <v>-0.057262383322211</v>
      </c>
    </row>
    <row r="173" customFormat="false" ht="15" hidden="false" customHeight="false" outlineLevel="0" collapsed="false">
      <c r="A173" s="5" t="n">
        <v>15</v>
      </c>
      <c r="B173" s="25" t="n">
        <f aca="false">IF(T172&gt;0,B172,D172)</f>
        <v>-0.001861572265625</v>
      </c>
      <c r="C173" s="25" t="n">
        <f aca="false">IF(T172&gt;0,D172,C172)</f>
        <v>-0.00177001953125</v>
      </c>
      <c r="D173" s="41" t="n">
        <f aca="false">(B173+C173)/2</f>
        <v>-0.0018157958984375</v>
      </c>
      <c r="E173" s="15" t="n">
        <f aca="false">$C$2*(1+IF(E$3&lt;=$O$2,$D173,$D173-($D173-$I$157)*MIN(E$3-$O$2,$Q$2)/$Q$2))</f>
        <v>6428.30627441406</v>
      </c>
      <c r="F173" s="15" t="n">
        <f aca="false">E173*(1+IF(F$3&lt;=$O$2,$D173,$D173-($D173-$I$157)*MIN(F$3-$O$2,$Q$2)/$Q$2))</f>
        <v>6416.63378224708</v>
      </c>
      <c r="G173" s="15" t="n">
        <f aca="false">F173*(1+IF(G$3&lt;=$O$2,$D173,$D173-($D173-$I$157)*MIN(G$3-$O$2,$Q$2)/$Q$2))</f>
        <v>6404.9824849435</v>
      </c>
      <c r="H173" s="15" t="n">
        <f aca="false">G173*(1+IF(H$3&lt;=$O$2,$D173,$D173-($D173-$I$157)*MIN(H$3-$O$2,$Q$2)/$Q$2))</f>
        <v>6393.35234401778</v>
      </c>
      <c r="I173" s="15" t="n">
        <f aca="false">H173*(1+IF(I$3&lt;=$O$2,$D173,$D173-($D173-$I$157)*MIN(I$3-$O$2,$Q$2)/$Q$2))</f>
        <v>6381.74332105424</v>
      </c>
      <c r="J173" s="15" t="n">
        <f aca="false">I173*(1+IF(J$3&lt;=$O$2,$D173,$D173-($D173-$I$157)*MIN(J$3-$O$2,$Q$2)/$Q$2))</f>
        <v>6421.35712021572</v>
      </c>
      <c r="K173" s="15" t="n">
        <f aca="false">J173*(1+IF(K$3&lt;=$O$2,$D173,$D173-($D173-$I$157)*MIN(K$3-$O$2,$Q$2)/$Q$2))</f>
        <v>6512.73638694465</v>
      </c>
      <c r="L173" s="15" t="n">
        <f aca="false">K173*(1+IF(L$3&lt;=$O$2,$D173,$D173-($D173-$I$157)*MIN(L$3-$O$2,$Q$2)/$Q$2))</f>
        <v>6657.66874910903</v>
      </c>
      <c r="M173" s="15" t="n">
        <f aca="false">L173*(1+IF(M$3&lt;=$O$2,$D173,$D173-($D173-$I$157)*MIN(M$3-$O$2,$Q$2)/$Q$2))</f>
        <v>6859.24192606017</v>
      </c>
      <c r="N173" s="15" t="n">
        <f aca="false">M173*(1+IF(N$3&lt;=$O$2,$D173,$D173-($D173-$I$157)*MIN(N$3-$O$2,$Q$2)/$Q$2))</f>
        <v>7121.95089182828</v>
      </c>
      <c r="O173" s="15" t="n">
        <f aca="false">SUMPRODUCT(E173:N173,1/(1+$F$157)^$E$3:$N$3)*$E$2</f>
        <v>8563.3261875376</v>
      </c>
      <c r="P173" s="15" t="n">
        <f aca="false">N173*$E$2*(1+$I$157)/($F$157-$I$157)/(1+$F$157)^$N$3</f>
        <v>14026.0379051964</v>
      </c>
      <c r="Q173" s="15" t="n">
        <f aca="false">O173+P173</f>
        <v>22589.364092734</v>
      </c>
      <c r="R173" s="15" t="n">
        <f aca="false">Q173-$G$2+$I$2</f>
        <v>17289.464092734</v>
      </c>
      <c r="S173" s="42" t="n">
        <f aca="false">R173/$K$2</f>
        <v>147.169425372267</v>
      </c>
      <c r="T173" s="43" t="n">
        <f aca="false">S173-$M$2</f>
        <v>-0.00456168936008794</v>
      </c>
    </row>
    <row r="174" customFormat="false" ht="15" hidden="false" customHeight="false" outlineLevel="0" collapsed="false">
      <c r="A174" s="5" t="n">
        <v>16</v>
      </c>
      <c r="B174" s="25" t="n">
        <f aca="false">IF(T173&gt;0,B173,D173)</f>
        <v>-0.0018157958984375</v>
      </c>
      <c r="C174" s="25" t="n">
        <f aca="false">IF(T173&gt;0,D173,C173)</f>
        <v>-0.00177001953125</v>
      </c>
      <c r="D174" s="41" t="n">
        <f aca="false">(B174+C174)/2</f>
        <v>-0.00179290771484375</v>
      </c>
      <c r="E174" s="15" t="n">
        <f aca="false">$C$2*(1+IF(E$3&lt;=$O$2,$D174,$D174-($D174-$I$157)*MIN(E$3-$O$2,$Q$2)/$Q$2))</f>
        <v>6428.45367431641</v>
      </c>
      <c r="F174" s="15" t="n">
        <f aca="false">E174*(1+IF(F$3&lt;=$O$2,$D174,$D174-($D174-$I$157)*MIN(F$3-$O$2,$Q$2)/$Q$2))</f>
        <v>6416.92805012921</v>
      </c>
      <c r="G174" s="15" t="n">
        <f aca="false">F174*(1+IF(G$3&lt;=$O$2,$D174,$D174-($D174-$I$157)*MIN(G$3-$O$2,$Q$2)/$Q$2))</f>
        <v>6405.42309032254</v>
      </c>
      <c r="H174" s="15" t="n">
        <f aca="false">G174*(1+IF(H$3&lt;=$O$2,$D174,$D174-($D174-$I$157)*MIN(H$3-$O$2,$Q$2)/$Q$2))</f>
        <v>6393.93875784706</v>
      </c>
      <c r="I174" s="15" t="n">
        <f aca="false">H174*(1+IF(I$3&lt;=$O$2,$D174,$D174-($D174-$I$157)*MIN(I$3-$O$2,$Q$2)/$Q$2))</f>
        <v>6382.47501571988</v>
      </c>
      <c r="J174" s="15" t="n">
        <f aca="false">I174*(1+IF(J$3&lt;=$O$2,$D174,$D174-($D174-$I$157)*MIN(J$3-$O$2,$Q$2)/$Q$2))</f>
        <v>6422.2102233839</v>
      </c>
      <c r="K174" s="15" t="n">
        <f aca="false">J174*(1+IF(K$3&lt;=$O$2,$D174,$D174-($D174-$I$157)*MIN(K$3-$O$2,$Q$2)/$Q$2))</f>
        <v>6513.68982585263</v>
      </c>
      <c r="L174" s="15" t="n">
        <f aca="false">K174*(1+IF(L$3&lt;=$O$2,$D174,$D174-($D174-$I$157)*MIN(L$3-$O$2,$Q$2)/$Q$2))</f>
        <v>6658.70304015438</v>
      </c>
      <c r="M174" s="15" t="n">
        <f aca="false">L174*(1+IF(M$3&lt;=$O$2,$D174,$D174-($D174-$I$157)*MIN(M$3-$O$2,$Q$2)/$Q$2))</f>
        <v>6860.3380132944</v>
      </c>
      <c r="N174" s="15" t="n">
        <f aca="false">M174*(1+IF(N$3&lt;=$O$2,$D174,$D174-($D174-$I$157)*MIN(N$3-$O$2,$Q$2)/$Q$2))</f>
        <v>7123.08895920358</v>
      </c>
      <c r="O174" s="15" t="n">
        <f aca="false">SUMPRODUCT(E174:N174,1/(1+$F$157)^$E$3:$N$3)*$E$2</f>
        <v>8564.18110554678</v>
      </c>
      <c r="P174" s="15" t="n">
        <f aca="false">N174*$E$2*(1+$I$157)/($F$157-$I$157)/(1+$F$157)^$N$3</f>
        <v>14028.2792259225</v>
      </c>
      <c r="Q174" s="15" t="n">
        <f aca="false">O174+P174</f>
        <v>22592.4603314693</v>
      </c>
      <c r="R174" s="15" t="n">
        <f aca="false">Q174-$G$2+$I$2</f>
        <v>17292.5603314693</v>
      </c>
      <c r="S174" s="42" t="n">
        <f aca="false">R174/$K$2</f>
        <v>147.195780826263</v>
      </c>
      <c r="T174" s="43" t="n">
        <f aca="false">S174-$M$2</f>
        <v>0.0217937646350208</v>
      </c>
    </row>
    <row r="175" customFormat="false" ht="15" hidden="false" customHeight="false" outlineLevel="0" collapsed="false">
      <c r="A175" s="5" t="n">
        <v>17</v>
      </c>
      <c r="B175" s="25" t="n">
        <f aca="false">IF(T174&gt;0,B174,D174)</f>
        <v>-0.0018157958984375</v>
      </c>
      <c r="C175" s="25" t="n">
        <f aca="false">IF(T174&gt;0,D174,C174)</f>
        <v>-0.00179290771484375</v>
      </c>
      <c r="D175" s="41" t="n">
        <f aca="false">(B175+C175)/2</f>
        <v>-0.00180435180664063</v>
      </c>
      <c r="E175" s="15" t="n">
        <f aca="false">$C$2*(1+IF(E$3&lt;=$O$2,$D175,$D175-($D175-$I$157)*MIN(E$3-$O$2,$Q$2)/$Q$2))</f>
        <v>6428.37997436523</v>
      </c>
      <c r="F175" s="15" t="n">
        <f aca="false">E175*(1+IF(F$3&lt;=$O$2,$D175,$D175-($D175-$I$157)*MIN(F$3-$O$2,$Q$2)/$Q$2))</f>
        <v>6416.78091534472</v>
      </c>
      <c r="G175" s="15" t="n">
        <f aca="false">F175*(1+IF(G$3&lt;=$O$2,$D175,$D175-($D175-$I$157)*MIN(G$3-$O$2,$Q$2)/$Q$2))</f>
        <v>6405.2027851073</v>
      </c>
      <c r="H175" s="15" t="n">
        <f aca="false">G175*(1+IF(H$3&lt;=$O$2,$D175,$D175-($D175-$I$157)*MIN(H$3-$O$2,$Q$2)/$Q$2))</f>
        <v>6393.64554589009</v>
      </c>
      <c r="I175" s="15" t="n">
        <f aca="false">H175*(1+IF(I$3&lt;=$O$2,$D175,$D175-($D175-$I$157)*MIN(I$3-$O$2,$Q$2)/$Q$2))</f>
        <v>6382.10915999834</v>
      </c>
      <c r="J175" s="15" t="n">
        <f aca="false">I175*(1+IF(J$3&lt;=$O$2,$D175,$D175-($D175-$I$157)*MIN(J$3-$O$2,$Q$2)/$Q$2))</f>
        <v>6421.78366000951</v>
      </c>
      <c r="K175" s="15" t="n">
        <f aca="false">J175*(1+IF(K$3&lt;=$O$2,$D175,$D175-($D175-$I$157)*MIN(K$3-$O$2,$Q$2)/$Q$2))</f>
        <v>6513.21309151158</v>
      </c>
      <c r="L175" s="15" t="n">
        <f aca="false">K175*(1+IF(L$3&lt;=$O$2,$D175,$D175-($D175-$I$157)*MIN(L$3-$O$2,$Q$2)/$Q$2))</f>
        <v>6658.18587723104</v>
      </c>
      <c r="M175" s="15" t="n">
        <f aca="false">L175*(1+IF(M$3&lt;=$O$2,$D175,$D175-($D175-$I$157)*MIN(M$3-$O$2,$Q$2)/$Q$2))</f>
        <v>6859.78995056609</v>
      </c>
      <c r="N175" s="15" t="n">
        <f aca="false">M175*(1+IF(N$3&lt;=$O$2,$D175,$D175-($D175-$I$157)*MIN(N$3-$O$2,$Q$2)/$Q$2))</f>
        <v>7122.51990567277</v>
      </c>
      <c r="O175" s="15" t="n">
        <f aca="false">SUMPRODUCT(E175:N175,1/(1+$F$157)^$E$3:$N$3)*$E$2</f>
        <v>8563.75363561905</v>
      </c>
      <c r="P175" s="15" t="n">
        <f aca="false">N175*$E$2*(1+$I$157)/($F$157-$I$157)/(1+$F$157)^$N$3</f>
        <v>14027.1585264802</v>
      </c>
      <c r="Q175" s="15" t="n">
        <f aca="false">O175+P175</f>
        <v>22590.9121620992</v>
      </c>
      <c r="R175" s="15" t="n">
        <f aca="false">Q175-$G$2+$I$2</f>
        <v>17291.0121620992</v>
      </c>
      <c r="S175" s="42" t="n">
        <f aca="false">R175/$K$2</f>
        <v>147.18260267364</v>
      </c>
      <c r="T175" s="43" t="n">
        <f aca="false">S175-$M$2</f>
        <v>0.00861561201233485</v>
      </c>
    </row>
    <row r="176" customFormat="false" ht="15" hidden="false" customHeight="false" outlineLevel="0" collapsed="false">
      <c r="A176" s="5" t="n">
        <v>18</v>
      </c>
      <c r="B176" s="25" t="n">
        <f aca="false">IF(T175&gt;0,B175,D175)</f>
        <v>-0.0018157958984375</v>
      </c>
      <c r="C176" s="25" t="n">
        <f aca="false">IF(T175&gt;0,D175,C175)</f>
        <v>-0.00180435180664063</v>
      </c>
      <c r="D176" s="41" t="n">
        <f aca="false">(B176+C176)/2</f>
        <v>-0.00181007385253906</v>
      </c>
      <c r="E176" s="15" t="n">
        <f aca="false">$C$2*(1+IF(E$3&lt;=$O$2,$D176,$D176-($D176-$I$157)*MIN(E$3-$O$2,$Q$2)/$Q$2))</f>
        <v>6428.34312438965</v>
      </c>
      <c r="F176" s="15" t="n">
        <f aca="false">E176*(1+IF(F$3&lt;=$O$2,$D176,$D176-($D176-$I$157)*MIN(F$3-$O$2,$Q$2)/$Q$2))</f>
        <v>6416.70734858504</v>
      </c>
      <c r="G176" s="15" t="n">
        <f aca="false">F176*(1+IF(G$3&lt;=$O$2,$D176,$D176-($D176-$I$157)*MIN(G$3-$O$2,$Q$2)/$Q$2))</f>
        <v>6405.09263439397</v>
      </c>
      <c r="H176" s="15" t="n">
        <f aca="false">G176*(1+IF(H$3&lt;=$O$2,$D176,$D176-($D176-$I$157)*MIN(H$3-$O$2,$Q$2)/$Q$2))</f>
        <v>6393.49894369337</v>
      </c>
      <c r="I176" s="15" t="n">
        <f aca="false">H176*(1+IF(I$3&lt;=$O$2,$D176,$D176-($D176-$I$157)*MIN(I$3-$O$2,$Q$2)/$Q$2))</f>
        <v>6381.92623842915</v>
      </c>
      <c r="J176" s="15" t="n">
        <f aca="false">I176*(1+IF(J$3&lt;=$O$2,$D176,$D176-($D176-$I$157)*MIN(J$3-$O$2,$Q$2)/$Q$2))</f>
        <v>6421.57038716511</v>
      </c>
      <c r="K176" s="15" t="n">
        <f aca="false">J176*(1+IF(K$3&lt;=$O$2,$D176,$D176-($D176-$I$157)*MIN(K$3-$O$2,$Q$2)/$Q$2))</f>
        <v>6512.97473550645</v>
      </c>
      <c r="L176" s="15" t="n">
        <f aca="false">K176*(1+IF(L$3&lt;=$O$2,$D176,$D176-($D176-$I$157)*MIN(L$3-$O$2,$Q$2)/$Q$2))</f>
        <v>6657.92730881999</v>
      </c>
      <c r="M176" s="15" t="n">
        <f aca="false">L176*(1+IF(M$3&lt;=$O$2,$D176,$D176-($D176-$I$157)*MIN(M$3-$O$2,$Q$2)/$Q$2))</f>
        <v>6859.51593353548</v>
      </c>
      <c r="N176" s="15" t="n">
        <f aca="false">M176*(1+IF(N$3&lt;=$O$2,$D176,$D176-($D176-$I$157)*MIN(N$3-$O$2,$Q$2)/$Q$2))</f>
        <v>7122.23539378989</v>
      </c>
      <c r="O176" s="15" t="n">
        <f aca="false">SUMPRODUCT(E176:N176,1/(1+$F$157)^$E$3:$N$3)*$E$2</f>
        <v>8563.5399088476</v>
      </c>
      <c r="P176" s="15" t="n">
        <f aca="false">N176*$E$2*(1+$I$157)/($F$157-$I$157)/(1+$F$157)^$N$3</f>
        <v>14026.5982060687</v>
      </c>
      <c r="Q176" s="15" t="n">
        <f aca="false">O176+P176</f>
        <v>22590.1381149163</v>
      </c>
      <c r="R176" s="15" t="n">
        <f aca="false">Q176-$G$2+$I$2</f>
        <v>17290.2381149163</v>
      </c>
      <c r="S176" s="42" t="n">
        <f aca="false">R176/$K$2</f>
        <v>147.17601391655</v>
      </c>
      <c r="T176" s="43" t="n">
        <f aca="false">S176-$M$2</f>
        <v>0.00202685492288879</v>
      </c>
    </row>
    <row r="177" customFormat="false" ht="15" hidden="false" customHeight="false" outlineLevel="0" collapsed="false">
      <c r="A177" s="5" t="n">
        <v>19</v>
      </c>
      <c r="B177" s="25" t="n">
        <f aca="false">IF(T176&gt;0,B176,D176)</f>
        <v>-0.0018157958984375</v>
      </c>
      <c r="C177" s="25" t="n">
        <f aca="false">IF(T176&gt;0,D176,C176)</f>
        <v>-0.00181007385253906</v>
      </c>
      <c r="D177" s="41" t="n">
        <f aca="false">(B177+C177)/2</f>
        <v>-0.00181293487548828</v>
      </c>
      <c r="E177" s="15" t="n">
        <f aca="false">$C$2*(1+IF(E$3&lt;=$O$2,$D177,$D177-($D177-$I$157)*MIN(E$3-$O$2,$Q$2)/$Q$2))</f>
        <v>6428.32469940186</v>
      </c>
      <c r="F177" s="15" t="n">
        <f aca="false">E177*(1+IF(F$3&lt;=$O$2,$D177,$D177-($D177-$I$157)*MIN(F$3-$O$2,$Q$2)/$Q$2))</f>
        <v>6416.67056536335</v>
      </c>
      <c r="G177" s="15" t="n">
        <f aca="false">F177*(1+IF(G$3&lt;=$O$2,$D177,$D177-($D177-$I$157)*MIN(G$3-$O$2,$Q$2)/$Q$2))</f>
        <v>6405.03755951088</v>
      </c>
      <c r="H177" s="15" t="n">
        <f aca="false">G177*(1+IF(H$3&lt;=$O$2,$D177,$D177-($D177-$I$157)*MIN(H$3-$O$2,$Q$2)/$Q$2))</f>
        <v>6393.42564354043</v>
      </c>
      <c r="I177" s="15" t="n">
        <f aca="false">H177*(1+IF(I$3&lt;=$O$2,$D177,$D177-($D177-$I$157)*MIN(I$3-$O$2,$Q$2)/$Q$2))</f>
        <v>6381.83477921742</v>
      </c>
      <c r="J177" s="15" t="n">
        <f aca="false">I177*(1+IF(J$3&lt;=$O$2,$D177,$D177-($D177-$I$157)*MIN(J$3-$O$2,$Q$2)/$Q$2))</f>
        <v>6421.46375295354</v>
      </c>
      <c r="K177" s="15" t="n">
        <f aca="false">J177*(1+IF(K$3&lt;=$O$2,$D177,$D177-($D177-$I$157)*MIN(K$3-$O$2,$Q$2)/$Q$2))</f>
        <v>6512.85556029514</v>
      </c>
      <c r="L177" s="15" t="n">
        <f aca="false">K177*(1+IF(L$3&lt;=$O$2,$D177,$D177-($D177-$I$157)*MIN(L$3-$O$2,$Q$2)/$Q$2))</f>
        <v>6657.79802787702</v>
      </c>
      <c r="M177" s="15" t="n">
        <f aca="false">L177*(1+IF(M$3&lt;=$O$2,$D177,$D177-($D177-$I$157)*MIN(M$3-$O$2,$Q$2)/$Q$2))</f>
        <v>6859.37892860343</v>
      </c>
      <c r="N177" s="15" t="n">
        <f aca="false">M177*(1+IF(N$3&lt;=$O$2,$D177,$D177-($D177-$I$157)*MIN(N$3-$O$2,$Q$2)/$Q$2))</f>
        <v>7122.09314156894</v>
      </c>
      <c r="O177" s="15" t="n">
        <f aca="false">SUMPRODUCT(E177:N177,1/(1+$F$157)^$E$3:$N$3)*$E$2</f>
        <v>8563.43304750993</v>
      </c>
      <c r="P177" s="15" t="n">
        <f aca="false">N177*$E$2*(1+$I$157)/($F$157-$I$157)/(1+$F$157)^$N$3</f>
        <v>14026.3180531902</v>
      </c>
      <c r="Q177" s="15" t="n">
        <f aca="false">O177+P177</f>
        <v>22589.7511007001</v>
      </c>
      <c r="R177" s="15" t="n">
        <f aca="false">Q177-$G$2+$I$2</f>
        <v>17289.8511007001</v>
      </c>
      <c r="S177" s="42" t="n">
        <f aca="false">R177/$K$2</f>
        <v>147.172719617808</v>
      </c>
      <c r="T177" s="43" t="n">
        <f aca="false">S177-$M$2</f>
        <v>-0.00126744381907429</v>
      </c>
    </row>
    <row r="178" customFormat="false" ht="15" hidden="false" customHeight="false" outlineLevel="0" collapsed="false">
      <c r="A178" s="5" t="n">
        <v>20</v>
      </c>
      <c r="B178" s="25" t="n">
        <f aca="false">IF(T177&gt;0,B177,D177)</f>
        <v>-0.00181293487548828</v>
      </c>
      <c r="C178" s="25" t="n">
        <f aca="false">IF(T177&gt;0,D177,C177)</f>
        <v>-0.00181007385253906</v>
      </c>
      <c r="D178" s="41" t="n">
        <f aca="false">(B178+C178)/2</f>
        <v>-0.00181150436401367</v>
      </c>
      <c r="E178" s="15" t="n">
        <f aca="false">$C$2*(1+IF(E$3&lt;=$O$2,$D178,$D178-($D178-$I$157)*MIN(E$3-$O$2,$Q$2)/$Q$2))</f>
        <v>6428.33391189575</v>
      </c>
      <c r="F178" s="15" t="n">
        <f aca="false">E178*(1+IF(F$3&lt;=$O$2,$D178,$D178-($D178-$I$157)*MIN(F$3-$O$2,$Q$2)/$Q$2))</f>
        <v>6416.68895696102</v>
      </c>
      <c r="G178" s="15" t="n">
        <f aca="false">F178*(1+IF(G$3&lt;=$O$2,$D178,$D178-($D178-$I$157)*MIN(G$3-$O$2,$Q$2)/$Q$2))</f>
        <v>6405.06509691296</v>
      </c>
      <c r="H178" s="15" t="n">
        <f aca="false">G178*(1+IF(H$3&lt;=$O$2,$D178,$D178-($D178-$I$157)*MIN(H$3-$O$2,$Q$2)/$Q$2))</f>
        <v>6393.46229353811</v>
      </c>
      <c r="I178" s="15" t="n">
        <f aca="false">H178*(1+IF(I$3&lt;=$O$2,$D178,$D178-($D178-$I$157)*MIN(I$3-$O$2,$Q$2)/$Q$2))</f>
        <v>6381.88050869221</v>
      </c>
      <c r="J178" s="15" t="n">
        <f aca="false">I178*(1+IF(J$3&lt;=$O$2,$D178,$D178-($D178-$I$157)*MIN(J$3-$O$2,$Q$2)/$Q$2))</f>
        <v>6421.51706987511</v>
      </c>
      <c r="K178" s="15" t="n">
        <f aca="false">J178*(1+IF(K$3&lt;=$O$2,$D178,$D178-($D178-$I$157)*MIN(K$3-$O$2,$Q$2)/$Q$2))</f>
        <v>6512.91514766819</v>
      </c>
      <c r="L178" s="15" t="n">
        <f aca="false">K178*(1+IF(L$3&lt;=$O$2,$D178,$D178-($D178-$I$157)*MIN(L$3-$O$2,$Q$2)/$Q$2))</f>
        <v>6657.86266807663</v>
      </c>
      <c r="M178" s="15" t="n">
        <f aca="false">L178*(1+IF(M$3&lt;=$O$2,$D178,$D178-($D178-$I$157)*MIN(M$3-$O$2,$Q$2)/$Q$2))</f>
        <v>6859.44743077085</v>
      </c>
      <c r="N178" s="15" t="n">
        <f aca="false">M178*(1+IF(N$3&lt;=$O$2,$D178,$D178-($D178-$I$157)*MIN(N$3-$O$2,$Q$2)/$Q$2))</f>
        <v>7122.16426736937</v>
      </c>
      <c r="O178" s="15" t="n">
        <f aca="false">SUMPRODUCT(E178:N178,1/(1+$F$157)^$E$3:$N$3)*$E$2</f>
        <v>8563.4864780081</v>
      </c>
      <c r="P178" s="15" t="n">
        <f aca="false">N178*$E$2*(1+$I$157)/($F$157-$I$157)/(1+$F$157)^$N$3</f>
        <v>14026.4581290189</v>
      </c>
      <c r="Q178" s="15" t="n">
        <f aca="false">O178+P178</f>
        <v>22589.944607027</v>
      </c>
      <c r="R178" s="15" t="n">
        <f aca="false">Q178-$G$2+$I$2</f>
        <v>17290.044607027</v>
      </c>
      <c r="S178" s="42" t="n">
        <f aca="false">R178/$K$2</f>
        <v>147.174366760529</v>
      </c>
      <c r="T178" s="43" t="n">
        <f aca="false">S178-$M$2</f>
        <v>0.000379698901724623</v>
      </c>
    </row>
    <row r="179" customFormat="false" ht="15" hidden="false" customHeight="false" outlineLevel="0" collapsed="false">
      <c r="A179" s="5" t="n">
        <v>21</v>
      </c>
      <c r="B179" s="25" t="n">
        <f aca="false">IF(T178&gt;0,B178,D178)</f>
        <v>-0.00181293487548828</v>
      </c>
      <c r="C179" s="25" t="n">
        <f aca="false">IF(T178&gt;0,D178,C178)</f>
        <v>-0.00181150436401367</v>
      </c>
      <c r="D179" s="41" t="n">
        <f aca="false">(B179+C179)/2</f>
        <v>-0.00181221961975098</v>
      </c>
      <c r="E179" s="15" t="n">
        <f aca="false">$C$2*(1+IF(E$3&lt;=$O$2,$D179,$D179-($D179-$I$157)*MIN(E$3-$O$2,$Q$2)/$Q$2))</f>
        <v>6428.3293056488</v>
      </c>
      <c r="F179" s="15" t="n">
        <f aca="false">E179*(1+IF(F$3&lt;=$O$2,$D179,$D179-($D179-$I$157)*MIN(F$3-$O$2,$Q$2)/$Q$2))</f>
        <v>6416.67976115889</v>
      </c>
      <c r="G179" s="15" t="n">
        <f aca="false">F179*(1+IF(G$3&lt;=$O$2,$D179,$D179-($D179-$I$157)*MIN(G$3-$O$2,$Q$2)/$Q$2))</f>
        <v>6405.05132820206</v>
      </c>
      <c r="H179" s="15" t="n">
        <f aca="false">G179*(1+IF(H$3&lt;=$O$2,$D179,$D179-($D179-$I$157)*MIN(H$3-$O$2,$Q$2)/$Q$2))</f>
        <v>6393.44396851958</v>
      </c>
      <c r="I179" s="15" t="n">
        <f aca="false">H179*(1+IF(I$3&lt;=$O$2,$D179,$D179-($D179-$I$157)*MIN(I$3-$O$2,$Q$2)/$Q$2))</f>
        <v>6381.85764392205</v>
      </c>
      <c r="J179" s="15" t="n">
        <f aca="false">I179*(1+IF(J$3&lt;=$O$2,$D179,$D179-($D179-$I$157)*MIN(J$3-$O$2,$Q$2)/$Q$2))</f>
        <v>6421.49041136827</v>
      </c>
      <c r="K179" s="15" t="n">
        <f aca="false">J179*(1+IF(K$3&lt;=$O$2,$D179,$D179-($D179-$I$157)*MIN(K$3-$O$2,$Q$2)/$Q$2))</f>
        <v>6512.88535392352</v>
      </c>
      <c r="L179" s="15" t="n">
        <f aca="false">K179*(1+IF(L$3&lt;=$O$2,$D179,$D179-($D179-$I$157)*MIN(L$3-$O$2,$Q$2)/$Q$2))</f>
        <v>6657.83034790885</v>
      </c>
      <c r="M179" s="15" t="n">
        <f aca="false">L179*(1+IF(M$3&lt;=$O$2,$D179,$D179-($D179-$I$157)*MIN(M$3-$O$2,$Q$2)/$Q$2))</f>
        <v>6859.41317961249</v>
      </c>
      <c r="N179" s="15" t="n">
        <f aca="false">M179*(1+IF(N$3&lt;=$O$2,$D179,$D179-($D179-$I$157)*MIN(N$3-$O$2,$Q$2)/$Q$2))</f>
        <v>7122.12870439165</v>
      </c>
      <c r="O179" s="15" t="n">
        <f aca="false">SUMPRODUCT(E179:N179,1/(1+$F$157)^$E$3:$N$3)*$E$2</f>
        <v>8563.45976271634</v>
      </c>
      <c r="P179" s="15" t="n">
        <f aca="false">N179*$E$2*(1+$I$157)/($F$157-$I$157)/(1+$F$157)^$N$3</f>
        <v>14026.3880909519</v>
      </c>
      <c r="Q179" s="15" t="n">
        <f aca="false">O179+P179</f>
        <v>22589.8478536682</v>
      </c>
      <c r="R179" s="15" t="n">
        <f aca="false">Q179-$G$2+$I$2</f>
        <v>17289.9478536682</v>
      </c>
      <c r="S179" s="42" t="n">
        <f aca="false">R179/$K$2</f>
        <v>147.173543187506</v>
      </c>
      <c r="T179" s="43" t="n">
        <f aca="false">S179-$M$2</f>
        <v>-0.000443874121202725</v>
      </c>
    </row>
    <row r="180" customFormat="false" ht="15" hidden="false" customHeight="false" outlineLevel="0" collapsed="false">
      <c r="A180" s="5" t="n">
        <v>22</v>
      </c>
      <c r="B180" s="25" t="n">
        <f aca="false">IF(T179&gt;0,B179,D179)</f>
        <v>-0.00181221961975098</v>
      </c>
      <c r="C180" s="25" t="n">
        <f aca="false">IF(T179&gt;0,D179,C179)</f>
        <v>-0.00181150436401367</v>
      </c>
      <c r="D180" s="41" t="n">
        <f aca="false">(B180+C180)/2</f>
        <v>-0.00181186199188232</v>
      </c>
      <c r="E180" s="15" t="n">
        <f aca="false">$C$2*(1+IF(E$3&lt;=$O$2,$D180,$D180-($D180-$I$157)*MIN(E$3-$O$2,$Q$2)/$Q$2))</f>
        <v>6428.33160877228</v>
      </c>
      <c r="F180" s="15" t="n">
        <f aca="false">E180*(1+IF(F$3&lt;=$O$2,$D180,$D180-($D180-$I$157)*MIN(F$3-$O$2,$Q$2)/$Q$2))</f>
        <v>6416.68435905913</v>
      </c>
      <c r="G180" s="15" t="n">
        <f aca="false">F180*(1+IF(G$3&lt;=$O$2,$D180,$D180-($D180-$I$157)*MIN(G$3-$O$2,$Q$2)/$Q$2))</f>
        <v>6405.05821255504</v>
      </c>
      <c r="H180" s="15" t="n">
        <f aca="false">G180*(1+IF(H$3&lt;=$O$2,$D180,$D180-($D180-$I$157)*MIN(H$3-$O$2,$Q$2)/$Q$2))</f>
        <v>6393.45313102392</v>
      </c>
      <c r="I180" s="15" t="n">
        <f aca="false">H180*(1+IF(I$3&lt;=$O$2,$D180,$D180-($D180-$I$157)*MIN(I$3-$O$2,$Q$2)/$Q$2))</f>
        <v>6381.86907629894</v>
      </c>
      <c r="J180" s="15" t="n">
        <f aca="false">I180*(1+IF(J$3&lt;=$O$2,$D180,$D180-($D180-$I$157)*MIN(J$3-$O$2,$Q$2)/$Q$2))</f>
        <v>6421.50374061018</v>
      </c>
      <c r="K180" s="15" t="n">
        <f aca="false">J180*(1+IF(K$3&lt;=$O$2,$D180,$D180-($D180-$I$157)*MIN(K$3-$O$2,$Q$2)/$Q$2))</f>
        <v>6512.90025078132</v>
      </c>
      <c r="L180" s="15" t="n">
        <f aca="false">K180*(1+IF(L$3&lt;=$O$2,$D180,$D180-($D180-$I$157)*MIN(L$3-$O$2,$Q$2)/$Q$2))</f>
        <v>6657.84650797575</v>
      </c>
      <c r="M180" s="15" t="n">
        <f aca="false">L180*(1+IF(M$3&lt;=$O$2,$D180,$D180-($D180-$I$157)*MIN(M$3-$O$2,$Q$2)/$Q$2))</f>
        <v>6859.43030517301</v>
      </c>
      <c r="N180" s="15" t="n">
        <f aca="false">M180*(1+IF(N$3&lt;=$O$2,$D180,$D180-($D180-$I$157)*MIN(N$3-$O$2,$Q$2)/$Q$2))</f>
        <v>7122.14648586113</v>
      </c>
      <c r="O180" s="15" t="n">
        <f aca="false">SUMPRODUCT(E180:N180,1/(1+$F$157)^$E$3:$N$3)*$E$2</f>
        <v>8563.47312035155</v>
      </c>
      <c r="P180" s="15" t="n">
        <f aca="false">N180*$E$2*(1+$I$157)/($F$157-$I$157)/(1+$F$157)^$N$3</f>
        <v>14026.4231099472</v>
      </c>
      <c r="Q180" s="15" t="n">
        <f aca="false">O180+P180</f>
        <v>22589.8962302988</v>
      </c>
      <c r="R180" s="15" t="n">
        <f aca="false">Q180-$G$2+$I$2</f>
        <v>17289.9962302988</v>
      </c>
      <c r="S180" s="42" t="n">
        <f aca="false">R180/$K$2</f>
        <v>147.173954973602</v>
      </c>
      <c r="T180" s="43" t="n">
        <f aca="false">S180-$M$2</f>
        <v>-3.20880253354972E-005</v>
      </c>
    </row>
    <row r="181" customFormat="false" ht="15" hidden="false" customHeight="false" outlineLevel="0" collapsed="false">
      <c r="A181" s="5" t="n">
        <v>23</v>
      </c>
      <c r="B181" s="25" t="n">
        <f aca="false">IF(T180&gt;0,B180,D180)</f>
        <v>-0.00181186199188232</v>
      </c>
      <c r="C181" s="25" t="n">
        <f aca="false">IF(T180&gt;0,D180,C180)</f>
        <v>-0.00181150436401367</v>
      </c>
      <c r="D181" s="41" t="n">
        <f aca="false">(B181+C181)/2</f>
        <v>-0.001811683177948</v>
      </c>
      <c r="E181" s="15" t="n">
        <f aca="false">$C$2*(1+IF(E$3&lt;=$O$2,$D181,$D181-($D181-$I$157)*MIN(E$3-$O$2,$Q$2)/$Q$2))</f>
        <v>6428.33276033402</v>
      </c>
      <c r="F181" s="15" t="n">
        <f aca="false">E181*(1+IF(F$3&lt;=$O$2,$D181,$D181-($D181-$I$157)*MIN(F$3-$O$2,$Q$2)/$Q$2))</f>
        <v>6416.68665800987</v>
      </c>
      <c r="G181" s="15" t="n">
        <f aca="false">F181*(1+IF(G$3&lt;=$O$2,$D181,$D181-($D181-$I$157)*MIN(G$3-$O$2,$Q$2)/$Q$2))</f>
        <v>6405.06165473339</v>
      </c>
      <c r="H181" s="15" t="n">
        <f aca="false">G181*(1+IF(H$3&lt;=$O$2,$D181,$D181-($D181-$I$157)*MIN(H$3-$O$2,$Q$2)/$Q$2))</f>
        <v>6393.45771227979</v>
      </c>
      <c r="I181" s="15" t="n">
        <f aca="false">H181*(1+IF(I$3&lt;=$O$2,$D181,$D181-($D181-$I$157)*MIN(I$3-$O$2,$Q$2)/$Q$2))</f>
        <v>6381.87479249353</v>
      </c>
      <c r="J181" s="15" t="n">
        <f aca="false">I181*(1+IF(J$3&lt;=$O$2,$D181,$D181-($D181-$I$157)*MIN(J$3-$O$2,$Q$2)/$Q$2))</f>
        <v>6421.51040523976</v>
      </c>
      <c r="K181" s="15" t="n">
        <f aca="false">J181*(1+IF(K$3&lt;=$O$2,$D181,$D181-($D181-$I$157)*MIN(K$3-$O$2,$Q$2)/$Q$2))</f>
        <v>6512.90769922112</v>
      </c>
      <c r="L181" s="15" t="n">
        <f aca="false">K181*(1+IF(L$3&lt;=$O$2,$D181,$D181-($D181-$I$157)*MIN(L$3-$O$2,$Q$2)/$Q$2))</f>
        <v>6657.85458802194</v>
      </c>
      <c r="M181" s="15" t="n">
        <f aca="false">L181*(1+IF(M$3&lt;=$O$2,$D181,$D181-($D181-$I$157)*MIN(M$3-$O$2,$Q$2)/$Q$2))</f>
        <v>6859.43886796726</v>
      </c>
      <c r="N181" s="15" t="n">
        <f aca="false">M181*(1+IF(N$3&lt;=$O$2,$D181,$D181-($D181-$I$157)*MIN(N$3-$O$2,$Q$2)/$Q$2))</f>
        <v>7122.15537661041</v>
      </c>
      <c r="O181" s="15" t="n">
        <f aca="false">SUMPRODUCT(E181:N181,1/(1+$F$157)^$E$3:$N$3)*$E$2</f>
        <v>8563.47979917716</v>
      </c>
      <c r="P181" s="15" t="n">
        <f aca="false">N181*$E$2*(1+$I$157)/($F$157-$I$157)/(1+$F$157)^$N$3</f>
        <v>14026.4406194735</v>
      </c>
      <c r="Q181" s="15" t="n">
        <f aca="false">O181+P181</f>
        <v>22589.9204186507</v>
      </c>
      <c r="R181" s="15" t="n">
        <f aca="false">Q181-$G$2+$I$2</f>
        <v>17290.0204186507</v>
      </c>
      <c r="S181" s="42" t="n">
        <f aca="false">R181/$K$2</f>
        <v>147.174160866962</v>
      </c>
      <c r="T181" s="43" t="n">
        <f aca="false">S181-$M$2</f>
        <v>0.000173805334299004</v>
      </c>
    </row>
    <row r="182" customFormat="false" ht="15" hidden="false" customHeight="false" outlineLevel="0" collapsed="false">
      <c r="A182" s="5" t="n">
        <v>24</v>
      </c>
      <c r="B182" s="25" t="n">
        <f aca="false">IF(T181&gt;0,B181,D181)</f>
        <v>-0.00181186199188232</v>
      </c>
      <c r="C182" s="25" t="n">
        <f aca="false">IF(T181&gt;0,D181,C181)</f>
        <v>-0.001811683177948</v>
      </c>
      <c r="D182" s="41" t="n">
        <f aca="false">(B182+C182)/2</f>
        <v>-0.00181177258491516</v>
      </c>
      <c r="E182" s="15" t="n">
        <f aca="false">$C$2*(1+IF(E$3&lt;=$O$2,$D182,$D182-($D182-$I$157)*MIN(E$3-$O$2,$Q$2)/$Q$2))</f>
        <v>6428.33218455315</v>
      </c>
      <c r="F182" s="15" t="n">
        <f aca="false">E182*(1+IF(F$3&lt;=$O$2,$D182,$D182-($D182-$I$157)*MIN(F$3-$O$2,$Q$2)/$Q$2))</f>
        <v>6416.68550853445</v>
      </c>
      <c r="G182" s="15" t="n">
        <f aca="false">F182*(1+IF(G$3&lt;=$O$2,$D182,$D182-($D182-$I$157)*MIN(G$3-$O$2,$Q$2)/$Q$2))</f>
        <v>6405.05993364406</v>
      </c>
      <c r="H182" s="15" t="n">
        <f aca="false">G182*(1+IF(H$3&lt;=$O$2,$D182,$D182-($D182-$I$157)*MIN(H$3-$O$2,$Q$2)/$Q$2))</f>
        <v>6393.45542165155</v>
      </c>
      <c r="I182" s="15" t="n">
        <f aca="false">H182*(1+IF(I$3&lt;=$O$2,$D182,$D182-($D182-$I$157)*MIN(I$3-$O$2,$Q$2)/$Q$2))</f>
        <v>6381.87193439572</v>
      </c>
      <c r="J182" s="15" t="n">
        <f aca="false">I182*(1+IF(J$3&lt;=$O$2,$D182,$D182-($D182-$I$157)*MIN(J$3-$O$2,$Q$2)/$Q$2))</f>
        <v>6421.50707292425</v>
      </c>
      <c r="K182" s="15" t="n">
        <f aca="false">J182*(1+IF(K$3&lt;=$O$2,$D182,$D182-($D182-$I$157)*MIN(K$3-$O$2,$Q$2)/$Q$2))</f>
        <v>6512.90397500031</v>
      </c>
      <c r="L182" s="15" t="n">
        <f aca="false">K182*(1+IF(L$3&lt;=$O$2,$D182,$D182-($D182-$I$157)*MIN(L$3-$O$2,$Q$2)/$Q$2))</f>
        <v>6657.85054799778</v>
      </c>
      <c r="M182" s="15" t="n">
        <f aca="false">L182*(1+IF(M$3&lt;=$O$2,$D182,$D182-($D182-$I$157)*MIN(M$3-$O$2,$Q$2)/$Q$2))</f>
        <v>6859.43458656897</v>
      </c>
      <c r="N182" s="15" t="n">
        <f aca="false">M182*(1+IF(N$3&lt;=$O$2,$D182,$D182-($D182-$I$157)*MIN(N$3-$O$2,$Q$2)/$Q$2))</f>
        <v>7122.15093123456</v>
      </c>
      <c r="O182" s="15" t="n">
        <f aca="false">SUMPRODUCT(E182:N182,1/(1+$F$157)^$E$3:$N$3)*$E$2</f>
        <v>8563.47645976369</v>
      </c>
      <c r="P182" s="15" t="n">
        <f aca="false">N182*$E$2*(1+$I$157)/($F$157-$I$157)/(1+$F$157)^$N$3</f>
        <v>14026.431864708</v>
      </c>
      <c r="Q182" s="15" t="n">
        <f aca="false">O182+P182</f>
        <v>22589.9083244717</v>
      </c>
      <c r="R182" s="15" t="n">
        <f aca="false">Q182-$G$2+$I$2</f>
        <v>17290.0083244717</v>
      </c>
      <c r="S182" s="42" t="n">
        <f aca="false">R182/$K$2</f>
        <v>147.174057920256</v>
      </c>
      <c r="T182" s="43" t="n">
        <f aca="false">S182-$M$2</f>
        <v>7.08586285043111E-005</v>
      </c>
    </row>
    <row r="184" customFormat="false" ht="15" hidden="false" customHeight="false" outlineLevel="0" collapsed="false">
      <c r="A184" s="38" t="s">
        <v>186</v>
      </c>
      <c r="E184" s="5" t="s">
        <v>11</v>
      </c>
      <c r="F184" s="12" t="n">
        <f aca="false">Sensitivity!$B$11</f>
        <v>0.0899886567315273</v>
      </c>
      <c r="G184" s="5" t="s">
        <v>12</v>
      </c>
      <c r="I184" s="12" t="n">
        <f aca="false">Sensitivity!$C$9</f>
        <v>0.0183</v>
      </c>
    </row>
    <row r="185" customFormat="false" ht="23.85" hidden="false" customHeight="false" outlineLevel="0" collapsed="false">
      <c r="A185" s="38" t="s">
        <v>161</v>
      </c>
      <c r="B185" s="28" t="s">
        <v>162</v>
      </c>
      <c r="C185" s="28" t="s">
        <v>163</v>
      </c>
      <c r="D185" s="28" t="s">
        <v>164</v>
      </c>
      <c r="E185" s="28" t="s">
        <v>165</v>
      </c>
      <c r="F185" s="28" t="s">
        <v>166</v>
      </c>
      <c r="G185" s="28" t="s">
        <v>167</v>
      </c>
      <c r="H185" s="28" t="s">
        <v>168</v>
      </c>
      <c r="I185" s="28" t="s">
        <v>169</v>
      </c>
      <c r="J185" s="28" t="s">
        <v>170</v>
      </c>
      <c r="K185" s="28" t="s">
        <v>171</v>
      </c>
      <c r="L185" s="28" t="s">
        <v>172</v>
      </c>
      <c r="M185" s="28" t="s">
        <v>173</v>
      </c>
      <c r="N185" s="28" t="s">
        <v>174</v>
      </c>
      <c r="O185" s="28" t="s">
        <v>175</v>
      </c>
      <c r="P185" s="28" t="s">
        <v>176</v>
      </c>
      <c r="Q185" s="28" t="s">
        <v>177</v>
      </c>
      <c r="R185" s="28" t="s">
        <v>178</v>
      </c>
      <c r="S185" s="28" t="s">
        <v>179</v>
      </c>
      <c r="T185" s="28" t="s">
        <v>180</v>
      </c>
    </row>
    <row r="186" customFormat="false" ht="15" hidden="false" customHeight="false" outlineLevel="0" collapsed="false">
      <c r="A186" s="5" t="n">
        <v>1</v>
      </c>
      <c r="B186" s="24" t="n">
        <v>-0.5</v>
      </c>
      <c r="C186" s="24" t="n">
        <v>1</v>
      </c>
      <c r="D186" s="41" t="n">
        <f aca="false">(B186+C186)/2</f>
        <v>0.25</v>
      </c>
      <c r="E186" s="15" t="n">
        <f aca="false">$C$2*(1+IF(E$3&lt;=$O$2,$D186,$D186-($D186-$I$184)*MIN(E$3-$O$2,$Q$2)/$Q$2))</f>
        <v>8050</v>
      </c>
      <c r="F186" s="15" t="n">
        <f aca="false">E186*(1+IF(F$3&lt;=$O$2,$D186,$D186-($D186-$I$184)*MIN(F$3-$O$2,$Q$2)/$Q$2))</f>
        <v>10062.5</v>
      </c>
      <c r="G186" s="15" t="n">
        <f aca="false">F186*(1+IF(G$3&lt;=$O$2,$D186,$D186-($D186-$I$184)*MIN(G$3-$O$2,$Q$2)/$Q$2))</f>
        <v>12578.125</v>
      </c>
      <c r="H186" s="15" t="n">
        <f aca="false">G186*(1+IF(H$3&lt;=$O$2,$D186,$D186-($D186-$I$184)*MIN(H$3-$O$2,$Q$2)/$Q$2))</f>
        <v>15722.65625</v>
      </c>
      <c r="I186" s="15" t="n">
        <f aca="false">H186*(1+IF(I$3&lt;=$O$2,$D186,$D186-($D186-$I$184)*MIN(I$3-$O$2,$Q$2)/$Q$2))</f>
        <v>19653.3203125</v>
      </c>
      <c r="J186" s="15" t="n">
        <f aca="false">I186*(1+IF(J$3&lt;=$O$2,$D186,$D186-($D186-$I$184)*MIN(J$3-$O$2,$Q$2)/$Q$2))</f>
        <v>23655.9155273438</v>
      </c>
      <c r="K186" s="15" t="n">
        <f aca="false">J186*(1+IF(K$3&lt;=$O$2,$D186,$D186-($D186-$I$184)*MIN(K$3-$O$2,$Q$2)/$Q$2))</f>
        <v>27377.4641581055</v>
      </c>
      <c r="L186" s="15" t="n">
        <f aca="false">K186*(1+IF(L$3&lt;=$O$2,$D186,$D186-($D186-$I$184)*MIN(L$3-$O$2,$Q$2)/$Q$2))</f>
        <v>30415.815130372</v>
      </c>
      <c r="M186" s="15" t="n">
        <f aca="false">L186*(1+IF(M$3&lt;=$O$2,$D186,$D186-($D186-$I$184)*MIN(M$3-$O$2,$Q$2)/$Q$2))</f>
        <v>32381.8934203993</v>
      </c>
      <c r="N186" s="15" t="n">
        <f aca="false">M186*(1+IF(N$3&lt;=$O$2,$D186,$D186-($D186-$I$184)*MIN(N$3-$O$2,$Q$2)/$Q$2))</f>
        <v>32974.4820699926</v>
      </c>
      <c r="O186" s="15" t="n">
        <f aca="false">SUMPRODUCT(E186:N186,1/(1+$F$184)^$E$3:$N$3)*$E$2</f>
        <v>24559.516753137</v>
      </c>
      <c r="P186" s="15" t="n">
        <f aca="false">N186*$E$2*(1+$I$184)/($F$184-$I$184)/(1+$F$184)^$N$3</f>
        <v>39615.0343183094</v>
      </c>
      <c r="Q186" s="15" t="n">
        <f aca="false">O186+P186</f>
        <v>64174.5510714464</v>
      </c>
      <c r="R186" s="15" t="n">
        <f aca="false">Q186-$G$2+$I$2</f>
        <v>58874.6510714464</v>
      </c>
      <c r="S186" s="42" t="n">
        <f aca="false">R186/$K$2</f>
        <v>501.146161656847</v>
      </c>
      <c r="T186" s="43" t="n">
        <f aca="false">S186-$M$2</f>
        <v>353.972174595219</v>
      </c>
    </row>
    <row r="187" customFormat="false" ht="15" hidden="false" customHeight="false" outlineLevel="0" collapsed="false">
      <c r="A187" s="5" t="n">
        <v>2</v>
      </c>
      <c r="B187" s="25" t="n">
        <f aca="false">IF(T186&gt;0,B186,D186)</f>
        <v>-0.5</v>
      </c>
      <c r="C187" s="25" t="n">
        <f aca="false">IF(T186&gt;0,D186,C186)</f>
        <v>0.25</v>
      </c>
      <c r="D187" s="41" t="n">
        <f aca="false">(B187+C187)/2</f>
        <v>-0.125</v>
      </c>
      <c r="E187" s="15" t="n">
        <f aca="false">$C$2*(1+IF(E$3&lt;=$O$2,$D187,$D187-($D187-$I$184)*MIN(E$3-$O$2,$Q$2)/$Q$2))</f>
        <v>5635</v>
      </c>
      <c r="F187" s="15" t="n">
        <f aca="false">E187*(1+IF(F$3&lt;=$O$2,$D187,$D187-($D187-$I$184)*MIN(F$3-$O$2,$Q$2)/$Q$2))</f>
        <v>4930.625</v>
      </c>
      <c r="G187" s="15" t="n">
        <f aca="false">F187*(1+IF(G$3&lt;=$O$2,$D187,$D187-($D187-$I$184)*MIN(G$3-$O$2,$Q$2)/$Q$2))</f>
        <v>4314.296875</v>
      </c>
      <c r="H187" s="15" t="n">
        <f aca="false">G187*(1+IF(H$3&lt;=$O$2,$D187,$D187-($D187-$I$184)*MIN(H$3-$O$2,$Q$2)/$Q$2))</f>
        <v>3775.009765625</v>
      </c>
      <c r="I187" s="15" t="n">
        <f aca="false">H187*(1+IF(I$3&lt;=$O$2,$D187,$D187-($D187-$I$184)*MIN(I$3-$O$2,$Q$2)/$Q$2))</f>
        <v>3303.13354492188</v>
      </c>
      <c r="J187" s="15" t="n">
        <f aca="false">I187*(1+IF(J$3&lt;=$O$2,$D187,$D187-($D187-$I$184)*MIN(J$3-$O$2,$Q$2)/$Q$2))</f>
        <v>2984.9096592041</v>
      </c>
      <c r="K187" s="15" t="n">
        <f aca="false">J187*(1+IF(K$3&lt;=$O$2,$D187,$D187-($D187-$I$184)*MIN(K$3-$O$2,$Q$2)/$Q$2))</f>
        <v>2782.89097346917</v>
      </c>
      <c r="L187" s="15" t="n">
        <f aca="false">K187*(1+IF(L$3&lt;=$O$2,$D187,$D187-($D187-$I$184)*MIN(L$3-$O$2,$Q$2)/$Q$2))</f>
        <v>2674.3025676844</v>
      </c>
      <c r="M187" s="15" t="n">
        <f aca="false">L187*(1+IF(M$3&lt;=$O$2,$D187,$D187-($D187-$I$184)*MIN(M$3-$O$2,$Q$2)/$Q$2))</f>
        <v>2646.59679308319</v>
      </c>
      <c r="N187" s="15" t="n">
        <f aca="false">M187*(1+IF(N$3&lt;=$O$2,$D187,$D187-($D187-$I$184)*MIN(N$3-$O$2,$Q$2)/$Q$2))</f>
        <v>2695.02951439661</v>
      </c>
      <c r="O187" s="15" t="n">
        <f aca="false">SUMPRODUCT(E187:N187,1/(1+$F$184)^$E$3:$N$3)*$E$2</f>
        <v>4899.95096107225</v>
      </c>
      <c r="P187" s="15" t="n">
        <f aca="false">N187*$E$2*(1+$I$184)/($F$184-$I$184)/(1+$F$184)^$N$3</f>
        <v>3237.76690336057</v>
      </c>
      <c r="Q187" s="15" t="n">
        <f aca="false">O187+P187</f>
        <v>8137.71786443282</v>
      </c>
      <c r="R187" s="15" t="n">
        <f aca="false">Q187-$G$2+$I$2</f>
        <v>2837.81786443282</v>
      </c>
      <c r="S187" s="42" t="n">
        <f aca="false">R187/$K$2</f>
        <v>24.1557530169631</v>
      </c>
      <c r="T187" s="43" t="n">
        <f aca="false">S187-$M$2</f>
        <v>-123.018234044664</v>
      </c>
    </row>
    <row r="188" customFormat="false" ht="15" hidden="false" customHeight="false" outlineLevel="0" collapsed="false">
      <c r="A188" s="5" t="n">
        <v>3</v>
      </c>
      <c r="B188" s="25" t="n">
        <f aca="false">IF(T187&gt;0,B187,D187)</f>
        <v>-0.125</v>
      </c>
      <c r="C188" s="25" t="n">
        <f aca="false">IF(T187&gt;0,D187,C187)</f>
        <v>0.25</v>
      </c>
      <c r="D188" s="41" t="n">
        <f aca="false">(B188+C188)/2</f>
        <v>0.0625</v>
      </c>
      <c r="E188" s="15" t="n">
        <f aca="false">$C$2*(1+IF(E$3&lt;=$O$2,$D188,$D188-($D188-$I$184)*MIN(E$3-$O$2,$Q$2)/$Q$2))</f>
        <v>6842.5</v>
      </c>
      <c r="F188" s="15" t="n">
        <f aca="false">E188*(1+IF(F$3&lt;=$O$2,$D188,$D188-($D188-$I$184)*MIN(F$3-$O$2,$Q$2)/$Q$2))</f>
        <v>7270.15625</v>
      </c>
      <c r="G188" s="15" t="n">
        <f aca="false">F188*(1+IF(G$3&lt;=$O$2,$D188,$D188-($D188-$I$184)*MIN(G$3-$O$2,$Q$2)/$Q$2))</f>
        <v>7724.541015625</v>
      </c>
      <c r="H188" s="15" t="n">
        <f aca="false">G188*(1+IF(H$3&lt;=$O$2,$D188,$D188-($D188-$I$184)*MIN(H$3-$O$2,$Q$2)/$Q$2))</f>
        <v>8207.32482910156</v>
      </c>
      <c r="I188" s="15" t="n">
        <f aca="false">H188*(1+IF(I$3&lt;=$O$2,$D188,$D188-($D188-$I$184)*MIN(I$3-$O$2,$Q$2)/$Q$2))</f>
        <v>8720.28263092041</v>
      </c>
      <c r="J188" s="15" t="n">
        <f aca="false">I188*(1+IF(J$3&lt;=$O$2,$D188,$D188-($D188-$I$184)*MIN(J$3-$O$2,$Q$2)/$Q$2))</f>
        <v>9188.2129968956</v>
      </c>
      <c r="K188" s="15" t="n">
        <f aca="false">J188*(1+IF(K$3&lt;=$O$2,$D188,$D188-($D188-$I$184)*MIN(K$3-$O$2,$Q$2)/$Q$2))</f>
        <v>9600.02870341646</v>
      </c>
      <c r="L188" s="15" t="n">
        <f aca="false">K188*(1+IF(L$3&lt;=$O$2,$D188,$D188-($D188-$I$184)*MIN(L$3-$O$2,$Q$2)/$Q$2))</f>
        <v>9945.43773616538</v>
      </c>
      <c r="M188" s="15" t="n">
        <f aca="false">L188*(1+IF(M$3&lt;=$O$2,$D188,$D188-($D188-$I$184)*MIN(M$3-$O$2,$Q$2)/$Q$2))</f>
        <v>10215.3569163249</v>
      </c>
      <c r="N188" s="15" t="n">
        <f aca="false">M188*(1+IF(N$3&lt;=$O$2,$D188,$D188-($D188-$I$184)*MIN(N$3-$O$2,$Q$2)/$Q$2))</f>
        <v>10402.2979478937</v>
      </c>
      <c r="O188" s="15" t="n">
        <f aca="false">SUMPRODUCT(E188:N188,1/(1+$F$184)^$E$3:$N$3)*$E$2</f>
        <v>10944.2828597771</v>
      </c>
      <c r="P188" s="15" t="n">
        <f aca="false">N188*$E$2*(1+$I$184)/($F$184-$I$184)/(1+$F$184)^$N$3</f>
        <v>12497.1603593463</v>
      </c>
      <c r="Q188" s="15" t="n">
        <f aca="false">O188+P188</f>
        <v>23441.4432191234</v>
      </c>
      <c r="R188" s="15" t="n">
        <f aca="false">Q188-$G$2+$I$2</f>
        <v>18141.5432191234</v>
      </c>
      <c r="S188" s="42" t="n">
        <f aca="false">R188/$K$2</f>
        <v>154.422397166525</v>
      </c>
      <c r="T188" s="43" t="n">
        <f aca="false">S188-$M$2</f>
        <v>7.24841010489769</v>
      </c>
    </row>
    <row r="189" customFormat="false" ht="15" hidden="false" customHeight="false" outlineLevel="0" collapsed="false">
      <c r="A189" s="5" t="n">
        <v>4</v>
      </c>
      <c r="B189" s="25" t="n">
        <f aca="false">IF(T188&gt;0,B188,D188)</f>
        <v>-0.125</v>
      </c>
      <c r="C189" s="25" t="n">
        <f aca="false">IF(T188&gt;0,D188,C188)</f>
        <v>0.0625</v>
      </c>
      <c r="D189" s="41" t="n">
        <f aca="false">(B189+C189)/2</f>
        <v>-0.03125</v>
      </c>
      <c r="E189" s="15" t="n">
        <f aca="false">$C$2*(1+IF(E$3&lt;=$O$2,$D189,$D189-($D189-$I$184)*MIN(E$3-$O$2,$Q$2)/$Q$2))</f>
        <v>6238.75</v>
      </c>
      <c r="F189" s="15" t="n">
        <f aca="false">E189*(1+IF(F$3&lt;=$O$2,$D189,$D189-($D189-$I$184)*MIN(F$3-$O$2,$Q$2)/$Q$2))</f>
        <v>6043.7890625</v>
      </c>
      <c r="G189" s="15" t="n">
        <f aca="false">F189*(1+IF(G$3&lt;=$O$2,$D189,$D189-($D189-$I$184)*MIN(G$3-$O$2,$Q$2)/$Q$2))</f>
        <v>5854.92065429688</v>
      </c>
      <c r="H189" s="15" t="n">
        <f aca="false">G189*(1+IF(H$3&lt;=$O$2,$D189,$D189-($D189-$I$184)*MIN(H$3-$O$2,$Q$2)/$Q$2))</f>
        <v>5671.9543838501</v>
      </c>
      <c r="I189" s="15" t="n">
        <f aca="false">H189*(1+IF(I$3&lt;=$O$2,$D189,$D189-($D189-$I$184)*MIN(I$3-$O$2,$Q$2)/$Q$2))</f>
        <v>5494.70580935478</v>
      </c>
      <c r="J189" s="15" t="n">
        <f aca="false">I189*(1+IF(J$3&lt;=$O$2,$D189,$D189-($D189-$I$184)*MIN(J$3-$O$2,$Q$2)/$Q$2))</f>
        <v>5377.44878738315</v>
      </c>
      <c r="K189" s="15" t="n">
        <f aca="false">J189*(1+IF(K$3&lt;=$O$2,$D189,$D189-($D189-$I$184)*MIN(K$3-$O$2,$Q$2)/$Q$2))</f>
        <v>5315.98454774336</v>
      </c>
      <c r="L189" s="15" t="n">
        <f aca="false">K189*(1+IF(L$3&lt;=$O$2,$D189,$D189-($D189-$I$184)*MIN(L$3-$O$2,$Q$2)/$Q$2))</f>
        <v>5307.90425123079</v>
      </c>
      <c r="M189" s="15" t="n">
        <f aca="false">L189*(1+IF(M$3&lt;=$O$2,$D189,$D189-($D189-$I$184)*MIN(M$3-$O$2,$Q$2)/$Q$2))</f>
        <v>5352.43756789862</v>
      </c>
      <c r="N189" s="15" t="n">
        <f aca="false">M189*(1+IF(N$3&lt;=$O$2,$D189,$D189-($D189-$I$184)*MIN(N$3-$O$2,$Q$2)/$Q$2))</f>
        <v>5450.38717539116</v>
      </c>
      <c r="O189" s="15" t="n">
        <f aca="false">SUMPRODUCT(E189:N189,1/(1+$F$184)^$E$3:$N$3)*$E$2</f>
        <v>7301.0487789216</v>
      </c>
      <c r="P189" s="15" t="n">
        <f aca="false">N189*$E$2*(1+$I$184)/($F$184-$I$184)/(1+$F$184)^$N$3</f>
        <v>6548.01111183132</v>
      </c>
      <c r="Q189" s="15" t="n">
        <f aca="false">O189+P189</f>
        <v>13849.0598907529</v>
      </c>
      <c r="R189" s="15" t="n">
        <f aca="false">Q189-$G$2+$I$2</f>
        <v>8549.15989075292</v>
      </c>
      <c r="S189" s="42" t="n">
        <f aca="false">R189/$K$2</f>
        <v>72.7711941671172</v>
      </c>
      <c r="T189" s="43" t="n">
        <f aca="false">S189-$M$2</f>
        <v>-74.4027928945104</v>
      </c>
    </row>
    <row r="190" customFormat="false" ht="15" hidden="false" customHeight="false" outlineLevel="0" collapsed="false">
      <c r="A190" s="5" t="n">
        <v>5</v>
      </c>
      <c r="B190" s="25" t="n">
        <f aca="false">IF(T189&gt;0,B189,D189)</f>
        <v>-0.03125</v>
      </c>
      <c r="C190" s="25" t="n">
        <f aca="false">IF(T189&gt;0,D189,C189)</f>
        <v>0.0625</v>
      </c>
      <c r="D190" s="41" t="n">
        <f aca="false">(B190+C190)/2</f>
        <v>0.015625</v>
      </c>
      <c r="E190" s="15" t="n">
        <f aca="false">$C$2*(1+IF(E$3&lt;=$O$2,$D190,$D190-($D190-$I$184)*MIN(E$3-$O$2,$Q$2)/$Q$2))</f>
        <v>6540.625</v>
      </c>
      <c r="F190" s="15" t="n">
        <f aca="false">E190*(1+IF(F$3&lt;=$O$2,$D190,$D190-($D190-$I$184)*MIN(F$3-$O$2,$Q$2)/$Q$2))</f>
        <v>6642.822265625</v>
      </c>
      <c r="G190" s="15" t="n">
        <f aca="false">F190*(1+IF(G$3&lt;=$O$2,$D190,$D190-($D190-$I$184)*MIN(G$3-$O$2,$Q$2)/$Q$2))</f>
        <v>6746.61636352539</v>
      </c>
      <c r="H190" s="15" t="n">
        <f aca="false">G190*(1+IF(H$3&lt;=$O$2,$D190,$D190-($D190-$I$184)*MIN(H$3-$O$2,$Q$2)/$Q$2))</f>
        <v>6852.03224420548</v>
      </c>
      <c r="I190" s="15" t="n">
        <f aca="false">H190*(1+IF(I$3&lt;=$O$2,$D190,$D190-($D190-$I$184)*MIN(I$3-$O$2,$Q$2)/$Q$2))</f>
        <v>6959.09524802119</v>
      </c>
      <c r="J190" s="15" t="n">
        <f aca="false">I190*(1+IF(J$3&lt;=$O$2,$D190,$D190-($D190-$I$184)*MIN(J$3-$O$2,$Q$2)/$Q$2))</f>
        <v>7071.55422722921</v>
      </c>
      <c r="K190" s="15" t="n">
        <f aca="false">J190*(1+IF(K$3&lt;=$O$2,$D190,$D190-($D190-$I$184)*MIN(K$3-$O$2,$Q$2)/$Q$2))</f>
        <v>7189.6138250528</v>
      </c>
      <c r="L190" s="15" t="n">
        <f aca="false">K190*(1+IF(L$3&lt;=$O$2,$D190,$D190-($D190-$I$184)*MIN(L$3-$O$2,$Q$2)/$Q$2))</f>
        <v>7313.49087125846</v>
      </c>
      <c r="M190" s="15" t="n">
        <f aca="false">L190*(1+IF(M$3&lt;=$O$2,$D190,$D190-($D190-$I$184)*MIN(M$3-$O$2,$Q$2)/$Q$2))</f>
        <v>7443.41503658637</v>
      </c>
      <c r="N190" s="15" t="n">
        <f aca="false">M190*(1+IF(N$3&lt;=$O$2,$D190,$D190-($D190-$I$184)*MIN(N$3-$O$2,$Q$2)/$Q$2))</f>
        <v>7579.6295317559</v>
      </c>
      <c r="O190" s="15" t="n">
        <f aca="false">SUMPRODUCT(E190:N190,1/(1+$F$184)^$E$3:$N$3)*$E$2</f>
        <v>8935.07703508647</v>
      </c>
      <c r="P190" s="15" t="n">
        <f aca="false">N190*$E$2*(1+$I$184)/($F$184-$I$184)/(1+$F$184)^$N$3</f>
        <v>9106.05004752539</v>
      </c>
      <c r="Q190" s="15" t="n">
        <f aca="false">O190+P190</f>
        <v>18041.1270826119</v>
      </c>
      <c r="R190" s="15" t="n">
        <f aca="false">Q190-$G$2+$I$2</f>
        <v>12741.2270826119</v>
      </c>
      <c r="S190" s="42" t="n">
        <f aca="false">R190/$K$2</f>
        <v>108.454435500612</v>
      </c>
      <c r="T190" s="43" t="n">
        <f aca="false">S190-$M$2</f>
        <v>-38.7195515610159</v>
      </c>
    </row>
    <row r="191" customFormat="false" ht="15" hidden="false" customHeight="false" outlineLevel="0" collapsed="false">
      <c r="A191" s="5" t="n">
        <v>6</v>
      </c>
      <c r="B191" s="25" t="n">
        <f aca="false">IF(T190&gt;0,B190,D190)</f>
        <v>0.015625</v>
      </c>
      <c r="C191" s="25" t="n">
        <f aca="false">IF(T190&gt;0,D190,C190)</f>
        <v>0.0625</v>
      </c>
      <c r="D191" s="41" t="n">
        <f aca="false">(B191+C191)/2</f>
        <v>0.0390625</v>
      </c>
      <c r="E191" s="15" t="n">
        <f aca="false">$C$2*(1+IF(E$3&lt;=$O$2,$D191,$D191-($D191-$I$184)*MIN(E$3-$O$2,$Q$2)/$Q$2))</f>
        <v>6691.5625</v>
      </c>
      <c r="F191" s="15" t="n">
        <f aca="false">E191*(1+IF(F$3&lt;=$O$2,$D191,$D191-($D191-$I$184)*MIN(F$3-$O$2,$Q$2)/$Q$2))</f>
        <v>6952.95166015625</v>
      </c>
      <c r="G191" s="15" t="n">
        <f aca="false">F191*(1+IF(G$3&lt;=$O$2,$D191,$D191-($D191-$I$184)*MIN(G$3-$O$2,$Q$2)/$Q$2))</f>
        <v>7224.5513343811</v>
      </c>
      <c r="H191" s="15" t="n">
        <f aca="false">G191*(1+IF(H$3&lt;=$O$2,$D191,$D191-($D191-$I$184)*MIN(H$3-$O$2,$Q$2)/$Q$2))</f>
        <v>7506.76037088037</v>
      </c>
      <c r="I191" s="15" t="n">
        <f aca="false">H191*(1+IF(I$3&lt;=$O$2,$D191,$D191-($D191-$I$184)*MIN(I$3-$O$2,$Q$2)/$Q$2))</f>
        <v>7799.99319786788</v>
      </c>
      <c r="J191" s="15" t="n">
        <f aca="false">I191*(1+IF(J$3&lt;=$O$2,$D191,$D191-($D191-$I$184)*MIN(J$3-$O$2,$Q$2)/$Q$2))</f>
        <v>8072.29096040545</v>
      </c>
      <c r="K191" s="15" t="n">
        <f aca="false">J191*(1+IF(K$3&lt;=$O$2,$D191,$D191-($D191-$I$184)*MIN(K$3-$O$2,$Q$2)/$Q$2))</f>
        <v>8320.57444962012</v>
      </c>
      <c r="L191" s="15" t="n">
        <f aca="false">K191*(1+IF(L$3&lt;=$O$2,$D191,$D191-($D191-$I$184)*MIN(L$3-$O$2,$Q$2)/$Q$2))</f>
        <v>8541.94333285226</v>
      </c>
      <c r="M191" s="15" t="n">
        <f aca="false">L191*(1+IF(M$3&lt;=$O$2,$D191,$D191-($D191-$I$184)*MIN(M$3-$O$2,$Q$2)/$Q$2))</f>
        <v>8733.73131553313</v>
      </c>
      <c r="N191" s="15" t="n">
        <f aca="false">M191*(1+IF(N$3&lt;=$O$2,$D191,$D191-($D191-$I$184)*MIN(N$3-$O$2,$Q$2)/$Q$2))</f>
        <v>8893.55859860738</v>
      </c>
      <c r="O191" s="15" t="n">
        <f aca="false">SUMPRODUCT(E191:N191,1/(1+$F$184)^$E$3:$N$3)*$E$2</f>
        <v>9888.10403782327</v>
      </c>
      <c r="P191" s="15" t="n">
        <f aca="false">N191*$E$2*(1+$I$184)/($F$184-$I$184)/(1+$F$184)^$N$3</f>
        <v>10684.5841686879</v>
      </c>
      <c r="Q191" s="15" t="n">
        <f aca="false">O191+P191</f>
        <v>20572.6882065112</v>
      </c>
      <c r="R191" s="15" t="n">
        <f aca="false">Q191-$G$2+$I$2</f>
        <v>15272.7882065112</v>
      </c>
      <c r="S191" s="42" t="n">
        <f aca="false">R191/$K$2</f>
        <v>130.003304447661</v>
      </c>
      <c r="T191" s="43" t="n">
        <f aca="false">S191-$M$2</f>
        <v>-17.1706826139666</v>
      </c>
    </row>
    <row r="192" customFormat="false" ht="15" hidden="false" customHeight="false" outlineLevel="0" collapsed="false">
      <c r="A192" s="5" t="n">
        <v>7</v>
      </c>
      <c r="B192" s="25" t="n">
        <f aca="false">IF(T191&gt;0,B191,D191)</f>
        <v>0.0390625</v>
      </c>
      <c r="C192" s="25" t="n">
        <f aca="false">IF(T191&gt;0,D191,C191)</f>
        <v>0.0625</v>
      </c>
      <c r="D192" s="41" t="n">
        <f aca="false">(B192+C192)/2</f>
        <v>0.05078125</v>
      </c>
      <c r="E192" s="15" t="n">
        <f aca="false">$C$2*(1+IF(E$3&lt;=$O$2,$D192,$D192-($D192-$I$184)*MIN(E$3-$O$2,$Q$2)/$Q$2))</f>
        <v>6767.03125</v>
      </c>
      <c r="F192" s="15" t="n">
        <f aca="false">E192*(1+IF(F$3&lt;=$O$2,$D192,$D192-($D192-$I$184)*MIN(F$3-$O$2,$Q$2)/$Q$2))</f>
        <v>7110.66955566406</v>
      </c>
      <c r="G192" s="15" t="n">
        <f aca="false">F192*(1+IF(G$3&lt;=$O$2,$D192,$D192-($D192-$I$184)*MIN(G$3-$O$2,$Q$2)/$Q$2))</f>
        <v>7471.75824403763</v>
      </c>
      <c r="H192" s="15" t="n">
        <f aca="false">G192*(1+IF(H$3&lt;=$O$2,$D192,$D192-($D192-$I$184)*MIN(H$3-$O$2,$Q$2)/$Q$2))</f>
        <v>7851.18346736766</v>
      </c>
      <c r="I192" s="15" t="n">
        <f aca="false">H192*(1+IF(I$3&lt;=$O$2,$D192,$D192-($D192-$I$184)*MIN(I$3-$O$2,$Q$2)/$Q$2))</f>
        <v>8249.87637781993</v>
      </c>
      <c r="J192" s="15" t="n">
        <f aca="false">I192*(1+IF(J$3&lt;=$O$2,$D192,$D192-($D192-$I$184)*MIN(J$3-$O$2,$Q$2)/$Q$2))</f>
        <v>8615.22215321168</v>
      </c>
      <c r="K192" s="15" t="n">
        <f aca="false">J192*(1+IF(K$3&lt;=$O$2,$D192,$D192-($D192-$I$184)*MIN(K$3-$O$2,$Q$2)/$Q$2))</f>
        <v>8940.78062935386</v>
      </c>
      <c r="L192" s="15" t="n">
        <f aca="false">K192*(1+IF(L$3&lt;=$O$2,$D192,$D192-($D192-$I$184)*MIN(L$3-$O$2,$Q$2)/$Q$2))</f>
        <v>9220.56000719792</v>
      </c>
      <c r="M192" s="15" t="n">
        <f aca="false">L192*(1+IF(M$3&lt;=$O$2,$D192,$D192-($D192-$I$184)*MIN(M$3-$O$2,$Q$2)/$Q$2))</f>
        <v>9449.1953182764</v>
      </c>
      <c r="N192" s="15" t="n">
        <f aca="false">M192*(1+IF(N$3&lt;=$O$2,$D192,$D192-($D192-$I$184)*MIN(N$3-$O$2,$Q$2)/$Q$2))</f>
        <v>9622.11559260086</v>
      </c>
      <c r="O192" s="15" t="n">
        <f aca="false">SUMPRODUCT(E192:N192,1/(1+$F$184)^$E$3:$N$3)*$E$2</f>
        <v>10402.6703395179</v>
      </c>
      <c r="P192" s="15" t="n">
        <f aca="false">N192*$E$2*(1+$I$184)/($F$184-$I$184)/(1+$F$184)^$N$3</f>
        <v>11559.8613074958</v>
      </c>
      <c r="Q192" s="15" t="n">
        <f aca="false">O192+P192</f>
        <v>21962.5316470138</v>
      </c>
      <c r="R192" s="15" t="n">
        <f aca="false">Q192-$G$2+$I$2</f>
        <v>16662.6316470138</v>
      </c>
      <c r="S192" s="42" t="n">
        <f aca="false">R192/$K$2</f>
        <v>141.833772957216</v>
      </c>
      <c r="T192" s="43" t="n">
        <f aca="false">S192-$M$2</f>
        <v>-5.34021410441122</v>
      </c>
    </row>
    <row r="193" customFormat="false" ht="15" hidden="false" customHeight="false" outlineLevel="0" collapsed="false">
      <c r="A193" s="5" t="n">
        <v>8</v>
      </c>
      <c r="B193" s="25" t="n">
        <f aca="false">IF(T192&gt;0,B192,D192)</f>
        <v>0.05078125</v>
      </c>
      <c r="C193" s="25" t="n">
        <f aca="false">IF(T192&gt;0,D192,C192)</f>
        <v>0.0625</v>
      </c>
      <c r="D193" s="41" t="n">
        <f aca="false">(B193+C193)/2</f>
        <v>0.056640625</v>
      </c>
      <c r="E193" s="15" t="n">
        <f aca="false">$C$2*(1+IF(E$3&lt;=$O$2,$D193,$D193-($D193-$I$184)*MIN(E$3-$O$2,$Q$2)/$Q$2))</f>
        <v>6804.765625</v>
      </c>
      <c r="F193" s="15" t="n">
        <f aca="false">E193*(1+IF(F$3&lt;=$O$2,$D193,$D193-($D193-$I$184)*MIN(F$3-$O$2,$Q$2)/$Q$2))</f>
        <v>7190.19180297852</v>
      </c>
      <c r="G193" s="15" t="n">
        <f aca="false">F193*(1+IF(G$3&lt;=$O$2,$D193,$D193-($D193-$I$184)*MIN(G$3-$O$2,$Q$2)/$Q$2))</f>
        <v>7597.4487605691</v>
      </c>
      <c r="H193" s="15" t="n">
        <f aca="false">G193*(1+IF(H$3&lt;=$O$2,$D193,$D193-($D193-$I$184)*MIN(H$3-$O$2,$Q$2)/$Q$2))</f>
        <v>8027.7730067732</v>
      </c>
      <c r="I193" s="15" t="n">
        <f aca="false">H193*(1+IF(I$3&lt;=$O$2,$D193,$D193-($D193-$I$184)*MIN(I$3-$O$2,$Q$2)/$Q$2))</f>
        <v>8482.47108723497</v>
      </c>
      <c r="J193" s="15" t="n">
        <f aca="false">I193*(1+IF(J$3&lt;=$O$2,$D193,$D193-($D193-$I$184)*MIN(J$3-$O$2,$Q$2)/$Q$2))</f>
        <v>8897.87890255458</v>
      </c>
      <c r="K193" s="15" t="n">
        <f aca="false">J193*(1+IF(K$3&lt;=$O$2,$D193,$D193-($D193-$I$184)*MIN(K$3-$O$2,$Q$2)/$Q$2))</f>
        <v>9265.40022945029</v>
      </c>
      <c r="L193" s="15" t="n">
        <f aca="false">K193*(1+IF(L$3&lt;=$O$2,$D193,$D193-($D193-$I$184)*MIN(L$3-$O$2,$Q$2)/$Q$2))</f>
        <v>9577.05354791813</v>
      </c>
      <c r="M193" s="15" t="n">
        <f aca="false">L193*(1+IF(M$3&lt;=$O$2,$D193,$D193-($D193-$I$184)*MIN(M$3-$O$2,$Q$2)/$Q$2))</f>
        <v>9825.75167158217</v>
      </c>
      <c r="N193" s="15" t="n">
        <f aca="false">M193*(1+IF(N$3&lt;=$O$2,$D193,$D193-($D193-$I$184)*MIN(N$3-$O$2,$Q$2)/$Q$2))</f>
        <v>10005.5629271721</v>
      </c>
      <c r="O193" s="15" t="n">
        <f aca="false">SUMPRODUCT(E193:N193,1/(1+$F$184)^$E$3:$N$3)*$E$2</f>
        <v>10670.0142655028</v>
      </c>
      <c r="P193" s="15" t="n">
        <f aca="false">N193*$E$2*(1+$I$184)/($F$184-$I$184)/(1+$F$184)^$N$3</f>
        <v>12020.5290227934</v>
      </c>
      <c r="Q193" s="15" t="n">
        <f aca="false">O193+P193</f>
        <v>22690.5432882962</v>
      </c>
      <c r="R193" s="15" t="n">
        <f aca="false">Q193-$G$2+$I$2</f>
        <v>17390.6432882962</v>
      </c>
      <c r="S193" s="42" t="n">
        <f aca="false">R193/$K$2</f>
        <v>148.030671504053</v>
      </c>
      <c r="T193" s="43" t="n">
        <f aca="false">S193-$M$2</f>
        <v>0.856684442425831</v>
      </c>
    </row>
    <row r="194" customFormat="false" ht="15" hidden="false" customHeight="false" outlineLevel="0" collapsed="false">
      <c r="A194" s="5" t="n">
        <v>9</v>
      </c>
      <c r="B194" s="25" t="n">
        <f aca="false">IF(T193&gt;0,B193,D193)</f>
        <v>0.05078125</v>
      </c>
      <c r="C194" s="25" t="n">
        <f aca="false">IF(T193&gt;0,D193,C193)</f>
        <v>0.056640625</v>
      </c>
      <c r="D194" s="41" t="n">
        <f aca="false">(B194+C194)/2</f>
        <v>0.0537109375</v>
      </c>
      <c r="E194" s="15" t="n">
        <f aca="false">$C$2*(1+IF(E$3&lt;=$O$2,$D194,$D194-($D194-$I$184)*MIN(E$3-$O$2,$Q$2)/$Q$2))</f>
        <v>6785.8984375</v>
      </c>
      <c r="F194" s="15" t="n">
        <f aca="false">E194*(1+IF(F$3&lt;=$O$2,$D194,$D194-($D194-$I$184)*MIN(F$3-$O$2,$Q$2)/$Q$2))</f>
        <v>7150.37540435791</v>
      </c>
      <c r="G194" s="15" t="n">
        <f aca="false">F194*(1+IF(G$3&lt;=$O$2,$D194,$D194-($D194-$I$184)*MIN(G$3-$O$2,$Q$2)/$Q$2))</f>
        <v>7534.42877080292</v>
      </c>
      <c r="H194" s="15" t="n">
        <f aca="false">G194*(1+IF(H$3&lt;=$O$2,$D194,$D194-($D194-$I$184)*MIN(H$3-$O$2,$Q$2)/$Q$2))</f>
        <v>7939.11000360971</v>
      </c>
      <c r="I194" s="15" t="n">
        <f aca="false">H194*(1+IF(I$3&lt;=$O$2,$D194,$D194-($D194-$I$184)*MIN(I$3-$O$2,$Q$2)/$Q$2))</f>
        <v>8365.52704481922</v>
      </c>
      <c r="J194" s="15" t="n">
        <f aca="false">I194*(1+IF(J$3&lt;=$O$2,$D194,$D194-($D194-$I$184)*MIN(J$3-$O$2,$Q$2)/$Q$2))</f>
        <v>8755.60111401033</v>
      </c>
      <c r="K194" s="15" t="n">
        <f aca="false">J194*(1+IF(K$3&lt;=$O$2,$D194,$D194-($D194-$I$184)*MIN(K$3-$O$2,$Q$2)/$Q$2))</f>
        <v>9101.85504069061</v>
      </c>
      <c r="L194" s="15" t="n">
        <f aca="false">K194*(1+IF(L$3&lt;=$O$2,$D194,$D194-($D194-$I$184)*MIN(L$3-$O$2,$Q$2)/$Q$2))</f>
        <v>9397.34107592723</v>
      </c>
      <c r="M194" s="15" t="n">
        <f aca="false">L194*(1+IF(M$3&lt;=$O$2,$D194,$D194-($D194-$I$184)*MIN(M$3-$O$2,$Q$2)/$Q$2))</f>
        <v>9635.86614911787</v>
      </c>
      <c r="N194" s="15" t="n">
        <f aca="false">M194*(1+IF(N$3&lt;=$O$2,$D194,$D194-($D194-$I$184)*MIN(N$3-$O$2,$Q$2)/$Q$2))</f>
        <v>9812.20249964672</v>
      </c>
      <c r="O194" s="15" t="n">
        <f aca="false">SUMPRODUCT(E194:N194,1/(1+$F$184)^$E$3:$N$3)*$E$2</f>
        <v>10535.4870466649</v>
      </c>
      <c r="P194" s="15" t="n">
        <f aca="false">N194*$E$2*(1+$I$184)/($F$184-$I$184)/(1+$F$184)^$N$3</f>
        <v>11788.2287866301</v>
      </c>
      <c r="Q194" s="15" t="n">
        <f aca="false">O194+P194</f>
        <v>22323.7158332951</v>
      </c>
      <c r="R194" s="15" t="n">
        <f aca="false">Q194-$G$2+$I$2</f>
        <v>17023.8158332951</v>
      </c>
      <c r="S194" s="42" t="n">
        <f aca="false">R194/$K$2</f>
        <v>144.908204233019</v>
      </c>
      <c r="T194" s="43" t="n">
        <f aca="false">S194-$M$2</f>
        <v>-2.26578282860842</v>
      </c>
    </row>
    <row r="195" customFormat="false" ht="15" hidden="false" customHeight="false" outlineLevel="0" collapsed="false">
      <c r="A195" s="5" t="n">
        <v>10</v>
      </c>
      <c r="B195" s="25" t="n">
        <f aca="false">IF(T194&gt;0,B194,D194)</f>
        <v>0.0537109375</v>
      </c>
      <c r="C195" s="25" t="n">
        <f aca="false">IF(T194&gt;0,D194,C194)</f>
        <v>0.056640625</v>
      </c>
      <c r="D195" s="41" t="n">
        <f aca="false">(B195+C195)/2</f>
        <v>0.05517578125</v>
      </c>
      <c r="E195" s="15" t="n">
        <f aca="false">$C$2*(1+IF(E$3&lt;=$O$2,$D195,$D195-($D195-$I$184)*MIN(E$3-$O$2,$Q$2)/$Q$2))</f>
        <v>6795.33203125</v>
      </c>
      <c r="F195" s="15" t="n">
        <f aca="false">E195*(1+IF(F$3&lt;=$O$2,$D195,$D195-($D195-$I$184)*MIN(F$3-$O$2,$Q$2)/$Q$2))</f>
        <v>7170.26978492737</v>
      </c>
      <c r="G195" s="15" t="n">
        <f aca="false">F195*(1+IF(G$3&lt;=$O$2,$D195,$D195-($D195-$I$184)*MIN(G$3-$O$2,$Q$2)/$Q$2))</f>
        <v>7565.89502208401</v>
      </c>
      <c r="H195" s="15" t="n">
        <f aca="false">G195*(1+IF(H$3&lt;=$O$2,$D195,$D195-($D195-$I$184)*MIN(H$3-$O$2,$Q$2)/$Q$2))</f>
        <v>7983.34919078298</v>
      </c>
      <c r="I195" s="15" t="n">
        <f aca="false">H195*(1+IF(I$3&lt;=$O$2,$D195,$D195-($D195-$I$184)*MIN(I$3-$O$2,$Q$2)/$Q$2))</f>
        <v>8423.83671937598</v>
      </c>
      <c r="J195" s="15" t="n">
        <f aca="false">I195*(1+IF(J$3&lt;=$O$2,$D195,$D195-($D195-$I$184)*MIN(J$3-$O$2,$Q$2)/$Q$2))</f>
        <v>8826.5013794601</v>
      </c>
      <c r="K195" s="15" t="n">
        <f aca="false">J195*(1+IF(K$3&lt;=$O$2,$D195,$D195-($D195-$I$184)*MIN(K$3-$O$2,$Q$2)/$Q$2))</f>
        <v>9183.3168351473</v>
      </c>
      <c r="L195" s="15" t="n">
        <f aca="false">K195*(1+IF(L$3&lt;=$O$2,$D195,$D195-($D195-$I$184)*MIN(L$3-$O$2,$Q$2)/$Q$2))</f>
        <v>9486.82832633543</v>
      </c>
      <c r="M195" s="15" t="n">
        <f aca="false">L195*(1+IF(M$3&lt;=$O$2,$D195,$D195-($D195-$I$184)*MIN(M$3-$O$2,$Q$2)/$Q$2))</f>
        <v>9730.40412593102</v>
      </c>
      <c r="N195" s="15" t="n">
        <f aca="false">M195*(1+IF(N$3&lt;=$O$2,$D195,$D195-($D195-$I$184)*MIN(N$3-$O$2,$Q$2)/$Q$2))</f>
        <v>9908.47052143555</v>
      </c>
      <c r="O195" s="15" t="n">
        <f aca="false">SUMPRODUCT(E195:N195,1/(1+$F$184)^$E$3:$N$3)*$E$2</f>
        <v>10602.535559558</v>
      </c>
      <c r="P195" s="15" t="n">
        <f aca="false">N195*$E$2*(1+$I$184)/($F$184-$I$184)/(1+$F$184)^$N$3</f>
        <v>11903.8837036301</v>
      </c>
      <c r="Q195" s="15" t="n">
        <f aca="false">O195+P195</f>
        <v>22506.4192631881</v>
      </c>
      <c r="R195" s="15" t="n">
        <f aca="false">Q195-$G$2+$I$2</f>
        <v>17206.5192631881</v>
      </c>
      <c r="S195" s="42" t="n">
        <f aca="false">R195/$K$2</f>
        <v>146.463391753389</v>
      </c>
      <c r="T195" s="43" t="n">
        <f aca="false">S195-$M$2</f>
        <v>-0.710595308238993</v>
      </c>
    </row>
    <row r="196" customFormat="false" ht="15" hidden="false" customHeight="false" outlineLevel="0" collapsed="false">
      <c r="A196" s="5" t="n">
        <v>11</v>
      </c>
      <c r="B196" s="25" t="n">
        <f aca="false">IF(T195&gt;0,B195,D195)</f>
        <v>0.05517578125</v>
      </c>
      <c r="C196" s="25" t="n">
        <f aca="false">IF(T195&gt;0,D195,C195)</f>
        <v>0.056640625</v>
      </c>
      <c r="D196" s="41" t="n">
        <f aca="false">(B196+C196)/2</f>
        <v>0.055908203125</v>
      </c>
      <c r="E196" s="15" t="n">
        <f aca="false">$C$2*(1+IF(E$3&lt;=$O$2,$D196,$D196-($D196-$I$184)*MIN(E$3-$O$2,$Q$2)/$Q$2))</f>
        <v>6800.048828125</v>
      </c>
      <c r="F196" s="15" t="n">
        <f aca="false">E196*(1+IF(F$3&lt;=$O$2,$D196,$D196-($D196-$I$184)*MIN(F$3-$O$2,$Q$2)/$Q$2))</f>
        <v>7180.22733926773</v>
      </c>
      <c r="G196" s="15" t="n">
        <f aca="false">F196*(1+IF(G$3&lt;=$O$2,$D196,$D196-($D196-$I$184)*MIN(G$3-$O$2,$Q$2)/$Q$2))</f>
        <v>7581.66094783519</v>
      </c>
      <c r="H196" s="15" t="n">
        <f aca="false">G196*(1+IF(H$3&lt;=$O$2,$D196,$D196-($D196-$I$184)*MIN(H$3-$O$2,$Q$2)/$Q$2))</f>
        <v>8005.53798813164</v>
      </c>
      <c r="I196" s="15" t="n">
        <f aca="false">H196*(1+IF(I$3&lt;=$O$2,$D196,$D196-($D196-$I$184)*MIN(I$3-$O$2,$Q$2)/$Q$2))</f>
        <v>8453.11323209701</v>
      </c>
      <c r="J196" s="15" t="n">
        <f aca="false">I196*(1+IF(J$3&lt;=$O$2,$D196,$D196-($D196-$I$184)*MIN(J$3-$O$2,$Q$2)/$Q$2))</f>
        <v>8862.13032382144</v>
      </c>
      <c r="K196" s="15" t="n">
        <f aca="false">J196*(1+IF(K$3&lt;=$O$2,$D196,$D196-($D196-$I$184)*MIN(K$3-$O$2,$Q$2)/$Q$2))</f>
        <v>9224.28058715048</v>
      </c>
      <c r="L196" s="15" t="n">
        <f aca="false">K196*(1+IF(L$3&lt;=$O$2,$D196,$D196-($D196-$I$184)*MIN(L$3-$O$2,$Q$2)/$Q$2))</f>
        <v>9531.84836909675</v>
      </c>
      <c r="M196" s="15" t="n">
        <f aca="false">L196*(1+IF(M$3&lt;=$O$2,$D196,$D196-($D196-$I$184)*MIN(M$3-$O$2,$Q$2)/$Q$2))</f>
        <v>9777.97633217556</v>
      </c>
      <c r="N196" s="15" t="n">
        <f aca="false">M196*(1+IF(N$3&lt;=$O$2,$D196,$D196-($D196-$I$184)*MIN(N$3-$O$2,$Q$2)/$Q$2))</f>
        <v>9956.91329905437</v>
      </c>
      <c r="O196" s="15" t="n">
        <f aca="false">SUMPRODUCT(E196:N196,1/(1+$F$184)^$E$3:$N$3)*$E$2</f>
        <v>10636.2209773465</v>
      </c>
      <c r="P196" s="15" t="n">
        <f aca="false">N196*$E$2*(1+$I$184)/($F$184-$I$184)/(1+$F$184)^$N$3</f>
        <v>11962.0821097118</v>
      </c>
      <c r="Q196" s="15" t="n">
        <f aca="false">O196+P196</f>
        <v>22598.3030870583</v>
      </c>
      <c r="R196" s="15" t="n">
        <f aca="false">Q196-$G$2+$I$2</f>
        <v>17298.4030870583</v>
      </c>
      <c r="S196" s="42" t="n">
        <f aca="false">R196/$K$2</f>
        <v>147.245514871112</v>
      </c>
      <c r="T196" s="43" t="n">
        <f aca="false">S196-$M$2</f>
        <v>0.0715278094847065</v>
      </c>
    </row>
    <row r="197" customFormat="false" ht="15" hidden="false" customHeight="false" outlineLevel="0" collapsed="false">
      <c r="A197" s="5" t="n">
        <v>12</v>
      </c>
      <c r="B197" s="25" t="n">
        <f aca="false">IF(T196&gt;0,B196,D196)</f>
        <v>0.05517578125</v>
      </c>
      <c r="C197" s="25" t="n">
        <f aca="false">IF(T196&gt;0,D196,C196)</f>
        <v>0.055908203125</v>
      </c>
      <c r="D197" s="41" t="n">
        <f aca="false">(B197+C197)/2</f>
        <v>0.0555419921875</v>
      </c>
      <c r="E197" s="15" t="n">
        <f aca="false">$C$2*(1+IF(E$3&lt;=$O$2,$D197,$D197-($D197-$I$184)*MIN(E$3-$O$2,$Q$2)/$Q$2))</f>
        <v>6797.6904296875</v>
      </c>
      <c r="F197" s="15" t="n">
        <f aca="false">E197*(1+IF(F$3&lt;=$O$2,$D197,$D197-($D197-$I$184)*MIN(F$3-$O$2,$Q$2)/$Q$2))</f>
        <v>7175.24769842625</v>
      </c>
      <c r="G197" s="15" t="n">
        <f aca="false">F197*(1+IF(G$3&lt;=$O$2,$D197,$D197-($D197-$I$184)*MIN(G$3-$O$2,$Q$2)/$Q$2))</f>
        <v>7573.77525003562</v>
      </c>
      <c r="H197" s="15" t="n">
        <f aca="false">G197*(1+IF(H$3&lt;=$O$2,$D197,$D197-($D197-$I$184)*MIN(H$3-$O$2,$Q$2)/$Q$2))</f>
        <v>7994.43781580297</v>
      </c>
      <c r="I197" s="15" t="n">
        <f aca="false">H197*(1+IF(I$3&lt;=$O$2,$D197,$D197-($D197-$I$184)*MIN(I$3-$O$2,$Q$2)/$Q$2))</f>
        <v>8438.46481851176</v>
      </c>
      <c r="J197" s="15" t="n">
        <f aca="false">I197*(1+IF(J$3&lt;=$O$2,$D197,$D197-($D197-$I$184)*MIN(J$3-$O$2,$Q$2)/$Q$2))</f>
        <v>8844.30091736693</v>
      </c>
      <c r="K197" s="15" t="n">
        <f aca="false">J197*(1+IF(K$3&lt;=$O$2,$D197,$D197-($D197-$I$184)*MIN(K$3-$O$2,$Q$2)/$Q$2))</f>
        <v>9203.77925555583</v>
      </c>
      <c r="L197" s="15" t="n">
        <f aca="false">K197*(1+IF(L$3&lt;=$O$2,$D197,$D197-($D197-$I$184)*MIN(L$3-$O$2,$Q$2)/$Q$2))</f>
        <v>9509.31524598486</v>
      </c>
      <c r="M197" s="15" t="n">
        <f aca="false">L197*(1+IF(M$3&lt;=$O$2,$D197,$D197-($D197-$I$184)*MIN(M$3-$O$2,$Q$2)/$Q$2))</f>
        <v>9754.16488380627</v>
      </c>
      <c r="N197" s="15" t="n">
        <f aca="false">M197*(1+IF(N$3&lt;=$O$2,$D197,$D197-($D197-$I$184)*MIN(N$3-$O$2,$Q$2)/$Q$2))</f>
        <v>9932.66610117992</v>
      </c>
      <c r="O197" s="15" t="n">
        <f aca="false">SUMPRODUCT(E197:N197,1/(1+$F$184)^$E$3:$N$3)*$E$2</f>
        <v>10619.3648048206</v>
      </c>
      <c r="P197" s="15" t="n">
        <f aca="false">N197*$E$2*(1+$I$184)/($F$184-$I$184)/(1+$F$184)^$N$3</f>
        <v>11932.9519000581</v>
      </c>
      <c r="Q197" s="15" t="n">
        <f aca="false">O197+P197</f>
        <v>22552.3167048787</v>
      </c>
      <c r="R197" s="15" t="n">
        <f aca="false">Q197-$G$2+$I$2</f>
        <v>17252.4167048787</v>
      </c>
      <c r="S197" s="42" t="n">
        <f aca="false">R197/$K$2</f>
        <v>146.854074777653</v>
      </c>
      <c r="T197" s="43" t="n">
        <f aca="false">S197-$M$2</f>
        <v>-0.319912283974048</v>
      </c>
    </row>
    <row r="198" customFormat="false" ht="15" hidden="false" customHeight="false" outlineLevel="0" collapsed="false">
      <c r="A198" s="5" t="n">
        <v>13</v>
      </c>
      <c r="B198" s="25" t="n">
        <f aca="false">IF(T197&gt;0,B197,D197)</f>
        <v>0.0555419921875</v>
      </c>
      <c r="C198" s="25" t="n">
        <f aca="false">IF(T197&gt;0,D197,C197)</f>
        <v>0.055908203125</v>
      </c>
      <c r="D198" s="41" t="n">
        <f aca="false">(B198+C198)/2</f>
        <v>0.05572509765625</v>
      </c>
      <c r="E198" s="15" t="n">
        <f aca="false">$C$2*(1+IF(E$3&lt;=$O$2,$D198,$D198-($D198-$I$184)*MIN(E$3-$O$2,$Q$2)/$Q$2))</f>
        <v>6798.86962890625</v>
      </c>
      <c r="F198" s="15" t="n">
        <f aca="false">E198*(1+IF(F$3&lt;=$O$2,$D198,$D198-($D198-$I$184)*MIN(F$3-$O$2,$Q$2)/$Q$2))</f>
        <v>7177.73730292916</v>
      </c>
      <c r="G198" s="15" t="n">
        <f aca="false">F198*(1+IF(G$3&lt;=$O$2,$D198,$D198-($D198-$I$184)*MIN(G$3-$O$2,$Q$2)/$Q$2))</f>
        <v>7577.7174150858</v>
      </c>
      <c r="H198" s="15" t="n">
        <f aca="false">G198*(1+IF(H$3&lt;=$O$2,$D198,$D198-($D198-$I$184)*MIN(H$3-$O$2,$Q$2)/$Q$2))</f>
        <v>7999.98645805292</v>
      </c>
      <c r="I198" s="15" t="n">
        <f aca="false">H198*(1+IF(I$3&lt;=$O$2,$D198,$D198-($D198-$I$184)*MIN(I$3-$O$2,$Q$2)/$Q$2))</f>
        <v>8445.7864846766</v>
      </c>
      <c r="J198" s="15" t="n">
        <f aca="false">I198*(1+IF(J$3&lt;=$O$2,$D198,$D198-($D198-$I$184)*MIN(J$3-$O$2,$Q$2)/$Q$2))</f>
        <v>8853.21188452447</v>
      </c>
      <c r="K198" s="15" t="n">
        <f aca="false">J198*(1+IF(K$3&lt;=$O$2,$D198,$D198-($D198-$I$184)*MIN(K$3-$O$2,$Q$2)/$Q$2))</f>
        <v>9214.02505362115</v>
      </c>
      <c r="L198" s="15" t="n">
        <f aca="false">K198*(1+IF(L$3&lt;=$O$2,$D198,$D198-($D198-$I$184)*MIN(L$3-$O$2,$Q$2)/$Q$2))</f>
        <v>9520.57602707798</v>
      </c>
      <c r="M198" s="15" t="n">
        <f aca="false">L198*(1+IF(M$3&lt;=$O$2,$D198,$D198-($D198-$I$184)*MIN(M$3-$O$2,$Q$2)/$Q$2))</f>
        <v>9766.06426588493</v>
      </c>
      <c r="N198" s="15" t="n">
        <f aca="false">M198*(1+IF(N$3&lt;=$O$2,$D198,$D198-($D198-$I$184)*MIN(N$3-$O$2,$Q$2)/$Q$2))</f>
        <v>9944.78324195063</v>
      </c>
      <c r="O198" s="15" t="n">
        <f aca="false">SUMPRODUCT(E198:N198,1/(1+$F$184)^$E$3:$N$3)*$E$2</f>
        <v>10627.7895226571</v>
      </c>
      <c r="P198" s="15" t="n">
        <f aca="false">N198*$E$2*(1+$I$184)/($F$184-$I$184)/(1+$F$184)^$N$3</f>
        <v>11947.5092461433</v>
      </c>
      <c r="Q198" s="15" t="n">
        <f aca="false">O198+P198</f>
        <v>22575.2987688004</v>
      </c>
      <c r="R198" s="15" t="n">
        <f aca="false">Q198-$G$2+$I$2</f>
        <v>17275.3987688004</v>
      </c>
      <c r="S198" s="42" t="n">
        <f aca="false">R198/$K$2</f>
        <v>147.049700108958</v>
      </c>
      <c r="T198" s="43" t="n">
        <f aca="false">S198-$M$2</f>
        <v>-0.124286952669252</v>
      </c>
    </row>
    <row r="199" customFormat="false" ht="15" hidden="false" customHeight="false" outlineLevel="0" collapsed="false">
      <c r="A199" s="5" t="n">
        <v>14</v>
      </c>
      <c r="B199" s="25" t="n">
        <f aca="false">IF(T198&gt;0,B198,D198)</f>
        <v>0.05572509765625</v>
      </c>
      <c r="C199" s="25" t="n">
        <f aca="false">IF(T198&gt;0,D198,C198)</f>
        <v>0.055908203125</v>
      </c>
      <c r="D199" s="41" t="n">
        <f aca="false">(B199+C199)/2</f>
        <v>0.055816650390625</v>
      </c>
      <c r="E199" s="15" t="n">
        <f aca="false">$C$2*(1+IF(E$3&lt;=$O$2,$D199,$D199-($D199-$I$184)*MIN(E$3-$O$2,$Q$2)/$Q$2))</f>
        <v>6799.45922851563</v>
      </c>
      <c r="F199" s="15" t="n">
        <f aca="false">E199*(1+IF(F$3&lt;=$O$2,$D199,$D199-($D199-$I$184)*MIN(F$3-$O$2,$Q$2)/$Q$2))</f>
        <v>7178.98226711899</v>
      </c>
      <c r="G199" s="15" t="n">
        <f aca="false">F199*(1+IF(G$3&lt;=$O$2,$D199,$D199-($D199-$I$184)*MIN(G$3-$O$2,$Q$2)/$Q$2))</f>
        <v>7579.68901048327</v>
      </c>
      <c r="H199" s="15" t="n">
        <f aca="false">G199*(1+IF(H$3&lt;=$O$2,$D199,$D199-($D199-$I$184)*MIN(H$3-$O$2,$Q$2)/$Q$2))</f>
        <v>8002.76186205107</v>
      </c>
      <c r="I199" s="15" t="n">
        <f aca="false">H199*(1+IF(I$3&lt;=$O$2,$D199,$D199-($D199-$I$184)*MIN(I$3-$O$2,$Q$2)/$Q$2))</f>
        <v>8449.44922306461</v>
      </c>
      <c r="J199" s="15" t="n">
        <f aca="false">I199*(1+IF(J$3&lt;=$O$2,$D199,$D199-($D199-$I$184)*MIN(J$3-$O$2,$Q$2)/$Q$2))</f>
        <v>8857.67016984273</v>
      </c>
      <c r="K199" s="15" t="n">
        <f aca="false">J199*(1+IF(K$3&lt;=$O$2,$D199,$D199-($D199-$I$184)*MIN(K$3-$O$2,$Q$2)/$Q$2))</f>
        <v>9219.15160297333</v>
      </c>
      <c r="L199" s="15" t="n">
        <f aca="false">K199*(1+IF(L$3&lt;=$O$2,$D199,$D199-($D199-$I$184)*MIN(L$3-$O$2,$Q$2)/$Q$2))</f>
        <v>9526.21075234251</v>
      </c>
      <c r="M199" s="15" t="n">
        <f aca="false">L199*(1+IF(M$3&lt;=$O$2,$D199,$D199-($D199-$I$184)*MIN(M$3-$O$2,$Q$2)/$Q$2))</f>
        <v>9772.01871277898</v>
      </c>
      <c r="N199" s="15" t="n">
        <f aca="false">M199*(1+IF(N$3&lt;=$O$2,$D199,$D199-($D199-$I$184)*MIN(N$3-$O$2,$Q$2)/$Q$2))</f>
        <v>9950.84665522284</v>
      </c>
      <c r="O199" s="15" t="n">
        <f aca="false">SUMPRODUCT(E199:N199,1/(1+$F$184)^$E$3:$N$3)*$E$2</f>
        <v>10632.0044075802</v>
      </c>
      <c r="P199" s="15" t="n">
        <f aca="false">N199*$E$2*(1+$I$184)/($F$184-$I$184)/(1+$F$184)^$N$3</f>
        <v>11954.7937373554</v>
      </c>
      <c r="Q199" s="15" t="n">
        <f aca="false">O199+P199</f>
        <v>22586.7981449357</v>
      </c>
      <c r="R199" s="15" t="n">
        <f aca="false">Q199-$G$2+$I$2</f>
        <v>17286.8981449357</v>
      </c>
      <c r="S199" s="42" t="n">
        <f aca="false">R199/$K$2</f>
        <v>147.147583800951</v>
      </c>
      <c r="T199" s="43" t="n">
        <f aca="false">S199-$M$2</f>
        <v>-0.0264032606769433</v>
      </c>
    </row>
    <row r="200" customFormat="false" ht="15" hidden="false" customHeight="false" outlineLevel="0" collapsed="false">
      <c r="A200" s="5" t="n">
        <v>15</v>
      </c>
      <c r="B200" s="25" t="n">
        <f aca="false">IF(T199&gt;0,B199,D199)</f>
        <v>0.055816650390625</v>
      </c>
      <c r="C200" s="25" t="n">
        <f aca="false">IF(T199&gt;0,D199,C199)</f>
        <v>0.055908203125</v>
      </c>
      <c r="D200" s="41" t="n">
        <f aca="false">(B200+C200)/2</f>
        <v>0.0558624267578125</v>
      </c>
      <c r="E200" s="15" t="n">
        <f aca="false">$C$2*(1+IF(E$3&lt;=$O$2,$D200,$D200-($D200-$I$184)*MIN(E$3-$O$2,$Q$2)/$Q$2))</f>
        <v>6799.75402832031</v>
      </c>
      <c r="F200" s="15" t="n">
        <f aca="false">E200*(1+IF(F$3&lt;=$O$2,$D200,$D200-($D200-$I$184)*MIN(F$3-$O$2,$Q$2)/$Q$2))</f>
        <v>7179.6047896985</v>
      </c>
      <c r="G200" s="15" t="n">
        <f aca="false">F200*(1+IF(G$3&lt;=$O$2,$D200,$D200-($D200-$I$184)*MIN(G$3-$O$2,$Q$2)/$Q$2))</f>
        <v>7580.67493641307</v>
      </c>
      <c r="H200" s="15" t="n">
        <f aca="false">G200*(1+IF(H$3&lt;=$O$2,$D200,$D200-($D200-$I$184)*MIN(H$3-$O$2,$Q$2)/$Q$2))</f>
        <v>8004.14983482323</v>
      </c>
      <c r="I200" s="15" t="n">
        <f aca="false">H200*(1+IF(I$3&lt;=$O$2,$D200,$D200-($D200-$I$184)*MIN(I$3-$O$2,$Q$2)/$Q$2))</f>
        <v>8451.2810687296</v>
      </c>
      <c r="J200" s="15" t="n">
        <f aca="false">I200*(1+IF(J$3&lt;=$O$2,$D200,$D200-($D200-$I$184)*MIN(J$3-$O$2,$Q$2)/$Q$2))</f>
        <v>8859.90001321042</v>
      </c>
      <c r="K200" s="15" t="n">
        <f aca="false">J200*(1+IF(K$3&lt;=$O$2,$D200,$D200-($D200-$I$184)*MIN(K$3-$O$2,$Q$2)/$Q$2))</f>
        <v>9221.71579064883</v>
      </c>
      <c r="L200" s="15" t="n">
        <f aca="false">K200*(1+IF(L$3&lt;=$O$2,$D200,$D200-($D200-$I$184)*MIN(L$3-$O$2,$Q$2)/$Q$2))</f>
        <v>9529.02919920475</v>
      </c>
      <c r="M200" s="15" t="n">
        <f aca="false">L200*(1+IF(M$3&lt;=$O$2,$D200,$D200-($D200-$I$184)*MIN(M$3-$O$2,$Q$2)/$Q$2))</f>
        <v>9774.99712582383</v>
      </c>
      <c r="N200" s="15" t="n">
        <f aca="false">M200*(1+IF(N$3&lt;=$O$2,$D200,$D200-($D200-$I$184)*MIN(N$3-$O$2,$Q$2)/$Q$2))</f>
        <v>9953.8795732264</v>
      </c>
      <c r="O200" s="15" t="n">
        <f aca="false">SUMPRODUCT(E200:N200,1/(1+$F$184)^$E$3:$N$3)*$E$2</f>
        <v>10634.1124818186</v>
      </c>
      <c r="P200" s="15" t="n">
        <f aca="false">N200*$E$2*(1+$I$184)/($F$184-$I$184)/(1+$F$184)^$N$3</f>
        <v>11958.4374382797</v>
      </c>
      <c r="Q200" s="15" t="n">
        <f aca="false">O200+P200</f>
        <v>22592.5499200983</v>
      </c>
      <c r="R200" s="15" t="n">
        <f aca="false">Q200-$G$2+$I$2</f>
        <v>17292.6499200983</v>
      </c>
      <c r="S200" s="42" t="n">
        <f aca="false">R200/$K$2</f>
        <v>147.196543412481</v>
      </c>
      <c r="T200" s="43" t="n">
        <f aca="false">S200-$M$2</f>
        <v>0.022556350853705</v>
      </c>
    </row>
    <row r="201" customFormat="false" ht="15" hidden="false" customHeight="false" outlineLevel="0" collapsed="false">
      <c r="A201" s="5" t="n">
        <v>16</v>
      </c>
      <c r="B201" s="25" t="n">
        <f aca="false">IF(T200&gt;0,B200,D200)</f>
        <v>0.055816650390625</v>
      </c>
      <c r="C201" s="25" t="n">
        <f aca="false">IF(T200&gt;0,D200,C200)</f>
        <v>0.0558624267578125</v>
      </c>
      <c r="D201" s="41" t="n">
        <f aca="false">(B201+C201)/2</f>
        <v>0.0558395385742188</v>
      </c>
      <c r="E201" s="15" t="n">
        <f aca="false">$C$2*(1+IF(E$3&lt;=$O$2,$D201,$D201-($D201-$I$184)*MIN(E$3-$O$2,$Q$2)/$Q$2))</f>
        <v>6799.60662841797</v>
      </c>
      <c r="F201" s="15" t="n">
        <f aca="false">E201*(1+IF(F$3&lt;=$O$2,$D201,$D201-($D201-$I$184)*MIN(F$3-$O$2,$Q$2)/$Q$2))</f>
        <v>7179.29352503503</v>
      </c>
      <c r="G201" s="15" t="n">
        <f aca="false">F201*(1+IF(G$3&lt;=$O$2,$D201,$D201-($D201-$I$184)*MIN(G$3-$O$2,$Q$2)/$Q$2))</f>
        <v>7580.18196276186</v>
      </c>
      <c r="H201" s="15" t="n">
        <f aca="false">G201*(1+IF(H$3&lt;=$O$2,$D201,$D201-($D201-$I$184)*MIN(H$3-$O$2,$Q$2)/$Q$2))</f>
        <v>8003.4558258711</v>
      </c>
      <c r="I201" s="15" t="n">
        <f aca="false">H201*(1+IF(I$3&lt;=$O$2,$D201,$D201-($D201-$I$184)*MIN(I$3-$O$2,$Q$2)/$Q$2))</f>
        <v>8450.36510618688</v>
      </c>
      <c r="J201" s="15" t="n">
        <f aca="false">I201*(1+IF(J$3&lt;=$O$2,$D201,$D201-($D201-$I$184)*MIN(J$3-$O$2,$Q$2)/$Q$2))</f>
        <v>8858.78503312605</v>
      </c>
      <c r="K201" s="15" t="n">
        <f aca="false">J201*(1+IF(K$3&lt;=$O$2,$D201,$D201-($D201-$I$184)*MIN(K$3-$O$2,$Q$2)/$Q$2))</f>
        <v>9220.43362071531</v>
      </c>
      <c r="L201" s="15" t="n">
        <f aca="false">K201*(1+IF(L$3&lt;=$O$2,$D201,$D201-($D201-$I$184)*MIN(L$3-$O$2,$Q$2)/$Q$2))</f>
        <v>9527.61988540474</v>
      </c>
      <c r="M201" s="15" t="n">
        <f aca="false">L201*(1+IF(M$3&lt;=$O$2,$D201,$D201-($D201-$I$184)*MIN(M$3-$O$2,$Q$2)/$Q$2))</f>
        <v>9773.50782014938</v>
      </c>
      <c r="N201" s="15" t="n">
        <f aca="false">M201*(1+IF(N$3&lt;=$O$2,$D201,$D201-($D201-$I$184)*MIN(N$3-$O$2,$Q$2)/$Q$2))</f>
        <v>9952.36301325811</v>
      </c>
      <c r="O201" s="15" t="n">
        <f aca="false">SUMPRODUCT(E201:N201,1/(1+$F$184)^$E$3:$N$3)*$E$2</f>
        <v>10633.0583920431</v>
      </c>
      <c r="P201" s="15" t="n">
        <f aca="false">N201*$E$2*(1+$I$184)/($F$184-$I$184)/(1+$F$184)^$N$3</f>
        <v>11956.615466518</v>
      </c>
      <c r="Q201" s="15" t="n">
        <f aca="false">O201+P201</f>
        <v>22589.6738585611</v>
      </c>
      <c r="R201" s="15" t="n">
        <f aca="false">Q201-$G$2+$I$2</f>
        <v>17289.7738585611</v>
      </c>
      <c r="S201" s="42" t="n">
        <f aca="false">R201/$K$2</f>
        <v>147.172062125988</v>
      </c>
      <c r="T201" s="43" t="n">
        <f aca="false">S201-$M$2</f>
        <v>-0.00192493563926632</v>
      </c>
    </row>
    <row r="202" customFormat="false" ht="15" hidden="false" customHeight="false" outlineLevel="0" collapsed="false">
      <c r="A202" s="5" t="n">
        <v>17</v>
      </c>
      <c r="B202" s="25" t="n">
        <f aca="false">IF(T201&gt;0,B201,D201)</f>
        <v>0.0558395385742188</v>
      </c>
      <c r="C202" s="25" t="n">
        <f aca="false">IF(T201&gt;0,D201,C201)</f>
        <v>0.0558624267578125</v>
      </c>
      <c r="D202" s="41" t="n">
        <f aca="false">(B202+C202)/2</f>
        <v>0.0558509826660156</v>
      </c>
      <c r="E202" s="15" t="n">
        <f aca="false">$C$2*(1+IF(E$3&lt;=$O$2,$D202,$D202-($D202-$I$184)*MIN(E$3-$O$2,$Q$2)/$Q$2))</f>
        <v>6799.68032836914</v>
      </c>
      <c r="F202" s="15" t="n">
        <f aca="false">E202*(1+IF(F$3&lt;=$O$2,$D202,$D202-($D202-$I$184)*MIN(F$3-$O$2,$Q$2)/$Q$2))</f>
        <v>7179.44915652333</v>
      </c>
      <c r="G202" s="15" t="n">
        <f aca="false">F202*(1+IF(G$3&lt;=$O$2,$D202,$D202-($D202-$I$184)*MIN(G$3-$O$2,$Q$2)/$Q$2))</f>
        <v>7580.42844691586</v>
      </c>
      <c r="H202" s="15" t="n">
        <f aca="false">G202*(1+IF(H$3&lt;=$O$2,$D202,$D202-($D202-$I$184)*MIN(H$3-$O$2,$Q$2)/$Q$2))</f>
        <v>8003.80282470553</v>
      </c>
      <c r="I202" s="15" t="n">
        <f aca="false">H202*(1+IF(I$3&lt;=$O$2,$D202,$D202-($D202-$I$184)*MIN(I$3-$O$2,$Q$2)/$Q$2))</f>
        <v>8450.82307753036</v>
      </c>
      <c r="J202" s="15" t="n">
        <f aca="false">I202*(1+IF(J$3&lt;=$O$2,$D202,$D202-($D202-$I$184)*MIN(J$3-$O$2,$Q$2)/$Q$2))</f>
        <v>8859.3425085675</v>
      </c>
      <c r="K202" s="15" t="n">
        <f aca="false">J202*(1+IF(K$3&lt;=$O$2,$D202,$D202-($D202-$I$184)*MIN(K$3-$O$2,$Q$2)/$Q$2))</f>
        <v>9221.07468665719</v>
      </c>
      <c r="L202" s="15" t="n">
        <f aca="false">K202*(1+IF(L$3&lt;=$O$2,$D202,$D202-($D202-$I$184)*MIN(L$3-$O$2,$Q$2)/$Q$2))</f>
        <v>9528.3245197113</v>
      </c>
      <c r="M202" s="15" t="n">
        <f aca="false">L202*(1+IF(M$3&lt;=$O$2,$D202,$D202-($D202-$I$184)*MIN(M$3-$O$2,$Q$2)/$Q$2))</f>
        <v>9774.25244819718</v>
      </c>
      <c r="N202" s="15" t="n">
        <f aca="false">M202*(1+IF(N$3&lt;=$O$2,$D202,$D202-($D202-$I$184)*MIN(N$3-$O$2,$Q$2)/$Q$2))</f>
        <v>9953.12126799919</v>
      </c>
      <c r="O202" s="15" t="n">
        <f aca="false">SUMPRODUCT(E202:N202,1/(1+$F$184)^$E$3:$N$3)*$E$2</f>
        <v>10633.5854237662</v>
      </c>
      <c r="P202" s="15" t="n">
        <f aca="false">N202*$E$2*(1+$I$184)/($F$184-$I$184)/(1+$F$184)^$N$3</f>
        <v>11957.5264220722</v>
      </c>
      <c r="Q202" s="15" t="n">
        <f aca="false">O202+P202</f>
        <v>22591.1118458384</v>
      </c>
      <c r="R202" s="15" t="n">
        <f aca="false">Q202-$G$2+$I$2</f>
        <v>17291.2118458384</v>
      </c>
      <c r="S202" s="42" t="n">
        <f aca="false">R202/$K$2</f>
        <v>147.184302399033</v>
      </c>
      <c r="T202" s="43" t="n">
        <f aca="false">S202-$M$2</f>
        <v>0.0103153374054159</v>
      </c>
    </row>
    <row r="203" customFormat="false" ht="15" hidden="false" customHeight="false" outlineLevel="0" collapsed="false">
      <c r="A203" s="5" t="n">
        <v>18</v>
      </c>
      <c r="B203" s="25" t="n">
        <f aca="false">IF(T202&gt;0,B202,D202)</f>
        <v>0.0558395385742188</v>
      </c>
      <c r="C203" s="25" t="n">
        <f aca="false">IF(T202&gt;0,D202,C202)</f>
        <v>0.0558509826660156</v>
      </c>
      <c r="D203" s="41" t="n">
        <f aca="false">(B203+C203)/2</f>
        <v>0.0558452606201172</v>
      </c>
      <c r="E203" s="15" t="n">
        <f aca="false">$C$2*(1+IF(E$3&lt;=$O$2,$D203,$D203-($D203-$I$184)*MIN(E$3-$O$2,$Q$2)/$Q$2))</f>
        <v>6799.64347839356</v>
      </c>
      <c r="F203" s="15" t="n">
        <f aca="false">E203*(1+IF(F$3&lt;=$O$2,$D203,$D203-($D203-$I$184)*MIN(F$3-$O$2,$Q$2)/$Q$2))</f>
        <v>7179.37134056832</v>
      </c>
      <c r="G203" s="15" t="n">
        <f aca="false">F203*(1+IF(G$3&lt;=$O$2,$D203,$D203-($D203-$I$184)*MIN(G$3-$O$2,$Q$2)/$Q$2))</f>
        <v>7580.30520417096</v>
      </c>
      <c r="H203" s="15" t="n">
        <f aca="false">G203*(1+IF(H$3&lt;=$O$2,$D203,$D203-($D203-$I$184)*MIN(H$3-$O$2,$Q$2)/$Q$2))</f>
        <v>8003.62932387792</v>
      </c>
      <c r="I203" s="15" t="n">
        <f aca="false">H203*(1+IF(I$3&lt;=$O$2,$D203,$D203-($D203-$I$184)*MIN(I$3-$O$2,$Q$2)/$Q$2))</f>
        <v>8450.59408937669</v>
      </c>
      <c r="J203" s="15" t="n">
        <f aca="false">I203*(1+IF(J$3&lt;=$O$2,$D203,$D203-($D203-$I$184)*MIN(J$3-$O$2,$Q$2)/$Q$2))</f>
        <v>8859.06376719666</v>
      </c>
      <c r="K203" s="15" t="n">
        <f aca="false">J203*(1+IF(K$3&lt;=$O$2,$D203,$D203-($D203-$I$184)*MIN(K$3-$O$2,$Q$2)/$Q$2))</f>
        <v>9220.75414893014</v>
      </c>
      <c r="L203" s="15" t="n">
        <f aca="false">K203*(1+IF(L$3&lt;=$O$2,$D203,$D203-($D203-$I$184)*MIN(L$3-$O$2,$Q$2)/$Q$2))</f>
        <v>9527.97219690981</v>
      </c>
      <c r="M203" s="15" t="n">
        <f aca="false">L203*(1+IF(M$3&lt;=$O$2,$D203,$D203-($D203-$I$184)*MIN(M$3-$O$2,$Q$2)/$Q$2))</f>
        <v>9773.8801279761</v>
      </c>
      <c r="N203" s="15" t="n">
        <f aca="false">M203*(1+IF(N$3&lt;=$O$2,$D203,$D203-($D203-$I$184)*MIN(N$3-$O$2,$Q$2)/$Q$2))</f>
        <v>9952.74213431806</v>
      </c>
      <c r="O203" s="15" t="n">
        <f aca="false">SUMPRODUCT(E203:N203,1/(1+$F$184)^$E$3:$N$3)*$E$2</f>
        <v>10633.3219046136</v>
      </c>
      <c r="P203" s="15" t="n">
        <f aca="false">N203*$E$2*(1+$I$184)/($F$184-$I$184)/(1+$F$184)^$N$3</f>
        <v>11957.0709367137</v>
      </c>
      <c r="Q203" s="15" t="n">
        <f aca="false">O203+P203</f>
        <v>22590.3928413272</v>
      </c>
      <c r="R203" s="15" t="n">
        <f aca="false">Q203-$G$2+$I$2</f>
        <v>17290.4928413272</v>
      </c>
      <c r="S203" s="42" t="n">
        <f aca="false">R203/$K$2</f>
        <v>147.178182169963</v>
      </c>
      <c r="T203" s="43" t="n">
        <f aca="false">S203-$M$2</f>
        <v>0.0041951083350682</v>
      </c>
    </row>
    <row r="204" customFormat="false" ht="15" hidden="false" customHeight="false" outlineLevel="0" collapsed="false">
      <c r="A204" s="5" t="n">
        <v>19</v>
      </c>
      <c r="B204" s="25" t="n">
        <f aca="false">IF(T203&gt;0,B203,D203)</f>
        <v>0.0558395385742188</v>
      </c>
      <c r="C204" s="25" t="n">
        <f aca="false">IF(T203&gt;0,D203,C203)</f>
        <v>0.0558452606201172</v>
      </c>
      <c r="D204" s="41" t="n">
        <f aca="false">(B204+C204)/2</f>
        <v>0.055842399597168</v>
      </c>
      <c r="E204" s="15" t="n">
        <f aca="false">$C$2*(1+IF(E$3&lt;=$O$2,$D204,$D204-($D204-$I$184)*MIN(E$3-$O$2,$Q$2)/$Q$2))</f>
        <v>6799.62505340576</v>
      </c>
      <c r="F204" s="15" t="n">
        <f aca="false">E204*(1+IF(F$3&lt;=$O$2,$D204,$D204-($D204-$I$184)*MIN(F$3-$O$2,$Q$2)/$Q$2))</f>
        <v>7179.33243274896</v>
      </c>
      <c r="G204" s="15" t="n">
        <f aca="false">F204*(1+IF(G$3&lt;=$O$2,$D204,$D204-($D204-$I$184)*MIN(G$3-$O$2,$Q$2)/$Q$2))</f>
        <v>7580.24358329944</v>
      </c>
      <c r="H204" s="15" t="n">
        <f aca="false">G204*(1+IF(H$3&lt;=$O$2,$D204,$D204-($D204-$I$184)*MIN(H$3-$O$2,$Q$2)/$Q$2))</f>
        <v>8003.54257452191</v>
      </c>
      <c r="I204" s="15" t="n">
        <f aca="false">H204*(1+IF(I$3&lt;=$O$2,$D204,$D204-($D204-$I$184)*MIN(I$3-$O$2,$Q$2)/$Q$2))</f>
        <v>8450.47959716131</v>
      </c>
      <c r="J204" s="15" t="n">
        <f aca="false">I204*(1+IF(J$3&lt;=$O$2,$D204,$D204-($D204-$I$184)*MIN(J$3-$O$2,$Q$2)/$Q$2))</f>
        <v>8858.92439924884</v>
      </c>
      <c r="K204" s="15" t="n">
        <f aca="false">J204*(1+IF(K$3&lt;=$O$2,$D204,$D204-($D204-$I$184)*MIN(K$3-$O$2,$Q$2)/$Q$2))</f>
        <v>9220.59388363371</v>
      </c>
      <c r="L204" s="15" t="n">
        <f aca="false">K204*(1+IF(L$3&lt;=$O$2,$D204,$D204-($D204-$I$184)*MIN(L$3-$O$2,$Q$2)/$Q$2))</f>
        <v>9527.79603974524</v>
      </c>
      <c r="M204" s="15" t="n">
        <f aca="false">L204*(1+IF(M$3&lt;=$O$2,$D204,$D204-($D204-$I$184)*MIN(M$3-$O$2,$Q$2)/$Q$2))</f>
        <v>9773.69397251347</v>
      </c>
      <c r="N204" s="15" t="n">
        <f aca="false">M204*(1+IF(N$3&lt;=$O$2,$D204,$D204-($D204-$I$184)*MIN(N$3-$O$2,$Q$2)/$Q$2))</f>
        <v>9952.55257221046</v>
      </c>
      <c r="O204" s="15" t="n">
        <f aca="false">SUMPRODUCT(E204:N204,1/(1+$F$184)^$E$3:$N$3)*$E$2</f>
        <v>10633.1901475056</v>
      </c>
      <c r="P204" s="15" t="n">
        <f aca="false">N204*$E$2*(1+$I$184)/($F$184-$I$184)/(1+$F$184)^$N$3</f>
        <v>11956.8431997205</v>
      </c>
      <c r="Q204" s="15" t="n">
        <f aca="false">O204+P204</f>
        <v>22590.0333472261</v>
      </c>
      <c r="R204" s="15" t="n">
        <f aca="false">Q204-$G$2+$I$2</f>
        <v>17290.1333472261</v>
      </c>
      <c r="S204" s="42" t="n">
        <f aca="false">R204/$K$2</f>
        <v>147.175122124839</v>
      </c>
      <c r="T204" s="43" t="n">
        <f aca="false">S204-$M$2</f>
        <v>0.00113506321125101</v>
      </c>
    </row>
    <row r="205" customFormat="false" ht="15" hidden="false" customHeight="false" outlineLevel="0" collapsed="false">
      <c r="A205" s="5" t="n">
        <v>20</v>
      </c>
      <c r="B205" s="25" t="n">
        <f aca="false">IF(T204&gt;0,B204,D204)</f>
        <v>0.0558395385742188</v>
      </c>
      <c r="C205" s="25" t="n">
        <f aca="false">IF(T204&gt;0,D204,C204)</f>
        <v>0.055842399597168</v>
      </c>
      <c r="D205" s="41" t="n">
        <f aca="false">(B205+C205)/2</f>
        <v>0.0558409690856934</v>
      </c>
      <c r="E205" s="15" t="n">
        <f aca="false">$C$2*(1+IF(E$3&lt;=$O$2,$D205,$D205-($D205-$I$184)*MIN(E$3-$O$2,$Q$2)/$Q$2))</f>
        <v>6799.61584091187</v>
      </c>
      <c r="F205" s="15" t="n">
        <f aca="false">E205*(1+IF(F$3&lt;=$O$2,$D205,$D205-($D205-$I$184)*MIN(F$3-$O$2,$Q$2)/$Q$2))</f>
        <v>7179.31297887882</v>
      </c>
      <c r="G205" s="15" t="n">
        <f aca="false">F205*(1+IF(G$3&lt;=$O$2,$D205,$D205-($D205-$I$184)*MIN(G$3-$O$2,$Q$2)/$Q$2))</f>
        <v>7580.2127729889</v>
      </c>
      <c r="H205" s="15" t="n">
        <f aca="false">G205*(1+IF(H$3&lt;=$O$2,$D205,$D205-($D205-$I$184)*MIN(H$3-$O$2,$Q$2)/$Q$2))</f>
        <v>8003.49920010836</v>
      </c>
      <c r="I205" s="15" t="n">
        <f aca="false">H205*(1+IF(I$3&lt;=$O$2,$D205,$D205-($D205-$I$184)*MIN(I$3-$O$2,$Q$2)/$Q$2))</f>
        <v>8450.42235151898</v>
      </c>
      <c r="J205" s="15" t="n">
        <f aca="false">I205*(1+IF(J$3&lt;=$O$2,$D205,$D205-($D205-$I$184)*MIN(J$3-$O$2,$Q$2)/$Q$2))</f>
        <v>8858.85471595932</v>
      </c>
      <c r="K205" s="15" t="n">
        <f aca="false">J205*(1+IF(K$3&lt;=$O$2,$D205,$D205-($D205-$I$184)*MIN(K$3-$O$2,$Q$2)/$Q$2))</f>
        <v>9220.51375187726</v>
      </c>
      <c r="L205" s="15" t="n">
        <f aca="false">K205*(1+IF(L$3&lt;=$O$2,$D205,$D205-($D205-$I$184)*MIN(L$3-$O$2,$Q$2)/$Q$2))</f>
        <v>9527.70796222199</v>
      </c>
      <c r="M205" s="15" t="n">
        <f aca="false">L205*(1+IF(M$3&lt;=$O$2,$D205,$D205-($D205-$I$184)*MIN(M$3-$O$2,$Q$2)/$Q$2))</f>
        <v>9773.60089594411</v>
      </c>
      <c r="N205" s="15" t="n">
        <f aca="false">M205*(1+IF(N$3&lt;=$O$2,$D205,$D205-($D205-$I$184)*MIN(N$3-$O$2,$Q$2)/$Q$2))</f>
        <v>9952.45779233988</v>
      </c>
      <c r="O205" s="15" t="n">
        <f aca="false">SUMPRODUCT(E205:N205,1/(1+$F$184)^$E$3:$N$3)*$E$2</f>
        <v>10633.1242695687</v>
      </c>
      <c r="P205" s="15" t="n">
        <f aca="false">N205*$E$2*(1+$I$184)/($F$184-$I$184)/(1+$F$184)^$N$3</f>
        <v>11956.7293326454</v>
      </c>
      <c r="Q205" s="15" t="n">
        <f aca="false">O205+P205</f>
        <v>22589.8536022141</v>
      </c>
      <c r="R205" s="15" t="n">
        <f aca="false">Q205-$G$2+$I$2</f>
        <v>17289.9536022141</v>
      </c>
      <c r="S205" s="42" t="n">
        <f aca="false">R205/$K$2</f>
        <v>147.173592119629</v>
      </c>
      <c r="T205" s="43" t="n">
        <f aca="false">S205-$M$2</f>
        <v>-0.000394941998138165</v>
      </c>
    </row>
    <row r="206" customFormat="false" ht="15" hidden="false" customHeight="false" outlineLevel="0" collapsed="false">
      <c r="A206" s="5" t="n">
        <v>21</v>
      </c>
      <c r="B206" s="25" t="n">
        <f aca="false">IF(T205&gt;0,B205,D205)</f>
        <v>0.0558409690856934</v>
      </c>
      <c r="C206" s="25" t="n">
        <f aca="false">IF(T205&gt;0,D205,C205)</f>
        <v>0.055842399597168</v>
      </c>
      <c r="D206" s="41" t="n">
        <f aca="false">(B206+C206)/2</f>
        <v>0.0558416843414307</v>
      </c>
      <c r="E206" s="15" t="n">
        <f aca="false">$C$2*(1+IF(E$3&lt;=$O$2,$D206,$D206-($D206-$I$184)*MIN(E$3-$O$2,$Q$2)/$Q$2))</f>
        <v>6799.62044715881</v>
      </c>
      <c r="F206" s="15" t="n">
        <f aca="false">E206*(1+IF(F$3&lt;=$O$2,$D206,$D206-($D206-$I$184)*MIN(F$3-$O$2,$Q$2)/$Q$2))</f>
        <v>7179.32270581059</v>
      </c>
      <c r="G206" s="15" t="n">
        <f aca="false">F206*(1+IF(G$3&lt;=$O$2,$D206,$D206-($D206-$I$184)*MIN(G$3-$O$2,$Q$2)/$Q$2))</f>
        <v>7580.22817813373</v>
      </c>
      <c r="H206" s="15" t="n">
        <f aca="false">G206*(1+IF(H$3&lt;=$O$2,$D206,$D206-($D206-$I$184)*MIN(H$3-$O$2,$Q$2)/$Q$2))</f>
        <v>8003.5208872931</v>
      </c>
      <c r="I206" s="15" t="n">
        <f aca="false">H206*(1+IF(I$3&lt;=$O$2,$D206,$D206-($D206-$I$184)*MIN(I$3-$O$2,$Q$2)/$Q$2))</f>
        <v>8450.45097430136</v>
      </c>
      <c r="J206" s="15" t="n">
        <f aca="false">I206*(1+IF(J$3&lt;=$O$2,$D206,$D206-($D206-$I$184)*MIN(J$3-$O$2,$Q$2)/$Q$2))</f>
        <v>8858.88955754704</v>
      </c>
      <c r="K206" s="15" t="n">
        <f aca="false">J206*(1+IF(K$3&lt;=$O$2,$D206,$D206-($D206-$I$184)*MIN(K$3-$O$2,$Q$2)/$Q$2))</f>
        <v>9220.55381768117</v>
      </c>
      <c r="L206" s="15" t="n">
        <f aca="false">K206*(1+IF(L$3&lt;=$O$2,$D206,$D206-($D206-$I$184)*MIN(L$3-$O$2,$Q$2)/$Q$2))</f>
        <v>9527.75200089536</v>
      </c>
      <c r="M206" s="15" t="n">
        <f aca="false">L206*(1+IF(M$3&lt;=$O$2,$D206,$D206-($D206-$I$184)*MIN(M$3-$O$2,$Q$2)/$Q$2))</f>
        <v>9773.64743413196</v>
      </c>
      <c r="N206" s="15" t="n">
        <f aca="false">M206*(1+IF(N$3&lt;=$O$2,$D206,$D206-($D206-$I$184)*MIN(N$3-$O$2,$Q$2)/$Q$2))</f>
        <v>9952.50518217657</v>
      </c>
      <c r="O206" s="15" t="n">
        <f aca="false">SUMPRODUCT(E206:N206,1/(1+$F$184)^$E$3:$N$3)*$E$2</f>
        <v>10633.1572084857</v>
      </c>
      <c r="P206" s="15" t="n">
        <f aca="false">N206*$E$2*(1+$I$184)/($F$184-$I$184)/(1+$F$184)^$N$3</f>
        <v>11956.7862660645</v>
      </c>
      <c r="Q206" s="15" t="n">
        <f aca="false">O206+P206</f>
        <v>22589.9434745502</v>
      </c>
      <c r="R206" s="15" t="n">
        <f aca="false">Q206-$G$2+$I$2</f>
        <v>17290.0434745502</v>
      </c>
      <c r="S206" s="42" t="n">
        <f aca="false">R206/$K$2</f>
        <v>147.174357120788</v>
      </c>
      <c r="T206" s="43" t="n">
        <f aca="false">S206-$M$2</f>
        <v>0.000370059160502478</v>
      </c>
    </row>
    <row r="207" customFormat="false" ht="15" hidden="false" customHeight="false" outlineLevel="0" collapsed="false">
      <c r="A207" s="5" t="n">
        <v>22</v>
      </c>
      <c r="B207" s="25" t="n">
        <f aca="false">IF(T206&gt;0,B206,D206)</f>
        <v>0.0558409690856934</v>
      </c>
      <c r="C207" s="25" t="n">
        <f aca="false">IF(T206&gt;0,D206,C206)</f>
        <v>0.0558416843414307</v>
      </c>
      <c r="D207" s="41" t="n">
        <f aca="false">(B207+C207)/2</f>
        <v>0.055841326713562</v>
      </c>
      <c r="E207" s="15" t="n">
        <f aca="false">$C$2*(1+IF(E$3&lt;=$O$2,$D207,$D207-($D207-$I$184)*MIN(E$3-$O$2,$Q$2)/$Q$2))</f>
        <v>6799.61814403534</v>
      </c>
      <c r="F207" s="15" t="n">
        <f aca="false">E207*(1+IF(F$3&lt;=$O$2,$D207,$D207-($D207-$I$184)*MIN(F$3-$O$2,$Q$2)/$Q$2))</f>
        <v>7179.31784234388</v>
      </c>
      <c r="G207" s="15" t="n">
        <f aca="false">F207*(1+IF(G$3&lt;=$O$2,$D207,$D207-($D207-$I$184)*MIN(G$3-$O$2,$Q$2)/$Q$2))</f>
        <v>7580.22047555871</v>
      </c>
      <c r="H207" s="15" t="n">
        <f aca="false">G207*(1+IF(H$3&lt;=$O$2,$D207,$D207-($D207-$I$184)*MIN(H$3-$O$2,$Q$2)/$Q$2))</f>
        <v>8003.51004369522</v>
      </c>
      <c r="I207" s="15" t="n">
        <f aca="false">H207*(1+IF(I$3&lt;=$O$2,$D207,$D207-($D207-$I$184)*MIN(I$3-$O$2,$Q$2)/$Q$2))</f>
        <v>8450.43666290048</v>
      </c>
      <c r="J207" s="15" t="n">
        <f aca="false">I207*(1+IF(J$3&lt;=$O$2,$D207,$D207-($D207-$I$184)*MIN(J$3-$O$2,$Q$2)/$Q$2))</f>
        <v>8858.87213673892</v>
      </c>
      <c r="K207" s="15" t="n">
        <f aca="false">J207*(1+IF(K$3&lt;=$O$2,$D207,$D207-($D207-$I$184)*MIN(K$3-$O$2,$Q$2)/$Q$2))</f>
        <v>9220.53378476064</v>
      </c>
      <c r="L207" s="15" t="n">
        <f aca="false">K207*(1+IF(L$3&lt;=$O$2,$D207,$D207-($D207-$I$184)*MIN(L$3-$O$2,$Q$2)/$Q$2))</f>
        <v>9527.72998153661</v>
      </c>
      <c r="M207" s="15" t="n">
        <f aca="false">L207*(1+IF(M$3&lt;=$O$2,$D207,$D207-($D207-$I$184)*MIN(M$3-$O$2,$Q$2)/$Q$2))</f>
        <v>9773.62416501382</v>
      </c>
      <c r="N207" s="15" t="n">
        <f aca="false">M207*(1+IF(N$3&lt;=$O$2,$D207,$D207-($D207-$I$184)*MIN(N$3-$O$2,$Q$2)/$Q$2))</f>
        <v>9952.48148723358</v>
      </c>
      <c r="O207" s="15" t="n">
        <f aca="false">SUMPRODUCT(E207:N207,1/(1+$F$184)^$E$3:$N$3)*$E$2</f>
        <v>10633.1407390143</v>
      </c>
      <c r="P207" s="15" t="n">
        <f aca="false">N207*$E$2*(1+$I$184)/($F$184-$I$184)/(1+$F$184)^$N$3</f>
        <v>11956.7577993253</v>
      </c>
      <c r="Q207" s="15" t="n">
        <f aca="false">O207+P207</f>
        <v>22589.8985383397</v>
      </c>
      <c r="R207" s="15" t="n">
        <f aca="false">Q207-$G$2+$I$2</f>
        <v>17289.9985383397</v>
      </c>
      <c r="S207" s="42" t="n">
        <f aca="false">R207/$K$2</f>
        <v>147.173974619847</v>
      </c>
      <c r="T207" s="43" t="n">
        <f aca="false">S207-$M$2</f>
        <v>-1.24417803135657E-005</v>
      </c>
    </row>
    <row r="208" customFormat="false" ht="15" hidden="false" customHeight="false" outlineLevel="0" collapsed="false">
      <c r="A208" s="5" t="n">
        <v>23</v>
      </c>
      <c r="B208" s="25" t="n">
        <f aca="false">IF(T207&gt;0,B207,D207)</f>
        <v>0.055841326713562</v>
      </c>
      <c r="C208" s="25" t="n">
        <f aca="false">IF(T207&gt;0,D207,C207)</f>
        <v>0.0558416843414307</v>
      </c>
      <c r="D208" s="41" t="n">
        <f aca="false">(B208+C208)/2</f>
        <v>0.0558415055274963</v>
      </c>
      <c r="E208" s="15" t="n">
        <f aca="false">$C$2*(1+IF(E$3&lt;=$O$2,$D208,$D208-($D208-$I$184)*MIN(E$3-$O$2,$Q$2)/$Q$2))</f>
        <v>6799.61929559708</v>
      </c>
      <c r="F208" s="15" t="n">
        <f aca="false">E208*(1+IF(F$3&lt;=$O$2,$D208,$D208-($D208-$I$184)*MIN(F$3-$O$2,$Q$2)/$Q$2))</f>
        <v>7179.32027407703</v>
      </c>
      <c r="G208" s="15" t="n">
        <f aca="false">F208*(1+IF(G$3&lt;=$O$2,$D208,$D208-($D208-$I$184)*MIN(G$3-$O$2,$Q$2)/$Q$2))</f>
        <v>7580.22432684557</v>
      </c>
      <c r="H208" s="15" t="n">
        <f aca="false">G208*(1+IF(H$3&lt;=$O$2,$D208,$D208-($D208-$I$184)*MIN(H$3-$O$2,$Q$2)/$Q$2))</f>
        <v>8003.51546549278</v>
      </c>
      <c r="I208" s="15" t="n">
        <f aca="false">H208*(1+IF(I$3&lt;=$O$2,$D208,$D208-($D208-$I$184)*MIN(I$3-$O$2,$Q$2)/$Q$2))</f>
        <v>8450.4438185985</v>
      </c>
      <c r="J208" s="15" t="n">
        <f aca="false">I208*(1+IF(J$3&lt;=$O$2,$D208,$D208-($D208-$I$184)*MIN(J$3-$O$2,$Q$2)/$Q$2))</f>
        <v>8858.88084713942</v>
      </c>
      <c r="K208" s="15" t="n">
        <f aca="false">J208*(1+IF(K$3&lt;=$O$2,$D208,$D208-($D208-$I$184)*MIN(K$3-$O$2,$Q$2)/$Q$2))</f>
        <v>9220.54380121626</v>
      </c>
      <c r="L208" s="15" t="n">
        <f aca="false">K208*(1+IF(L$3&lt;=$O$2,$D208,$D208-($D208-$I$184)*MIN(L$3-$O$2,$Q$2)/$Q$2))</f>
        <v>9527.74099121047</v>
      </c>
      <c r="M208" s="15" t="n">
        <f aca="false">L208*(1+IF(M$3&lt;=$O$2,$D208,$D208-($D208-$I$184)*MIN(M$3-$O$2,$Q$2)/$Q$2))</f>
        <v>9773.63579956684</v>
      </c>
      <c r="N208" s="15" t="n">
        <f aca="false">M208*(1+IF(N$3&lt;=$O$2,$D208,$D208-($D208-$I$184)*MIN(N$3-$O$2,$Q$2)/$Q$2))</f>
        <v>9952.49333469891</v>
      </c>
      <c r="O208" s="15" t="n">
        <f aca="false">SUMPRODUCT(E208:N208,1/(1+$F$184)^$E$3:$N$3)*$E$2</f>
        <v>10633.1489737468</v>
      </c>
      <c r="P208" s="15" t="n">
        <f aca="false">N208*$E$2*(1+$I$184)/($F$184-$I$184)/(1+$F$184)^$N$3</f>
        <v>11956.7720326875</v>
      </c>
      <c r="Q208" s="15" t="n">
        <f aca="false">O208+P208</f>
        <v>22589.9210064343</v>
      </c>
      <c r="R208" s="15" t="n">
        <f aca="false">Q208-$G$2+$I$2</f>
        <v>17290.0210064343</v>
      </c>
      <c r="S208" s="42" t="n">
        <f aca="false">R208/$K$2</f>
        <v>147.174165870227</v>
      </c>
      <c r="T208" s="43" t="n">
        <f aca="false">S208-$M$2</f>
        <v>0.000178808599741842</v>
      </c>
    </row>
    <row r="209" customFormat="false" ht="15" hidden="false" customHeight="false" outlineLevel="0" collapsed="false">
      <c r="A209" s="5" t="n">
        <v>24</v>
      </c>
      <c r="B209" s="25" t="n">
        <f aca="false">IF(T208&gt;0,B208,D208)</f>
        <v>0.055841326713562</v>
      </c>
      <c r="C209" s="25" t="n">
        <f aca="false">IF(T208&gt;0,D208,C208)</f>
        <v>0.0558415055274963</v>
      </c>
      <c r="D209" s="41" t="n">
        <f aca="false">(B209+C209)/2</f>
        <v>0.0558414161205292</v>
      </c>
      <c r="E209" s="15" t="n">
        <f aca="false">$C$2*(1+IF(E$3&lt;=$O$2,$D209,$D209-($D209-$I$184)*MIN(E$3-$O$2,$Q$2)/$Q$2))</f>
        <v>6799.61871981621</v>
      </c>
      <c r="F209" s="15" t="n">
        <f aca="false">E209*(1+IF(F$3&lt;=$O$2,$D209,$D209-($D209-$I$184)*MIN(F$3-$O$2,$Q$2)/$Q$2))</f>
        <v>7179.3190582104</v>
      </c>
      <c r="G209" s="15" t="n">
        <f aca="false">F209*(1+IF(G$3&lt;=$O$2,$D209,$D209-($D209-$I$184)*MIN(G$3-$O$2,$Q$2)/$Q$2))</f>
        <v>7580.22240120198</v>
      </c>
      <c r="H209" s="15" t="n">
        <f aca="false">G209*(1+IF(H$3&lt;=$O$2,$D209,$D209-($D209-$I$184)*MIN(H$3-$O$2,$Q$2)/$Q$2))</f>
        <v>8003.51275459365</v>
      </c>
      <c r="I209" s="15" t="n">
        <f aca="false">H209*(1+IF(I$3&lt;=$O$2,$D209,$D209-($D209-$I$184)*MIN(I$3-$O$2,$Q$2)/$Q$2))</f>
        <v>8450.44024074888</v>
      </c>
      <c r="J209" s="15" t="n">
        <f aca="false">I209*(1+IF(J$3&lt;=$O$2,$D209,$D209-($D209-$I$184)*MIN(J$3-$O$2,$Q$2)/$Q$2))</f>
        <v>8858.87649193828</v>
      </c>
      <c r="K209" s="15" t="n">
        <f aca="false">J209*(1+IF(K$3&lt;=$O$2,$D209,$D209-($D209-$I$184)*MIN(K$3-$O$2,$Q$2)/$Q$2))</f>
        <v>9220.53879298729</v>
      </c>
      <c r="L209" s="15" t="n">
        <f aca="false">K209*(1+IF(L$3&lt;=$O$2,$D209,$D209-($D209-$I$184)*MIN(L$3-$O$2,$Q$2)/$Q$2))</f>
        <v>9527.73548637216</v>
      </c>
      <c r="M209" s="15" t="n">
        <f aca="false">L209*(1+IF(M$3&lt;=$O$2,$D209,$D209-($D209-$I$184)*MIN(M$3-$O$2,$Q$2)/$Q$2))</f>
        <v>9773.62998228882</v>
      </c>
      <c r="N209" s="15" t="n">
        <f aca="false">M209*(1+IF(N$3&lt;=$O$2,$D209,$D209-($D209-$I$184)*MIN(N$3-$O$2,$Q$2)/$Q$2))</f>
        <v>9952.4874109647</v>
      </c>
      <c r="O209" s="15" t="n">
        <f aca="false">SUMPRODUCT(E209:N209,1/(1+$F$184)^$E$3:$N$3)*$E$2</f>
        <v>10633.1448563798</v>
      </c>
      <c r="P209" s="15" t="n">
        <f aca="false">N209*$E$2*(1+$I$184)/($F$184-$I$184)/(1+$F$184)^$N$3</f>
        <v>11956.7649160046</v>
      </c>
      <c r="Q209" s="15" t="n">
        <f aca="false">O209+P209</f>
        <v>22589.9097723843</v>
      </c>
      <c r="R209" s="15" t="n">
        <f aca="false">Q209-$G$2+$I$2</f>
        <v>17290.0097723843</v>
      </c>
      <c r="S209" s="42" t="n">
        <f aca="false">R209/$K$2</f>
        <v>147.174070245015</v>
      </c>
      <c r="T209" s="43" t="n">
        <f aca="false">S209-$M$2</f>
        <v>8.31833871188792E-005</v>
      </c>
    </row>
    <row r="211" customFormat="false" ht="15" hidden="false" customHeight="false" outlineLevel="0" collapsed="false">
      <c r="A211" s="38" t="s">
        <v>187</v>
      </c>
      <c r="E211" s="5" t="s">
        <v>11</v>
      </c>
      <c r="F211" s="12" t="n">
        <f aca="false">Sensitivity!$B$11</f>
        <v>0.0899886567315273</v>
      </c>
      <c r="G211" s="5" t="s">
        <v>12</v>
      </c>
      <c r="I211" s="12" t="n">
        <f aca="false">Sensitivity!$D$9</f>
        <v>0.0233</v>
      </c>
    </row>
    <row r="212" customFormat="false" ht="23.85" hidden="false" customHeight="false" outlineLevel="0" collapsed="false">
      <c r="A212" s="38" t="s">
        <v>161</v>
      </c>
      <c r="B212" s="28" t="s">
        <v>162</v>
      </c>
      <c r="C212" s="28" t="s">
        <v>163</v>
      </c>
      <c r="D212" s="28" t="s">
        <v>164</v>
      </c>
      <c r="E212" s="28" t="s">
        <v>165</v>
      </c>
      <c r="F212" s="28" t="s">
        <v>166</v>
      </c>
      <c r="G212" s="28" t="s">
        <v>167</v>
      </c>
      <c r="H212" s="28" t="s">
        <v>168</v>
      </c>
      <c r="I212" s="28" t="s">
        <v>169</v>
      </c>
      <c r="J212" s="28" t="s">
        <v>170</v>
      </c>
      <c r="K212" s="28" t="s">
        <v>171</v>
      </c>
      <c r="L212" s="28" t="s">
        <v>172</v>
      </c>
      <c r="M212" s="28" t="s">
        <v>173</v>
      </c>
      <c r="N212" s="28" t="s">
        <v>174</v>
      </c>
      <c r="O212" s="28" t="s">
        <v>175</v>
      </c>
      <c r="P212" s="28" t="s">
        <v>176</v>
      </c>
      <c r="Q212" s="28" t="s">
        <v>177</v>
      </c>
      <c r="R212" s="28" t="s">
        <v>178</v>
      </c>
      <c r="S212" s="28" t="s">
        <v>179</v>
      </c>
      <c r="T212" s="28" t="s">
        <v>180</v>
      </c>
    </row>
    <row r="213" customFormat="false" ht="15" hidden="false" customHeight="false" outlineLevel="0" collapsed="false">
      <c r="A213" s="5" t="n">
        <v>1</v>
      </c>
      <c r="B213" s="24" t="n">
        <v>-0.5</v>
      </c>
      <c r="C213" s="24" t="n">
        <v>1</v>
      </c>
      <c r="D213" s="41" t="n">
        <f aca="false">(B213+C213)/2</f>
        <v>0.25</v>
      </c>
      <c r="E213" s="15" t="n">
        <f aca="false">$C$2*(1+IF(E$3&lt;=$O$2,$D213,$D213-($D213-$I$211)*MIN(E$3-$O$2,$Q$2)/$Q$2))</f>
        <v>8050</v>
      </c>
      <c r="F213" s="15" t="n">
        <f aca="false">E213*(1+IF(F$3&lt;=$O$2,$D213,$D213-($D213-$I$211)*MIN(F$3-$O$2,$Q$2)/$Q$2))</f>
        <v>10062.5</v>
      </c>
      <c r="G213" s="15" t="n">
        <f aca="false">F213*(1+IF(G$3&lt;=$O$2,$D213,$D213-($D213-$I$211)*MIN(G$3-$O$2,$Q$2)/$Q$2))</f>
        <v>12578.125</v>
      </c>
      <c r="H213" s="15" t="n">
        <f aca="false">G213*(1+IF(H$3&lt;=$O$2,$D213,$D213-($D213-$I$211)*MIN(H$3-$O$2,$Q$2)/$Q$2))</f>
        <v>15722.65625</v>
      </c>
      <c r="I213" s="15" t="n">
        <f aca="false">H213*(1+IF(I$3&lt;=$O$2,$D213,$D213-($D213-$I$211)*MIN(I$3-$O$2,$Q$2)/$Q$2))</f>
        <v>19653.3203125</v>
      </c>
      <c r="J213" s="15" t="n">
        <f aca="false">I213*(1+IF(J$3&lt;=$O$2,$D213,$D213-($D213-$I$211)*MIN(J$3-$O$2,$Q$2)/$Q$2))</f>
        <v>23675.5688476563</v>
      </c>
      <c r="K213" s="15" t="n">
        <f aca="false">J213*(1+IF(K$3&lt;=$O$2,$D213,$D213-($D213-$I$211)*MIN(K$3-$O$2,$Q$2)/$Q$2))</f>
        <v>27447.5604764648</v>
      </c>
      <c r="L213" s="15" t="n">
        <f aca="false">K213*(1+IF(L$3&lt;=$O$2,$D213,$D213-($D213-$I$211)*MIN(L$3-$O$2,$Q$2)/$Q$2))</f>
        <v>30576.0334195723</v>
      </c>
      <c r="M213" s="15" t="n">
        <f aca="false">L213*(1+IF(M$3&lt;=$O$2,$D213,$D213-($D213-$I$211)*MIN(M$3-$O$2,$Q$2)/$Q$2))</f>
        <v>32674.7723534918</v>
      </c>
      <c r="N213" s="15" t="n">
        <f aca="false">M213*(1+IF(N$3&lt;=$O$2,$D213,$D213-($D213-$I$211)*MIN(N$3-$O$2,$Q$2)/$Q$2))</f>
        <v>33436.0945493281</v>
      </c>
      <c r="O213" s="15" t="n">
        <f aca="false">SUMPRODUCT(E213:N213,1/(1+$F$211)^$E$3:$N$3)*$E$2</f>
        <v>24651.6824122391</v>
      </c>
      <c r="P213" s="15" t="n">
        <f aca="false">N213*$E$2*(1+$I$211)/($F$211-$I$211)/(1+$F$211)^$N$3</f>
        <v>43393.3622362239</v>
      </c>
      <c r="Q213" s="15" t="n">
        <f aca="false">O213+P213</f>
        <v>68045.0446484631</v>
      </c>
      <c r="R213" s="15" t="n">
        <f aca="false">Q213-$G$2+$I$2</f>
        <v>62745.1446484631</v>
      </c>
      <c r="S213" s="42" t="n">
        <f aca="false">R213/$K$2</f>
        <v>534.092140351235</v>
      </c>
      <c r="T213" s="43" t="n">
        <f aca="false">S213-$M$2</f>
        <v>386.918153289607</v>
      </c>
    </row>
    <row r="214" customFormat="false" ht="15" hidden="false" customHeight="false" outlineLevel="0" collapsed="false">
      <c r="A214" s="5" t="n">
        <v>2</v>
      </c>
      <c r="B214" s="25" t="n">
        <f aca="false">IF(T213&gt;0,B213,D213)</f>
        <v>-0.5</v>
      </c>
      <c r="C214" s="25" t="n">
        <f aca="false">IF(T213&gt;0,D213,C213)</f>
        <v>0.25</v>
      </c>
      <c r="D214" s="41" t="n">
        <f aca="false">(B214+C214)/2</f>
        <v>-0.125</v>
      </c>
      <c r="E214" s="15" t="n">
        <f aca="false">$C$2*(1+IF(E$3&lt;=$O$2,$D214,$D214-($D214-$I$211)*MIN(E$3-$O$2,$Q$2)/$Q$2))</f>
        <v>5635</v>
      </c>
      <c r="F214" s="15" t="n">
        <f aca="false">E214*(1+IF(F$3&lt;=$O$2,$D214,$D214-($D214-$I$211)*MIN(F$3-$O$2,$Q$2)/$Q$2))</f>
        <v>4930.625</v>
      </c>
      <c r="G214" s="15" t="n">
        <f aca="false">F214*(1+IF(G$3&lt;=$O$2,$D214,$D214-($D214-$I$211)*MIN(G$3-$O$2,$Q$2)/$Q$2))</f>
        <v>4314.296875</v>
      </c>
      <c r="H214" s="15" t="n">
        <f aca="false">G214*(1+IF(H$3&lt;=$O$2,$D214,$D214-($D214-$I$211)*MIN(H$3-$O$2,$Q$2)/$Q$2))</f>
        <v>3775.009765625</v>
      </c>
      <c r="I214" s="15" t="n">
        <f aca="false">H214*(1+IF(I$3&lt;=$O$2,$D214,$D214-($D214-$I$211)*MIN(I$3-$O$2,$Q$2)/$Q$2))</f>
        <v>3303.13354492188</v>
      </c>
      <c r="J214" s="15" t="n">
        <f aca="false">I214*(1+IF(J$3&lt;=$O$2,$D214,$D214-($D214-$I$211)*MIN(J$3-$O$2,$Q$2)/$Q$2))</f>
        <v>2988.21279274902</v>
      </c>
      <c r="K214" s="15" t="n">
        <f aca="false">J214*(1+IF(K$3&lt;=$O$2,$D214,$D214-($D214-$I$211)*MIN(K$3-$O$2,$Q$2)/$Q$2))</f>
        <v>2791.94697652127</v>
      </c>
      <c r="L214" s="15" t="n">
        <f aca="false">K214*(1+IF(L$3&lt;=$O$2,$D214,$D214-($D214-$I$211)*MIN(L$3-$O$2,$Q$2)/$Q$2))</f>
        <v>2691.38104642697</v>
      </c>
      <c r="M214" s="15" t="n">
        <f aca="false">L214*(1+IF(M$3&lt;=$O$2,$D214,$D214-($D214-$I$211)*MIN(M$3-$O$2,$Q$2)/$Q$2))</f>
        <v>2674.2638629717</v>
      </c>
      <c r="N214" s="15" t="n">
        <f aca="false">M214*(1+IF(N$3&lt;=$O$2,$D214,$D214-($D214-$I$211)*MIN(N$3-$O$2,$Q$2)/$Q$2))</f>
        <v>2736.57421097894</v>
      </c>
      <c r="O214" s="15" t="n">
        <f aca="false">SUMPRODUCT(E214:N214,1/(1+$F$211)^$E$3:$N$3)*$E$2</f>
        <v>4909.11766949188</v>
      </c>
      <c r="P214" s="15" t="n">
        <f aca="false">N214*$E$2*(1+$I$211)/($F$211-$I$211)/(1+$F$211)^$N$3</f>
        <v>3551.52590707409</v>
      </c>
      <c r="Q214" s="15" t="n">
        <f aca="false">O214+P214</f>
        <v>8460.64357656598</v>
      </c>
      <c r="R214" s="15" t="n">
        <f aca="false">Q214-$G$2+$I$2</f>
        <v>3160.74357656598</v>
      </c>
      <c r="S214" s="42" t="n">
        <f aca="false">R214/$K$2</f>
        <v>26.9045248260638</v>
      </c>
      <c r="T214" s="43" t="n">
        <f aca="false">S214-$M$2</f>
        <v>-120.269462235564</v>
      </c>
    </row>
    <row r="215" customFormat="false" ht="15" hidden="false" customHeight="false" outlineLevel="0" collapsed="false">
      <c r="A215" s="5" t="n">
        <v>3</v>
      </c>
      <c r="B215" s="25" t="n">
        <f aca="false">IF(T214&gt;0,B214,D214)</f>
        <v>-0.125</v>
      </c>
      <c r="C215" s="25" t="n">
        <f aca="false">IF(T214&gt;0,D214,C214)</f>
        <v>0.25</v>
      </c>
      <c r="D215" s="41" t="n">
        <f aca="false">(B215+C215)/2</f>
        <v>0.0625</v>
      </c>
      <c r="E215" s="15" t="n">
        <f aca="false">$C$2*(1+IF(E$3&lt;=$O$2,$D215,$D215-($D215-$I$211)*MIN(E$3-$O$2,$Q$2)/$Q$2))</f>
        <v>6842.5</v>
      </c>
      <c r="F215" s="15" t="n">
        <f aca="false">E215*(1+IF(F$3&lt;=$O$2,$D215,$D215-($D215-$I$211)*MIN(F$3-$O$2,$Q$2)/$Q$2))</f>
        <v>7270.15625</v>
      </c>
      <c r="G215" s="15" t="n">
        <f aca="false">F215*(1+IF(G$3&lt;=$O$2,$D215,$D215-($D215-$I$211)*MIN(G$3-$O$2,$Q$2)/$Q$2))</f>
        <v>7724.541015625</v>
      </c>
      <c r="H215" s="15" t="n">
        <f aca="false">G215*(1+IF(H$3&lt;=$O$2,$D215,$D215-($D215-$I$211)*MIN(H$3-$O$2,$Q$2)/$Q$2))</f>
        <v>8207.32482910156</v>
      </c>
      <c r="I215" s="15" t="n">
        <f aca="false">H215*(1+IF(I$3&lt;=$O$2,$D215,$D215-($D215-$I$211)*MIN(I$3-$O$2,$Q$2)/$Q$2))</f>
        <v>8720.28263092041</v>
      </c>
      <c r="J215" s="15" t="n">
        <f aca="false">I215*(1+IF(J$3&lt;=$O$2,$D215,$D215-($D215-$I$211)*MIN(J$3-$O$2,$Q$2)/$Q$2))</f>
        <v>9196.93327952652</v>
      </c>
      <c r="K215" s="15" t="n">
        <f aca="false">J215*(1+IF(K$3&lt;=$O$2,$D215,$D215-($D215-$I$211)*MIN(K$3-$O$2,$Q$2)/$Q$2))</f>
        <v>9627.53369567395</v>
      </c>
      <c r="L215" s="15" t="n">
        <f aca="false">K215*(1+IF(L$3&lt;=$O$2,$D215,$D215-($D215-$I$211)*MIN(L$3-$O$2,$Q$2)/$Q$2))</f>
        <v>10002.8149591313</v>
      </c>
      <c r="M215" s="15" t="n">
        <f aca="false">L215*(1+IF(M$3&lt;=$O$2,$D215,$D215-($D215-$I$211)*MIN(M$3-$O$2,$Q$2)/$Q$2))</f>
        <v>10314.3026169587</v>
      </c>
      <c r="N215" s="15" t="n">
        <f aca="false">M215*(1+IF(N$3&lt;=$O$2,$D215,$D215-($D215-$I$211)*MIN(N$3-$O$2,$Q$2)/$Q$2))</f>
        <v>10554.6258679338</v>
      </c>
      <c r="O215" s="15" t="n">
        <f aca="false">SUMPRODUCT(E215:N215,1/(1+$F$211)^$E$3:$N$3)*$E$2</f>
        <v>10976.1072800582</v>
      </c>
      <c r="P215" s="15" t="n">
        <f aca="false">N215*$E$2*(1+$I$211)/($F$211-$I$211)/(1+$F$211)^$N$3</f>
        <v>13697.7930505426</v>
      </c>
      <c r="Q215" s="15" t="n">
        <f aca="false">O215+P215</f>
        <v>24673.9003306008</v>
      </c>
      <c r="R215" s="15" t="n">
        <f aca="false">Q215-$G$2+$I$2</f>
        <v>19374.0003306008</v>
      </c>
      <c r="S215" s="42" t="n">
        <f aca="false">R215/$K$2</f>
        <v>164.913179525032</v>
      </c>
      <c r="T215" s="43" t="n">
        <f aca="false">S215-$M$2</f>
        <v>17.7391924634049</v>
      </c>
    </row>
    <row r="216" customFormat="false" ht="15" hidden="false" customHeight="false" outlineLevel="0" collapsed="false">
      <c r="A216" s="5" t="n">
        <v>4</v>
      </c>
      <c r="B216" s="25" t="n">
        <f aca="false">IF(T215&gt;0,B215,D215)</f>
        <v>-0.125</v>
      </c>
      <c r="C216" s="25" t="n">
        <f aca="false">IF(T215&gt;0,D215,C215)</f>
        <v>0.0625</v>
      </c>
      <c r="D216" s="41" t="n">
        <f aca="false">(B216+C216)/2</f>
        <v>-0.03125</v>
      </c>
      <c r="E216" s="15" t="n">
        <f aca="false">$C$2*(1+IF(E$3&lt;=$O$2,$D216,$D216-($D216-$I$211)*MIN(E$3-$O$2,$Q$2)/$Q$2))</f>
        <v>6238.75</v>
      </c>
      <c r="F216" s="15" t="n">
        <f aca="false">E216*(1+IF(F$3&lt;=$O$2,$D216,$D216-($D216-$I$211)*MIN(F$3-$O$2,$Q$2)/$Q$2))</f>
        <v>6043.7890625</v>
      </c>
      <c r="G216" s="15" t="n">
        <f aca="false">F216*(1+IF(G$3&lt;=$O$2,$D216,$D216-($D216-$I$211)*MIN(G$3-$O$2,$Q$2)/$Q$2))</f>
        <v>5854.92065429688</v>
      </c>
      <c r="H216" s="15" t="n">
        <f aca="false">G216*(1+IF(H$3&lt;=$O$2,$D216,$D216-($D216-$I$211)*MIN(H$3-$O$2,$Q$2)/$Q$2))</f>
        <v>5671.9543838501</v>
      </c>
      <c r="I216" s="15" t="n">
        <f aca="false">H216*(1+IF(I$3&lt;=$O$2,$D216,$D216-($D216-$I$211)*MIN(I$3-$O$2,$Q$2)/$Q$2))</f>
        <v>5494.70580935478</v>
      </c>
      <c r="J216" s="15" t="n">
        <f aca="false">I216*(1+IF(J$3&lt;=$O$2,$D216,$D216-($D216-$I$211)*MIN(J$3-$O$2,$Q$2)/$Q$2))</f>
        <v>5382.94349319251</v>
      </c>
      <c r="K216" s="15" t="n">
        <f aca="false">J216*(1+IF(K$3&lt;=$O$2,$D216,$D216-($D216-$I$211)*MIN(K$3-$O$2,$Q$2)/$Q$2))</f>
        <v>5332.1823360517</v>
      </c>
      <c r="L216" s="15" t="n">
        <f aca="false">K216*(1+IF(L$3&lt;=$O$2,$D216,$D216-($D216-$I$211)*MIN(L$3-$O$2,$Q$2)/$Q$2))</f>
        <v>5340.07396590906</v>
      </c>
      <c r="M216" s="15" t="n">
        <f aca="false">L216*(1+IF(M$3&lt;=$O$2,$D216,$D216-($D216-$I$211)*MIN(M$3-$O$2,$Q$2)/$Q$2))</f>
        <v>5406.23748234667</v>
      </c>
      <c r="N216" s="15" t="n">
        <f aca="false">M216*(1+IF(N$3&lt;=$O$2,$D216,$D216-($D216-$I$211)*MIN(N$3-$O$2,$Q$2)/$Q$2))</f>
        <v>5532.20281568535</v>
      </c>
      <c r="O216" s="15" t="n">
        <f aca="false">SUMPRODUCT(E216:N216,1/(1+$F$211)^$E$3:$N$3)*$E$2</f>
        <v>7318.59097658518</v>
      </c>
      <c r="P216" s="15" t="n">
        <f aca="false">N216*$E$2*(1+$I$211)/($F$211-$I$211)/(1+$F$211)^$N$3</f>
        <v>7179.69260408484</v>
      </c>
      <c r="Q216" s="15" t="n">
        <f aca="false">O216+P216</f>
        <v>14498.28358067</v>
      </c>
      <c r="R216" s="15" t="n">
        <f aca="false">Q216-$G$2+$I$2</f>
        <v>9198.38358067002</v>
      </c>
      <c r="S216" s="42" t="n">
        <f aca="false">R216/$K$2</f>
        <v>78.2974428044775</v>
      </c>
      <c r="T216" s="43" t="n">
        <f aca="false">S216-$M$2</f>
        <v>-68.87654425715</v>
      </c>
    </row>
    <row r="217" customFormat="false" ht="15" hidden="false" customHeight="false" outlineLevel="0" collapsed="false">
      <c r="A217" s="5" t="n">
        <v>5</v>
      </c>
      <c r="B217" s="25" t="n">
        <f aca="false">IF(T216&gt;0,B216,D216)</f>
        <v>-0.03125</v>
      </c>
      <c r="C217" s="25" t="n">
        <f aca="false">IF(T216&gt;0,D216,C216)</f>
        <v>0.0625</v>
      </c>
      <c r="D217" s="41" t="n">
        <f aca="false">(B217+C217)/2</f>
        <v>0.015625</v>
      </c>
      <c r="E217" s="15" t="n">
        <f aca="false">$C$2*(1+IF(E$3&lt;=$O$2,$D217,$D217-($D217-$I$211)*MIN(E$3-$O$2,$Q$2)/$Q$2))</f>
        <v>6540.625</v>
      </c>
      <c r="F217" s="15" t="n">
        <f aca="false">E217*(1+IF(F$3&lt;=$O$2,$D217,$D217-($D217-$I$211)*MIN(F$3-$O$2,$Q$2)/$Q$2))</f>
        <v>6642.822265625</v>
      </c>
      <c r="G217" s="15" t="n">
        <f aca="false">F217*(1+IF(G$3&lt;=$O$2,$D217,$D217-($D217-$I$211)*MIN(G$3-$O$2,$Q$2)/$Q$2))</f>
        <v>6746.61636352539</v>
      </c>
      <c r="H217" s="15" t="n">
        <f aca="false">G217*(1+IF(H$3&lt;=$O$2,$D217,$D217-($D217-$I$211)*MIN(H$3-$O$2,$Q$2)/$Q$2))</f>
        <v>6852.03224420548</v>
      </c>
      <c r="I217" s="15" t="n">
        <f aca="false">H217*(1+IF(I$3&lt;=$O$2,$D217,$D217-($D217-$I$211)*MIN(I$3-$O$2,$Q$2)/$Q$2))</f>
        <v>6959.09524802119</v>
      </c>
      <c r="J217" s="15" t="n">
        <f aca="false">I217*(1+IF(J$3&lt;=$O$2,$D217,$D217-($D217-$I$211)*MIN(J$3-$O$2,$Q$2)/$Q$2))</f>
        <v>7078.51332247723</v>
      </c>
      <c r="K217" s="15" t="n">
        <f aca="false">J217*(1+IF(K$3&lt;=$O$2,$D217,$D217-($D217-$I$211)*MIN(K$3-$O$2,$Q$2)/$Q$2))</f>
        <v>7210.84612904094</v>
      </c>
      <c r="L217" s="15" t="n">
        <f aca="false">K217*(1+IF(L$3&lt;=$O$2,$D217,$D217-($D217-$I$211)*MIN(L$3-$O$2,$Q$2)/$Q$2))</f>
        <v>7356.72154623144</v>
      </c>
      <c r="M217" s="15" t="n">
        <f aca="false">L217*(1+IF(M$3&lt;=$O$2,$D217,$D217-($D217-$I$211)*MIN(M$3-$O$2,$Q$2)/$Q$2))</f>
        <v>7516.84059068517</v>
      </c>
      <c r="N217" s="15" t="n">
        <f aca="false">M217*(1+IF(N$3&lt;=$O$2,$D217,$D217-($D217-$I$211)*MIN(N$3-$O$2,$Q$2)/$Q$2))</f>
        <v>7691.98297644813</v>
      </c>
      <c r="O217" s="15" t="n">
        <f aca="false">SUMPRODUCT(E217:N217,1/(1+$F$211)^$E$3:$N$3)*$E$2</f>
        <v>8958.84902241874</v>
      </c>
      <c r="P217" s="15" t="n">
        <f aca="false">N217*$E$2*(1+$I$211)/($F$211-$I$211)/(1+$F$211)^$N$3</f>
        <v>9982.65521469489</v>
      </c>
      <c r="Q217" s="15" t="n">
        <f aca="false">O217+P217</f>
        <v>18941.5042371136</v>
      </c>
      <c r="R217" s="15" t="n">
        <f aca="false">Q217-$G$2+$I$2</f>
        <v>13641.6042371136</v>
      </c>
      <c r="S217" s="42" t="n">
        <f aca="false">R217/$K$2</f>
        <v>116.11852432</v>
      </c>
      <c r="T217" s="43" t="n">
        <f aca="false">S217-$M$2</f>
        <v>-31.0554627416273</v>
      </c>
    </row>
    <row r="218" customFormat="false" ht="15" hidden="false" customHeight="false" outlineLevel="0" collapsed="false">
      <c r="A218" s="5" t="n">
        <v>6</v>
      </c>
      <c r="B218" s="25" t="n">
        <f aca="false">IF(T217&gt;0,B217,D217)</f>
        <v>0.015625</v>
      </c>
      <c r="C218" s="25" t="n">
        <f aca="false">IF(T217&gt;0,D217,C217)</f>
        <v>0.0625</v>
      </c>
      <c r="D218" s="41" t="n">
        <f aca="false">(B218+C218)/2</f>
        <v>0.0390625</v>
      </c>
      <c r="E218" s="15" t="n">
        <f aca="false">$C$2*(1+IF(E$3&lt;=$O$2,$D218,$D218-($D218-$I$211)*MIN(E$3-$O$2,$Q$2)/$Q$2))</f>
        <v>6691.5625</v>
      </c>
      <c r="F218" s="15" t="n">
        <f aca="false">E218*(1+IF(F$3&lt;=$O$2,$D218,$D218-($D218-$I$211)*MIN(F$3-$O$2,$Q$2)/$Q$2))</f>
        <v>6952.95166015625</v>
      </c>
      <c r="G218" s="15" t="n">
        <f aca="false">F218*(1+IF(G$3&lt;=$O$2,$D218,$D218-($D218-$I$211)*MIN(G$3-$O$2,$Q$2)/$Q$2))</f>
        <v>7224.5513343811</v>
      </c>
      <c r="H218" s="15" t="n">
        <f aca="false">G218*(1+IF(H$3&lt;=$O$2,$D218,$D218-($D218-$I$211)*MIN(H$3-$O$2,$Q$2)/$Q$2))</f>
        <v>7506.76037088037</v>
      </c>
      <c r="I218" s="15" t="n">
        <f aca="false">H218*(1+IF(I$3&lt;=$O$2,$D218,$D218-($D218-$I$211)*MIN(I$3-$O$2,$Q$2)/$Q$2))</f>
        <v>7799.99319786788</v>
      </c>
      <c r="J218" s="15" t="n">
        <f aca="false">I218*(1+IF(J$3&lt;=$O$2,$D218,$D218-($D218-$I$211)*MIN(J$3-$O$2,$Q$2)/$Q$2))</f>
        <v>8080.09095360331</v>
      </c>
      <c r="K218" s="15" t="n">
        <f aca="false">J218*(1+IF(K$3&lt;=$O$2,$D218,$D218-($D218-$I$211)*MIN(K$3-$O$2,$Q$2)/$Q$2))</f>
        <v>8344.77453301597</v>
      </c>
      <c r="L218" s="15" t="n">
        <f aca="false">K218*(1+IF(L$3&lt;=$O$2,$D218,$D218-($D218-$I$211)*MIN(L$3-$O$2,$Q$2)/$Q$2))</f>
        <v>8591.82158306591</v>
      </c>
      <c r="M218" s="15" t="n">
        <f aca="false">L218*(1+IF(M$3&lt;=$O$2,$D218,$D218-($D218-$I$211)*MIN(M$3-$O$2,$Q$2)/$Q$2))</f>
        <v>8819.09674349196</v>
      </c>
      <c r="N218" s="15" t="n">
        <f aca="false">M218*(1+IF(N$3&lt;=$O$2,$D218,$D218-($D218-$I$211)*MIN(N$3-$O$2,$Q$2)/$Q$2))</f>
        <v>9024.58169761533</v>
      </c>
      <c r="O218" s="15" t="n">
        <f aca="false">SUMPRODUCT(E218:N218,1/(1+$F$211)^$E$3:$N$3)*$E$2</f>
        <v>9915.64921217498</v>
      </c>
      <c r="P218" s="15" t="n">
        <f aca="false">N218*$E$2*(1+$I$211)/($F$211-$I$211)/(1+$F$211)^$N$3</f>
        <v>11712.1017844139</v>
      </c>
      <c r="Q218" s="15" t="n">
        <f aca="false">O218+P218</f>
        <v>21627.7509965889</v>
      </c>
      <c r="R218" s="15" t="n">
        <f aca="false">Q218-$G$2+$I$2</f>
        <v>16327.8509965889</v>
      </c>
      <c r="S218" s="42" t="n">
        <f aca="false">R218/$K$2</f>
        <v>138.984090880055</v>
      </c>
      <c r="T218" s="43" t="n">
        <f aca="false">S218-$M$2</f>
        <v>-8.1898961815721</v>
      </c>
    </row>
    <row r="219" customFormat="false" ht="15" hidden="false" customHeight="false" outlineLevel="0" collapsed="false">
      <c r="A219" s="5" t="n">
        <v>7</v>
      </c>
      <c r="B219" s="25" t="n">
        <f aca="false">IF(T218&gt;0,B218,D218)</f>
        <v>0.0390625</v>
      </c>
      <c r="C219" s="25" t="n">
        <f aca="false">IF(T218&gt;0,D218,C218)</f>
        <v>0.0625</v>
      </c>
      <c r="D219" s="41" t="n">
        <f aca="false">(B219+C219)/2</f>
        <v>0.05078125</v>
      </c>
      <c r="E219" s="15" t="n">
        <f aca="false">$C$2*(1+IF(E$3&lt;=$O$2,$D219,$D219-($D219-$I$211)*MIN(E$3-$O$2,$Q$2)/$Q$2))</f>
        <v>6767.03125</v>
      </c>
      <c r="F219" s="15" t="n">
        <f aca="false">E219*(1+IF(F$3&lt;=$O$2,$D219,$D219-($D219-$I$211)*MIN(F$3-$O$2,$Q$2)/$Q$2))</f>
        <v>7110.66955566406</v>
      </c>
      <c r="G219" s="15" t="n">
        <f aca="false">F219*(1+IF(G$3&lt;=$O$2,$D219,$D219-($D219-$I$211)*MIN(G$3-$O$2,$Q$2)/$Q$2))</f>
        <v>7471.75824403763</v>
      </c>
      <c r="H219" s="15" t="n">
        <f aca="false">G219*(1+IF(H$3&lt;=$O$2,$D219,$D219-($D219-$I$211)*MIN(H$3-$O$2,$Q$2)/$Q$2))</f>
        <v>7851.18346736766</v>
      </c>
      <c r="I219" s="15" t="n">
        <f aca="false">H219*(1+IF(I$3&lt;=$O$2,$D219,$D219-($D219-$I$211)*MIN(I$3-$O$2,$Q$2)/$Q$2))</f>
        <v>8249.87637781993</v>
      </c>
      <c r="J219" s="15" t="n">
        <f aca="false">I219*(1+IF(J$3&lt;=$O$2,$D219,$D219-($D219-$I$211)*MIN(J$3-$O$2,$Q$2)/$Q$2))</f>
        <v>8623.4720295895</v>
      </c>
      <c r="K219" s="15" t="n">
        <f aca="false">J219*(1+IF(K$3&lt;=$O$2,$D219,$D219-($D219-$I$211)*MIN(K$3-$O$2,$Q$2)/$Q$2))</f>
        <v>8966.58920230683</v>
      </c>
      <c r="L219" s="15" t="n">
        <f aca="false">K219*(1+IF(L$3&lt;=$O$2,$D219,$D219-($D219-$I$211)*MIN(L$3-$O$2,$Q$2)/$Q$2))</f>
        <v>9274.07596252694</v>
      </c>
      <c r="M219" s="15" t="n">
        <f aca="false">L219*(1+IF(M$3&lt;=$O$2,$D219,$D219-($D219-$I$211)*MIN(M$3-$O$2,$Q$2)/$Q$2))</f>
        <v>9541.13457246286</v>
      </c>
      <c r="N219" s="15" t="n">
        <f aca="false">M219*(1+IF(N$3&lt;=$O$2,$D219,$D219-($D219-$I$211)*MIN(N$3-$O$2,$Q$2)/$Q$2))</f>
        <v>9763.44300800124</v>
      </c>
      <c r="O219" s="15" t="n">
        <f aca="false">SUMPRODUCT(E219:N219,1/(1+$F$211)^$E$3:$N$3)*$E$2</f>
        <v>10432.2884816358</v>
      </c>
      <c r="P219" s="15" t="n">
        <f aca="false">N219*$E$2*(1+$I$211)/($F$211-$I$211)/(1+$F$211)^$N$3</f>
        <v>12670.995964971</v>
      </c>
      <c r="Q219" s="15" t="n">
        <f aca="false">O219+P219</f>
        <v>23103.2844466068</v>
      </c>
      <c r="R219" s="15" t="n">
        <f aca="false">Q219-$G$2+$I$2</f>
        <v>17803.3844466068</v>
      </c>
      <c r="S219" s="42" t="n">
        <f aca="false">R219/$K$2</f>
        <v>151.54396021967</v>
      </c>
      <c r="T219" s="43" t="n">
        <f aca="false">S219-$M$2</f>
        <v>4.36997315804231</v>
      </c>
    </row>
    <row r="220" customFormat="false" ht="15" hidden="false" customHeight="false" outlineLevel="0" collapsed="false">
      <c r="A220" s="5" t="n">
        <v>8</v>
      </c>
      <c r="B220" s="25" t="n">
        <f aca="false">IF(T219&gt;0,B219,D219)</f>
        <v>0.0390625</v>
      </c>
      <c r="C220" s="25" t="n">
        <f aca="false">IF(T219&gt;0,D219,C219)</f>
        <v>0.05078125</v>
      </c>
      <c r="D220" s="41" t="n">
        <f aca="false">(B220+C220)/2</f>
        <v>0.044921875</v>
      </c>
      <c r="E220" s="15" t="n">
        <f aca="false">$C$2*(1+IF(E$3&lt;=$O$2,$D220,$D220-($D220-$I$211)*MIN(E$3-$O$2,$Q$2)/$Q$2))</f>
        <v>6729.296875</v>
      </c>
      <c r="F220" s="15" t="n">
        <f aca="false">E220*(1+IF(F$3&lt;=$O$2,$D220,$D220-($D220-$I$211)*MIN(F$3-$O$2,$Q$2)/$Q$2))</f>
        <v>7031.58950805664</v>
      </c>
      <c r="G220" s="15" t="n">
        <f aca="false">F220*(1+IF(G$3&lt;=$O$2,$D220,$D220-($D220-$I$211)*MIN(G$3-$O$2,$Q$2)/$Q$2))</f>
        <v>7347.46169298887</v>
      </c>
      <c r="H220" s="15" t="n">
        <f aca="false">G220*(1+IF(H$3&lt;=$O$2,$D220,$D220-($D220-$I$211)*MIN(H$3-$O$2,$Q$2)/$Q$2))</f>
        <v>7677.52344872861</v>
      </c>
      <c r="I220" s="15" t="n">
        <f aca="false">H220*(1+IF(I$3&lt;=$O$2,$D220,$D220-($D220-$I$211)*MIN(I$3-$O$2,$Q$2)/$Q$2))</f>
        <v>8022.41219740196</v>
      </c>
      <c r="J220" s="15" t="n">
        <f aca="false">I220*(1+IF(J$3&lt;=$O$2,$D220,$D220-($D220-$I$211)*MIN(J$3-$O$2,$Q$2)/$Q$2))</f>
        <v>8348.10207658599</v>
      </c>
      <c r="K220" s="15" t="n">
        <f aca="false">J220*(1+IF(K$3&lt;=$O$2,$D220,$D220-($D220-$I$211)*MIN(K$3-$O$2,$Q$2)/$Q$2))</f>
        <v>8650.91382672275</v>
      </c>
      <c r="L220" s="15" t="n">
        <f aca="false">K220*(1+IF(L$3&lt;=$O$2,$D220,$D220-($D220-$I$211)*MIN(L$3-$O$2,$Q$2)/$Q$2))</f>
        <v>8927.29970984426</v>
      </c>
      <c r="M220" s="15" t="n">
        <f aca="false">L220*(1+IF(M$3&lt;=$O$2,$D220,$D220-($D220-$I$211)*MIN(M$3-$O$2,$Q$2)/$Q$2))</f>
        <v>9173.91078476639</v>
      </c>
      <c r="N220" s="15" t="n">
        <f aca="false">M220*(1+IF(N$3&lt;=$O$2,$D220,$D220-($D220-$I$211)*MIN(N$3-$O$2,$Q$2)/$Q$2))</f>
        <v>9387.66290605144</v>
      </c>
      <c r="O220" s="15" t="n">
        <f aca="false">SUMPRODUCT(E220:N220,1/(1+$F$211)^$E$3:$N$3)*$E$2</f>
        <v>10170.6525515381</v>
      </c>
      <c r="P220" s="15" t="n">
        <f aca="false">N220*$E$2*(1+$I$211)/($F$211-$I$211)/(1+$F$211)^$N$3</f>
        <v>12183.3085629326</v>
      </c>
      <c r="Q220" s="15" t="n">
        <f aca="false">O220+P220</f>
        <v>22353.9611144707</v>
      </c>
      <c r="R220" s="15" t="n">
        <f aca="false">Q220-$G$2+$I$2</f>
        <v>17054.0611144707</v>
      </c>
      <c r="S220" s="42" t="n">
        <f aca="false">R220/$K$2</f>
        <v>145.165654702679</v>
      </c>
      <c r="T220" s="43" t="n">
        <f aca="false">S220-$M$2</f>
        <v>-2.00833235894859</v>
      </c>
    </row>
    <row r="221" customFormat="false" ht="15" hidden="false" customHeight="false" outlineLevel="0" collapsed="false">
      <c r="A221" s="5" t="n">
        <v>9</v>
      </c>
      <c r="B221" s="25" t="n">
        <f aca="false">IF(T220&gt;0,B220,D220)</f>
        <v>0.044921875</v>
      </c>
      <c r="C221" s="25" t="n">
        <f aca="false">IF(T220&gt;0,D220,C220)</f>
        <v>0.05078125</v>
      </c>
      <c r="D221" s="41" t="n">
        <f aca="false">(B221+C221)/2</f>
        <v>0.0478515625</v>
      </c>
      <c r="E221" s="15" t="n">
        <f aca="false">$C$2*(1+IF(E$3&lt;=$O$2,$D221,$D221-($D221-$I$211)*MIN(E$3-$O$2,$Q$2)/$Q$2))</f>
        <v>6748.1640625</v>
      </c>
      <c r="F221" s="15" t="n">
        <f aca="false">E221*(1+IF(F$3&lt;=$O$2,$D221,$D221-($D221-$I$211)*MIN(F$3-$O$2,$Q$2)/$Q$2))</f>
        <v>7071.07425689697</v>
      </c>
      <c r="G221" s="15" t="n">
        <f aca="false">F221*(1+IF(G$3&lt;=$O$2,$D221,$D221-($D221-$I$211)*MIN(G$3-$O$2,$Q$2)/$Q$2))</f>
        <v>7409.43620864302</v>
      </c>
      <c r="H221" s="15" t="n">
        <f aca="false">G221*(1+IF(H$3&lt;=$O$2,$D221,$D221-($D221-$I$211)*MIN(H$3-$O$2,$Q$2)/$Q$2))</f>
        <v>7763.98930847066</v>
      </c>
      <c r="I221" s="15" t="n">
        <f aca="false">H221*(1+IF(I$3&lt;=$O$2,$D221,$D221-($D221-$I$211)*MIN(I$3-$O$2,$Q$2)/$Q$2))</f>
        <v>8135.50832811428</v>
      </c>
      <c r="J221" s="15" t="n">
        <f aca="false">I221*(1+IF(J$3&lt;=$O$2,$D221,$D221-($D221-$I$211)*MIN(J$3-$O$2,$Q$2)/$Q$2))</f>
        <v>8484.85722510892</v>
      </c>
      <c r="K221" s="15" t="n">
        <f aca="false">J221*(1+IF(K$3&lt;=$O$2,$D221,$D221-($D221-$I$211)*MIN(K$3-$O$2,$Q$2)/$Q$2))</f>
        <v>8807.54429993346</v>
      </c>
      <c r="L221" s="15" t="n">
        <f aca="false">K221*(1+IF(L$3&lt;=$O$2,$D221,$D221-($D221-$I$211)*MIN(L$3-$O$2,$Q$2)/$Q$2))</f>
        <v>9099.25567186244</v>
      </c>
      <c r="M221" s="15" t="n">
        <f aca="false">L221*(1+IF(M$3&lt;=$O$2,$D221,$D221-($D221-$I$211)*MIN(M$3-$O$2,$Q$2)/$Q$2))</f>
        <v>9355.94851788308</v>
      </c>
      <c r="N221" s="15" t="n">
        <f aca="false">M221*(1+IF(N$3&lt;=$O$2,$D221,$D221-($D221-$I$211)*MIN(N$3-$O$2,$Q$2)/$Q$2))</f>
        <v>9573.94211834976</v>
      </c>
      <c r="O221" s="15" t="n">
        <f aca="false">SUMPRODUCT(E221:N221,1/(1+$F$211)^$E$3:$N$3)*$E$2</f>
        <v>10300.6314319807</v>
      </c>
      <c r="P221" s="15" t="n">
        <f aca="false">N221*$E$2*(1+$I$211)/($F$211-$I$211)/(1+$F$211)^$N$3</f>
        <v>12425.0617175785</v>
      </c>
      <c r="Q221" s="15" t="n">
        <f aca="false">O221+P221</f>
        <v>22725.6931495592</v>
      </c>
      <c r="R221" s="15" t="n">
        <f aca="false">Q221-$G$2+$I$2</f>
        <v>17425.7931495592</v>
      </c>
      <c r="S221" s="42" t="n">
        <f aca="false">R221/$K$2</f>
        <v>148.329870186919</v>
      </c>
      <c r="T221" s="43" t="n">
        <f aca="false">S221-$M$2</f>
        <v>1.15588312529118</v>
      </c>
    </row>
    <row r="222" customFormat="false" ht="15" hidden="false" customHeight="false" outlineLevel="0" collapsed="false">
      <c r="A222" s="5" t="n">
        <v>10</v>
      </c>
      <c r="B222" s="25" t="n">
        <f aca="false">IF(T221&gt;0,B221,D221)</f>
        <v>0.044921875</v>
      </c>
      <c r="C222" s="25" t="n">
        <f aca="false">IF(T221&gt;0,D221,C221)</f>
        <v>0.0478515625</v>
      </c>
      <c r="D222" s="41" t="n">
        <f aca="false">(B222+C222)/2</f>
        <v>0.04638671875</v>
      </c>
      <c r="E222" s="15" t="n">
        <f aca="false">$C$2*(1+IF(E$3&lt;=$O$2,$D222,$D222-($D222-$I$211)*MIN(E$3-$O$2,$Q$2)/$Q$2))</f>
        <v>6738.73046875</v>
      </c>
      <c r="F222" s="15" t="n">
        <f aca="false">E222*(1+IF(F$3&lt;=$O$2,$D222,$D222-($D222-$I$211)*MIN(F$3-$O$2,$Q$2)/$Q$2))</f>
        <v>7051.31806373596</v>
      </c>
      <c r="G222" s="15" t="n">
        <f aca="false">F222*(1+IF(G$3&lt;=$O$2,$D222,$D222-($D222-$I$211)*MIN(G$3-$O$2,$Q$2)/$Q$2))</f>
        <v>7378.40557157528</v>
      </c>
      <c r="H222" s="15" t="n">
        <f aca="false">G222*(1+IF(H$3&lt;=$O$2,$D222,$D222-($D222-$I$211)*MIN(H$3-$O$2,$Q$2)/$Q$2))</f>
        <v>7720.66559564737</v>
      </c>
      <c r="I222" s="15" t="n">
        <f aca="false">H222*(1+IF(I$3&lt;=$O$2,$D222,$D222-($D222-$I$211)*MIN(I$3-$O$2,$Q$2)/$Q$2))</f>
        <v>8078.80193919547</v>
      </c>
      <c r="J222" s="15" t="n">
        <f aca="false">I222*(1+IF(J$3&lt;=$O$2,$D222,$D222-($D222-$I$211)*MIN(J$3-$O$2,$Q$2)/$Q$2))</f>
        <v>8416.24844694445</v>
      </c>
      <c r="K222" s="15" t="n">
        <f aca="false">J222*(1+IF(K$3&lt;=$O$2,$D222,$D222-($D222-$I$211)*MIN(K$3-$O$2,$Q$2)/$Q$2))</f>
        <v>8728.92917225309</v>
      </c>
      <c r="L222" s="15" t="n">
        <f aca="false">K222*(1+IF(L$3&lt;=$O$2,$D222,$D222-($D222-$I$211)*MIN(L$3-$O$2,$Q$2)/$Q$2))</f>
        <v>9012.92215508198</v>
      </c>
      <c r="M222" s="15" t="n">
        <f aca="false">L222*(1+IF(M$3&lt;=$O$2,$D222,$D222-($D222-$I$211)*MIN(M$3-$O$2,$Q$2)/$Q$2))</f>
        <v>9264.5390010774</v>
      </c>
      <c r="N222" s="15" t="n">
        <f aca="false">M222*(1+IF(N$3&lt;=$O$2,$D222,$D222-($D222-$I$211)*MIN(N$3-$O$2,$Q$2)/$Q$2))</f>
        <v>9480.4027598025</v>
      </c>
      <c r="O222" s="15" t="n">
        <f aca="false">SUMPRODUCT(E222:N222,1/(1+$F$211)^$E$3:$N$3)*$E$2</f>
        <v>10235.4334801533</v>
      </c>
      <c r="P222" s="15" t="n">
        <f aca="false">N222*$E$2*(1+$I$211)/($F$211-$I$211)/(1+$F$211)^$N$3</f>
        <v>12303.6663416085</v>
      </c>
      <c r="Q222" s="15" t="n">
        <f aca="false">O222+P222</f>
        <v>22539.0998217618</v>
      </c>
      <c r="R222" s="15" t="n">
        <f aca="false">Q222-$G$2+$I$2</f>
        <v>17239.1998217618</v>
      </c>
      <c r="S222" s="42" t="n">
        <f aca="false">R222/$K$2</f>
        <v>146.741571516529</v>
      </c>
      <c r="T222" s="43" t="n">
        <f aca="false">S222-$M$2</f>
        <v>-0.432415545098934</v>
      </c>
    </row>
    <row r="223" customFormat="false" ht="15" hidden="false" customHeight="false" outlineLevel="0" collapsed="false">
      <c r="A223" s="5" t="n">
        <v>11</v>
      </c>
      <c r="B223" s="25" t="n">
        <f aca="false">IF(T222&gt;0,B222,D222)</f>
        <v>0.04638671875</v>
      </c>
      <c r="C223" s="25" t="n">
        <f aca="false">IF(T222&gt;0,D222,C222)</f>
        <v>0.0478515625</v>
      </c>
      <c r="D223" s="41" t="n">
        <f aca="false">(B223+C223)/2</f>
        <v>0.047119140625</v>
      </c>
      <c r="E223" s="15" t="n">
        <f aca="false">$C$2*(1+IF(E$3&lt;=$O$2,$D223,$D223-($D223-$I$211)*MIN(E$3-$O$2,$Q$2)/$Q$2))</f>
        <v>6743.447265625</v>
      </c>
      <c r="F223" s="15" t="n">
        <f aca="false">E223*(1+IF(F$3&lt;=$O$2,$D223,$D223-($D223-$I$211)*MIN(F$3-$O$2,$Q$2)/$Q$2))</f>
        <v>7061.19270563126</v>
      </c>
      <c r="G223" s="15" t="n">
        <f aca="false">F223*(1+IF(G$3&lt;=$O$2,$D223,$D223-($D223-$I$211)*MIN(G$3-$O$2,$Q$2)/$Q$2))</f>
        <v>7393.91003770812</v>
      </c>
      <c r="H223" s="15" t="n">
        <f aca="false">G223*(1+IF(H$3&lt;=$O$2,$D223,$D223-($D223-$I$211)*MIN(H$3-$O$2,$Q$2)/$Q$2))</f>
        <v>7742.30472454349</v>
      </c>
      <c r="I223" s="15" t="n">
        <f aca="false">H223*(1+IF(I$3&lt;=$O$2,$D223,$D223-($D223-$I$211)*MIN(I$3-$O$2,$Q$2)/$Q$2))</f>
        <v>8107.11546962085</v>
      </c>
      <c r="J223" s="15" t="n">
        <f aca="false">I223*(1+IF(J$3&lt;=$O$2,$D223,$D223-($D223-$I$211)*MIN(J$3-$O$2,$Q$2)/$Q$2))</f>
        <v>8450.49487881023</v>
      </c>
      <c r="K223" s="15" t="n">
        <f aca="false">J223*(1+IF(K$3&lt;=$O$2,$D223,$D223-($D223-$I$211)*MIN(K$3-$O$2,$Q$2)/$Q$2))</f>
        <v>8768.16152500804</v>
      </c>
      <c r="L223" s="15" t="n">
        <f aca="false">K223*(1+IF(L$3&lt;=$O$2,$D223,$D223-($D223-$I$211)*MIN(L$3-$O$2,$Q$2)/$Q$2))</f>
        <v>9055.99971749548</v>
      </c>
      <c r="M223" s="15" t="n">
        <f aca="false">L223*(1+IF(M$3&lt;=$O$2,$D223,$D223-($D223-$I$211)*MIN(M$3-$O$2,$Q$2)/$Q$2))</f>
        <v>9310.14573706733</v>
      </c>
      <c r="N223" s="15" t="n">
        <f aca="false">M223*(1+IF(N$3&lt;=$O$2,$D223,$D223-($D223-$I$211)*MIN(N$3-$O$2,$Q$2)/$Q$2))</f>
        <v>9527.072132741</v>
      </c>
      <c r="O223" s="15" t="n">
        <f aca="false">SUMPRODUCT(E223:N223,1/(1+$F$211)^$E$3:$N$3)*$E$2</f>
        <v>10267.9801712372</v>
      </c>
      <c r="P223" s="15" t="n">
        <f aca="false">N223*$E$2*(1+$I$211)/($F$211-$I$211)/(1+$F$211)^$N$3</f>
        <v>12364.2338520356</v>
      </c>
      <c r="Q223" s="15" t="n">
        <f aca="false">O223+P223</f>
        <v>22632.2140232728</v>
      </c>
      <c r="R223" s="15" t="n">
        <f aca="false">Q223-$G$2+$I$2</f>
        <v>17332.3140232728</v>
      </c>
      <c r="S223" s="42" t="n">
        <f aca="false">R223/$K$2</f>
        <v>147.534167715975</v>
      </c>
      <c r="T223" s="43" t="n">
        <f aca="false">S223-$M$2</f>
        <v>0.360180654347886</v>
      </c>
    </row>
    <row r="224" customFormat="false" ht="15" hidden="false" customHeight="false" outlineLevel="0" collapsed="false">
      <c r="A224" s="5" t="n">
        <v>12</v>
      </c>
      <c r="B224" s="25" t="n">
        <f aca="false">IF(T223&gt;0,B223,D223)</f>
        <v>0.04638671875</v>
      </c>
      <c r="C224" s="25" t="n">
        <f aca="false">IF(T223&gt;0,D223,C223)</f>
        <v>0.047119140625</v>
      </c>
      <c r="D224" s="41" t="n">
        <f aca="false">(B224+C224)/2</f>
        <v>0.0467529296875</v>
      </c>
      <c r="E224" s="15" t="n">
        <f aca="false">$C$2*(1+IF(E$3&lt;=$O$2,$D224,$D224-($D224-$I$211)*MIN(E$3-$O$2,$Q$2)/$Q$2))</f>
        <v>6741.0888671875</v>
      </c>
      <c r="F224" s="15" t="n">
        <f aca="false">E224*(1+IF(F$3&lt;=$O$2,$D224,$D224-($D224-$I$211)*MIN(F$3-$O$2,$Q$2)/$Q$2))</f>
        <v>7056.25452101231</v>
      </c>
      <c r="G224" s="15" t="n">
        <f aca="false">F224*(1+IF(G$3&lt;=$O$2,$D224,$D224-($D224-$I$211)*MIN(G$3-$O$2,$Q$2)/$Q$2))</f>
        <v>7386.1550924903</v>
      </c>
      <c r="H224" s="15" t="n">
        <f aca="false">G224*(1+IF(H$3&lt;=$O$2,$D224,$D224-($D224-$I$211)*MIN(H$3-$O$2,$Q$2)/$Q$2))</f>
        <v>7731.47948219047</v>
      </c>
      <c r="I224" s="15" t="n">
        <f aca="false">H224*(1+IF(I$3&lt;=$O$2,$D224,$D224-($D224-$I$211)*MIN(I$3-$O$2,$Q$2)/$Q$2))</f>
        <v>8092.94879880167</v>
      </c>
      <c r="J224" s="15" t="n">
        <f aca="false">I224*(1+IF(J$3&lt;=$O$2,$D224,$D224-($D224-$I$211)*MIN(J$3-$O$2,$Q$2)/$Q$2))</f>
        <v>8433.35719312802</v>
      </c>
      <c r="K224" s="15" t="n">
        <f aca="false">J224*(1+IF(K$3&lt;=$O$2,$D224,$D224-($D224-$I$211)*MIN(K$3-$O$2,$Q$2)/$Q$2))</f>
        <v>8748.5265756959</v>
      </c>
      <c r="L224" s="15" t="n">
        <f aca="false">K224*(1+IF(L$3&lt;=$O$2,$D224,$D224-($D224-$I$211)*MIN(L$3-$O$2,$Q$2)/$Q$2))</f>
        <v>9034.43867636922</v>
      </c>
      <c r="M224" s="15" t="n">
        <f aca="false">L224*(1+IF(M$3&lt;=$O$2,$D224,$D224-($D224-$I$211)*MIN(M$3-$O$2,$Q$2)/$Q$2))</f>
        <v>9287.31790853721</v>
      </c>
      <c r="N224" s="15" t="n">
        <f aca="false">M224*(1+IF(N$3&lt;=$O$2,$D224,$D224-($D224-$I$211)*MIN(N$3-$O$2,$Q$2)/$Q$2))</f>
        <v>9503.71241580613</v>
      </c>
      <c r="O224" s="15" t="n">
        <f aca="false">SUMPRODUCT(E224:N224,1/(1+$F$211)^$E$3:$N$3)*$E$2</f>
        <v>10251.693774136</v>
      </c>
      <c r="P224" s="15" t="n">
        <f aca="false">N224*$E$2*(1+$I$211)/($F$211-$I$211)/(1+$F$211)^$N$3</f>
        <v>12333.9176122847</v>
      </c>
      <c r="Q224" s="15" t="n">
        <f aca="false">O224+P224</f>
        <v>22585.6113864206</v>
      </c>
      <c r="R224" s="15" t="n">
        <f aca="false">Q224-$G$2+$I$2</f>
        <v>17285.7113864206</v>
      </c>
      <c r="S224" s="42" t="n">
        <f aca="false">R224/$K$2</f>
        <v>147.137482009028</v>
      </c>
      <c r="T224" s="43" t="n">
        <f aca="false">S224-$M$2</f>
        <v>-0.0365050525992388</v>
      </c>
    </row>
    <row r="225" customFormat="false" ht="15" hidden="false" customHeight="false" outlineLevel="0" collapsed="false">
      <c r="A225" s="5" t="n">
        <v>13</v>
      </c>
      <c r="B225" s="25" t="n">
        <f aca="false">IF(T224&gt;0,B224,D224)</f>
        <v>0.0467529296875</v>
      </c>
      <c r="C225" s="25" t="n">
        <f aca="false">IF(T224&gt;0,D224,C224)</f>
        <v>0.047119140625</v>
      </c>
      <c r="D225" s="41" t="n">
        <f aca="false">(B225+C225)/2</f>
        <v>0.04693603515625</v>
      </c>
      <c r="E225" s="15" t="n">
        <f aca="false">$C$2*(1+IF(E$3&lt;=$O$2,$D225,$D225-($D225-$I$211)*MIN(E$3-$O$2,$Q$2)/$Q$2))</f>
        <v>6742.26806640625</v>
      </c>
      <c r="F225" s="15" t="n">
        <f aca="false">E225*(1+IF(F$3&lt;=$O$2,$D225,$D225-($D225-$I$211)*MIN(F$3-$O$2,$Q$2)/$Q$2))</f>
        <v>7058.72339740396</v>
      </c>
      <c r="G225" s="15" t="n">
        <f aca="false">F225*(1+IF(G$3&lt;=$O$2,$D225,$D225-($D225-$I$211)*MIN(G$3-$O$2,$Q$2)/$Q$2))</f>
        <v>7390.03188694275</v>
      </c>
      <c r="H225" s="15" t="n">
        <f aca="false">G225*(1+IF(H$3&lt;=$O$2,$D225,$D225-($D225-$I$211)*MIN(H$3-$O$2,$Q$2)/$Q$2))</f>
        <v>7736.89068339411</v>
      </c>
      <c r="I225" s="15" t="n">
        <f aca="false">H225*(1+IF(I$3&lt;=$O$2,$D225,$D225-($D225-$I$211)*MIN(I$3-$O$2,$Q$2)/$Q$2))</f>
        <v>8100.02965650995</v>
      </c>
      <c r="J225" s="15" t="n">
        <f aca="false">I225*(1+IF(J$3&lt;=$O$2,$D225,$D225-($D225-$I$211)*MIN(J$3-$O$2,$Q$2)/$Q$2))</f>
        <v>8441.92241608898</v>
      </c>
      <c r="K225" s="15" t="n">
        <f aca="false">J225*(1+IF(K$3&lt;=$O$2,$D225,$D225-($D225-$I$211)*MIN(K$3-$O$2,$Q$2)/$Q$2))</f>
        <v>8758.33935339167</v>
      </c>
      <c r="L225" s="15" t="n">
        <f aca="false">K225*(1+IF(L$3&lt;=$O$2,$D225,$D225-($D225-$I$211)*MIN(L$3-$O$2,$Q$2)/$Q$2))</f>
        <v>9045.21362707255</v>
      </c>
      <c r="M225" s="15" t="n">
        <f aca="false">L225*(1+IF(M$3&lt;=$O$2,$D225,$D225-($D225-$I$211)*MIN(M$3-$O$2,$Q$2)/$Q$2))</f>
        <v>9298.72570204039</v>
      </c>
      <c r="N225" s="15" t="n">
        <f aca="false">M225*(1+IF(N$3&lt;=$O$2,$D225,$D225-($D225-$I$211)*MIN(N$3-$O$2,$Q$2)/$Q$2))</f>
        <v>9515.38601089794</v>
      </c>
      <c r="O225" s="15" t="n">
        <f aca="false">SUMPRODUCT(E225:N225,1/(1+$F$211)^$E$3:$N$3)*$E$2</f>
        <v>10259.8337073428</v>
      </c>
      <c r="P225" s="15" t="n">
        <f aca="false">N225*$E$2*(1+$I$211)/($F$211-$I$211)/(1+$F$211)^$N$3</f>
        <v>12349.0676035515</v>
      </c>
      <c r="Q225" s="15" t="n">
        <f aca="false">O225+P225</f>
        <v>22608.9013108942</v>
      </c>
      <c r="R225" s="15" t="n">
        <f aca="false">Q225-$G$2+$I$2</f>
        <v>17309.0013108942</v>
      </c>
      <c r="S225" s="42" t="n">
        <f aca="false">R225/$K$2</f>
        <v>147.335727876185</v>
      </c>
      <c r="T225" s="43" t="n">
        <f aca="false">S225-$M$2</f>
        <v>0.161740814557646</v>
      </c>
    </row>
    <row r="226" customFormat="false" ht="15" hidden="false" customHeight="false" outlineLevel="0" collapsed="false">
      <c r="A226" s="5" t="n">
        <v>14</v>
      </c>
      <c r="B226" s="25" t="n">
        <f aca="false">IF(T225&gt;0,B225,D225)</f>
        <v>0.0467529296875</v>
      </c>
      <c r="C226" s="25" t="n">
        <f aca="false">IF(T225&gt;0,D225,C225)</f>
        <v>0.04693603515625</v>
      </c>
      <c r="D226" s="41" t="n">
        <f aca="false">(B226+C226)/2</f>
        <v>0.046844482421875</v>
      </c>
      <c r="E226" s="15" t="n">
        <f aca="false">$C$2*(1+IF(E$3&lt;=$O$2,$D226,$D226-($D226-$I$211)*MIN(E$3-$O$2,$Q$2)/$Q$2))</f>
        <v>6741.67846679688</v>
      </c>
      <c r="F226" s="15" t="n">
        <f aca="false">E226*(1+IF(F$3&lt;=$O$2,$D226,$D226-($D226-$I$211)*MIN(F$3-$O$2,$Q$2)/$Q$2))</f>
        <v>7057.48890522867</v>
      </c>
      <c r="G226" s="15" t="n">
        <f aca="false">F226*(1+IF(G$3&lt;=$O$2,$D226,$D226-($D226-$I$211)*MIN(G$3-$O$2,$Q$2)/$Q$2))</f>
        <v>7388.09332019224</v>
      </c>
      <c r="H226" s="15" t="n">
        <f aca="false">G226*(1+IF(H$3&lt;=$O$2,$D226,$D226-($D226-$I$211)*MIN(H$3-$O$2,$Q$2)/$Q$2))</f>
        <v>7734.18472786116</v>
      </c>
      <c r="I226" s="15" t="n">
        <f aca="false">H226*(1+IF(I$3&lt;=$O$2,$D226,$D226-($D226-$I$211)*MIN(I$3-$O$2,$Q$2)/$Q$2))</f>
        <v>8096.48860839298</v>
      </c>
      <c r="J226" s="15" t="n">
        <f aca="false">I226*(1+IF(J$3&lt;=$O$2,$D226,$D226-($D226-$I$211)*MIN(J$3-$O$2,$Q$2)/$Q$2))</f>
        <v>8437.63889994391</v>
      </c>
      <c r="K226" s="15" t="n">
        <f aca="false">J226*(1+IF(K$3&lt;=$O$2,$D226,$D226-($D226-$I$211)*MIN(K$3-$O$2,$Q$2)/$Q$2))</f>
        <v>8753.43179076972</v>
      </c>
      <c r="L226" s="15" t="n">
        <f aca="false">K226*(1+IF(L$3&lt;=$O$2,$D226,$D226-($D226-$I$211)*MIN(L$3-$O$2,$Q$2)/$Q$2))</f>
        <v>9039.8247598662</v>
      </c>
      <c r="M226" s="15" t="n">
        <f aca="false">L226*(1+IF(M$3&lt;=$O$2,$D226,$D226-($D226-$I$211)*MIN(M$3-$O$2,$Q$2)/$Q$2))</f>
        <v>9293.02027580218</v>
      </c>
      <c r="N226" s="15" t="n">
        <f aca="false">M226*(1+IF(N$3&lt;=$O$2,$D226,$D226-($D226-$I$211)*MIN(N$3-$O$2,$Q$2)/$Q$2))</f>
        <v>9509.54764822837</v>
      </c>
      <c r="O226" s="15" t="n">
        <f aca="false">SUMPRODUCT(E226:N226,1/(1+$F$211)^$E$3:$N$3)*$E$2</f>
        <v>10255.7629247103</v>
      </c>
      <c r="P226" s="15" t="n">
        <f aca="false">N226*$E$2*(1+$I$211)/($F$211-$I$211)/(1+$F$211)^$N$3</f>
        <v>12341.4905767007</v>
      </c>
      <c r="Q226" s="15" t="n">
        <f aca="false">O226+P226</f>
        <v>22597.2535014109</v>
      </c>
      <c r="R226" s="15" t="n">
        <f aca="false">Q226-$G$2+$I$2</f>
        <v>17297.3535014109</v>
      </c>
      <c r="S226" s="42" t="n">
        <f aca="false">R226/$K$2</f>
        <v>147.236580706596</v>
      </c>
      <c r="T226" s="43" t="n">
        <f aca="false">S226-$M$2</f>
        <v>0.0625936449687572</v>
      </c>
    </row>
    <row r="227" customFormat="false" ht="15" hidden="false" customHeight="false" outlineLevel="0" collapsed="false">
      <c r="A227" s="5" t="n">
        <v>15</v>
      </c>
      <c r="B227" s="25" t="n">
        <f aca="false">IF(T226&gt;0,B226,D226)</f>
        <v>0.0467529296875</v>
      </c>
      <c r="C227" s="25" t="n">
        <f aca="false">IF(T226&gt;0,D226,C226)</f>
        <v>0.046844482421875</v>
      </c>
      <c r="D227" s="41" t="n">
        <f aca="false">(B227+C227)/2</f>
        <v>0.0467987060546875</v>
      </c>
      <c r="E227" s="15" t="n">
        <f aca="false">$C$2*(1+IF(E$3&lt;=$O$2,$D227,$D227-($D227-$I$211)*MIN(E$3-$O$2,$Q$2)/$Q$2))</f>
        <v>6741.38366699219</v>
      </c>
      <c r="F227" s="15" t="n">
        <f aca="false">E227*(1+IF(F$3&lt;=$O$2,$D227,$D227-($D227-$I$211)*MIN(F$3-$O$2,$Q$2)/$Q$2))</f>
        <v>7056.87169962563</v>
      </c>
      <c r="G227" s="15" t="n">
        <f aca="false">F227*(1+IF(G$3&lt;=$O$2,$D227,$D227-($D227-$I$211)*MIN(G$3-$O$2,$Q$2)/$Q$2))</f>
        <v>7387.12416396205</v>
      </c>
      <c r="H227" s="15" t="n">
        <f aca="false">G227*(1+IF(H$3&lt;=$O$2,$D227,$D227-($D227-$I$211)*MIN(H$3-$O$2,$Q$2)/$Q$2))</f>
        <v>7732.83201630079</v>
      </c>
      <c r="I227" s="15" t="n">
        <f aca="false">H227*(1+IF(I$3&lt;=$O$2,$D227,$D227-($D227-$I$211)*MIN(I$3-$O$2,$Q$2)/$Q$2))</f>
        <v>8094.71854880192</v>
      </c>
      <c r="J227" s="15" t="n">
        <f aca="false">I227*(1+IF(J$3&lt;=$O$2,$D227,$D227-($D227-$I$211)*MIN(J$3-$O$2,$Q$2)/$Q$2))</f>
        <v>8435.49782040799</v>
      </c>
      <c r="K227" s="15" t="n">
        <f aca="false">J227*(1+IF(K$3&lt;=$O$2,$D227,$D227-($D227-$I$211)*MIN(K$3-$O$2,$Q$2)/$Q$2))</f>
        <v>8750.97888984753</v>
      </c>
      <c r="L227" s="15" t="n">
        <f aca="false">K227*(1+IF(L$3&lt;=$O$2,$D227,$D227-($D227-$I$211)*MIN(L$3-$O$2,$Q$2)/$Q$2))</f>
        <v>9037.13137023029</v>
      </c>
      <c r="M227" s="15" t="n">
        <f aca="false">L227*(1+IF(M$3&lt;=$O$2,$D227,$D227-($D227-$I$211)*MIN(M$3-$O$2,$Q$2)/$Q$2))</f>
        <v>9290.16870988599</v>
      </c>
      <c r="N227" s="15" t="n">
        <f aca="false">M227*(1+IF(N$3&lt;=$O$2,$D227,$D227-($D227-$I$211)*MIN(N$3-$O$2,$Q$2)/$Q$2))</f>
        <v>9506.62964082633</v>
      </c>
      <c r="O227" s="15" t="n">
        <f aca="false">SUMPRODUCT(E227:N227,1/(1+$F$211)^$E$3:$N$3)*$E$2</f>
        <v>10253.7281454542</v>
      </c>
      <c r="P227" s="15" t="n">
        <f aca="false">N227*$E$2*(1+$I$211)/($F$211-$I$211)/(1+$F$211)^$N$3</f>
        <v>12337.7035868051</v>
      </c>
      <c r="Q227" s="15" t="n">
        <f aca="false">O227+P227</f>
        <v>22591.4317322593</v>
      </c>
      <c r="R227" s="15" t="n">
        <f aca="false">Q227-$G$2+$I$2</f>
        <v>17291.5317322593</v>
      </c>
      <c r="S227" s="42" t="n">
        <f aca="false">R227/$K$2</f>
        <v>147.18702530013</v>
      </c>
      <c r="T227" s="43" t="n">
        <f aca="false">S227-$M$2</f>
        <v>0.0130382385027303</v>
      </c>
    </row>
    <row r="228" customFormat="false" ht="15" hidden="false" customHeight="false" outlineLevel="0" collapsed="false">
      <c r="A228" s="5" t="n">
        <v>16</v>
      </c>
      <c r="B228" s="25" t="n">
        <f aca="false">IF(T227&gt;0,B227,D227)</f>
        <v>0.0467529296875</v>
      </c>
      <c r="C228" s="25" t="n">
        <f aca="false">IF(T227&gt;0,D227,C227)</f>
        <v>0.0467987060546875</v>
      </c>
      <c r="D228" s="41" t="n">
        <f aca="false">(B228+C228)/2</f>
        <v>0.0467758178710938</v>
      </c>
      <c r="E228" s="15" t="n">
        <f aca="false">$C$2*(1+IF(E$3&lt;=$O$2,$D228,$D228-($D228-$I$211)*MIN(E$3-$O$2,$Q$2)/$Q$2))</f>
        <v>6741.23626708984</v>
      </c>
      <c r="F228" s="15" t="n">
        <f aca="false">E228*(1+IF(F$3&lt;=$O$2,$D228,$D228-($D228-$I$211)*MIN(F$3-$O$2,$Q$2)/$Q$2))</f>
        <v>7056.56310694525</v>
      </c>
      <c r="G228" s="15" t="n">
        <f aca="false">F228*(1+IF(G$3&lt;=$O$2,$D228,$D228-($D228-$I$211)*MIN(G$3-$O$2,$Q$2)/$Q$2))</f>
        <v>7386.6396176316</v>
      </c>
      <c r="H228" s="15" t="n">
        <f aca="false">G228*(1+IF(H$3&lt;=$O$2,$D228,$D228-($D228-$I$211)*MIN(H$3-$O$2,$Q$2)/$Q$2))</f>
        <v>7732.15572706534</v>
      </c>
      <c r="I228" s="15" t="n">
        <f aca="false">H228*(1+IF(I$3&lt;=$O$2,$D228,$D228-($D228-$I$211)*MIN(I$3-$O$2,$Q$2)/$Q$2))</f>
        <v>8093.83363510548</v>
      </c>
      <c r="J228" s="15" t="n">
        <f aca="false">I228*(1+IF(J$3&lt;=$O$2,$D228,$D228-($D228-$I$211)*MIN(J$3-$O$2,$Q$2)/$Q$2))</f>
        <v>8434.42745024078</v>
      </c>
      <c r="K228" s="15" t="n">
        <f aca="false">J228*(1+IF(K$3&lt;=$O$2,$D228,$D228-($D228-$I$211)*MIN(K$3-$O$2,$Q$2)/$Q$2))</f>
        <v>8749.75265943267</v>
      </c>
      <c r="L228" s="15" t="n">
        <f aca="false">K228*(1+IF(L$3&lt;=$O$2,$D228,$D228-($D228-$I$211)*MIN(L$3-$O$2,$Q$2)/$Q$2))</f>
        <v>9035.78493633744</v>
      </c>
      <c r="M228" s="15" t="n">
        <f aca="false">L228*(1+IF(M$3&lt;=$O$2,$D228,$D228-($D228-$I$211)*MIN(M$3-$O$2,$Q$2)/$Q$2))</f>
        <v>9288.74321365167</v>
      </c>
      <c r="N228" s="15" t="n">
        <f aca="false">M228*(1+IF(N$3&lt;=$O$2,$D228,$D228-($D228-$I$211)*MIN(N$3-$O$2,$Q$2)/$Q$2))</f>
        <v>9505.17093052975</v>
      </c>
      <c r="O228" s="15" t="n">
        <f aca="false">SUMPRODUCT(E228:N228,1/(1+$F$211)^$E$3:$N$3)*$E$2</f>
        <v>10252.7109088076</v>
      </c>
      <c r="P228" s="15" t="n">
        <f aca="false">N228*$E$2*(1+$I$211)/($F$211-$I$211)/(1+$F$211)^$N$3</f>
        <v>12335.8104726376</v>
      </c>
      <c r="Q228" s="15" t="n">
        <f aca="false">O228+P228</f>
        <v>22588.5213814453</v>
      </c>
      <c r="R228" s="15" t="n">
        <f aca="false">Q228-$G$2+$I$2</f>
        <v>17288.6213814453</v>
      </c>
      <c r="S228" s="42" t="n">
        <f aca="false">R228/$K$2</f>
        <v>147.162252140324</v>
      </c>
      <c r="T228" s="43" t="n">
        <f aca="false">S228-$M$2</f>
        <v>-0.0117349213036277</v>
      </c>
    </row>
    <row r="229" customFormat="false" ht="15" hidden="false" customHeight="false" outlineLevel="0" collapsed="false">
      <c r="A229" s="5" t="n">
        <v>17</v>
      </c>
      <c r="B229" s="25" t="n">
        <f aca="false">IF(T228&gt;0,B228,D228)</f>
        <v>0.0467758178710938</v>
      </c>
      <c r="C229" s="25" t="n">
        <f aca="false">IF(T228&gt;0,D228,C228)</f>
        <v>0.0467987060546875</v>
      </c>
      <c r="D229" s="41" t="n">
        <f aca="false">(B229+C229)/2</f>
        <v>0.0467872619628906</v>
      </c>
      <c r="E229" s="15" t="n">
        <f aca="false">$C$2*(1+IF(E$3&lt;=$O$2,$D229,$D229-($D229-$I$211)*MIN(E$3-$O$2,$Q$2)/$Q$2))</f>
        <v>6741.30996704102</v>
      </c>
      <c r="F229" s="15" t="n">
        <f aca="false">E229*(1+IF(F$3&lt;=$O$2,$D229,$D229-($D229-$I$211)*MIN(F$3-$O$2,$Q$2)/$Q$2))</f>
        <v>7056.71740244201</v>
      </c>
      <c r="G229" s="15" t="n">
        <f aca="false">F229*(1+IF(G$3&lt;=$O$2,$D229,$D229-($D229-$I$211)*MIN(G$3-$O$2,$Q$2)/$Q$2))</f>
        <v>7386.88188814815</v>
      </c>
      <c r="H229" s="15" t="n">
        <f aca="false">G229*(1+IF(H$3&lt;=$O$2,$D229,$D229-($D229-$I$211)*MIN(H$3-$O$2,$Q$2)/$Q$2))</f>
        <v>7732.49386613787</v>
      </c>
      <c r="I229" s="15" t="n">
        <f aca="false">H229*(1+IF(I$3&lt;=$O$2,$D229,$D229-($D229-$I$211)*MIN(I$3-$O$2,$Q$2)/$Q$2))</f>
        <v>8094.27608227931</v>
      </c>
      <c r="J229" s="15" t="n">
        <f aca="false">I229*(1+IF(J$3&lt;=$O$2,$D229,$D229-($D229-$I$211)*MIN(J$3-$O$2,$Q$2)/$Q$2))</f>
        <v>8434.96262119198</v>
      </c>
      <c r="K229" s="15" t="n">
        <f aca="false">J229*(1+IF(K$3&lt;=$O$2,$D229,$D229-($D229-$I$211)*MIN(K$3-$O$2,$Q$2)/$Q$2))</f>
        <v>8750.36575630443</v>
      </c>
      <c r="L229" s="15" t="n">
        <f aca="false">K229*(1+IF(L$3&lt;=$O$2,$D229,$D229-($D229-$I$211)*MIN(L$3-$O$2,$Q$2)/$Q$2))</f>
        <v>9036.4581315421</v>
      </c>
      <c r="M229" s="15" t="n">
        <f aca="false">L229*(1+IF(M$3&lt;=$O$2,$D229,$D229-($D229-$I$211)*MIN(M$3-$O$2,$Q$2)/$Q$2))</f>
        <v>9289.45593787747</v>
      </c>
      <c r="N229" s="15" t="n">
        <f aca="false">M229*(1+IF(N$3&lt;=$O$2,$D229,$D229-($D229-$I$211)*MIN(N$3-$O$2,$Q$2)/$Q$2))</f>
        <v>9505.90026123002</v>
      </c>
      <c r="O229" s="15" t="n">
        <f aca="false">SUMPRODUCT(E229:N229,1/(1+$F$211)^$E$3:$N$3)*$E$2</f>
        <v>10253.2195143835</v>
      </c>
      <c r="P229" s="15" t="n">
        <f aca="false">N229*$E$2*(1+$I$211)/($F$211-$I$211)/(1+$F$211)^$N$3</f>
        <v>12336.7569979927</v>
      </c>
      <c r="Q229" s="15" t="n">
        <f aca="false">O229+P229</f>
        <v>22589.9765123762</v>
      </c>
      <c r="R229" s="15" t="n">
        <f aca="false">Q229-$G$2+$I$2</f>
        <v>17290.0765123762</v>
      </c>
      <c r="S229" s="42" t="n">
        <f aca="false">R229/$K$2</f>
        <v>147.174638341643</v>
      </c>
      <c r="T229" s="43" t="n">
        <f aca="false">S229-$M$2</f>
        <v>0.000651280015063094</v>
      </c>
    </row>
    <row r="230" customFormat="false" ht="15" hidden="false" customHeight="false" outlineLevel="0" collapsed="false">
      <c r="A230" s="5" t="n">
        <v>18</v>
      </c>
      <c r="B230" s="25" t="n">
        <f aca="false">IF(T229&gt;0,B229,D229)</f>
        <v>0.0467758178710938</v>
      </c>
      <c r="C230" s="25" t="n">
        <f aca="false">IF(T229&gt;0,D229,C229)</f>
        <v>0.0467872619628906</v>
      </c>
      <c r="D230" s="41" t="n">
        <f aca="false">(B230+C230)/2</f>
        <v>0.0467815399169922</v>
      </c>
      <c r="E230" s="15" t="n">
        <f aca="false">$C$2*(1+IF(E$3&lt;=$O$2,$D230,$D230-($D230-$I$211)*MIN(E$3-$O$2,$Q$2)/$Q$2))</f>
        <v>6741.27311706543</v>
      </c>
      <c r="F230" s="15" t="n">
        <f aca="false">E230*(1+IF(F$3&lt;=$O$2,$D230,$D230-($D230-$I$211)*MIN(F$3-$O$2,$Q$2)/$Q$2))</f>
        <v>7056.64025448277</v>
      </c>
      <c r="G230" s="15" t="n">
        <f aca="false">F230*(1+IF(G$3&lt;=$O$2,$D230,$D230-($D230-$I$211)*MIN(G$3-$O$2,$Q$2)/$Q$2))</f>
        <v>7386.76075222771</v>
      </c>
      <c r="H230" s="15" t="n">
        <f aca="false">G230*(1+IF(H$3&lt;=$O$2,$D230,$D230-($D230-$I$211)*MIN(H$3-$O$2,$Q$2)/$Q$2))</f>
        <v>7732.32479521532</v>
      </c>
      <c r="I230" s="15" t="n">
        <f aca="false">H230*(1+IF(I$3&lt;=$O$2,$D230,$D230-($D230-$I$211)*MIN(I$3-$O$2,$Q$2)/$Q$2))</f>
        <v>8094.05485627384</v>
      </c>
      <c r="J230" s="15" t="n">
        <f aca="false">I230*(1+IF(J$3&lt;=$O$2,$D230,$D230-($D230-$I$211)*MIN(J$3-$O$2,$Q$2)/$Q$2))</f>
        <v>8434.69503218335</v>
      </c>
      <c r="K230" s="15" t="n">
        <f aca="false">J230*(1+IF(K$3&lt;=$O$2,$D230,$D230-($D230-$I$211)*MIN(K$3-$O$2,$Q$2)/$Q$2))</f>
        <v>8750.05920328475</v>
      </c>
      <c r="L230" s="15" t="n">
        <f aca="false">K230*(1+IF(L$3&lt;=$O$2,$D230,$D230-($D230-$I$211)*MIN(L$3-$O$2,$Q$2)/$Q$2))</f>
        <v>9036.12152850447</v>
      </c>
      <c r="M230" s="15" t="n">
        <f aca="false">L230*(1+IF(M$3&lt;=$O$2,$D230,$D230-($D230-$I$211)*MIN(M$3-$O$2,$Q$2)/$Q$2))</f>
        <v>9289.0995697919</v>
      </c>
      <c r="N230" s="15" t="n">
        <f aca="false">M230*(1+IF(N$3&lt;=$O$2,$D230,$D230-($D230-$I$211)*MIN(N$3-$O$2,$Q$2)/$Q$2))</f>
        <v>9505.53558976805</v>
      </c>
      <c r="O230" s="15" t="n">
        <f aca="false">SUMPRODUCT(E230:N230,1/(1+$F$211)^$E$3:$N$3)*$E$2</f>
        <v>10252.9652084088</v>
      </c>
      <c r="P230" s="15" t="n">
        <f aca="false">N230*$E$2*(1+$I$211)/($F$211-$I$211)/(1+$F$211)^$N$3</f>
        <v>12336.2837273832</v>
      </c>
      <c r="Q230" s="15" t="n">
        <f aca="false">O230+P230</f>
        <v>22589.248935792</v>
      </c>
      <c r="R230" s="15" t="n">
        <f aca="false">Q230-$G$2+$I$2</f>
        <v>17289.348935792</v>
      </c>
      <c r="S230" s="42" t="n">
        <f aca="false">R230/$K$2</f>
        <v>147.16844514634</v>
      </c>
      <c r="T230" s="43" t="n">
        <f aca="false">S230-$M$2</f>
        <v>-0.00554191528786419</v>
      </c>
    </row>
    <row r="231" customFormat="false" ht="15" hidden="false" customHeight="false" outlineLevel="0" collapsed="false">
      <c r="A231" s="5" t="n">
        <v>19</v>
      </c>
      <c r="B231" s="25" t="n">
        <f aca="false">IF(T230&gt;0,B230,D230)</f>
        <v>0.0467815399169922</v>
      </c>
      <c r="C231" s="25" t="n">
        <f aca="false">IF(T230&gt;0,D230,C230)</f>
        <v>0.0467872619628906</v>
      </c>
      <c r="D231" s="41" t="n">
        <f aca="false">(B231+C231)/2</f>
        <v>0.0467844009399414</v>
      </c>
      <c r="E231" s="15" t="n">
        <f aca="false">$C$2*(1+IF(E$3&lt;=$O$2,$D231,$D231-($D231-$I$211)*MIN(E$3-$O$2,$Q$2)/$Q$2))</f>
        <v>6741.29154205322</v>
      </c>
      <c r="F231" s="15" t="n">
        <f aca="false">E231*(1+IF(F$3&lt;=$O$2,$D231,$D231-($D231-$I$211)*MIN(F$3-$O$2,$Q$2)/$Q$2))</f>
        <v>7056.67882840968</v>
      </c>
      <c r="G231" s="15" t="n">
        <f aca="false">F231*(1+IF(G$3&lt;=$O$2,$D231,$D231-($D231-$I$211)*MIN(G$3-$O$2,$Q$2)/$Q$2))</f>
        <v>7386.82132002239</v>
      </c>
      <c r="H231" s="15" t="n">
        <f aca="false">G231*(1+IF(H$3&lt;=$O$2,$D231,$D231-($D231-$I$211)*MIN(H$3-$O$2,$Q$2)/$Q$2))</f>
        <v>7732.40933033003</v>
      </c>
      <c r="I231" s="15" t="n">
        <f aca="false">H231*(1+IF(I$3&lt;=$O$2,$D231,$D231-($D231-$I$211)*MIN(I$3-$O$2,$Q$2)/$Q$2))</f>
        <v>8094.16546867193</v>
      </c>
      <c r="J231" s="15" t="n">
        <f aca="false">I231*(1+IF(J$3&lt;=$O$2,$D231,$D231-($D231-$I$211)*MIN(J$3-$O$2,$Q$2)/$Q$2))</f>
        <v>8434.8288258044</v>
      </c>
      <c r="K231" s="15" t="n">
        <f aca="false">J231*(1+IF(K$3&lt;=$O$2,$D231,$D231-($D231-$I$211)*MIN(K$3-$O$2,$Q$2)/$Q$2))</f>
        <v>8750.21247864862</v>
      </c>
      <c r="L231" s="15" t="n">
        <f aca="false">K231*(1+IF(L$3&lt;=$O$2,$D231,$D231-($D231-$I$211)*MIN(L$3-$O$2,$Q$2)/$Q$2))</f>
        <v>9036.28982866444</v>
      </c>
      <c r="M231" s="15" t="n">
        <f aca="false">L231*(1+IF(M$3&lt;=$O$2,$D231,$D231-($D231-$I$211)*MIN(M$3-$O$2,$Q$2)/$Q$2))</f>
        <v>9289.27775234149</v>
      </c>
      <c r="N231" s="15" t="n">
        <f aca="false">M231*(1+IF(N$3&lt;=$O$2,$D231,$D231-($D231-$I$211)*MIN(N$3-$O$2,$Q$2)/$Q$2))</f>
        <v>9505.71792397105</v>
      </c>
      <c r="O231" s="15" t="n">
        <f aca="false">SUMPRODUCT(E231:N231,1/(1+$F$211)^$E$3:$N$3)*$E$2</f>
        <v>10253.0923605994</v>
      </c>
      <c r="P231" s="15" t="n">
        <f aca="false">N231*$E$2*(1+$I$211)/($F$211-$I$211)/(1+$F$211)^$N$3</f>
        <v>12336.520360705</v>
      </c>
      <c r="Q231" s="15" t="n">
        <f aca="false">O231+P231</f>
        <v>22589.6127213044</v>
      </c>
      <c r="R231" s="15" t="n">
        <f aca="false">Q231-$G$2+$I$2</f>
        <v>17289.7127213044</v>
      </c>
      <c r="S231" s="42" t="n">
        <f aca="false">R231/$K$2</f>
        <v>147.17154172033</v>
      </c>
      <c r="T231" s="43" t="n">
        <f aca="false">S231-$M$2</f>
        <v>-0.00244534129762997</v>
      </c>
    </row>
    <row r="232" customFormat="false" ht="15" hidden="false" customHeight="false" outlineLevel="0" collapsed="false">
      <c r="A232" s="5" t="n">
        <v>20</v>
      </c>
      <c r="B232" s="25" t="n">
        <f aca="false">IF(T231&gt;0,B231,D231)</f>
        <v>0.0467844009399414</v>
      </c>
      <c r="C232" s="25" t="n">
        <f aca="false">IF(T231&gt;0,D231,C231)</f>
        <v>0.0467872619628906</v>
      </c>
      <c r="D232" s="41" t="n">
        <f aca="false">(B232+C232)/2</f>
        <v>0.046785831451416</v>
      </c>
      <c r="E232" s="15" t="n">
        <f aca="false">$C$2*(1+IF(E$3&lt;=$O$2,$D232,$D232-($D232-$I$211)*MIN(E$3-$O$2,$Q$2)/$Q$2))</f>
        <v>6741.30075454712</v>
      </c>
      <c r="F232" s="15" t="n">
        <f aca="false">E232*(1+IF(F$3&lt;=$O$2,$D232,$D232-($D232-$I$211)*MIN(F$3-$O$2,$Q$2)/$Q$2))</f>
        <v>7056.69811541266</v>
      </c>
      <c r="G232" s="15" t="n">
        <f aca="false">F232*(1+IF(G$3&lt;=$O$2,$D232,$D232-($D232-$I$211)*MIN(G$3-$O$2,$Q$2)/$Q$2))</f>
        <v>7386.85160404389</v>
      </c>
      <c r="H232" s="15" t="n">
        <f aca="false">G232*(1+IF(H$3&lt;=$O$2,$D232,$D232-($D232-$I$211)*MIN(H$3-$O$2,$Q$2)/$Q$2))</f>
        <v>7732.45159814731</v>
      </c>
      <c r="I232" s="15" t="n">
        <f aca="false">H232*(1+IF(I$3&lt;=$O$2,$D232,$D232-($D232-$I$211)*MIN(I$3-$O$2,$Q$2)/$Q$2))</f>
        <v>8094.22077532446</v>
      </c>
      <c r="J232" s="15" t="n">
        <f aca="false">I232*(1+IF(J$3&lt;=$O$2,$D232,$D232-($D232-$I$211)*MIN(J$3-$O$2,$Q$2)/$Q$2))</f>
        <v>8434.89572327737</v>
      </c>
      <c r="K232" s="15" t="n">
        <f aca="false">J232*(1+IF(K$3&lt;=$O$2,$D232,$D232-($D232-$I$211)*MIN(K$3-$O$2,$Q$2)/$Q$2))</f>
        <v>8750.28911719003</v>
      </c>
      <c r="L232" s="15" t="n">
        <f aca="false">K232*(1+IF(L$3&lt;=$O$2,$D232,$D232-($D232-$I$211)*MIN(L$3-$O$2,$Q$2)/$Q$2))</f>
        <v>9036.37397976356</v>
      </c>
      <c r="M232" s="15" t="n">
        <f aca="false">L232*(1+IF(M$3&lt;=$O$2,$D232,$D232-($D232-$I$211)*MIN(M$3-$O$2,$Q$2)/$Q$2))</f>
        <v>9289.36684473618</v>
      </c>
      <c r="N232" s="15" t="n">
        <f aca="false">M232*(1+IF(N$3&lt;=$O$2,$D232,$D232-($D232-$I$211)*MIN(N$3-$O$2,$Q$2)/$Q$2))</f>
        <v>9505.80909221854</v>
      </c>
      <c r="O232" s="15" t="n">
        <f aca="false">SUMPRODUCT(E232:N232,1/(1+$F$211)^$E$3:$N$3)*$E$2</f>
        <v>10253.1559372922</v>
      </c>
      <c r="P232" s="15" t="n">
        <f aca="false">N232*$E$2*(1+$I$211)/($F$211-$I$211)/(1+$F$211)^$N$3</f>
        <v>12336.6386788531</v>
      </c>
      <c r="Q232" s="15" t="n">
        <f aca="false">O232+P232</f>
        <v>22589.7946161453</v>
      </c>
      <c r="R232" s="15" t="n">
        <f aca="false">Q232-$G$2+$I$2</f>
        <v>17289.8946161453</v>
      </c>
      <c r="S232" s="42" t="n">
        <f aca="false">R232/$K$2</f>
        <v>147.173090025071</v>
      </c>
      <c r="T232" s="43" t="n">
        <f aca="false">S232-$M$2</f>
        <v>-0.000897036556636977</v>
      </c>
    </row>
    <row r="233" customFormat="false" ht="15" hidden="false" customHeight="false" outlineLevel="0" collapsed="false">
      <c r="A233" s="5" t="n">
        <v>21</v>
      </c>
      <c r="B233" s="25" t="n">
        <f aca="false">IF(T232&gt;0,B232,D232)</f>
        <v>0.046785831451416</v>
      </c>
      <c r="C233" s="25" t="n">
        <f aca="false">IF(T232&gt;0,D232,C232)</f>
        <v>0.0467872619628906</v>
      </c>
      <c r="D233" s="41" t="n">
        <f aca="false">(B233+C233)/2</f>
        <v>0.0467865467071533</v>
      </c>
      <c r="E233" s="15" t="n">
        <f aca="false">$C$2*(1+IF(E$3&lt;=$O$2,$D233,$D233-($D233-$I$211)*MIN(E$3-$O$2,$Q$2)/$Q$2))</f>
        <v>6741.30536079407</v>
      </c>
      <c r="F233" s="15" t="n">
        <f aca="false">E233*(1+IF(F$3&lt;=$O$2,$D233,$D233-($D233-$I$211)*MIN(F$3-$O$2,$Q$2)/$Q$2))</f>
        <v>7056.70775892404</v>
      </c>
      <c r="G233" s="15" t="n">
        <f aca="false">F233*(1+IF(G$3&lt;=$O$2,$D233,$D233-($D233-$I$211)*MIN(G$3-$O$2,$Q$2)/$Q$2))</f>
        <v>7386.86674608567</v>
      </c>
      <c r="H233" s="15" t="n">
        <f aca="false">G233*(1+IF(H$3&lt;=$O$2,$D233,$D233-($D233-$I$211)*MIN(H$3-$O$2,$Q$2)/$Q$2))</f>
        <v>7732.47273212093</v>
      </c>
      <c r="I233" s="15" t="n">
        <f aca="false">H233*(1+IF(I$3&lt;=$O$2,$D233,$D233-($D233-$I$211)*MIN(I$3-$O$2,$Q$2)/$Q$2))</f>
        <v>8094.24842876409</v>
      </c>
      <c r="J233" s="15" t="n">
        <f aca="false">I233*(1+IF(J$3&lt;=$O$2,$D233,$D233-($D233-$I$211)*MIN(J$3-$O$2,$Q$2)/$Q$2))</f>
        <v>8434.92917217947</v>
      </c>
      <c r="K233" s="15" t="n">
        <f aca="false">J233*(1+IF(K$3&lt;=$O$2,$D233,$D233-($D233-$I$211)*MIN(K$3-$O$2,$Q$2)/$Q$2))</f>
        <v>8750.32743667561</v>
      </c>
      <c r="L233" s="15" t="n">
        <f aca="false">K233*(1+IF(L$3&lt;=$O$2,$D233,$D233-($D233-$I$211)*MIN(L$3-$O$2,$Q$2)/$Q$2))</f>
        <v>9036.4160555679</v>
      </c>
      <c r="M233" s="15" t="n">
        <f aca="false">L233*(1+IF(M$3&lt;=$O$2,$D233,$D233-($D233-$I$211)*MIN(M$3-$O$2,$Q$2)/$Q$2))</f>
        <v>9289.4113912135</v>
      </c>
      <c r="N233" s="15" t="n">
        <f aca="false">M233*(1+IF(N$3&lt;=$O$2,$D233,$D233-($D233-$I$211)*MIN(N$3-$O$2,$Q$2)/$Q$2))</f>
        <v>9505.85467662878</v>
      </c>
      <c r="O233" s="15" t="n">
        <f aca="false">SUMPRODUCT(E233:N233,1/(1+$F$211)^$E$3:$N$3)*$E$2</f>
        <v>10253.1877257881</v>
      </c>
      <c r="P233" s="15" t="n">
        <f aca="false">N233*$E$2*(1+$I$211)/($F$211-$I$211)/(1+$F$211)^$N$3</f>
        <v>12336.697838299</v>
      </c>
      <c r="Q233" s="15" t="n">
        <f aca="false">O233+P233</f>
        <v>22589.885564087</v>
      </c>
      <c r="R233" s="15" t="n">
        <f aca="false">Q233-$G$2+$I$2</f>
        <v>17289.985564087</v>
      </c>
      <c r="S233" s="42" t="n">
        <f aca="false">R233/$K$2</f>
        <v>147.173864181878</v>
      </c>
      <c r="T233" s="43" t="n">
        <f aca="false">S233-$M$2</f>
        <v>-0.000122879749625326</v>
      </c>
    </row>
    <row r="234" customFormat="false" ht="15" hidden="false" customHeight="false" outlineLevel="0" collapsed="false">
      <c r="A234" s="5" t="n">
        <v>22</v>
      </c>
      <c r="B234" s="25" t="n">
        <f aca="false">IF(T233&gt;0,B233,D233)</f>
        <v>0.0467865467071533</v>
      </c>
      <c r="C234" s="25" t="n">
        <f aca="false">IF(T233&gt;0,D233,C233)</f>
        <v>0.0467872619628906</v>
      </c>
      <c r="D234" s="41" t="n">
        <f aca="false">(B234+C234)/2</f>
        <v>0.046786904335022</v>
      </c>
      <c r="E234" s="15" t="n">
        <f aca="false">$C$2*(1+IF(E$3&lt;=$O$2,$D234,$D234-($D234-$I$211)*MIN(E$3-$O$2,$Q$2)/$Q$2))</f>
        <v>6741.30766391754</v>
      </c>
      <c r="F234" s="15" t="n">
        <f aca="false">E234*(1+IF(F$3&lt;=$O$2,$D234,$D234-($D234-$I$211)*MIN(F$3-$O$2,$Q$2)/$Q$2))</f>
        <v>7056.7125806822</v>
      </c>
      <c r="G234" s="15" t="n">
        <f aca="false">F234*(1+IF(G$3&lt;=$O$2,$D234,$D234-($D234-$I$211)*MIN(G$3-$O$2,$Q$2)/$Q$2))</f>
        <v>7386.87431711433</v>
      </c>
      <c r="H234" s="15" t="n">
        <f aca="false">G234*(1+IF(H$3&lt;=$O$2,$D234,$D234-($D234-$I$211)*MIN(H$3-$O$2,$Q$2)/$Q$2))</f>
        <v>7732.48329912399</v>
      </c>
      <c r="I234" s="15" t="n">
        <f aca="false">H234*(1+IF(I$3&lt;=$O$2,$D234,$D234-($D234-$I$211)*MIN(I$3-$O$2,$Q$2)/$Q$2))</f>
        <v>8094.26225551225</v>
      </c>
      <c r="J234" s="15" t="n">
        <f aca="false">I234*(1+IF(J$3&lt;=$O$2,$D234,$D234-($D234-$I$211)*MIN(J$3-$O$2,$Q$2)/$Q$2))</f>
        <v>8434.94589667193</v>
      </c>
      <c r="K234" s="15" t="n">
        <f aca="false">J234*(1+IF(K$3&lt;=$O$2,$D234,$D234-($D234-$I$211)*MIN(K$3-$O$2,$Q$2)/$Q$2))</f>
        <v>8750.34659647211</v>
      </c>
      <c r="L234" s="15" t="n">
        <f aca="false">K234*(1+IF(L$3&lt;=$O$2,$D234,$D234-($D234-$I$211)*MIN(L$3-$O$2,$Q$2)/$Q$2))</f>
        <v>9036.43709353377</v>
      </c>
      <c r="M234" s="15" t="n">
        <f aca="false">L234*(1+IF(M$3&lt;=$O$2,$D234,$D234-($D234-$I$211)*MIN(M$3-$O$2,$Q$2)/$Q$2))</f>
        <v>9289.43366452216</v>
      </c>
      <c r="N234" s="15" t="n">
        <f aca="false">M234*(1+IF(N$3&lt;=$O$2,$D234,$D234-($D234-$I$211)*MIN(N$3-$O$2,$Q$2)/$Q$2))</f>
        <v>9505.87746890552</v>
      </c>
      <c r="O234" s="15" t="n">
        <f aca="false">SUMPRODUCT(E234:N234,1/(1+$F$211)^$E$3:$N$3)*$E$2</f>
        <v>10253.2036200733</v>
      </c>
      <c r="P234" s="15" t="n">
        <f aca="false">N234*$E$2*(1+$I$211)/($F$211-$I$211)/(1+$F$211)^$N$3</f>
        <v>12336.7274181149</v>
      </c>
      <c r="Q234" s="15" t="n">
        <f aca="false">O234+P234</f>
        <v>22589.9310381882</v>
      </c>
      <c r="R234" s="15" t="n">
        <f aca="false">Q234-$G$2+$I$2</f>
        <v>17290.0310381882</v>
      </c>
      <c r="S234" s="42" t="n">
        <f aca="false">R234/$K$2</f>
        <v>147.174251261391</v>
      </c>
      <c r="T234" s="43" t="n">
        <f aca="false">S234-$M$2</f>
        <v>0.00026419976305192</v>
      </c>
    </row>
    <row r="235" customFormat="false" ht="15" hidden="false" customHeight="false" outlineLevel="0" collapsed="false">
      <c r="A235" s="5" t="n">
        <v>23</v>
      </c>
      <c r="B235" s="25" t="n">
        <f aca="false">IF(T234&gt;0,B234,D234)</f>
        <v>0.0467865467071533</v>
      </c>
      <c r="C235" s="25" t="n">
        <f aca="false">IF(T234&gt;0,D234,C234)</f>
        <v>0.046786904335022</v>
      </c>
      <c r="D235" s="41" t="n">
        <f aca="false">(B235+C235)/2</f>
        <v>0.0467867255210876</v>
      </c>
      <c r="E235" s="15" t="n">
        <f aca="false">$C$2*(1+IF(E$3&lt;=$O$2,$D235,$D235-($D235-$I$211)*MIN(E$3-$O$2,$Q$2)/$Q$2))</f>
        <v>6741.3065123558</v>
      </c>
      <c r="F235" s="15" t="n">
        <f aca="false">E235*(1+IF(F$3&lt;=$O$2,$D235,$D235-($D235-$I$211)*MIN(F$3-$O$2,$Q$2)/$Q$2))</f>
        <v>7056.71016980292</v>
      </c>
      <c r="G235" s="15" t="n">
        <f aca="false">F235*(1+IF(G$3&lt;=$O$2,$D235,$D235-($D235-$I$211)*MIN(G$3-$O$2,$Q$2)/$Q$2))</f>
        <v>7386.87053159935</v>
      </c>
      <c r="H235" s="15" t="n">
        <f aca="false">G235*(1+IF(H$3&lt;=$O$2,$D235,$D235-($D235-$I$211)*MIN(H$3-$O$2,$Q$2)/$Q$2))</f>
        <v>7732.4780156211</v>
      </c>
      <c r="I235" s="15" t="n">
        <f aca="false">H235*(1+IF(I$3&lt;=$O$2,$D235,$D235-($D235-$I$211)*MIN(I$3-$O$2,$Q$2)/$Q$2))</f>
        <v>8094.25534213581</v>
      </c>
      <c r="J235" s="15" t="n">
        <f aca="false">I235*(1+IF(J$3&lt;=$O$2,$D235,$D235-($D235-$I$211)*MIN(J$3-$O$2,$Q$2)/$Q$2))</f>
        <v>8434.93753442225</v>
      </c>
      <c r="K235" s="15" t="n">
        <f aca="false">J235*(1+IF(K$3&lt;=$O$2,$D235,$D235-($D235-$I$211)*MIN(K$3-$O$2,$Q$2)/$Q$2))</f>
        <v>8750.33701656939</v>
      </c>
      <c r="L235" s="15" t="n">
        <f aca="false">K235*(1+IF(L$3&lt;=$O$2,$D235,$D235-($D235-$I$211)*MIN(L$3-$O$2,$Q$2)/$Q$2))</f>
        <v>9036.42657454552</v>
      </c>
      <c r="M235" s="15" t="n">
        <f aca="false">L235*(1+IF(M$3&lt;=$O$2,$D235,$D235-($D235-$I$211)*MIN(M$3-$O$2,$Q$2)/$Q$2))</f>
        <v>9289.422527862</v>
      </c>
      <c r="N235" s="15" t="n">
        <f aca="false">M235*(1+IF(N$3&lt;=$O$2,$D235,$D235-($D235-$I$211)*MIN(N$3-$O$2,$Q$2)/$Q$2))</f>
        <v>9505.86607276118</v>
      </c>
      <c r="O235" s="15" t="n">
        <f aca="false">SUMPRODUCT(E235:N235,1/(1+$F$211)^$E$3:$N$3)*$E$2</f>
        <v>10253.1956729276</v>
      </c>
      <c r="P235" s="15" t="n">
        <f aca="false">N235*$E$2*(1+$I$211)/($F$211-$I$211)/(1+$F$211)^$N$3</f>
        <v>12336.7126281992</v>
      </c>
      <c r="Q235" s="15" t="n">
        <f aca="false">O235+P235</f>
        <v>22589.9083011267</v>
      </c>
      <c r="R235" s="15" t="n">
        <f aca="false">Q235-$G$2+$I$2</f>
        <v>17290.0083011267</v>
      </c>
      <c r="S235" s="42" t="n">
        <f aca="false">R235/$K$2</f>
        <v>147.174057721542</v>
      </c>
      <c r="T235" s="43" t="n">
        <f aca="false">S235-$M$2</f>
        <v>7.06599143143194E-005</v>
      </c>
    </row>
    <row r="236" customFormat="false" ht="15" hidden="false" customHeight="false" outlineLevel="0" collapsed="false">
      <c r="A236" s="5" t="n">
        <v>24</v>
      </c>
      <c r="B236" s="25" t="n">
        <f aca="false">IF(T235&gt;0,B235,D235)</f>
        <v>0.0467865467071533</v>
      </c>
      <c r="C236" s="25" t="n">
        <f aca="false">IF(T235&gt;0,D235,C235)</f>
        <v>0.0467867255210876</v>
      </c>
      <c r="D236" s="41" t="n">
        <f aca="false">(B236+C236)/2</f>
        <v>0.0467866361141205</v>
      </c>
      <c r="E236" s="15" t="n">
        <f aca="false">$C$2*(1+IF(E$3&lt;=$O$2,$D236,$D236-($D236-$I$211)*MIN(E$3-$O$2,$Q$2)/$Q$2))</f>
        <v>6741.30593657494</v>
      </c>
      <c r="F236" s="15" t="n">
        <f aca="false">E236*(1+IF(F$3&lt;=$O$2,$D236,$D236-($D236-$I$211)*MIN(F$3-$O$2,$Q$2)/$Q$2))</f>
        <v>7056.70896436343</v>
      </c>
      <c r="G236" s="15" t="n">
        <f aca="false">F236*(1+IF(G$3&lt;=$O$2,$D236,$D236-($D236-$I$211)*MIN(G$3-$O$2,$Q$2)/$Q$2))</f>
        <v>7386.86863884235</v>
      </c>
      <c r="H236" s="15" t="n">
        <f aca="false">G236*(1+IF(H$3&lt;=$O$2,$D236,$D236-($D236-$I$211)*MIN(H$3-$O$2,$Q$2)/$Q$2))</f>
        <v>7732.47537387068</v>
      </c>
      <c r="I236" s="15" t="n">
        <f aca="false">H236*(1+IF(I$3&lt;=$O$2,$D236,$D236-($D236-$I$211)*MIN(I$3-$O$2,$Q$2)/$Q$2))</f>
        <v>8094.25188544936</v>
      </c>
      <c r="J236" s="15" t="n">
        <f aca="false">I236*(1+IF(J$3&lt;=$O$2,$D236,$D236-($D236-$I$211)*MIN(J$3-$O$2,$Q$2)/$Q$2))</f>
        <v>8434.9333533</v>
      </c>
      <c r="K236" s="15" t="n">
        <f aca="false">J236*(1+IF(K$3&lt;=$O$2,$D236,$D236-($D236-$I$211)*MIN(K$3-$O$2,$Q$2)/$Q$2))</f>
        <v>8750.33222662138</v>
      </c>
      <c r="L236" s="15" t="n">
        <f aca="false">K236*(1+IF(L$3&lt;=$O$2,$D236,$D236-($D236-$I$211)*MIN(L$3-$O$2,$Q$2)/$Q$2))</f>
        <v>9036.42131505538</v>
      </c>
      <c r="M236" s="15" t="n">
        <f aca="false">L236*(1+IF(M$3&lt;=$O$2,$D236,$D236-($D236-$I$211)*MIN(M$3-$O$2,$Q$2)/$Q$2))</f>
        <v>9289.41695953629</v>
      </c>
      <c r="N236" s="15" t="n">
        <f aca="false">M236*(1+IF(N$3&lt;=$O$2,$D236,$D236-($D236-$I$211)*MIN(N$3-$O$2,$Q$2)/$Q$2))</f>
        <v>9505.86037469348</v>
      </c>
      <c r="O236" s="15" t="n">
        <f aca="false">SUMPRODUCT(E236:N236,1/(1+$F$211)^$E$3:$N$3)*$E$2</f>
        <v>10253.191699357</v>
      </c>
      <c r="P236" s="15" t="n">
        <f aca="false">N236*$E$2*(1+$I$211)/($F$211-$I$211)/(1+$F$211)^$N$3</f>
        <v>12336.7052332471</v>
      </c>
      <c r="Q236" s="15" t="n">
        <f aca="false">O236+P236</f>
        <v>22589.8969326042</v>
      </c>
      <c r="R236" s="15" t="n">
        <f aca="false">Q236-$G$2+$I$2</f>
        <v>17289.9969326042</v>
      </c>
      <c r="S236" s="42" t="n">
        <f aca="false">R236/$K$2</f>
        <v>147.173960951687</v>
      </c>
      <c r="T236" s="43" t="n">
        <f aca="false">S236-$M$2</f>
        <v>-2.61099408191967E-005</v>
      </c>
    </row>
    <row r="238" customFormat="false" ht="15" hidden="false" customHeight="false" outlineLevel="0" collapsed="false">
      <c r="A238" s="38" t="s">
        <v>188</v>
      </c>
      <c r="E238" s="5" t="s">
        <v>11</v>
      </c>
      <c r="F238" s="12" t="n">
        <f aca="false">Sensitivity!$B$11</f>
        <v>0.0899886567315273</v>
      </c>
      <c r="G238" s="5" t="s">
        <v>12</v>
      </c>
      <c r="I238" s="12" t="n">
        <f aca="false">Sensitivity!$E$9</f>
        <v>0.0283</v>
      </c>
    </row>
    <row r="239" customFormat="false" ht="23.85" hidden="false" customHeight="false" outlineLevel="0" collapsed="false">
      <c r="A239" s="38" t="s">
        <v>161</v>
      </c>
      <c r="B239" s="28" t="s">
        <v>162</v>
      </c>
      <c r="C239" s="28" t="s">
        <v>163</v>
      </c>
      <c r="D239" s="28" t="s">
        <v>164</v>
      </c>
      <c r="E239" s="28" t="s">
        <v>165</v>
      </c>
      <c r="F239" s="28" t="s">
        <v>166</v>
      </c>
      <c r="G239" s="28" t="s">
        <v>167</v>
      </c>
      <c r="H239" s="28" t="s">
        <v>168</v>
      </c>
      <c r="I239" s="28" t="s">
        <v>169</v>
      </c>
      <c r="J239" s="28" t="s">
        <v>170</v>
      </c>
      <c r="K239" s="28" t="s">
        <v>171</v>
      </c>
      <c r="L239" s="28" t="s">
        <v>172</v>
      </c>
      <c r="M239" s="28" t="s">
        <v>173</v>
      </c>
      <c r="N239" s="28" t="s">
        <v>174</v>
      </c>
      <c r="O239" s="28" t="s">
        <v>175</v>
      </c>
      <c r="P239" s="28" t="s">
        <v>176</v>
      </c>
      <c r="Q239" s="28" t="s">
        <v>177</v>
      </c>
      <c r="R239" s="28" t="s">
        <v>178</v>
      </c>
      <c r="S239" s="28" t="s">
        <v>179</v>
      </c>
      <c r="T239" s="28" t="s">
        <v>180</v>
      </c>
    </row>
    <row r="240" customFormat="false" ht="15" hidden="false" customHeight="false" outlineLevel="0" collapsed="false">
      <c r="A240" s="5" t="n">
        <v>1</v>
      </c>
      <c r="B240" s="24" t="n">
        <v>-0.5</v>
      </c>
      <c r="C240" s="24" t="n">
        <v>1</v>
      </c>
      <c r="D240" s="41" t="n">
        <f aca="false">(B240+C240)/2</f>
        <v>0.25</v>
      </c>
      <c r="E240" s="15" t="n">
        <f aca="false">$C$2*(1+IF(E$3&lt;=$O$2,$D240,$D240-($D240-$I$238)*MIN(E$3-$O$2,$Q$2)/$Q$2))</f>
        <v>8050</v>
      </c>
      <c r="F240" s="15" t="n">
        <f aca="false">E240*(1+IF(F$3&lt;=$O$2,$D240,$D240-($D240-$I$238)*MIN(F$3-$O$2,$Q$2)/$Q$2))</f>
        <v>10062.5</v>
      </c>
      <c r="G240" s="15" t="n">
        <f aca="false">F240*(1+IF(G$3&lt;=$O$2,$D240,$D240-($D240-$I$238)*MIN(G$3-$O$2,$Q$2)/$Q$2))</f>
        <v>12578.125</v>
      </c>
      <c r="H240" s="15" t="n">
        <f aca="false">G240*(1+IF(H$3&lt;=$O$2,$D240,$D240-($D240-$I$238)*MIN(H$3-$O$2,$Q$2)/$Q$2))</f>
        <v>15722.65625</v>
      </c>
      <c r="I240" s="15" t="n">
        <f aca="false">H240*(1+IF(I$3&lt;=$O$2,$D240,$D240-($D240-$I$238)*MIN(I$3-$O$2,$Q$2)/$Q$2))</f>
        <v>19653.3203125</v>
      </c>
      <c r="J240" s="15" t="n">
        <f aca="false">I240*(1+IF(J$3&lt;=$O$2,$D240,$D240-($D240-$I$238)*MIN(J$3-$O$2,$Q$2)/$Q$2))</f>
        <v>23695.2221679688</v>
      </c>
      <c r="K240" s="15" t="n">
        <f aca="false">J240*(1+IF(K$3&lt;=$O$2,$D240,$D240-($D240-$I$238)*MIN(K$3-$O$2,$Q$2)/$Q$2))</f>
        <v>27517.7354081055</v>
      </c>
      <c r="L240" s="15" t="n">
        <f aca="false">K240*(1+IF(L$3&lt;=$O$2,$D240,$D240-($D240-$I$238)*MIN(L$3-$O$2,$Q$2)/$Q$2))</f>
        <v>30736.7600961456</v>
      </c>
      <c r="M240" s="15" t="n">
        <f aca="false">L240*(1+IF(M$3&lt;=$O$2,$D240,$D240-($D240-$I$238)*MIN(M$3-$O$2,$Q$2)/$Q$2))</f>
        <v>32969.4783495297</v>
      </c>
      <c r="N240" s="15" t="n">
        <f aca="false">M240*(1+IF(N$3&lt;=$O$2,$D240,$D240-($D240-$I$238)*MIN(N$3-$O$2,$Q$2)/$Q$2))</f>
        <v>33902.5145868214</v>
      </c>
      <c r="O240" s="15" t="n">
        <f aca="false">SUMPRODUCT(E240:N240,1/(1+$F$238)^$E$3:$N$3)*$E$2</f>
        <v>24744.4828148895</v>
      </c>
      <c r="P240" s="15" t="n">
        <f aca="false">N240*$E$2*(1+$I$238)/($F$238-$I$238)/(1+$F$238)^$N$3</f>
        <v>47797.2803909986</v>
      </c>
      <c r="Q240" s="15" t="n">
        <f aca="false">O240+P240</f>
        <v>72541.7632058881</v>
      </c>
      <c r="R240" s="15" t="n">
        <f aca="false">Q240-$G$2+$I$2</f>
        <v>67241.8632058881</v>
      </c>
      <c r="S240" s="42" t="n">
        <f aca="false">R240/$K$2</f>
        <v>572.36860066299</v>
      </c>
      <c r="T240" s="43" t="n">
        <f aca="false">S240-$M$2</f>
        <v>425.194613601363</v>
      </c>
    </row>
    <row r="241" customFormat="false" ht="15" hidden="false" customHeight="false" outlineLevel="0" collapsed="false">
      <c r="A241" s="5" t="n">
        <v>2</v>
      </c>
      <c r="B241" s="25" t="n">
        <f aca="false">IF(T240&gt;0,B240,D240)</f>
        <v>-0.5</v>
      </c>
      <c r="C241" s="25" t="n">
        <f aca="false">IF(T240&gt;0,D240,C240)</f>
        <v>0.25</v>
      </c>
      <c r="D241" s="41" t="n">
        <f aca="false">(B241+C241)/2</f>
        <v>-0.125</v>
      </c>
      <c r="E241" s="15" t="n">
        <f aca="false">$C$2*(1+IF(E$3&lt;=$O$2,$D241,$D241-($D241-$I$238)*MIN(E$3-$O$2,$Q$2)/$Q$2))</f>
        <v>5635</v>
      </c>
      <c r="F241" s="15" t="n">
        <f aca="false">E241*(1+IF(F$3&lt;=$O$2,$D241,$D241-($D241-$I$238)*MIN(F$3-$O$2,$Q$2)/$Q$2))</f>
        <v>4930.625</v>
      </c>
      <c r="G241" s="15" t="n">
        <f aca="false">F241*(1+IF(G$3&lt;=$O$2,$D241,$D241-($D241-$I$238)*MIN(G$3-$O$2,$Q$2)/$Q$2))</f>
        <v>4314.296875</v>
      </c>
      <c r="H241" s="15" t="n">
        <f aca="false">G241*(1+IF(H$3&lt;=$O$2,$D241,$D241-($D241-$I$238)*MIN(H$3-$O$2,$Q$2)/$Q$2))</f>
        <v>3775.009765625</v>
      </c>
      <c r="I241" s="15" t="n">
        <f aca="false">H241*(1+IF(I$3&lt;=$O$2,$D241,$D241-($D241-$I$238)*MIN(I$3-$O$2,$Q$2)/$Q$2))</f>
        <v>3303.13354492188</v>
      </c>
      <c r="J241" s="15" t="n">
        <f aca="false">I241*(1+IF(J$3&lt;=$O$2,$D241,$D241-($D241-$I$238)*MIN(J$3-$O$2,$Q$2)/$Q$2))</f>
        <v>2991.51592629395</v>
      </c>
      <c r="K241" s="15" t="n">
        <f aca="false">J241*(1+IF(K$3&lt;=$O$2,$D241,$D241-($D241-$I$238)*MIN(K$3-$O$2,$Q$2)/$Q$2))</f>
        <v>2801.01619210755</v>
      </c>
      <c r="L241" s="15" t="n">
        <f aca="false">K241*(1+IF(L$3&lt;=$O$2,$D241,$D241-($D241-$I$238)*MIN(L$3-$O$2,$Q$2)/$Q$2))</f>
        <v>2708.52663744416</v>
      </c>
      <c r="M241" s="15" t="n">
        <f aca="false">L241*(1+IF(M$3&lt;=$O$2,$D241,$D241-($D241-$I$238)*MIN(M$3-$O$2,$Q$2)/$Q$2))</f>
        <v>2702.13451457979</v>
      </c>
      <c r="N241" s="15" t="n">
        <f aca="false">M241*(1+IF(N$3&lt;=$O$2,$D241,$D241-($D241-$I$238)*MIN(N$3-$O$2,$Q$2)/$Q$2))</f>
        <v>2778.6049213424</v>
      </c>
      <c r="O241" s="15" t="n">
        <f aca="false">SUMPRODUCT(E241:N241,1/(1+$F$238)^$E$3:$N$3)*$E$2</f>
        <v>4918.35244280473</v>
      </c>
      <c r="P241" s="15" t="n">
        <f aca="false">N241*$E$2*(1+$I$238)/($F$238-$I$238)/(1+$F$238)^$N$3</f>
        <v>3917.40141224914</v>
      </c>
      <c r="Q241" s="15" t="n">
        <f aca="false">O241+P241</f>
        <v>8835.75385505387</v>
      </c>
      <c r="R241" s="15" t="n">
        <f aca="false">Q241-$G$2+$I$2</f>
        <v>3535.85385505387</v>
      </c>
      <c r="S241" s="42" t="n">
        <f aca="false">R241/$K$2</f>
        <v>30.0974962125798</v>
      </c>
      <c r="T241" s="43" t="n">
        <f aca="false">S241-$M$2</f>
        <v>-117.076490849048</v>
      </c>
    </row>
    <row r="242" customFormat="false" ht="15" hidden="false" customHeight="false" outlineLevel="0" collapsed="false">
      <c r="A242" s="5" t="n">
        <v>3</v>
      </c>
      <c r="B242" s="25" t="n">
        <f aca="false">IF(T241&gt;0,B241,D241)</f>
        <v>-0.125</v>
      </c>
      <c r="C242" s="25" t="n">
        <f aca="false">IF(T241&gt;0,D241,C241)</f>
        <v>0.25</v>
      </c>
      <c r="D242" s="41" t="n">
        <f aca="false">(B242+C242)/2</f>
        <v>0.0625</v>
      </c>
      <c r="E242" s="15" t="n">
        <f aca="false">$C$2*(1+IF(E$3&lt;=$O$2,$D242,$D242-($D242-$I$238)*MIN(E$3-$O$2,$Q$2)/$Q$2))</f>
        <v>6842.5</v>
      </c>
      <c r="F242" s="15" t="n">
        <f aca="false">E242*(1+IF(F$3&lt;=$O$2,$D242,$D242-($D242-$I$238)*MIN(F$3-$O$2,$Q$2)/$Q$2))</f>
        <v>7270.15625</v>
      </c>
      <c r="G242" s="15" t="n">
        <f aca="false">F242*(1+IF(G$3&lt;=$O$2,$D242,$D242-($D242-$I$238)*MIN(G$3-$O$2,$Q$2)/$Q$2))</f>
        <v>7724.541015625</v>
      </c>
      <c r="H242" s="15" t="n">
        <f aca="false">G242*(1+IF(H$3&lt;=$O$2,$D242,$D242-($D242-$I$238)*MIN(H$3-$O$2,$Q$2)/$Q$2))</f>
        <v>8207.32482910156</v>
      </c>
      <c r="I242" s="15" t="n">
        <f aca="false">H242*(1+IF(I$3&lt;=$O$2,$D242,$D242-($D242-$I$238)*MIN(I$3-$O$2,$Q$2)/$Q$2))</f>
        <v>8720.28263092041</v>
      </c>
      <c r="J242" s="15" t="n">
        <f aca="false">I242*(1+IF(J$3&lt;=$O$2,$D242,$D242-($D242-$I$238)*MIN(J$3-$O$2,$Q$2)/$Q$2))</f>
        <v>9205.65356215744</v>
      </c>
      <c r="K242" s="15" t="n">
        <f aca="false">J242*(1+IF(K$3&lt;=$O$2,$D242,$D242-($D242-$I$238)*MIN(K$3-$O$2,$Q$2)/$Q$2))</f>
        <v>9655.07356906197</v>
      </c>
      <c r="L242" s="15" t="n">
        <f aca="false">K242*(1+IF(L$3&lt;=$O$2,$D242,$D242-($D242-$I$238)*MIN(L$3-$O$2,$Q$2)/$Q$2))</f>
        <v>10060.3935574912</v>
      </c>
      <c r="M242" s="15" t="n">
        <f aca="false">L242*(1+IF(M$3&lt;=$O$2,$D242,$D242-($D242-$I$238)*MIN(M$3-$O$2,$Q$2)/$Q$2))</f>
        <v>10413.9157871014</v>
      </c>
      <c r="N242" s="15" t="n">
        <f aca="false">M242*(1+IF(N$3&lt;=$O$2,$D242,$D242-($D242-$I$238)*MIN(N$3-$O$2,$Q$2)/$Q$2))</f>
        <v>10708.6296038764</v>
      </c>
      <c r="O242" s="15" t="n">
        <f aca="false">SUMPRODUCT(E242:N242,1/(1+$F$238)^$E$3:$N$3)*$E$2</f>
        <v>11008.1590261962</v>
      </c>
      <c r="P242" s="15" t="n">
        <f aca="false">N242*$E$2*(1+$I$238)/($F$238-$I$238)/(1+$F$238)^$N$3</f>
        <v>15097.5046546781</v>
      </c>
      <c r="Q242" s="15" t="n">
        <f aca="false">O242+P242</f>
        <v>26105.6636808744</v>
      </c>
      <c r="R242" s="15" t="n">
        <f aca="false">Q242-$G$2+$I$2</f>
        <v>20805.7636808744</v>
      </c>
      <c r="S242" s="42" t="n">
        <f aca="false">R242/$K$2</f>
        <v>177.100473960456</v>
      </c>
      <c r="T242" s="43" t="n">
        <f aca="false">S242-$M$2</f>
        <v>29.9264868988283</v>
      </c>
    </row>
    <row r="243" customFormat="false" ht="15" hidden="false" customHeight="false" outlineLevel="0" collapsed="false">
      <c r="A243" s="5" t="n">
        <v>4</v>
      </c>
      <c r="B243" s="25" t="n">
        <f aca="false">IF(T242&gt;0,B242,D242)</f>
        <v>-0.125</v>
      </c>
      <c r="C243" s="25" t="n">
        <f aca="false">IF(T242&gt;0,D242,C242)</f>
        <v>0.0625</v>
      </c>
      <c r="D243" s="41" t="n">
        <f aca="false">(B243+C243)/2</f>
        <v>-0.03125</v>
      </c>
      <c r="E243" s="15" t="n">
        <f aca="false">$C$2*(1+IF(E$3&lt;=$O$2,$D243,$D243-($D243-$I$238)*MIN(E$3-$O$2,$Q$2)/$Q$2))</f>
        <v>6238.75</v>
      </c>
      <c r="F243" s="15" t="n">
        <f aca="false">E243*(1+IF(F$3&lt;=$O$2,$D243,$D243-($D243-$I$238)*MIN(F$3-$O$2,$Q$2)/$Q$2))</f>
        <v>6043.7890625</v>
      </c>
      <c r="G243" s="15" t="n">
        <f aca="false">F243*(1+IF(G$3&lt;=$O$2,$D243,$D243-($D243-$I$238)*MIN(G$3-$O$2,$Q$2)/$Q$2))</f>
        <v>5854.92065429688</v>
      </c>
      <c r="H243" s="15" t="n">
        <f aca="false">G243*(1+IF(H$3&lt;=$O$2,$D243,$D243-($D243-$I$238)*MIN(H$3-$O$2,$Q$2)/$Q$2))</f>
        <v>5671.9543838501</v>
      </c>
      <c r="I243" s="15" t="n">
        <f aca="false">H243*(1+IF(I$3&lt;=$O$2,$D243,$D243-($D243-$I$238)*MIN(I$3-$O$2,$Q$2)/$Q$2))</f>
        <v>5494.70580935478</v>
      </c>
      <c r="J243" s="15" t="n">
        <f aca="false">I243*(1+IF(J$3&lt;=$O$2,$D243,$D243-($D243-$I$238)*MIN(J$3-$O$2,$Q$2)/$Q$2))</f>
        <v>5388.43819900186</v>
      </c>
      <c r="K243" s="15" t="n">
        <f aca="false">J243*(1+IF(K$3&lt;=$O$2,$D243,$D243-($D243-$I$238)*MIN(K$3-$O$2,$Q$2)/$Q$2))</f>
        <v>5348.40210318328</v>
      </c>
      <c r="L243" s="15" t="n">
        <f aca="false">K243*(1+IF(L$3&lt;=$O$2,$D243,$D243-($D243-$I$238)*MIN(L$3-$O$2,$Q$2)/$Q$2))</f>
        <v>5372.36294460554</v>
      </c>
      <c r="M243" s="15" t="n">
        <f aca="false">L243*(1+IF(M$3&lt;=$O$2,$D243,$D243-($D243-$I$238)*MIN(M$3-$O$2,$Q$2)/$Q$2))</f>
        <v>5460.41597326762</v>
      </c>
      <c r="N243" s="15" t="n">
        <f aca="false">M243*(1+IF(N$3&lt;=$O$2,$D243,$D243-($D243-$I$238)*MIN(N$3-$O$2,$Q$2)/$Q$2))</f>
        <v>5614.9457453111</v>
      </c>
      <c r="O243" s="15" t="n">
        <f aca="false">SUMPRODUCT(E243:N243,1/(1+$F$238)^$E$3:$N$3)*$E$2</f>
        <v>7336.2608944766</v>
      </c>
      <c r="P243" s="15" t="n">
        <f aca="false">N243*$E$2*(1+$I$238)/($F$238-$I$238)/(1+$F$238)^$N$3</f>
        <v>7916.20148061831</v>
      </c>
      <c r="Q243" s="15" t="n">
        <f aca="false">O243+P243</f>
        <v>15252.4623750949</v>
      </c>
      <c r="R243" s="15" t="n">
        <f aca="false">Q243-$G$2+$I$2</f>
        <v>9952.56237509491</v>
      </c>
      <c r="S243" s="42" t="n">
        <f aca="false">R243/$K$2</f>
        <v>84.7170784396911</v>
      </c>
      <c r="T243" s="43" t="n">
        <f aca="false">S243-$M$2</f>
        <v>-62.4569086219364</v>
      </c>
    </row>
    <row r="244" customFormat="false" ht="15" hidden="false" customHeight="false" outlineLevel="0" collapsed="false">
      <c r="A244" s="5" t="n">
        <v>5</v>
      </c>
      <c r="B244" s="25" t="n">
        <f aca="false">IF(T243&gt;0,B243,D243)</f>
        <v>-0.03125</v>
      </c>
      <c r="C244" s="25" t="n">
        <f aca="false">IF(T243&gt;0,D243,C243)</f>
        <v>0.0625</v>
      </c>
      <c r="D244" s="41" t="n">
        <f aca="false">(B244+C244)/2</f>
        <v>0.015625</v>
      </c>
      <c r="E244" s="15" t="n">
        <f aca="false">$C$2*(1+IF(E$3&lt;=$O$2,$D244,$D244-($D244-$I$238)*MIN(E$3-$O$2,$Q$2)/$Q$2))</f>
        <v>6540.625</v>
      </c>
      <c r="F244" s="15" t="n">
        <f aca="false">E244*(1+IF(F$3&lt;=$O$2,$D244,$D244-($D244-$I$238)*MIN(F$3-$O$2,$Q$2)/$Q$2))</f>
        <v>6642.822265625</v>
      </c>
      <c r="G244" s="15" t="n">
        <f aca="false">F244*(1+IF(G$3&lt;=$O$2,$D244,$D244-($D244-$I$238)*MIN(G$3-$O$2,$Q$2)/$Q$2))</f>
        <v>6746.61636352539</v>
      </c>
      <c r="H244" s="15" t="n">
        <f aca="false">G244*(1+IF(H$3&lt;=$O$2,$D244,$D244-($D244-$I$238)*MIN(H$3-$O$2,$Q$2)/$Q$2))</f>
        <v>6852.03224420548</v>
      </c>
      <c r="I244" s="15" t="n">
        <f aca="false">H244*(1+IF(I$3&lt;=$O$2,$D244,$D244-($D244-$I$238)*MIN(I$3-$O$2,$Q$2)/$Q$2))</f>
        <v>6959.09524802119</v>
      </c>
      <c r="J244" s="15" t="n">
        <f aca="false">I244*(1+IF(J$3&lt;=$O$2,$D244,$D244-($D244-$I$238)*MIN(J$3-$O$2,$Q$2)/$Q$2))</f>
        <v>7085.47241772525</v>
      </c>
      <c r="K244" s="15" t="n">
        <f aca="false">J244*(1+IF(K$3&lt;=$O$2,$D244,$D244-($D244-$I$238)*MIN(K$3-$O$2,$Q$2)/$Q$2))</f>
        <v>7232.10626941007</v>
      </c>
      <c r="L244" s="15" t="n">
        <f aca="false">K244*(1+IF(L$3&lt;=$O$2,$D244,$D244-($D244-$I$238)*MIN(L$3-$O$2,$Q$2)/$Q$2))</f>
        <v>7400.10809804847</v>
      </c>
      <c r="M244" s="15" t="n">
        <f aca="false">L244*(1+IF(M$3&lt;=$O$2,$D244,$D244-($D244-$I$238)*MIN(M$3-$O$2,$Q$2)/$Q$2))</f>
        <v>7590.77188319469</v>
      </c>
      <c r="N244" s="15" t="n">
        <f aca="false">M244*(1+IF(N$3&lt;=$O$2,$D244,$D244-($D244-$I$238)*MIN(N$3-$O$2,$Q$2)/$Q$2))</f>
        <v>7805.5907274891</v>
      </c>
      <c r="O244" s="15" t="n">
        <f aca="false">SUMPRODUCT(E244:N244,1/(1+$F$238)^$E$3:$N$3)*$E$2</f>
        <v>8982.79243190228</v>
      </c>
      <c r="P244" s="15" t="n">
        <f aca="false">N244*$E$2*(1+$I$238)/($F$238-$I$238)/(1+$F$238)^$N$3</f>
        <v>11004.6706908343</v>
      </c>
      <c r="Q244" s="15" t="n">
        <f aca="false">O244+P244</f>
        <v>19987.4631227366</v>
      </c>
      <c r="R244" s="15" t="n">
        <f aca="false">Q244-$G$2+$I$2</f>
        <v>14687.5631227366</v>
      </c>
      <c r="S244" s="42" t="n">
        <f aca="false">R244/$K$2</f>
        <v>125.021817524145</v>
      </c>
      <c r="T244" s="43" t="n">
        <f aca="false">S244-$M$2</f>
        <v>-22.1521695374823</v>
      </c>
    </row>
    <row r="245" customFormat="false" ht="15" hidden="false" customHeight="false" outlineLevel="0" collapsed="false">
      <c r="A245" s="5" t="n">
        <v>6</v>
      </c>
      <c r="B245" s="25" t="n">
        <f aca="false">IF(T244&gt;0,B244,D244)</f>
        <v>0.015625</v>
      </c>
      <c r="C245" s="25" t="n">
        <f aca="false">IF(T244&gt;0,D244,C244)</f>
        <v>0.0625</v>
      </c>
      <c r="D245" s="41" t="n">
        <f aca="false">(B245+C245)/2</f>
        <v>0.0390625</v>
      </c>
      <c r="E245" s="15" t="n">
        <f aca="false">$C$2*(1+IF(E$3&lt;=$O$2,$D245,$D245-($D245-$I$238)*MIN(E$3-$O$2,$Q$2)/$Q$2))</f>
        <v>6691.5625</v>
      </c>
      <c r="F245" s="15" t="n">
        <f aca="false">E245*(1+IF(F$3&lt;=$O$2,$D245,$D245-($D245-$I$238)*MIN(F$3-$O$2,$Q$2)/$Q$2))</f>
        <v>6952.95166015625</v>
      </c>
      <c r="G245" s="15" t="n">
        <f aca="false">F245*(1+IF(G$3&lt;=$O$2,$D245,$D245-($D245-$I$238)*MIN(G$3-$O$2,$Q$2)/$Q$2))</f>
        <v>7224.5513343811</v>
      </c>
      <c r="H245" s="15" t="n">
        <f aca="false">G245*(1+IF(H$3&lt;=$O$2,$D245,$D245-($D245-$I$238)*MIN(H$3-$O$2,$Q$2)/$Q$2))</f>
        <v>7506.76037088037</v>
      </c>
      <c r="I245" s="15" t="n">
        <f aca="false">H245*(1+IF(I$3&lt;=$O$2,$D245,$D245-($D245-$I$238)*MIN(I$3-$O$2,$Q$2)/$Q$2))</f>
        <v>7799.99319786788</v>
      </c>
      <c r="J245" s="15" t="n">
        <f aca="false">I245*(1+IF(J$3&lt;=$O$2,$D245,$D245-($D245-$I$238)*MIN(J$3-$O$2,$Q$2)/$Q$2))</f>
        <v>8087.89094680118</v>
      </c>
      <c r="K245" s="15" t="n">
        <f aca="false">J245*(1+IF(K$3&lt;=$O$2,$D245,$D245-($D245-$I$238)*MIN(K$3-$O$2,$Q$2)/$Q$2))</f>
        <v>8369.00581638463</v>
      </c>
      <c r="L245" s="15" t="n">
        <f aca="false">K245*(1+IF(L$3&lt;=$O$2,$D245,$D245-($D245-$I$238)*MIN(L$3-$O$2,$Q$2)/$Q$2))</f>
        <v>8641.87725102785</v>
      </c>
      <c r="M245" s="15" t="n">
        <f aca="false">L245*(1+IF(M$3&lt;=$O$2,$D245,$D245-($D245-$I$238)*MIN(M$3-$O$2,$Q$2)/$Q$2))</f>
        <v>8905.04401801477</v>
      </c>
      <c r="N245" s="15" t="n">
        <f aca="false">M245*(1+IF(N$3&lt;=$O$2,$D245,$D245-($D245-$I$238)*MIN(N$3-$O$2,$Q$2)/$Q$2))</f>
        <v>9157.05676372459</v>
      </c>
      <c r="O245" s="15" t="n">
        <f aca="false">SUMPRODUCT(E245:N245,1/(1+$F$238)^$E$3:$N$3)*$E$2</f>
        <v>9943.39207567279</v>
      </c>
      <c r="P245" s="15" t="n">
        <f aca="false">N245*$E$2*(1+$I$238)/($F$238-$I$238)/(1+$F$238)^$N$3</f>
        <v>12910.0279146306</v>
      </c>
      <c r="Q245" s="15" t="n">
        <f aca="false">O245+P245</f>
        <v>22853.4199903034</v>
      </c>
      <c r="R245" s="15" t="n">
        <f aca="false">Q245-$G$2+$I$2</f>
        <v>17553.5199903034</v>
      </c>
      <c r="S245" s="42" t="n">
        <f aca="false">R245/$K$2</f>
        <v>149.417092188486</v>
      </c>
      <c r="T245" s="43" t="n">
        <f aca="false">S245-$M$2</f>
        <v>2.24310512685889</v>
      </c>
    </row>
    <row r="246" customFormat="false" ht="15" hidden="false" customHeight="false" outlineLevel="0" collapsed="false">
      <c r="A246" s="5" t="n">
        <v>7</v>
      </c>
      <c r="B246" s="25" t="n">
        <f aca="false">IF(T245&gt;0,B245,D245)</f>
        <v>0.015625</v>
      </c>
      <c r="C246" s="25" t="n">
        <f aca="false">IF(T245&gt;0,D245,C245)</f>
        <v>0.0390625</v>
      </c>
      <c r="D246" s="41" t="n">
        <f aca="false">(B246+C246)/2</f>
        <v>0.02734375</v>
      </c>
      <c r="E246" s="15" t="n">
        <f aca="false">$C$2*(1+IF(E$3&lt;=$O$2,$D246,$D246-($D246-$I$238)*MIN(E$3-$O$2,$Q$2)/$Q$2))</f>
        <v>6616.09375</v>
      </c>
      <c r="F246" s="15" t="n">
        <f aca="false">E246*(1+IF(F$3&lt;=$O$2,$D246,$D246-($D246-$I$238)*MIN(F$3-$O$2,$Q$2)/$Q$2))</f>
        <v>6797.00256347656</v>
      </c>
      <c r="G246" s="15" t="n">
        <f aca="false">F246*(1+IF(G$3&lt;=$O$2,$D246,$D246-($D246-$I$238)*MIN(G$3-$O$2,$Q$2)/$Q$2))</f>
        <v>6982.85810232163</v>
      </c>
      <c r="H246" s="15" t="n">
        <f aca="false">G246*(1+IF(H$3&lt;=$O$2,$D246,$D246-($D246-$I$238)*MIN(H$3-$O$2,$Q$2)/$Q$2))</f>
        <v>7173.79562855698</v>
      </c>
      <c r="I246" s="15" t="n">
        <f aca="false">H246*(1+IF(I$3&lt;=$O$2,$D246,$D246-($D246-$I$238)*MIN(I$3-$O$2,$Q$2)/$Q$2))</f>
        <v>7369.95410277534</v>
      </c>
      <c r="J246" s="15" t="n">
        <f aca="false">I246*(1+IF(J$3&lt;=$O$2,$D246,$D246-($D246-$I$238)*MIN(J$3-$O$2,$Q$2)/$Q$2))</f>
        <v>7572.88578899526</v>
      </c>
      <c r="K246" s="15" t="n">
        <f aca="false">J246*(1+IF(K$3&lt;=$O$2,$D246,$D246-($D246-$I$238)*MIN(K$3-$O$2,$Q$2)/$Q$2))</f>
        <v>7782.85351360239</v>
      </c>
      <c r="L246" s="15" t="n">
        <f aca="false">K246*(1+IF(L$3&lt;=$O$2,$D246,$D246-($D246-$I$238)*MIN(L$3-$O$2,$Q$2)/$Q$2))</f>
        <v>8000.13132656838</v>
      </c>
      <c r="M246" s="15" t="n">
        <f aca="false">L246*(1+IF(M$3&lt;=$O$2,$D246,$D246-($D246-$I$238)*MIN(M$3-$O$2,$Q$2)/$Q$2))</f>
        <v>8225.00501799406</v>
      </c>
      <c r="N246" s="15" t="n">
        <f aca="false">M246*(1+IF(N$3&lt;=$O$2,$D246,$D246-($D246-$I$238)*MIN(N$3-$O$2,$Q$2)/$Q$2))</f>
        <v>8457.77266000329</v>
      </c>
      <c r="O246" s="15" t="n">
        <f aca="false">SUMPRODUCT(E246:N246,1/(1+$F$238)^$E$3:$N$3)*$E$2</f>
        <v>9450.69404425305</v>
      </c>
      <c r="P246" s="15" t="n">
        <f aca="false">N246*$E$2*(1+$I$238)/($F$238-$I$238)/(1+$F$238)^$N$3</f>
        <v>11924.1459295955</v>
      </c>
      <c r="Q246" s="15" t="n">
        <f aca="false">O246+P246</f>
        <v>21374.8399738486</v>
      </c>
      <c r="R246" s="15" t="n">
        <f aca="false">Q246-$G$2+$I$2</f>
        <v>16074.9399738486</v>
      </c>
      <c r="S246" s="42" t="n">
        <f aca="false">R246/$K$2</f>
        <v>136.831290209811</v>
      </c>
      <c r="T246" s="43" t="n">
        <f aca="false">S246-$M$2</f>
        <v>-10.3426968518165</v>
      </c>
    </row>
    <row r="247" customFormat="false" ht="15" hidden="false" customHeight="false" outlineLevel="0" collapsed="false">
      <c r="A247" s="5" t="n">
        <v>8</v>
      </c>
      <c r="B247" s="25" t="n">
        <f aca="false">IF(T246&gt;0,B246,D246)</f>
        <v>0.02734375</v>
      </c>
      <c r="C247" s="25" t="n">
        <f aca="false">IF(T246&gt;0,D246,C246)</f>
        <v>0.0390625</v>
      </c>
      <c r="D247" s="41" t="n">
        <f aca="false">(B247+C247)/2</f>
        <v>0.033203125</v>
      </c>
      <c r="E247" s="15" t="n">
        <f aca="false">$C$2*(1+IF(E$3&lt;=$O$2,$D247,$D247-($D247-$I$238)*MIN(E$3-$O$2,$Q$2)/$Q$2))</f>
        <v>6653.828125</v>
      </c>
      <c r="F247" s="15" t="n">
        <f aca="false">E247*(1+IF(F$3&lt;=$O$2,$D247,$D247-($D247-$I$238)*MIN(F$3-$O$2,$Q$2)/$Q$2))</f>
        <v>6874.75601196289</v>
      </c>
      <c r="G247" s="15" t="n">
        <f aca="false">F247*(1+IF(G$3&lt;=$O$2,$D247,$D247-($D247-$I$238)*MIN(G$3-$O$2,$Q$2)/$Q$2))</f>
        <v>7103.0193951726</v>
      </c>
      <c r="H247" s="15" t="n">
        <f aca="false">G247*(1+IF(H$3&lt;=$O$2,$D247,$D247-($D247-$I$238)*MIN(H$3-$O$2,$Q$2)/$Q$2))</f>
        <v>7338.86183602794</v>
      </c>
      <c r="I247" s="15" t="n">
        <f aca="false">H247*(1+IF(I$3&lt;=$O$2,$D247,$D247-($D247-$I$238)*MIN(I$3-$O$2,$Q$2)/$Q$2))</f>
        <v>7582.5349829273</v>
      </c>
      <c r="J247" s="15" t="n">
        <f aca="false">I247*(1+IF(J$3&lt;=$O$2,$D247,$D247-($D247-$I$238)*MIN(J$3-$O$2,$Q$2)/$Q$2))</f>
        <v>7826.86321641468</v>
      </c>
      <c r="K247" s="15" t="n">
        <f aca="false">J247*(1+IF(K$3&lt;=$O$2,$D247,$D247-($D247-$I$238)*MIN(K$3-$O$2,$Q$2)/$Q$2))</f>
        <v>8071.389098664</v>
      </c>
      <c r="L247" s="15" t="n">
        <f aca="false">K247*(1+IF(L$3&lt;=$O$2,$D247,$D247-($D247-$I$238)*MIN(L$3-$O$2,$Q$2)/$Q$2))</f>
        <v>8315.63942202595</v>
      </c>
      <c r="M247" s="15" t="n">
        <f aca="false">L247*(1+IF(M$3&lt;=$O$2,$D247,$D247-($D247-$I$238)*MIN(M$3-$O$2,$Q$2)/$Q$2))</f>
        <v>8559.12654157751</v>
      </c>
      <c r="N247" s="15" t="n">
        <f aca="false">M247*(1+IF(N$3&lt;=$O$2,$D247,$D247-($D247-$I$238)*MIN(N$3-$O$2,$Q$2)/$Q$2))</f>
        <v>8801.34982270415</v>
      </c>
      <c r="O247" s="15" t="n">
        <f aca="false">SUMPRODUCT(E247:N247,1/(1+$F$238)^$E$3:$N$3)*$E$2</f>
        <v>9693.86771763246</v>
      </c>
      <c r="P247" s="15" t="n">
        <f aca="false">N247*$E$2*(1+$I$238)/($F$238-$I$238)/(1+$F$238)^$N$3</f>
        <v>12408.5363702958</v>
      </c>
      <c r="Q247" s="15" t="n">
        <f aca="false">O247+P247</f>
        <v>22102.4040879282</v>
      </c>
      <c r="R247" s="15" t="n">
        <f aca="false">Q247-$G$2+$I$2</f>
        <v>16802.5040879282</v>
      </c>
      <c r="S247" s="42" t="n">
        <f aca="false">R247/$K$2</f>
        <v>143.02437936609</v>
      </c>
      <c r="T247" s="43" t="n">
        <f aca="false">S247-$M$2</f>
        <v>-4.14960769553764</v>
      </c>
    </row>
    <row r="248" customFormat="false" ht="15" hidden="false" customHeight="false" outlineLevel="0" collapsed="false">
      <c r="A248" s="5" t="n">
        <v>9</v>
      </c>
      <c r="B248" s="25" t="n">
        <f aca="false">IF(T247&gt;0,B247,D247)</f>
        <v>0.033203125</v>
      </c>
      <c r="C248" s="25" t="n">
        <f aca="false">IF(T247&gt;0,D247,C247)</f>
        <v>0.0390625</v>
      </c>
      <c r="D248" s="41" t="n">
        <f aca="false">(B248+C248)/2</f>
        <v>0.0361328125</v>
      </c>
      <c r="E248" s="15" t="n">
        <f aca="false">$C$2*(1+IF(E$3&lt;=$O$2,$D248,$D248-($D248-$I$238)*MIN(E$3-$O$2,$Q$2)/$Q$2))</f>
        <v>6672.6953125</v>
      </c>
      <c r="F248" s="15" t="n">
        <f aca="false">E248*(1+IF(F$3&lt;=$O$2,$D248,$D248-($D248-$I$238)*MIN(F$3-$O$2,$Q$2)/$Q$2))</f>
        <v>6913.79856109619</v>
      </c>
      <c r="G248" s="15" t="n">
        <f aca="false">F248*(1+IF(G$3&lt;=$O$2,$D248,$D248-($D248-$I$238)*MIN(G$3-$O$2,$Q$2)/$Q$2))</f>
        <v>7163.61354816705</v>
      </c>
      <c r="H248" s="15" t="n">
        <f aca="false">G248*(1+IF(H$3&lt;=$O$2,$D248,$D248-($D248-$I$238)*MIN(H$3-$O$2,$Q$2)/$Q$2))</f>
        <v>7422.45505332543</v>
      </c>
      <c r="I248" s="15" t="n">
        <f aca="false">H248*(1+IF(I$3&lt;=$O$2,$D248,$D248-($D248-$I$238)*MIN(I$3-$O$2,$Q$2)/$Q$2))</f>
        <v>7690.64923005692</v>
      </c>
      <c r="J248" s="15" t="n">
        <f aca="false">I248*(1+IF(J$3&lt;=$O$2,$D248,$D248-($D248-$I$238)*MIN(J$3-$O$2,$Q$2)/$Q$2))</f>
        <v>7956.48613400537</v>
      </c>
      <c r="K248" s="15" t="n">
        <f aca="false">J248*(1+IF(K$3&lt;=$O$2,$D248,$D248-($D248-$I$238)*MIN(K$3-$O$2,$Q$2)/$Q$2))</f>
        <v>8219.04769002563</v>
      </c>
      <c r="L248" s="15" t="n">
        <f aca="false">K248*(1+IF(L$3&lt;=$O$2,$D248,$D248-($D248-$I$238)*MIN(L$3-$O$2,$Q$2)/$Q$2))</f>
        <v>8477.39804344717</v>
      </c>
      <c r="M248" s="15" t="n">
        <f aca="false">L248*(1+IF(M$3&lt;=$O$2,$D248,$D248-($D248-$I$238)*MIN(M$3-$O$2,$Q$2)/$Q$2))</f>
        <v>8730.58878194916</v>
      </c>
      <c r="N248" s="15" t="n">
        <f aca="false">M248*(1+IF(N$3&lt;=$O$2,$D248,$D248-($D248-$I$238)*MIN(N$3-$O$2,$Q$2)/$Q$2))</f>
        <v>8977.66444447832</v>
      </c>
      <c r="O248" s="15" t="n">
        <f aca="false">SUMPRODUCT(E248:N248,1/(1+$F$238)^$E$3:$N$3)*$E$2</f>
        <v>9817.8264109334</v>
      </c>
      <c r="P248" s="15" t="n">
        <f aca="false">N248*$E$2*(1+$I$238)/($F$238-$I$238)/(1+$F$238)^$N$3</f>
        <v>12657.1126047338</v>
      </c>
      <c r="Q248" s="15" t="n">
        <f aca="false">O248+P248</f>
        <v>22474.9390156672</v>
      </c>
      <c r="R248" s="15" t="n">
        <f aca="false">Q248-$G$2+$I$2</f>
        <v>17175.0390156672</v>
      </c>
      <c r="S248" s="42" t="n">
        <f aca="false">R248/$K$2</f>
        <v>146.195429142554</v>
      </c>
      <c r="T248" s="43" t="n">
        <f aca="false">S248-$M$2</f>
        <v>-0.978557919073637</v>
      </c>
    </row>
    <row r="249" customFormat="false" ht="15" hidden="false" customHeight="false" outlineLevel="0" collapsed="false">
      <c r="A249" s="5" t="n">
        <v>10</v>
      </c>
      <c r="B249" s="25" t="n">
        <f aca="false">IF(T248&gt;0,B248,D248)</f>
        <v>0.0361328125</v>
      </c>
      <c r="C249" s="25" t="n">
        <f aca="false">IF(T248&gt;0,D248,C248)</f>
        <v>0.0390625</v>
      </c>
      <c r="D249" s="41" t="n">
        <f aca="false">(B249+C249)/2</f>
        <v>0.03759765625</v>
      </c>
      <c r="E249" s="15" t="n">
        <f aca="false">$C$2*(1+IF(E$3&lt;=$O$2,$D249,$D249-($D249-$I$238)*MIN(E$3-$O$2,$Q$2)/$Q$2))</f>
        <v>6682.12890625</v>
      </c>
      <c r="F249" s="15" t="n">
        <f aca="false">E249*(1+IF(F$3&lt;=$O$2,$D249,$D249-($D249-$I$238)*MIN(F$3-$O$2,$Q$2)/$Q$2))</f>
        <v>6933.36129188538</v>
      </c>
      <c r="G249" s="15" t="n">
        <f aca="false">F249*(1+IF(G$3&lt;=$O$2,$D249,$D249-($D249-$I$238)*MIN(G$3-$O$2,$Q$2)/$Q$2))</f>
        <v>7194.03942639474</v>
      </c>
      <c r="H249" s="15" t="n">
        <f aca="false">G249*(1+IF(H$3&lt;=$O$2,$D249,$D249-($D249-$I$238)*MIN(H$3-$O$2,$Q$2)/$Q$2))</f>
        <v>7464.51844779727</v>
      </c>
      <c r="I249" s="15" t="n">
        <f aca="false">H249*(1+IF(I$3&lt;=$O$2,$D249,$D249-($D249-$I$238)*MIN(I$3-$O$2,$Q$2)/$Q$2))</f>
        <v>7745.16684646934</v>
      </c>
      <c r="J249" s="15" t="n">
        <f aca="false">I249*(1+IF(J$3&lt;=$O$2,$D249,$D249-($D249-$I$238)*MIN(J$3-$O$2,$Q$2)/$Q$2))</f>
        <v>8021.96458737432</v>
      </c>
      <c r="K249" s="15" t="n">
        <f aca="false">J249*(1+IF(K$3&lt;=$O$2,$D249,$D249-($D249-$I$238)*MIN(K$3-$O$2,$Q$2)/$Q$2))</f>
        <v>8293.73746670686</v>
      </c>
      <c r="L249" s="15" t="n">
        <f aca="false">K249*(1+IF(L$3&lt;=$O$2,$D249,$D249-($D249-$I$238)*MIN(L$3-$O$2,$Q$2)/$Q$2))</f>
        <v>8559.29516501194</v>
      </c>
      <c r="M249" s="15" t="n">
        <f aca="false">L249*(1+IF(M$3&lt;=$O$2,$D249,$D249-($D249-$I$238)*MIN(M$3-$O$2,$Q$2)/$Q$2))</f>
        <v>8817.43949501909</v>
      </c>
      <c r="N249" s="15" t="n">
        <f aca="false">M249*(1+IF(N$3&lt;=$O$2,$D249,$D249-($D249-$I$238)*MIN(N$3-$O$2,$Q$2)/$Q$2))</f>
        <v>9066.97303272813</v>
      </c>
      <c r="O249" s="15" t="n">
        <f aca="false">SUMPRODUCT(E249:N249,1/(1+$F$238)^$E$3:$N$3)*$E$2</f>
        <v>9880.40715443673</v>
      </c>
      <c r="P249" s="15" t="n">
        <f aca="false">N249*$E$2*(1+$I$238)/($F$238-$I$238)/(1+$F$238)^$N$3</f>
        <v>12783.023844237</v>
      </c>
      <c r="Q249" s="15" t="n">
        <f aca="false">O249+P249</f>
        <v>22663.4309986737</v>
      </c>
      <c r="R249" s="15" t="n">
        <f aca="false">Q249-$G$2+$I$2</f>
        <v>17363.5309986737</v>
      </c>
      <c r="S249" s="42" t="n">
        <f aca="false">R249/$K$2</f>
        <v>147.799889331577</v>
      </c>
      <c r="T249" s="43" t="n">
        <f aca="false">S249-$M$2</f>
        <v>0.625902269949762</v>
      </c>
    </row>
    <row r="250" customFormat="false" ht="15" hidden="false" customHeight="false" outlineLevel="0" collapsed="false">
      <c r="A250" s="5" t="n">
        <v>11</v>
      </c>
      <c r="B250" s="25" t="n">
        <f aca="false">IF(T249&gt;0,B249,D249)</f>
        <v>0.0361328125</v>
      </c>
      <c r="C250" s="25" t="n">
        <f aca="false">IF(T249&gt;0,D249,C249)</f>
        <v>0.03759765625</v>
      </c>
      <c r="D250" s="41" t="n">
        <f aca="false">(B250+C250)/2</f>
        <v>0.036865234375</v>
      </c>
      <c r="E250" s="15" t="n">
        <f aca="false">$C$2*(1+IF(E$3&lt;=$O$2,$D250,$D250-($D250-$I$238)*MIN(E$3-$O$2,$Q$2)/$Q$2))</f>
        <v>6677.412109375</v>
      </c>
      <c r="F250" s="15" t="n">
        <f aca="false">E250*(1+IF(F$3&lt;=$O$2,$D250,$D250-($D250-$I$238)*MIN(F$3-$O$2,$Q$2)/$Q$2))</f>
        <v>6923.57647180557</v>
      </c>
      <c r="G250" s="15" t="n">
        <f aca="false">F250*(1+IF(G$3&lt;=$O$2,$D250,$D250-($D250-$I$238)*MIN(G$3-$O$2,$Q$2)/$Q$2))</f>
        <v>7178.81574115192</v>
      </c>
      <c r="H250" s="15" t="n">
        <f aca="false">G250*(1+IF(H$3&lt;=$O$2,$D250,$D250-($D250-$I$238)*MIN(H$3-$O$2,$Q$2)/$Q$2))</f>
        <v>7443.46446598443</v>
      </c>
      <c r="I250" s="15" t="n">
        <f aca="false">H250*(1+IF(I$3&lt;=$O$2,$D250,$D250-($D250-$I$238)*MIN(I$3-$O$2,$Q$2)/$Q$2))</f>
        <v>7717.86952808493</v>
      </c>
      <c r="J250" s="15" t="n">
        <f aca="false">I250*(1+IF(J$3&lt;=$O$2,$D250,$D250-($D250-$I$238)*MIN(J$3-$O$2,$Q$2)/$Q$2))</f>
        <v>7989.1695248367</v>
      </c>
      <c r="K250" s="15" t="n">
        <f aca="false">J250*(1+IF(K$3&lt;=$O$2,$D250,$D250-($D250-$I$238)*MIN(K$3-$O$2,$Q$2)/$Q$2))</f>
        <v>8256.32048805468</v>
      </c>
      <c r="L250" s="15" t="n">
        <f aca="false">K250*(1+IF(L$3&lt;=$O$2,$D250,$D250-($D250-$I$238)*MIN(L$3-$O$2,$Q$2)/$Q$2))</f>
        <v>8518.26128588875</v>
      </c>
      <c r="M250" s="15" t="n">
        <f aca="false">L250*(1+IF(M$3&lt;=$O$2,$D250,$D250-($D250-$I$238)*MIN(M$3-$O$2,$Q$2)/$Q$2))</f>
        <v>8773.92026115563</v>
      </c>
      <c r="N250" s="15" t="n">
        <f aca="false">M250*(1+IF(N$3&lt;=$O$2,$D250,$D250-($D250-$I$238)*MIN(N$3-$O$2,$Q$2)/$Q$2))</f>
        <v>9022.22220454633</v>
      </c>
      <c r="O250" s="15" t="n">
        <f aca="false">SUMPRODUCT(E250:N250,1/(1+$F$238)^$E$3:$N$3)*$E$2</f>
        <v>9849.06641314951</v>
      </c>
      <c r="P250" s="15" t="n">
        <f aca="false">N250*$E$2*(1+$I$238)/($F$238-$I$238)/(1+$F$238)^$N$3</f>
        <v>12719.9321264573</v>
      </c>
      <c r="Q250" s="15" t="n">
        <f aca="false">O250+P250</f>
        <v>22568.9985396068</v>
      </c>
      <c r="R250" s="15" t="n">
        <f aca="false">Q250-$G$2+$I$2</f>
        <v>17269.0985396068</v>
      </c>
      <c r="S250" s="42" t="n">
        <f aca="false">R250/$K$2</f>
        <v>146.99607200891</v>
      </c>
      <c r="T250" s="43" t="n">
        <f aca="false">S250-$M$2</f>
        <v>-0.177915052717424</v>
      </c>
    </row>
    <row r="251" customFormat="false" ht="15" hidden="false" customHeight="false" outlineLevel="0" collapsed="false">
      <c r="A251" s="5" t="n">
        <v>12</v>
      </c>
      <c r="B251" s="25" t="n">
        <f aca="false">IF(T250&gt;0,B250,D250)</f>
        <v>0.036865234375</v>
      </c>
      <c r="C251" s="25" t="n">
        <f aca="false">IF(T250&gt;0,D250,C250)</f>
        <v>0.03759765625</v>
      </c>
      <c r="D251" s="41" t="n">
        <f aca="false">(B251+C251)/2</f>
        <v>0.0372314453125</v>
      </c>
      <c r="E251" s="15" t="n">
        <f aca="false">$C$2*(1+IF(E$3&lt;=$O$2,$D251,$D251-($D251-$I$238)*MIN(E$3-$O$2,$Q$2)/$Q$2))</f>
        <v>6679.7705078125</v>
      </c>
      <c r="F251" s="15" t="n">
        <f aca="false">E251*(1+IF(F$3&lt;=$O$2,$D251,$D251-($D251-$I$238)*MIN(F$3-$O$2,$Q$2)/$Q$2))</f>
        <v>6928.46801817417</v>
      </c>
      <c r="G251" s="15" t="n">
        <f aca="false">F251*(1+IF(G$3&lt;=$O$2,$D251,$D251-($D251-$I$238)*MIN(G$3-$O$2,$Q$2)/$Q$2))</f>
        <v>7186.42489629223</v>
      </c>
      <c r="H251" s="15" t="n">
        <f aca="false">G251*(1+IF(H$3&lt;=$O$2,$D251,$D251-($D251-$I$238)*MIN(H$3-$O$2,$Q$2)/$Q$2))</f>
        <v>7453.98588181092</v>
      </c>
      <c r="I251" s="15" t="n">
        <f aca="false">H251*(1+IF(I$3&lt;=$O$2,$D251,$D251-($D251-$I$238)*MIN(I$3-$O$2,$Q$2)/$Q$2))</f>
        <v>7731.50854952971</v>
      </c>
      <c r="J251" s="15" t="n">
        <f aca="false">I251*(1+IF(J$3&lt;=$O$2,$D251,$D251-($D251-$I$238)*MIN(J$3-$O$2,$Q$2)/$Q$2))</f>
        <v>8005.553078116</v>
      </c>
      <c r="K251" s="15" t="n">
        <f aca="false">J251*(1+IF(K$3&lt;=$O$2,$D251,$D251-($D251-$I$238)*MIN(K$3-$O$2,$Q$2)/$Q$2))</f>
        <v>8275.01092593479</v>
      </c>
      <c r="L251" s="15" t="n">
        <f aca="false">K251*(1+IF(L$3&lt;=$O$2,$D251,$D251-($D251-$I$238)*MIN(L$3-$O$2,$Q$2)/$Q$2))</f>
        <v>8538.75685815688</v>
      </c>
      <c r="M251" s="15" t="n">
        <f aca="false">L251*(1+IF(M$3&lt;=$O$2,$D251,$D251-($D251-$I$238)*MIN(M$3-$O$2,$Q$2)/$Q$2))</f>
        <v>8795.65636522579</v>
      </c>
      <c r="N251" s="15" t="n">
        <f aca="false">M251*(1+IF(N$3&lt;=$O$2,$D251,$D251-($D251-$I$238)*MIN(N$3-$O$2,$Q$2)/$Q$2))</f>
        <v>9044.57344036168</v>
      </c>
      <c r="O251" s="15" t="n">
        <f aca="false">SUMPRODUCT(E251:N251,1/(1+$F$238)^$E$3:$N$3)*$E$2</f>
        <v>9864.72417235552</v>
      </c>
      <c r="P251" s="15" t="n">
        <f aca="false">N251*$E$2*(1+$I$238)/($F$238-$I$238)/(1+$F$238)^$N$3</f>
        <v>12751.4438977336</v>
      </c>
      <c r="Q251" s="15" t="n">
        <f aca="false">O251+P251</f>
        <v>22616.1680700891</v>
      </c>
      <c r="R251" s="15" t="n">
        <f aca="false">Q251-$G$2+$I$2</f>
        <v>17316.2680700891</v>
      </c>
      <c r="S251" s="42" t="n">
        <f aca="false">R251/$K$2</f>
        <v>147.39758316385</v>
      </c>
      <c r="T251" s="43" t="n">
        <f aca="false">S251-$M$2</f>
        <v>0.223596102222245</v>
      </c>
    </row>
    <row r="252" customFormat="false" ht="15" hidden="false" customHeight="false" outlineLevel="0" collapsed="false">
      <c r="A252" s="5" t="n">
        <v>13</v>
      </c>
      <c r="B252" s="25" t="n">
        <f aca="false">IF(T251&gt;0,B251,D251)</f>
        <v>0.036865234375</v>
      </c>
      <c r="C252" s="25" t="n">
        <f aca="false">IF(T251&gt;0,D251,C251)</f>
        <v>0.0372314453125</v>
      </c>
      <c r="D252" s="41" t="n">
        <f aca="false">(B252+C252)/2</f>
        <v>0.03704833984375</v>
      </c>
      <c r="E252" s="15" t="n">
        <f aca="false">$C$2*(1+IF(E$3&lt;=$O$2,$D252,$D252-($D252-$I$238)*MIN(E$3-$O$2,$Q$2)/$Q$2))</f>
        <v>6678.59130859375</v>
      </c>
      <c r="F252" s="15" t="n">
        <f aca="false">E252*(1+IF(F$3&lt;=$O$2,$D252,$D252-($D252-$I$238)*MIN(F$3-$O$2,$Q$2)/$Q$2))</f>
        <v>6926.02202907205</v>
      </c>
      <c r="G252" s="15" t="n">
        <f aca="false">F252*(1+IF(G$3&lt;=$O$2,$D252,$D252-($D252-$I$238)*MIN(G$3-$O$2,$Q$2)/$Q$2))</f>
        <v>7182.61964697041</v>
      </c>
      <c r="H252" s="15" t="n">
        <f aca="false">G252*(1+IF(H$3&lt;=$O$2,$D252,$D252-($D252-$I$238)*MIN(H$3-$O$2,$Q$2)/$Q$2))</f>
        <v>7448.72378061976</v>
      </c>
      <c r="I252" s="15" t="n">
        <f aca="false">H252*(1+IF(I$3&lt;=$O$2,$D252,$D252-($D252-$I$238)*MIN(I$3-$O$2,$Q$2)/$Q$2))</f>
        <v>7724.68663064639</v>
      </c>
      <c r="J252" s="15" t="n">
        <f aca="false">I252*(1+IF(J$3&lt;=$O$2,$D252,$D252-($D252-$I$238)*MIN(J$3-$O$2,$Q$2)/$Q$2))</f>
        <v>7997.35780935877</v>
      </c>
      <c r="K252" s="15" t="n">
        <f aca="false">J252*(1+IF(K$3&lt;=$O$2,$D252,$D252-($D252-$I$238)*MIN(K$3-$O$2,$Q$2)/$Q$2))</f>
        <v>8265.66119774463</v>
      </c>
      <c r="L252" s="15" t="n">
        <f aca="false">K252*(1+IF(L$3&lt;=$O$2,$D252,$D252-($D252-$I$238)*MIN(L$3-$O$2,$Q$2)/$Q$2))</f>
        <v>8528.50373491727</v>
      </c>
      <c r="M252" s="15" t="n">
        <f aca="false">L252*(1+IF(M$3&lt;=$O$2,$D252,$D252-($D252-$I$238)*MIN(M$3-$O$2,$Q$2)/$Q$2))</f>
        <v>8784.78244042177</v>
      </c>
      <c r="N252" s="15" t="n">
        <f aca="false">M252*(1+IF(N$3&lt;=$O$2,$D252,$D252-($D252-$I$238)*MIN(N$3-$O$2,$Q$2)/$Q$2))</f>
        <v>9033.39178348571</v>
      </c>
      <c r="O252" s="15" t="n">
        <f aca="false">SUMPRODUCT(E252:N252,1/(1+$F$238)^$E$3:$N$3)*$E$2</f>
        <v>9856.89214227679</v>
      </c>
      <c r="P252" s="15" t="n">
        <f aca="false">N252*$E$2*(1+$I$238)/($F$238-$I$238)/(1+$F$238)^$N$3</f>
        <v>12735.679498088</v>
      </c>
      <c r="Q252" s="15" t="n">
        <f aca="false">O252+P252</f>
        <v>22592.5716403648</v>
      </c>
      <c r="R252" s="15" t="n">
        <f aca="false">Q252-$G$2+$I$2</f>
        <v>17292.6716403648</v>
      </c>
      <c r="S252" s="42" t="n">
        <f aca="false">R252/$K$2</f>
        <v>147.196728297283</v>
      </c>
      <c r="T252" s="43" t="n">
        <f aca="false">S252-$M$2</f>
        <v>0.0227412356551042</v>
      </c>
    </row>
    <row r="253" customFormat="false" ht="15" hidden="false" customHeight="false" outlineLevel="0" collapsed="false">
      <c r="A253" s="5" t="n">
        <v>14</v>
      </c>
      <c r="B253" s="25" t="n">
        <f aca="false">IF(T252&gt;0,B252,D252)</f>
        <v>0.036865234375</v>
      </c>
      <c r="C253" s="25" t="n">
        <f aca="false">IF(T252&gt;0,D252,C252)</f>
        <v>0.03704833984375</v>
      </c>
      <c r="D253" s="41" t="n">
        <f aca="false">(B253+C253)/2</f>
        <v>0.036956787109375</v>
      </c>
      <c r="E253" s="15" t="n">
        <f aca="false">$C$2*(1+IF(E$3&lt;=$O$2,$D253,$D253-($D253-$I$238)*MIN(E$3-$O$2,$Q$2)/$Q$2))</f>
        <v>6678.00170898438</v>
      </c>
      <c r="F253" s="15" t="n">
        <f aca="false">E253*(1+IF(F$3&lt;=$O$2,$D253,$D253-($D253-$I$238)*MIN(F$3-$O$2,$Q$2)/$Q$2))</f>
        <v>6924.79919645935</v>
      </c>
      <c r="G253" s="15" t="n">
        <f aca="false">F253*(1+IF(G$3&lt;=$O$2,$D253,$D253-($D253-$I$238)*MIN(G$3-$O$2,$Q$2)/$Q$2))</f>
        <v>7180.71752613807</v>
      </c>
      <c r="H253" s="15" t="n">
        <f aca="false">G253*(1+IF(H$3&lt;=$O$2,$D253,$D253-($D253-$I$238)*MIN(H$3-$O$2,$Q$2)/$Q$2))</f>
        <v>7446.09377504412</v>
      </c>
      <c r="I253" s="15" t="n">
        <f aca="false">H253*(1+IF(I$3&lt;=$O$2,$D253,$D253-($D253-$I$238)*MIN(I$3-$O$2,$Q$2)/$Q$2))</f>
        <v>7721.27747748486</v>
      </c>
      <c r="J253" s="15" t="n">
        <f aca="false">I253*(1+IF(J$3&lt;=$O$2,$D253,$D253-($D253-$I$238)*MIN(J$3-$O$2,$Q$2)/$Q$2))</f>
        <v>7993.26279436568</v>
      </c>
      <c r="K253" s="15" t="n">
        <f aca="false">J253*(1+IF(K$3&lt;=$O$2,$D253,$D253-($D253-$I$238)*MIN(K$3-$O$2,$Q$2)/$Q$2))</f>
        <v>8260.9897160383</v>
      </c>
      <c r="L253" s="15" t="n">
        <f aca="false">K253*(1+IF(L$3&lt;=$O$2,$D253,$D253-($D253-$I$238)*MIN(L$3-$O$2,$Q$2)/$Q$2))</f>
        <v>8523.38117671598</v>
      </c>
      <c r="M253" s="15" t="n">
        <f aca="false">L253*(1+IF(M$3&lt;=$O$2,$D253,$D253-($D253-$I$238)*MIN(M$3-$O$2,$Q$2)/$Q$2))</f>
        <v>8779.34988327682</v>
      </c>
      <c r="N253" s="15" t="n">
        <f aca="false">M253*(1+IF(N$3&lt;=$O$2,$D253,$D253-($D253-$I$238)*MIN(N$3-$O$2,$Q$2)/$Q$2))</f>
        <v>9027.80548497355</v>
      </c>
      <c r="O253" s="15" t="n">
        <f aca="false">SUMPRODUCT(E253:N253,1/(1+$F$238)^$E$3:$N$3)*$E$2</f>
        <v>9852.978490392</v>
      </c>
      <c r="P253" s="15" t="n">
        <f aca="false">N253*$E$2*(1+$I$238)/($F$238-$I$238)/(1+$F$238)^$N$3</f>
        <v>12727.8036847571</v>
      </c>
      <c r="Q253" s="15" t="n">
        <f aca="false">O253+P253</f>
        <v>22580.7821751491</v>
      </c>
      <c r="R253" s="15" t="n">
        <f aca="false">Q253-$G$2+$I$2</f>
        <v>17280.8821751491</v>
      </c>
      <c r="S253" s="42" t="n">
        <f aca="false">R253/$K$2</f>
        <v>147.096375341753</v>
      </c>
      <c r="T253" s="43" t="n">
        <f aca="false">S253-$M$2</f>
        <v>-0.077611719874966</v>
      </c>
    </row>
    <row r="254" customFormat="false" ht="15" hidden="false" customHeight="false" outlineLevel="0" collapsed="false">
      <c r="A254" s="5" t="n">
        <v>15</v>
      </c>
      <c r="B254" s="25" t="n">
        <f aca="false">IF(T253&gt;0,B253,D253)</f>
        <v>0.036956787109375</v>
      </c>
      <c r="C254" s="25" t="n">
        <f aca="false">IF(T253&gt;0,D253,C253)</f>
        <v>0.03704833984375</v>
      </c>
      <c r="D254" s="41" t="n">
        <f aca="false">(B254+C254)/2</f>
        <v>0.0370025634765625</v>
      </c>
      <c r="E254" s="15" t="n">
        <f aca="false">$C$2*(1+IF(E$3&lt;=$O$2,$D254,$D254-($D254-$I$238)*MIN(E$3-$O$2,$Q$2)/$Q$2))</f>
        <v>6678.29650878906</v>
      </c>
      <c r="F254" s="15" t="n">
        <f aca="false">E254*(1+IF(F$3&lt;=$O$2,$D254,$D254-($D254-$I$238)*MIN(F$3-$O$2,$Q$2)/$Q$2))</f>
        <v>6925.41059927084</v>
      </c>
      <c r="G254" s="15" t="n">
        <f aca="false">F254*(1+IF(G$3&lt;=$O$2,$D254,$D254-($D254-$I$238)*MIN(G$3-$O$2,$Q$2)/$Q$2))</f>
        <v>7181.66854457161</v>
      </c>
      <c r="H254" s="15" t="n">
        <f aca="false">G254*(1+IF(H$3&lt;=$O$2,$D254,$D254-($D254-$I$238)*MIN(H$3-$O$2,$Q$2)/$Q$2))</f>
        <v>7447.40869075976</v>
      </c>
      <c r="I254" s="15" t="n">
        <f aca="false">H254*(1+IF(I$3&lt;=$O$2,$D254,$D254-($D254-$I$238)*MIN(I$3-$O$2,$Q$2)/$Q$2))</f>
        <v>7722.9819035755</v>
      </c>
      <c r="J254" s="15" t="n">
        <f aca="false">I254*(1+IF(J$3&lt;=$O$2,$D254,$D254-($D254-$I$238)*MIN(J$3-$O$2,$Q$2)/$Q$2))</f>
        <v>7995.31008364205</v>
      </c>
      <c r="K254" s="15" t="n">
        <f aca="false">J254*(1+IF(K$3&lt;=$O$2,$D254,$D254-($D254-$I$238)*MIN(K$3-$O$2,$Q$2)/$Q$2))</f>
        <v>8263.32517511974</v>
      </c>
      <c r="L254" s="15" t="n">
        <f aca="false">K254*(1+IF(L$3&lt;=$O$2,$D254,$D254-($D254-$I$238)*MIN(L$3-$O$2,$Q$2)/$Q$2))</f>
        <v>8525.94212232121</v>
      </c>
      <c r="M254" s="15" t="n">
        <f aca="false">L254*(1+IF(M$3&lt;=$O$2,$D254,$D254-($D254-$I$238)*MIN(M$3-$O$2,$Q$2)/$Q$2))</f>
        <v>8782.0657948863</v>
      </c>
      <c r="N254" s="15" t="n">
        <f aca="false">M254*(1+IF(N$3&lt;=$O$2,$D254,$D254-($D254-$I$238)*MIN(N$3-$O$2,$Q$2)/$Q$2))</f>
        <v>9030.59825688158</v>
      </c>
      <c r="O254" s="15" t="n">
        <f aca="false">SUMPRODUCT(E254:N254,1/(1+$F$238)^$E$3:$N$3)*$E$2</f>
        <v>9854.93511946689</v>
      </c>
      <c r="P254" s="15" t="n">
        <f aca="false">N254*$E$2*(1+$I$238)/($F$238-$I$238)/(1+$F$238)^$N$3</f>
        <v>12731.7410594204</v>
      </c>
      <c r="Q254" s="15" t="n">
        <f aca="false">O254+P254</f>
        <v>22586.6761788873</v>
      </c>
      <c r="R254" s="15" t="n">
        <f aca="false">Q254-$G$2+$I$2</f>
        <v>17286.7761788873</v>
      </c>
      <c r="S254" s="42" t="n">
        <f aca="false">R254/$K$2</f>
        <v>147.146545615316</v>
      </c>
      <c r="T254" s="43" t="n">
        <f aca="false">S254-$M$2</f>
        <v>-0.0274414463118831</v>
      </c>
    </row>
    <row r="255" customFormat="false" ht="15" hidden="false" customHeight="false" outlineLevel="0" collapsed="false">
      <c r="A255" s="5" t="n">
        <v>16</v>
      </c>
      <c r="B255" s="25" t="n">
        <f aca="false">IF(T254&gt;0,B254,D254)</f>
        <v>0.0370025634765625</v>
      </c>
      <c r="C255" s="25" t="n">
        <f aca="false">IF(T254&gt;0,D254,C254)</f>
        <v>0.03704833984375</v>
      </c>
      <c r="D255" s="41" t="n">
        <f aca="false">(B255+C255)/2</f>
        <v>0.0370254516601563</v>
      </c>
      <c r="E255" s="15" t="n">
        <f aca="false">$C$2*(1+IF(E$3&lt;=$O$2,$D255,$D255-($D255-$I$238)*MIN(E$3-$O$2,$Q$2)/$Q$2))</f>
        <v>6678.44390869141</v>
      </c>
      <c r="F255" s="15" t="n">
        <f aca="false">E255*(1+IF(F$3&lt;=$O$2,$D255,$D255-($D255-$I$238)*MIN(F$3-$O$2,$Q$2)/$Q$2))</f>
        <v>6925.71631079773</v>
      </c>
      <c r="G255" s="15" t="n">
        <f aca="false">F255*(1+IF(G$3&lt;=$O$2,$D255,$D255-($D255-$I$238)*MIN(G$3-$O$2,$Q$2)/$Q$2))</f>
        <v>7182.14408527512</v>
      </c>
      <c r="H255" s="15" t="n">
        <f aca="false">G255*(1+IF(H$3&lt;=$O$2,$D255,$D255-($D255-$I$238)*MIN(H$3-$O$2,$Q$2)/$Q$2))</f>
        <v>7448.06621392075</v>
      </c>
      <c r="I255" s="15" t="n">
        <f aca="false">H255*(1+IF(I$3&lt;=$O$2,$D255,$D255-($D255-$I$238)*MIN(I$3-$O$2,$Q$2)/$Q$2))</f>
        <v>7723.83422948592</v>
      </c>
      <c r="J255" s="15" t="n">
        <f aca="false">I255*(1+IF(J$3&lt;=$O$2,$D255,$D255-($D255-$I$238)*MIN(J$3-$O$2,$Q$2)/$Q$2))</f>
        <v>7996.33389194072</v>
      </c>
      <c r="K255" s="15" t="n">
        <f aca="false">J255*(1+IF(K$3&lt;=$O$2,$D255,$D255-($D255-$I$238)*MIN(K$3-$O$2,$Q$2)/$Q$2))</f>
        <v>8264.4931159822</v>
      </c>
      <c r="L255" s="15" t="n">
        <f aca="false">K255*(1+IF(L$3&lt;=$O$2,$D255,$D255-($D255-$I$238)*MIN(L$3-$O$2,$Q$2)/$Q$2))</f>
        <v>8527.22284523618</v>
      </c>
      <c r="M255" s="15" t="n">
        <f aca="false">L255*(1+IF(M$3&lt;=$O$2,$D255,$D255-($D255-$I$238)*MIN(M$3-$O$2,$Q$2)/$Q$2))</f>
        <v>8783.42402590266</v>
      </c>
      <c r="N255" s="15" t="n">
        <f aca="false">M255*(1+IF(N$3&lt;=$O$2,$D255,$D255-($D255-$I$238)*MIN(N$3-$O$2,$Q$2)/$Q$2))</f>
        <v>9031.99492583571</v>
      </c>
      <c r="O255" s="15" t="n">
        <f aca="false">SUMPRODUCT(E255:N255,1/(1+$F$238)^$E$3:$N$3)*$E$2</f>
        <v>9855.91358165031</v>
      </c>
      <c r="P255" s="15" t="n">
        <f aca="false">N255*$E$2*(1+$I$238)/($F$238-$I$238)/(1+$F$238)^$N$3</f>
        <v>12733.7101457382</v>
      </c>
      <c r="Q255" s="15" t="n">
        <f aca="false">O255+P255</f>
        <v>22589.6237273886</v>
      </c>
      <c r="R255" s="15" t="n">
        <f aca="false">Q255-$G$2+$I$2</f>
        <v>17289.7237273886</v>
      </c>
      <c r="S255" s="42" t="n">
        <f aca="false">R255/$K$2</f>
        <v>147.171635405078</v>
      </c>
      <c r="T255" s="43" t="n">
        <f aca="false">S255-$M$2</f>
        <v>-0.00235165654962088</v>
      </c>
    </row>
    <row r="256" customFormat="false" ht="15" hidden="false" customHeight="false" outlineLevel="0" collapsed="false">
      <c r="A256" s="5" t="n">
        <v>17</v>
      </c>
      <c r="B256" s="25" t="n">
        <f aca="false">IF(T255&gt;0,B255,D255)</f>
        <v>0.0370254516601563</v>
      </c>
      <c r="C256" s="25" t="n">
        <f aca="false">IF(T255&gt;0,D255,C255)</f>
        <v>0.03704833984375</v>
      </c>
      <c r="D256" s="41" t="n">
        <f aca="false">(B256+C256)/2</f>
        <v>0.0370368957519531</v>
      </c>
      <c r="E256" s="15" t="n">
        <f aca="false">$C$2*(1+IF(E$3&lt;=$O$2,$D256,$D256-($D256-$I$238)*MIN(E$3-$O$2,$Q$2)/$Q$2))</f>
        <v>6678.51760864258</v>
      </c>
      <c r="F256" s="15" t="n">
        <f aca="false">E256*(1+IF(F$3&lt;=$O$2,$D256,$D256-($D256-$I$238)*MIN(F$3-$O$2,$Q$2)/$Q$2))</f>
        <v>6925.86916909146</v>
      </c>
      <c r="G256" s="15" t="n">
        <f aca="false">F256*(1+IF(G$3&lt;=$O$2,$D256,$D256-($D256-$I$238)*MIN(G$3-$O$2,$Q$2)/$Q$2))</f>
        <v>7182.38186349876</v>
      </c>
      <c r="H256" s="15" t="n">
        <f aca="false">G256*(1+IF(H$3&lt;=$O$2,$D256,$D256-($D256-$I$238)*MIN(H$3-$O$2,$Q$2)/$Q$2))</f>
        <v>7448.39499182789</v>
      </c>
      <c r="I256" s="15" t="n">
        <f aca="false">H256*(1+IF(I$3&lt;=$O$2,$D256,$D256-($D256-$I$238)*MIN(I$3-$O$2,$Q$2)/$Q$2))</f>
        <v>7724.26042065958</v>
      </c>
      <c r="J256" s="15" t="n">
        <f aca="false">I256*(1+IF(J$3&lt;=$O$2,$D256,$D256-($D256-$I$238)*MIN(J$3-$O$2,$Q$2)/$Q$2))</f>
        <v>7996.84583700924</v>
      </c>
      <c r="K256" s="15" t="n">
        <f aca="false">J256*(1+IF(K$3&lt;=$O$2,$D256,$D256-($D256-$I$238)*MIN(K$3-$O$2,$Q$2)/$Q$2))</f>
        <v>8265.07713925004</v>
      </c>
      <c r="L256" s="15" t="n">
        <f aca="false">K256*(1+IF(L$3&lt;=$O$2,$D256,$D256-($D256-$I$238)*MIN(L$3-$O$2,$Q$2)/$Q$2))</f>
        <v>8527.86326922981</v>
      </c>
      <c r="M256" s="15" t="n">
        <f aca="false">L256*(1+IF(M$3&lt;=$O$2,$D256,$D256-($D256-$I$238)*MIN(M$3-$O$2,$Q$2)/$Q$2))</f>
        <v>8784.10321022304</v>
      </c>
      <c r="N256" s="15" t="n">
        <f aca="false">M256*(1+IF(N$3&lt;=$O$2,$D256,$D256-($D256-$I$238)*MIN(N$3-$O$2,$Q$2)/$Q$2))</f>
        <v>9032.69333107235</v>
      </c>
      <c r="O256" s="15" t="n">
        <f aca="false">SUMPRODUCT(E256:N256,1/(1+$F$238)^$E$3:$N$3)*$E$2</f>
        <v>9856.40284965759</v>
      </c>
      <c r="P256" s="15" t="n">
        <f aca="false">N256*$E$2*(1+$I$238)/($F$238-$I$238)/(1+$F$238)^$N$3</f>
        <v>12734.6947886572</v>
      </c>
      <c r="Q256" s="15" t="n">
        <f aca="false">O256+P256</f>
        <v>22591.0976383148</v>
      </c>
      <c r="R256" s="15" t="n">
        <f aca="false">Q256-$G$2+$I$2</f>
        <v>17291.1976383148</v>
      </c>
      <c r="S256" s="42" t="n">
        <f aca="false">R256/$K$2</f>
        <v>147.184181463354</v>
      </c>
      <c r="T256" s="43" t="n">
        <f aca="false">S256-$M$2</f>
        <v>0.0101944017260394</v>
      </c>
    </row>
    <row r="257" customFormat="false" ht="15" hidden="false" customHeight="false" outlineLevel="0" collapsed="false">
      <c r="A257" s="5" t="n">
        <v>18</v>
      </c>
      <c r="B257" s="25" t="n">
        <f aca="false">IF(T256&gt;0,B256,D256)</f>
        <v>0.0370254516601563</v>
      </c>
      <c r="C257" s="25" t="n">
        <f aca="false">IF(T256&gt;0,D256,C256)</f>
        <v>0.0370368957519531</v>
      </c>
      <c r="D257" s="41" t="n">
        <f aca="false">(B257+C257)/2</f>
        <v>0.0370311737060547</v>
      </c>
      <c r="E257" s="15" t="n">
        <f aca="false">$C$2*(1+IF(E$3&lt;=$O$2,$D257,$D257-($D257-$I$238)*MIN(E$3-$O$2,$Q$2)/$Q$2))</f>
        <v>6678.48075866699</v>
      </c>
      <c r="F257" s="15" t="n">
        <f aca="false">E257*(1+IF(F$3&lt;=$O$2,$D257,$D257-($D257-$I$238)*MIN(F$3-$O$2,$Q$2)/$Q$2))</f>
        <v>6925.79273973373</v>
      </c>
      <c r="G257" s="15" t="n">
        <f aca="false">F257*(1+IF(G$3&lt;=$O$2,$D257,$D257-($D257-$I$238)*MIN(G$3-$O$2,$Q$2)/$Q$2))</f>
        <v>7182.26297373095</v>
      </c>
      <c r="H257" s="15" t="n">
        <f aca="false">G257*(1+IF(H$3&lt;=$O$2,$D257,$D257-($D257-$I$238)*MIN(H$3-$O$2,$Q$2)/$Q$2))</f>
        <v>7448.23060151374</v>
      </c>
      <c r="I257" s="15" t="n">
        <f aca="false">H257*(1+IF(I$3&lt;=$O$2,$D257,$D257-($D257-$I$238)*MIN(I$3-$O$2,$Q$2)/$Q$2))</f>
        <v>7724.04732272115</v>
      </c>
      <c r="J257" s="15" t="n">
        <f aca="false">I257*(1+IF(J$3&lt;=$O$2,$D257,$D257-($D257-$I$238)*MIN(J$3-$O$2,$Q$2)/$Q$2))</f>
        <v>7996.58986106493</v>
      </c>
      <c r="K257" s="15" t="n">
        <f aca="false">J257*(1+IF(K$3&lt;=$O$2,$D257,$D257-($D257-$I$238)*MIN(K$3-$O$2,$Q$2)/$Q$2))</f>
        <v>8264.78512321289</v>
      </c>
      <c r="L257" s="15" t="n">
        <f aca="false">K257*(1+IF(L$3&lt;=$O$2,$D257,$D257-($D257-$I$238)*MIN(L$3-$O$2,$Q$2)/$Q$2))</f>
        <v>8527.54305202141</v>
      </c>
      <c r="M257" s="15" t="n">
        <f aca="false">L257*(1+IF(M$3&lt;=$O$2,$D257,$D257-($D257-$I$238)*MIN(M$3-$O$2,$Q$2)/$Q$2))</f>
        <v>8783.76361232823</v>
      </c>
      <c r="N257" s="15" t="n">
        <f aca="false">M257*(1+IF(N$3&lt;=$O$2,$D257,$D257-($D257-$I$238)*MIN(N$3-$O$2,$Q$2)/$Q$2))</f>
        <v>9032.34412255711</v>
      </c>
      <c r="O257" s="15" t="n">
        <f aca="false">SUMPRODUCT(E257:N257,1/(1+$F$238)^$E$3:$N$3)*$E$2</f>
        <v>9856.15821257753</v>
      </c>
      <c r="P257" s="15" t="n">
        <f aca="false">N257*$E$2*(1+$I$238)/($F$238-$I$238)/(1+$F$238)^$N$3</f>
        <v>12734.202458884</v>
      </c>
      <c r="Q257" s="15" t="n">
        <f aca="false">O257+P257</f>
        <v>22590.3606714615</v>
      </c>
      <c r="R257" s="15" t="n">
        <f aca="false">Q257-$G$2+$I$2</f>
        <v>17290.4606714615</v>
      </c>
      <c r="S257" s="42" t="n">
        <f aca="false">R257/$K$2</f>
        <v>147.177908337262</v>
      </c>
      <c r="T257" s="43" t="n">
        <f aca="false">S257-$M$2</f>
        <v>0.00392127563421241</v>
      </c>
    </row>
    <row r="258" customFormat="false" ht="15" hidden="false" customHeight="false" outlineLevel="0" collapsed="false">
      <c r="A258" s="5" t="n">
        <v>19</v>
      </c>
      <c r="B258" s="25" t="n">
        <f aca="false">IF(T257&gt;0,B257,D257)</f>
        <v>0.0370254516601563</v>
      </c>
      <c r="C258" s="25" t="n">
        <f aca="false">IF(T257&gt;0,D257,C257)</f>
        <v>0.0370311737060547</v>
      </c>
      <c r="D258" s="41" t="n">
        <f aca="false">(B258+C258)/2</f>
        <v>0.0370283126831055</v>
      </c>
      <c r="E258" s="15" t="n">
        <f aca="false">$C$2*(1+IF(E$3&lt;=$O$2,$D258,$D258-($D258-$I$238)*MIN(E$3-$O$2,$Q$2)/$Q$2))</f>
        <v>6678.4623336792</v>
      </c>
      <c r="F258" s="15" t="n">
        <f aca="false">E258*(1+IF(F$3&lt;=$O$2,$D258,$D258-($D258-$I$238)*MIN(F$3-$O$2,$Q$2)/$Q$2))</f>
        <v>6925.75452521302</v>
      </c>
      <c r="G258" s="15" t="n">
        <f aca="false">F258*(1+IF(G$3&lt;=$O$2,$D258,$D258-($D258-$I$238)*MIN(G$3-$O$2,$Q$2)/$Q$2))</f>
        <v>7182.20352933904</v>
      </c>
      <c r="H258" s="15" t="n">
        <f aca="false">G258*(1+IF(H$3&lt;=$O$2,$D258,$D258-($D258-$I$238)*MIN(H$3-$O$2,$Q$2)/$Q$2))</f>
        <v>7448.14840737711</v>
      </c>
      <c r="I258" s="15" t="n">
        <f aca="false">H258*(1+IF(I$3&lt;=$O$2,$D258,$D258-($D258-$I$238)*MIN(I$3-$O$2,$Q$2)/$Q$2))</f>
        <v>7723.94077551564</v>
      </c>
      <c r="J258" s="15" t="n">
        <f aca="false">I258*(1+IF(J$3&lt;=$O$2,$D258,$D258-($D258-$I$238)*MIN(J$3-$O$2,$Q$2)/$Q$2))</f>
        <v>7996.46187565032</v>
      </c>
      <c r="K258" s="15" t="n">
        <f aca="false">J258*(1+IF(K$3&lt;=$O$2,$D258,$D258-($D258-$I$238)*MIN(K$3-$O$2,$Q$2)/$Q$2))</f>
        <v>8264.63911849675</v>
      </c>
      <c r="L258" s="15" t="n">
        <f aca="false">K258*(1+IF(L$3&lt;=$O$2,$D258,$D258-($D258-$I$238)*MIN(L$3-$O$2,$Q$2)/$Q$2))</f>
        <v>8527.38294732592</v>
      </c>
      <c r="M258" s="15" t="n">
        <f aca="false">L258*(1+IF(M$3&lt;=$O$2,$D258,$D258-($D258-$I$238)*MIN(M$3-$O$2,$Q$2)/$Q$2))</f>
        <v>8783.59381768181</v>
      </c>
      <c r="N258" s="15" t="n">
        <f aca="false">M258*(1+IF(N$3&lt;=$O$2,$D258,$D258-($D258-$I$238)*MIN(N$3-$O$2,$Q$2)/$Q$2))</f>
        <v>9032.1695227222</v>
      </c>
      <c r="O258" s="15" t="n">
        <f aca="false">SUMPRODUCT(E258:N258,1/(1+$F$238)^$E$3:$N$3)*$E$2</f>
        <v>9856.03589634483</v>
      </c>
      <c r="P258" s="15" t="n">
        <f aca="false">N258*$E$2*(1+$I$238)/($F$238-$I$238)/(1+$F$238)^$N$3</f>
        <v>12733.9563002327</v>
      </c>
      <c r="Q258" s="15" t="n">
        <f aca="false">O258+P258</f>
        <v>22589.9921965775</v>
      </c>
      <c r="R258" s="15" t="n">
        <f aca="false">Q258-$G$2+$I$2</f>
        <v>17290.0921965775</v>
      </c>
      <c r="S258" s="42" t="n">
        <f aca="false">R258/$K$2</f>
        <v>147.174771846932</v>
      </c>
      <c r="T258" s="43" t="n">
        <f aca="false">S258-$M$2</f>
        <v>0.000784785304205116</v>
      </c>
    </row>
    <row r="259" customFormat="false" ht="15" hidden="false" customHeight="false" outlineLevel="0" collapsed="false">
      <c r="A259" s="5" t="n">
        <v>20</v>
      </c>
      <c r="B259" s="25" t="n">
        <f aca="false">IF(T258&gt;0,B258,D258)</f>
        <v>0.0370254516601563</v>
      </c>
      <c r="C259" s="25" t="n">
        <f aca="false">IF(T258&gt;0,D258,C258)</f>
        <v>0.0370283126831055</v>
      </c>
      <c r="D259" s="41" t="n">
        <f aca="false">(B259+C259)/2</f>
        <v>0.0370268821716309</v>
      </c>
      <c r="E259" s="15" t="n">
        <f aca="false">$C$2*(1+IF(E$3&lt;=$O$2,$D259,$D259-($D259-$I$238)*MIN(E$3-$O$2,$Q$2)/$Q$2))</f>
        <v>6678.4531211853</v>
      </c>
      <c r="F259" s="15" t="n">
        <f aca="false">E259*(1+IF(F$3&lt;=$O$2,$D259,$D259-($D259-$I$238)*MIN(F$3-$O$2,$Q$2)/$Q$2))</f>
        <v>6925.73541799219</v>
      </c>
      <c r="G259" s="15" t="n">
        <f aca="false">F259*(1+IF(G$3&lt;=$O$2,$D259,$D259-($D259-$I$238)*MIN(G$3-$O$2,$Q$2)/$Q$2))</f>
        <v>7182.17380726608</v>
      </c>
      <c r="H259" s="15" t="n">
        <f aca="false">G259*(1+IF(H$3&lt;=$O$2,$D259,$D259-($D259-$I$238)*MIN(H$3-$O$2,$Q$2)/$Q$2))</f>
        <v>7448.10731056389</v>
      </c>
      <c r="I259" s="15" t="n">
        <f aca="false">H259*(1+IF(I$3&lt;=$O$2,$D259,$D259-($D259-$I$238)*MIN(I$3-$O$2,$Q$2)/$Q$2))</f>
        <v>7723.88750235381</v>
      </c>
      <c r="J259" s="15" t="n">
        <f aca="false">I259*(1+IF(J$3&lt;=$O$2,$D259,$D259-($D259-$I$238)*MIN(J$3-$O$2,$Q$2)/$Q$2))</f>
        <v>7996.3978835824</v>
      </c>
      <c r="K259" s="15" t="n">
        <f aca="false">J259*(1+IF(K$3&lt;=$O$2,$D259,$D259-($D259-$I$238)*MIN(K$3-$O$2,$Q$2)/$Q$2))</f>
        <v>8264.56611696428</v>
      </c>
      <c r="L259" s="15" t="n">
        <f aca="false">K259*(1+IF(L$3&lt;=$O$2,$D259,$D259-($D259-$I$238)*MIN(L$3-$O$2,$Q$2)/$Q$2))</f>
        <v>8527.30289595533</v>
      </c>
      <c r="M259" s="15" t="n">
        <f aca="false">L259*(1+IF(M$3&lt;=$O$2,$D259,$D259-($D259-$I$238)*MIN(M$3-$O$2,$Q$2)/$Q$2))</f>
        <v>8783.50892143383</v>
      </c>
      <c r="N259" s="15" t="n">
        <f aca="false">M259*(1+IF(N$3&lt;=$O$2,$D259,$D259-($D259-$I$238)*MIN(N$3-$O$2,$Q$2)/$Q$2))</f>
        <v>9032.0822239104</v>
      </c>
      <c r="O259" s="15" t="n">
        <f aca="false">SUMPRODUCT(E259:N259,1/(1+$F$238)^$E$3:$N$3)*$E$2</f>
        <v>9855.9747388053</v>
      </c>
      <c r="P259" s="15" t="n">
        <f aca="false">N259*$E$2*(1+$I$238)/($F$238-$I$238)/(1+$F$238)^$N$3</f>
        <v>12733.8332224659</v>
      </c>
      <c r="Q259" s="15" t="n">
        <f aca="false">O259+P259</f>
        <v>22589.8079612712</v>
      </c>
      <c r="R259" s="15" t="n">
        <f aca="false">Q259-$G$2+$I$2</f>
        <v>17289.9079612712</v>
      </c>
      <c r="S259" s="42" t="n">
        <f aca="false">R259/$K$2</f>
        <v>147.173203619945</v>
      </c>
      <c r="T259" s="43" t="n">
        <f aca="false">S259-$M$2</f>
        <v>-0.000783441682244757</v>
      </c>
    </row>
    <row r="260" customFormat="false" ht="15" hidden="false" customHeight="false" outlineLevel="0" collapsed="false">
      <c r="A260" s="5" t="n">
        <v>21</v>
      </c>
      <c r="B260" s="25" t="n">
        <f aca="false">IF(T259&gt;0,B259,D259)</f>
        <v>0.0370268821716309</v>
      </c>
      <c r="C260" s="25" t="n">
        <f aca="false">IF(T259&gt;0,D259,C259)</f>
        <v>0.0370283126831055</v>
      </c>
      <c r="D260" s="41" t="n">
        <f aca="false">(B260+C260)/2</f>
        <v>0.0370275974273682</v>
      </c>
      <c r="E260" s="15" t="n">
        <f aca="false">$C$2*(1+IF(E$3&lt;=$O$2,$D260,$D260-($D260-$I$238)*MIN(E$3-$O$2,$Q$2)/$Q$2))</f>
        <v>6678.45772743225</v>
      </c>
      <c r="F260" s="15" t="n">
        <f aca="false">E260*(1+IF(F$3&lt;=$O$2,$D260,$D260-($D260-$I$238)*MIN(F$3-$O$2,$Q$2)/$Q$2))</f>
        <v>6925.74497159931</v>
      </c>
      <c r="G260" s="15" t="n">
        <f aca="false">F260*(1+IF(G$3&lt;=$O$2,$D260,$D260-($D260-$I$238)*MIN(G$3-$O$2,$Q$2)/$Q$2))</f>
        <v>7182.18866829231</v>
      </c>
      <c r="H260" s="15" t="n">
        <f aca="false">G260*(1+IF(H$3&lt;=$O$2,$D260,$D260-($D260-$I$238)*MIN(H$3-$O$2,$Q$2)/$Q$2))</f>
        <v>7448.12785894924</v>
      </c>
      <c r="I260" s="15" t="n">
        <f aca="false">H260*(1+IF(I$3&lt;=$O$2,$D260,$D260-($D260-$I$238)*MIN(I$3-$O$2,$Q$2)/$Q$2))</f>
        <v>7723.91413889798</v>
      </c>
      <c r="J260" s="15" t="n">
        <f aca="false">I260*(1+IF(J$3&lt;=$O$2,$D260,$D260-($D260-$I$238)*MIN(J$3-$O$2,$Q$2)/$Q$2))</f>
        <v>7996.42987956308</v>
      </c>
      <c r="K260" s="15" t="n">
        <f aca="false">J260*(1+IF(K$3&lt;=$O$2,$D260,$D260-($D260-$I$238)*MIN(K$3-$O$2,$Q$2)/$Q$2))</f>
        <v>8264.60261766172</v>
      </c>
      <c r="L260" s="15" t="n">
        <f aca="false">K260*(1+IF(L$3&lt;=$O$2,$D260,$D260-($D260-$I$238)*MIN(L$3-$O$2,$Q$2)/$Q$2))</f>
        <v>8527.34292155919</v>
      </c>
      <c r="M260" s="15" t="n">
        <f aca="false">L260*(1+IF(M$3&lt;=$O$2,$D260,$D260-($D260-$I$238)*MIN(M$3-$O$2,$Q$2)/$Q$2))</f>
        <v>8783.55136946822</v>
      </c>
      <c r="N260" s="15" t="n">
        <f aca="false">M260*(1+IF(N$3&lt;=$O$2,$D260,$D260-($D260-$I$238)*MIN(N$3-$O$2,$Q$2)/$Q$2))</f>
        <v>9032.12587322417</v>
      </c>
      <c r="O260" s="15" t="n">
        <f aca="false">SUMPRODUCT(E260:N260,1/(1+$F$238)^$E$3:$N$3)*$E$2</f>
        <v>9856.00531752699</v>
      </c>
      <c r="P260" s="15" t="n">
        <f aca="false">N260*$E$2*(1+$I$238)/($F$238-$I$238)/(1+$F$238)^$N$3</f>
        <v>12733.8947612194</v>
      </c>
      <c r="Q260" s="15" t="n">
        <f aca="false">O260+P260</f>
        <v>22589.9000787464</v>
      </c>
      <c r="R260" s="15" t="n">
        <f aca="false">Q260-$G$2+$I$2</f>
        <v>17290.0000787464</v>
      </c>
      <c r="S260" s="42" t="n">
        <f aca="false">R260/$K$2</f>
        <v>147.173987731924</v>
      </c>
      <c r="T260" s="43" t="n">
        <f aca="false">S260-$M$2</f>
        <v>6.70296060434339E-007</v>
      </c>
    </row>
    <row r="261" customFormat="false" ht="15" hidden="false" customHeight="false" outlineLevel="0" collapsed="false">
      <c r="A261" s="5" t="n">
        <v>22</v>
      </c>
      <c r="B261" s="25" t="n">
        <f aca="false">IF(T260&gt;0,B260,D260)</f>
        <v>0.0370268821716309</v>
      </c>
      <c r="C261" s="25" t="n">
        <f aca="false">IF(T260&gt;0,D260,C260)</f>
        <v>0.0370275974273682</v>
      </c>
      <c r="D261" s="41" t="n">
        <f aca="false">(B261+C261)/2</f>
        <v>0.0370272397994995</v>
      </c>
      <c r="E261" s="15" t="n">
        <f aca="false">$C$2*(1+IF(E$3&lt;=$O$2,$D261,$D261-($D261-$I$238)*MIN(E$3-$O$2,$Q$2)/$Q$2))</f>
        <v>6678.45542430878</v>
      </c>
      <c r="F261" s="15" t="n">
        <f aca="false">E261*(1+IF(F$3&lt;=$O$2,$D261,$D261-($D261-$I$238)*MIN(F$3-$O$2,$Q$2)/$Q$2))</f>
        <v>6925.74019479493</v>
      </c>
      <c r="G261" s="15" t="n">
        <f aca="false">F261*(1+IF(G$3&lt;=$O$2,$D261,$D261-($D261-$I$238)*MIN(G$3-$O$2,$Q$2)/$Q$2))</f>
        <v>7182.18123777663</v>
      </c>
      <c r="H261" s="15" t="n">
        <f aca="false">G261*(1+IF(H$3&lt;=$O$2,$D261,$D261-($D261-$I$238)*MIN(H$3-$O$2,$Q$2)/$Q$2))</f>
        <v>7448.11758475125</v>
      </c>
      <c r="I261" s="15" t="n">
        <f aca="false">H261*(1+IF(I$3&lt;=$O$2,$D261,$D261-($D261-$I$238)*MIN(I$3-$O$2,$Q$2)/$Q$2))</f>
        <v>7723.90082061671</v>
      </c>
      <c r="J261" s="15" t="n">
        <f aca="false">I261*(1+IF(J$3&lt;=$O$2,$D261,$D261-($D261-$I$238)*MIN(J$3-$O$2,$Q$2)/$Q$2))</f>
        <v>7996.41388155942</v>
      </c>
      <c r="K261" s="15" t="n">
        <f aca="false">J261*(1+IF(K$3&lt;=$O$2,$D261,$D261-($D261-$I$238)*MIN(K$3-$O$2,$Q$2)/$Q$2))</f>
        <v>8264.5843672958</v>
      </c>
      <c r="L261" s="15" t="n">
        <f aca="false">K261*(1+IF(L$3&lt;=$O$2,$D261,$D261-($D261-$I$238)*MIN(L$3-$O$2,$Q$2)/$Q$2))</f>
        <v>8527.3229087369</v>
      </c>
      <c r="M261" s="15" t="n">
        <f aca="false">L261*(1+IF(M$3&lt;=$O$2,$D261,$D261-($D261-$I$238)*MIN(M$3-$O$2,$Q$2)/$Q$2))</f>
        <v>8783.53014542862</v>
      </c>
      <c r="N261" s="15" t="n">
        <f aca="false">M261*(1+IF(N$3&lt;=$O$2,$D261,$D261-($D261-$I$238)*MIN(N$3-$O$2,$Q$2)/$Q$2))</f>
        <v>9032.10404854425</v>
      </c>
      <c r="O261" s="15" t="n">
        <f aca="false">SUMPRODUCT(E261:N261,1/(1+$F$238)^$E$3:$N$3)*$E$2</f>
        <v>9855.99002815413</v>
      </c>
      <c r="P261" s="15" t="n">
        <f aca="false">N261*$E$2*(1+$I$238)/($F$238-$I$238)/(1+$F$238)^$N$3</f>
        <v>12733.8639918102</v>
      </c>
      <c r="Q261" s="15" t="n">
        <f aca="false">O261+P261</f>
        <v>22589.8540199643</v>
      </c>
      <c r="R261" s="15" t="n">
        <f aca="false">Q261-$G$2+$I$2</f>
        <v>17289.9540199643</v>
      </c>
      <c r="S261" s="42" t="n">
        <f aca="false">R261/$K$2</f>
        <v>147.173595675556</v>
      </c>
      <c r="T261" s="43" t="n">
        <f aca="false">S261-$M$2</f>
        <v>-0.000391386071839861</v>
      </c>
    </row>
    <row r="262" customFormat="false" ht="15" hidden="false" customHeight="false" outlineLevel="0" collapsed="false">
      <c r="A262" s="5" t="n">
        <v>23</v>
      </c>
      <c r="B262" s="25" t="n">
        <f aca="false">IF(T261&gt;0,B261,D261)</f>
        <v>0.0370272397994995</v>
      </c>
      <c r="C262" s="25" t="n">
        <f aca="false">IF(T261&gt;0,D261,C261)</f>
        <v>0.0370275974273682</v>
      </c>
      <c r="D262" s="41" t="n">
        <f aca="false">(B262+C262)/2</f>
        <v>0.0370274186134338</v>
      </c>
      <c r="E262" s="15" t="n">
        <f aca="false">$C$2*(1+IF(E$3&lt;=$O$2,$D262,$D262-($D262-$I$238)*MIN(E$3-$O$2,$Q$2)/$Q$2))</f>
        <v>6678.45657587051</v>
      </c>
      <c r="F262" s="15" t="n">
        <f aca="false">E262*(1+IF(F$3&lt;=$O$2,$D262,$D262-($D262-$I$238)*MIN(F$3-$O$2,$Q$2)/$Q$2))</f>
        <v>6925.74258319691</v>
      </c>
      <c r="G262" s="15" t="n">
        <f aca="false">F262*(1+IF(G$3&lt;=$O$2,$D262,$D262-($D262-$I$238)*MIN(G$3-$O$2,$Q$2)/$Q$2))</f>
        <v>7182.18495303383</v>
      </c>
      <c r="H262" s="15" t="n">
        <f aca="false">G262*(1+IF(H$3&lt;=$O$2,$D262,$D262-($D262-$I$238)*MIN(H$3-$O$2,$Q$2)/$Q$2))</f>
        <v>7448.12272184892</v>
      </c>
      <c r="I262" s="15" t="n">
        <f aca="false">H262*(1+IF(I$3&lt;=$O$2,$D262,$D262-($D262-$I$238)*MIN(I$3-$O$2,$Q$2)/$Q$2))</f>
        <v>7723.90747975505</v>
      </c>
      <c r="J262" s="15" t="n">
        <f aca="false">I262*(1+IF(J$3&lt;=$O$2,$D262,$D262-($D262-$I$238)*MIN(J$3-$O$2,$Q$2)/$Q$2))</f>
        <v>7996.42188055792</v>
      </c>
      <c r="K262" s="15" t="n">
        <f aca="false">J262*(1+IF(K$3&lt;=$O$2,$D262,$D262-($D262-$I$238)*MIN(K$3-$O$2,$Q$2)/$Q$2))</f>
        <v>8264.59349247446</v>
      </c>
      <c r="L262" s="15" t="n">
        <f aca="false">K262*(1+IF(L$3&lt;=$O$2,$D262,$D262-($D262-$I$238)*MIN(L$3-$O$2,$Q$2)/$Q$2))</f>
        <v>8527.33291514296</v>
      </c>
      <c r="M262" s="15" t="n">
        <f aca="false">L262*(1+IF(M$3&lt;=$O$2,$D262,$D262-($D262-$I$238)*MIN(M$3-$O$2,$Q$2)/$Q$2))</f>
        <v>8783.54075744282</v>
      </c>
      <c r="N262" s="15" t="n">
        <f aca="false">M262*(1+IF(N$3&lt;=$O$2,$D262,$D262-($D262-$I$238)*MIN(N$3-$O$2,$Q$2)/$Q$2))</f>
        <v>9032.11496087845</v>
      </c>
      <c r="O262" s="15" t="n">
        <f aca="false">SUMPRODUCT(E262:N262,1/(1+$F$238)^$E$3:$N$3)*$E$2</f>
        <v>9855.99767283756</v>
      </c>
      <c r="P262" s="15" t="n">
        <f aca="false">N262*$E$2*(1+$I$238)/($F$238-$I$238)/(1+$F$238)^$N$3</f>
        <v>12733.8793765067</v>
      </c>
      <c r="Q262" s="15" t="n">
        <f aca="false">O262+P262</f>
        <v>22589.8770493442</v>
      </c>
      <c r="R262" s="15" t="n">
        <f aca="false">Q262-$G$2+$I$2</f>
        <v>17289.9770493442</v>
      </c>
      <c r="S262" s="42" t="n">
        <f aca="false">R262/$K$2</f>
        <v>147.173791703645</v>
      </c>
      <c r="T262" s="43" t="n">
        <f aca="false">S262-$M$2</f>
        <v>-0.000195357982590849</v>
      </c>
    </row>
    <row r="263" customFormat="false" ht="15" hidden="false" customHeight="false" outlineLevel="0" collapsed="false">
      <c r="A263" s="5" t="n">
        <v>24</v>
      </c>
      <c r="B263" s="25" t="n">
        <f aca="false">IF(T262&gt;0,B262,D262)</f>
        <v>0.0370274186134338</v>
      </c>
      <c r="C263" s="25" t="n">
        <f aca="false">IF(T262&gt;0,D262,C262)</f>
        <v>0.0370275974273682</v>
      </c>
      <c r="D263" s="41" t="n">
        <f aca="false">(B263+C263)/2</f>
        <v>0.037027508020401</v>
      </c>
      <c r="E263" s="15" t="n">
        <f aca="false">$C$2*(1+IF(E$3&lt;=$O$2,$D263,$D263-($D263-$I$238)*MIN(E$3-$O$2,$Q$2)/$Q$2))</f>
        <v>6678.45715165138</v>
      </c>
      <c r="F263" s="15" t="n">
        <f aca="false">E263*(1+IF(F$3&lt;=$O$2,$D263,$D263-($D263-$I$238)*MIN(F$3-$O$2,$Q$2)/$Q$2))</f>
        <v>6925.74377739806</v>
      </c>
      <c r="G263" s="15" t="n">
        <f aca="false">F263*(1+IF(G$3&lt;=$O$2,$D263,$D263-($D263-$I$238)*MIN(G$3-$O$2,$Q$2)/$Q$2))</f>
        <v>7182.18681066291</v>
      </c>
      <c r="H263" s="15" t="n">
        <f aca="false">G263*(1+IF(H$3&lt;=$O$2,$D263,$D263-($D263-$I$238)*MIN(H$3-$O$2,$Q$2)/$Q$2))</f>
        <v>7448.12529039875</v>
      </c>
      <c r="I263" s="15" t="n">
        <f aca="false">H263*(1+IF(I$3&lt;=$O$2,$D263,$D263-($D263-$I$238)*MIN(I$3-$O$2,$Q$2)/$Q$2))</f>
        <v>7723.91080932594</v>
      </c>
      <c r="J263" s="15" t="n">
        <f aca="false">I263*(1+IF(J$3&lt;=$O$2,$D263,$D263-($D263-$I$238)*MIN(J$3-$O$2,$Q$2)/$Q$2))</f>
        <v>7996.42588005967</v>
      </c>
      <c r="K263" s="15" t="n">
        <f aca="false">J263*(1+IF(K$3&lt;=$O$2,$D263,$D263-($D263-$I$238)*MIN(K$3-$O$2,$Q$2)/$Q$2))</f>
        <v>8264.59805506701</v>
      </c>
      <c r="L263" s="15" t="n">
        <f aca="false">K263*(1+IF(L$3&lt;=$O$2,$D263,$D263-($D263-$I$238)*MIN(L$3-$O$2,$Q$2)/$Q$2))</f>
        <v>8527.3379183498</v>
      </c>
      <c r="M263" s="15" t="n">
        <f aca="false">L263*(1+IF(M$3&lt;=$O$2,$D263,$D263-($D263-$I$238)*MIN(M$3-$O$2,$Q$2)/$Q$2))</f>
        <v>8783.54606345412</v>
      </c>
      <c r="N263" s="15" t="n">
        <f aca="false">M263*(1+IF(N$3&lt;=$O$2,$D263,$D263-($D263-$I$238)*MIN(N$3-$O$2,$Q$2)/$Q$2))</f>
        <v>9032.12041704987</v>
      </c>
      <c r="O263" s="15" t="n">
        <f aca="false">SUMPRODUCT(E263:N263,1/(1+$F$238)^$E$3:$N$3)*$E$2</f>
        <v>9856.00149518152</v>
      </c>
      <c r="P263" s="15" t="n">
        <f aca="false">N263*$E$2*(1+$I$238)/($F$238-$I$238)/(1+$F$238)^$N$3</f>
        <v>12733.887068861</v>
      </c>
      <c r="Q263" s="15" t="n">
        <f aca="false">O263+P263</f>
        <v>22589.8885640425</v>
      </c>
      <c r="R263" s="15" t="n">
        <f aca="false">Q263-$G$2+$I$2</f>
        <v>17289.9885640425</v>
      </c>
      <c r="S263" s="42" t="n">
        <f aca="false">R263/$K$2</f>
        <v>147.173889717761</v>
      </c>
      <c r="T263" s="43" t="n">
        <f aca="false">S263-$M$2</f>
        <v>-9.73438669404914E-005</v>
      </c>
    </row>
    <row r="265" customFormat="false" ht="15" hidden="false" customHeight="false" outlineLevel="0" collapsed="false">
      <c r="A265" s="38" t="s">
        <v>189</v>
      </c>
      <c r="E265" s="5" t="s">
        <v>11</v>
      </c>
      <c r="F265" s="12" t="n">
        <f aca="false">Sensitivity!$B$11</f>
        <v>0.0899886567315273</v>
      </c>
      <c r="G265" s="5" t="s">
        <v>12</v>
      </c>
      <c r="I265" s="12" t="n">
        <f aca="false">Sensitivity!$F$9</f>
        <v>0.0333</v>
      </c>
    </row>
    <row r="266" customFormat="false" ht="23.85" hidden="false" customHeight="false" outlineLevel="0" collapsed="false">
      <c r="A266" s="38" t="s">
        <v>161</v>
      </c>
      <c r="B266" s="28" t="s">
        <v>162</v>
      </c>
      <c r="C266" s="28" t="s">
        <v>163</v>
      </c>
      <c r="D266" s="28" t="s">
        <v>164</v>
      </c>
      <c r="E266" s="28" t="s">
        <v>165</v>
      </c>
      <c r="F266" s="28" t="s">
        <v>166</v>
      </c>
      <c r="G266" s="28" t="s">
        <v>167</v>
      </c>
      <c r="H266" s="28" t="s">
        <v>168</v>
      </c>
      <c r="I266" s="28" t="s">
        <v>169</v>
      </c>
      <c r="J266" s="28" t="s">
        <v>170</v>
      </c>
      <c r="K266" s="28" t="s">
        <v>171</v>
      </c>
      <c r="L266" s="28" t="s">
        <v>172</v>
      </c>
      <c r="M266" s="28" t="s">
        <v>173</v>
      </c>
      <c r="N266" s="28" t="s">
        <v>174</v>
      </c>
      <c r="O266" s="28" t="s">
        <v>175</v>
      </c>
      <c r="P266" s="28" t="s">
        <v>176</v>
      </c>
      <c r="Q266" s="28" t="s">
        <v>177</v>
      </c>
      <c r="R266" s="28" t="s">
        <v>178</v>
      </c>
      <c r="S266" s="28" t="s">
        <v>179</v>
      </c>
      <c r="T266" s="28" t="s">
        <v>180</v>
      </c>
    </row>
    <row r="267" customFormat="false" ht="15" hidden="false" customHeight="false" outlineLevel="0" collapsed="false">
      <c r="A267" s="5" t="n">
        <v>1</v>
      </c>
      <c r="B267" s="24" t="n">
        <v>-0.5</v>
      </c>
      <c r="C267" s="24" t="n">
        <v>1</v>
      </c>
      <c r="D267" s="41" t="n">
        <f aca="false">(B267+C267)/2</f>
        <v>0.25</v>
      </c>
      <c r="E267" s="15" t="n">
        <f aca="false">$C$2*(1+IF(E$3&lt;=$O$2,$D267,$D267-($D267-$I$265)*MIN(E$3-$O$2,$Q$2)/$Q$2))</f>
        <v>8050</v>
      </c>
      <c r="F267" s="15" t="n">
        <f aca="false">E267*(1+IF(F$3&lt;=$O$2,$D267,$D267-($D267-$I$265)*MIN(F$3-$O$2,$Q$2)/$Q$2))</f>
        <v>10062.5</v>
      </c>
      <c r="G267" s="15" t="n">
        <f aca="false">F267*(1+IF(G$3&lt;=$O$2,$D267,$D267-($D267-$I$265)*MIN(G$3-$O$2,$Q$2)/$Q$2))</f>
        <v>12578.125</v>
      </c>
      <c r="H267" s="15" t="n">
        <f aca="false">G267*(1+IF(H$3&lt;=$O$2,$D267,$D267-($D267-$I$265)*MIN(H$3-$O$2,$Q$2)/$Q$2))</f>
        <v>15722.65625</v>
      </c>
      <c r="I267" s="15" t="n">
        <f aca="false">H267*(1+IF(I$3&lt;=$O$2,$D267,$D267-($D267-$I$265)*MIN(I$3-$O$2,$Q$2)/$Q$2))</f>
        <v>19653.3203125</v>
      </c>
      <c r="J267" s="15" t="n">
        <f aca="false">I267*(1+IF(J$3&lt;=$O$2,$D267,$D267-($D267-$I$265)*MIN(J$3-$O$2,$Q$2)/$Q$2))</f>
        <v>23714.8754882813</v>
      </c>
      <c r="K267" s="15" t="n">
        <f aca="false">J267*(1+IF(K$3&lt;=$O$2,$D267,$D267-($D267-$I$265)*MIN(K$3-$O$2,$Q$2)/$Q$2))</f>
        <v>27587.9889530273</v>
      </c>
      <c r="L267" s="15" t="n">
        <f aca="false">K267*(1+IF(L$3&lt;=$O$2,$D267,$D267-($D267-$I$265)*MIN(L$3-$O$2,$Q$2)/$Q$2))</f>
        <v>30897.9958676116</v>
      </c>
      <c r="M267" s="15" t="n">
        <f aca="false">L267*(1+IF(M$3&lt;=$O$2,$D267,$D267-($D267-$I$265)*MIN(M$3-$O$2,$Q$2)/$Q$2))</f>
        <v>33266.0182709053</v>
      </c>
      <c r="N267" s="15" t="n">
        <f aca="false">M267*(1+IF(N$3&lt;=$O$2,$D267,$D267-($D267-$I$265)*MIN(N$3-$O$2,$Q$2)/$Q$2))</f>
        <v>34373.7766793265</v>
      </c>
      <c r="O267" s="15" t="n">
        <f aca="false">SUMPRODUCT(E267:N267,1/(1+$F$265)^$E$3:$N$3)*$E$2</f>
        <v>24837.9215824902</v>
      </c>
      <c r="P267" s="15" t="n">
        <f aca="false">N267*$E$2*(1+$I$265)/($F$265-$I$265)/(1+$F$265)^$N$3</f>
        <v>52992.4827348094</v>
      </c>
      <c r="Q267" s="15" t="n">
        <f aca="false">O267+P267</f>
        <v>77830.4043172996</v>
      </c>
      <c r="R267" s="15" t="n">
        <f aca="false">Q267-$G$2+$I$2</f>
        <v>72530.5043172996</v>
      </c>
      <c r="S267" s="42" t="n">
        <f aca="false">R267/$K$2</f>
        <v>617.385974781236</v>
      </c>
      <c r="T267" s="43" t="n">
        <f aca="false">S267-$M$2</f>
        <v>470.211987719608</v>
      </c>
    </row>
    <row r="268" customFormat="false" ht="15" hidden="false" customHeight="false" outlineLevel="0" collapsed="false">
      <c r="A268" s="5" t="n">
        <v>2</v>
      </c>
      <c r="B268" s="25" t="n">
        <f aca="false">IF(T267&gt;0,B267,D267)</f>
        <v>-0.5</v>
      </c>
      <c r="C268" s="25" t="n">
        <f aca="false">IF(T267&gt;0,D267,C267)</f>
        <v>0.25</v>
      </c>
      <c r="D268" s="41" t="n">
        <f aca="false">(B268+C268)/2</f>
        <v>-0.125</v>
      </c>
      <c r="E268" s="15" t="n">
        <f aca="false">$C$2*(1+IF(E$3&lt;=$O$2,$D268,$D268-($D268-$I$265)*MIN(E$3-$O$2,$Q$2)/$Q$2))</f>
        <v>5635</v>
      </c>
      <c r="F268" s="15" t="n">
        <f aca="false">E268*(1+IF(F$3&lt;=$O$2,$D268,$D268-($D268-$I$265)*MIN(F$3-$O$2,$Q$2)/$Q$2))</f>
        <v>4930.625</v>
      </c>
      <c r="G268" s="15" t="n">
        <f aca="false">F268*(1+IF(G$3&lt;=$O$2,$D268,$D268-($D268-$I$265)*MIN(G$3-$O$2,$Q$2)/$Q$2))</f>
        <v>4314.296875</v>
      </c>
      <c r="H268" s="15" t="n">
        <f aca="false">G268*(1+IF(H$3&lt;=$O$2,$D268,$D268-($D268-$I$265)*MIN(H$3-$O$2,$Q$2)/$Q$2))</f>
        <v>3775.009765625</v>
      </c>
      <c r="I268" s="15" t="n">
        <f aca="false">H268*(1+IF(I$3&lt;=$O$2,$D268,$D268-($D268-$I$265)*MIN(I$3-$O$2,$Q$2)/$Q$2))</f>
        <v>3303.13354492188</v>
      </c>
      <c r="J268" s="15" t="n">
        <f aca="false">I268*(1+IF(J$3&lt;=$O$2,$D268,$D268-($D268-$I$265)*MIN(J$3-$O$2,$Q$2)/$Q$2))</f>
        <v>2994.81905983887</v>
      </c>
      <c r="K268" s="15" t="n">
        <f aca="false">J268*(1+IF(K$3&lt;=$O$2,$D268,$D268-($D268-$I$265)*MIN(K$3-$O$2,$Q$2)/$Q$2))</f>
        <v>2810.09862022801</v>
      </c>
      <c r="L268" s="15" t="n">
        <f aca="false">K268*(1+IF(L$3&lt;=$O$2,$D268,$D268-($D268-$I$265)*MIN(L$3-$O$2,$Q$2)/$Q$2))</f>
        <v>2725.73945964876</v>
      </c>
      <c r="M268" s="15" t="n">
        <f aca="false">L268*(1+IF(M$3&lt;=$O$2,$D268,$D268-($D268-$I$265)*MIN(M$3-$O$2,$Q$2)/$Q$2))</f>
        <v>2730.20967236259</v>
      </c>
      <c r="N268" s="15" t="n">
        <f aca="false">M268*(1+IF(N$3&lt;=$O$2,$D268,$D268-($D268-$I$265)*MIN(N$3-$O$2,$Q$2)/$Q$2))</f>
        <v>2821.12565445226</v>
      </c>
      <c r="O268" s="15" t="n">
        <f aca="false">SUMPRODUCT(E268:N268,1/(1+$F$265)^$E$3:$N$3)*$E$2</f>
        <v>4927.65571725402</v>
      </c>
      <c r="P268" s="15" t="n">
        <f aca="false">N268*$E$2*(1+$I$265)/($F$265-$I$265)/(1+$F$265)^$N$3</f>
        <v>4349.20066918927</v>
      </c>
      <c r="Q268" s="15" t="n">
        <f aca="false">O268+P268</f>
        <v>9276.85638644329</v>
      </c>
      <c r="R268" s="15" t="n">
        <f aca="false">Q268-$G$2+$I$2</f>
        <v>3976.95638644329</v>
      </c>
      <c r="S268" s="42" t="n">
        <f aca="false">R268/$K$2</f>
        <v>33.8521994079272</v>
      </c>
      <c r="T268" s="43" t="n">
        <f aca="false">S268-$M$2</f>
        <v>-113.3217876537</v>
      </c>
    </row>
    <row r="269" customFormat="false" ht="15" hidden="false" customHeight="false" outlineLevel="0" collapsed="false">
      <c r="A269" s="5" t="n">
        <v>3</v>
      </c>
      <c r="B269" s="25" t="n">
        <f aca="false">IF(T268&gt;0,B268,D268)</f>
        <v>-0.125</v>
      </c>
      <c r="C269" s="25" t="n">
        <f aca="false">IF(T268&gt;0,D268,C268)</f>
        <v>0.25</v>
      </c>
      <c r="D269" s="41" t="n">
        <f aca="false">(B269+C269)/2</f>
        <v>0.0625</v>
      </c>
      <c r="E269" s="15" t="n">
        <f aca="false">$C$2*(1+IF(E$3&lt;=$O$2,$D269,$D269-($D269-$I$265)*MIN(E$3-$O$2,$Q$2)/$Q$2))</f>
        <v>6842.5</v>
      </c>
      <c r="F269" s="15" t="n">
        <f aca="false">E269*(1+IF(F$3&lt;=$O$2,$D269,$D269-($D269-$I$265)*MIN(F$3-$O$2,$Q$2)/$Q$2))</f>
        <v>7270.15625</v>
      </c>
      <c r="G269" s="15" t="n">
        <f aca="false">F269*(1+IF(G$3&lt;=$O$2,$D269,$D269-($D269-$I$265)*MIN(G$3-$O$2,$Q$2)/$Q$2))</f>
        <v>7724.541015625</v>
      </c>
      <c r="H269" s="15" t="n">
        <f aca="false">G269*(1+IF(H$3&lt;=$O$2,$D269,$D269-($D269-$I$265)*MIN(H$3-$O$2,$Q$2)/$Q$2))</f>
        <v>8207.32482910156</v>
      </c>
      <c r="I269" s="15" t="n">
        <f aca="false">H269*(1+IF(I$3&lt;=$O$2,$D269,$D269-($D269-$I$265)*MIN(I$3-$O$2,$Q$2)/$Q$2))</f>
        <v>8720.28263092041</v>
      </c>
      <c r="J269" s="15" t="n">
        <f aca="false">I269*(1+IF(J$3&lt;=$O$2,$D269,$D269-($D269-$I$265)*MIN(J$3-$O$2,$Q$2)/$Q$2))</f>
        <v>9214.37384478836</v>
      </c>
      <c r="K269" s="15" t="n">
        <f aca="false">J269*(1+IF(K$3&lt;=$O$2,$D269,$D269-($D269-$I$265)*MIN(K$3-$O$2,$Q$2)/$Q$2))</f>
        <v>9682.64832358051</v>
      </c>
      <c r="L269" s="15" t="n">
        <f aca="false">K269*(1+IF(L$3&lt;=$O$2,$D269,$D269-($D269-$I$265)*MIN(L$3-$O$2,$Q$2)/$Q$2))</f>
        <v>10118.1738451752</v>
      </c>
      <c r="M269" s="15" t="n">
        <f aca="false">L269*(1+IF(M$3&lt;=$O$2,$D269,$D269-($D269-$I$265)*MIN(M$3-$O$2,$Q$2)/$Q$2))</f>
        <v>10514.1991694753</v>
      </c>
      <c r="N269" s="15" t="n">
        <f aca="false">M269*(1+IF(N$3&lt;=$O$2,$D269,$D269-($D269-$I$265)*MIN(N$3-$O$2,$Q$2)/$Q$2))</f>
        <v>10864.3220018188</v>
      </c>
      <c r="O269" s="15" t="n">
        <f aca="false">SUMPRODUCT(E269:N269,1/(1+$F$265)^$E$3:$N$3)*$E$2</f>
        <v>11040.4394690805</v>
      </c>
      <c r="P269" s="15" t="n">
        <f aca="false">N269*$E$2*(1+$I$265)/($F$265-$I$265)/(1+$F$265)^$N$3</f>
        <v>16749.0293975482</v>
      </c>
      <c r="Q269" s="15" t="n">
        <f aca="false">O269+P269</f>
        <v>27789.4688666286</v>
      </c>
      <c r="R269" s="15" t="n">
        <f aca="false">Q269-$G$2+$I$2</f>
        <v>22489.5688666286</v>
      </c>
      <c r="S269" s="42" t="n">
        <f aca="false">R269/$K$2</f>
        <v>191.433170468409</v>
      </c>
      <c r="T269" s="43" t="n">
        <f aca="false">S269-$M$2</f>
        <v>44.259183406781</v>
      </c>
    </row>
    <row r="270" customFormat="false" ht="15" hidden="false" customHeight="false" outlineLevel="0" collapsed="false">
      <c r="A270" s="5" t="n">
        <v>4</v>
      </c>
      <c r="B270" s="25" t="n">
        <f aca="false">IF(T269&gt;0,B269,D269)</f>
        <v>-0.125</v>
      </c>
      <c r="C270" s="25" t="n">
        <f aca="false">IF(T269&gt;0,D269,C269)</f>
        <v>0.0625</v>
      </c>
      <c r="D270" s="41" t="n">
        <f aca="false">(B270+C270)/2</f>
        <v>-0.03125</v>
      </c>
      <c r="E270" s="15" t="n">
        <f aca="false">$C$2*(1+IF(E$3&lt;=$O$2,$D270,$D270-($D270-$I$265)*MIN(E$3-$O$2,$Q$2)/$Q$2))</f>
        <v>6238.75</v>
      </c>
      <c r="F270" s="15" t="n">
        <f aca="false">E270*(1+IF(F$3&lt;=$O$2,$D270,$D270-($D270-$I$265)*MIN(F$3-$O$2,$Q$2)/$Q$2))</f>
        <v>6043.7890625</v>
      </c>
      <c r="G270" s="15" t="n">
        <f aca="false">F270*(1+IF(G$3&lt;=$O$2,$D270,$D270-($D270-$I$265)*MIN(G$3-$O$2,$Q$2)/$Q$2))</f>
        <v>5854.92065429688</v>
      </c>
      <c r="H270" s="15" t="n">
        <f aca="false">G270*(1+IF(H$3&lt;=$O$2,$D270,$D270-($D270-$I$265)*MIN(H$3-$O$2,$Q$2)/$Q$2))</f>
        <v>5671.9543838501</v>
      </c>
      <c r="I270" s="15" t="n">
        <f aca="false">H270*(1+IF(I$3&lt;=$O$2,$D270,$D270-($D270-$I$265)*MIN(I$3-$O$2,$Q$2)/$Q$2))</f>
        <v>5494.70580935478</v>
      </c>
      <c r="J270" s="15" t="n">
        <f aca="false">I270*(1+IF(J$3&lt;=$O$2,$D270,$D270-($D270-$I$265)*MIN(J$3-$O$2,$Q$2)/$Q$2))</f>
        <v>5393.93290481122</v>
      </c>
      <c r="K270" s="15" t="n">
        <f aca="false">J270*(1+IF(K$3&lt;=$O$2,$D270,$D270-($D270-$I$265)*MIN(K$3-$O$2,$Q$2)/$Q$2))</f>
        <v>5364.64384913809</v>
      </c>
      <c r="L270" s="15" t="n">
        <f aca="false">K270*(1+IF(L$3&lt;=$O$2,$D270,$D270-($D270-$I$265)*MIN(L$3-$O$2,$Q$2)/$Q$2))</f>
        <v>5404.77138512964</v>
      </c>
      <c r="M270" s="15" t="n">
        <f aca="false">L270*(1+IF(M$3&lt;=$O$2,$D270,$D270-($D270-$I$265)*MIN(M$3-$O$2,$Q$2)/$Q$2))</f>
        <v>5514.97467367244</v>
      </c>
      <c r="N270" s="15" t="n">
        <f aca="false">M270*(1+IF(N$3&lt;=$O$2,$D270,$D270-($D270-$I$265)*MIN(N$3-$O$2,$Q$2)/$Q$2))</f>
        <v>5698.62333030573</v>
      </c>
      <c r="O270" s="15" t="n">
        <f aca="false">SUMPRODUCT(E270:N270,1/(1+$F$265)^$E$3:$N$3)*$E$2</f>
        <v>7354.059326022</v>
      </c>
      <c r="P270" s="15" t="n">
        <f aca="false">N270*$E$2*(1+$I$265)/($F$265-$I$265)/(1+$F$265)^$N$3</f>
        <v>8785.30751103156</v>
      </c>
      <c r="Q270" s="15" t="n">
        <f aca="false">O270+P270</f>
        <v>16139.3668370536</v>
      </c>
      <c r="R270" s="15" t="n">
        <f aca="false">Q270-$G$2+$I$2</f>
        <v>10839.4668370536</v>
      </c>
      <c r="S270" s="42" t="n">
        <f aca="false">R270/$K$2</f>
        <v>92.2664865258219</v>
      </c>
      <c r="T270" s="43" t="n">
        <f aca="false">S270-$M$2</f>
        <v>-54.9075005358056</v>
      </c>
    </row>
    <row r="271" customFormat="false" ht="15" hidden="false" customHeight="false" outlineLevel="0" collapsed="false">
      <c r="A271" s="5" t="n">
        <v>5</v>
      </c>
      <c r="B271" s="25" t="n">
        <f aca="false">IF(T270&gt;0,B270,D270)</f>
        <v>-0.03125</v>
      </c>
      <c r="C271" s="25" t="n">
        <f aca="false">IF(T270&gt;0,D270,C270)</f>
        <v>0.0625</v>
      </c>
      <c r="D271" s="41" t="n">
        <f aca="false">(B271+C271)/2</f>
        <v>0.015625</v>
      </c>
      <c r="E271" s="15" t="n">
        <f aca="false">$C$2*(1+IF(E$3&lt;=$O$2,$D271,$D271-($D271-$I$265)*MIN(E$3-$O$2,$Q$2)/$Q$2))</f>
        <v>6540.625</v>
      </c>
      <c r="F271" s="15" t="n">
        <f aca="false">E271*(1+IF(F$3&lt;=$O$2,$D271,$D271-($D271-$I$265)*MIN(F$3-$O$2,$Q$2)/$Q$2))</f>
        <v>6642.822265625</v>
      </c>
      <c r="G271" s="15" t="n">
        <f aca="false">F271*(1+IF(G$3&lt;=$O$2,$D271,$D271-($D271-$I$265)*MIN(G$3-$O$2,$Q$2)/$Q$2))</f>
        <v>6746.61636352539</v>
      </c>
      <c r="H271" s="15" t="n">
        <f aca="false">G271*(1+IF(H$3&lt;=$O$2,$D271,$D271-($D271-$I$265)*MIN(H$3-$O$2,$Q$2)/$Q$2))</f>
        <v>6852.03224420548</v>
      </c>
      <c r="I271" s="15" t="n">
        <f aca="false">H271*(1+IF(I$3&lt;=$O$2,$D271,$D271-($D271-$I$265)*MIN(I$3-$O$2,$Q$2)/$Q$2))</f>
        <v>6959.09524802119</v>
      </c>
      <c r="J271" s="15" t="n">
        <f aca="false">I271*(1+IF(J$3&lt;=$O$2,$D271,$D271-($D271-$I$265)*MIN(J$3-$O$2,$Q$2)/$Q$2))</f>
        <v>7092.43151297327</v>
      </c>
      <c r="K271" s="15" t="n">
        <f aca="false">J271*(1+IF(K$3&lt;=$O$2,$D271,$D271-($D271-$I$265)*MIN(K$3-$O$2,$Q$2)/$Q$2))</f>
        <v>7253.3942461602</v>
      </c>
      <c r="L271" s="15" t="n">
        <f aca="false">K271*(1+IF(L$3&lt;=$O$2,$D271,$D271-($D271-$I$265)*MIN(L$3-$O$2,$Q$2)/$Q$2))</f>
        <v>7443.65077723698</v>
      </c>
      <c r="M271" s="15" t="n">
        <f aca="false">L271*(1+IF(M$3&lt;=$O$2,$D271,$D271-($D271-$I$265)*MIN(M$3-$O$2,$Q$2)/$Q$2))</f>
        <v>7665.21104262144</v>
      </c>
      <c r="N271" s="15" t="n">
        <f aca="false">M271*(1+IF(N$3&lt;=$O$2,$D271,$D271-($D271-$I$265)*MIN(N$3-$O$2,$Q$2)/$Q$2))</f>
        <v>7920.46257034074</v>
      </c>
      <c r="O271" s="15" t="n">
        <f aca="false">SUMPRODUCT(E271:N271,1/(1+$F$265)^$E$3:$N$3)*$E$2</f>
        <v>9006.90831256958</v>
      </c>
      <c r="P271" s="15" t="n">
        <f aca="false">N271*$E$2*(1+$I$265)/($F$265-$I$265)/(1+$F$265)^$N$3</f>
        <v>12210.6156657183</v>
      </c>
      <c r="Q271" s="15" t="n">
        <f aca="false">O271+P271</f>
        <v>21217.5239782879</v>
      </c>
      <c r="R271" s="15" t="n">
        <f aca="false">Q271-$G$2+$I$2</f>
        <v>15917.6239782879</v>
      </c>
      <c r="S271" s="42" t="n">
        <f aca="false">R271/$K$2</f>
        <v>135.492202743342</v>
      </c>
      <c r="T271" s="43" t="n">
        <f aca="false">S271-$M$2</f>
        <v>-11.6817843182851</v>
      </c>
    </row>
    <row r="272" customFormat="false" ht="15" hidden="false" customHeight="false" outlineLevel="0" collapsed="false">
      <c r="A272" s="5" t="n">
        <v>6</v>
      </c>
      <c r="B272" s="25" t="n">
        <f aca="false">IF(T271&gt;0,B271,D271)</f>
        <v>0.015625</v>
      </c>
      <c r="C272" s="25" t="n">
        <f aca="false">IF(T271&gt;0,D271,C271)</f>
        <v>0.0625</v>
      </c>
      <c r="D272" s="41" t="n">
        <f aca="false">(B272+C272)/2</f>
        <v>0.0390625</v>
      </c>
      <c r="E272" s="15" t="n">
        <f aca="false">$C$2*(1+IF(E$3&lt;=$O$2,$D272,$D272-($D272-$I$265)*MIN(E$3-$O$2,$Q$2)/$Q$2))</f>
        <v>6691.5625</v>
      </c>
      <c r="F272" s="15" t="n">
        <f aca="false">E272*(1+IF(F$3&lt;=$O$2,$D272,$D272-($D272-$I$265)*MIN(F$3-$O$2,$Q$2)/$Q$2))</f>
        <v>6952.95166015625</v>
      </c>
      <c r="G272" s="15" t="n">
        <f aca="false">F272*(1+IF(G$3&lt;=$O$2,$D272,$D272-($D272-$I$265)*MIN(G$3-$O$2,$Q$2)/$Q$2))</f>
        <v>7224.5513343811</v>
      </c>
      <c r="H272" s="15" t="n">
        <f aca="false">G272*(1+IF(H$3&lt;=$O$2,$D272,$D272-($D272-$I$265)*MIN(H$3-$O$2,$Q$2)/$Q$2))</f>
        <v>7506.76037088037</v>
      </c>
      <c r="I272" s="15" t="n">
        <f aca="false">H272*(1+IF(I$3&lt;=$O$2,$D272,$D272-($D272-$I$265)*MIN(I$3-$O$2,$Q$2)/$Q$2))</f>
        <v>7799.99319786788</v>
      </c>
      <c r="J272" s="15" t="n">
        <f aca="false">I272*(1+IF(J$3&lt;=$O$2,$D272,$D272-($D272-$I$265)*MIN(J$3-$O$2,$Q$2)/$Q$2))</f>
        <v>8095.69093999905</v>
      </c>
      <c r="K272" s="15" t="n">
        <f aca="false">J272*(1+IF(K$3&lt;=$O$2,$D272,$D272-($D272-$I$265)*MIN(K$3-$O$2,$Q$2)/$Q$2))</f>
        <v>8393.26829972607</v>
      </c>
      <c r="L272" s="15" t="n">
        <f aca="false">K272*(1+IF(L$3&lt;=$O$2,$D272,$D272-($D272-$I$265)*MIN(L$3-$O$2,$Q$2)/$Q$2))</f>
        <v>8692.11061753782</v>
      </c>
      <c r="M272" s="15" t="n">
        <f aca="false">L272*(1+IF(M$3&lt;=$O$2,$D272,$D272-($D272-$I$265)*MIN(M$3-$O$2,$Q$2)/$Q$2))</f>
        <v>8991.57555858854</v>
      </c>
      <c r="N272" s="15" t="n">
        <f aca="false">M272*(1+IF(N$3&lt;=$O$2,$D272,$D272-($D272-$I$265)*MIN(N$3-$O$2,$Q$2)/$Q$2))</f>
        <v>9290.99502468954</v>
      </c>
      <c r="O272" s="15" t="n">
        <f aca="false">SUMPRODUCT(E272:N272,1/(1+$F$265)^$E$3:$N$3)*$E$2</f>
        <v>9971.33382920229</v>
      </c>
      <c r="P272" s="15" t="n">
        <f aca="false">N272*$E$2*(1+$I$265)/($F$265-$I$265)/(1+$F$265)^$N$3</f>
        <v>14323.5030013789</v>
      </c>
      <c r="Q272" s="15" t="n">
        <f aca="false">O272+P272</f>
        <v>24294.8368305812</v>
      </c>
      <c r="R272" s="15" t="n">
        <f aca="false">Q272-$G$2+$I$2</f>
        <v>18994.9368305812</v>
      </c>
      <c r="S272" s="42" t="n">
        <f aca="false">R272/$K$2</f>
        <v>161.686557972261</v>
      </c>
      <c r="T272" s="43" t="n">
        <f aca="false">S272-$M$2</f>
        <v>14.512570910633</v>
      </c>
    </row>
    <row r="273" customFormat="false" ht="15" hidden="false" customHeight="false" outlineLevel="0" collapsed="false">
      <c r="A273" s="5" t="n">
        <v>7</v>
      </c>
      <c r="B273" s="25" t="n">
        <f aca="false">IF(T272&gt;0,B272,D272)</f>
        <v>0.015625</v>
      </c>
      <c r="C273" s="25" t="n">
        <f aca="false">IF(T272&gt;0,D272,C272)</f>
        <v>0.0390625</v>
      </c>
      <c r="D273" s="41" t="n">
        <f aca="false">(B273+C273)/2</f>
        <v>0.02734375</v>
      </c>
      <c r="E273" s="15" t="n">
        <f aca="false">$C$2*(1+IF(E$3&lt;=$O$2,$D273,$D273-($D273-$I$265)*MIN(E$3-$O$2,$Q$2)/$Q$2))</f>
        <v>6616.09375</v>
      </c>
      <c r="F273" s="15" t="n">
        <f aca="false">E273*(1+IF(F$3&lt;=$O$2,$D273,$D273-($D273-$I$265)*MIN(F$3-$O$2,$Q$2)/$Q$2))</f>
        <v>6797.00256347656</v>
      </c>
      <c r="G273" s="15" t="n">
        <f aca="false">F273*(1+IF(G$3&lt;=$O$2,$D273,$D273-($D273-$I$265)*MIN(G$3-$O$2,$Q$2)/$Q$2))</f>
        <v>6982.85810232163</v>
      </c>
      <c r="H273" s="15" t="n">
        <f aca="false">G273*(1+IF(H$3&lt;=$O$2,$D273,$D273-($D273-$I$265)*MIN(H$3-$O$2,$Q$2)/$Q$2))</f>
        <v>7173.79562855698</v>
      </c>
      <c r="I273" s="15" t="n">
        <f aca="false">H273*(1+IF(I$3&lt;=$O$2,$D273,$D273-($D273-$I$265)*MIN(I$3-$O$2,$Q$2)/$Q$2))</f>
        <v>7369.95410277534</v>
      </c>
      <c r="J273" s="15" t="n">
        <f aca="false">I273*(1+IF(J$3&lt;=$O$2,$D273,$D273-($D273-$I$265)*MIN(J$3-$O$2,$Q$2)/$Q$2))</f>
        <v>7580.25574309803</v>
      </c>
      <c r="K273" s="15" t="n">
        <f aca="false">J273*(1+IF(K$3&lt;=$O$2,$D273,$D273-($D273-$I$265)*MIN(K$3-$O$2,$Q$2)/$Q$2))</f>
        <v>7805.5883203813</v>
      </c>
      <c r="L273" s="15" t="n">
        <f aca="false">K273*(1+IF(L$3&lt;=$O$2,$D273,$D273-($D273-$I$265)*MIN(L$3-$O$2,$Q$2)/$Q$2))</f>
        <v>8046.91759727669</v>
      </c>
      <c r="M273" s="15" t="n">
        <f aca="false">L273*(1+IF(M$3&lt;=$O$2,$D273,$D273-($D273-$I$265)*MIN(M$3-$O$2,$Q$2)/$Q$2))</f>
        <v>8305.29406267824</v>
      </c>
      <c r="N273" s="15" t="n">
        <f aca="false">M273*(1+IF(N$3&lt;=$O$2,$D273,$D273-($D273-$I$265)*MIN(N$3-$O$2,$Q$2)/$Q$2))</f>
        <v>8581.86035496543</v>
      </c>
      <c r="O273" s="15" t="n">
        <f aca="false">SUMPRODUCT(E273:N273,1/(1+$F$265)^$E$3:$N$3)*$E$2</f>
        <v>9476.66212589219</v>
      </c>
      <c r="P273" s="15" t="n">
        <f aca="false">N273*$E$2*(1+$I$265)/($F$265-$I$265)/(1+$F$265)^$N$3</f>
        <v>13230.2624449925</v>
      </c>
      <c r="Q273" s="15" t="n">
        <f aca="false">O273+P273</f>
        <v>22706.9245708847</v>
      </c>
      <c r="R273" s="15" t="n">
        <f aca="false">Q273-$G$2+$I$2</f>
        <v>17407.0245708847</v>
      </c>
      <c r="S273" s="42" t="n">
        <f aca="false">R273/$K$2</f>
        <v>148.170110409301</v>
      </c>
      <c r="T273" s="43" t="n">
        <f aca="false">S273-$M$2</f>
        <v>0.996123347673233</v>
      </c>
    </row>
    <row r="274" customFormat="false" ht="15" hidden="false" customHeight="false" outlineLevel="0" collapsed="false">
      <c r="A274" s="5" t="n">
        <v>8</v>
      </c>
      <c r="B274" s="25" t="n">
        <f aca="false">IF(T273&gt;0,B273,D273)</f>
        <v>0.015625</v>
      </c>
      <c r="C274" s="25" t="n">
        <f aca="false">IF(T273&gt;0,D273,C273)</f>
        <v>0.02734375</v>
      </c>
      <c r="D274" s="41" t="n">
        <f aca="false">(B274+C274)/2</f>
        <v>0.021484375</v>
      </c>
      <c r="E274" s="15" t="n">
        <f aca="false">$C$2*(1+IF(E$3&lt;=$O$2,$D274,$D274-($D274-$I$265)*MIN(E$3-$O$2,$Q$2)/$Q$2))</f>
        <v>6578.359375</v>
      </c>
      <c r="F274" s="15" t="n">
        <f aca="false">E274*(1+IF(F$3&lt;=$O$2,$D274,$D274-($D274-$I$265)*MIN(F$3-$O$2,$Q$2)/$Q$2))</f>
        <v>6719.69131469727</v>
      </c>
      <c r="G274" s="15" t="n">
        <f aca="false">F274*(1+IF(G$3&lt;=$O$2,$D274,$D274-($D274-$I$265)*MIN(G$3-$O$2,$Q$2)/$Q$2))</f>
        <v>6864.05968278647</v>
      </c>
      <c r="H274" s="15" t="n">
        <f aca="false">G274*(1+IF(H$3&lt;=$O$2,$D274,$D274-($D274-$I$265)*MIN(H$3-$O$2,$Q$2)/$Q$2))</f>
        <v>7011.52971503383</v>
      </c>
      <c r="I274" s="15" t="n">
        <f aca="false">H274*(1+IF(I$3&lt;=$O$2,$D274,$D274-($D274-$I$265)*MIN(I$3-$O$2,$Q$2)/$Q$2))</f>
        <v>7162.16804875526</v>
      </c>
      <c r="J274" s="15" t="n">
        <f aca="false">I274*(1+IF(J$3&lt;=$O$2,$D274,$D274-($D274-$I$265)*MIN(J$3-$O$2,$Q$2)/$Q$2))</f>
        <v>7332.96785129795</v>
      </c>
      <c r="K274" s="15" t="n">
        <f aca="false">J274*(1+IF(K$3&lt;=$O$2,$D274,$D274-($D274-$I$265)*MIN(K$3-$O$2,$Q$2)/$Q$2))</f>
        <v>7525.16952178538</v>
      </c>
      <c r="L274" s="15" t="n">
        <f aca="false">K274*(1+IF(L$3&lt;=$O$2,$D274,$D274-($D274-$I$265)*MIN(L$3-$O$2,$Q$2)/$Q$2))</f>
        <v>7740.19183440849</v>
      </c>
      <c r="M274" s="15" t="n">
        <f aca="false">L274*(1+IF(M$3&lt;=$O$2,$D274,$D274-($D274-$I$265)*MIN(M$3-$O$2,$Q$2)/$Q$2))</f>
        <v>7979.64918166561</v>
      </c>
      <c r="N274" s="15" t="n">
        <f aca="false">M274*(1+IF(N$3&lt;=$O$2,$D274,$D274-($D274-$I$265)*MIN(N$3-$O$2,$Q$2)/$Q$2))</f>
        <v>8245.37149941508</v>
      </c>
      <c r="O274" s="15" t="n">
        <f aca="false">SUMPRODUCT(E274:N274,1/(1+$F$265)^$E$3:$N$3)*$E$2</f>
        <v>9238.74587846119</v>
      </c>
      <c r="P274" s="15" t="n">
        <f aca="false">N274*$E$2*(1+$I$265)/($F$265-$I$265)/(1+$F$265)^$N$3</f>
        <v>12711.5129332773</v>
      </c>
      <c r="Q274" s="15" t="n">
        <f aca="false">O274+P274</f>
        <v>21950.2588117385</v>
      </c>
      <c r="R274" s="15" t="n">
        <f aca="false">Q274-$G$2+$I$2</f>
        <v>16650.3588117385</v>
      </c>
      <c r="S274" s="42" t="n">
        <f aca="false">R274/$K$2</f>
        <v>141.729305513606</v>
      </c>
      <c r="T274" s="43" t="n">
        <f aca="false">S274-$M$2</f>
        <v>-5.44468154802138</v>
      </c>
    </row>
    <row r="275" customFormat="false" ht="15" hidden="false" customHeight="false" outlineLevel="0" collapsed="false">
      <c r="A275" s="5" t="n">
        <v>9</v>
      </c>
      <c r="B275" s="25" t="n">
        <f aca="false">IF(T274&gt;0,B274,D274)</f>
        <v>0.021484375</v>
      </c>
      <c r="C275" s="25" t="n">
        <f aca="false">IF(T274&gt;0,D274,C274)</f>
        <v>0.02734375</v>
      </c>
      <c r="D275" s="41" t="n">
        <f aca="false">(B275+C275)/2</f>
        <v>0.0244140625</v>
      </c>
      <c r="E275" s="15" t="n">
        <f aca="false">$C$2*(1+IF(E$3&lt;=$O$2,$D275,$D275-($D275-$I$265)*MIN(E$3-$O$2,$Q$2)/$Q$2))</f>
        <v>6597.2265625</v>
      </c>
      <c r="F275" s="15" t="n">
        <f aca="false">E275*(1+IF(F$3&lt;=$O$2,$D275,$D275-($D275-$I$265)*MIN(F$3-$O$2,$Q$2)/$Q$2))</f>
        <v>6758.29166412354</v>
      </c>
      <c r="G275" s="15" t="n">
        <f aca="false">F275*(1+IF(G$3&lt;=$O$2,$D275,$D275-($D275-$I$265)*MIN(G$3-$O$2,$Q$2)/$Q$2))</f>
        <v>6923.28901920468</v>
      </c>
      <c r="H275" s="15" t="n">
        <f aca="false">G275*(1+IF(H$3&lt;=$O$2,$D275,$D275-($D275-$I$265)*MIN(H$3-$O$2,$Q$2)/$Q$2))</f>
        <v>7092.3146300251</v>
      </c>
      <c r="I275" s="15" t="n">
        <f aca="false">H275*(1+IF(I$3&lt;=$O$2,$D275,$D275-($D275-$I$265)*MIN(I$3-$O$2,$Q$2)/$Q$2))</f>
        <v>7265.4668426722</v>
      </c>
      <c r="J275" s="15" t="n">
        <f aca="false">I275*(1+IF(J$3&lt;=$O$2,$D275,$D275-($D275-$I$265)*MIN(J$3-$O$2,$Q$2)/$Q$2))</f>
        <v>7455.75850111534</v>
      </c>
      <c r="K275" s="15" t="n">
        <f aca="false">J275*(1+IF(K$3&lt;=$O$2,$D275,$D275-($D275-$I$265)*MIN(K$3-$O$2,$Q$2)/$Q$2))</f>
        <v>7664.28441676888</v>
      </c>
      <c r="L275" s="15" t="n">
        <f aca="false">K275*(1+IF(L$3&lt;=$O$2,$D275,$D275-($D275-$I$265)*MIN(L$3-$O$2,$Q$2)/$Q$2))</f>
        <v>7892.26334692343</v>
      </c>
      <c r="M275" s="15" t="n">
        <f aca="false">L275*(1+IF(M$3&lt;=$O$2,$D275,$D275-($D275-$I$265)*MIN(M$3-$O$2,$Q$2)/$Q$2))</f>
        <v>8141.04968460912</v>
      </c>
      <c r="N275" s="15" t="n">
        <f aca="false">M275*(1+IF(N$3&lt;=$O$2,$D275,$D275-($D275-$I$265)*MIN(N$3-$O$2,$Q$2)/$Q$2))</f>
        <v>8412.1466391066</v>
      </c>
      <c r="O275" s="15" t="n">
        <f aca="false">SUMPRODUCT(E275:N275,1/(1+$F$265)^$E$3:$N$3)*$E$2</f>
        <v>9356.93486748802</v>
      </c>
      <c r="P275" s="15" t="n">
        <f aca="false">N275*$E$2*(1+$I$265)/($F$265-$I$265)/(1+$F$265)^$N$3</f>
        <v>12968.6225547526</v>
      </c>
      <c r="Q275" s="15" t="n">
        <f aca="false">O275+P275</f>
        <v>22325.5574222406</v>
      </c>
      <c r="R275" s="15" t="n">
        <f aca="false">Q275-$G$2+$I$2</f>
        <v>17025.6574222406</v>
      </c>
      <c r="S275" s="42" t="n">
        <f aca="false">R275/$K$2</f>
        <v>144.923879998643</v>
      </c>
      <c r="T275" s="43" t="n">
        <f aca="false">S275-$M$2</f>
        <v>-2.25010706298443</v>
      </c>
    </row>
    <row r="276" customFormat="false" ht="15" hidden="false" customHeight="false" outlineLevel="0" collapsed="false">
      <c r="A276" s="5" t="n">
        <v>10</v>
      </c>
      <c r="B276" s="25" t="n">
        <f aca="false">IF(T275&gt;0,B275,D275)</f>
        <v>0.0244140625</v>
      </c>
      <c r="C276" s="25" t="n">
        <f aca="false">IF(T275&gt;0,D275,C275)</f>
        <v>0.02734375</v>
      </c>
      <c r="D276" s="41" t="n">
        <f aca="false">(B276+C276)/2</f>
        <v>0.02587890625</v>
      </c>
      <c r="E276" s="15" t="n">
        <f aca="false">$C$2*(1+IF(E$3&lt;=$O$2,$D276,$D276-($D276-$I$265)*MIN(E$3-$O$2,$Q$2)/$Q$2))</f>
        <v>6606.66015625</v>
      </c>
      <c r="F276" s="15" t="n">
        <f aca="false">E276*(1+IF(F$3&lt;=$O$2,$D276,$D276-($D276-$I$265)*MIN(F$3-$O$2,$Q$2)/$Q$2))</f>
        <v>6777.6332950592</v>
      </c>
      <c r="G276" s="15" t="n">
        <f aca="false">F276*(1+IF(G$3&lt;=$O$2,$D276,$D276-($D276-$I$265)*MIN(G$3-$O$2,$Q$2)/$Q$2))</f>
        <v>6953.03103169892</v>
      </c>
      <c r="H276" s="15" t="n">
        <f aca="false">G276*(1+IF(H$3&lt;=$O$2,$D276,$D276-($D276-$I$265)*MIN(H$3-$O$2,$Q$2)/$Q$2))</f>
        <v>7132.9678699216</v>
      </c>
      <c r="I276" s="15" t="n">
        <f aca="false">H276*(1+IF(I$3&lt;=$O$2,$D276,$D276-($D276-$I$265)*MIN(I$3-$O$2,$Q$2)/$Q$2))</f>
        <v>7317.56127671156</v>
      </c>
      <c r="J276" s="15" t="n">
        <f aca="false">I276*(1+IF(J$3&lt;=$O$2,$D276,$D276-($D276-$I$265)*MIN(J$3-$O$2,$Q$2)/$Q$2))</f>
        <v>7517.79262062138</v>
      </c>
      <c r="K276" s="15" t="n">
        <f aca="false">J276*(1+IF(K$3&lt;=$O$2,$D276,$D276-($D276-$I$265)*MIN(K$3-$O$2,$Q$2)/$Q$2))</f>
        <v>7734.66096858966</v>
      </c>
      <c r="L276" s="15" t="n">
        <f aca="false">K276*(1+IF(L$3&lt;=$O$2,$D276,$D276-($D276-$I$265)*MIN(L$3-$O$2,$Q$2)/$Q$2))</f>
        <v>7969.26532117475</v>
      </c>
      <c r="M276" s="15" t="n">
        <f aca="false">L276*(1+IF(M$3&lt;=$O$2,$D276,$D276-($D276-$I$265)*MIN(M$3-$O$2,$Q$2)/$Q$2))</f>
        <v>8222.81372335645</v>
      </c>
      <c r="N276" s="15" t="n">
        <f aca="false">M276*(1+IF(N$3&lt;=$O$2,$D276,$D276-($D276-$I$265)*MIN(N$3-$O$2,$Q$2)/$Q$2))</f>
        <v>8496.63342034422</v>
      </c>
      <c r="O276" s="15" t="n">
        <f aca="false">SUMPRODUCT(E276:N276,1/(1+$F$265)^$E$3:$N$3)*$E$2</f>
        <v>9416.60503973502</v>
      </c>
      <c r="P276" s="15" t="n">
        <f aca="false">N276*$E$2*(1+$I$265)/($F$265-$I$265)/(1+$F$265)^$N$3</f>
        <v>13098.8719695266</v>
      </c>
      <c r="Q276" s="15" t="n">
        <f aca="false">O276+P276</f>
        <v>22515.4770092616</v>
      </c>
      <c r="R276" s="15" t="n">
        <f aca="false">Q276-$G$2+$I$2</f>
        <v>17215.5770092616</v>
      </c>
      <c r="S276" s="42" t="n">
        <f aca="false">R276/$K$2</f>
        <v>146.540492077474</v>
      </c>
      <c r="T276" s="43" t="n">
        <f aca="false">S276-$M$2</f>
        <v>-0.633494984154027</v>
      </c>
    </row>
    <row r="277" customFormat="false" ht="15" hidden="false" customHeight="false" outlineLevel="0" collapsed="false">
      <c r="A277" s="5" t="n">
        <v>11</v>
      </c>
      <c r="B277" s="25" t="n">
        <f aca="false">IF(T276&gt;0,B276,D276)</f>
        <v>0.02587890625</v>
      </c>
      <c r="C277" s="25" t="n">
        <f aca="false">IF(T276&gt;0,D276,C276)</f>
        <v>0.02734375</v>
      </c>
      <c r="D277" s="41" t="n">
        <f aca="false">(B277+C277)/2</f>
        <v>0.026611328125</v>
      </c>
      <c r="E277" s="15" t="n">
        <f aca="false">$C$2*(1+IF(E$3&lt;=$O$2,$D277,$D277-($D277-$I$265)*MIN(E$3-$O$2,$Q$2)/$Q$2))</f>
        <v>6611.376953125</v>
      </c>
      <c r="F277" s="15" t="n">
        <f aca="false">E277*(1+IF(F$3&lt;=$O$2,$D277,$D277-($D277-$I$265)*MIN(F$3-$O$2,$Q$2)/$Q$2))</f>
        <v>6787.31447458267</v>
      </c>
      <c r="G277" s="15" t="n">
        <f aca="false">F277*(1+IF(G$3&lt;=$O$2,$D277,$D277-($D277-$I$265)*MIN(G$3-$O$2,$Q$2)/$Q$2))</f>
        <v>6967.93392715335</v>
      </c>
      <c r="H277" s="15" t="n">
        <f aca="false">G277*(1+IF(H$3&lt;=$O$2,$D277,$D277-($D277-$I$265)*MIN(H$3-$O$2,$Q$2)/$Q$2))</f>
        <v>7153.35990324215</v>
      </c>
      <c r="I277" s="15" t="n">
        <f aca="false">H277*(1+IF(I$3&lt;=$O$2,$D277,$D277-($D277-$I$265)*MIN(I$3-$O$2,$Q$2)/$Q$2))</f>
        <v>7343.72031082355</v>
      </c>
      <c r="J277" s="15" t="n">
        <f aca="false">I277*(1+IF(J$3&lt;=$O$2,$D277,$D277-($D277-$I$265)*MIN(J$3-$O$2,$Q$2)/$Q$2))</f>
        <v>7548.97040877327</v>
      </c>
      <c r="K277" s="15" t="n">
        <f aca="false">J277*(1+IF(K$3&lt;=$O$2,$D277,$D277-($D277-$I$265)*MIN(K$3-$O$2,$Q$2)/$Q$2))</f>
        <v>7770.0555717504</v>
      </c>
      <c r="L277" s="15" t="n">
        <f aca="false">K277*(1+IF(L$3&lt;=$O$2,$D277,$D277-($D277-$I$265)*MIN(L$3-$O$2,$Q$2)/$Q$2))</f>
        <v>8008.00988142171</v>
      </c>
      <c r="M277" s="15" t="n">
        <f aca="false">L277*(1+IF(M$3&lt;=$O$2,$D277,$D277-($D277-$I$265)*MIN(M$3-$O$2,$Q$2)/$Q$2))</f>
        <v>8263.96402037934</v>
      </c>
      <c r="N277" s="15" t="n">
        <f aca="false">M277*(1+IF(N$3&lt;=$O$2,$D277,$D277-($D277-$I$265)*MIN(N$3-$O$2,$Q$2)/$Q$2))</f>
        <v>8539.15402225797</v>
      </c>
      <c r="O277" s="15" t="n">
        <f aca="false">SUMPRODUCT(E277:N277,1/(1+$F$265)^$E$3:$N$3)*$E$2</f>
        <v>9446.58507123213</v>
      </c>
      <c r="P277" s="15" t="n">
        <f aca="false">N277*$E$2*(1+$I$265)/($F$265-$I$265)/(1+$F$265)^$N$3</f>
        <v>13164.4240409154</v>
      </c>
      <c r="Q277" s="15" t="n">
        <f aca="false">O277+P277</f>
        <v>22611.0091121476</v>
      </c>
      <c r="R277" s="15" t="n">
        <f aca="false">Q277-$G$2+$I$2</f>
        <v>17311.1091121476</v>
      </c>
      <c r="S277" s="42" t="n">
        <f aca="false">R277/$K$2</f>
        <v>147.353669664177</v>
      </c>
      <c r="T277" s="43" t="n">
        <f aca="false">S277-$M$2</f>
        <v>0.179682602549889</v>
      </c>
    </row>
    <row r="278" customFormat="false" ht="15" hidden="false" customHeight="false" outlineLevel="0" collapsed="false">
      <c r="A278" s="5" t="n">
        <v>12</v>
      </c>
      <c r="B278" s="25" t="n">
        <f aca="false">IF(T277&gt;0,B277,D277)</f>
        <v>0.02587890625</v>
      </c>
      <c r="C278" s="25" t="n">
        <f aca="false">IF(T277&gt;0,D277,C277)</f>
        <v>0.026611328125</v>
      </c>
      <c r="D278" s="41" t="n">
        <f aca="false">(B278+C278)/2</f>
        <v>0.0262451171875</v>
      </c>
      <c r="E278" s="15" t="n">
        <f aca="false">$C$2*(1+IF(E$3&lt;=$O$2,$D278,$D278-($D278-$I$265)*MIN(E$3-$O$2,$Q$2)/$Q$2))</f>
        <v>6609.0185546875</v>
      </c>
      <c r="F278" s="15" t="n">
        <f aca="false">E278*(1+IF(F$3&lt;=$O$2,$D278,$D278-($D278-$I$265)*MIN(F$3-$O$2,$Q$2)/$Q$2))</f>
        <v>6782.47302114964</v>
      </c>
      <c r="G278" s="15" t="n">
        <f aca="false">F278*(1+IF(G$3&lt;=$O$2,$D278,$D278-($D278-$I$265)*MIN(G$3-$O$2,$Q$2)/$Q$2))</f>
        <v>6960.47982041077</v>
      </c>
      <c r="H278" s="15" t="n">
        <f aca="false">G278*(1+IF(H$3&lt;=$O$2,$D278,$D278-($D278-$I$265)*MIN(H$3-$O$2,$Q$2)/$Q$2))</f>
        <v>7143.15842897867</v>
      </c>
      <c r="I278" s="15" t="n">
        <f aca="false">H278*(1+IF(I$3&lt;=$O$2,$D278,$D278-($D278-$I$265)*MIN(I$3-$O$2,$Q$2)/$Q$2))</f>
        <v>7330.6314590361</v>
      </c>
      <c r="J278" s="15" t="n">
        <f aca="false">I278*(1+IF(J$3&lt;=$O$2,$D278,$D278-($D278-$I$265)*MIN(J$3-$O$2,$Q$2)/$Q$2))</f>
        <v>7533.3680899139</v>
      </c>
      <c r="K278" s="15" t="n">
        <f aca="false">J278*(1+IF(K$3&lt;=$O$2,$D278,$D278-($D278-$I$265)*MIN(K$3-$O$2,$Q$2)/$Q$2))</f>
        <v>7752.34102987337</v>
      </c>
      <c r="L278" s="15" t="n">
        <f aca="false">K278*(1+IF(L$3&lt;=$O$2,$D278,$D278-($D278-$I$265)*MIN(L$3-$O$2,$Q$2)/$Q$2))</f>
        <v>7988.61724317284</v>
      </c>
      <c r="M278" s="15" t="n">
        <f aca="false">L278*(1+IF(M$3&lt;=$O$2,$D278,$D278-($D278-$I$265)*MIN(M$3-$O$2,$Q$2)/$Q$2))</f>
        <v>8243.3664456736</v>
      </c>
      <c r="N278" s="15" t="n">
        <f aca="false">M278*(1+IF(N$3&lt;=$O$2,$D278,$D278-($D278-$I$265)*MIN(N$3-$O$2,$Q$2)/$Q$2))</f>
        <v>8517.87054831453</v>
      </c>
      <c r="O278" s="15" t="n">
        <f aca="false">SUMPRODUCT(E278:N278,1/(1+$F$265)^$E$3:$N$3)*$E$2</f>
        <v>9431.5829460366</v>
      </c>
      <c r="P278" s="15" t="n">
        <f aca="false">N278*$E$2*(1+$I$265)/($F$265-$I$265)/(1+$F$265)^$N$3</f>
        <v>13131.6122804852</v>
      </c>
      <c r="Q278" s="15" t="n">
        <f aca="false">O278+P278</f>
        <v>22563.1952265218</v>
      </c>
      <c r="R278" s="15" t="n">
        <f aca="false">Q278-$G$2+$I$2</f>
        <v>17263.2952265218</v>
      </c>
      <c r="S278" s="42" t="n">
        <f aca="false">R278/$K$2</f>
        <v>146.946673702092</v>
      </c>
      <c r="T278" s="43" t="n">
        <f aca="false">S278-$M$2</f>
        <v>-0.227313359535401</v>
      </c>
    </row>
    <row r="279" customFormat="false" ht="15" hidden="false" customHeight="false" outlineLevel="0" collapsed="false">
      <c r="A279" s="5" t="n">
        <v>13</v>
      </c>
      <c r="B279" s="25" t="n">
        <f aca="false">IF(T278&gt;0,B278,D278)</f>
        <v>0.0262451171875</v>
      </c>
      <c r="C279" s="25" t="n">
        <f aca="false">IF(T278&gt;0,D278,C278)</f>
        <v>0.026611328125</v>
      </c>
      <c r="D279" s="41" t="n">
        <f aca="false">(B279+C279)/2</f>
        <v>0.02642822265625</v>
      </c>
      <c r="E279" s="15" t="n">
        <f aca="false">$C$2*(1+IF(E$3&lt;=$O$2,$D279,$D279-($D279-$I$265)*MIN(E$3-$O$2,$Q$2)/$Q$2))</f>
        <v>6610.19775390625</v>
      </c>
      <c r="F279" s="15" t="n">
        <f aca="false">E279*(1+IF(F$3&lt;=$O$2,$D279,$D279-($D279-$I$265)*MIN(F$3-$O$2,$Q$2)/$Q$2))</f>
        <v>6784.89353194833</v>
      </c>
      <c r="G279" s="15" t="n">
        <f aca="false">F279*(1+IF(G$3&lt;=$O$2,$D279,$D279-($D279-$I$265)*MIN(G$3-$O$2,$Q$2)/$Q$2))</f>
        <v>6964.20620890961</v>
      </c>
      <c r="H279" s="15" t="n">
        <f aca="false">G279*(1+IF(H$3&lt;=$O$2,$D279,$D279-($D279-$I$265)*MIN(H$3-$O$2,$Q$2)/$Q$2))</f>
        <v>7148.25780122271</v>
      </c>
      <c r="I279" s="15" t="n">
        <f aca="false">H279*(1+IF(I$3&lt;=$O$2,$D279,$D279-($D279-$I$265)*MIN(I$3-$O$2,$Q$2)/$Q$2))</f>
        <v>7337.1735499977</v>
      </c>
      <c r="J279" s="15" t="n">
        <f aca="false">I279*(1+IF(J$3&lt;=$O$2,$D279,$D279-($D279-$I$265)*MIN(J$3-$O$2,$Q$2)/$Q$2))</f>
        <v>7541.1658908382</v>
      </c>
      <c r="K279" s="15" t="n">
        <f aca="false">J279*(1+IF(K$3&lt;=$O$2,$D279,$D279-($D279-$I$265)*MIN(K$3-$O$2,$Q$2)/$Q$2))</f>
        <v>7761.19398725463</v>
      </c>
      <c r="L279" s="15" t="n">
        <f aca="false">K279*(1+IF(L$3&lt;=$O$2,$D279,$D279-($D279-$I$265)*MIN(L$3-$O$2,$Q$2)/$Q$2))</f>
        <v>7998.30846822939</v>
      </c>
      <c r="M279" s="15" t="n">
        <f aca="false">L279*(1+IF(M$3&lt;=$O$2,$D279,$D279-($D279-$I$265)*MIN(M$3-$O$2,$Q$2)/$Q$2))</f>
        <v>8253.65962123736</v>
      </c>
      <c r="N279" s="15" t="n">
        <f aca="false">M279*(1+IF(N$3&lt;=$O$2,$D279,$D279-($D279-$I$265)*MIN(N$3-$O$2,$Q$2)/$Q$2))</f>
        <v>8528.50648662457</v>
      </c>
      <c r="O279" s="15" t="n">
        <f aca="false">SUMPRODUCT(E279:N279,1/(1+$F$265)^$E$3:$N$3)*$E$2</f>
        <v>9439.08097896848</v>
      </c>
      <c r="P279" s="15" t="n">
        <f aca="false">N279*$E$2*(1+$I$265)/($F$265-$I$265)/(1+$F$265)^$N$3</f>
        <v>13148.0092211682</v>
      </c>
      <c r="Q279" s="15" t="n">
        <f aca="false">O279+P279</f>
        <v>22587.0902001367</v>
      </c>
      <c r="R279" s="15" t="n">
        <f aca="false">Q279-$G$2+$I$2</f>
        <v>17287.1902001367</v>
      </c>
      <c r="S279" s="42" t="n">
        <f aca="false">R279/$K$2</f>
        <v>147.150069800279</v>
      </c>
      <c r="T279" s="43" t="n">
        <f aca="false">S279-$M$2</f>
        <v>-0.0239172613489416</v>
      </c>
    </row>
    <row r="280" customFormat="false" ht="15" hidden="false" customHeight="false" outlineLevel="0" collapsed="false">
      <c r="A280" s="5" t="n">
        <v>14</v>
      </c>
      <c r="B280" s="25" t="n">
        <f aca="false">IF(T279&gt;0,B279,D279)</f>
        <v>0.02642822265625</v>
      </c>
      <c r="C280" s="25" t="n">
        <f aca="false">IF(T279&gt;0,D279,C279)</f>
        <v>0.026611328125</v>
      </c>
      <c r="D280" s="41" t="n">
        <f aca="false">(B280+C280)/2</f>
        <v>0.026519775390625</v>
      </c>
      <c r="E280" s="15" t="n">
        <f aca="false">$C$2*(1+IF(E$3&lt;=$O$2,$D280,$D280-($D280-$I$265)*MIN(E$3-$O$2,$Q$2)/$Q$2))</f>
        <v>6610.78735351563</v>
      </c>
      <c r="F280" s="15" t="n">
        <f aca="false">E280*(1+IF(F$3&lt;=$O$2,$D280,$D280-($D280-$I$265)*MIN(F$3-$O$2,$Q$2)/$Q$2))</f>
        <v>6786.10394928604</v>
      </c>
      <c r="G280" s="15" t="n">
        <f aca="false">F280*(1+IF(G$3&lt;=$O$2,$D280,$D280-($D280-$I$265)*MIN(G$3-$O$2,$Q$2)/$Q$2))</f>
        <v>6966.06990179854</v>
      </c>
      <c r="H280" s="15" t="n">
        <f aca="false">G280*(1+IF(H$3&lt;=$O$2,$D280,$D280-($D280-$I$265)*MIN(H$3-$O$2,$Q$2)/$Q$2))</f>
        <v>7150.80851094963</v>
      </c>
      <c r="I280" s="15" t="n">
        <f aca="false">H280*(1+IF(I$3&lt;=$O$2,$D280,$D280-($D280-$I$265)*MIN(I$3-$O$2,$Q$2)/$Q$2))</f>
        <v>7340.44634652139</v>
      </c>
      <c r="J280" s="15" t="n">
        <f aca="false">I280*(1+IF(J$3&lt;=$O$2,$D280,$D280-($D280-$I$265)*MIN(J$3-$O$2,$Q$2)/$Q$2))</f>
        <v>7545.06730989057</v>
      </c>
      <c r="K280" s="15" t="n">
        <f aca="false">J280*(1+IF(K$3&lt;=$O$2,$D280,$D280-($D280-$I$265)*MIN(K$3-$O$2,$Q$2)/$Q$2))</f>
        <v>7765.62370067758</v>
      </c>
      <c r="L280" s="15" t="n">
        <f aca="false">K280*(1+IF(L$3&lt;=$O$2,$D280,$D280-($D280-$I$265)*MIN(L$3-$O$2,$Q$2)/$Q$2))</f>
        <v>8003.15790074115</v>
      </c>
      <c r="M280" s="15" t="n">
        <f aca="false">L280*(1+IF(M$3&lt;=$O$2,$D280,$D280-($D280-$I$265)*MIN(M$3-$O$2,$Q$2)/$Q$2))</f>
        <v>8258.81041720557</v>
      </c>
      <c r="N280" s="15" t="n">
        <f aca="false">M280*(1+IF(N$3&lt;=$O$2,$D280,$D280-($D280-$I$265)*MIN(N$3-$O$2,$Q$2)/$Q$2))</f>
        <v>8533.82880409851</v>
      </c>
      <c r="O280" s="15" t="n">
        <f aca="false">SUMPRODUCT(E280:N280,1/(1+$F$265)^$E$3:$N$3)*$E$2</f>
        <v>9442.83226739565</v>
      </c>
      <c r="P280" s="15" t="n">
        <f aca="false">N280*$E$2*(1+$I$265)/($F$265-$I$265)/(1+$F$265)^$N$3</f>
        <v>13156.2143951146</v>
      </c>
      <c r="Q280" s="15" t="n">
        <f aca="false">O280+P280</f>
        <v>22599.0466625103</v>
      </c>
      <c r="R280" s="15" t="n">
        <f aca="false">Q280-$G$2+$I$2</f>
        <v>17299.1466625103</v>
      </c>
      <c r="S280" s="42" t="n">
        <f aca="false">R280/$K$2</f>
        <v>147.251844250172</v>
      </c>
      <c r="T280" s="43" t="n">
        <f aca="false">S280-$M$2</f>
        <v>0.0778571885448685</v>
      </c>
    </row>
    <row r="281" customFormat="false" ht="15" hidden="false" customHeight="false" outlineLevel="0" collapsed="false">
      <c r="A281" s="5" t="n">
        <v>15</v>
      </c>
      <c r="B281" s="25" t="n">
        <f aca="false">IF(T280&gt;0,B280,D280)</f>
        <v>0.02642822265625</v>
      </c>
      <c r="C281" s="25" t="n">
        <f aca="false">IF(T280&gt;0,D280,C280)</f>
        <v>0.026519775390625</v>
      </c>
      <c r="D281" s="41" t="n">
        <f aca="false">(B281+C281)/2</f>
        <v>0.0264739990234375</v>
      </c>
      <c r="E281" s="15" t="n">
        <f aca="false">$C$2*(1+IF(E$3&lt;=$O$2,$D281,$D281-($D281-$I$265)*MIN(E$3-$O$2,$Q$2)/$Q$2))</f>
        <v>6610.49255371094</v>
      </c>
      <c r="F281" s="15" t="n">
        <f aca="false">E281*(1+IF(F$3&lt;=$O$2,$D281,$D281-($D281-$I$265)*MIN(F$3-$O$2,$Q$2)/$Q$2))</f>
        <v>6785.49872712232</v>
      </c>
      <c r="G281" s="15" t="n">
        <f aca="false">F281*(1+IF(G$3&lt;=$O$2,$D281,$D281-($D281-$I$265)*MIN(G$3-$O$2,$Q$2)/$Q$2))</f>
        <v>6965.1380137977</v>
      </c>
      <c r="H281" s="15" t="n">
        <f aca="false">G281*(1+IF(H$3&lt;=$O$2,$D281,$D281-($D281-$I$265)*MIN(H$3-$O$2,$Q$2)/$Q$2))</f>
        <v>7149.53307077308</v>
      </c>
      <c r="I281" s="15" t="n">
        <f aca="false">H281*(1+IF(I$3&lt;=$O$2,$D281,$D281-($D281-$I$265)*MIN(I$3-$O$2,$Q$2)/$Q$2))</f>
        <v>7338.80980230676</v>
      </c>
      <c r="J281" s="15" t="n">
        <f aca="false">I281*(1+IF(J$3&lt;=$O$2,$D281,$D281-($D281-$I$265)*MIN(J$3-$O$2,$Q$2)/$Q$2))</f>
        <v>7543.1163904217</v>
      </c>
      <c r="K281" s="15" t="n">
        <f aca="false">J281*(1+IF(K$3&lt;=$O$2,$D281,$D281-($D281-$I$265)*MIN(K$3-$O$2,$Q$2)/$Q$2))</f>
        <v>7763.40857431433</v>
      </c>
      <c r="L281" s="15" t="n">
        <f aca="false">K281*(1+IF(L$3&lt;=$O$2,$D281,$D281-($D281-$I$265)*MIN(L$3-$O$2,$Q$2)/$Q$2))</f>
        <v>8000.73286603511</v>
      </c>
      <c r="M281" s="15" t="n">
        <f aca="false">L281*(1+IF(M$3&lt;=$O$2,$D281,$D281-($D281-$I$265)*MIN(M$3-$O$2,$Q$2)/$Q$2))</f>
        <v>8256.23466840273</v>
      </c>
      <c r="N281" s="15" t="n">
        <f aca="false">M281*(1+IF(N$3&lt;=$O$2,$D281,$D281-($D281-$I$265)*MIN(N$3-$O$2,$Q$2)/$Q$2))</f>
        <v>8531.16728286054</v>
      </c>
      <c r="O281" s="15" t="n">
        <f aca="false">SUMPRODUCT(E281:N281,1/(1+$F$265)^$E$3:$N$3)*$E$2</f>
        <v>9440.95643379194</v>
      </c>
      <c r="P281" s="15" t="n">
        <f aca="false">N281*$E$2*(1+$I$265)/($F$265-$I$265)/(1+$F$265)^$N$3</f>
        <v>13152.1112492902</v>
      </c>
      <c r="Q281" s="15" t="n">
        <f aca="false">O281+P281</f>
        <v>22593.0676830821</v>
      </c>
      <c r="R281" s="15" t="n">
        <f aca="false">Q281-$G$2+$I$2</f>
        <v>17293.1676830821</v>
      </c>
      <c r="S281" s="42" t="n">
        <f aca="false">R281/$K$2</f>
        <v>147.20095065613</v>
      </c>
      <c r="T281" s="43" t="n">
        <f aca="false">S281-$M$2</f>
        <v>0.0269635945021207</v>
      </c>
    </row>
    <row r="282" customFormat="false" ht="15" hidden="false" customHeight="false" outlineLevel="0" collapsed="false">
      <c r="A282" s="5" t="n">
        <v>16</v>
      </c>
      <c r="B282" s="25" t="n">
        <f aca="false">IF(T281&gt;0,B281,D281)</f>
        <v>0.02642822265625</v>
      </c>
      <c r="C282" s="25" t="n">
        <f aca="false">IF(T281&gt;0,D281,C281)</f>
        <v>0.0264739990234375</v>
      </c>
      <c r="D282" s="41" t="n">
        <f aca="false">(B282+C282)/2</f>
        <v>0.0264511108398438</v>
      </c>
      <c r="E282" s="15" t="n">
        <f aca="false">$C$2*(1+IF(E$3&lt;=$O$2,$D282,$D282-($D282-$I$265)*MIN(E$3-$O$2,$Q$2)/$Q$2))</f>
        <v>6610.34515380859</v>
      </c>
      <c r="F282" s="15" t="n">
        <f aca="false">E282*(1+IF(F$3&lt;=$O$2,$D282,$D282-($D282-$I$265)*MIN(F$3-$O$2,$Q$2)/$Q$2))</f>
        <v>6785.19612616161</v>
      </c>
      <c r="G282" s="15" t="n">
        <f aca="false">F282*(1+IF(G$3&lt;=$O$2,$D282,$D282-($D282-$I$265)*MIN(G$3-$O$2,$Q$2)/$Q$2))</f>
        <v>6964.67210096479</v>
      </c>
      <c r="H282" s="15" t="n">
        <f aca="false">G282*(1+IF(H$3&lt;=$O$2,$D282,$D282-($D282-$I$265)*MIN(H$3-$O$2,$Q$2)/$Q$2))</f>
        <v>7148.89541467058</v>
      </c>
      <c r="I282" s="15" t="n">
        <f aca="false">H282*(1+IF(I$3&lt;=$O$2,$D282,$D282-($D282-$I$265)*MIN(I$3-$O$2,$Q$2)/$Q$2))</f>
        <v>7337.99163966648</v>
      </c>
      <c r="J282" s="15" t="n">
        <f aca="false">I282*(1+IF(J$3&lt;=$O$2,$D282,$D282-($D282-$I$265)*MIN(J$3-$O$2,$Q$2)/$Q$2))</f>
        <v>7542.14108814879</v>
      </c>
      <c r="K282" s="15" t="n">
        <f aca="false">J282*(1+IF(K$3&lt;=$O$2,$D282,$D282-($D282-$I$265)*MIN(K$3-$O$2,$Q$2)/$Q$2))</f>
        <v>7762.30121337835</v>
      </c>
      <c r="L282" s="15" t="n">
        <f aca="false">K282*(1+IF(L$3&lt;=$O$2,$D282,$D282-($D282-$I$265)*MIN(L$3-$O$2,$Q$2)/$Q$2))</f>
        <v>7999.52058752858</v>
      </c>
      <c r="M282" s="15" t="n">
        <f aca="false">L282*(1+IF(M$3&lt;=$O$2,$D282,$D282-($D282-$I$265)*MIN(M$3-$O$2,$Q$2)/$Q$2))</f>
        <v>8254.9470571256</v>
      </c>
      <c r="N282" s="15" t="n">
        <f aca="false">M282*(1+IF(N$3&lt;=$O$2,$D282,$D282-($D282-$I$265)*MIN(N$3-$O$2,$Q$2)/$Q$2))</f>
        <v>8529.83679412789</v>
      </c>
      <c r="O282" s="15" t="n">
        <f aca="false">SUMPRODUCT(E282:N282,1/(1+$F$265)^$E$3:$N$3)*$E$2</f>
        <v>9440.01865903718</v>
      </c>
      <c r="P282" s="15" t="n">
        <f aca="false">N282*$E$2*(1+$I$265)/($F$265-$I$265)/(1+$F$265)^$N$3</f>
        <v>13150.0600955327</v>
      </c>
      <c r="Q282" s="15" t="n">
        <f aca="false">O282+P282</f>
        <v>22590.0787545699</v>
      </c>
      <c r="R282" s="15" t="n">
        <f aca="false">Q282-$G$2+$I$2</f>
        <v>17290.1787545699</v>
      </c>
      <c r="S282" s="42" t="n">
        <f aca="false">R282/$K$2</f>
        <v>147.175508636107</v>
      </c>
      <c r="T282" s="43" t="n">
        <f aca="false">S282-$M$2</f>
        <v>0.00152157447982404</v>
      </c>
    </row>
    <row r="283" customFormat="false" ht="15" hidden="false" customHeight="false" outlineLevel="0" collapsed="false">
      <c r="A283" s="5" t="n">
        <v>17</v>
      </c>
      <c r="B283" s="25" t="n">
        <f aca="false">IF(T282&gt;0,B282,D282)</f>
        <v>0.02642822265625</v>
      </c>
      <c r="C283" s="25" t="n">
        <f aca="false">IF(T282&gt;0,D282,C282)</f>
        <v>0.0264511108398438</v>
      </c>
      <c r="D283" s="41" t="n">
        <f aca="false">(B283+C283)/2</f>
        <v>0.0264396667480469</v>
      </c>
      <c r="E283" s="15" t="n">
        <f aca="false">$C$2*(1+IF(E$3&lt;=$O$2,$D283,$D283-($D283-$I$265)*MIN(E$3-$O$2,$Q$2)/$Q$2))</f>
        <v>6610.27145385742</v>
      </c>
      <c r="F283" s="15" t="n">
        <f aca="false">E283*(1+IF(F$3&lt;=$O$2,$D283,$D283-($D283-$I$265)*MIN(F$3-$O$2,$Q$2)/$Q$2))</f>
        <v>6785.04482821154</v>
      </c>
      <c r="G283" s="15" t="n">
        <f aca="false">F283*(1+IF(G$3&lt;=$O$2,$D283,$D283-($D283-$I$265)*MIN(G$3-$O$2,$Q$2)/$Q$2))</f>
        <v>6964.43915234001</v>
      </c>
      <c r="H283" s="15" t="n">
        <f aca="false">G283*(1+IF(H$3&lt;=$O$2,$D283,$D283-($D283-$I$265)*MIN(H$3-$O$2,$Q$2)/$Q$2))</f>
        <v>7148.57660261493</v>
      </c>
      <c r="I283" s="15" t="n">
        <f aca="false">H283*(1+IF(I$3&lt;=$O$2,$D283,$D283-($D283-$I$265)*MIN(I$3-$O$2,$Q$2)/$Q$2))</f>
        <v>7337.58258571096</v>
      </c>
      <c r="J283" s="15" t="n">
        <f aca="false">I283*(1+IF(J$3&lt;=$O$2,$D283,$D283-($D283-$I$265)*MIN(J$3-$O$2,$Q$2)/$Q$2))</f>
        <v>7541.65347637377</v>
      </c>
      <c r="K283" s="15" t="n">
        <f aca="false">J283*(1+IF(K$3&lt;=$O$2,$D283,$D283-($D283-$I$265)*MIN(K$3-$O$2,$Q$2)/$Q$2))</f>
        <v>7761.74758346581</v>
      </c>
      <c r="L283" s="15" t="n">
        <f aca="false">K283*(1+IF(L$3&lt;=$O$2,$D283,$D283-($D283-$I$265)*MIN(L$3-$O$2,$Q$2)/$Q$2))</f>
        <v>7998.91450797917</v>
      </c>
      <c r="M283" s="15" t="n">
        <f aca="false">L283*(1+IF(M$3&lt;=$O$2,$D283,$D283-($D283-$I$265)*MIN(M$3-$O$2,$Q$2)/$Q$2))</f>
        <v>8254.30331725916</v>
      </c>
      <c r="N283" s="15" t="n">
        <f aca="false">M283*(1+IF(N$3&lt;=$O$2,$D283,$D283-($D283-$I$265)*MIN(N$3-$O$2,$Q$2)/$Q$2))</f>
        <v>8529.17161772389</v>
      </c>
      <c r="O283" s="15" t="n">
        <f aca="false">SUMPRODUCT(E283:N283,1/(1+$F$265)^$E$3:$N$3)*$E$2</f>
        <v>9439.54980716764</v>
      </c>
      <c r="P283" s="15" t="n">
        <f aca="false">N283*$E$2*(1+$I$265)/($F$265-$I$265)/(1+$F$265)^$N$3</f>
        <v>13149.0346234284</v>
      </c>
      <c r="Q283" s="15" t="n">
        <f aca="false">O283+P283</f>
        <v>22588.584430596</v>
      </c>
      <c r="R283" s="15" t="n">
        <f aca="false">Q283-$G$2+$I$2</f>
        <v>17288.684430596</v>
      </c>
      <c r="S283" s="42" t="n">
        <f aca="false">R283/$K$2</f>
        <v>147.162788820191</v>
      </c>
      <c r="T283" s="43" t="n">
        <f aca="false">S283-$M$2</f>
        <v>-0.011198241436631</v>
      </c>
    </row>
    <row r="284" customFormat="false" ht="15" hidden="false" customHeight="false" outlineLevel="0" collapsed="false">
      <c r="A284" s="5" t="n">
        <v>18</v>
      </c>
      <c r="B284" s="25" t="n">
        <f aca="false">IF(T283&gt;0,B283,D283)</f>
        <v>0.0264396667480469</v>
      </c>
      <c r="C284" s="25" t="n">
        <f aca="false">IF(T283&gt;0,D283,C283)</f>
        <v>0.0264511108398438</v>
      </c>
      <c r="D284" s="41" t="n">
        <f aca="false">(B284+C284)/2</f>
        <v>0.0264453887939453</v>
      </c>
      <c r="E284" s="15" t="n">
        <f aca="false">$C$2*(1+IF(E$3&lt;=$O$2,$D284,$D284-($D284-$I$265)*MIN(E$3-$O$2,$Q$2)/$Q$2))</f>
        <v>6610.30830383301</v>
      </c>
      <c r="F284" s="15" t="n">
        <f aca="false">E284*(1+IF(F$3&lt;=$O$2,$D284,$D284-($D284-$I$265)*MIN(F$3-$O$2,$Q$2)/$Q$2))</f>
        <v>6785.12047697572</v>
      </c>
      <c r="G284" s="15" t="n">
        <f aca="false">F284*(1+IF(G$3&lt;=$O$2,$D284,$D284-($D284-$I$265)*MIN(G$3-$O$2,$Q$2)/$Q$2))</f>
        <v>6964.5556260031</v>
      </c>
      <c r="H284" s="15" t="n">
        <f aca="false">G284*(1+IF(H$3&lt;=$O$2,$D284,$D284-($D284-$I$265)*MIN(H$3-$O$2,$Q$2)/$Q$2))</f>
        <v>7148.73600730981</v>
      </c>
      <c r="I284" s="15" t="n">
        <f aca="false">H284*(1+IF(I$3&lt;=$O$2,$D284,$D284-($D284-$I$265)*MIN(I$3-$O$2,$Q$2)/$Q$2))</f>
        <v>7337.78711040839</v>
      </c>
      <c r="J284" s="15" t="n">
        <f aca="false">I284*(1+IF(J$3&lt;=$O$2,$D284,$D284-($D284-$I$265)*MIN(J$3-$O$2,$Q$2)/$Q$2))</f>
        <v>7541.89727898128</v>
      </c>
      <c r="K284" s="15" t="n">
        <f aca="false">J284*(1+IF(K$3&lt;=$O$2,$D284,$D284-($D284-$I$265)*MIN(K$3-$O$2,$Q$2)/$Q$2))</f>
        <v>7762.0243942093</v>
      </c>
      <c r="L284" s="15" t="n">
        <f aca="false">K284*(1+IF(L$3&lt;=$O$2,$D284,$D284-($D284-$I$265)*MIN(L$3-$O$2,$Q$2)/$Q$2))</f>
        <v>7999.21754277878</v>
      </c>
      <c r="M284" s="15" t="n">
        <f aca="false">L284*(1+IF(M$3&lt;=$O$2,$D284,$D284-($D284-$I$265)*MIN(M$3-$O$2,$Q$2)/$Q$2))</f>
        <v>8254.62518171164</v>
      </c>
      <c r="N284" s="15" t="n">
        <f aca="false">M284*(1+IF(N$3&lt;=$O$2,$D284,$D284-($D284-$I$265)*MIN(N$3-$O$2,$Q$2)/$Q$2))</f>
        <v>8529.50420026264</v>
      </c>
      <c r="O284" s="15" t="n">
        <f aca="false">SUMPRODUCT(E284:N284,1/(1+$F$265)^$E$3:$N$3)*$E$2</f>
        <v>9439.78423014354</v>
      </c>
      <c r="P284" s="15" t="n">
        <f aca="false">N284*$E$2*(1+$I$265)/($F$265-$I$265)/(1+$F$265)^$N$3</f>
        <v>13149.5473507498</v>
      </c>
      <c r="Q284" s="15" t="n">
        <f aca="false">O284+P284</f>
        <v>22589.3315808933</v>
      </c>
      <c r="R284" s="15" t="n">
        <f aca="false">Q284-$G$2+$I$2</f>
        <v>17289.4315808933</v>
      </c>
      <c r="S284" s="42" t="n">
        <f aca="false">R284/$K$2</f>
        <v>147.169148628646</v>
      </c>
      <c r="T284" s="43" t="n">
        <f aca="false">S284-$M$2</f>
        <v>-0.0048384329816713</v>
      </c>
    </row>
    <row r="285" customFormat="false" ht="15" hidden="false" customHeight="false" outlineLevel="0" collapsed="false">
      <c r="A285" s="5" t="n">
        <v>19</v>
      </c>
      <c r="B285" s="25" t="n">
        <f aca="false">IF(T284&gt;0,B284,D284)</f>
        <v>0.0264453887939453</v>
      </c>
      <c r="C285" s="25" t="n">
        <f aca="false">IF(T284&gt;0,D284,C284)</f>
        <v>0.0264511108398438</v>
      </c>
      <c r="D285" s="41" t="n">
        <f aca="false">(B285+C285)/2</f>
        <v>0.0264482498168945</v>
      </c>
      <c r="E285" s="15" t="n">
        <f aca="false">$C$2*(1+IF(E$3&lt;=$O$2,$D285,$D285-($D285-$I$265)*MIN(E$3-$O$2,$Q$2)/$Q$2))</f>
        <v>6610.3267288208</v>
      </c>
      <c r="F285" s="15" t="n">
        <f aca="false">E285*(1+IF(F$3&lt;=$O$2,$D285,$D285-($D285-$I$265)*MIN(F$3-$O$2,$Q$2)/$Q$2))</f>
        <v>6785.15830151595</v>
      </c>
      <c r="G285" s="15" t="n">
        <f aca="false">F285*(1+IF(G$3&lt;=$O$2,$D285,$D285-($D285-$I$265)*MIN(G$3-$O$2,$Q$2)/$Q$2))</f>
        <v>6964.61386332162</v>
      </c>
      <c r="H285" s="15" t="n">
        <f aca="false">G285*(1+IF(H$3&lt;=$O$2,$D285,$D285-($D285-$I$265)*MIN(H$3-$O$2,$Q$2)/$Q$2))</f>
        <v>7148.81571065696</v>
      </c>
      <c r="I285" s="15" t="n">
        <f aca="false">H285*(1+IF(I$3&lt;=$O$2,$D285,$D285-($D285-$I$265)*MIN(I$3-$O$2,$Q$2)/$Q$2))</f>
        <v>7337.88937446735</v>
      </c>
      <c r="J285" s="15" t="n">
        <f aca="false">I285*(1+IF(J$3&lt;=$O$2,$D285,$D285-($D285-$I$265)*MIN(J$3-$O$2,$Q$2)/$Q$2))</f>
        <v>7542.01918274502</v>
      </c>
      <c r="K285" s="15" t="n">
        <f aca="false">J285*(1+IF(K$3&lt;=$O$2,$D285,$D285-($D285-$I$265)*MIN(K$3-$O$2,$Q$2)/$Q$2))</f>
        <v>7762.16280274062</v>
      </c>
      <c r="L285" s="15" t="n">
        <f aca="false">K285*(1+IF(L$3&lt;=$O$2,$D285,$D285-($D285-$I$265)*MIN(L$3-$O$2,$Q$2)/$Q$2))</f>
        <v>7999.36906390989</v>
      </c>
      <c r="M285" s="15" t="n">
        <f aca="false">L285*(1+IF(M$3&lt;=$O$2,$D285,$D285-($D285-$I$265)*MIN(M$3-$O$2,$Q$2)/$Q$2))</f>
        <v>8254.78611804841</v>
      </c>
      <c r="N285" s="15" t="n">
        <f aca="false">M285*(1+IF(N$3&lt;=$O$2,$D285,$D285-($D285-$I$265)*MIN(N$3-$O$2,$Q$2)/$Q$2))</f>
        <v>8529.67049577943</v>
      </c>
      <c r="O285" s="15" t="n">
        <f aca="false">SUMPRODUCT(E285:N285,1/(1+$F$265)^$E$3:$N$3)*$E$2</f>
        <v>9439.90144385063</v>
      </c>
      <c r="P285" s="15" t="n">
        <f aca="false">N285*$E$2*(1+$I$265)/($F$265-$I$265)/(1+$F$265)^$N$3</f>
        <v>13149.8037209585</v>
      </c>
      <c r="Q285" s="15" t="n">
        <f aca="false">O285+P285</f>
        <v>22589.7051648092</v>
      </c>
      <c r="R285" s="15" t="n">
        <f aca="false">Q285-$G$2+$I$2</f>
        <v>17289.8051648092</v>
      </c>
      <c r="S285" s="42" t="n">
        <f aca="false">R285/$K$2</f>
        <v>147.1723286075</v>
      </c>
      <c r="T285" s="43" t="n">
        <f aca="false">S285-$M$2</f>
        <v>-0.00165845412709587</v>
      </c>
    </row>
    <row r="286" customFormat="false" ht="15" hidden="false" customHeight="false" outlineLevel="0" collapsed="false">
      <c r="A286" s="5" t="n">
        <v>20</v>
      </c>
      <c r="B286" s="25" t="n">
        <f aca="false">IF(T285&gt;0,B285,D285)</f>
        <v>0.0264482498168945</v>
      </c>
      <c r="C286" s="25" t="n">
        <f aca="false">IF(T285&gt;0,D285,C285)</f>
        <v>0.0264511108398438</v>
      </c>
      <c r="D286" s="41" t="n">
        <f aca="false">(B286+C286)/2</f>
        <v>0.0264496803283691</v>
      </c>
      <c r="E286" s="15" t="n">
        <f aca="false">$C$2*(1+IF(E$3&lt;=$O$2,$D286,$D286-($D286-$I$265)*MIN(E$3-$O$2,$Q$2)/$Q$2))</f>
        <v>6610.3359413147</v>
      </c>
      <c r="F286" s="15" t="n">
        <f aca="false">E286*(1+IF(F$3&lt;=$O$2,$D286,$D286-($D286-$I$265)*MIN(F$3-$O$2,$Q$2)/$Q$2))</f>
        <v>6785.1772138256</v>
      </c>
      <c r="G286" s="15" t="n">
        <f aca="false">F286*(1+IF(G$3&lt;=$O$2,$D286,$D286-($D286-$I$265)*MIN(G$3-$O$2,$Q$2)/$Q$2))</f>
        <v>6964.64298210262</v>
      </c>
      <c r="H286" s="15" t="n">
        <f aca="false">G286*(1+IF(H$3&lt;=$O$2,$D286,$D286-($D286-$I$265)*MIN(H$3-$O$2,$Q$2)/$Q$2))</f>
        <v>7148.85556258046</v>
      </c>
      <c r="I286" s="15" t="n">
        <f aca="false">H286*(1+IF(I$3&lt;=$O$2,$D286,$D286-($D286-$I$265)*MIN(I$3-$O$2,$Q$2)/$Q$2))</f>
        <v>7337.94050692439</v>
      </c>
      <c r="J286" s="15" t="n">
        <f aca="false">I286*(1+IF(J$3&lt;=$O$2,$D286,$D286-($D286-$I$265)*MIN(J$3-$O$2,$Q$2)/$Q$2))</f>
        <v>7542.0801352419</v>
      </c>
      <c r="K286" s="15" t="n">
        <f aca="false">J286*(1+IF(K$3&lt;=$O$2,$D286,$D286-($D286-$I$265)*MIN(K$3-$O$2,$Q$2)/$Q$2))</f>
        <v>7762.23200779618</v>
      </c>
      <c r="L286" s="15" t="n">
        <f aca="false">K286*(1+IF(L$3&lt;=$O$2,$D286,$D286-($D286-$I$265)*MIN(L$3-$O$2,$Q$2)/$Q$2))</f>
        <v>7999.44482540828</v>
      </c>
      <c r="M286" s="15" t="n">
        <f aca="false">L286*(1+IF(M$3&lt;=$O$2,$D286,$D286-($D286-$I$265)*MIN(M$3-$O$2,$Q$2)/$Q$2))</f>
        <v>8254.86658724445</v>
      </c>
      <c r="N286" s="15" t="n">
        <f aca="false">M286*(1+IF(N$3&lt;=$O$2,$D286,$D286-($D286-$I$265)*MIN(N$3-$O$2,$Q$2)/$Q$2))</f>
        <v>8529.7536445997</v>
      </c>
      <c r="O286" s="15" t="n">
        <f aca="false">SUMPRODUCT(E286:N286,1/(1+$F$265)^$E$3:$N$3)*$E$2</f>
        <v>9439.96005125897</v>
      </c>
      <c r="P286" s="15" t="n">
        <f aca="false">N286*$E$2*(1+$I$265)/($F$265-$I$265)/(1+$F$265)^$N$3</f>
        <v>13149.9319076999</v>
      </c>
      <c r="Q286" s="15" t="n">
        <f aca="false">O286+P286</f>
        <v>22589.8919589589</v>
      </c>
      <c r="R286" s="15" t="n">
        <f aca="false">Q286-$G$2+$I$2</f>
        <v>17289.9919589589</v>
      </c>
      <c r="S286" s="42" t="n">
        <f aca="false">R286/$K$2</f>
        <v>147.173918615585</v>
      </c>
      <c r="T286" s="43" t="n">
        <f aca="false">S286-$M$2</f>
        <v>-6.84460427748945E-005</v>
      </c>
    </row>
    <row r="287" customFormat="false" ht="15" hidden="false" customHeight="false" outlineLevel="0" collapsed="false">
      <c r="A287" s="5" t="n">
        <v>21</v>
      </c>
      <c r="B287" s="25" t="n">
        <f aca="false">IF(T286&gt;0,B286,D286)</f>
        <v>0.0264496803283691</v>
      </c>
      <c r="C287" s="25" t="n">
        <f aca="false">IF(T286&gt;0,D286,C286)</f>
        <v>0.0264511108398438</v>
      </c>
      <c r="D287" s="41" t="n">
        <f aca="false">(B287+C287)/2</f>
        <v>0.0264503955841064</v>
      </c>
      <c r="E287" s="15" t="n">
        <f aca="false">$C$2*(1+IF(E$3&lt;=$O$2,$D287,$D287-($D287-$I$265)*MIN(E$3-$O$2,$Q$2)/$Q$2))</f>
        <v>6610.34054756165</v>
      </c>
      <c r="F287" s="15" t="n">
        <f aca="false">E287*(1+IF(F$3&lt;=$O$2,$D287,$D287-($D287-$I$265)*MIN(F$3-$O$2,$Q$2)/$Q$2))</f>
        <v>6785.18666999031</v>
      </c>
      <c r="G287" s="15" t="n">
        <f aca="false">F287*(1+IF(G$3&lt;=$O$2,$D287,$D287-($D287-$I$265)*MIN(G$3-$O$2,$Q$2)/$Q$2))</f>
        <v>6964.65754152356</v>
      </c>
      <c r="H287" s="15" t="n">
        <f aca="false">G287*(1+IF(H$3&lt;=$O$2,$D287,$D287-($D287-$I$265)*MIN(H$3-$O$2,$Q$2)/$Q$2))</f>
        <v>7148.87548860469</v>
      </c>
      <c r="I287" s="15" t="n">
        <f aca="false">H287*(1+IF(I$3&lt;=$O$2,$D287,$D287-($D287-$I$265)*MIN(I$3-$O$2,$Q$2)/$Q$2))</f>
        <v>7337.9660732598</v>
      </c>
      <c r="J287" s="15" t="n">
        <f aca="false">I287*(1+IF(J$3&lt;=$O$2,$D287,$D287-($D287-$I$265)*MIN(J$3-$O$2,$Q$2)/$Q$2))</f>
        <v>7542.11061164409</v>
      </c>
      <c r="K287" s="15" t="n">
        <f aca="false">J287*(1+IF(K$3&lt;=$O$2,$D287,$D287-($D287-$I$265)*MIN(K$3-$O$2,$Q$2)/$Q$2))</f>
        <v>7762.26661052144</v>
      </c>
      <c r="L287" s="15" t="n">
        <f aca="false">K287*(1+IF(L$3&lt;=$O$2,$D287,$D287-($D287-$I$265)*MIN(L$3-$O$2,$Q$2)/$Q$2))</f>
        <v>7999.48270639069</v>
      </c>
      <c r="M287" s="15" t="n">
        <f aca="false">L287*(1+IF(M$3&lt;=$O$2,$D287,$D287-($D287-$I$265)*MIN(M$3-$O$2,$Q$2)/$Q$2))</f>
        <v>8254.90682209939</v>
      </c>
      <c r="N287" s="15" t="n">
        <f aca="false">M287*(1+IF(N$3&lt;=$O$2,$D287,$D287-($D287-$I$265)*MIN(N$3-$O$2,$Q$2)/$Q$2))</f>
        <v>8529.7952192753</v>
      </c>
      <c r="O287" s="15" t="n">
        <f aca="false">SUMPRODUCT(E287:N287,1/(1+$F$265)^$E$3:$N$3)*$E$2</f>
        <v>9439.98935510184</v>
      </c>
      <c r="P287" s="15" t="n">
        <f aca="false">N287*$E$2*(1+$I$265)/($F$265-$I$265)/(1+$F$265)^$N$3</f>
        <v>13149.9960014799</v>
      </c>
      <c r="Q287" s="15" t="n">
        <f aca="false">O287+P287</f>
        <v>22589.9853565817</v>
      </c>
      <c r="R287" s="15" t="n">
        <f aca="false">Q287-$G$2+$I$2</f>
        <v>17290.0853565817</v>
      </c>
      <c r="S287" s="42" t="n">
        <f aca="false">R287/$K$2</f>
        <v>147.174713624291</v>
      </c>
      <c r="T287" s="43" t="n">
        <f aca="false">S287-$M$2</f>
        <v>0.00072656266374338</v>
      </c>
    </row>
    <row r="288" customFormat="false" ht="15" hidden="false" customHeight="false" outlineLevel="0" collapsed="false">
      <c r="A288" s="5" t="n">
        <v>22</v>
      </c>
      <c r="B288" s="25" t="n">
        <f aca="false">IF(T287&gt;0,B287,D287)</f>
        <v>0.0264496803283691</v>
      </c>
      <c r="C288" s="25" t="n">
        <f aca="false">IF(T287&gt;0,D287,C287)</f>
        <v>0.0264503955841064</v>
      </c>
      <c r="D288" s="41" t="n">
        <f aca="false">(B288+C288)/2</f>
        <v>0.0264500379562378</v>
      </c>
      <c r="E288" s="15" t="n">
        <f aca="false">$C$2*(1+IF(E$3&lt;=$O$2,$D288,$D288-($D288-$I$265)*MIN(E$3-$O$2,$Q$2)/$Q$2))</f>
        <v>6610.33824443817</v>
      </c>
      <c r="F288" s="15" t="n">
        <f aca="false">E288*(1+IF(F$3&lt;=$O$2,$D288,$D288-($D288-$I$265)*MIN(F$3-$O$2,$Q$2)/$Q$2))</f>
        <v>6785.18194190713</v>
      </c>
      <c r="G288" s="15" t="n">
        <f aca="false">F288*(1+IF(G$3&lt;=$O$2,$D288,$D288-($D288-$I$265)*MIN(G$3-$O$2,$Q$2)/$Q$2))</f>
        <v>6964.65026181055</v>
      </c>
      <c r="H288" s="15" t="n">
        <f aca="false">G288*(1+IF(H$3&lt;=$O$2,$D288,$D288-($D288-$I$265)*MIN(H$3-$O$2,$Q$2)/$Q$2))</f>
        <v>7148.86552558737</v>
      </c>
      <c r="I288" s="15" t="n">
        <f aca="false">H288*(1+IF(I$3&lt;=$O$2,$D288,$D288-($D288-$I$265)*MIN(I$3-$O$2,$Q$2)/$Q$2))</f>
        <v>7337.95329008319</v>
      </c>
      <c r="J288" s="15" t="n">
        <f aca="false">I288*(1+IF(J$3&lt;=$O$2,$D288,$D288-($D288-$I$265)*MIN(J$3-$O$2,$Q$2)/$Q$2))</f>
        <v>7542.09537343019</v>
      </c>
      <c r="K288" s="15" t="n">
        <f aca="false">J288*(1+IF(K$3&lt;=$O$2,$D288,$D288-($D288-$I$265)*MIN(K$3-$O$2,$Q$2)/$Q$2))</f>
        <v>7762.24930914235</v>
      </c>
      <c r="L288" s="15" t="n">
        <f aca="false">K288*(1+IF(L$3&lt;=$O$2,$D288,$D288-($D288-$I$265)*MIN(L$3-$O$2,$Q$2)/$Q$2))</f>
        <v>7999.46376588005</v>
      </c>
      <c r="M288" s="15" t="n">
        <f aca="false">L288*(1+IF(M$3&lt;=$O$2,$D288,$D288-($D288-$I$265)*MIN(M$3-$O$2,$Q$2)/$Q$2))</f>
        <v>8254.88670465052</v>
      </c>
      <c r="N288" s="15" t="n">
        <f aca="false">M288*(1+IF(N$3&lt;=$O$2,$D288,$D288-($D288-$I$265)*MIN(N$3-$O$2,$Q$2)/$Q$2))</f>
        <v>8529.77443191538</v>
      </c>
      <c r="O288" s="15" t="n">
        <f aca="false">SUMPRODUCT(E288:N288,1/(1+$F$265)^$E$3:$N$3)*$E$2</f>
        <v>9439.97470316885</v>
      </c>
      <c r="P288" s="15" t="n">
        <f aca="false">N288*$E$2*(1+$I$265)/($F$265-$I$265)/(1+$F$265)^$N$3</f>
        <v>13149.9639545558</v>
      </c>
      <c r="Q288" s="15" t="n">
        <f aca="false">O288+P288</f>
        <v>22589.9386577247</v>
      </c>
      <c r="R288" s="15" t="n">
        <f aca="false">Q288-$G$2+$I$2</f>
        <v>17290.0386577247</v>
      </c>
      <c r="S288" s="42" t="n">
        <f aca="false">R288/$K$2</f>
        <v>147.174316119549</v>
      </c>
      <c r="T288" s="43" t="n">
        <f aca="false">S288-$M$2</f>
        <v>0.000329057921788944</v>
      </c>
    </row>
    <row r="289" customFormat="false" ht="15" hidden="false" customHeight="false" outlineLevel="0" collapsed="false">
      <c r="A289" s="5" t="n">
        <v>23</v>
      </c>
      <c r="B289" s="25" t="n">
        <f aca="false">IF(T288&gt;0,B288,D288)</f>
        <v>0.0264496803283691</v>
      </c>
      <c r="C289" s="25" t="n">
        <f aca="false">IF(T288&gt;0,D288,C288)</f>
        <v>0.0264500379562378</v>
      </c>
      <c r="D289" s="41" t="n">
        <f aca="false">(B289+C289)/2</f>
        <v>0.0264498591423035</v>
      </c>
      <c r="E289" s="15" t="n">
        <f aca="false">$C$2*(1+IF(E$3&lt;=$O$2,$D289,$D289-($D289-$I$265)*MIN(E$3-$O$2,$Q$2)/$Q$2))</f>
        <v>6610.33709287643</v>
      </c>
      <c r="F289" s="15" t="n">
        <f aca="false">E289*(1+IF(F$3&lt;=$O$2,$D289,$D289-($D289-$I$265)*MIN(F$3-$O$2,$Q$2)/$Q$2))</f>
        <v>6785.17957786616</v>
      </c>
      <c r="G289" s="15" t="n">
        <f aca="false">F289*(1+IF(G$3&lt;=$O$2,$D289,$D289-($D289-$I$265)*MIN(G$3-$O$2,$Q$2)/$Q$2))</f>
        <v>6964.64662195595</v>
      </c>
      <c r="H289" s="15" t="n">
        <f aca="false">G289*(1+IF(H$3&lt;=$O$2,$D289,$D289-($D289-$I$265)*MIN(H$3-$O$2,$Q$2)/$Q$2))</f>
        <v>7148.86054408261</v>
      </c>
      <c r="I289" s="15" t="n">
        <f aca="false">H289*(1+IF(I$3&lt;=$O$2,$D289,$D289-($D289-$I$265)*MIN(I$3-$O$2,$Q$2)/$Q$2))</f>
        <v>7337.94689850157</v>
      </c>
      <c r="J289" s="15" t="n">
        <f aca="false">I289*(1+IF(J$3&lt;=$O$2,$D289,$D289-($D289-$I$265)*MIN(J$3-$O$2,$Q$2)/$Q$2))</f>
        <v>7542.08775433284</v>
      </c>
      <c r="K289" s="15" t="n">
        <f aca="false">J289*(1+IF(K$3&lt;=$O$2,$D289,$D289-($D289-$I$265)*MIN(K$3-$O$2,$Q$2)/$Q$2))</f>
        <v>7762.24065846515</v>
      </c>
      <c r="L289" s="15" t="n">
        <f aca="false">K289*(1+IF(L$3&lt;=$O$2,$D289,$D289-($D289-$I$265)*MIN(L$3-$O$2,$Q$2)/$Q$2))</f>
        <v>7999.45429563931</v>
      </c>
      <c r="M289" s="15" t="n">
        <f aca="false">L289*(1+IF(M$3&lt;=$O$2,$D289,$D289-($D289-$I$265)*MIN(M$3-$O$2,$Q$2)/$Q$2))</f>
        <v>8254.87664594213</v>
      </c>
      <c r="N289" s="15" t="n">
        <f aca="false">M289*(1+IF(N$3&lt;=$O$2,$D289,$D289-($D289-$I$265)*MIN(N$3-$O$2,$Q$2)/$Q$2))</f>
        <v>8529.76403825201</v>
      </c>
      <c r="O289" s="15" t="n">
        <f aca="false">SUMPRODUCT(E289:N289,1/(1+$F$265)^$E$3:$N$3)*$E$2</f>
        <v>9439.96737721102</v>
      </c>
      <c r="P289" s="15" t="n">
        <f aca="false">N289*$E$2*(1+$I$265)/($F$265-$I$265)/(1+$F$265)^$N$3</f>
        <v>13149.9479311193</v>
      </c>
      <c r="Q289" s="15" t="n">
        <f aca="false">O289+P289</f>
        <v>22589.9153083304</v>
      </c>
      <c r="R289" s="15" t="n">
        <f aca="false">Q289-$G$2+$I$2</f>
        <v>17290.0153083304</v>
      </c>
      <c r="S289" s="42" t="n">
        <f aca="false">R289/$K$2</f>
        <v>147.17411736747</v>
      </c>
      <c r="T289" s="43" t="n">
        <f aca="false">S289-$M$2</f>
        <v>0.000130305842418466</v>
      </c>
    </row>
    <row r="290" customFormat="false" ht="15" hidden="false" customHeight="false" outlineLevel="0" collapsed="false">
      <c r="A290" s="5" t="n">
        <v>24</v>
      </c>
      <c r="B290" s="25" t="n">
        <f aca="false">IF(T289&gt;0,B289,D289)</f>
        <v>0.0264496803283691</v>
      </c>
      <c r="C290" s="25" t="n">
        <f aca="false">IF(T289&gt;0,D289,C289)</f>
        <v>0.0264498591423035</v>
      </c>
      <c r="D290" s="41" t="n">
        <f aca="false">(B290+C290)/2</f>
        <v>0.0264497697353363</v>
      </c>
      <c r="E290" s="15" t="n">
        <f aca="false">$C$2*(1+IF(E$3&lt;=$O$2,$D290,$D290-($D290-$I$265)*MIN(E$3-$O$2,$Q$2)/$Q$2))</f>
        <v>6610.33651709557</v>
      </c>
      <c r="F290" s="15" t="n">
        <f aca="false">E290*(1+IF(F$3&lt;=$O$2,$D290,$D290-($D290-$I$265)*MIN(F$3-$O$2,$Q$2)/$Q$2))</f>
        <v>6785.17839584583</v>
      </c>
      <c r="G290" s="15" t="n">
        <f aca="false">F290*(1+IF(G$3&lt;=$O$2,$D290,$D290-($D290-$I$265)*MIN(G$3-$O$2,$Q$2)/$Q$2))</f>
        <v>6964.64480202913</v>
      </c>
      <c r="H290" s="15" t="n">
        <f aca="false">G290*(1+IF(H$3&lt;=$O$2,$D290,$D290-($D290-$I$265)*MIN(H$3-$O$2,$Q$2)/$Q$2))</f>
        <v>7148.85805333121</v>
      </c>
      <c r="I290" s="15" t="n">
        <f aca="false">H290*(1+IF(I$3&lt;=$O$2,$D290,$D290-($D290-$I$265)*MIN(I$3-$O$2,$Q$2)/$Q$2))</f>
        <v>7337.94370271242</v>
      </c>
      <c r="J290" s="15" t="n">
        <f aca="false">I290*(1+IF(J$3&lt;=$O$2,$D290,$D290-($D290-$I$265)*MIN(J$3-$O$2,$Q$2)/$Q$2))</f>
        <v>7542.08394478657</v>
      </c>
      <c r="K290" s="15" t="n">
        <f aca="false">J290*(1+IF(K$3&lt;=$O$2,$D290,$D290-($D290-$I$265)*MIN(K$3-$O$2,$Q$2)/$Q$2))</f>
        <v>7762.23633312964</v>
      </c>
      <c r="L290" s="15" t="n">
        <f aca="false">K290*(1+IF(L$3&lt;=$O$2,$D290,$D290-($D290-$I$265)*MIN(L$3-$O$2,$Q$2)/$Q$2))</f>
        <v>7999.44956052258</v>
      </c>
      <c r="M290" s="15" t="n">
        <f aca="false">L290*(1+IF(M$3&lt;=$O$2,$D290,$D290-($D290-$I$265)*MIN(M$3-$O$2,$Q$2)/$Q$2))</f>
        <v>8254.87161659196</v>
      </c>
      <c r="N290" s="15" t="n">
        <f aca="false">M290*(1+IF(N$3&lt;=$O$2,$D290,$D290-($D290-$I$265)*MIN(N$3-$O$2,$Q$2)/$Q$2))</f>
        <v>8529.75884142447</v>
      </c>
      <c r="O290" s="15" t="n">
        <f aca="false">SUMPRODUCT(E290:N290,1/(1+$F$265)^$E$3:$N$3)*$E$2</f>
        <v>9439.96371423427</v>
      </c>
      <c r="P290" s="15" t="n">
        <f aca="false">N290*$E$2*(1+$I$265)/($F$265-$I$265)/(1+$F$265)^$N$3</f>
        <v>13149.9399194075</v>
      </c>
      <c r="Q290" s="15" t="n">
        <f aca="false">O290+P290</f>
        <v>22589.9036336418</v>
      </c>
      <c r="R290" s="15" t="n">
        <f aca="false">Q290-$G$2+$I$2</f>
        <v>17290.0036336418</v>
      </c>
      <c r="S290" s="42" t="n">
        <f aca="false">R290/$K$2</f>
        <v>147.174017991503</v>
      </c>
      <c r="T290" s="43" t="n">
        <f aca="false">S290-$M$2</f>
        <v>3.0929875521224E-005</v>
      </c>
    </row>
    <row r="292" customFormat="false" ht="15" hidden="false" customHeight="false" outlineLevel="0" collapsed="false">
      <c r="A292" s="38" t="s">
        <v>190</v>
      </c>
      <c r="E292" s="5" t="s">
        <v>11</v>
      </c>
      <c r="F292" s="12" t="n">
        <f aca="false">Sensitivity!$B$11</f>
        <v>0.0899886567315273</v>
      </c>
      <c r="G292" s="5" t="s">
        <v>12</v>
      </c>
      <c r="I292" s="12" t="n">
        <f aca="false">Sensitivity!$G$9</f>
        <v>0.0383</v>
      </c>
    </row>
    <row r="293" customFormat="false" ht="23.85" hidden="false" customHeight="false" outlineLevel="0" collapsed="false">
      <c r="A293" s="38" t="s">
        <v>161</v>
      </c>
      <c r="B293" s="28" t="s">
        <v>162</v>
      </c>
      <c r="C293" s="28" t="s">
        <v>163</v>
      </c>
      <c r="D293" s="28" t="s">
        <v>164</v>
      </c>
      <c r="E293" s="28" t="s">
        <v>165</v>
      </c>
      <c r="F293" s="28" t="s">
        <v>166</v>
      </c>
      <c r="G293" s="28" t="s">
        <v>167</v>
      </c>
      <c r="H293" s="28" t="s">
        <v>168</v>
      </c>
      <c r="I293" s="28" t="s">
        <v>169</v>
      </c>
      <c r="J293" s="28" t="s">
        <v>170</v>
      </c>
      <c r="K293" s="28" t="s">
        <v>171</v>
      </c>
      <c r="L293" s="28" t="s">
        <v>172</v>
      </c>
      <c r="M293" s="28" t="s">
        <v>173</v>
      </c>
      <c r="N293" s="28" t="s">
        <v>174</v>
      </c>
      <c r="O293" s="28" t="s">
        <v>175</v>
      </c>
      <c r="P293" s="28" t="s">
        <v>176</v>
      </c>
      <c r="Q293" s="28" t="s">
        <v>177</v>
      </c>
      <c r="R293" s="28" t="s">
        <v>178</v>
      </c>
      <c r="S293" s="28" t="s">
        <v>179</v>
      </c>
      <c r="T293" s="28" t="s">
        <v>180</v>
      </c>
    </row>
    <row r="294" customFormat="false" ht="15" hidden="false" customHeight="false" outlineLevel="0" collapsed="false">
      <c r="A294" s="5" t="n">
        <v>1</v>
      </c>
      <c r="B294" s="24" t="n">
        <v>-0.5</v>
      </c>
      <c r="C294" s="24" t="n">
        <v>1</v>
      </c>
      <c r="D294" s="41" t="n">
        <f aca="false">(B294+C294)/2</f>
        <v>0.25</v>
      </c>
      <c r="E294" s="15" t="n">
        <f aca="false">$C$2*(1+IF(E$3&lt;=$O$2,$D294,$D294-($D294-$I$292)*MIN(E$3-$O$2,$Q$2)/$Q$2))</f>
        <v>8050</v>
      </c>
      <c r="F294" s="15" t="n">
        <f aca="false">E294*(1+IF(F$3&lt;=$O$2,$D294,$D294-($D294-$I$292)*MIN(F$3-$O$2,$Q$2)/$Q$2))</f>
        <v>10062.5</v>
      </c>
      <c r="G294" s="15" t="n">
        <f aca="false">F294*(1+IF(G$3&lt;=$O$2,$D294,$D294-($D294-$I$292)*MIN(G$3-$O$2,$Q$2)/$Q$2))</f>
        <v>12578.125</v>
      </c>
      <c r="H294" s="15" t="n">
        <f aca="false">G294*(1+IF(H$3&lt;=$O$2,$D294,$D294-($D294-$I$292)*MIN(H$3-$O$2,$Q$2)/$Q$2))</f>
        <v>15722.65625</v>
      </c>
      <c r="I294" s="15" t="n">
        <f aca="false">H294*(1+IF(I$3&lt;=$O$2,$D294,$D294-($D294-$I$292)*MIN(I$3-$O$2,$Q$2)/$Q$2))</f>
        <v>19653.3203125</v>
      </c>
      <c r="J294" s="15" t="n">
        <f aca="false">I294*(1+IF(J$3&lt;=$O$2,$D294,$D294-($D294-$I$292)*MIN(J$3-$O$2,$Q$2)/$Q$2))</f>
        <v>23734.5288085938</v>
      </c>
      <c r="K294" s="15" t="n">
        <f aca="false">J294*(1+IF(K$3&lt;=$O$2,$D294,$D294-($D294-$I$292)*MIN(K$3-$O$2,$Q$2)/$Q$2))</f>
        <v>27658.3211112305</v>
      </c>
      <c r="L294" s="15" t="n">
        <f aca="false">K294*(1+IF(L$3&lt;=$O$2,$D294,$D294-($D294-$I$292)*MIN(L$3-$O$2,$Q$2)/$Q$2))</f>
        <v>31059.7414414896</v>
      </c>
      <c r="M294" s="15" t="n">
        <f aca="false">L294*(1+IF(M$3&lt;=$O$2,$D294,$D294-($D294-$I$292)*MIN(M$3-$O$2,$Q$2)/$Q$2))</f>
        <v>33564.3989913313</v>
      </c>
      <c r="N294" s="15" t="n">
        <f aca="false">M294*(1+IF(N$3&lt;=$O$2,$D294,$D294-($D294-$I$292)*MIN(N$3-$O$2,$Q$2)/$Q$2))</f>
        <v>34849.9154726993</v>
      </c>
      <c r="O294" s="15" t="n">
        <f aca="false">SUMPRODUCT(E294:N294,1/(1+$F$292)^$E$3:$N$3)*$E$2</f>
        <v>24932.0023500891</v>
      </c>
      <c r="P294" s="15" t="n">
        <f aca="false">N294*$E$2*(1+$I$292)/($F$292-$I$292)/(1+$F$292)^$N$3</f>
        <v>59208.7769092063</v>
      </c>
      <c r="Q294" s="15" t="n">
        <f aca="false">O294+P294</f>
        <v>84140.7792592953</v>
      </c>
      <c r="R294" s="15" t="n">
        <f aca="false">Q294-$G$2+$I$2</f>
        <v>78840.8792592953</v>
      </c>
      <c r="S294" s="42" t="n">
        <f aca="false">R294/$K$2</f>
        <v>671.10043632359</v>
      </c>
      <c r="T294" s="43" t="n">
        <f aca="false">S294-$M$2</f>
        <v>523.926449261962</v>
      </c>
    </row>
    <row r="295" customFormat="false" ht="15" hidden="false" customHeight="false" outlineLevel="0" collapsed="false">
      <c r="A295" s="5" t="n">
        <v>2</v>
      </c>
      <c r="B295" s="25" t="n">
        <f aca="false">IF(T294&gt;0,B294,D294)</f>
        <v>-0.5</v>
      </c>
      <c r="C295" s="25" t="n">
        <f aca="false">IF(T294&gt;0,D294,C294)</f>
        <v>0.25</v>
      </c>
      <c r="D295" s="41" t="n">
        <f aca="false">(B295+C295)/2</f>
        <v>-0.125</v>
      </c>
      <c r="E295" s="15" t="n">
        <f aca="false">$C$2*(1+IF(E$3&lt;=$O$2,$D295,$D295-($D295-$I$292)*MIN(E$3-$O$2,$Q$2)/$Q$2))</f>
        <v>5635</v>
      </c>
      <c r="F295" s="15" t="n">
        <f aca="false">E295*(1+IF(F$3&lt;=$O$2,$D295,$D295-($D295-$I$292)*MIN(F$3-$O$2,$Q$2)/$Q$2))</f>
        <v>4930.625</v>
      </c>
      <c r="G295" s="15" t="n">
        <f aca="false">F295*(1+IF(G$3&lt;=$O$2,$D295,$D295-($D295-$I$292)*MIN(G$3-$O$2,$Q$2)/$Q$2))</f>
        <v>4314.296875</v>
      </c>
      <c r="H295" s="15" t="n">
        <f aca="false">G295*(1+IF(H$3&lt;=$O$2,$D295,$D295-($D295-$I$292)*MIN(H$3-$O$2,$Q$2)/$Q$2))</f>
        <v>3775.009765625</v>
      </c>
      <c r="I295" s="15" t="n">
        <f aca="false">H295*(1+IF(I$3&lt;=$O$2,$D295,$D295-($D295-$I$292)*MIN(I$3-$O$2,$Q$2)/$Q$2))</f>
        <v>3303.13354492188</v>
      </c>
      <c r="J295" s="15" t="n">
        <f aca="false">I295*(1+IF(J$3&lt;=$O$2,$D295,$D295-($D295-$I$292)*MIN(J$3-$O$2,$Q$2)/$Q$2))</f>
        <v>2998.12219338379</v>
      </c>
      <c r="K295" s="15" t="n">
        <f aca="false">J295*(1+IF(K$3&lt;=$O$2,$D295,$D295-($D295-$I$292)*MIN(K$3-$O$2,$Q$2)/$Q$2))</f>
        <v>2819.19426088265</v>
      </c>
      <c r="L295" s="15" t="n">
        <f aca="false">K295*(1+IF(L$3&lt;=$O$2,$D295,$D295-($D295-$I$292)*MIN(L$3-$O$2,$Q$2)/$Q$2))</f>
        <v>2743.0196319536</v>
      </c>
      <c r="M295" s="15" t="n">
        <f aca="false">L295*(1+IF(M$3&lt;=$O$2,$D295,$D295-($D295-$I$292)*MIN(M$3-$O$2,$Q$2)/$Q$2))</f>
        <v>2758.49026267781</v>
      </c>
      <c r="N295" s="15" t="n">
        <f aca="false">M295*(1+IF(N$3&lt;=$O$2,$D295,$D295-($D295-$I$292)*MIN(N$3-$O$2,$Q$2)/$Q$2))</f>
        <v>2864.14043973838</v>
      </c>
      <c r="O295" s="15" t="n">
        <f aca="false">SUMPRODUCT(E295:N295,1/(1+$F$292)^$E$3:$N$3)*$E$2</f>
        <v>4937.02793098919</v>
      </c>
      <c r="P295" s="15" t="n">
        <f aca="false">N295*$E$2*(1+$I$292)/($F$292-$I$292)/(1+$F$292)^$N$3</f>
        <v>4866.07356238647</v>
      </c>
      <c r="Q295" s="15" t="n">
        <f aca="false">O295+P295</f>
        <v>9803.10149337567</v>
      </c>
      <c r="R295" s="15" t="n">
        <f aca="false">Q295-$G$2+$I$2</f>
        <v>4503.20149337567</v>
      </c>
      <c r="S295" s="42" t="n">
        <f aca="false">R295/$K$2</f>
        <v>38.3316436276444</v>
      </c>
      <c r="T295" s="43" t="n">
        <f aca="false">S295-$M$2</f>
        <v>-108.842343433983</v>
      </c>
    </row>
    <row r="296" customFormat="false" ht="15" hidden="false" customHeight="false" outlineLevel="0" collapsed="false">
      <c r="A296" s="5" t="n">
        <v>3</v>
      </c>
      <c r="B296" s="25" t="n">
        <f aca="false">IF(T295&gt;0,B295,D295)</f>
        <v>-0.125</v>
      </c>
      <c r="C296" s="25" t="n">
        <f aca="false">IF(T295&gt;0,D295,C295)</f>
        <v>0.25</v>
      </c>
      <c r="D296" s="41" t="n">
        <f aca="false">(B296+C296)/2</f>
        <v>0.0625</v>
      </c>
      <c r="E296" s="15" t="n">
        <f aca="false">$C$2*(1+IF(E$3&lt;=$O$2,$D296,$D296-($D296-$I$292)*MIN(E$3-$O$2,$Q$2)/$Q$2))</f>
        <v>6842.5</v>
      </c>
      <c r="F296" s="15" t="n">
        <f aca="false">E296*(1+IF(F$3&lt;=$O$2,$D296,$D296-($D296-$I$292)*MIN(F$3-$O$2,$Q$2)/$Q$2))</f>
        <v>7270.15625</v>
      </c>
      <c r="G296" s="15" t="n">
        <f aca="false">F296*(1+IF(G$3&lt;=$O$2,$D296,$D296-($D296-$I$292)*MIN(G$3-$O$2,$Q$2)/$Q$2))</f>
        <v>7724.541015625</v>
      </c>
      <c r="H296" s="15" t="n">
        <f aca="false">G296*(1+IF(H$3&lt;=$O$2,$D296,$D296-($D296-$I$292)*MIN(H$3-$O$2,$Q$2)/$Q$2))</f>
        <v>8207.32482910156</v>
      </c>
      <c r="I296" s="15" t="n">
        <f aca="false">H296*(1+IF(I$3&lt;=$O$2,$D296,$D296-($D296-$I$292)*MIN(I$3-$O$2,$Q$2)/$Q$2))</f>
        <v>8720.28263092041</v>
      </c>
      <c r="J296" s="15" t="n">
        <f aca="false">I296*(1+IF(J$3&lt;=$O$2,$D296,$D296-($D296-$I$292)*MIN(J$3-$O$2,$Q$2)/$Q$2))</f>
        <v>9223.09412741928</v>
      </c>
      <c r="K296" s="15" t="n">
        <f aca="false">J296*(1+IF(K$3&lt;=$O$2,$D296,$D296-($D296-$I$292)*MIN(K$3-$O$2,$Q$2)/$Q$2))</f>
        <v>9710.25795922957</v>
      </c>
      <c r="L296" s="15" t="n">
        <f aca="false">K296*(1+IF(L$3&lt;=$O$2,$D296,$D296-($D296-$I$292)*MIN(L$3-$O$2,$Q$2)/$Q$2))</f>
        <v>10176.1561361134</v>
      </c>
      <c r="M296" s="15" t="n">
        <f aca="false">L296*(1+IF(M$3&lt;=$O$2,$D296,$D296-($D296-$I$292)*MIN(M$3-$O$2,$Q$2)/$Q$2))</f>
        <v>10615.1555118253</v>
      </c>
      <c r="N296" s="15" t="n">
        <f aca="false">M296*(1+IF(N$3&lt;=$O$2,$D296,$D296-($D296-$I$292)*MIN(N$3-$O$2,$Q$2)/$Q$2))</f>
        <v>11021.7159679282</v>
      </c>
      <c r="O296" s="15" t="n">
        <f aca="false">SUMPRODUCT(E296:N296,1/(1+$F$292)^$E$3:$N$3)*$E$2</f>
        <v>11072.949985144</v>
      </c>
      <c r="P296" s="15" t="n">
        <f aca="false">N296*$E$2*(1+$I$292)/($F$292-$I$292)/(1+$F$292)^$N$3</f>
        <v>18725.5065916277</v>
      </c>
      <c r="Q296" s="15" t="n">
        <f aca="false">O296+P296</f>
        <v>29798.4565767717</v>
      </c>
      <c r="R296" s="15" t="n">
        <f aca="false">Q296-$G$2+$I$2</f>
        <v>24498.5565767717</v>
      </c>
      <c r="S296" s="42" t="n">
        <f aca="false">R296/$K$2</f>
        <v>208.533848968094</v>
      </c>
      <c r="T296" s="43" t="n">
        <f aca="false">S296-$M$2</f>
        <v>61.3598619064666</v>
      </c>
    </row>
    <row r="297" customFormat="false" ht="15" hidden="false" customHeight="false" outlineLevel="0" collapsed="false">
      <c r="A297" s="5" t="n">
        <v>4</v>
      </c>
      <c r="B297" s="25" t="n">
        <f aca="false">IF(T296&gt;0,B296,D296)</f>
        <v>-0.125</v>
      </c>
      <c r="C297" s="25" t="n">
        <f aca="false">IF(T296&gt;0,D296,C296)</f>
        <v>0.0625</v>
      </c>
      <c r="D297" s="41" t="n">
        <f aca="false">(B297+C297)/2</f>
        <v>-0.03125</v>
      </c>
      <c r="E297" s="15" t="n">
        <f aca="false">$C$2*(1+IF(E$3&lt;=$O$2,$D297,$D297-($D297-$I$292)*MIN(E$3-$O$2,$Q$2)/$Q$2))</f>
        <v>6238.75</v>
      </c>
      <c r="F297" s="15" t="n">
        <f aca="false">E297*(1+IF(F$3&lt;=$O$2,$D297,$D297-($D297-$I$292)*MIN(F$3-$O$2,$Q$2)/$Q$2))</f>
        <v>6043.7890625</v>
      </c>
      <c r="G297" s="15" t="n">
        <f aca="false">F297*(1+IF(G$3&lt;=$O$2,$D297,$D297-($D297-$I$292)*MIN(G$3-$O$2,$Q$2)/$Q$2))</f>
        <v>5854.92065429688</v>
      </c>
      <c r="H297" s="15" t="n">
        <f aca="false">G297*(1+IF(H$3&lt;=$O$2,$D297,$D297-($D297-$I$292)*MIN(H$3-$O$2,$Q$2)/$Q$2))</f>
        <v>5671.9543838501</v>
      </c>
      <c r="I297" s="15" t="n">
        <f aca="false">H297*(1+IF(I$3&lt;=$O$2,$D297,$D297-($D297-$I$292)*MIN(I$3-$O$2,$Q$2)/$Q$2))</f>
        <v>5494.70580935478</v>
      </c>
      <c r="J297" s="15" t="n">
        <f aca="false">I297*(1+IF(J$3&lt;=$O$2,$D297,$D297-($D297-$I$292)*MIN(J$3-$O$2,$Q$2)/$Q$2))</f>
        <v>5399.42761062057</v>
      </c>
      <c r="K297" s="15" t="n">
        <f aca="false">J297*(1+IF(K$3&lt;=$O$2,$D297,$D297-($D297-$I$292)*MIN(K$3-$O$2,$Q$2)/$Q$2))</f>
        <v>5380.90757391614</v>
      </c>
      <c r="L297" s="15" t="n">
        <f aca="false">K297*(1+IF(L$3&lt;=$O$2,$D297,$D297-($D297-$I$292)*MIN(L$3-$O$2,$Q$2)/$Q$2))</f>
        <v>5437.29948529078</v>
      </c>
      <c r="M297" s="15" t="n">
        <f aca="false">L297*(1+IF(M$3&lt;=$O$2,$D297,$D297-($D297-$I$292)*MIN(M$3-$O$2,$Q$2)/$Q$2))</f>
        <v>5569.91521973702</v>
      </c>
      <c r="N297" s="15" t="n">
        <f aca="false">M297*(1+IF(N$3&lt;=$O$2,$D297,$D297-($D297-$I$292)*MIN(N$3-$O$2,$Q$2)/$Q$2))</f>
        <v>5783.24297265295</v>
      </c>
      <c r="O297" s="15" t="n">
        <f aca="false">SUMPRODUCT(E297:N297,1/(1+$F$292)^$E$3:$N$3)*$E$2</f>
        <v>7371.98706797954</v>
      </c>
      <c r="P297" s="15" t="n">
        <f aca="false">N297*$E$2*(1+$I$292)/($F$292-$I$292)/(1+$F$292)^$N$3</f>
        <v>9825.52578205784</v>
      </c>
      <c r="Q297" s="15" t="n">
        <f aca="false">O297+P297</f>
        <v>17197.5128500374</v>
      </c>
      <c r="R297" s="15" t="n">
        <f aca="false">Q297-$G$2+$I$2</f>
        <v>11897.6128500374</v>
      </c>
      <c r="S297" s="42" t="n">
        <f aca="false">R297/$K$2</f>
        <v>101.273517620339</v>
      </c>
      <c r="T297" s="43" t="n">
        <f aca="false">S297-$M$2</f>
        <v>-45.9004694412889</v>
      </c>
    </row>
    <row r="298" customFormat="false" ht="15" hidden="false" customHeight="false" outlineLevel="0" collapsed="false">
      <c r="A298" s="5" t="n">
        <v>5</v>
      </c>
      <c r="B298" s="25" t="n">
        <f aca="false">IF(T297&gt;0,B297,D297)</f>
        <v>-0.03125</v>
      </c>
      <c r="C298" s="25" t="n">
        <f aca="false">IF(T297&gt;0,D297,C297)</f>
        <v>0.0625</v>
      </c>
      <c r="D298" s="41" t="n">
        <f aca="false">(B298+C298)/2</f>
        <v>0.015625</v>
      </c>
      <c r="E298" s="15" t="n">
        <f aca="false">$C$2*(1+IF(E$3&lt;=$O$2,$D298,$D298-($D298-$I$292)*MIN(E$3-$O$2,$Q$2)/$Q$2))</f>
        <v>6540.625</v>
      </c>
      <c r="F298" s="15" t="n">
        <f aca="false">E298*(1+IF(F$3&lt;=$O$2,$D298,$D298-($D298-$I$292)*MIN(F$3-$O$2,$Q$2)/$Q$2))</f>
        <v>6642.822265625</v>
      </c>
      <c r="G298" s="15" t="n">
        <f aca="false">F298*(1+IF(G$3&lt;=$O$2,$D298,$D298-($D298-$I$292)*MIN(G$3-$O$2,$Q$2)/$Q$2))</f>
        <v>6746.61636352539</v>
      </c>
      <c r="H298" s="15" t="n">
        <f aca="false">G298*(1+IF(H$3&lt;=$O$2,$D298,$D298-($D298-$I$292)*MIN(H$3-$O$2,$Q$2)/$Q$2))</f>
        <v>6852.03224420548</v>
      </c>
      <c r="I298" s="15" t="n">
        <f aca="false">H298*(1+IF(I$3&lt;=$O$2,$D298,$D298-($D298-$I$292)*MIN(I$3-$O$2,$Q$2)/$Q$2))</f>
        <v>6959.09524802119</v>
      </c>
      <c r="J298" s="15" t="n">
        <f aca="false">I298*(1+IF(J$3&lt;=$O$2,$D298,$D298-($D298-$I$292)*MIN(J$3-$O$2,$Q$2)/$Q$2))</f>
        <v>7099.39060822129</v>
      </c>
      <c r="K298" s="15" t="n">
        <f aca="false">J298*(1+IF(K$3&lt;=$O$2,$D298,$D298-($D298-$I$292)*MIN(K$3-$O$2,$Q$2)/$Q$2))</f>
        <v>7274.71005929132</v>
      </c>
      <c r="L298" s="15" t="n">
        <f aca="false">K298*(1+IF(L$3&lt;=$O$2,$D298,$D298-($D298-$I$292)*MIN(L$3-$O$2,$Q$2)/$Q$2))</f>
        <v>7487.3498343244</v>
      </c>
      <c r="M298" s="15" t="n">
        <f aca="false">L298*(1+IF(M$3&lt;=$O$2,$D298,$D298-($D298-$I$292)*MIN(M$3-$O$2,$Q$2)/$Q$2))</f>
        <v>7740.16020148037</v>
      </c>
      <c r="N298" s="15" t="n">
        <f aca="false">M298*(1+IF(N$3&lt;=$O$2,$D298,$D298-($D298-$I$292)*MIN(N$3-$O$2,$Q$2)/$Q$2))</f>
        <v>8036.60833719706</v>
      </c>
      <c r="O298" s="15" t="n">
        <f aca="false">SUMPRODUCT(E298:N298,1/(1+$F$292)^$E$3:$N$3)*$E$2</f>
        <v>9031.19771777515</v>
      </c>
      <c r="P298" s="15" t="n">
        <f aca="false">N298*$E$2*(1+$I$292)/($F$292-$I$292)/(1+$F$292)^$N$3</f>
        <v>13653.9140393764</v>
      </c>
      <c r="Q298" s="15" t="n">
        <f aca="false">O298+P298</f>
        <v>22685.1117571515</v>
      </c>
      <c r="R298" s="15" t="n">
        <f aca="false">Q298-$G$2+$I$2</f>
        <v>17385.2117571515</v>
      </c>
      <c r="S298" s="42" t="n">
        <f aca="false">R298/$K$2</f>
        <v>147.984437837517</v>
      </c>
      <c r="T298" s="43" t="n">
        <f aca="false">S298-$M$2</f>
        <v>0.810450775889535</v>
      </c>
    </row>
    <row r="299" customFormat="false" ht="15" hidden="false" customHeight="false" outlineLevel="0" collapsed="false">
      <c r="A299" s="5" t="n">
        <v>6</v>
      </c>
      <c r="B299" s="25" t="n">
        <f aca="false">IF(T298&gt;0,B298,D298)</f>
        <v>-0.03125</v>
      </c>
      <c r="C299" s="25" t="n">
        <f aca="false">IF(T298&gt;0,D298,C298)</f>
        <v>0.015625</v>
      </c>
      <c r="D299" s="41" t="n">
        <f aca="false">(B299+C299)/2</f>
        <v>-0.0078125</v>
      </c>
      <c r="E299" s="15" t="n">
        <f aca="false">$C$2*(1+IF(E$3&lt;=$O$2,$D299,$D299-($D299-$I$292)*MIN(E$3-$O$2,$Q$2)/$Q$2))</f>
        <v>6389.6875</v>
      </c>
      <c r="F299" s="15" t="n">
        <f aca="false">E299*(1+IF(F$3&lt;=$O$2,$D299,$D299-($D299-$I$292)*MIN(F$3-$O$2,$Q$2)/$Q$2))</f>
        <v>6339.76806640625</v>
      </c>
      <c r="G299" s="15" t="n">
        <f aca="false">F299*(1+IF(G$3&lt;=$O$2,$D299,$D299-($D299-$I$292)*MIN(G$3-$O$2,$Q$2)/$Q$2))</f>
        <v>6290.23862838745</v>
      </c>
      <c r="H299" s="15" t="n">
        <f aca="false">G299*(1+IF(H$3&lt;=$O$2,$D299,$D299-($D299-$I$292)*MIN(H$3-$O$2,$Q$2)/$Q$2))</f>
        <v>6241.09613910317</v>
      </c>
      <c r="I299" s="15" t="n">
        <f aca="false">H299*(1+IF(I$3&lt;=$O$2,$D299,$D299-($D299-$I$292)*MIN(I$3-$O$2,$Q$2)/$Q$2))</f>
        <v>6192.33757551643</v>
      </c>
      <c r="J299" s="15" t="n">
        <f aca="false">I299*(1+IF(J$3&lt;=$O$2,$D299,$D299-($D299-$I$292)*MIN(J$3-$O$2,$Q$2)/$Q$2))</f>
        <v>6201.06877149791</v>
      </c>
      <c r="K299" s="15" t="n">
        <f aca="false">J299*(1+IF(K$3&lt;=$O$2,$D299,$D299-($D299-$I$292)*MIN(K$3-$O$2,$Q$2)/$Q$2))</f>
        <v>6267.00163521086</v>
      </c>
      <c r="L299" s="15" t="n">
        <f aca="false">K299*(1+IF(L$3&lt;=$O$2,$D299,$D299-($D299-$I$292)*MIN(L$3-$O$2,$Q$2)/$Q$2))</f>
        <v>6391.43295267797</v>
      </c>
      <c r="M299" s="15" t="n">
        <f aca="false">L299*(1+IF(M$3&lt;=$O$2,$D299,$D299-($D299-$I$292)*MIN(M$3-$O$2,$Q$2)/$Q$2))</f>
        <v>6577.27984435947</v>
      </c>
      <c r="N299" s="15" t="n">
        <f aca="false">M299*(1+IF(N$3&lt;=$O$2,$D299,$D299-($D299-$I$292)*MIN(N$3-$O$2,$Q$2)/$Q$2))</f>
        <v>6829.18966239843</v>
      </c>
      <c r="O299" s="15" t="n">
        <f aca="false">SUMPRODUCT(E299:N299,1/(1+$F$292)^$E$3:$N$3)*$E$2</f>
        <v>8158.35525602835</v>
      </c>
      <c r="P299" s="15" t="n">
        <f aca="false">N299*$E$2*(1+$I$292)/($F$292-$I$292)/(1+$F$292)^$N$3</f>
        <v>11602.5523077198</v>
      </c>
      <c r="Q299" s="15" t="n">
        <f aca="false">O299+P299</f>
        <v>19760.9075637481</v>
      </c>
      <c r="R299" s="15" t="n">
        <f aca="false">Q299-$G$2+$I$2</f>
        <v>14461.0075637481</v>
      </c>
      <c r="S299" s="42" t="n">
        <f aca="false">R299/$K$2</f>
        <v>123.093356858598</v>
      </c>
      <c r="T299" s="43" t="n">
        <f aca="false">S299-$M$2</f>
        <v>-24.0806302030292</v>
      </c>
    </row>
    <row r="300" customFormat="false" ht="15" hidden="false" customHeight="false" outlineLevel="0" collapsed="false">
      <c r="A300" s="5" t="n">
        <v>7</v>
      </c>
      <c r="B300" s="25" t="n">
        <f aca="false">IF(T299&gt;0,B299,D299)</f>
        <v>-0.0078125</v>
      </c>
      <c r="C300" s="25" t="n">
        <f aca="false">IF(T299&gt;0,D299,C299)</f>
        <v>0.015625</v>
      </c>
      <c r="D300" s="41" t="n">
        <f aca="false">(B300+C300)/2</f>
        <v>0.00390625</v>
      </c>
      <c r="E300" s="15" t="n">
        <f aca="false">$C$2*(1+IF(E$3&lt;=$O$2,$D300,$D300-($D300-$I$292)*MIN(E$3-$O$2,$Q$2)/$Q$2))</f>
        <v>6465.15625</v>
      </c>
      <c r="F300" s="15" t="n">
        <f aca="false">E300*(1+IF(F$3&lt;=$O$2,$D300,$D300-($D300-$I$292)*MIN(F$3-$O$2,$Q$2)/$Q$2))</f>
        <v>6490.41076660156</v>
      </c>
      <c r="G300" s="15" t="n">
        <f aca="false">F300*(1+IF(G$3&lt;=$O$2,$D300,$D300-($D300-$I$292)*MIN(G$3-$O$2,$Q$2)/$Q$2))</f>
        <v>6515.7639336586</v>
      </c>
      <c r="H300" s="15" t="n">
        <f aca="false">G300*(1+IF(H$3&lt;=$O$2,$D300,$D300-($D300-$I$292)*MIN(H$3-$O$2,$Q$2)/$Q$2))</f>
        <v>6541.21613652445</v>
      </c>
      <c r="I300" s="15" t="n">
        <f aca="false">H300*(1+IF(I$3&lt;=$O$2,$D300,$D300-($D300-$I$292)*MIN(I$3-$O$2,$Q$2)/$Q$2))</f>
        <v>6566.76776205775</v>
      </c>
      <c r="J300" s="15" t="n">
        <f aca="false">I300*(1+IF(J$3&lt;=$O$2,$D300,$D300-($D300-$I$292)*MIN(J$3-$O$2,$Q$2)/$Q$2))</f>
        <v>6637.59035237155</v>
      </c>
      <c r="K300" s="15" t="n">
        <f aca="false">J300*(1+IF(K$3&lt;=$O$2,$D300,$D300-($D300-$I$292)*MIN(K$3-$O$2,$Q$2)/$Q$2))</f>
        <v>6754.83508895825</v>
      </c>
      <c r="L300" s="15" t="n">
        <f aca="false">K300*(1+IF(L$3&lt;=$O$2,$D300,$D300-($D300-$I$292)*MIN(L$3-$O$2,$Q$2)/$Q$2))</f>
        <v>6920.61562912901</v>
      </c>
      <c r="M300" s="15" t="n">
        <f aca="false">L300*(1+IF(M$3&lt;=$O$2,$D300,$D300-($D300-$I$292)*MIN(M$3-$O$2,$Q$2)/$Q$2))</f>
        <v>7138.07002296578</v>
      </c>
      <c r="N300" s="15" t="n">
        <f aca="false">M300*(1+IF(N$3&lt;=$O$2,$D300,$D300-($D300-$I$292)*MIN(N$3-$O$2,$Q$2)/$Q$2))</f>
        <v>7411.45810484537</v>
      </c>
      <c r="O300" s="15" t="n">
        <f aca="false">SUMPRODUCT(E300:N300,1/(1+$F$292)^$E$3:$N$3)*$E$2</f>
        <v>8583.425209138</v>
      </c>
      <c r="P300" s="15" t="n">
        <f aca="false">N300*$E$2*(1+$I$292)/($F$292-$I$292)/(1+$F$292)^$N$3</f>
        <v>12591.8058494427</v>
      </c>
      <c r="Q300" s="15" t="n">
        <f aca="false">O300+P300</f>
        <v>21175.2310585807</v>
      </c>
      <c r="R300" s="15" t="n">
        <f aca="false">Q300-$G$2+$I$2</f>
        <v>15875.3310585807</v>
      </c>
      <c r="S300" s="42" t="n">
        <f aca="false">R300/$K$2</f>
        <v>135.132201724384</v>
      </c>
      <c r="T300" s="43" t="n">
        <f aca="false">S300-$M$2</f>
        <v>-12.0417853372431</v>
      </c>
    </row>
    <row r="301" customFormat="false" ht="15" hidden="false" customHeight="false" outlineLevel="0" collapsed="false">
      <c r="A301" s="5" t="n">
        <v>8</v>
      </c>
      <c r="B301" s="25" t="n">
        <f aca="false">IF(T300&gt;0,B300,D300)</f>
        <v>0.00390625</v>
      </c>
      <c r="C301" s="25" t="n">
        <f aca="false">IF(T300&gt;0,D300,C300)</f>
        <v>0.015625</v>
      </c>
      <c r="D301" s="41" t="n">
        <f aca="false">(B301+C301)/2</f>
        <v>0.009765625</v>
      </c>
      <c r="E301" s="15" t="n">
        <f aca="false">$C$2*(1+IF(E$3&lt;=$O$2,$D301,$D301-($D301-$I$292)*MIN(E$3-$O$2,$Q$2)/$Q$2))</f>
        <v>6502.890625</v>
      </c>
      <c r="F301" s="15" t="n">
        <f aca="false">E301*(1+IF(F$3&lt;=$O$2,$D301,$D301-($D301-$I$292)*MIN(F$3-$O$2,$Q$2)/$Q$2))</f>
        <v>6566.39541625977</v>
      </c>
      <c r="G301" s="15" t="n">
        <f aca="false">F301*(1+IF(G$3&lt;=$O$2,$D301,$D301-($D301-$I$292)*MIN(G$3-$O$2,$Q$2)/$Q$2))</f>
        <v>6630.52037149668</v>
      </c>
      <c r="H301" s="15" t="n">
        <f aca="false">G301*(1+IF(H$3&lt;=$O$2,$D301,$D301-($D301-$I$292)*MIN(H$3-$O$2,$Q$2)/$Q$2))</f>
        <v>6695.27154699958</v>
      </c>
      <c r="I301" s="15" t="n">
        <f aca="false">H301*(1+IF(I$3&lt;=$O$2,$D301,$D301-($D301-$I$292)*MIN(I$3-$O$2,$Q$2)/$Q$2))</f>
        <v>6760.65505820074</v>
      </c>
      <c r="J301" s="15" t="n">
        <f aca="false">I301*(1+IF(J$3&lt;=$O$2,$D301,$D301-($D301-$I$292)*MIN(J$3-$O$2,$Q$2)/$Q$2))</f>
        <v>6865.25929358875</v>
      </c>
      <c r="K301" s="15" t="n">
        <f aca="false">J301*(1+IF(K$3&lt;=$O$2,$D301,$D301-($D301-$I$292)*MIN(K$3-$O$2,$Q$2)/$Q$2))</f>
        <v>7010.6611946399</v>
      </c>
      <c r="L301" s="15" t="n">
        <f aca="false">K301*(1+IF(L$3&lt;=$O$2,$D301,$D301-($D301-$I$292)*MIN(L$3-$O$2,$Q$2)/$Q$2))</f>
        <v>7199.15158418429</v>
      </c>
      <c r="M301" s="15" t="n">
        <f aca="false">L301*(1+IF(M$3&lt;=$O$2,$D301,$D301-($D301-$I$292)*MIN(M$3-$O$2,$Q$2)/$Q$2))</f>
        <v>7433.79443166156</v>
      </c>
      <c r="N301" s="15" t="n">
        <f aca="false">M301*(1+IF(N$3&lt;=$O$2,$D301,$D301-($D301-$I$292)*MIN(N$3-$O$2,$Q$2)/$Q$2))</f>
        <v>7718.5087583942</v>
      </c>
      <c r="O301" s="15" t="n">
        <f aca="false">SUMPRODUCT(E301:N301,1/(1+$F$292)^$E$3:$N$3)*$E$2</f>
        <v>8804.4033047096</v>
      </c>
      <c r="P301" s="15" t="n">
        <f aca="false">N301*$E$2*(1+$I$292)/($F$292-$I$292)/(1+$F$292)^$N$3</f>
        <v>13113.4740773051</v>
      </c>
      <c r="Q301" s="15" t="n">
        <f aca="false">O301+P301</f>
        <v>21917.8773820147</v>
      </c>
      <c r="R301" s="15" t="n">
        <f aca="false">Q301-$G$2+$I$2</f>
        <v>16617.9773820147</v>
      </c>
      <c r="S301" s="42" t="n">
        <f aca="false">R301/$K$2</f>
        <v>141.45367196131</v>
      </c>
      <c r="T301" s="43" t="n">
        <f aca="false">S301-$M$2</f>
        <v>-5.72031510031744</v>
      </c>
    </row>
    <row r="302" customFormat="false" ht="15" hidden="false" customHeight="false" outlineLevel="0" collapsed="false">
      <c r="A302" s="5" t="n">
        <v>9</v>
      </c>
      <c r="B302" s="25" t="n">
        <f aca="false">IF(T301&gt;0,B301,D301)</f>
        <v>0.009765625</v>
      </c>
      <c r="C302" s="25" t="n">
        <f aca="false">IF(T301&gt;0,D301,C301)</f>
        <v>0.015625</v>
      </c>
      <c r="D302" s="41" t="n">
        <f aca="false">(B302+C302)/2</f>
        <v>0.0126953125</v>
      </c>
      <c r="E302" s="15" t="n">
        <f aca="false">$C$2*(1+IF(E$3&lt;=$O$2,$D302,$D302-($D302-$I$292)*MIN(E$3-$O$2,$Q$2)/$Q$2))</f>
        <v>6521.7578125</v>
      </c>
      <c r="F302" s="15" t="n">
        <f aca="false">E302*(1+IF(F$3&lt;=$O$2,$D302,$D302-($D302-$I$292)*MIN(F$3-$O$2,$Q$2)/$Q$2))</f>
        <v>6604.553565979</v>
      </c>
      <c r="G302" s="15" t="n">
        <f aca="false">F302*(1+IF(G$3&lt;=$O$2,$D302,$D302-($D302-$I$292)*MIN(G$3-$O$2,$Q$2)/$Q$2))</f>
        <v>6688.4004374221</v>
      </c>
      <c r="H302" s="15" t="n">
        <f aca="false">G302*(1+IF(H$3&lt;=$O$2,$D302,$D302-($D302-$I$292)*MIN(H$3-$O$2,$Q$2)/$Q$2))</f>
        <v>6773.31177110031</v>
      </c>
      <c r="I302" s="15" t="n">
        <f aca="false">H302*(1+IF(I$3&lt;=$O$2,$D302,$D302-($D302-$I$292)*MIN(I$3-$O$2,$Q$2)/$Q$2))</f>
        <v>6859.30108069435</v>
      </c>
      <c r="J302" s="15" t="n">
        <f aca="false">I302*(1+IF(J$3&lt;=$O$2,$D302,$D302-($D302-$I$292)*MIN(J$3-$O$2,$Q$2)/$Q$2))</f>
        <v>6981.50810357328</v>
      </c>
      <c r="K302" s="15" t="n">
        <f aca="false">J302*(1+IF(K$3&lt;=$O$2,$D302,$D302-($D302-$I$292)*MIN(K$3-$O$2,$Q$2)/$Q$2))</f>
        <v>7141.64426397771</v>
      </c>
      <c r="L302" s="15" t="n">
        <f aca="false">K302*(1+IF(L$3&lt;=$O$2,$D302,$D302-($D302-$I$292)*MIN(L$3-$O$2,$Q$2)/$Q$2))</f>
        <v>7342.02541144193</v>
      </c>
      <c r="M302" s="15" t="n">
        <f aca="false">L302*(1+IF(M$3&lt;=$O$2,$D302,$D302-($D302-$I$292)*MIN(M$3-$O$2,$Q$2)/$Q$2))</f>
        <v>7585.62693144474</v>
      </c>
      <c r="N302" s="15" t="n">
        <f aca="false">M302*(1+IF(N$3&lt;=$O$2,$D302,$D302-($D302-$I$292)*MIN(N$3-$O$2,$Q$2)/$Q$2))</f>
        <v>7876.15644291908</v>
      </c>
      <c r="O302" s="15" t="n">
        <f aca="false">SUMPRODUCT(E302:N302,1/(1+$F$292)^$E$3:$N$3)*$E$2</f>
        <v>8917.06451290026</v>
      </c>
      <c r="P302" s="15" t="n">
        <f aca="false">N302*$E$2*(1+$I$292)/($F$292-$I$292)/(1+$F$292)^$N$3</f>
        <v>13381.3119316207</v>
      </c>
      <c r="Q302" s="15" t="n">
        <f aca="false">O302+P302</f>
        <v>22298.3764445209</v>
      </c>
      <c r="R302" s="15" t="n">
        <f aca="false">Q302-$G$2+$I$2</f>
        <v>16998.4764445209</v>
      </c>
      <c r="S302" s="42" t="n">
        <f aca="false">R302/$K$2</f>
        <v>144.692513147097</v>
      </c>
      <c r="T302" s="43" t="n">
        <f aca="false">S302-$M$2</f>
        <v>-2.48147391453068</v>
      </c>
    </row>
    <row r="303" customFormat="false" ht="15" hidden="false" customHeight="false" outlineLevel="0" collapsed="false">
      <c r="A303" s="5" t="n">
        <v>10</v>
      </c>
      <c r="B303" s="25" t="n">
        <f aca="false">IF(T302&gt;0,B302,D302)</f>
        <v>0.0126953125</v>
      </c>
      <c r="C303" s="25" t="n">
        <f aca="false">IF(T302&gt;0,D302,C302)</f>
        <v>0.015625</v>
      </c>
      <c r="D303" s="41" t="n">
        <f aca="false">(B303+C303)/2</f>
        <v>0.01416015625</v>
      </c>
      <c r="E303" s="15" t="n">
        <f aca="false">$C$2*(1+IF(E$3&lt;=$O$2,$D303,$D303-($D303-$I$292)*MIN(E$3-$O$2,$Q$2)/$Q$2))</f>
        <v>6531.19140625</v>
      </c>
      <c r="F303" s="15" t="n">
        <f aca="false">E303*(1+IF(F$3&lt;=$O$2,$D303,$D303-($D303-$I$292)*MIN(F$3-$O$2,$Q$2)/$Q$2))</f>
        <v>6623.67409706116</v>
      </c>
      <c r="G303" s="15" t="n">
        <f aca="false">F303*(1+IF(G$3&lt;=$O$2,$D303,$D303-($D303-$I$292)*MIN(G$3-$O$2,$Q$2)/$Q$2))</f>
        <v>6717.46635722462</v>
      </c>
      <c r="H303" s="15" t="n">
        <f aca="false">G303*(1+IF(H$3&lt;=$O$2,$D303,$D303-($D303-$I$292)*MIN(H$3-$O$2,$Q$2)/$Q$2))</f>
        <v>6812.58673044704</v>
      </c>
      <c r="I303" s="15" t="n">
        <f aca="false">H303*(1+IF(I$3&lt;=$O$2,$D303,$D303-($D303-$I$292)*MIN(I$3-$O$2,$Q$2)/$Q$2))</f>
        <v>6909.05402301685</v>
      </c>
      <c r="J303" s="15" t="n">
        <f aca="false">I303*(1+IF(J$3&lt;=$O$2,$D303,$D303-($D303-$I$292)*MIN(J$3-$O$2,$Q$2)/$Q$2))</f>
        <v>7040.24400443764</v>
      </c>
      <c r="K303" s="15" t="n">
        <f aca="false">J303*(1+IF(K$3&lt;=$O$2,$D303,$D303-($D303-$I$292)*MIN(K$3-$O$2,$Q$2)/$Q$2))</f>
        <v>7207.91511567021</v>
      </c>
      <c r="L303" s="15" t="n">
        <f aca="false">K303*(1+IF(L$3&lt;=$O$2,$D303,$D303-($D303-$I$292)*MIN(L$3-$O$2,$Q$2)/$Q$2))</f>
        <v>7414.37908673816</v>
      </c>
      <c r="M303" s="15" t="n">
        <f aca="false">L303*(1+IF(M$3&lt;=$O$2,$D303,$D303-($D303-$I$292)*MIN(M$3-$O$2,$Q$2)/$Q$2))</f>
        <v>7662.55341522881</v>
      </c>
      <c r="N303" s="15" t="n">
        <f aca="false">M303*(1+IF(N$3&lt;=$O$2,$D303,$D303-($D303-$I$292)*MIN(N$3-$O$2,$Q$2)/$Q$2))</f>
        <v>7956.02921103207</v>
      </c>
      <c r="O303" s="15" t="n">
        <f aca="false">SUMPRODUCT(E303:N303,1/(1+$F$292)^$E$3:$N$3)*$E$2</f>
        <v>8973.94598539142</v>
      </c>
      <c r="P303" s="15" t="n">
        <f aca="false">N303*$E$2*(1+$I$292)/($F$292-$I$292)/(1+$F$292)^$N$3</f>
        <v>13517.0129467932</v>
      </c>
      <c r="Q303" s="15" t="n">
        <f aca="false">O303+P303</f>
        <v>22490.9589321846</v>
      </c>
      <c r="R303" s="15" t="n">
        <f aca="false">Q303-$G$2+$I$2</f>
        <v>17191.0589321846</v>
      </c>
      <c r="S303" s="42" t="n">
        <f aca="false">R303/$K$2</f>
        <v>146.331792068306</v>
      </c>
      <c r="T303" s="43" t="n">
        <f aca="false">S303-$M$2</f>
        <v>-0.842194993321073</v>
      </c>
    </row>
    <row r="304" customFormat="false" ht="15" hidden="false" customHeight="false" outlineLevel="0" collapsed="false">
      <c r="A304" s="5" t="n">
        <v>11</v>
      </c>
      <c r="B304" s="25" t="n">
        <f aca="false">IF(T303&gt;0,B303,D303)</f>
        <v>0.01416015625</v>
      </c>
      <c r="C304" s="25" t="n">
        <f aca="false">IF(T303&gt;0,D303,C303)</f>
        <v>0.015625</v>
      </c>
      <c r="D304" s="41" t="n">
        <f aca="false">(B304+C304)/2</f>
        <v>0.014892578125</v>
      </c>
      <c r="E304" s="15" t="n">
        <f aca="false">$C$2*(1+IF(E$3&lt;=$O$2,$D304,$D304-($D304-$I$292)*MIN(E$3-$O$2,$Q$2)/$Q$2))</f>
        <v>6535.908203125</v>
      </c>
      <c r="F304" s="15" t="n">
        <f aca="false">E304*(1+IF(F$3&lt;=$O$2,$D304,$D304-($D304-$I$292)*MIN(F$3-$O$2,$Q$2)/$Q$2))</f>
        <v>6633.24472665787</v>
      </c>
      <c r="G304" s="15" t="n">
        <f aca="false">F304*(1+IF(G$3&lt;=$O$2,$D304,$D304-($D304-$I$292)*MIN(G$3-$O$2,$Q$2)/$Q$2))</f>
        <v>6732.03084197186</v>
      </c>
      <c r="H304" s="15" t="n">
        <f aca="false">G304*(1+IF(H$3&lt;=$O$2,$D304,$D304-($D304-$I$292)*MIN(H$3-$O$2,$Q$2)/$Q$2))</f>
        <v>6832.28813722584</v>
      </c>
      <c r="I304" s="15" t="n">
        <f aca="false">H304*(1+IF(I$3&lt;=$O$2,$D304,$D304-($D304-$I$292)*MIN(I$3-$O$2,$Q$2)/$Q$2))</f>
        <v>6934.03852208199</v>
      </c>
      <c r="J304" s="15" t="n">
        <f aca="false">I304*(1+IF(J$3&lt;=$O$2,$D304,$D304-($D304-$I$292)*MIN(J$3-$O$2,$Q$2)/$Q$2))</f>
        <v>7069.76582549063</v>
      </c>
      <c r="K304" s="15" t="n">
        <f aca="false">J304*(1+IF(K$3&lt;=$O$2,$D304,$D304-($D304-$I$292)*MIN(K$3-$O$2,$Q$2)/$Q$2))</f>
        <v>7241.24686186609</v>
      </c>
      <c r="L304" s="15" t="n">
        <f aca="false">K304*(1+IF(L$3&lt;=$O$2,$D304,$D304-($D304-$I$292)*MIN(L$3-$O$2,$Q$2)/$Q$2))</f>
        <v>7450.78704859687</v>
      </c>
      <c r="M304" s="15" t="n">
        <f aca="false">L304*(1+IF(M$3&lt;=$O$2,$D304,$D304-($D304-$I$292)*MIN(M$3-$O$2,$Q$2)/$Q$2))</f>
        <v>7701.27144940867</v>
      </c>
      <c r="N304" s="15" t="n">
        <f aca="false">M304*(1+IF(N$3&lt;=$O$2,$D304,$D304-($D304-$I$292)*MIN(N$3-$O$2,$Q$2)/$Q$2))</f>
        <v>7996.23014592103</v>
      </c>
      <c r="O304" s="15" t="n">
        <f aca="false">SUMPRODUCT(E304:N304,1/(1+$F$292)^$E$3:$N$3)*$E$2</f>
        <v>9002.52542713919</v>
      </c>
      <c r="P304" s="15" t="n">
        <f aca="false">N304*$E$2*(1+$I$292)/($F$292-$I$292)/(1+$F$292)^$N$3</f>
        <v>13585.3129169107</v>
      </c>
      <c r="Q304" s="15" t="n">
        <f aca="false">O304+P304</f>
        <v>22587.8383440499</v>
      </c>
      <c r="R304" s="15" t="n">
        <f aca="false">Q304-$G$2+$I$2</f>
        <v>17287.9383440499</v>
      </c>
      <c r="S304" s="42" t="n">
        <f aca="false">R304/$K$2</f>
        <v>147.156438066479</v>
      </c>
      <c r="T304" s="43" t="n">
        <f aca="false">S304-$M$2</f>
        <v>-0.0175489951490135</v>
      </c>
    </row>
    <row r="305" customFormat="false" ht="15" hidden="false" customHeight="false" outlineLevel="0" collapsed="false">
      <c r="A305" s="5" t="n">
        <v>12</v>
      </c>
      <c r="B305" s="25" t="n">
        <f aca="false">IF(T304&gt;0,B304,D304)</f>
        <v>0.014892578125</v>
      </c>
      <c r="C305" s="25" t="n">
        <f aca="false">IF(T304&gt;0,D304,C304)</f>
        <v>0.015625</v>
      </c>
      <c r="D305" s="41" t="n">
        <f aca="false">(B305+C305)/2</f>
        <v>0.0152587890625</v>
      </c>
      <c r="E305" s="15" t="n">
        <f aca="false">$C$2*(1+IF(E$3&lt;=$O$2,$D305,$D305-($D305-$I$292)*MIN(E$3-$O$2,$Q$2)/$Q$2))</f>
        <v>6538.2666015625</v>
      </c>
      <c r="F305" s="15" t="n">
        <f aca="false">E305*(1+IF(F$3&lt;=$O$2,$D305,$D305-($D305-$I$292)*MIN(F$3-$O$2,$Q$2)/$Q$2))</f>
        <v>6638.03263247013</v>
      </c>
      <c r="G305" s="15" t="n">
        <f aca="false">F305*(1+IF(G$3&lt;=$O$2,$D305,$D305-($D305-$I$292)*MIN(G$3-$O$2,$Q$2)/$Q$2))</f>
        <v>6739.32097219898</v>
      </c>
      <c r="H305" s="15" t="n">
        <f aca="false">G305*(1+IF(H$3&lt;=$O$2,$D305,$D305-($D305-$I$292)*MIN(H$3-$O$2,$Q$2)/$Q$2))</f>
        <v>6842.15484933825</v>
      </c>
      <c r="I305" s="15" t="n">
        <f aca="false">H305*(1+IF(I$3&lt;=$O$2,$D305,$D305-($D305-$I$292)*MIN(I$3-$O$2,$Q$2)/$Q$2))</f>
        <v>6946.55784691726</v>
      </c>
      <c r="J305" s="15" t="n">
        <f aca="false">I305*(1+IF(J$3&lt;=$O$2,$D305,$D305-($D305-$I$292)*MIN(J$3-$O$2,$Q$2)/$Q$2))</f>
        <v>7084.5653287419</v>
      </c>
      <c r="K305" s="15" t="n">
        <f aca="false">J305*(1+IF(K$3&lt;=$O$2,$D305,$D305-($D305-$I$292)*MIN(K$3-$O$2,$Q$2)/$Q$2))</f>
        <v>7257.96200234869</v>
      </c>
      <c r="L305" s="15" t="n">
        <f aca="false">K305*(1+IF(L$3&lt;=$O$2,$D305,$D305-($D305-$I$292)*MIN(L$3-$O$2,$Q$2)/$Q$2))</f>
        <v>7469.04905364966</v>
      </c>
      <c r="M305" s="15" t="n">
        <f aca="false">L305*(1+IF(M$3&lt;=$O$2,$D305,$D305-($D305-$I$292)*MIN(M$3-$O$2,$Q$2)/$Q$2))</f>
        <v>7720.6944454549</v>
      </c>
      <c r="N305" s="15" t="n">
        <f aca="false">M305*(1+IF(N$3&lt;=$O$2,$D305,$D305-($D305-$I$292)*MIN(N$3-$O$2,$Q$2)/$Q$2))</f>
        <v>8016.39704271583</v>
      </c>
      <c r="O305" s="15" t="n">
        <f aca="false">SUMPRODUCT(E305:N305,1/(1+$F$292)^$E$3:$N$3)*$E$2</f>
        <v>9016.84994855992</v>
      </c>
      <c r="P305" s="15" t="n">
        <f aca="false">N305*$E$2*(1+$I$292)/($F$292-$I$292)/(1+$F$292)^$N$3</f>
        <v>13619.5757630921</v>
      </c>
      <c r="Q305" s="15" t="n">
        <f aca="false">O305+P305</f>
        <v>22636.425711652</v>
      </c>
      <c r="R305" s="15" t="n">
        <f aca="false">Q305-$G$2+$I$2</f>
        <v>17336.525711652</v>
      </c>
      <c r="S305" s="42" t="n">
        <f aca="false">R305/$K$2</f>
        <v>147.570017974566</v>
      </c>
      <c r="T305" s="43" t="n">
        <f aca="false">S305-$M$2</f>
        <v>0.39603091293813</v>
      </c>
    </row>
    <row r="306" customFormat="false" ht="15" hidden="false" customHeight="false" outlineLevel="0" collapsed="false">
      <c r="A306" s="5" t="n">
        <v>13</v>
      </c>
      <c r="B306" s="25" t="n">
        <f aca="false">IF(T305&gt;0,B305,D305)</f>
        <v>0.014892578125</v>
      </c>
      <c r="C306" s="25" t="n">
        <f aca="false">IF(T305&gt;0,D305,C305)</f>
        <v>0.0152587890625</v>
      </c>
      <c r="D306" s="41" t="n">
        <f aca="false">(B306+C306)/2</f>
        <v>0.01507568359375</v>
      </c>
      <c r="E306" s="15" t="n">
        <f aca="false">$C$2*(1+IF(E$3&lt;=$O$2,$D306,$D306-($D306-$I$292)*MIN(E$3-$O$2,$Q$2)/$Q$2))</f>
        <v>6537.08740234375</v>
      </c>
      <c r="F306" s="15" t="n">
        <f aca="false">E306*(1+IF(F$3&lt;=$O$2,$D306,$D306-($D306-$I$292)*MIN(F$3-$O$2,$Q$2)/$Q$2))</f>
        <v>6635.63846364617</v>
      </c>
      <c r="G306" s="15" t="n">
        <f aca="false">F306*(1+IF(G$3&lt;=$O$2,$D306,$D306-($D306-$I$292)*MIN(G$3-$O$2,$Q$2)/$Q$2))</f>
        <v>6735.67524956662</v>
      </c>
      <c r="H306" s="15" t="n">
        <f aca="false">G306*(1+IF(H$3&lt;=$O$2,$D306,$D306-($D306-$I$292)*MIN(H$3-$O$2,$Q$2)/$Q$2))</f>
        <v>6837.22015841934</v>
      </c>
      <c r="I306" s="15" t="n">
        <f aca="false">H306*(1+IF(I$3&lt;=$O$2,$D306,$D306-($D306-$I$292)*MIN(I$3-$O$2,$Q$2)/$Q$2))</f>
        <v>6940.29592618848</v>
      </c>
      <c r="J306" s="15" t="n">
        <f aca="false">I306*(1+IF(J$3&lt;=$O$2,$D306,$D306-($D306-$I$292)*MIN(J$3-$O$2,$Q$2)/$Q$2))</f>
        <v>7077.16235732725</v>
      </c>
      <c r="K306" s="15" t="n">
        <f aca="false">J306*(1+IF(K$3&lt;=$O$2,$D306,$D306-($D306-$I$292)*MIN(K$3-$O$2,$Q$2)/$Q$2))</f>
        <v>7249.6003209059</v>
      </c>
      <c r="L306" s="15" t="n">
        <f aca="false">K306*(1+IF(L$3&lt;=$O$2,$D306,$D306-($D306-$I$292)*MIN(L$3-$O$2,$Q$2)/$Q$2))</f>
        <v>7459.91320852797</v>
      </c>
      <c r="M306" s="15" t="n">
        <f aca="false">L306*(1+IF(M$3&lt;=$O$2,$D306,$D306-($D306-$I$292)*MIN(M$3-$O$2,$Q$2)/$Q$2))</f>
        <v>7710.97760747099</v>
      </c>
      <c r="N306" s="15" t="n">
        <f aca="false">M306*(1+IF(N$3&lt;=$O$2,$D306,$D306-($D306-$I$292)*MIN(N$3-$O$2,$Q$2)/$Q$2))</f>
        <v>8006.30804983713</v>
      </c>
      <c r="O306" s="15" t="n">
        <f aca="false">SUMPRODUCT(E306:N306,1/(1+$F$292)^$E$3:$N$3)*$E$2</f>
        <v>9009.68478410038</v>
      </c>
      <c r="P306" s="15" t="n">
        <f aca="false">N306*$E$2*(1+$I$292)/($F$292-$I$292)/(1+$F$292)^$N$3</f>
        <v>13602.4349201233</v>
      </c>
      <c r="Q306" s="15" t="n">
        <f aca="false">O306+P306</f>
        <v>22612.1197042236</v>
      </c>
      <c r="R306" s="15" t="n">
        <f aca="false">Q306-$G$2+$I$2</f>
        <v>17312.2197042236</v>
      </c>
      <c r="S306" s="42" t="n">
        <f aca="false">R306/$K$2</f>
        <v>147.363123120732</v>
      </c>
      <c r="T306" s="43" t="n">
        <f aca="false">S306-$M$2</f>
        <v>0.189136059104783</v>
      </c>
    </row>
    <row r="307" customFormat="false" ht="15" hidden="false" customHeight="false" outlineLevel="0" collapsed="false">
      <c r="A307" s="5" t="n">
        <v>14</v>
      </c>
      <c r="B307" s="25" t="n">
        <f aca="false">IF(T306&gt;0,B306,D306)</f>
        <v>0.014892578125</v>
      </c>
      <c r="C307" s="25" t="n">
        <f aca="false">IF(T306&gt;0,D306,C306)</f>
        <v>0.01507568359375</v>
      </c>
      <c r="D307" s="41" t="n">
        <f aca="false">(B307+C307)/2</f>
        <v>0.014984130859375</v>
      </c>
      <c r="E307" s="15" t="n">
        <f aca="false">$C$2*(1+IF(E$3&lt;=$O$2,$D307,$D307-($D307-$I$292)*MIN(E$3-$O$2,$Q$2)/$Q$2))</f>
        <v>6536.49780273438</v>
      </c>
      <c r="F307" s="15" t="n">
        <f aca="false">E307*(1+IF(F$3&lt;=$O$2,$D307,$D307-($D307-$I$292)*MIN(F$3-$O$2,$Q$2)/$Q$2))</f>
        <v>6634.44154117256</v>
      </c>
      <c r="G307" s="15" t="n">
        <f aca="false">F307*(1+IF(G$3&lt;=$O$2,$D307,$D307-($D307-$I$292)*MIN(G$3-$O$2,$Q$2)/$Q$2))</f>
        <v>6733.85288140437</v>
      </c>
      <c r="H307" s="15" t="n">
        <f aca="false">G307*(1+IF(H$3&lt;=$O$2,$D307,$D307-($D307-$I$292)*MIN(H$3-$O$2,$Q$2)/$Q$2))</f>
        <v>6834.75381416711</v>
      </c>
      <c r="I307" s="15" t="n">
        <f aca="false">H307*(1+IF(I$3&lt;=$O$2,$D307,$D307-($D307-$I$292)*MIN(I$3-$O$2,$Q$2)/$Q$2))</f>
        <v>6937.1666597102</v>
      </c>
      <c r="J307" s="15" t="n">
        <f aca="false">I307*(1+IF(J$3&lt;=$O$2,$D307,$D307-($D307-$I$292)*MIN(J$3-$O$2,$Q$2)/$Q$2))</f>
        <v>7073.4632867415</v>
      </c>
      <c r="K307" s="15" t="n">
        <f aca="false">J307*(1+IF(K$3&lt;=$O$2,$D307,$D307-($D307-$I$292)*MIN(K$3-$O$2,$Q$2)/$Q$2))</f>
        <v>7245.42256400489</v>
      </c>
      <c r="L307" s="15" t="n">
        <f aca="false">K307*(1+IF(L$3&lt;=$O$2,$D307,$D307-($D307-$I$292)*MIN(L$3-$O$2,$Q$2)/$Q$2))</f>
        <v>7455.34891845793</v>
      </c>
      <c r="M307" s="15" t="n">
        <f aca="false">L307*(1+IF(M$3&lt;=$O$2,$D307,$D307-($D307-$I$292)*MIN(M$3-$O$2,$Q$2)/$Q$2))</f>
        <v>7706.12319407877</v>
      </c>
      <c r="N307" s="15" t="n">
        <f aca="false">M307*(1+IF(N$3&lt;=$O$2,$D307,$D307-($D307-$I$292)*MIN(N$3-$O$2,$Q$2)/$Q$2))</f>
        <v>8001.26771241199</v>
      </c>
      <c r="O307" s="15" t="n">
        <f aca="false">SUMPRODUCT(E307:N307,1/(1+$F$292)^$E$3:$N$3)*$E$2</f>
        <v>9006.10437996047</v>
      </c>
      <c r="P307" s="15" t="n">
        <f aca="false">N307*$E$2*(1+$I$292)/($F$292-$I$292)/(1+$F$292)^$N$3</f>
        <v>13593.8715646573</v>
      </c>
      <c r="Q307" s="15" t="n">
        <f aca="false">O307+P307</f>
        <v>22599.9759446177</v>
      </c>
      <c r="R307" s="15" t="n">
        <f aca="false">Q307-$G$2+$I$2</f>
        <v>17300.0759446177</v>
      </c>
      <c r="S307" s="42" t="n">
        <f aca="false">R307/$K$2</f>
        <v>147.259754380471</v>
      </c>
      <c r="T307" s="43" t="n">
        <f aca="false">S307-$M$2</f>
        <v>0.0857673188435797</v>
      </c>
    </row>
    <row r="308" customFormat="false" ht="15" hidden="false" customHeight="false" outlineLevel="0" collapsed="false">
      <c r="A308" s="5" t="n">
        <v>15</v>
      </c>
      <c r="B308" s="25" t="n">
        <f aca="false">IF(T307&gt;0,B307,D307)</f>
        <v>0.014892578125</v>
      </c>
      <c r="C308" s="25" t="n">
        <f aca="false">IF(T307&gt;0,D307,C307)</f>
        <v>0.014984130859375</v>
      </c>
      <c r="D308" s="41" t="n">
        <f aca="false">(B308+C308)/2</f>
        <v>0.0149383544921875</v>
      </c>
      <c r="E308" s="15" t="n">
        <f aca="false">$C$2*(1+IF(E$3&lt;=$O$2,$D308,$D308-($D308-$I$292)*MIN(E$3-$O$2,$Q$2)/$Q$2))</f>
        <v>6536.20300292969</v>
      </c>
      <c r="F308" s="15" t="n">
        <f aca="false">E308*(1+IF(F$3&lt;=$O$2,$D308,$D308-($D308-$I$292)*MIN(F$3-$O$2,$Q$2)/$Q$2))</f>
        <v>6633.84312042035</v>
      </c>
      <c r="G308" s="15" t="n">
        <f aca="false">F308*(1+IF(G$3&lt;=$O$2,$D308,$D308-($D308-$I$292)*MIN(G$3-$O$2,$Q$2)/$Q$2))</f>
        <v>6732.94182059875</v>
      </c>
      <c r="H308" s="15" t="n">
        <f aca="false">G308*(1+IF(H$3&lt;=$O$2,$D308,$D308-($D308-$I$292)*MIN(H$3-$O$2,$Q$2)/$Q$2))</f>
        <v>6833.52089229013</v>
      </c>
      <c r="I308" s="15" t="n">
        <f aca="false">H308*(1+IF(I$3&lt;=$O$2,$D308,$D308-($D308-$I$292)*MIN(I$3-$O$2,$Q$2)/$Q$2))</f>
        <v>6935.60244980893</v>
      </c>
      <c r="J308" s="15" t="n">
        <f aca="false">I308*(1+IF(J$3&lt;=$O$2,$D308,$D308-($D308-$I$292)*MIN(J$3-$O$2,$Q$2)/$Q$2))</f>
        <v>7071.61435498417</v>
      </c>
      <c r="K308" s="15" t="n">
        <f aca="false">J308*(1+IF(K$3&lt;=$O$2,$D308,$D308-($D308-$I$292)*MIN(K$3-$O$2,$Q$2)/$Q$2))</f>
        <v>7243.3344561426</v>
      </c>
      <c r="L308" s="15" t="n">
        <f aca="false">K308*(1+IF(L$3&lt;=$O$2,$D308,$D308-($D308-$I$292)*MIN(L$3-$O$2,$Q$2)/$Q$2))</f>
        <v>7453.06768106929</v>
      </c>
      <c r="M308" s="15" t="n">
        <f aca="false">L308*(1+IF(M$3&lt;=$O$2,$D308,$D308-($D308-$I$292)*MIN(M$3-$O$2,$Q$2)/$Q$2))</f>
        <v>7703.69698823207</v>
      </c>
      <c r="N308" s="15" t="n">
        <f aca="false">M308*(1+IF(N$3&lt;=$O$2,$D308,$D308-($D308-$I$292)*MIN(N$3-$O$2,$Q$2)/$Q$2))</f>
        <v>7998.74858288136</v>
      </c>
      <c r="O308" s="15" t="n">
        <f aca="false">SUMPRODUCT(E308:N308,1/(1+$F$292)^$E$3:$N$3)*$E$2</f>
        <v>9004.31472216974</v>
      </c>
      <c r="P308" s="15" t="n">
        <f aca="false">N308*$E$2*(1+$I$292)/($F$292-$I$292)/(1+$F$292)^$N$3</f>
        <v>13589.5916524577</v>
      </c>
      <c r="Q308" s="15" t="n">
        <f aca="false">O308+P308</f>
        <v>22593.9063746275</v>
      </c>
      <c r="R308" s="15" t="n">
        <f aca="false">Q308-$G$2+$I$2</f>
        <v>17294.0063746275</v>
      </c>
      <c r="S308" s="42" t="n">
        <f aca="false">R308/$K$2</f>
        <v>147.208089671667</v>
      </c>
      <c r="T308" s="43" t="n">
        <f aca="false">S308-$M$2</f>
        <v>0.0341026100397812</v>
      </c>
    </row>
    <row r="309" customFormat="false" ht="15" hidden="false" customHeight="false" outlineLevel="0" collapsed="false">
      <c r="A309" s="5" t="n">
        <v>16</v>
      </c>
      <c r="B309" s="25" t="n">
        <f aca="false">IF(T308&gt;0,B308,D308)</f>
        <v>0.014892578125</v>
      </c>
      <c r="C309" s="25" t="n">
        <f aca="false">IF(T308&gt;0,D308,C308)</f>
        <v>0.0149383544921875</v>
      </c>
      <c r="D309" s="41" t="n">
        <f aca="false">(B309+C309)/2</f>
        <v>0.0149154663085938</v>
      </c>
      <c r="E309" s="15" t="n">
        <f aca="false">$C$2*(1+IF(E$3&lt;=$O$2,$D309,$D309-($D309-$I$292)*MIN(E$3-$O$2,$Q$2)/$Q$2))</f>
        <v>6536.05560302734</v>
      </c>
      <c r="F309" s="15" t="n">
        <f aca="false">E309*(1+IF(F$3&lt;=$O$2,$D309,$D309-($D309-$I$292)*MIN(F$3-$O$2,$Q$2)/$Q$2))</f>
        <v>6633.54392016539</v>
      </c>
      <c r="G309" s="15" t="n">
        <f aca="false">F309*(1+IF(G$3&lt;=$O$2,$D309,$D309-($D309-$I$292)*MIN(G$3-$O$2,$Q$2)/$Q$2))</f>
        <v>6732.4863210132</v>
      </c>
      <c r="H309" s="15" t="n">
        <f aca="false">G309*(1+IF(H$3&lt;=$O$2,$D309,$D309-($D309-$I$292)*MIN(H$3-$O$2,$Q$2)/$Q$2))</f>
        <v>6832.90449390734</v>
      </c>
      <c r="I309" s="15" t="n">
        <f aca="false">H309*(1+IF(I$3&lt;=$O$2,$D309,$D309-($D309-$I$292)*MIN(I$3-$O$2,$Q$2)/$Q$2))</f>
        <v>6934.82045067605</v>
      </c>
      <c r="J309" s="15" t="n">
        <f aca="false">I309*(1+IF(J$3&lt;=$O$2,$D309,$D309-($D309-$I$292)*MIN(J$3-$O$2,$Q$2)/$Q$2))</f>
        <v>7070.69003995879</v>
      </c>
      <c r="K309" s="15" t="n">
        <f aca="false">J309*(1+IF(K$3&lt;=$O$2,$D309,$D309-($D309-$I$292)*MIN(K$3-$O$2,$Q$2)/$Q$2))</f>
        <v>7242.29059481267</v>
      </c>
      <c r="L309" s="15" t="n">
        <f aca="false">K309*(1+IF(L$3&lt;=$O$2,$D309,$D309-($D309-$I$292)*MIN(L$3-$O$2,$Q$2)/$Q$2))</f>
        <v>7451.92728922706</v>
      </c>
      <c r="M309" s="15" t="n">
        <f aca="false">L309*(1+IF(M$3&lt;=$O$2,$D309,$D309-($D309-$I$292)*MIN(M$3-$O$2,$Q$2)/$Q$2))</f>
        <v>7702.48413545229</v>
      </c>
      <c r="N309" s="15" t="n">
        <f aca="false">M309*(1+IF(N$3&lt;=$O$2,$D309,$D309-($D309-$I$292)*MIN(N$3-$O$2,$Q$2)/$Q$2))</f>
        <v>7997.48927784011</v>
      </c>
      <c r="O309" s="15" t="n">
        <f aca="false">SUMPRODUCT(E309:N309,1/(1+$F$292)^$E$3:$N$3)*$E$2</f>
        <v>9003.42002931378</v>
      </c>
      <c r="P309" s="15" t="n">
        <f aca="false">N309*$E$2*(1+$I$292)/($F$292-$I$292)/(1+$F$292)^$N$3</f>
        <v>13587.45213762</v>
      </c>
      <c r="Q309" s="15" t="n">
        <f aca="false">O309+P309</f>
        <v>22590.8721669338</v>
      </c>
      <c r="R309" s="15" t="n">
        <f aca="false">Q309-$G$2+$I$2</f>
        <v>17290.9721669338</v>
      </c>
      <c r="S309" s="42" t="n">
        <f aca="false">R309/$K$2</f>
        <v>147.182262231306</v>
      </c>
      <c r="T309" s="43" t="n">
        <f aca="false">S309-$M$2</f>
        <v>0.00827516967797237</v>
      </c>
    </row>
    <row r="310" customFormat="false" ht="15" hidden="false" customHeight="false" outlineLevel="0" collapsed="false">
      <c r="A310" s="5" t="n">
        <v>17</v>
      </c>
      <c r="B310" s="25" t="n">
        <f aca="false">IF(T309&gt;0,B309,D309)</f>
        <v>0.014892578125</v>
      </c>
      <c r="C310" s="25" t="n">
        <f aca="false">IF(T309&gt;0,D309,C309)</f>
        <v>0.0149154663085938</v>
      </c>
      <c r="D310" s="41" t="n">
        <f aca="false">(B310+C310)/2</f>
        <v>0.0149040222167969</v>
      </c>
      <c r="E310" s="15" t="n">
        <f aca="false">$C$2*(1+IF(E$3&lt;=$O$2,$D310,$D310-($D310-$I$292)*MIN(E$3-$O$2,$Q$2)/$Q$2))</f>
        <v>6535.98190307617</v>
      </c>
      <c r="F310" s="15" t="n">
        <f aca="false">E310*(1+IF(F$3&lt;=$O$2,$D310,$D310-($D310-$I$292)*MIN(F$3-$O$2,$Q$2)/$Q$2))</f>
        <v>6633.3943225682</v>
      </c>
      <c r="G310" s="15" t="n">
        <f aca="false">F310*(1+IF(G$3&lt;=$O$2,$D310,$D310-($D310-$I$292)*MIN(G$3-$O$2,$Q$2)/$Q$2))</f>
        <v>6732.25857892453</v>
      </c>
      <c r="H310" s="15" t="n">
        <f aca="false">G310*(1+IF(H$3&lt;=$O$2,$D310,$D310-($D310-$I$292)*MIN(H$3-$O$2,$Q$2)/$Q$2))</f>
        <v>6832.59631035404</v>
      </c>
      <c r="I310" s="15" t="n">
        <f aca="false">H310*(1+IF(I$3&lt;=$O$2,$D310,$D310-($D310-$I$292)*MIN(I$3-$O$2,$Q$2)/$Q$2))</f>
        <v>6934.42947756197</v>
      </c>
      <c r="J310" s="15" t="n">
        <f aca="false">I310*(1+IF(J$3&lt;=$O$2,$D310,$D310-($D310-$I$292)*MIN(J$3-$O$2,$Q$2)/$Q$2))</f>
        <v>7070.22792015561</v>
      </c>
      <c r="K310" s="15" t="n">
        <f aca="false">J310*(1+IF(K$3&lt;=$O$2,$D310,$D310-($D310-$I$292)*MIN(K$3-$O$2,$Q$2)/$Q$2))</f>
        <v>7241.76871229228</v>
      </c>
      <c r="L310" s="15" t="n">
        <f aca="false">K310*(1+IF(L$3&lt;=$O$2,$D310,$D310-($D310-$I$292)*MIN(L$3-$O$2,$Q$2)/$Q$2))</f>
        <v>7451.35715001152</v>
      </c>
      <c r="M310" s="15" t="n">
        <f aca="false">L310*(1+IF(M$3&lt;=$O$2,$D310,$D310-($D310-$I$292)*MIN(M$3-$O$2,$Q$2)/$Q$2))</f>
        <v>7701.87777158969</v>
      </c>
      <c r="N310" s="15" t="n">
        <f aca="false">M310*(1+IF(N$3&lt;=$O$2,$D310,$D310-($D310-$I$292)*MIN(N$3-$O$2,$Q$2)/$Q$2))</f>
        <v>7996.85969024157</v>
      </c>
      <c r="O310" s="15" t="n">
        <f aca="false">SUMPRODUCT(E310:N310,1/(1+$F$292)^$E$3:$N$3)*$E$2</f>
        <v>9002.97271689186</v>
      </c>
      <c r="P310" s="15" t="n">
        <f aca="false">N310*$E$2*(1+$I$292)/($F$292-$I$292)/(1+$F$292)^$N$3</f>
        <v>13586.3824905015</v>
      </c>
      <c r="Q310" s="15" t="n">
        <f aca="false">O310+P310</f>
        <v>22589.3552073933</v>
      </c>
      <c r="R310" s="15" t="n">
        <f aca="false">Q310-$G$2+$I$2</f>
        <v>17289.4552073933</v>
      </c>
      <c r="S310" s="42" t="n">
        <f aca="false">R310/$K$2</f>
        <v>147.169349739473</v>
      </c>
      <c r="T310" s="43" t="n">
        <f aca="false">S310-$M$2</f>
        <v>-0.00463732215433765</v>
      </c>
    </row>
    <row r="311" customFormat="false" ht="15" hidden="false" customHeight="false" outlineLevel="0" collapsed="false">
      <c r="A311" s="5" t="n">
        <v>18</v>
      </c>
      <c r="B311" s="25" t="n">
        <f aca="false">IF(T310&gt;0,B310,D310)</f>
        <v>0.0149040222167969</v>
      </c>
      <c r="C311" s="25" t="n">
        <f aca="false">IF(T310&gt;0,D310,C310)</f>
        <v>0.0149154663085938</v>
      </c>
      <c r="D311" s="41" t="n">
        <f aca="false">(B311+C311)/2</f>
        <v>0.0149097442626953</v>
      </c>
      <c r="E311" s="15" t="n">
        <f aca="false">$C$2*(1+IF(E$3&lt;=$O$2,$D311,$D311-($D311-$I$292)*MIN(E$3-$O$2,$Q$2)/$Q$2))</f>
        <v>6536.01875305176</v>
      </c>
      <c r="F311" s="15" t="n">
        <f aca="false">E311*(1+IF(F$3&lt;=$O$2,$D311,$D311-($D311-$I$292)*MIN(F$3-$O$2,$Q$2)/$Q$2))</f>
        <v>6633.46912115594</v>
      </c>
      <c r="G311" s="15" t="n">
        <f aca="false">F311*(1+IF(G$3&lt;=$O$2,$D311,$D311-($D311-$I$292)*MIN(G$3-$O$2,$Q$2)/$Q$2))</f>
        <v>6732.37244932686</v>
      </c>
      <c r="H311" s="15" t="n">
        <f aca="false">G311*(1+IF(H$3&lt;=$O$2,$D311,$D311-($D311-$I$292)*MIN(H$3-$O$2,$Q$2)/$Q$2))</f>
        <v>6832.75040082754</v>
      </c>
      <c r="I311" s="15" t="n">
        <f aca="false">H311*(1+IF(I$3&lt;=$O$2,$D311,$D311-($D311-$I$292)*MIN(I$3-$O$2,$Q$2)/$Q$2))</f>
        <v>6934.62496191471</v>
      </c>
      <c r="J311" s="15" t="n">
        <f aca="false">I311*(1+IF(J$3&lt;=$O$2,$D311,$D311-($D311-$I$292)*MIN(J$3-$O$2,$Q$2)/$Q$2))</f>
        <v>7070.45897691486</v>
      </c>
      <c r="K311" s="15" t="n">
        <f aca="false">J311*(1+IF(K$3&lt;=$O$2,$D311,$D311-($D311-$I$292)*MIN(K$3-$O$2,$Q$2)/$Q$2))</f>
        <v>7242.0296495406</v>
      </c>
      <c r="L311" s="15" t="n">
        <f aca="false">K311*(1+IF(L$3&lt;=$O$2,$D311,$D311-($D311-$I$292)*MIN(L$3-$O$2,$Q$2)/$Q$2))</f>
        <v>7451.64221489405</v>
      </c>
      <c r="M311" s="15" t="n">
        <f aca="false">L311*(1+IF(M$3&lt;=$O$2,$D311,$D311-($D311-$I$292)*MIN(M$3-$O$2,$Q$2)/$Q$2))</f>
        <v>7702.18094831063</v>
      </c>
      <c r="N311" s="15" t="n">
        <f aca="false">M311*(1+IF(N$3&lt;=$O$2,$D311,$D311-($D311-$I$292)*MIN(N$3-$O$2,$Q$2)/$Q$2))</f>
        <v>7997.17447863093</v>
      </c>
      <c r="O311" s="15" t="n">
        <f aca="false">SUMPRODUCT(E311:N311,1/(1+$F$292)^$E$3:$N$3)*$E$2</f>
        <v>9003.1963702691</v>
      </c>
      <c r="P311" s="15" t="n">
        <f aca="false">N311*$E$2*(1+$I$292)/($F$292-$I$292)/(1+$F$292)^$N$3</f>
        <v>13586.9173048695</v>
      </c>
      <c r="Q311" s="15" t="n">
        <f aca="false">O311+P311</f>
        <v>22590.1136751386</v>
      </c>
      <c r="R311" s="15" t="n">
        <f aca="false">Q311-$G$2+$I$2</f>
        <v>17290.2136751386</v>
      </c>
      <c r="S311" s="42" t="n">
        <f aca="false">R311/$K$2</f>
        <v>147.175805883032</v>
      </c>
      <c r="T311" s="43" t="n">
        <f aca="false">S311-$M$2</f>
        <v>0.00181882140429934</v>
      </c>
    </row>
    <row r="312" customFormat="false" ht="15" hidden="false" customHeight="false" outlineLevel="0" collapsed="false">
      <c r="A312" s="5" t="n">
        <v>19</v>
      </c>
      <c r="B312" s="25" t="n">
        <f aca="false">IF(T311&gt;0,B311,D311)</f>
        <v>0.0149040222167969</v>
      </c>
      <c r="C312" s="25" t="n">
        <f aca="false">IF(T311&gt;0,D311,C311)</f>
        <v>0.0149097442626953</v>
      </c>
      <c r="D312" s="41" t="n">
        <f aca="false">(B312+C312)/2</f>
        <v>0.0149068832397461</v>
      </c>
      <c r="E312" s="15" t="n">
        <f aca="false">$C$2*(1+IF(E$3&lt;=$O$2,$D312,$D312-($D312-$I$292)*MIN(E$3-$O$2,$Q$2)/$Q$2))</f>
        <v>6536.00032806397</v>
      </c>
      <c r="F312" s="15" t="n">
        <f aca="false">E312*(1+IF(F$3&lt;=$O$2,$D312,$D312-($D312-$I$292)*MIN(F$3-$O$2,$Q$2)/$Q$2))</f>
        <v>6633.43172180936</v>
      </c>
      <c r="G312" s="15" t="n">
        <f aca="false">F312*(1+IF(G$3&lt;=$O$2,$D312,$D312-($D312-$I$292)*MIN(G$3-$O$2,$Q$2)/$Q$2))</f>
        <v>6732.3155139652</v>
      </c>
      <c r="H312" s="15" t="n">
        <f aca="false">G312*(1+IF(H$3&lt;=$O$2,$D312,$D312-($D312-$I$292)*MIN(H$3-$O$2,$Q$2)/$Q$2))</f>
        <v>6832.67335526501</v>
      </c>
      <c r="I312" s="15" t="n">
        <f aca="false">H312*(1+IF(I$3&lt;=$O$2,$D312,$D312-($D312-$I$292)*MIN(I$3-$O$2,$Q$2)/$Q$2))</f>
        <v>6934.52721918727</v>
      </c>
      <c r="J312" s="15" t="n">
        <f aca="false">I312*(1+IF(J$3&lt;=$O$2,$D312,$D312-($D312-$I$292)*MIN(J$3-$O$2,$Q$2)/$Q$2))</f>
        <v>7070.34344774965</v>
      </c>
      <c r="K312" s="15" t="n">
        <f aca="false">J312*(1+IF(K$3&lt;=$O$2,$D312,$D312-($D312-$I$292)*MIN(K$3-$O$2,$Q$2)/$Q$2))</f>
        <v>7241.89917991348</v>
      </c>
      <c r="L312" s="15" t="n">
        <f aca="false">K312*(1+IF(L$3&lt;=$O$2,$D312,$D312-($D312-$I$292)*MIN(L$3-$O$2,$Q$2)/$Q$2))</f>
        <v>7451.49968127149</v>
      </c>
      <c r="M312" s="15" t="n">
        <f aca="false">L312*(1+IF(M$3&lt;=$O$2,$D312,$D312-($D312-$I$292)*MIN(M$3-$O$2,$Q$2)/$Q$2))</f>
        <v>7702.02935864759</v>
      </c>
      <c r="N312" s="15" t="n">
        <f aca="false">M312*(1+IF(N$3&lt;=$O$2,$D312,$D312-($D312-$I$292)*MIN(N$3-$O$2,$Q$2)/$Q$2))</f>
        <v>7997.01708308379</v>
      </c>
      <c r="O312" s="15" t="n">
        <f aca="false">SUMPRODUCT(E312:N312,1/(1+$F$292)^$E$3:$N$3)*$E$2</f>
        <v>9003.08454287206</v>
      </c>
      <c r="P312" s="15" t="n">
        <f aca="false">N312*$E$2*(1+$I$292)/($F$292-$I$292)/(1+$F$292)^$N$3</f>
        <v>13586.6498953877</v>
      </c>
      <c r="Q312" s="15" t="n">
        <f aca="false">O312+P312</f>
        <v>22589.7344382597</v>
      </c>
      <c r="R312" s="15" t="n">
        <f aca="false">Q312-$G$2+$I$2</f>
        <v>17289.8344382597</v>
      </c>
      <c r="S312" s="42" t="n">
        <f aca="false">R312/$K$2</f>
        <v>147.172577785663</v>
      </c>
      <c r="T312" s="43" t="n">
        <f aca="false">S312-$M$2</f>
        <v>-0.00140927596407892</v>
      </c>
    </row>
    <row r="313" customFormat="false" ht="15" hidden="false" customHeight="false" outlineLevel="0" collapsed="false">
      <c r="A313" s="5" t="n">
        <v>20</v>
      </c>
      <c r="B313" s="25" t="n">
        <f aca="false">IF(T312&gt;0,B312,D312)</f>
        <v>0.0149068832397461</v>
      </c>
      <c r="C313" s="25" t="n">
        <f aca="false">IF(T312&gt;0,D312,C312)</f>
        <v>0.0149097442626953</v>
      </c>
      <c r="D313" s="41" t="n">
        <f aca="false">(B313+C313)/2</f>
        <v>0.0149083137512207</v>
      </c>
      <c r="E313" s="15" t="n">
        <f aca="false">$C$2*(1+IF(E$3&lt;=$O$2,$D313,$D313-($D313-$I$292)*MIN(E$3-$O$2,$Q$2)/$Q$2))</f>
        <v>6536.00954055786</v>
      </c>
      <c r="F313" s="15" t="n">
        <f aca="false">E313*(1+IF(F$3&lt;=$O$2,$D313,$D313-($D313-$I$292)*MIN(F$3-$O$2,$Q$2)/$Q$2))</f>
        <v>6633.45042146947</v>
      </c>
      <c r="G313" s="15" t="n">
        <f aca="false">F313*(1+IF(G$3&lt;=$O$2,$D313,$D313-($D313-$I$292)*MIN(G$3-$O$2,$Q$2)/$Q$2))</f>
        <v>6732.3439816059</v>
      </c>
      <c r="H313" s="15" t="n">
        <f aca="false">G313*(1+IF(H$3&lt;=$O$2,$D313,$D313-($D313-$I$292)*MIN(H$3-$O$2,$Q$2)/$Q$2))</f>
        <v>6832.71187796483</v>
      </c>
      <c r="I313" s="15" t="n">
        <f aca="false">H313*(1+IF(I$3&lt;=$O$2,$D313,$D313-($D313-$I$292)*MIN(I$3-$O$2,$Q$2)/$Q$2))</f>
        <v>6934.57609041322</v>
      </c>
      <c r="J313" s="15" t="n">
        <f aca="false">I313*(1+IF(J$3&lt;=$O$2,$D313,$D313-($D313-$I$292)*MIN(J$3-$O$2,$Q$2)/$Q$2))</f>
        <v>7070.40121213586</v>
      </c>
      <c r="K313" s="15" t="n">
        <f aca="false">J313*(1+IF(K$3&lt;=$O$2,$D313,$D313-($D313-$I$292)*MIN(K$3-$O$2,$Q$2)/$Q$2))</f>
        <v>7241.9644144763</v>
      </c>
      <c r="L313" s="15" t="n">
        <f aca="false">K313*(1+IF(L$3&lt;=$O$2,$D313,$D313-($D313-$I$292)*MIN(L$3-$O$2,$Q$2)/$Q$2))</f>
        <v>7451.57094778744</v>
      </c>
      <c r="M313" s="15" t="n">
        <f aca="false">L313*(1+IF(M$3&lt;=$O$2,$D313,$D313-($D313-$I$292)*MIN(M$3-$O$2,$Q$2)/$Q$2))</f>
        <v>7702.10515315347</v>
      </c>
      <c r="N313" s="15" t="n">
        <f aca="false">M313*(1+IF(N$3&lt;=$O$2,$D313,$D313-($D313-$I$292)*MIN(N$3-$O$2,$Q$2)/$Q$2))</f>
        <v>7997.09578051925</v>
      </c>
      <c r="O313" s="15" t="n">
        <f aca="false">SUMPRODUCT(E313:N313,1/(1+$F$292)^$E$3:$N$3)*$E$2</f>
        <v>9003.14045639347</v>
      </c>
      <c r="P313" s="15" t="n">
        <f aca="false">N313*$E$2*(1+$I$292)/($F$292-$I$292)/(1+$F$292)^$N$3</f>
        <v>13586.7835995541</v>
      </c>
      <c r="Q313" s="15" t="n">
        <f aca="false">O313+P313</f>
        <v>22589.9240559476</v>
      </c>
      <c r="R313" s="15" t="n">
        <f aca="false">Q313-$G$2+$I$2</f>
        <v>17290.0240559476</v>
      </c>
      <c r="S313" s="42" t="n">
        <f aca="false">R313/$K$2</f>
        <v>147.17419182795</v>
      </c>
      <c r="T313" s="43" t="n">
        <f aca="false">S313-$M$2</f>
        <v>0.000204766322781325</v>
      </c>
    </row>
    <row r="314" customFormat="false" ht="15" hidden="false" customHeight="false" outlineLevel="0" collapsed="false">
      <c r="A314" s="5" t="n">
        <v>21</v>
      </c>
      <c r="B314" s="25" t="n">
        <f aca="false">IF(T313&gt;0,B313,D313)</f>
        <v>0.0149068832397461</v>
      </c>
      <c r="C314" s="25" t="n">
        <f aca="false">IF(T313&gt;0,D313,C313)</f>
        <v>0.0149083137512207</v>
      </c>
      <c r="D314" s="41" t="n">
        <f aca="false">(B314+C314)/2</f>
        <v>0.0149075984954834</v>
      </c>
      <c r="E314" s="15" t="n">
        <f aca="false">$C$2*(1+IF(E$3&lt;=$O$2,$D314,$D314-($D314-$I$292)*MIN(E$3-$O$2,$Q$2)/$Q$2))</f>
        <v>6536.00493431091</v>
      </c>
      <c r="F314" s="15" t="n">
        <f aca="false">E314*(1+IF(F$3&lt;=$O$2,$D314,$D314-($D314-$I$292)*MIN(F$3-$O$2,$Q$2)/$Q$2))</f>
        <v>6633.44107163612</v>
      </c>
      <c r="G314" s="15" t="n">
        <f aca="false">F314*(1+IF(G$3&lt;=$O$2,$D314,$D314-($D314-$I$292)*MIN(G$3-$O$2,$Q$2)/$Q$2))</f>
        <v>6732.32974777552</v>
      </c>
      <c r="H314" s="15" t="n">
        <f aca="false">G314*(1+IF(H$3&lt;=$O$2,$D314,$D314-($D314-$I$292)*MIN(H$3-$O$2,$Q$2)/$Q$2))</f>
        <v>6832.69261659456</v>
      </c>
      <c r="I314" s="15" t="n">
        <f aca="false">H314*(1+IF(I$3&lt;=$O$2,$D314,$D314-($D314-$I$292)*MIN(I$3-$O$2,$Q$2)/$Q$2))</f>
        <v>6934.5516547658</v>
      </c>
      <c r="J314" s="15" t="n">
        <f aca="false">I314*(1+IF(J$3&lt;=$O$2,$D314,$D314-($D314-$I$292)*MIN(J$3-$O$2,$Q$2)/$Q$2))</f>
        <v>7070.37232989366</v>
      </c>
      <c r="K314" s="15" t="n">
        <f aca="false">J314*(1+IF(K$3&lt;=$O$2,$D314,$D314-($D314-$I$292)*MIN(K$3-$O$2,$Q$2)/$Q$2))</f>
        <v>7241.93179713221</v>
      </c>
      <c r="L314" s="15" t="n">
        <f aca="false">K314*(1+IF(L$3&lt;=$O$2,$D314,$D314-($D314-$I$292)*MIN(L$3-$O$2,$Q$2)/$Q$2))</f>
        <v>7451.53531445563</v>
      </c>
      <c r="M314" s="15" t="n">
        <f aca="false">L314*(1+IF(M$3&lt;=$O$2,$D314,$D314-($D314-$I$292)*MIN(M$3-$O$2,$Q$2)/$Q$2))</f>
        <v>7702.06725581912</v>
      </c>
      <c r="N314" s="15" t="n">
        <f aca="false">M314*(1+IF(N$3&lt;=$O$2,$D314,$D314-($D314-$I$292)*MIN(N$3-$O$2,$Q$2)/$Q$2))</f>
        <v>7997.05643171699</v>
      </c>
      <c r="O314" s="15" t="n">
        <f aca="false">SUMPRODUCT(E314:N314,1/(1+$F$292)^$E$3:$N$3)*$E$2</f>
        <v>9003.11249958849</v>
      </c>
      <c r="P314" s="15" t="n">
        <f aca="false">N314*$E$2*(1+$I$292)/($F$292-$I$292)/(1+$F$292)^$N$3</f>
        <v>13586.7167473273</v>
      </c>
      <c r="Q314" s="15" t="n">
        <f aca="false">O314+P314</f>
        <v>22589.8292469158</v>
      </c>
      <c r="R314" s="15" t="n">
        <f aca="false">Q314-$G$2+$I$2</f>
        <v>17289.9292469158</v>
      </c>
      <c r="S314" s="42" t="n">
        <f aca="false">R314/$K$2</f>
        <v>147.173384805208</v>
      </c>
      <c r="T314" s="43" t="n">
        <f aca="false">S314-$M$2</f>
        <v>-0.000602256419966807</v>
      </c>
    </row>
    <row r="315" customFormat="false" ht="15" hidden="false" customHeight="false" outlineLevel="0" collapsed="false">
      <c r="A315" s="5" t="n">
        <v>22</v>
      </c>
      <c r="B315" s="25" t="n">
        <f aca="false">IF(T314&gt;0,B314,D314)</f>
        <v>0.0149075984954834</v>
      </c>
      <c r="C315" s="25" t="n">
        <f aca="false">IF(T314&gt;0,D314,C314)</f>
        <v>0.0149083137512207</v>
      </c>
      <c r="D315" s="41" t="n">
        <f aca="false">(B315+C315)/2</f>
        <v>0.0149079561233521</v>
      </c>
      <c r="E315" s="15" t="n">
        <f aca="false">$C$2*(1+IF(E$3&lt;=$O$2,$D315,$D315-($D315-$I$292)*MIN(E$3-$O$2,$Q$2)/$Q$2))</f>
        <v>6536.00723743439</v>
      </c>
      <c r="F315" s="15" t="n">
        <f aca="false">E315*(1+IF(F$3&lt;=$O$2,$D315,$D315-($D315-$I$292)*MIN(F$3-$O$2,$Q$2)/$Q$2))</f>
        <v>6633.44574655197</v>
      </c>
      <c r="G315" s="15" t="n">
        <f aca="false">F315*(1+IF(G$3&lt;=$O$2,$D315,$D315-($D315-$I$292)*MIN(G$3-$O$2,$Q$2)/$Q$2))</f>
        <v>6732.3368646882</v>
      </c>
      <c r="H315" s="15" t="n">
        <f aca="false">G315*(1+IF(H$3&lt;=$O$2,$D315,$D315-($D315-$I$292)*MIN(H$3-$O$2,$Q$2)/$Q$2))</f>
        <v>6832.7022472746</v>
      </c>
      <c r="I315" s="15" t="n">
        <f aca="false">H315*(1+IF(I$3&lt;=$O$2,$D315,$D315-($D315-$I$292)*MIN(I$3-$O$2,$Q$2)/$Q$2))</f>
        <v>6934.5638725809</v>
      </c>
      <c r="J315" s="15" t="n">
        <f aca="false">I315*(1+IF(J$3&lt;=$O$2,$D315,$D315-($D315-$I$292)*MIN(J$3-$O$2,$Q$2)/$Q$2))</f>
        <v>7070.38677100248</v>
      </c>
      <c r="K315" s="15" t="n">
        <f aca="false">J315*(1+IF(K$3&lt;=$O$2,$D315,$D315-($D315-$I$292)*MIN(K$3-$O$2,$Q$2)/$Q$2))</f>
        <v>7241.94810578858</v>
      </c>
      <c r="L315" s="15" t="n">
        <f aca="false">K315*(1+IF(L$3&lt;=$O$2,$D315,$D315-($D315-$I$292)*MIN(L$3-$O$2,$Q$2)/$Q$2))</f>
        <v>7451.55313110308</v>
      </c>
      <c r="M315" s="15" t="n">
        <f aca="false">L315*(1+IF(M$3&lt;=$O$2,$D315,$D315-($D315-$I$292)*MIN(M$3-$O$2,$Q$2)/$Q$2))</f>
        <v>7702.08620446594</v>
      </c>
      <c r="N315" s="15" t="n">
        <f aca="false">M315*(1+IF(N$3&lt;=$O$2,$D315,$D315-($D315-$I$292)*MIN(N$3-$O$2,$Q$2)/$Q$2))</f>
        <v>7997.07610609699</v>
      </c>
      <c r="O315" s="15" t="n">
        <f aca="false">SUMPRODUCT(E315:N315,1/(1+$F$292)^$E$3:$N$3)*$E$2</f>
        <v>9003.12647797991</v>
      </c>
      <c r="P315" s="15" t="n">
        <f aca="false">N315*$E$2*(1+$I$292)/($F$292-$I$292)/(1+$F$292)^$N$3</f>
        <v>13586.7501734048</v>
      </c>
      <c r="Q315" s="15" t="n">
        <f aca="false">O315+P315</f>
        <v>22589.8766513847</v>
      </c>
      <c r="R315" s="15" t="n">
        <f aca="false">Q315-$G$2+$I$2</f>
        <v>17289.9766513847</v>
      </c>
      <c r="S315" s="42" t="n">
        <f aca="false">R315/$K$2</f>
        <v>147.173788316179</v>
      </c>
      <c r="T315" s="43" t="n">
        <f aca="false">S315-$M$2</f>
        <v>-0.000198745448415139</v>
      </c>
    </row>
    <row r="316" customFormat="false" ht="15" hidden="false" customHeight="false" outlineLevel="0" collapsed="false">
      <c r="A316" s="5" t="n">
        <v>23</v>
      </c>
      <c r="B316" s="25" t="n">
        <f aca="false">IF(T315&gt;0,B315,D315)</f>
        <v>0.0149079561233521</v>
      </c>
      <c r="C316" s="25" t="n">
        <f aca="false">IF(T315&gt;0,D315,C315)</f>
        <v>0.0149083137512207</v>
      </c>
      <c r="D316" s="41" t="n">
        <f aca="false">(B316+C316)/2</f>
        <v>0.0149081349372864</v>
      </c>
      <c r="E316" s="15" t="n">
        <f aca="false">$C$2*(1+IF(E$3&lt;=$O$2,$D316,$D316-($D316-$I$292)*MIN(E$3-$O$2,$Q$2)/$Q$2))</f>
        <v>6536.00838899612</v>
      </c>
      <c r="F316" s="15" t="n">
        <f aca="false">E316*(1+IF(F$3&lt;=$O$2,$D316,$D316-($D316-$I$292)*MIN(F$3-$O$2,$Q$2)/$Q$2))</f>
        <v>6633.44808401051</v>
      </c>
      <c r="G316" s="15" t="n">
        <f aca="false">F316*(1+IF(G$3&lt;=$O$2,$D316,$D316-($D316-$I$292)*MIN(G$3-$O$2,$Q$2)/$Q$2))</f>
        <v>6732.34042314643</v>
      </c>
      <c r="H316" s="15" t="n">
        <f aca="false">G316*(1+IF(H$3&lt;=$O$2,$D316,$D316-($D316-$I$292)*MIN(H$3-$O$2,$Q$2)/$Q$2))</f>
        <v>6832.70706261844</v>
      </c>
      <c r="I316" s="15" t="n">
        <f aca="false">H316*(1+IF(I$3&lt;=$O$2,$D316,$D316-($D316-$I$292)*MIN(I$3-$O$2,$Q$2)/$Q$2))</f>
        <v>6934.56998149491</v>
      </c>
      <c r="J316" s="15" t="n">
        <f aca="false">I316*(1+IF(J$3&lt;=$O$2,$D316,$D316-($D316-$I$292)*MIN(J$3-$O$2,$Q$2)/$Q$2))</f>
        <v>7070.3939915661</v>
      </c>
      <c r="K316" s="15" t="n">
        <f aca="false">J316*(1+IF(K$3&lt;=$O$2,$D316,$D316-($D316-$I$292)*MIN(K$3-$O$2,$Q$2)/$Q$2))</f>
        <v>7241.95626012852</v>
      </c>
      <c r="L316" s="15" t="n">
        <f aca="false">K316*(1+IF(L$3&lt;=$O$2,$D316,$D316-($D316-$I$292)*MIN(L$3-$O$2,$Q$2)/$Q$2))</f>
        <v>7451.56203944065</v>
      </c>
      <c r="M316" s="15" t="n">
        <f aca="false">L316*(1+IF(M$3&lt;=$O$2,$D316,$D316-($D316-$I$292)*MIN(M$3-$O$2,$Q$2)/$Q$2))</f>
        <v>7702.09567880462</v>
      </c>
      <c r="N316" s="15" t="n">
        <f aca="false">M316*(1+IF(N$3&lt;=$O$2,$D316,$D316-($D316-$I$292)*MIN(N$3-$O$2,$Q$2)/$Q$2))</f>
        <v>7997.08594330283</v>
      </c>
      <c r="O316" s="15" t="n">
        <f aca="false">SUMPRODUCT(E316:N316,1/(1+$F$292)^$E$3:$N$3)*$E$2</f>
        <v>9003.13346718392</v>
      </c>
      <c r="P316" s="15" t="n">
        <f aca="false">N316*$E$2*(1+$I$292)/($F$292-$I$292)/(1+$F$292)^$N$3</f>
        <v>13586.7668864705</v>
      </c>
      <c r="Q316" s="15" t="n">
        <f aca="false">O316+P316</f>
        <v>22589.9003536544</v>
      </c>
      <c r="R316" s="15" t="n">
        <f aca="false">Q316-$G$2+$I$2</f>
        <v>17290.0003536544</v>
      </c>
      <c r="S316" s="42" t="n">
        <f aca="false">R316/$K$2</f>
        <v>147.173990071965</v>
      </c>
      <c r="T316" s="43" t="n">
        <f aca="false">S316-$M$2</f>
        <v>3.01033722394095E-006</v>
      </c>
    </row>
    <row r="317" customFormat="false" ht="15" hidden="false" customHeight="false" outlineLevel="0" collapsed="false">
      <c r="A317" s="5" t="n">
        <v>24</v>
      </c>
      <c r="B317" s="25" t="n">
        <f aca="false">IF(T316&gt;0,B316,D316)</f>
        <v>0.0149079561233521</v>
      </c>
      <c r="C317" s="25" t="n">
        <f aca="false">IF(T316&gt;0,D316,C316)</f>
        <v>0.0149081349372864</v>
      </c>
      <c r="D317" s="41" t="n">
        <f aca="false">(B317+C317)/2</f>
        <v>0.0149080455303192</v>
      </c>
      <c r="E317" s="15" t="n">
        <f aca="false">$C$2*(1+IF(E$3&lt;=$O$2,$D317,$D317-($D317-$I$292)*MIN(E$3-$O$2,$Q$2)/$Q$2))</f>
        <v>6536.00781321526</v>
      </c>
      <c r="F317" s="15" t="n">
        <f aca="false">E317*(1+IF(F$3&lt;=$O$2,$D317,$D317-($D317-$I$292)*MIN(F$3-$O$2,$Q$2)/$Q$2))</f>
        <v>6633.44691528119</v>
      </c>
      <c r="G317" s="15" t="n">
        <f aca="false">F317*(1+IF(G$3&lt;=$O$2,$D317,$D317-($D317-$I$292)*MIN(G$3-$O$2,$Q$2)/$Q$2))</f>
        <v>6732.33864391716</v>
      </c>
      <c r="H317" s="15" t="n">
        <f aca="false">G317*(1+IF(H$3&lt;=$O$2,$D317,$D317-($D317-$I$292)*MIN(H$3-$O$2,$Q$2)/$Q$2))</f>
        <v>6832.7046549462</v>
      </c>
      <c r="I317" s="15" t="n">
        <f aca="false">H317*(1+IF(I$3&lt;=$O$2,$D317,$D317-($D317-$I$292)*MIN(I$3-$O$2,$Q$2)/$Q$2))</f>
        <v>6934.56692703737</v>
      </c>
      <c r="J317" s="15" t="n">
        <f aca="false">I317*(1+IF(J$3&lt;=$O$2,$D317,$D317-($D317-$I$292)*MIN(J$3-$O$2,$Q$2)/$Q$2))</f>
        <v>7070.39038128353</v>
      </c>
      <c r="K317" s="15" t="n">
        <f aca="false">J317*(1+IF(K$3&lt;=$O$2,$D317,$D317-($D317-$I$292)*MIN(K$3-$O$2,$Q$2)/$Q$2))</f>
        <v>7241.95218295757</v>
      </c>
      <c r="L317" s="15" t="n">
        <f aca="false">K317*(1+IF(L$3&lt;=$O$2,$D317,$D317-($D317-$I$292)*MIN(L$3-$O$2,$Q$2)/$Q$2))</f>
        <v>7451.55758527071</v>
      </c>
      <c r="M317" s="15" t="n">
        <f aca="false">L317*(1+IF(M$3&lt;=$O$2,$D317,$D317-($D317-$I$292)*MIN(M$3-$O$2,$Q$2)/$Q$2))</f>
        <v>7702.09094163401</v>
      </c>
      <c r="N317" s="15" t="n">
        <f aca="false">M317*(1+IF(N$3&lt;=$O$2,$D317,$D317-($D317-$I$292)*MIN(N$3-$O$2,$Q$2)/$Q$2))</f>
        <v>7997.08102469859</v>
      </c>
      <c r="O317" s="15" t="n">
        <f aca="false">SUMPRODUCT(E317:N317,1/(1+$F$292)^$E$3:$N$3)*$E$2</f>
        <v>9003.12997258122</v>
      </c>
      <c r="P317" s="15" t="n">
        <f aca="false">N317*$E$2*(1+$I$292)/($F$292-$I$292)/(1+$F$292)^$N$3</f>
        <v>13586.7585299354</v>
      </c>
      <c r="Q317" s="15" t="n">
        <f aca="false">O317+P317</f>
        <v>22589.8885025166</v>
      </c>
      <c r="R317" s="15" t="n">
        <f aca="false">Q317-$G$2+$I$2</f>
        <v>17289.9885025166</v>
      </c>
      <c r="S317" s="42" t="n">
        <f aca="false">R317/$K$2</f>
        <v>147.173889194047</v>
      </c>
      <c r="T317" s="43" t="n">
        <f aca="false">S317-$M$2</f>
        <v>-9.78675805924922E-005</v>
      </c>
    </row>
    <row r="319" customFormat="false" ht="15" hidden="false" customHeight="false" outlineLevel="0" collapsed="false">
      <c r="A319" s="38" t="s">
        <v>191</v>
      </c>
      <c r="E319" s="5" t="s">
        <v>11</v>
      </c>
      <c r="F319" s="12" t="n">
        <f aca="false">Sensitivity!$B$12</f>
        <v>0.0949886567315273</v>
      </c>
      <c r="G319" s="5" t="s">
        <v>12</v>
      </c>
      <c r="I319" s="12" t="n">
        <f aca="false">Sensitivity!$C$9</f>
        <v>0.0183</v>
      </c>
    </row>
    <row r="320" customFormat="false" ht="23.85" hidden="false" customHeight="false" outlineLevel="0" collapsed="false">
      <c r="A320" s="38" t="s">
        <v>161</v>
      </c>
      <c r="B320" s="28" t="s">
        <v>162</v>
      </c>
      <c r="C320" s="28" t="s">
        <v>163</v>
      </c>
      <c r="D320" s="28" t="s">
        <v>164</v>
      </c>
      <c r="E320" s="28" t="s">
        <v>165</v>
      </c>
      <c r="F320" s="28" t="s">
        <v>166</v>
      </c>
      <c r="G320" s="28" t="s">
        <v>167</v>
      </c>
      <c r="H320" s="28" t="s">
        <v>168</v>
      </c>
      <c r="I320" s="28" t="s">
        <v>169</v>
      </c>
      <c r="J320" s="28" t="s">
        <v>170</v>
      </c>
      <c r="K320" s="28" t="s">
        <v>171</v>
      </c>
      <c r="L320" s="28" t="s">
        <v>172</v>
      </c>
      <c r="M320" s="28" t="s">
        <v>173</v>
      </c>
      <c r="N320" s="28" t="s">
        <v>174</v>
      </c>
      <c r="O320" s="28" t="s">
        <v>175</v>
      </c>
      <c r="P320" s="28" t="s">
        <v>176</v>
      </c>
      <c r="Q320" s="28" t="s">
        <v>177</v>
      </c>
      <c r="R320" s="28" t="s">
        <v>178</v>
      </c>
      <c r="S320" s="28" t="s">
        <v>179</v>
      </c>
      <c r="T320" s="28" t="s">
        <v>180</v>
      </c>
    </row>
    <row r="321" customFormat="false" ht="15" hidden="false" customHeight="false" outlineLevel="0" collapsed="false">
      <c r="A321" s="5" t="n">
        <v>1</v>
      </c>
      <c r="B321" s="24" t="n">
        <v>-0.5</v>
      </c>
      <c r="C321" s="24" t="n">
        <v>1</v>
      </c>
      <c r="D321" s="41" t="n">
        <f aca="false">(B321+C321)/2</f>
        <v>0.25</v>
      </c>
      <c r="E321" s="15" t="n">
        <f aca="false">$C$2*(1+IF(E$3&lt;=$O$2,$D321,$D321-($D321-$I$319)*MIN(E$3-$O$2,$Q$2)/$Q$2))</f>
        <v>8050</v>
      </c>
      <c r="F321" s="15" t="n">
        <f aca="false">E321*(1+IF(F$3&lt;=$O$2,$D321,$D321-($D321-$I$319)*MIN(F$3-$O$2,$Q$2)/$Q$2))</f>
        <v>10062.5</v>
      </c>
      <c r="G321" s="15" t="n">
        <f aca="false">F321*(1+IF(G$3&lt;=$O$2,$D321,$D321-($D321-$I$319)*MIN(G$3-$O$2,$Q$2)/$Q$2))</f>
        <v>12578.125</v>
      </c>
      <c r="H321" s="15" t="n">
        <f aca="false">G321*(1+IF(H$3&lt;=$O$2,$D321,$D321-($D321-$I$319)*MIN(H$3-$O$2,$Q$2)/$Q$2))</f>
        <v>15722.65625</v>
      </c>
      <c r="I321" s="15" t="n">
        <f aca="false">H321*(1+IF(I$3&lt;=$O$2,$D321,$D321-($D321-$I$319)*MIN(I$3-$O$2,$Q$2)/$Q$2))</f>
        <v>19653.3203125</v>
      </c>
      <c r="J321" s="15" t="n">
        <f aca="false">I321*(1+IF(J$3&lt;=$O$2,$D321,$D321-($D321-$I$319)*MIN(J$3-$O$2,$Q$2)/$Q$2))</f>
        <v>23655.9155273438</v>
      </c>
      <c r="K321" s="15" t="n">
        <f aca="false">J321*(1+IF(K$3&lt;=$O$2,$D321,$D321-($D321-$I$319)*MIN(K$3-$O$2,$Q$2)/$Q$2))</f>
        <v>27377.4641581055</v>
      </c>
      <c r="L321" s="15" t="n">
        <f aca="false">K321*(1+IF(L$3&lt;=$O$2,$D321,$D321-($D321-$I$319)*MIN(L$3-$O$2,$Q$2)/$Q$2))</f>
        <v>30415.815130372</v>
      </c>
      <c r="M321" s="15" t="n">
        <f aca="false">L321*(1+IF(M$3&lt;=$O$2,$D321,$D321-($D321-$I$319)*MIN(M$3-$O$2,$Q$2)/$Q$2))</f>
        <v>32381.8934203993</v>
      </c>
      <c r="N321" s="15" t="n">
        <f aca="false">M321*(1+IF(N$3&lt;=$O$2,$D321,$D321-($D321-$I$319)*MIN(N$3-$O$2,$Q$2)/$Q$2))</f>
        <v>32974.4820699926</v>
      </c>
      <c r="O321" s="15" t="n">
        <f aca="false">SUMPRODUCT(E321:N321,1/(1+$F$319)^$E$3:$N$3)*$E$2</f>
        <v>23886.3371118448</v>
      </c>
      <c r="P321" s="15" t="n">
        <f aca="false">N321*$E$2*(1+$I$319)/($F$319-$I$319)/(1+$F$319)^$N$3</f>
        <v>35375.5279307998</v>
      </c>
      <c r="Q321" s="15" t="n">
        <f aca="false">O321+P321</f>
        <v>59261.8650426446</v>
      </c>
      <c r="R321" s="15" t="n">
        <f aca="false">Q321-$G$2+$I$2</f>
        <v>53961.9650426446</v>
      </c>
      <c r="S321" s="42" t="n">
        <f aca="false">R321/$K$2</f>
        <v>459.328949971439</v>
      </c>
      <c r="T321" s="43" t="n">
        <f aca="false">S321-$M$2</f>
        <v>312.154962909811</v>
      </c>
    </row>
    <row r="322" customFormat="false" ht="15" hidden="false" customHeight="false" outlineLevel="0" collapsed="false">
      <c r="A322" s="5" t="n">
        <v>2</v>
      </c>
      <c r="B322" s="25" t="n">
        <f aca="false">IF(T321&gt;0,B321,D321)</f>
        <v>-0.5</v>
      </c>
      <c r="C322" s="25" t="n">
        <f aca="false">IF(T321&gt;0,D321,C321)</f>
        <v>0.25</v>
      </c>
      <c r="D322" s="41" t="n">
        <f aca="false">(B322+C322)/2</f>
        <v>-0.125</v>
      </c>
      <c r="E322" s="15" t="n">
        <f aca="false">$C$2*(1+IF(E$3&lt;=$O$2,$D322,$D322-($D322-$I$319)*MIN(E$3-$O$2,$Q$2)/$Q$2))</f>
        <v>5635</v>
      </c>
      <c r="F322" s="15" t="n">
        <f aca="false">E322*(1+IF(F$3&lt;=$O$2,$D322,$D322-($D322-$I$319)*MIN(F$3-$O$2,$Q$2)/$Q$2))</f>
        <v>4930.625</v>
      </c>
      <c r="G322" s="15" t="n">
        <f aca="false">F322*(1+IF(G$3&lt;=$O$2,$D322,$D322-($D322-$I$319)*MIN(G$3-$O$2,$Q$2)/$Q$2))</f>
        <v>4314.296875</v>
      </c>
      <c r="H322" s="15" t="n">
        <f aca="false">G322*(1+IF(H$3&lt;=$O$2,$D322,$D322-($D322-$I$319)*MIN(H$3-$O$2,$Q$2)/$Q$2))</f>
        <v>3775.009765625</v>
      </c>
      <c r="I322" s="15" t="n">
        <f aca="false">H322*(1+IF(I$3&lt;=$O$2,$D322,$D322-($D322-$I$319)*MIN(I$3-$O$2,$Q$2)/$Q$2))</f>
        <v>3303.13354492188</v>
      </c>
      <c r="J322" s="15" t="n">
        <f aca="false">I322*(1+IF(J$3&lt;=$O$2,$D322,$D322-($D322-$I$319)*MIN(J$3-$O$2,$Q$2)/$Q$2))</f>
        <v>2984.9096592041</v>
      </c>
      <c r="K322" s="15" t="n">
        <f aca="false">J322*(1+IF(K$3&lt;=$O$2,$D322,$D322-($D322-$I$319)*MIN(K$3-$O$2,$Q$2)/$Q$2))</f>
        <v>2782.89097346917</v>
      </c>
      <c r="L322" s="15" t="n">
        <f aca="false">K322*(1+IF(L$3&lt;=$O$2,$D322,$D322-($D322-$I$319)*MIN(L$3-$O$2,$Q$2)/$Q$2))</f>
        <v>2674.3025676844</v>
      </c>
      <c r="M322" s="15" t="n">
        <f aca="false">L322*(1+IF(M$3&lt;=$O$2,$D322,$D322-($D322-$I$319)*MIN(M$3-$O$2,$Q$2)/$Q$2))</f>
        <v>2646.59679308319</v>
      </c>
      <c r="N322" s="15" t="n">
        <f aca="false">M322*(1+IF(N$3&lt;=$O$2,$D322,$D322-($D322-$I$319)*MIN(N$3-$O$2,$Q$2)/$Q$2))</f>
        <v>2695.02951439661</v>
      </c>
      <c r="O322" s="15" t="n">
        <f aca="false">SUMPRODUCT(E322:N322,1/(1+$F$319)^$E$3:$N$3)*$E$2</f>
        <v>4810.15516566081</v>
      </c>
      <c r="P322" s="15" t="n">
        <f aca="false">N322*$E$2*(1+$I$319)/($F$319-$I$319)/(1+$F$319)^$N$3</f>
        <v>2891.26881988624</v>
      </c>
      <c r="Q322" s="15" t="n">
        <f aca="false">O322+P322</f>
        <v>7701.42398554705</v>
      </c>
      <c r="R322" s="15" t="n">
        <f aca="false">Q322-$G$2+$I$2</f>
        <v>2401.52398554705</v>
      </c>
      <c r="S322" s="42" t="n">
        <f aca="false">R322/$K$2</f>
        <v>20.4419814908669</v>
      </c>
      <c r="T322" s="43" t="n">
        <f aca="false">S322-$M$2</f>
        <v>-126.732005570761</v>
      </c>
    </row>
    <row r="323" customFormat="false" ht="15" hidden="false" customHeight="false" outlineLevel="0" collapsed="false">
      <c r="A323" s="5" t="n">
        <v>3</v>
      </c>
      <c r="B323" s="25" t="n">
        <f aca="false">IF(T322&gt;0,B322,D322)</f>
        <v>-0.125</v>
      </c>
      <c r="C323" s="25" t="n">
        <f aca="false">IF(T322&gt;0,D322,C322)</f>
        <v>0.25</v>
      </c>
      <c r="D323" s="41" t="n">
        <f aca="false">(B323+C323)/2</f>
        <v>0.0625</v>
      </c>
      <c r="E323" s="15" t="n">
        <f aca="false">$C$2*(1+IF(E$3&lt;=$O$2,$D323,$D323-($D323-$I$319)*MIN(E$3-$O$2,$Q$2)/$Q$2))</f>
        <v>6842.5</v>
      </c>
      <c r="F323" s="15" t="n">
        <f aca="false">E323*(1+IF(F$3&lt;=$O$2,$D323,$D323-($D323-$I$319)*MIN(F$3-$O$2,$Q$2)/$Q$2))</f>
        <v>7270.15625</v>
      </c>
      <c r="G323" s="15" t="n">
        <f aca="false">F323*(1+IF(G$3&lt;=$O$2,$D323,$D323-($D323-$I$319)*MIN(G$3-$O$2,$Q$2)/$Q$2))</f>
        <v>7724.541015625</v>
      </c>
      <c r="H323" s="15" t="n">
        <f aca="false">G323*(1+IF(H$3&lt;=$O$2,$D323,$D323-($D323-$I$319)*MIN(H$3-$O$2,$Q$2)/$Q$2))</f>
        <v>8207.32482910156</v>
      </c>
      <c r="I323" s="15" t="n">
        <f aca="false">H323*(1+IF(I$3&lt;=$O$2,$D323,$D323-($D323-$I$319)*MIN(I$3-$O$2,$Q$2)/$Q$2))</f>
        <v>8720.28263092041</v>
      </c>
      <c r="J323" s="15" t="n">
        <f aca="false">I323*(1+IF(J$3&lt;=$O$2,$D323,$D323-($D323-$I$319)*MIN(J$3-$O$2,$Q$2)/$Q$2))</f>
        <v>9188.2129968956</v>
      </c>
      <c r="K323" s="15" t="n">
        <f aca="false">J323*(1+IF(K$3&lt;=$O$2,$D323,$D323-($D323-$I$319)*MIN(K$3-$O$2,$Q$2)/$Q$2))</f>
        <v>9600.02870341646</v>
      </c>
      <c r="L323" s="15" t="n">
        <f aca="false">K323*(1+IF(L$3&lt;=$O$2,$D323,$D323-($D323-$I$319)*MIN(L$3-$O$2,$Q$2)/$Q$2))</f>
        <v>9945.43773616538</v>
      </c>
      <c r="M323" s="15" t="n">
        <f aca="false">L323*(1+IF(M$3&lt;=$O$2,$D323,$D323-($D323-$I$319)*MIN(M$3-$O$2,$Q$2)/$Q$2))</f>
        <v>10215.3569163249</v>
      </c>
      <c r="N323" s="15" t="n">
        <f aca="false">M323*(1+IF(N$3&lt;=$O$2,$D323,$D323-($D323-$I$319)*MIN(N$3-$O$2,$Q$2)/$Q$2))</f>
        <v>10402.2979478937</v>
      </c>
      <c r="O323" s="15" t="n">
        <f aca="false">SUMPRODUCT(E323:N323,1/(1+$F$319)^$E$3:$N$3)*$E$2</f>
        <v>10688.1531773941</v>
      </c>
      <c r="P323" s="15" t="n">
        <f aca="false">N323*$E$2*(1+$I$319)/($F$319-$I$319)/(1+$F$319)^$N$3</f>
        <v>11159.744096029</v>
      </c>
      <c r="Q323" s="15" t="n">
        <f aca="false">O323+P323</f>
        <v>21847.8972734231</v>
      </c>
      <c r="R323" s="15" t="n">
        <f aca="false">Q323-$G$2+$I$2</f>
        <v>16547.9972734231</v>
      </c>
      <c r="S323" s="42" t="n">
        <f aca="false">R323/$K$2</f>
        <v>140.857995177248</v>
      </c>
      <c r="T323" s="43" t="n">
        <f aca="false">S323-$M$2</f>
        <v>-6.31599188437966</v>
      </c>
    </row>
    <row r="324" customFormat="false" ht="15" hidden="false" customHeight="false" outlineLevel="0" collapsed="false">
      <c r="A324" s="5" t="n">
        <v>4</v>
      </c>
      <c r="B324" s="25" t="n">
        <f aca="false">IF(T323&gt;0,B323,D323)</f>
        <v>0.0625</v>
      </c>
      <c r="C324" s="25" t="n">
        <f aca="false">IF(T323&gt;0,D323,C323)</f>
        <v>0.25</v>
      </c>
      <c r="D324" s="41" t="n">
        <f aca="false">(B324+C324)/2</f>
        <v>0.15625</v>
      </c>
      <c r="E324" s="15" t="n">
        <f aca="false">$C$2*(1+IF(E$3&lt;=$O$2,$D324,$D324-($D324-$I$319)*MIN(E$3-$O$2,$Q$2)/$Q$2))</f>
        <v>7446.25</v>
      </c>
      <c r="F324" s="15" t="n">
        <f aca="false">E324*(1+IF(F$3&lt;=$O$2,$D324,$D324-($D324-$I$319)*MIN(F$3-$O$2,$Q$2)/$Q$2))</f>
        <v>8609.7265625</v>
      </c>
      <c r="G324" s="15" t="n">
        <f aca="false">F324*(1+IF(G$3&lt;=$O$2,$D324,$D324-($D324-$I$319)*MIN(G$3-$O$2,$Q$2)/$Q$2))</f>
        <v>9954.99633789063</v>
      </c>
      <c r="H324" s="15" t="n">
        <f aca="false">G324*(1+IF(H$3&lt;=$O$2,$D324,$D324-($D324-$I$319)*MIN(H$3-$O$2,$Q$2)/$Q$2))</f>
        <v>11510.464515686</v>
      </c>
      <c r="I324" s="15" t="n">
        <f aca="false">H324*(1+IF(I$3&lt;=$O$2,$D324,$D324-($D324-$I$319)*MIN(I$3-$O$2,$Q$2)/$Q$2))</f>
        <v>13308.974596262</v>
      </c>
      <c r="J324" s="15" t="n">
        <f aca="false">I324*(1+IF(J$3&lt;=$O$2,$D324,$D324-($D324-$I$319)*MIN(J$3-$O$2,$Q$2)/$Q$2))</f>
        <v>15021.307267817</v>
      </c>
      <c r="K324" s="15" t="n">
        <f aca="false">J324*(1+IF(K$3&lt;=$O$2,$D324,$D324-($D324-$I$319)*MIN(K$3-$O$2,$Q$2)/$Q$2))</f>
        <v>16539.5107933753</v>
      </c>
      <c r="L324" s="15" t="n">
        <f aca="false">K324*(1+IF(L$3&lt;=$O$2,$D324,$D324-($D324-$I$319)*MIN(L$3-$O$2,$Q$2)/$Q$2))</f>
        <v>17754.8340464725</v>
      </c>
      <c r="M324" s="15" t="n">
        <f aca="false">L324*(1+IF(M$3&lt;=$O$2,$D324,$D324-($D324-$I$319)*MIN(M$3-$O$2,$Q$2)/$Q$2))</f>
        <v>18569.6033808652</v>
      </c>
      <c r="N324" s="15" t="n">
        <f aca="false">M324*(1+IF(N$3&lt;=$O$2,$D324,$D324-($D324-$I$319)*MIN(N$3-$O$2,$Q$2)/$Q$2))</f>
        <v>18909.427122735</v>
      </c>
      <c r="O324" s="15" t="n">
        <f aca="false">SUMPRODUCT(E324:N324,1/(1+$F$319)^$E$3:$N$3)*$E$2</f>
        <v>16002.5001455306</v>
      </c>
      <c r="P324" s="15" t="n">
        <f aca="false">N324*$E$2*(1+$I$319)/($F$319-$I$319)/(1+$F$319)^$N$3</f>
        <v>20286.3221904697</v>
      </c>
      <c r="Q324" s="15" t="n">
        <f aca="false">O324+P324</f>
        <v>36288.8223360003</v>
      </c>
      <c r="R324" s="15" t="n">
        <f aca="false">Q324-$G$2+$I$2</f>
        <v>30988.9223360003</v>
      </c>
      <c r="S324" s="42" t="n">
        <f aca="false">R324/$K$2</f>
        <v>263.780408035413</v>
      </c>
      <c r="T324" s="43" t="n">
        <f aca="false">S324-$M$2</f>
        <v>116.606420973785</v>
      </c>
    </row>
    <row r="325" customFormat="false" ht="15" hidden="false" customHeight="false" outlineLevel="0" collapsed="false">
      <c r="A325" s="5" t="n">
        <v>5</v>
      </c>
      <c r="B325" s="25" t="n">
        <f aca="false">IF(T324&gt;0,B324,D324)</f>
        <v>0.0625</v>
      </c>
      <c r="C325" s="25" t="n">
        <f aca="false">IF(T324&gt;0,D324,C324)</f>
        <v>0.15625</v>
      </c>
      <c r="D325" s="41" t="n">
        <f aca="false">(B325+C325)/2</f>
        <v>0.109375</v>
      </c>
      <c r="E325" s="15" t="n">
        <f aca="false">$C$2*(1+IF(E$3&lt;=$O$2,$D325,$D325-($D325-$I$319)*MIN(E$3-$O$2,$Q$2)/$Q$2))</f>
        <v>7144.375</v>
      </c>
      <c r="F325" s="15" t="n">
        <f aca="false">E325*(1+IF(F$3&lt;=$O$2,$D325,$D325-($D325-$I$319)*MIN(F$3-$O$2,$Q$2)/$Q$2))</f>
        <v>7925.791015625</v>
      </c>
      <c r="G325" s="15" t="n">
        <f aca="false">F325*(1+IF(G$3&lt;=$O$2,$D325,$D325-($D325-$I$319)*MIN(G$3-$O$2,$Q$2)/$Q$2))</f>
        <v>8792.67440795898</v>
      </c>
      <c r="H325" s="15" t="n">
        <f aca="false">G325*(1+IF(H$3&lt;=$O$2,$D325,$D325-($D325-$I$319)*MIN(H$3-$O$2,$Q$2)/$Q$2))</f>
        <v>9754.3731713295</v>
      </c>
      <c r="I325" s="15" t="n">
        <f aca="false">H325*(1+IF(I$3&lt;=$O$2,$D325,$D325-($D325-$I$319)*MIN(I$3-$O$2,$Q$2)/$Q$2))</f>
        <v>10821.2577369437</v>
      </c>
      <c r="J325" s="15" t="n">
        <f aca="false">I325*(1+IF(J$3&lt;=$O$2,$D325,$D325-($D325-$I$319)*MIN(J$3-$O$2,$Q$2)/$Q$2))</f>
        <v>11807.7235922434</v>
      </c>
      <c r="K325" s="15" t="n">
        <f aca="false">J325*(1+IF(K$3&lt;=$O$2,$D325,$D325-($D325-$I$319)*MIN(K$3-$O$2,$Q$2)/$Q$2))</f>
        <v>12669.0379896796</v>
      </c>
      <c r="L325" s="15" t="n">
        <f aca="false">K325*(1+IF(L$3&lt;=$O$2,$D325,$D325-($D325-$I$319)*MIN(L$3-$O$2,$Q$2)/$Q$2))</f>
        <v>13362.4144388548</v>
      </c>
      <c r="M325" s="15" t="n">
        <f aca="false">L325*(1+IF(M$3&lt;=$O$2,$D325,$D325-($D325-$I$319)*MIN(M$3-$O$2,$Q$2)/$Q$2))</f>
        <v>13850.3430020896</v>
      </c>
      <c r="N325" s="15" t="n">
        <f aca="false">M325*(1+IF(N$3&lt;=$O$2,$D325,$D325-($D325-$I$319)*MIN(N$3-$O$2,$Q$2)/$Q$2))</f>
        <v>14103.8042790278</v>
      </c>
      <c r="O325" s="15" t="n">
        <f aca="false">SUMPRODUCT(E325:N325,1/(1+$F$319)^$E$3:$N$3)*$E$2</f>
        <v>13079.8128257202</v>
      </c>
      <c r="P325" s="15" t="n">
        <f aca="false">N325*$E$2*(1+$I$319)/($F$319-$I$319)/(1+$F$319)^$N$3</f>
        <v>15130.7766152093</v>
      </c>
      <c r="Q325" s="15" t="n">
        <f aca="false">O325+P325</f>
        <v>28210.5894409296</v>
      </c>
      <c r="R325" s="15" t="n">
        <f aca="false">Q325-$G$2+$I$2</f>
        <v>22910.6894409296</v>
      </c>
      <c r="S325" s="42" t="n">
        <f aca="false">R325/$K$2</f>
        <v>195.017785503316</v>
      </c>
      <c r="T325" s="43" t="n">
        <f aca="false">S325-$M$2</f>
        <v>47.8437984416887</v>
      </c>
    </row>
    <row r="326" customFormat="false" ht="15" hidden="false" customHeight="false" outlineLevel="0" collapsed="false">
      <c r="A326" s="5" t="n">
        <v>6</v>
      </c>
      <c r="B326" s="25" t="n">
        <f aca="false">IF(T325&gt;0,B325,D325)</f>
        <v>0.0625</v>
      </c>
      <c r="C326" s="25" t="n">
        <f aca="false">IF(T325&gt;0,D325,C325)</f>
        <v>0.109375</v>
      </c>
      <c r="D326" s="41" t="n">
        <f aca="false">(B326+C326)/2</f>
        <v>0.0859375</v>
      </c>
      <c r="E326" s="15" t="n">
        <f aca="false">$C$2*(1+IF(E$3&lt;=$O$2,$D326,$D326-($D326-$I$319)*MIN(E$3-$O$2,$Q$2)/$Q$2))</f>
        <v>6993.4375</v>
      </c>
      <c r="F326" s="15" t="n">
        <f aca="false">E326*(1+IF(F$3&lt;=$O$2,$D326,$D326-($D326-$I$319)*MIN(F$3-$O$2,$Q$2)/$Q$2))</f>
        <v>7594.43603515625</v>
      </c>
      <c r="G326" s="15" t="n">
        <f aca="false">F326*(1+IF(G$3&lt;=$O$2,$D326,$D326-($D326-$I$319)*MIN(G$3-$O$2,$Q$2)/$Q$2))</f>
        <v>8247.08288192749</v>
      </c>
      <c r="H326" s="15" t="n">
        <f aca="false">G326*(1+IF(H$3&lt;=$O$2,$D326,$D326-($D326-$I$319)*MIN(H$3-$O$2,$Q$2)/$Q$2))</f>
        <v>8955.81656709313</v>
      </c>
      <c r="I326" s="15" t="n">
        <f aca="false">H326*(1+IF(I$3&lt;=$O$2,$D326,$D326-($D326-$I$319)*MIN(I$3-$O$2,$Q$2)/$Q$2))</f>
        <v>9725.4570533277</v>
      </c>
      <c r="J326" s="15" t="n">
        <f aca="false">I326*(1+IF(J$3&lt;=$O$2,$D326,$D326-($D326-$I$319)*MIN(J$3-$O$2,$Q$2)/$Q$2))</f>
        <v>10429.6773985592</v>
      </c>
      <c r="K326" s="15" t="n">
        <f aca="false">J326*(1+IF(K$3&lt;=$O$2,$D326,$D326-($D326-$I$319)*MIN(K$3-$O$2,$Q$2)/$Q$2))</f>
        <v>11043.8028779798</v>
      </c>
      <c r="L326" s="15" t="n">
        <f aca="false">K326*(1+IF(L$3&lt;=$O$2,$D326,$D326-($D326-$I$319)*MIN(L$3-$O$2,$Q$2)/$Q$2))</f>
        <v>11544.6945575106</v>
      </c>
      <c r="M326" s="15" t="n">
        <f aca="false">L326*(1+IF(M$3&lt;=$O$2,$D326,$D326-($D326-$I$319)*MIN(M$3-$O$2,$Q$2)/$Q$2))</f>
        <v>11912.1333235398</v>
      </c>
      <c r="N326" s="15" t="n">
        <f aca="false">M326*(1+IF(N$3&lt;=$O$2,$D326,$D326-($D326-$I$319)*MIN(N$3-$O$2,$Q$2)/$Q$2))</f>
        <v>12130.1253633605</v>
      </c>
      <c r="O326" s="15" t="n">
        <f aca="false">SUMPRODUCT(E326:N326,1/(1+$F$319)^$E$3:$N$3)*$E$2</f>
        <v>11823.6367139694</v>
      </c>
      <c r="P326" s="15" t="n">
        <f aca="false">N326*$E$2*(1+$I$319)/($F$319-$I$319)/(1+$F$319)^$N$3</f>
        <v>13013.3837336648</v>
      </c>
      <c r="Q326" s="15" t="n">
        <f aca="false">O326+P326</f>
        <v>24837.0204476342</v>
      </c>
      <c r="R326" s="15" t="n">
        <f aca="false">Q326-$G$2+$I$2</f>
        <v>19537.1204476342</v>
      </c>
      <c r="S326" s="42" t="n">
        <f aca="false">R326/$K$2</f>
        <v>166.301672179385</v>
      </c>
      <c r="T326" s="43" t="n">
        <f aca="false">S326-$M$2</f>
        <v>19.1276851177578</v>
      </c>
    </row>
    <row r="327" customFormat="false" ht="15" hidden="false" customHeight="false" outlineLevel="0" collapsed="false">
      <c r="A327" s="5" t="n">
        <v>7</v>
      </c>
      <c r="B327" s="25" t="n">
        <f aca="false">IF(T326&gt;0,B326,D326)</f>
        <v>0.0625</v>
      </c>
      <c r="C327" s="25" t="n">
        <f aca="false">IF(T326&gt;0,D326,C326)</f>
        <v>0.0859375</v>
      </c>
      <c r="D327" s="41" t="n">
        <f aca="false">(B327+C327)/2</f>
        <v>0.07421875</v>
      </c>
      <c r="E327" s="15" t="n">
        <f aca="false">$C$2*(1+IF(E$3&lt;=$O$2,$D327,$D327-($D327-$I$319)*MIN(E$3-$O$2,$Q$2)/$Q$2))</f>
        <v>6917.96875</v>
      </c>
      <c r="F327" s="15" t="n">
        <f aca="false">E327*(1+IF(F$3&lt;=$O$2,$D327,$D327-($D327-$I$319)*MIN(F$3-$O$2,$Q$2)/$Q$2))</f>
        <v>7431.41174316406</v>
      </c>
      <c r="G327" s="15" t="n">
        <f aca="false">F327*(1+IF(G$3&lt;=$O$2,$D327,$D327-($D327-$I$319)*MIN(G$3-$O$2,$Q$2)/$Q$2))</f>
        <v>7982.96183347702</v>
      </c>
      <c r="H327" s="15" t="n">
        <f aca="false">G327*(1+IF(H$3&lt;=$O$2,$D327,$D327-($D327-$I$319)*MIN(H$3-$O$2,$Q$2)/$Q$2))</f>
        <v>8575.44728205539</v>
      </c>
      <c r="I327" s="15" t="n">
        <f aca="false">H327*(1+IF(I$3&lt;=$O$2,$D327,$D327-($D327-$I$319)*MIN(I$3-$O$2,$Q$2)/$Q$2))</f>
        <v>9211.90626002044</v>
      </c>
      <c r="J327" s="15" t="n">
        <f aca="false">I327*(1+IF(J$3&lt;=$O$2,$D327,$D327-($D327-$I$319)*MIN(J$3-$O$2,$Q$2)/$Q$2))</f>
        <v>9792.57877112083</v>
      </c>
      <c r="K327" s="15" t="n">
        <f aca="false">J327*(1+IF(K$3&lt;=$O$2,$D327,$D327-($D327-$I$319)*MIN(K$3-$O$2,$Q$2)/$Q$2))</f>
        <v>10300.3362211269</v>
      </c>
      <c r="L327" s="15" t="n">
        <f aca="false">K327*(1+IF(L$3&lt;=$O$2,$D327,$D327-($D327-$I$319)*MIN(L$3-$O$2,$Q$2)/$Q$2))</f>
        <v>10719.2251443996</v>
      </c>
      <c r="M327" s="15" t="n">
        <f aca="false">L327*(1+IF(M$3&lt;=$O$2,$D327,$D327-($D327-$I$319)*MIN(M$3-$O$2,$Q$2)/$Q$2))</f>
        <v>11035.2680987508</v>
      </c>
      <c r="N327" s="15" t="n">
        <f aca="false">M327*(1+IF(N$3&lt;=$O$2,$D327,$D327-($D327-$I$319)*MIN(N$3-$O$2,$Q$2)/$Q$2))</f>
        <v>11237.2135049579</v>
      </c>
      <c r="O327" s="15" t="n">
        <f aca="false">SUMPRODUCT(E327:N327,1/(1+$F$319)^$E$3:$N$3)*$E$2</f>
        <v>11241.5100232138</v>
      </c>
      <c r="P327" s="15" t="n">
        <f aca="false">N327*$E$2*(1+$I$319)/($F$319-$I$319)/(1+$F$319)^$N$3</f>
        <v>12055.454255967</v>
      </c>
      <c r="Q327" s="15" t="n">
        <f aca="false">O327+P327</f>
        <v>23296.9642791808</v>
      </c>
      <c r="R327" s="15" t="n">
        <f aca="false">Q327-$G$2+$I$2</f>
        <v>17997.0642791808</v>
      </c>
      <c r="S327" s="42" t="n">
        <f aca="false">R327/$K$2</f>
        <v>153.192579836404</v>
      </c>
      <c r="T327" s="43" t="n">
        <f aca="false">S327-$M$2</f>
        <v>6.01859277477686</v>
      </c>
    </row>
    <row r="328" customFormat="false" ht="15" hidden="false" customHeight="false" outlineLevel="0" collapsed="false">
      <c r="A328" s="5" t="n">
        <v>8</v>
      </c>
      <c r="B328" s="25" t="n">
        <f aca="false">IF(T327&gt;0,B327,D327)</f>
        <v>0.0625</v>
      </c>
      <c r="C328" s="25" t="n">
        <f aca="false">IF(T327&gt;0,D327,C327)</f>
        <v>0.07421875</v>
      </c>
      <c r="D328" s="41" t="n">
        <f aca="false">(B328+C328)/2</f>
        <v>0.068359375</v>
      </c>
      <c r="E328" s="15" t="n">
        <f aca="false">$C$2*(1+IF(E$3&lt;=$O$2,$D328,$D328-($D328-$I$319)*MIN(E$3-$O$2,$Q$2)/$Q$2))</f>
        <v>6880.234375</v>
      </c>
      <c r="F328" s="15" t="n">
        <f aca="false">E328*(1+IF(F$3&lt;=$O$2,$D328,$D328-($D328-$I$319)*MIN(F$3-$O$2,$Q$2)/$Q$2))</f>
        <v>7350.56289672852</v>
      </c>
      <c r="G328" s="15" t="n">
        <f aca="false">F328*(1+IF(G$3&lt;=$O$2,$D328,$D328-($D328-$I$319)*MIN(G$3-$O$2,$Q$2)/$Q$2))</f>
        <v>7853.04278224707</v>
      </c>
      <c r="H328" s="15" t="n">
        <f aca="false">G328*(1+IF(H$3&lt;=$O$2,$D328,$D328-($D328-$I$319)*MIN(H$3-$O$2,$Q$2)/$Q$2))</f>
        <v>8389.87187868974</v>
      </c>
      <c r="I328" s="15" t="n">
        <f aca="false">H328*(1+IF(I$3&lt;=$O$2,$D328,$D328-($D328-$I$319)*MIN(I$3-$O$2,$Q$2)/$Q$2))</f>
        <v>8963.39827664704</v>
      </c>
      <c r="J328" s="15" t="n">
        <f aca="false">I328*(1+IF(J$3&lt;=$O$2,$D328,$D328-($D328-$I$319)*MIN(J$3-$O$2,$Q$2)/$Q$2))</f>
        <v>9486.39015759371</v>
      </c>
      <c r="K328" s="15" t="n">
        <f aca="false">J328*(1+IF(K$3&lt;=$O$2,$D328,$D328-($D328-$I$319)*MIN(K$3-$O$2,$Q$2)/$Q$2))</f>
        <v>9944.92075485485</v>
      </c>
      <c r="L328" s="15" t="n">
        <f aca="false">K328*(1+IF(L$3&lt;=$O$2,$D328,$D328-($D328-$I$319)*MIN(L$3-$O$2,$Q$2)/$Q$2))</f>
        <v>10326.0474116337</v>
      </c>
      <c r="M328" s="15" t="n">
        <f aca="false">L328*(1+IF(M$3&lt;=$O$2,$D328,$D328-($D328-$I$319)*MIN(M$3-$O$2,$Q$2)/$Q$2))</f>
        <v>10618.397175196</v>
      </c>
      <c r="N328" s="15" t="n">
        <f aca="false">M328*(1+IF(N$3&lt;=$O$2,$D328,$D328-($D328-$I$319)*MIN(N$3-$O$2,$Q$2)/$Q$2))</f>
        <v>10812.7138435021</v>
      </c>
      <c r="O328" s="15" t="n">
        <f aca="false">SUMPRODUCT(E328:N328,1/(1+$F$319)^$E$3:$N$3)*$E$2</f>
        <v>10961.3199649303</v>
      </c>
      <c r="P328" s="15" t="n">
        <f aca="false">N328*$E$2*(1+$I$319)/($F$319-$I$319)/(1+$F$319)^$N$3</f>
        <v>11600.0445364581</v>
      </c>
      <c r="Q328" s="15" t="n">
        <f aca="false">O328+P328</f>
        <v>22561.3645013884</v>
      </c>
      <c r="R328" s="15" t="n">
        <f aca="false">Q328-$G$2+$I$2</f>
        <v>17261.4645013884</v>
      </c>
      <c r="S328" s="42" t="n">
        <f aca="false">R328/$K$2</f>
        <v>146.931090410184</v>
      </c>
      <c r="T328" s="43" t="n">
        <f aca="false">S328-$M$2</f>
        <v>-0.242896651443687</v>
      </c>
    </row>
    <row r="329" customFormat="false" ht="15" hidden="false" customHeight="false" outlineLevel="0" collapsed="false">
      <c r="A329" s="5" t="n">
        <v>9</v>
      </c>
      <c r="B329" s="25" t="n">
        <f aca="false">IF(T328&gt;0,B328,D328)</f>
        <v>0.068359375</v>
      </c>
      <c r="C329" s="25" t="n">
        <f aca="false">IF(T328&gt;0,D328,C328)</f>
        <v>0.07421875</v>
      </c>
      <c r="D329" s="41" t="n">
        <f aca="false">(B329+C329)/2</f>
        <v>0.0712890625</v>
      </c>
      <c r="E329" s="15" t="n">
        <f aca="false">$C$2*(1+IF(E$3&lt;=$O$2,$D329,$D329-($D329-$I$319)*MIN(E$3-$O$2,$Q$2)/$Q$2))</f>
        <v>6899.1015625</v>
      </c>
      <c r="F329" s="15" t="n">
        <f aca="false">E329*(1+IF(F$3&lt;=$O$2,$D329,$D329-($D329-$I$319)*MIN(F$3-$O$2,$Q$2)/$Q$2))</f>
        <v>7390.93204498291</v>
      </c>
      <c r="G329" s="15" t="n">
        <f aca="false">F329*(1+IF(G$3&lt;=$O$2,$D329,$D329-($D329-$I$319)*MIN(G$3-$O$2,$Q$2)/$Q$2))</f>
        <v>7917.82466147095</v>
      </c>
      <c r="H329" s="15" t="n">
        <f aca="false">G329*(1+IF(H$3&lt;=$O$2,$D329,$D329-($D329-$I$319)*MIN(H$3-$O$2,$Q$2)/$Q$2))</f>
        <v>8482.27895862659</v>
      </c>
      <c r="I329" s="15" t="n">
        <f aca="false">H329*(1+IF(I$3&lt;=$O$2,$D329,$D329-($D329-$I$319)*MIN(I$3-$O$2,$Q$2)/$Q$2))</f>
        <v>9086.97267345056</v>
      </c>
      <c r="J329" s="15" t="n">
        <f aca="false">I329*(1+IF(J$3&lt;=$O$2,$D329,$D329-($D329-$I$319)*MIN(J$3-$O$2,$Q$2)/$Q$2))</f>
        <v>9638.47240371812</v>
      </c>
      <c r="K329" s="15" t="n">
        <f aca="false">J329*(1+IF(K$3&lt;=$O$2,$D329,$D329-($D329-$I$319)*MIN(K$3-$O$2,$Q$2)/$Q$2))</f>
        <v>10121.2966186692</v>
      </c>
      <c r="L329" s="15" t="n">
        <f aca="false">K329*(1+IF(L$3&lt;=$O$2,$D329,$D329-($D329-$I$319)*MIN(L$3-$O$2,$Q$2)/$Q$2))</f>
        <v>10521.043554434</v>
      </c>
      <c r="M329" s="15" t="n">
        <f aca="false">L329*(1+IF(M$3&lt;=$O$2,$D329,$D329-($D329-$I$319)*MIN(M$3-$O$2,$Q$2)/$Q$2))</f>
        <v>10825.0786983743</v>
      </c>
      <c r="N329" s="15" t="n">
        <f aca="false">M329*(1+IF(N$3&lt;=$O$2,$D329,$D329-($D329-$I$319)*MIN(N$3-$O$2,$Q$2)/$Q$2))</f>
        <v>11023.1776385546</v>
      </c>
      <c r="O329" s="15" t="n">
        <f aca="false">SUMPRODUCT(E329:N329,1/(1+$F$319)^$E$3:$N$3)*$E$2</f>
        <v>11100.526646663</v>
      </c>
      <c r="P329" s="15" t="n">
        <f aca="false">N329*$E$2*(1+$I$319)/($F$319-$I$319)/(1+$F$319)^$N$3</f>
        <v>11825.8333098647</v>
      </c>
      <c r="Q329" s="15" t="n">
        <f aca="false">O329+P329</f>
        <v>22926.3599565278</v>
      </c>
      <c r="R329" s="15" t="n">
        <f aca="false">Q329-$G$2+$I$2</f>
        <v>17626.4599565278</v>
      </c>
      <c r="S329" s="42" t="n">
        <f aca="false">R329/$K$2</f>
        <v>150.037963538711</v>
      </c>
      <c r="T329" s="43" t="n">
        <f aca="false">S329-$M$2</f>
        <v>2.86397647708341</v>
      </c>
    </row>
    <row r="330" customFormat="false" ht="15" hidden="false" customHeight="false" outlineLevel="0" collapsed="false">
      <c r="A330" s="5" t="n">
        <v>10</v>
      </c>
      <c r="B330" s="25" t="n">
        <f aca="false">IF(T329&gt;0,B329,D329)</f>
        <v>0.068359375</v>
      </c>
      <c r="C330" s="25" t="n">
        <f aca="false">IF(T329&gt;0,D329,C329)</f>
        <v>0.0712890625</v>
      </c>
      <c r="D330" s="41" t="n">
        <f aca="false">(B330+C330)/2</f>
        <v>0.06982421875</v>
      </c>
      <c r="E330" s="15" t="n">
        <f aca="false">$C$2*(1+IF(E$3&lt;=$O$2,$D330,$D330-($D330-$I$319)*MIN(E$3-$O$2,$Q$2)/$Q$2))</f>
        <v>6889.66796875</v>
      </c>
      <c r="F330" s="15" t="n">
        <f aca="false">E330*(1+IF(F$3&lt;=$O$2,$D330,$D330-($D330-$I$319)*MIN(F$3-$O$2,$Q$2)/$Q$2))</f>
        <v>7370.73365211487</v>
      </c>
      <c r="G330" s="15" t="n">
        <f aca="false">F330*(1+IF(G$3&lt;=$O$2,$D330,$D330-($D330-$I$319)*MIN(G$3-$O$2,$Q$2)/$Q$2))</f>
        <v>7885.38937098812</v>
      </c>
      <c r="H330" s="15" t="n">
        <f aca="false">G330*(1+IF(H$3&lt;=$O$2,$D330,$D330-($D330-$I$319)*MIN(H$3-$O$2,$Q$2)/$Q$2))</f>
        <v>8435.98052335692</v>
      </c>
      <c r="I330" s="15" t="n">
        <f aca="false">H330*(1+IF(I$3&lt;=$O$2,$D330,$D330-($D330-$I$319)*MIN(I$3-$O$2,$Q$2)/$Q$2))</f>
        <v>9025.01627279054</v>
      </c>
      <c r="J330" s="15" t="n">
        <f aca="false">I330*(1+IF(J$3&lt;=$O$2,$D330,$D330-($D330-$I$319)*MIN(J$3-$O$2,$Q$2)/$Q$2))</f>
        <v>9562.17960071186</v>
      </c>
      <c r="K330" s="15" t="n">
        <f aca="false">J330*(1+IF(K$3&lt;=$O$2,$D330,$D330-($D330-$I$319)*MIN(K$3-$O$2,$Q$2)/$Q$2))</f>
        <v>10032.7777874892</v>
      </c>
      <c r="L330" s="15" t="n">
        <f aca="false">K330*(1+IF(L$3&lt;=$O$2,$D330,$D330-($D330-$I$319)*MIN(L$3-$O$2,$Q$2)/$Q$2))</f>
        <v>10423.1500359574</v>
      </c>
      <c r="M330" s="15" t="n">
        <f aca="false">L330*(1+IF(M$3&lt;=$O$2,$D330,$D330-($D330-$I$319)*MIN(M$3-$O$2,$Q$2)/$Q$2))</f>
        <v>10721.3026141187</v>
      </c>
      <c r="N330" s="15" t="n">
        <f aca="false">M330*(1+IF(N$3&lt;=$O$2,$D330,$D330-($D330-$I$319)*MIN(N$3-$O$2,$Q$2)/$Q$2))</f>
        <v>10917.5024519571</v>
      </c>
      <c r="O330" s="15" t="n">
        <f aca="false">SUMPRODUCT(E330:N330,1/(1+$F$319)^$E$3:$N$3)*$E$2</f>
        <v>11030.7025321759</v>
      </c>
      <c r="P330" s="15" t="n">
        <f aca="false">N330*$E$2*(1+$I$319)/($F$319-$I$319)/(1+$F$319)^$N$3</f>
        <v>11712.4633558762</v>
      </c>
      <c r="Q330" s="15" t="n">
        <f aca="false">O330+P330</f>
        <v>22743.165888052</v>
      </c>
      <c r="R330" s="15" t="n">
        <f aca="false">Q330-$G$2+$I$2</f>
        <v>17443.265888052</v>
      </c>
      <c r="S330" s="42" t="n">
        <f aca="false">R330/$K$2</f>
        <v>148.478599659959</v>
      </c>
      <c r="T330" s="43" t="n">
        <f aca="false">S330-$M$2</f>
        <v>1.30461259833183</v>
      </c>
    </row>
    <row r="331" customFormat="false" ht="15" hidden="false" customHeight="false" outlineLevel="0" collapsed="false">
      <c r="A331" s="5" t="n">
        <v>11</v>
      </c>
      <c r="B331" s="25" t="n">
        <f aca="false">IF(T330&gt;0,B330,D330)</f>
        <v>0.068359375</v>
      </c>
      <c r="C331" s="25" t="n">
        <f aca="false">IF(T330&gt;0,D330,C330)</f>
        <v>0.06982421875</v>
      </c>
      <c r="D331" s="41" t="n">
        <f aca="false">(B331+C331)/2</f>
        <v>0.069091796875</v>
      </c>
      <c r="E331" s="15" t="n">
        <f aca="false">$C$2*(1+IF(E$3&lt;=$O$2,$D331,$D331-($D331-$I$319)*MIN(E$3-$O$2,$Q$2)/$Q$2))</f>
        <v>6884.951171875</v>
      </c>
      <c r="F331" s="15" t="n">
        <f aca="false">E331*(1+IF(F$3&lt;=$O$2,$D331,$D331-($D331-$I$319)*MIN(F$3-$O$2,$Q$2)/$Q$2))</f>
        <v>7360.64481973648</v>
      </c>
      <c r="G331" s="15" t="n">
        <f aca="false">F331*(1+IF(G$3&lt;=$O$2,$D331,$D331-($D331-$I$319)*MIN(G$3-$O$2,$Q$2)/$Q$2))</f>
        <v>7869.20499649074</v>
      </c>
      <c r="H331" s="15" t="n">
        <f aca="false">G331*(1+IF(H$3&lt;=$O$2,$D331,$D331-($D331-$I$319)*MIN(H$3-$O$2,$Q$2)/$Q$2))</f>
        <v>8412.90250967601</v>
      </c>
      <c r="I331" s="15" t="n">
        <f aca="false">H331*(1+IF(I$3&lt;=$O$2,$D331,$D331-($D331-$I$319)*MIN(I$3-$O$2,$Q$2)/$Q$2))</f>
        <v>8994.16506100372</v>
      </c>
      <c r="J331" s="15" t="n">
        <f aca="false">I331*(1+IF(J$3&lt;=$O$2,$D331,$D331-($D331-$I$319)*MIN(J$3-$O$2,$Q$2)/$Q$2))</f>
        <v>9524.22212549107</v>
      </c>
      <c r="K331" s="15" t="n">
        <f aca="false">J331*(1+IF(K$3&lt;=$O$2,$D331,$D331-($D331-$I$319)*MIN(K$3-$O$2,$Q$2)/$Q$2))</f>
        <v>9988.76680374175</v>
      </c>
      <c r="L331" s="15" t="n">
        <f aca="false">K331*(1+IF(L$3&lt;=$O$2,$D331,$D331-($D331-$I$319)*MIN(L$3-$O$2,$Q$2)/$Q$2))</f>
        <v>10374.5002020612</v>
      </c>
      <c r="M331" s="15" t="n">
        <f aca="false">L331*(1+IF(M$3&lt;=$O$2,$D331,$D331-($D331-$I$319)*MIN(M$3-$O$2,$Q$2)/$Q$2))</f>
        <v>10669.7414571474</v>
      </c>
      <c r="N331" s="15" t="n">
        <f aca="false">M331*(1+IF(N$3&lt;=$O$2,$D331,$D331-($D331-$I$319)*MIN(N$3-$O$2,$Q$2)/$Q$2))</f>
        <v>10864.9977258132</v>
      </c>
      <c r="O331" s="15" t="n">
        <f aca="false">SUMPRODUCT(E331:N331,1/(1+$F$319)^$E$3:$N$3)*$E$2</f>
        <v>10995.9562185631</v>
      </c>
      <c r="P331" s="15" t="n">
        <f aca="false">N331*$E$2*(1+$I$319)/($F$319-$I$319)/(1+$F$319)^$N$3</f>
        <v>11656.135483849</v>
      </c>
      <c r="Q331" s="15" t="n">
        <f aca="false">O331+P331</f>
        <v>22652.0917024121</v>
      </c>
      <c r="R331" s="15" t="n">
        <f aca="false">Q331-$G$2+$I$2</f>
        <v>17352.1917024121</v>
      </c>
      <c r="S331" s="42" t="n">
        <f aca="false">R331/$K$2</f>
        <v>147.703368253422</v>
      </c>
      <c r="T331" s="43" t="n">
        <f aca="false">S331-$M$2</f>
        <v>0.52938119179484</v>
      </c>
    </row>
    <row r="332" customFormat="false" ht="15" hidden="false" customHeight="false" outlineLevel="0" collapsed="false">
      <c r="A332" s="5" t="n">
        <v>12</v>
      </c>
      <c r="B332" s="25" t="n">
        <f aca="false">IF(T331&gt;0,B331,D331)</f>
        <v>0.068359375</v>
      </c>
      <c r="C332" s="25" t="n">
        <f aca="false">IF(T331&gt;0,D331,C331)</f>
        <v>0.069091796875</v>
      </c>
      <c r="D332" s="41" t="n">
        <f aca="false">(B332+C332)/2</f>
        <v>0.0687255859375</v>
      </c>
      <c r="E332" s="15" t="n">
        <f aca="false">$C$2*(1+IF(E$3&lt;=$O$2,$D332,$D332-($D332-$I$319)*MIN(E$3-$O$2,$Q$2)/$Q$2))</f>
        <v>6882.5927734375</v>
      </c>
      <c r="F332" s="15" t="n">
        <f aca="false">E332*(1+IF(F$3&lt;=$O$2,$D332,$D332-($D332-$I$319)*MIN(F$3-$O$2,$Q$2)/$Q$2))</f>
        <v>7355.6029945612</v>
      </c>
      <c r="G332" s="15" t="n">
        <f aca="false">F332*(1+IF(G$3&lt;=$O$2,$D332,$D332-($D332-$I$319)*MIN(G$3-$O$2,$Q$2)/$Q$2))</f>
        <v>7861.12112028604</v>
      </c>
      <c r="H332" s="15" t="n">
        <f aca="false">G332*(1+IF(H$3&lt;=$O$2,$D332,$D332-($D332-$I$319)*MIN(H$3-$O$2,$Q$2)/$Q$2))</f>
        <v>8401.38127540336</v>
      </c>
      <c r="I332" s="15" t="n">
        <f aca="false">H332*(1+IF(I$3&lt;=$O$2,$D332,$D332-($D332-$I$319)*MIN(I$3-$O$2,$Q$2)/$Q$2))</f>
        <v>8978.77112623979</v>
      </c>
      <c r="J332" s="15" t="n">
        <f aca="false">I332*(1+IF(J$3&lt;=$O$2,$D332,$D332-($D332-$I$319)*MIN(J$3-$O$2,$Q$2)/$Q$2))</f>
        <v>9505.29047388146</v>
      </c>
      <c r="K332" s="15" t="n">
        <f aca="false">J332*(1+IF(K$3&lt;=$O$2,$D332,$D332-($D332-$I$319)*MIN(K$3-$O$2,$Q$2)/$Q$2))</f>
        <v>9966.82319454446</v>
      </c>
      <c r="L332" s="15" t="n">
        <f aca="false">K332*(1+IF(L$3&lt;=$O$2,$D332,$D332-($D332-$I$319)*MIN(L$3-$O$2,$Q$2)/$Q$2))</f>
        <v>10350.2492188128</v>
      </c>
      <c r="M332" s="15" t="n">
        <f aca="false">L332*(1+IF(M$3&lt;=$O$2,$D332,$D332-($D332-$I$319)*MIN(M$3-$O$2,$Q$2)/$Q$2))</f>
        <v>10644.0422558086</v>
      </c>
      <c r="N332" s="15" t="n">
        <f aca="false">M332*(1+IF(N$3&lt;=$O$2,$D332,$D332-($D332-$I$319)*MIN(N$3-$O$2,$Q$2)/$Q$2))</f>
        <v>10838.8282290899</v>
      </c>
      <c r="O332" s="15" t="n">
        <f aca="false">SUMPRODUCT(E332:N332,1/(1+$F$319)^$E$3:$N$3)*$E$2</f>
        <v>10978.62435463</v>
      </c>
      <c r="P332" s="15" t="n">
        <f aca="false">N332*$E$2*(1+$I$319)/($F$319-$I$319)/(1+$F$319)^$N$3</f>
        <v>11628.0604481197</v>
      </c>
      <c r="Q332" s="15" t="n">
        <f aca="false">O332+P332</f>
        <v>22606.6848027497</v>
      </c>
      <c r="R332" s="15" t="n">
        <f aca="false">Q332-$G$2+$I$2</f>
        <v>17306.7848027497</v>
      </c>
      <c r="S332" s="42" t="n">
        <f aca="false">R332/$K$2</f>
        <v>147.31686076566</v>
      </c>
      <c r="T332" s="43" t="n">
        <f aca="false">S332-$M$2</f>
        <v>0.142873704032127</v>
      </c>
    </row>
    <row r="333" customFormat="false" ht="15" hidden="false" customHeight="false" outlineLevel="0" collapsed="false">
      <c r="A333" s="5" t="n">
        <v>13</v>
      </c>
      <c r="B333" s="25" t="n">
        <f aca="false">IF(T332&gt;0,B332,D332)</f>
        <v>0.068359375</v>
      </c>
      <c r="C333" s="25" t="n">
        <f aca="false">IF(T332&gt;0,D332,C332)</f>
        <v>0.0687255859375</v>
      </c>
      <c r="D333" s="41" t="n">
        <f aca="false">(B333+C333)/2</f>
        <v>0.06854248046875</v>
      </c>
      <c r="E333" s="15" t="n">
        <f aca="false">$C$2*(1+IF(E$3&lt;=$O$2,$D333,$D333-($D333-$I$319)*MIN(E$3-$O$2,$Q$2)/$Q$2))</f>
        <v>6881.41357421875</v>
      </c>
      <c r="F333" s="15" t="n">
        <f aca="false">E333*(1+IF(F$3&lt;=$O$2,$D333,$D333-($D333-$I$319)*MIN(F$3-$O$2,$Q$2)/$Q$2))</f>
        <v>7353.08272972703</v>
      </c>
      <c r="G333" s="15" t="n">
        <f aca="false">F333*(1+IF(G$3&lt;=$O$2,$D333,$D333-($D333-$I$319)*MIN(G$3-$O$2,$Q$2)/$Q$2))</f>
        <v>7857.08125911445</v>
      </c>
      <c r="H333" s="15" t="n">
        <f aca="false">G333*(1+IF(H$3&lt;=$O$2,$D333,$D333-($D333-$I$319)*MIN(H$3-$O$2,$Q$2)/$Q$2))</f>
        <v>8395.62509785868</v>
      </c>
      <c r="I333" s="15" t="n">
        <f aca="false">H333*(1+IF(I$3&lt;=$O$2,$D333,$D333-($D333-$I$319)*MIN(I$3-$O$2,$Q$2)/$Q$2))</f>
        <v>8971.08206715161</v>
      </c>
      <c r="J333" s="15" t="n">
        <f aca="false">I333*(1+IF(J$3&lt;=$O$2,$D333,$D333-($D333-$I$319)*MIN(J$3-$O$2,$Q$2)/$Q$2))</f>
        <v>9495.83640141442</v>
      </c>
      <c r="K333" s="15" t="n">
        <f aca="false">J333*(1+IF(K$3&lt;=$O$2,$D333,$D333-($D333-$I$319)*MIN(K$3-$O$2,$Q$2)/$Q$2))</f>
        <v>9955.86683251981</v>
      </c>
      <c r="L333" s="15" t="n">
        <f aca="false">K333*(1+IF(L$3&lt;=$O$2,$D333,$D333-($D333-$I$319)*MIN(L$3-$O$2,$Q$2)/$Q$2))</f>
        <v>10338.1421735079</v>
      </c>
      <c r="M333" s="15" t="n">
        <f aca="false">L333*(1+IF(M$3&lt;=$O$2,$D333,$D333-($D333-$I$319)*MIN(M$3-$O$2,$Q$2)/$Q$2))</f>
        <v>10631.2129565302</v>
      </c>
      <c r="N333" s="15" t="n">
        <f aca="false">M333*(1+IF(N$3&lt;=$O$2,$D333,$D333-($D333-$I$319)*MIN(N$3-$O$2,$Q$2)/$Q$2))</f>
        <v>10825.7641536347</v>
      </c>
      <c r="O333" s="15" t="n">
        <f aca="false">SUMPRODUCT(E333:N333,1/(1+$F$319)^$E$3:$N$3)*$E$2</f>
        <v>10969.9687280458</v>
      </c>
      <c r="P333" s="15" t="n">
        <f aca="false">N333*$E$2*(1+$I$319)/($F$319-$I$319)/(1+$F$319)^$N$3</f>
        <v>11614.0451084647</v>
      </c>
      <c r="Q333" s="15" t="n">
        <f aca="false">O333+P333</f>
        <v>22584.0138365105</v>
      </c>
      <c r="R333" s="15" t="n">
        <f aca="false">Q333-$G$2+$I$2</f>
        <v>17284.1138365105</v>
      </c>
      <c r="S333" s="42" t="n">
        <f aca="false">R333/$K$2</f>
        <v>147.123883524945</v>
      </c>
      <c r="T333" s="43" t="n">
        <f aca="false">S333-$M$2</f>
        <v>-0.0501035366830251</v>
      </c>
    </row>
    <row r="334" customFormat="false" ht="15" hidden="false" customHeight="false" outlineLevel="0" collapsed="false">
      <c r="A334" s="5" t="n">
        <v>14</v>
      </c>
      <c r="B334" s="25" t="n">
        <f aca="false">IF(T333&gt;0,B333,D333)</f>
        <v>0.06854248046875</v>
      </c>
      <c r="C334" s="25" t="n">
        <f aca="false">IF(T333&gt;0,D333,C333)</f>
        <v>0.0687255859375</v>
      </c>
      <c r="D334" s="41" t="n">
        <f aca="false">(B334+C334)/2</f>
        <v>0.068634033203125</v>
      </c>
      <c r="E334" s="15" t="n">
        <f aca="false">$C$2*(1+IF(E$3&lt;=$O$2,$D334,$D334-($D334-$I$319)*MIN(E$3-$O$2,$Q$2)/$Q$2))</f>
        <v>6882.00317382813</v>
      </c>
      <c r="F334" s="15" t="n">
        <f aca="false">E334*(1+IF(F$3&lt;=$O$2,$D334,$D334-($D334-$I$319)*MIN(F$3-$O$2,$Q$2)/$Q$2))</f>
        <v>7354.34280816466</v>
      </c>
      <c r="G334" s="15" t="n">
        <f aca="false">F334*(1+IF(G$3&lt;=$O$2,$D334,$D334-($D334-$I$319)*MIN(G$3-$O$2,$Q$2)/$Q$2))</f>
        <v>7859.10101664739</v>
      </c>
      <c r="H334" s="15" t="n">
        <f aca="false">G334*(1+IF(H$3&lt;=$O$2,$D334,$D334-($D334-$I$319)*MIN(H$3-$O$2,$Q$2)/$Q$2))</f>
        <v>8398.50281677068</v>
      </c>
      <c r="I334" s="15" t="n">
        <f aca="false">H334*(1+IF(I$3&lt;=$O$2,$D334,$D334-($D334-$I$319)*MIN(I$3-$O$2,$Q$2)/$Q$2))</f>
        <v>8974.92593795346</v>
      </c>
      <c r="J334" s="15" t="n">
        <f aca="false">I334*(1+IF(J$3&lt;=$O$2,$D334,$D334-($D334-$I$319)*MIN(J$3-$O$2,$Q$2)/$Q$2))</f>
        <v>9500.56245874324</v>
      </c>
      <c r="K334" s="15" t="n">
        <f aca="false">J334*(1+IF(K$3&lt;=$O$2,$D334,$D334-($D334-$I$319)*MIN(K$3-$O$2,$Q$2)/$Q$2))</f>
        <v>9961.34372748629</v>
      </c>
      <c r="L334" s="15" t="n">
        <f aca="false">K334*(1+IF(L$3&lt;=$O$2,$D334,$D334-($D334-$I$319)*MIN(L$3-$O$2,$Q$2)/$Q$2))</f>
        <v>10344.1941600701</v>
      </c>
      <c r="M334" s="15" t="n">
        <f aca="false">L334*(1+IF(M$3&lt;=$O$2,$D334,$D334-($D334-$I$319)*MIN(M$3-$O$2,$Q$2)/$Q$2))</f>
        <v>10637.6259156619</v>
      </c>
      <c r="N334" s="15" t="n">
        <f aca="false">M334*(1+IF(N$3&lt;=$O$2,$D334,$D334-($D334-$I$319)*MIN(N$3-$O$2,$Q$2)/$Q$2))</f>
        <v>10832.2944699185</v>
      </c>
      <c r="O334" s="15" t="n">
        <f aca="false">SUMPRODUCT(E334:N334,1/(1+$F$319)^$E$3:$N$3)*$E$2</f>
        <v>10974.2956830863</v>
      </c>
      <c r="P334" s="15" t="n">
        <f aca="false">N334*$E$2*(1+$I$319)/($F$319-$I$319)/(1+$F$319)^$N$3</f>
        <v>11621.050931501</v>
      </c>
      <c r="Q334" s="15" t="n">
        <f aca="false">O334+P334</f>
        <v>22595.3466145873</v>
      </c>
      <c r="R334" s="15" t="n">
        <f aca="false">Q334-$G$2+$I$2</f>
        <v>17295.4466145873</v>
      </c>
      <c r="S334" s="42" t="n">
        <f aca="false">R334/$K$2</f>
        <v>147.220349119742</v>
      </c>
      <c r="T334" s="43" t="n">
        <f aca="false">S334-$M$2</f>
        <v>0.0463620581148803</v>
      </c>
    </row>
    <row r="335" customFormat="false" ht="15" hidden="false" customHeight="false" outlineLevel="0" collapsed="false">
      <c r="A335" s="5" t="n">
        <v>15</v>
      </c>
      <c r="B335" s="25" t="n">
        <f aca="false">IF(T334&gt;0,B334,D334)</f>
        <v>0.06854248046875</v>
      </c>
      <c r="C335" s="25" t="n">
        <f aca="false">IF(T334&gt;0,D334,C334)</f>
        <v>0.068634033203125</v>
      </c>
      <c r="D335" s="41" t="n">
        <f aca="false">(B335+C335)/2</f>
        <v>0.0685882568359375</v>
      </c>
      <c r="E335" s="15" t="n">
        <f aca="false">$C$2*(1+IF(E$3&lt;=$O$2,$D335,$D335-($D335-$I$319)*MIN(E$3-$O$2,$Q$2)/$Q$2))</f>
        <v>6881.70837402344</v>
      </c>
      <c r="F335" s="15" t="n">
        <f aca="false">E335*(1+IF(F$3&lt;=$O$2,$D335,$D335-($D335-$I$319)*MIN(F$3-$O$2,$Q$2)/$Q$2))</f>
        <v>7353.71275545098</v>
      </c>
      <c r="G335" s="15" t="n">
        <f aca="false">F335*(1+IF(G$3&lt;=$O$2,$D335,$D335-($D335-$I$319)*MIN(G$3-$O$2,$Q$2)/$Q$2))</f>
        <v>7858.09109461956</v>
      </c>
      <c r="H335" s="15" t="n">
        <f aca="false">G335*(1+IF(H$3&lt;=$O$2,$D335,$D335-($D335-$I$319)*MIN(H$3-$O$2,$Q$2)/$Q$2))</f>
        <v>8397.06386485752</v>
      </c>
      <c r="I335" s="15" t="n">
        <f aca="false">H335*(1+IF(I$3&lt;=$O$2,$D335,$D335-($D335-$I$319)*MIN(I$3-$O$2,$Q$2)/$Q$2))</f>
        <v>8973.00383788814</v>
      </c>
      <c r="J335" s="15" t="n">
        <f aca="false">I335*(1+IF(J$3&lt;=$O$2,$D335,$D335-($D335-$I$319)*MIN(J$3-$O$2,$Q$2)/$Q$2))</f>
        <v>9498.19918539315</v>
      </c>
      <c r="K335" s="15" t="n">
        <f aca="false">J335*(1+IF(K$3&lt;=$O$2,$D335,$D335-($D335-$I$319)*MIN(K$3-$O$2,$Q$2)/$Q$2))</f>
        <v>9958.60495855421</v>
      </c>
      <c r="L335" s="15" t="n">
        <f aca="false">K335*(1+IF(L$3&lt;=$O$2,$D335,$D335-($D335-$I$319)*MIN(L$3-$O$2,$Q$2)/$Q$2))</f>
        <v>10341.1677828491</v>
      </c>
      <c r="M335" s="15" t="n">
        <f aca="false">L335*(1+IF(M$3&lt;=$O$2,$D335,$D335-($D335-$I$319)*MIN(M$3-$O$2,$Q$2)/$Q$2))</f>
        <v>10634.4190135647</v>
      </c>
      <c r="N335" s="15" t="n">
        <f aca="false">M335*(1+IF(N$3&lt;=$O$2,$D335,$D335-($D335-$I$319)*MIN(N$3-$O$2,$Q$2)/$Q$2))</f>
        <v>10829.028881513</v>
      </c>
      <c r="O335" s="15" t="n">
        <f aca="false">SUMPRODUCT(E335:N335,1/(1+$F$319)^$E$3:$N$3)*$E$2</f>
        <v>10972.1319910429</v>
      </c>
      <c r="P335" s="15" t="n">
        <f aca="false">N335*$E$2*(1+$I$319)/($F$319-$I$319)/(1+$F$319)^$N$3</f>
        <v>11617.5475583895</v>
      </c>
      <c r="Q335" s="15" t="n">
        <f aca="false">O335+P335</f>
        <v>22589.6795494324</v>
      </c>
      <c r="R335" s="15" t="n">
        <f aca="false">Q335-$G$2+$I$2</f>
        <v>17289.7795494324</v>
      </c>
      <c r="S335" s="42" t="n">
        <f aca="false">R335/$K$2</f>
        <v>147.172110567181</v>
      </c>
      <c r="T335" s="43" t="n">
        <f aca="false">S335-$M$2</f>
        <v>-0.00187649444671933</v>
      </c>
    </row>
    <row r="336" customFormat="false" ht="15" hidden="false" customHeight="false" outlineLevel="0" collapsed="false">
      <c r="A336" s="5" t="n">
        <v>16</v>
      </c>
      <c r="B336" s="25" t="n">
        <f aca="false">IF(T335&gt;0,B335,D335)</f>
        <v>0.0685882568359375</v>
      </c>
      <c r="C336" s="25" t="n">
        <f aca="false">IF(T335&gt;0,D335,C335)</f>
        <v>0.068634033203125</v>
      </c>
      <c r="D336" s="41" t="n">
        <f aca="false">(B336+C336)/2</f>
        <v>0.0686111450195313</v>
      </c>
      <c r="E336" s="15" t="n">
        <f aca="false">$C$2*(1+IF(E$3&lt;=$O$2,$D336,$D336-($D336-$I$319)*MIN(E$3-$O$2,$Q$2)/$Q$2))</f>
        <v>6881.85577392578</v>
      </c>
      <c r="F336" s="15" t="n">
        <f aca="false">E336*(1+IF(F$3&lt;=$O$2,$D336,$D336-($D336-$I$319)*MIN(F$3-$O$2,$Q$2)/$Q$2))</f>
        <v>7354.0277784341</v>
      </c>
      <c r="G336" s="15" t="n">
        <f aca="false">F336*(1+IF(G$3&lt;=$O$2,$D336,$D336-($D336-$I$319)*MIN(G$3-$O$2,$Q$2)/$Q$2))</f>
        <v>7858.59604481791</v>
      </c>
      <c r="H336" s="15" t="n">
        <f aca="false">G336*(1+IF(H$3&lt;=$O$2,$D336,$D336-($D336-$I$319)*MIN(H$3-$O$2,$Q$2)/$Q$2))</f>
        <v>8397.78331769882</v>
      </c>
      <c r="I336" s="15" t="n">
        <f aca="false">H336*(1+IF(I$3&lt;=$O$2,$D336,$D336-($D336-$I$319)*MIN(I$3-$O$2,$Q$2)/$Q$2))</f>
        <v>8973.96484675206</v>
      </c>
      <c r="J336" s="15" t="n">
        <f aca="false">I336*(1+IF(J$3&lt;=$O$2,$D336,$D336-($D336-$I$319)*MIN(J$3-$O$2,$Q$2)/$Q$2))</f>
        <v>9499.38076089171</v>
      </c>
      <c r="K336" s="15" t="n">
        <f aca="false">J336*(1+IF(K$3&lt;=$O$2,$D336,$D336-($D336-$I$319)*MIN(K$3-$O$2,$Q$2)/$Q$2))</f>
        <v>9959.97426265021</v>
      </c>
      <c r="L336" s="15" t="n">
        <f aca="false">K336*(1+IF(L$3&lt;=$O$2,$D336,$D336-($D336-$I$319)*MIN(L$3-$O$2,$Q$2)/$Q$2))</f>
        <v>10342.6808754643</v>
      </c>
      <c r="M336" s="15" t="n">
        <f aca="false">L336*(1+IF(M$3&lt;=$O$2,$D336,$D336-($D336-$I$319)*MIN(M$3-$O$2,$Q$2)/$Q$2))</f>
        <v>10636.0223589685</v>
      </c>
      <c r="N336" s="15" t="n">
        <f aca="false">M336*(1+IF(N$3&lt;=$O$2,$D336,$D336-($D336-$I$319)*MIN(N$3-$O$2,$Q$2)/$Q$2))</f>
        <v>10830.6615681377</v>
      </c>
      <c r="O336" s="15" t="n">
        <f aca="false">SUMPRODUCT(E336:N336,1/(1+$F$319)^$E$3:$N$3)*$E$2</f>
        <v>10973.2137834289</v>
      </c>
      <c r="P336" s="15" t="n">
        <f aca="false">N336*$E$2*(1+$I$319)/($F$319-$I$319)/(1+$F$319)^$N$3</f>
        <v>11619.2991295339</v>
      </c>
      <c r="Q336" s="15" t="n">
        <f aca="false">O336+P336</f>
        <v>22592.5129129627</v>
      </c>
      <c r="R336" s="15" t="n">
        <f aca="false">Q336-$G$2+$I$2</f>
        <v>17292.6129129627</v>
      </c>
      <c r="S336" s="42" t="n">
        <f aca="false">R336/$K$2</f>
        <v>147.196228404517</v>
      </c>
      <c r="T336" s="43" t="n">
        <f aca="false">S336-$M$2</f>
        <v>0.0222413428899699</v>
      </c>
    </row>
    <row r="337" customFormat="false" ht="15" hidden="false" customHeight="false" outlineLevel="0" collapsed="false">
      <c r="A337" s="5" t="n">
        <v>17</v>
      </c>
      <c r="B337" s="25" t="n">
        <f aca="false">IF(T336&gt;0,B336,D336)</f>
        <v>0.0685882568359375</v>
      </c>
      <c r="C337" s="25" t="n">
        <f aca="false">IF(T336&gt;0,D336,C336)</f>
        <v>0.0686111450195313</v>
      </c>
      <c r="D337" s="41" t="n">
        <f aca="false">(B337+C337)/2</f>
        <v>0.0685997009277344</v>
      </c>
      <c r="E337" s="15" t="n">
        <f aca="false">$C$2*(1+IF(E$3&lt;=$O$2,$D337,$D337-($D337-$I$319)*MIN(E$3-$O$2,$Q$2)/$Q$2))</f>
        <v>6881.78207397461</v>
      </c>
      <c r="F337" s="15" t="n">
        <f aca="false">E337*(1+IF(F$3&lt;=$O$2,$D337,$D337-($D337-$I$319)*MIN(F$3-$O$2,$Q$2)/$Q$2))</f>
        <v>7353.87026609911</v>
      </c>
      <c r="G337" s="15" t="n">
        <f aca="false">F337*(1+IF(G$3&lt;=$O$2,$D337,$D337-($D337-$I$319)*MIN(G$3-$O$2,$Q$2)/$Q$2))</f>
        <v>7858.34356701487</v>
      </c>
      <c r="H337" s="15" t="n">
        <f aca="false">G337*(1+IF(H$3&lt;=$O$2,$D337,$D337-($D337-$I$319)*MIN(H$3-$O$2,$Q$2)/$Q$2))</f>
        <v>8397.42358549947</v>
      </c>
      <c r="I337" s="15" t="n">
        <f aca="false">H337*(1+IF(I$3&lt;=$O$2,$D337,$D337-($D337-$I$319)*MIN(I$3-$O$2,$Q$2)/$Q$2))</f>
        <v>8973.48433202824</v>
      </c>
      <c r="J337" s="15" t="n">
        <f aca="false">I337*(1+IF(J$3&lt;=$O$2,$D337,$D337-($D337-$I$319)*MIN(J$3-$O$2,$Q$2)/$Q$2))</f>
        <v>9498.78995784894</v>
      </c>
      <c r="K337" s="15" t="n">
        <f aca="false">J337*(1+IF(K$3&lt;=$O$2,$D337,$D337-($D337-$I$319)*MIN(K$3-$O$2,$Q$2)/$Q$2))</f>
        <v>9959.28959051068</v>
      </c>
      <c r="L337" s="15" t="n">
        <f aca="false">K337*(1+IF(L$3&lt;=$O$2,$D337,$D337-($D337-$I$319)*MIN(L$3-$O$2,$Q$2)/$Q$2))</f>
        <v>10341.9243051592</v>
      </c>
      <c r="M337" s="15" t="n">
        <f aca="false">L337*(1+IF(M$3&lt;=$O$2,$D337,$D337-($D337-$I$319)*MIN(M$3-$O$2,$Q$2)/$Q$2))</f>
        <v>10635.2206598569</v>
      </c>
      <c r="N337" s="15" t="n">
        <f aca="false">M337*(1+IF(N$3&lt;=$O$2,$D337,$D337-($D337-$I$319)*MIN(N$3-$O$2,$Q$2)/$Q$2))</f>
        <v>10829.8451979323</v>
      </c>
      <c r="O337" s="15" t="n">
        <f aca="false">SUMPRODUCT(E337:N337,1/(1+$F$319)^$E$3:$N$3)*$E$2</f>
        <v>10972.6728738276</v>
      </c>
      <c r="P337" s="15" t="n">
        <f aca="false">N337*$E$2*(1+$I$319)/($F$319-$I$319)/(1+$F$319)^$N$3</f>
        <v>11618.4233151105</v>
      </c>
      <c r="Q337" s="15" t="n">
        <f aca="false">O337+P337</f>
        <v>22591.096188938</v>
      </c>
      <c r="R337" s="15" t="n">
        <f aca="false">Q337-$G$2+$I$2</f>
        <v>17291.196188938</v>
      </c>
      <c r="S337" s="42" t="n">
        <f aca="false">R337/$K$2</f>
        <v>147.184169126132</v>
      </c>
      <c r="T337" s="43" t="n">
        <f aca="false">S337-$M$2</f>
        <v>0.010182064504761</v>
      </c>
    </row>
    <row r="338" customFormat="false" ht="15" hidden="false" customHeight="false" outlineLevel="0" collapsed="false">
      <c r="A338" s="5" t="n">
        <v>18</v>
      </c>
      <c r="B338" s="25" t="n">
        <f aca="false">IF(T337&gt;0,B337,D337)</f>
        <v>0.0685882568359375</v>
      </c>
      <c r="C338" s="25" t="n">
        <f aca="false">IF(T337&gt;0,D337,C337)</f>
        <v>0.0685997009277344</v>
      </c>
      <c r="D338" s="41" t="n">
        <f aca="false">(B338+C338)/2</f>
        <v>0.0685939788818359</v>
      </c>
      <c r="E338" s="15" t="n">
        <f aca="false">$C$2*(1+IF(E$3&lt;=$O$2,$D338,$D338-($D338-$I$319)*MIN(E$3-$O$2,$Q$2)/$Q$2))</f>
        <v>6881.74522399902</v>
      </c>
      <c r="F338" s="15" t="n">
        <f aca="false">E338*(1+IF(F$3&lt;=$O$2,$D338,$D338-($D338-$I$319)*MIN(F$3-$O$2,$Q$2)/$Q$2))</f>
        <v>7353.79151056419</v>
      </c>
      <c r="G338" s="15" t="n">
        <f aca="false">F338*(1+IF(G$3&lt;=$O$2,$D338,$D338-($D338-$I$319)*MIN(G$3-$O$2,$Q$2)/$Q$2))</f>
        <v>7858.21733014125</v>
      </c>
      <c r="H338" s="15" t="n">
        <f aca="false">G338*(1+IF(H$3&lt;=$O$2,$D338,$D338-($D338-$I$319)*MIN(H$3-$O$2,$Q$2)/$Q$2))</f>
        <v>8397.24372373384</v>
      </c>
      <c r="I338" s="15" t="n">
        <f aca="false">H338*(1+IF(I$3&lt;=$O$2,$D338,$D338-($D338-$I$319)*MIN(I$3-$O$2,$Q$2)/$Q$2))</f>
        <v>8973.24408238527</v>
      </c>
      <c r="J338" s="15" t="n">
        <f aca="false">I338*(1+IF(J$3&lt;=$O$2,$D338,$D338-($D338-$I$319)*MIN(J$3-$O$2,$Q$2)/$Q$2))</f>
        <v>9498.49456779775</v>
      </c>
      <c r="K338" s="15" t="n">
        <f aca="false">J338*(1+IF(K$3&lt;=$O$2,$D338,$D338-($D338-$I$319)*MIN(K$3-$O$2,$Q$2)/$Q$2))</f>
        <v>9958.94726950969</v>
      </c>
      <c r="L338" s="15" t="n">
        <f aca="false">K338*(1+IF(L$3&lt;=$O$2,$D338,$D338-($D338-$I$319)*MIN(L$3-$O$2,$Q$2)/$Q$2))</f>
        <v>10341.5460380049</v>
      </c>
      <c r="M338" s="15" t="n">
        <f aca="false">L338*(1+IF(M$3&lt;=$O$2,$D338,$D338-($D338-$I$319)*MIN(M$3-$O$2,$Q$2)/$Q$2))</f>
        <v>10634.8198301086</v>
      </c>
      <c r="N338" s="15" t="n">
        <f aca="false">M338*(1+IF(N$3&lt;=$O$2,$D338,$D338-($D338-$I$319)*MIN(N$3-$O$2,$Q$2)/$Q$2))</f>
        <v>10829.4370329996</v>
      </c>
      <c r="O338" s="15" t="n">
        <f aca="false">SUMPRODUCT(E338:N338,1/(1+$F$319)^$E$3:$N$3)*$E$2</f>
        <v>10972.4024290832</v>
      </c>
      <c r="P338" s="15" t="n">
        <f aca="false">N338*$E$2*(1+$I$319)/($F$319-$I$319)/(1+$F$319)^$N$3</f>
        <v>11617.9854295374</v>
      </c>
      <c r="Q338" s="15" t="n">
        <f aca="false">O338+P338</f>
        <v>22590.3878586206</v>
      </c>
      <c r="R338" s="15" t="n">
        <f aca="false">Q338-$G$2+$I$2</f>
        <v>17290.4878586206</v>
      </c>
      <c r="S338" s="42" t="n">
        <f aca="false">R338/$K$2</f>
        <v>147.17813975673</v>
      </c>
      <c r="T338" s="43" t="n">
        <f aca="false">S338-$M$2</f>
        <v>0.00415269510222061</v>
      </c>
    </row>
    <row r="339" customFormat="false" ht="15" hidden="false" customHeight="false" outlineLevel="0" collapsed="false">
      <c r="A339" s="5" t="n">
        <v>19</v>
      </c>
      <c r="B339" s="25" t="n">
        <f aca="false">IF(T338&gt;0,B338,D338)</f>
        <v>0.0685882568359375</v>
      </c>
      <c r="C339" s="25" t="n">
        <f aca="false">IF(T338&gt;0,D338,C338)</f>
        <v>0.0685939788818359</v>
      </c>
      <c r="D339" s="41" t="n">
        <f aca="false">(B339+C339)/2</f>
        <v>0.0685911178588867</v>
      </c>
      <c r="E339" s="15" t="n">
        <f aca="false">$C$2*(1+IF(E$3&lt;=$O$2,$D339,$D339-($D339-$I$319)*MIN(E$3-$O$2,$Q$2)/$Q$2))</f>
        <v>6881.72679901123</v>
      </c>
      <c r="F339" s="15" t="n">
        <f aca="false">E339*(1+IF(F$3&lt;=$O$2,$D339,$D339-($D339-$I$319)*MIN(F$3-$O$2,$Q$2)/$Q$2))</f>
        <v>7353.75213295487</v>
      </c>
      <c r="G339" s="15" t="n">
        <f aca="false">F339*(1+IF(G$3&lt;=$O$2,$D339,$D339-($D339-$I$319)*MIN(G$3-$O$2,$Q$2)/$Q$2))</f>
        <v>7858.15421221142</v>
      </c>
      <c r="H339" s="15" t="n">
        <f aca="false">G339*(1+IF(H$3&lt;=$O$2,$D339,$D339-($D339-$I$319)*MIN(H$3-$O$2,$Q$2)/$Q$2))</f>
        <v>8397.15379393452</v>
      </c>
      <c r="I339" s="15" t="n">
        <f aca="false">H339*(1+IF(I$3&lt;=$O$2,$D339,$D339-($D339-$I$319)*MIN(I$3-$O$2,$Q$2)/$Q$2))</f>
        <v>8973.12395949348</v>
      </c>
      <c r="J339" s="15" t="n">
        <f aca="false">I339*(1+IF(J$3&lt;=$O$2,$D339,$D339-($D339-$I$319)*MIN(J$3-$O$2,$Q$2)/$Q$2))</f>
        <v>9498.34687563963</v>
      </c>
      <c r="K339" s="15" t="n">
        <f aca="false">J339*(1+IF(K$3&lt;=$O$2,$D339,$D339-($D339-$I$319)*MIN(K$3-$O$2,$Q$2)/$Q$2))</f>
        <v>9958.77611277627</v>
      </c>
      <c r="L339" s="15" t="n">
        <f aca="false">K339*(1+IF(L$3&lt;=$O$2,$D339,$D339-($D339-$I$319)*MIN(L$3-$O$2,$Q$2)/$Q$2))</f>
        <v>10341.3569089272</v>
      </c>
      <c r="M339" s="15" t="n">
        <f aca="false">L339*(1+IF(M$3&lt;=$O$2,$D339,$D339-($D339-$I$319)*MIN(M$3-$O$2,$Q$2)/$Q$2))</f>
        <v>10634.6194201861</v>
      </c>
      <c r="N339" s="15" t="n">
        <f aca="false">M339*(1+IF(N$3&lt;=$O$2,$D339,$D339-($D339-$I$319)*MIN(N$3-$O$2,$Q$2)/$Q$2))</f>
        <v>10829.2329555755</v>
      </c>
      <c r="O339" s="15" t="n">
        <f aca="false">SUMPRODUCT(E339:N339,1/(1+$F$319)^$E$3:$N$3)*$E$2</f>
        <v>10972.2672092251</v>
      </c>
      <c r="P339" s="15" t="n">
        <f aca="false">N339*$E$2*(1+$I$319)/($F$319-$I$319)/(1+$F$319)^$N$3</f>
        <v>11617.7664921603</v>
      </c>
      <c r="Q339" s="15" t="n">
        <f aca="false">O339+P339</f>
        <v>22590.0337013854</v>
      </c>
      <c r="R339" s="15" t="n">
        <f aca="false">Q339-$G$2+$I$2</f>
        <v>17290.1337013854</v>
      </c>
      <c r="S339" s="42" t="n">
        <f aca="false">R339/$K$2</f>
        <v>147.175125139474</v>
      </c>
      <c r="T339" s="43" t="n">
        <f aca="false">S339-$M$2</f>
        <v>0.00113807784626374</v>
      </c>
    </row>
    <row r="340" customFormat="false" ht="15" hidden="false" customHeight="false" outlineLevel="0" collapsed="false">
      <c r="A340" s="5" t="n">
        <v>20</v>
      </c>
      <c r="B340" s="25" t="n">
        <f aca="false">IF(T339&gt;0,B339,D339)</f>
        <v>0.0685882568359375</v>
      </c>
      <c r="C340" s="25" t="n">
        <f aca="false">IF(T339&gt;0,D339,C339)</f>
        <v>0.0685911178588867</v>
      </c>
      <c r="D340" s="41" t="n">
        <f aca="false">(B340+C340)/2</f>
        <v>0.0685896873474121</v>
      </c>
      <c r="E340" s="15" t="n">
        <f aca="false">$C$2*(1+IF(E$3&lt;=$O$2,$D340,$D340-($D340-$I$319)*MIN(E$3-$O$2,$Q$2)/$Q$2))</f>
        <v>6881.71758651733</v>
      </c>
      <c r="F340" s="15" t="n">
        <f aca="false">E340*(1+IF(F$3&lt;=$O$2,$D340,$D340-($D340-$I$319)*MIN(F$3-$O$2,$Q$2)/$Q$2))</f>
        <v>7353.73244418975</v>
      </c>
      <c r="G340" s="15" t="n">
        <f aca="false">F340*(1+IF(G$3&lt;=$O$2,$D340,$D340-($D340-$I$319)*MIN(G$3-$O$2,$Q$2)/$Q$2))</f>
        <v>7858.12265337324</v>
      </c>
      <c r="H340" s="15" t="n">
        <f aca="false">G340*(1+IF(H$3&lt;=$O$2,$D340,$D340-($D340-$I$319)*MIN(H$3-$O$2,$Q$2)/$Q$2))</f>
        <v>8397.10882930573</v>
      </c>
      <c r="I340" s="15" t="n">
        <f aca="false">H340*(1+IF(I$3&lt;=$O$2,$D340,$D340-($D340-$I$319)*MIN(I$3-$O$2,$Q$2)/$Q$2))</f>
        <v>8973.06389853</v>
      </c>
      <c r="J340" s="15" t="n">
        <f aca="false">I340*(1+IF(J$3&lt;=$O$2,$D340,$D340-($D340-$I$319)*MIN(J$3-$O$2,$Q$2)/$Q$2))</f>
        <v>9498.27303027744</v>
      </c>
      <c r="K340" s="15" t="n">
        <f aca="false">J340*(1+IF(K$3&lt;=$O$2,$D340,$D340-($D340-$I$319)*MIN(K$3-$O$2,$Q$2)/$Q$2))</f>
        <v>9958.69053535132</v>
      </c>
      <c r="L340" s="15" t="n">
        <f aca="false">K340*(1+IF(L$3&lt;=$O$2,$D340,$D340-($D340-$I$319)*MIN(L$3-$O$2,$Q$2)/$Q$2))</f>
        <v>10341.2623455132</v>
      </c>
      <c r="M340" s="15" t="n">
        <f aca="false">L340*(1+IF(M$3&lt;=$O$2,$D340,$D340-($D340-$I$319)*MIN(M$3-$O$2,$Q$2)/$Q$2))</f>
        <v>10634.5192164628</v>
      </c>
      <c r="N340" s="15" t="n">
        <f aca="false">M340*(1+IF(N$3&lt;=$O$2,$D340,$D340-($D340-$I$319)*MIN(N$3-$O$2,$Q$2)/$Q$2))</f>
        <v>10829.1309181241</v>
      </c>
      <c r="O340" s="15" t="n">
        <f aca="false">SUMPRODUCT(E340:N340,1/(1+$F$319)^$E$3:$N$3)*$E$2</f>
        <v>10972.1995999245</v>
      </c>
      <c r="P340" s="15" t="n">
        <f aca="false">N340*$E$2*(1+$I$319)/($F$319-$I$319)/(1+$F$319)^$N$3</f>
        <v>11617.6570248241</v>
      </c>
      <c r="Q340" s="15" t="n">
        <f aca="false">O340+P340</f>
        <v>22589.8566247486</v>
      </c>
      <c r="R340" s="15" t="n">
        <f aca="false">Q340-$G$2+$I$2</f>
        <v>17289.9566247486</v>
      </c>
      <c r="S340" s="42" t="n">
        <f aca="false">R340/$K$2</f>
        <v>147.173617847707</v>
      </c>
      <c r="T340" s="43" t="n">
        <f aca="false">S340-$M$2</f>
        <v>-0.000369213920549782</v>
      </c>
    </row>
    <row r="341" customFormat="false" ht="15" hidden="false" customHeight="false" outlineLevel="0" collapsed="false">
      <c r="A341" s="5" t="n">
        <v>21</v>
      </c>
      <c r="B341" s="25" t="n">
        <f aca="false">IF(T340&gt;0,B340,D340)</f>
        <v>0.0685896873474121</v>
      </c>
      <c r="C341" s="25" t="n">
        <f aca="false">IF(T340&gt;0,D340,C340)</f>
        <v>0.0685911178588867</v>
      </c>
      <c r="D341" s="41" t="n">
        <f aca="false">(B341+C341)/2</f>
        <v>0.0685904026031494</v>
      </c>
      <c r="E341" s="15" t="n">
        <f aca="false">$C$2*(1+IF(E$3&lt;=$O$2,$D341,$D341-($D341-$I$319)*MIN(E$3-$O$2,$Q$2)/$Q$2))</f>
        <v>6881.72219276428</v>
      </c>
      <c r="F341" s="15" t="n">
        <f aca="false">E341*(1+IF(F$3&lt;=$O$2,$D341,$D341-($D341-$I$319)*MIN(F$3-$O$2,$Q$2)/$Q$2))</f>
        <v>7353.74228856901</v>
      </c>
      <c r="G341" s="15" t="n">
        <f aca="false">F341*(1+IF(G$3&lt;=$O$2,$D341,$D341-($D341-$I$319)*MIN(G$3-$O$2,$Q$2)/$Q$2))</f>
        <v>7858.13843278177</v>
      </c>
      <c r="H341" s="15" t="n">
        <f aca="false">G341*(1+IF(H$3&lt;=$O$2,$D341,$D341-($D341-$I$319)*MIN(H$3-$O$2,$Q$2)/$Q$2))</f>
        <v>8397.13131159755</v>
      </c>
      <c r="I341" s="15" t="n">
        <f aca="false">H341*(1+IF(I$3&lt;=$O$2,$D341,$D341-($D341-$I$319)*MIN(I$3-$O$2,$Q$2)/$Q$2))</f>
        <v>8973.09392897154</v>
      </c>
      <c r="J341" s="15" t="n">
        <f aca="false">I341*(1+IF(J$3&lt;=$O$2,$D341,$D341-($D341-$I$319)*MIN(J$3-$O$2,$Q$2)/$Q$2))</f>
        <v>9498.3099528988</v>
      </c>
      <c r="K341" s="15" t="n">
        <f aca="false">J341*(1+IF(K$3&lt;=$O$2,$D341,$D341-($D341-$I$319)*MIN(K$3-$O$2,$Q$2)/$Q$2))</f>
        <v>9958.73332398532</v>
      </c>
      <c r="L341" s="15" t="n">
        <f aca="false">K341*(1+IF(L$3&lt;=$O$2,$D341,$D341-($D341-$I$319)*MIN(L$3-$O$2,$Q$2)/$Q$2))</f>
        <v>10341.3096271265</v>
      </c>
      <c r="M341" s="15" t="n">
        <f aca="false">L341*(1+IF(M$3&lt;=$O$2,$D341,$D341-($D341-$I$319)*MIN(M$3-$O$2,$Q$2)/$Q$2))</f>
        <v>10634.5693182213</v>
      </c>
      <c r="N341" s="15" t="n">
        <f aca="false">M341*(1+IF(N$3&lt;=$O$2,$D341,$D341-($D341-$I$319)*MIN(N$3-$O$2,$Q$2)/$Q$2))</f>
        <v>10829.1819367448</v>
      </c>
      <c r="O341" s="15" t="n">
        <f aca="false">SUMPRODUCT(E341:N341,1/(1+$F$319)^$E$3:$N$3)*$E$2</f>
        <v>10972.2334045224</v>
      </c>
      <c r="P341" s="15" t="n">
        <f aca="false">N341*$E$2*(1+$I$319)/($F$319-$I$319)/(1+$F$319)^$N$3</f>
        <v>11617.7117583795</v>
      </c>
      <c r="Q341" s="15" t="n">
        <f aca="false">O341+P341</f>
        <v>22589.9451629019</v>
      </c>
      <c r="R341" s="15" t="n">
        <f aca="false">Q341-$G$2+$I$2</f>
        <v>17290.0451629019</v>
      </c>
      <c r="S341" s="42" t="n">
        <f aca="false">R341/$K$2</f>
        <v>147.174371492185</v>
      </c>
      <c r="T341" s="43" t="n">
        <f aca="false">S341-$M$2</f>
        <v>0.000384430557801352</v>
      </c>
    </row>
    <row r="342" customFormat="false" ht="15" hidden="false" customHeight="false" outlineLevel="0" collapsed="false">
      <c r="A342" s="5" t="n">
        <v>22</v>
      </c>
      <c r="B342" s="25" t="n">
        <f aca="false">IF(T341&gt;0,B341,D341)</f>
        <v>0.0685896873474121</v>
      </c>
      <c r="C342" s="25" t="n">
        <f aca="false">IF(T341&gt;0,D341,C341)</f>
        <v>0.0685904026031494</v>
      </c>
      <c r="D342" s="41" t="n">
        <f aca="false">(B342+C342)/2</f>
        <v>0.0685900449752808</v>
      </c>
      <c r="E342" s="15" t="n">
        <f aca="false">$C$2*(1+IF(E$3&lt;=$O$2,$D342,$D342-($D342-$I$319)*MIN(E$3-$O$2,$Q$2)/$Q$2))</f>
        <v>6881.71988964081</v>
      </c>
      <c r="F342" s="15" t="n">
        <f aca="false">E342*(1+IF(F$3&lt;=$O$2,$D342,$D342-($D342-$I$319)*MIN(F$3-$O$2,$Q$2)/$Q$2))</f>
        <v>7353.73736637856</v>
      </c>
      <c r="G342" s="15" t="n">
        <f aca="false">F342*(1+IF(G$3&lt;=$O$2,$D342,$D342-($D342-$I$319)*MIN(G$3-$O$2,$Q$2)/$Q$2))</f>
        <v>7858.13054307486</v>
      </c>
      <c r="H342" s="15" t="n">
        <f aca="false">G342*(1+IF(H$3&lt;=$O$2,$D342,$D342-($D342-$I$319)*MIN(H$3-$O$2,$Q$2)/$Q$2))</f>
        <v>8397.120070446</v>
      </c>
      <c r="I342" s="15" t="n">
        <f aca="false">H342*(1+IF(I$3&lt;=$O$2,$D342,$D342-($D342-$I$319)*MIN(I$3-$O$2,$Q$2)/$Q$2))</f>
        <v>8973.07891374072</v>
      </c>
      <c r="J342" s="15" t="n">
        <f aca="false">I342*(1+IF(J$3&lt;=$O$2,$D342,$D342-($D342-$I$319)*MIN(J$3-$O$2,$Q$2)/$Q$2))</f>
        <v>9498.29149157319</v>
      </c>
      <c r="K342" s="15" t="n">
        <f aca="false">J342*(1+IF(K$3&lt;=$O$2,$D342,$D342-($D342-$I$319)*MIN(K$3-$O$2,$Q$2)/$Q$2))</f>
        <v>9958.7119296487</v>
      </c>
      <c r="L342" s="15" t="n">
        <f aca="false">K342*(1+IF(L$3&lt;=$O$2,$D342,$D342-($D342-$I$319)*MIN(L$3-$O$2,$Q$2)/$Q$2))</f>
        <v>10341.2859862964</v>
      </c>
      <c r="M342" s="15" t="n">
        <f aca="false">L342*(1+IF(M$3&lt;=$O$2,$D342,$D342-($D342-$I$319)*MIN(M$3-$O$2,$Q$2)/$Q$2))</f>
        <v>10634.5442673163</v>
      </c>
      <c r="N342" s="15" t="n">
        <f aca="false">M342*(1+IF(N$3&lt;=$O$2,$D342,$D342-($D342-$I$319)*MIN(N$3-$O$2,$Q$2)/$Q$2))</f>
        <v>10829.1564274082</v>
      </c>
      <c r="O342" s="15" t="n">
        <f aca="false">SUMPRODUCT(E342:N342,1/(1+$F$319)^$E$3:$N$3)*$E$2</f>
        <v>10972.2165022104</v>
      </c>
      <c r="P342" s="15" t="n">
        <f aca="false">N342*$E$2*(1+$I$319)/($F$319-$I$319)/(1+$F$319)^$N$3</f>
        <v>11617.6843915737</v>
      </c>
      <c r="Q342" s="15" t="n">
        <f aca="false">O342+P342</f>
        <v>22589.900893784</v>
      </c>
      <c r="R342" s="15" t="n">
        <f aca="false">Q342-$G$2+$I$2</f>
        <v>17290.000893784</v>
      </c>
      <c r="S342" s="42" t="n">
        <f aca="false">R342/$K$2</f>
        <v>147.173994669595</v>
      </c>
      <c r="T342" s="43" t="n">
        <f aca="false">S342-$M$2</f>
        <v>7.60796737608871E-006</v>
      </c>
    </row>
    <row r="343" customFormat="false" ht="15" hidden="false" customHeight="false" outlineLevel="0" collapsed="false">
      <c r="A343" s="5" t="n">
        <v>23</v>
      </c>
      <c r="B343" s="25" t="n">
        <f aca="false">IF(T342&gt;0,B342,D342)</f>
        <v>0.0685896873474121</v>
      </c>
      <c r="C343" s="25" t="n">
        <f aca="false">IF(T342&gt;0,D342,C342)</f>
        <v>0.0685900449752808</v>
      </c>
      <c r="D343" s="41" t="n">
        <f aca="false">(B343+C343)/2</f>
        <v>0.0685898661613464</v>
      </c>
      <c r="E343" s="15" t="n">
        <f aca="false">$C$2*(1+IF(E$3&lt;=$O$2,$D343,$D343-($D343-$I$319)*MIN(E$3-$O$2,$Q$2)/$Q$2))</f>
        <v>6881.71873807907</v>
      </c>
      <c r="F343" s="15" t="n">
        <f aca="false">E343*(1+IF(F$3&lt;=$O$2,$D343,$D343-($D343-$I$319)*MIN(F$3-$O$2,$Q$2)/$Q$2))</f>
        <v>7353.73490528394</v>
      </c>
      <c r="G343" s="15" t="n">
        <f aca="false">F343*(1+IF(G$3&lt;=$O$2,$D343,$D343-($D343-$I$319)*MIN(G$3-$O$2,$Q$2)/$Q$2))</f>
        <v>7858.12659822339</v>
      </c>
      <c r="H343" s="15" t="n">
        <f aca="false">G343*(1+IF(H$3&lt;=$O$2,$D343,$D343-($D343-$I$319)*MIN(H$3-$O$2,$Q$2)/$Q$2))</f>
        <v>8397.11444987445</v>
      </c>
      <c r="I343" s="15" t="n">
        <f aca="false">H343*(1+IF(I$3&lt;=$O$2,$D343,$D343-($D343-$I$319)*MIN(I$3-$O$2,$Q$2)/$Q$2))</f>
        <v>8973.07140613285</v>
      </c>
      <c r="J343" s="15" t="n">
        <f aca="false">I343*(1+IF(J$3&lt;=$O$2,$D343,$D343-($D343-$I$319)*MIN(J$3-$O$2,$Q$2)/$Q$2))</f>
        <v>9498.28226092158</v>
      </c>
      <c r="K343" s="15" t="n">
        <f aca="false">J343*(1+IF(K$3&lt;=$O$2,$D343,$D343-($D343-$I$319)*MIN(K$3-$O$2,$Q$2)/$Q$2))</f>
        <v>9958.70123249511</v>
      </c>
      <c r="L343" s="15" t="n">
        <f aca="false">K343*(1+IF(L$3&lt;=$O$2,$D343,$D343-($D343-$I$319)*MIN(L$3-$O$2,$Q$2)/$Q$2))</f>
        <v>10341.274165899</v>
      </c>
      <c r="M343" s="15" t="n">
        <f aca="false">L343*(1+IF(M$3&lt;=$O$2,$D343,$D343-($D343-$I$319)*MIN(M$3-$O$2,$Q$2)/$Q$2))</f>
        <v>10634.5317418831</v>
      </c>
      <c r="N343" s="15" t="n">
        <f aca="false">M343*(1+IF(N$3&lt;=$O$2,$D343,$D343-($D343-$I$319)*MIN(N$3-$O$2,$Q$2)/$Q$2))</f>
        <v>10829.1436727596</v>
      </c>
      <c r="O343" s="15" t="n">
        <f aca="false">SUMPRODUCT(E343:N343,1/(1+$F$319)^$E$3:$N$3)*$E$2</f>
        <v>10972.2080510642</v>
      </c>
      <c r="P343" s="15" t="n">
        <f aca="false">N343*$E$2*(1+$I$319)/($F$319-$I$319)/(1+$F$319)^$N$3</f>
        <v>11617.6707081918</v>
      </c>
      <c r="Q343" s="15" t="n">
        <f aca="false">O343+P343</f>
        <v>22589.878759256</v>
      </c>
      <c r="R343" s="15" t="n">
        <f aca="false">Q343-$G$2+$I$2</f>
        <v>17289.978759256</v>
      </c>
      <c r="S343" s="42" t="n">
        <f aca="false">R343/$K$2</f>
        <v>147.173806258563</v>
      </c>
      <c r="T343" s="43" t="n">
        <f aca="false">S343-$M$2</f>
        <v>-0.000180803064409929</v>
      </c>
    </row>
    <row r="344" customFormat="false" ht="15" hidden="false" customHeight="false" outlineLevel="0" collapsed="false">
      <c r="A344" s="5" t="n">
        <v>24</v>
      </c>
      <c r="B344" s="25" t="n">
        <f aca="false">IF(T343&gt;0,B343,D343)</f>
        <v>0.0685898661613464</v>
      </c>
      <c r="C344" s="25" t="n">
        <f aca="false">IF(T343&gt;0,D343,C343)</f>
        <v>0.0685900449752808</v>
      </c>
      <c r="D344" s="41" t="n">
        <f aca="false">(B344+C344)/2</f>
        <v>0.0685899555683136</v>
      </c>
      <c r="E344" s="15" t="n">
        <f aca="false">$C$2*(1+IF(E$3&lt;=$O$2,$D344,$D344-($D344-$I$319)*MIN(E$3-$O$2,$Q$2)/$Q$2))</f>
        <v>6881.71931385994</v>
      </c>
      <c r="F344" s="15" t="n">
        <f aca="false">E344*(1+IF(F$3&lt;=$O$2,$D344,$D344-($D344-$I$319)*MIN(F$3-$O$2,$Q$2)/$Q$2))</f>
        <v>7353.7361358312</v>
      </c>
      <c r="G344" s="15" t="n">
        <f aca="false">F344*(1+IF(G$3&lt;=$O$2,$D344,$D344-($D344-$I$319)*MIN(G$3-$O$2,$Q$2)/$Q$2))</f>
        <v>7858.12857064896</v>
      </c>
      <c r="H344" s="15" t="n">
        <f aca="false">G344*(1+IF(H$3&lt;=$O$2,$D344,$D344-($D344-$I$319)*MIN(H$3-$O$2,$Q$2)/$Q$2))</f>
        <v>8397.11726015987</v>
      </c>
      <c r="I344" s="15" t="n">
        <f aca="false">H344*(1+IF(I$3&lt;=$O$2,$D344,$D344-($D344-$I$319)*MIN(I$3-$O$2,$Q$2)/$Q$2))</f>
        <v>8973.07515993616</v>
      </c>
      <c r="J344" s="15" t="n">
        <f aca="false">I344*(1+IF(J$3&lt;=$O$2,$D344,$D344-($D344-$I$319)*MIN(J$3-$O$2,$Q$2)/$Q$2))</f>
        <v>9498.28687624645</v>
      </c>
      <c r="K344" s="15" t="n">
        <f aca="false">J344*(1+IF(K$3&lt;=$O$2,$D344,$D344-($D344-$I$319)*MIN(K$3-$O$2,$Q$2)/$Q$2))</f>
        <v>9958.70658107068</v>
      </c>
      <c r="L344" s="15" t="n">
        <f aca="false">K344*(1+IF(L$3&lt;=$O$2,$D344,$D344-($D344-$I$319)*MIN(L$3-$O$2,$Q$2)/$Q$2))</f>
        <v>10341.2800760962</v>
      </c>
      <c r="M344" s="15" t="n">
        <f aca="false">L344*(1+IF(M$3&lt;=$O$2,$D344,$D344-($D344-$I$319)*MIN(M$3-$O$2,$Q$2)/$Q$2))</f>
        <v>10634.5380045981</v>
      </c>
      <c r="N344" s="15" t="n">
        <f aca="false">M344*(1+IF(N$3&lt;=$O$2,$D344,$D344-($D344-$I$319)*MIN(N$3-$O$2,$Q$2)/$Q$2))</f>
        <v>10829.1500500822</v>
      </c>
      <c r="O344" s="15" t="n">
        <f aca="false">SUMPRODUCT(E344:N344,1/(1+$F$319)^$E$3:$N$3)*$E$2</f>
        <v>10972.2122766364</v>
      </c>
      <c r="P344" s="15" t="n">
        <f aca="false">N344*$E$2*(1+$I$319)/($F$319-$I$319)/(1+$F$319)^$N$3</f>
        <v>11617.677549881</v>
      </c>
      <c r="Q344" s="15" t="n">
        <f aca="false">O344+P344</f>
        <v>22589.8898265174</v>
      </c>
      <c r="R344" s="15" t="n">
        <f aca="false">Q344-$G$2+$I$2</f>
        <v>17289.9898265174</v>
      </c>
      <c r="S344" s="42" t="n">
        <f aca="false">R344/$K$2</f>
        <v>147.173900464057</v>
      </c>
      <c r="T344" s="43" t="n">
        <f aca="false">S344-$M$2</f>
        <v>-8.65975704584798E-005</v>
      </c>
    </row>
    <row r="346" customFormat="false" ht="15" hidden="false" customHeight="false" outlineLevel="0" collapsed="false">
      <c r="A346" s="38" t="s">
        <v>192</v>
      </c>
      <c r="E346" s="5" t="s">
        <v>11</v>
      </c>
      <c r="F346" s="12" t="n">
        <f aca="false">Sensitivity!$B$12</f>
        <v>0.0949886567315273</v>
      </c>
      <c r="G346" s="5" t="s">
        <v>12</v>
      </c>
      <c r="I346" s="12" t="n">
        <f aca="false">Sensitivity!$D$9</f>
        <v>0.0233</v>
      </c>
    </row>
    <row r="347" customFormat="false" ht="23.85" hidden="false" customHeight="false" outlineLevel="0" collapsed="false">
      <c r="A347" s="38" t="s">
        <v>161</v>
      </c>
      <c r="B347" s="28" t="s">
        <v>162</v>
      </c>
      <c r="C347" s="28" t="s">
        <v>163</v>
      </c>
      <c r="D347" s="28" t="s">
        <v>164</v>
      </c>
      <c r="E347" s="28" t="s">
        <v>165</v>
      </c>
      <c r="F347" s="28" t="s">
        <v>166</v>
      </c>
      <c r="G347" s="28" t="s">
        <v>167</v>
      </c>
      <c r="H347" s="28" t="s">
        <v>168</v>
      </c>
      <c r="I347" s="28" t="s">
        <v>169</v>
      </c>
      <c r="J347" s="28" t="s">
        <v>170</v>
      </c>
      <c r="K347" s="28" t="s">
        <v>171</v>
      </c>
      <c r="L347" s="28" t="s">
        <v>172</v>
      </c>
      <c r="M347" s="28" t="s">
        <v>173</v>
      </c>
      <c r="N347" s="28" t="s">
        <v>174</v>
      </c>
      <c r="O347" s="28" t="s">
        <v>175</v>
      </c>
      <c r="P347" s="28" t="s">
        <v>176</v>
      </c>
      <c r="Q347" s="28" t="s">
        <v>177</v>
      </c>
      <c r="R347" s="28" t="s">
        <v>178</v>
      </c>
      <c r="S347" s="28" t="s">
        <v>179</v>
      </c>
      <c r="T347" s="28" t="s">
        <v>180</v>
      </c>
    </row>
    <row r="348" customFormat="false" ht="15" hidden="false" customHeight="false" outlineLevel="0" collapsed="false">
      <c r="A348" s="5" t="n">
        <v>1</v>
      </c>
      <c r="B348" s="24" t="n">
        <v>-0.5</v>
      </c>
      <c r="C348" s="24" t="n">
        <v>1</v>
      </c>
      <c r="D348" s="41" t="n">
        <f aca="false">(B348+C348)/2</f>
        <v>0.25</v>
      </c>
      <c r="E348" s="15" t="n">
        <f aca="false">$C$2*(1+IF(E$3&lt;=$O$2,$D348,$D348-($D348-$I$346)*MIN(E$3-$O$2,$Q$2)/$Q$2))</f>
        <v>8050</v>
      </c>
      <c r="F348" s="15" t="n">
        <f aca="false">E348*(1+IF(F$3&lt;=$O$2,$D348,$D348-($D348-$I$346)*MIN(F$3-$O$2,$Q$2)/$Q$2))</f>
        <v>10062.5</v>
      </c>
      <c r="G348" s="15" t="n">
        <f aca="false">F348*(1+IF(G$3&lt;=$O$2,$D348,$D348-($D348-$I$346)*MIN(G$3-$O$2,$Q$2)/$Q$2))</f>
        <v>12578.125</v>
      </c>
      <c r="H348" s="15" t="n">
        <f aca="false">G348*(1+IF(H$3&lt;=$O$2,$D348,$D348-($D348-$I$346)*MIN(H$3-$O$2,$Q$2)/$Q$2))</f>
        <v>15722.65625</v>
      </c>
      <c r="I348" s="15" t="n">
        <f aca="false">H348*(1+IF(I$3&lt;=$O$2,$D348,$D348-($D348-$I$346)*MIN(I$3-$O$2,$Q$2)/$Q$2))</f>
        <v>19653.3203125</v>
      </c>
      <c r="J348" s="15" t="n">
        <f aca="false">I348*(1+IF(J$3&lt;=$O$2,$D348,$D348-($D348-$I$346)*MIN(J$3-$O$2,$Q$2)/$Q$2))</f>
        <v>23675.5688476563</v>
      </c>
      <c r="K348" s="15" t="n">
        <f aca="false">J348*(1+IF(K$3&lt;=$O$2,$D348,$D348-($D348-$I$346)*MIN(K$3-$O$2,$Q$2)/$Q$2))</f>
        <v>27447.5604764648</v>
      </c>
      <c r="L348" s="15" t="n">
        <f aca="false">K348*(1+IF(L$3&lt;=$O$2,$D348,$D348-($D348-$I$346)*MIN(L$3-$O$2,$Q$2)/$Q$2))</f>
        <v>30576.0334195723</v>
      </c>
      <c r="M348" s="15" t="n">
        <f aca="false">L348*(1+IF(M$3&lt;=$O$2,$D348,$D348-($D348-$I$346)*MIN(M$3-$O$2,$Q$2)/$Q$2))</f>
        <v>32674.7723534918</v>
      </c>
      <c r="N348" s="15" t="n">
        <f aca="false">M348*(1+IF(N$3&lt;=$O$2,$D348,$D348-($D348-$I$346)*MIN(N$3-$O$2,$Q$2)/$Q$2))</f>
        <v>33436.0945493281</v>
      </c>
      <c r="O348" s="15" t="n">
        <f aca="false">SUMPRODUCT(E348:N348,1/(1+$F$346)^$E$3:$N$3)*$E$2</f>
        <v>23974.7822175535</v>
      </c>
      <c r="P348" s="15" t="n">
        <f aca="false">N348*$E$2*(1+$I$346)/($F$346-$I$346)/(1+$F$346)^$N$3</f>
        <v>38561.010836155</v>
      </c>
      <c r="Q348" s="15" t="n">
        <f aca="false">O348+P348</f>
        <v>62535.7930537085</v>
      </c>
      <c r="R348" s="15" t="n">
        <f aca="false">Q348-$G$2+$I$2</f>
        <v>57235.8930537085</v>
      </c>
      <c r="S348" s="42" t="n">
        <f aca="false">R348/$K$2</f>
        <v>487.196910569531</v>
      </c>
      <c r="T348" s="43" t="n">
        <f aca="false">S348-$M$2</f>
        <v>340.022923507903</v>
      </c>
    </row>
    <row r="349" customFormat="false" ht="15" hidden="false" customHeight="false" outlineLevel="0" collapsed="false">
      <c r="A349" s="5" t="n">
        <v>2</v>
      </c>
      <c r="B349" s="25" t="n">
        <f aca="false">IF(T348&gt;0,B348,D348)</f>
        <v>-0.5</v>
      </c>
      <c r="C349" s="25" t="n">
        <f aca="false">IF(T348&gt;0,D348,C348)</f>
        <v>0.25</v>
      </c>
      <c r="D349" s="41" t="n">
        <f aca="false">(B349+C349)/2</f>
        <v>-0.125</v>
      </c>
      <c r="E349" s="15" t="n">
        <f aca="false">$C$2*(1+IF(E$3&lt;=$O$2,$D349,$D349-($D349-$I$346)*MIN(E$3-$O$2,$Q$2)/$Q$2))</f>
        <v>5635</v>
      </c>
      <c r="F349" s="15" t="n">
        <f aca="false">E349*(1+IF(F$3&lt;=$O$2,$D349,$D349-($D349-$I$346)*MIN(F$3-$O$2,$Q$2)/$Q$2))</f>
        <v>4930.625</v>
      </c>
      <c r="G349" s="15" t="n">
        <f aca="false">F349*(1+IF(G$3&lt;=$O$2,$D349,$D349-($D349-$I$346)*MIN(G$3-$O$2,$Q$2)/$Q$2))</f>
        <v>4314.296875</v>
      </c>
      <c r="H349" s="15" t="n">
        <f aca="false">G349*(1+IF(H$3&lt;=$O$2,$D349,$D349-($D349-$I$346)*MIN(H$3-$O$2,$Q$2)/$Q$2))</f>
        <v>3775.009765625</v>
      </c>
      <c r="I349" s="15" t="n">
        <f aca="false">H349*(1+IF(I$3&lt;=$O$2,$D349,$D349-($D349-$I$346)*MIN(I$3-$O$2,$Q$2)/$Q$2))</f>
        <v>3303.13354492188</v>
      </c>
      <c r="J349" s="15" t="n">
        <f aca="false">I349*(1+IF(J$3&lt;=$O$2,$D349,$D349-($D349-$I$346)*MIN(J$3-$O$2,$Q$2)/$Q$2))</f>
        <v>2988.21279274902</v>
      </c>
      <c r="K349" s="15" t="n">
        <f aca="false">J349*(1+IF(K$3&lt;=$O$2,$D349,$D349-($D349-$I$346)*MIN(K$3-$O$2,$Q$2)/$Q$2))</f>
        <v>2791.94697652127</v>
      </c>
      <c r="L349" s="15" t="n">
        <f aca="false">K349*(1+IF(L$3&lt;=$O$2,$D349,$D349-($D349-$I$346)*MIN(L$3-$O$2,$Q$2)/$Q$2))</f>
        <v>2691.38104642697</v>
      </c>
      <c r="M349" s="15" t="n">
        <f aca="false">L349*(1+IF(M$3&lt;=$O$2,$D349,$D349-($D349-$I$346)*MIN(M$3-$O$2,$Q$2)/$Q$2))</f>
        <v>2674.2638629717</v>
      </c>
      <c r="N349" s="15" t="n">
        <f aca="false">M349*(1+IF(N$3&lt;=$O$2,$D349,$D349-($D349-$I$346)*MIN(N$3-$O$2,$Q$2)/$Q$2))</f>
        <v>2736.57421097894</v>
      </c>
      <c r="O349" s="15" t="n">
        <f aca="false">SUMPRODUCT(E349:N349,1/(1+$F$346)^$E$3:$N$3)*$E$2</f>
        <v>4818.95810578523</v>
      </c>
      <c r="P349" s="15" t="n">
        <f aca="false">N349*$E$2*(1+$I$346)/($F$346-$I$346)/(1+$F$346)^$N$3</f>
        <v>3156.02253270999</v>
      </c>
      <c r="Q349" s="15" t="n">
        <f aca="false">O349+P349</f>
        <v>7974.98063849522</v>
      </c>
      <c r="R349" s="15" t="n">
        <f aca="false">Q349-$G$2+$I$2</f>
        <v>2675.08063849522</v>
      </c>
      <c r="S349" s="42" t="n">
        <f aca="false">R349/$K$2</f>
        <v>22.7705195649917</v>
      </c>
      <c r="T349" s="43" t="n">
        <f aca="false">S349-$M$2</f>
        <v>-124.403467496636</v>
      </c>
    </row>
    <row r="350" customFormat="false" ht="15" hidden="false" customHeight="false" outlineLevel="0" collapsed="false">
      <c r="A350" s="5" t="n">
        <v>3</v>
      </c>
      <c r="B350" s="25" t="n">
        <f aca="false">IF(T349&gt;0,B349,D349)</f>
        <v>-0.125</v>
      </c>
      <c r="C350" s="25" t="n">
        <f aca="false">IF(T349&gt;0,D349,C349)</f>
        <v>0.25</v>
      </c>
      <c r="D350" s="41" t="n">
        <f aca="false">(B350+C350)/2</f>
        <v>0.0625</v>
      </c>
      <c r="E350" s="15" t="n">
        <f aca="false">$C$2*(1+IF(E$3&lt;=$O$2,$D350,$D350-($D350-$I$346)*MIN(E$3-$O$2,$Q$2)/$Q$2))</f>
        <v>6842.5</v>
      </c>
      <c r="F350" s="15" t="n">
        <f aca="false">E350*(1+IF(F$3&lt;=$O$2,$D350,$D350-($D350-$I$346)*MIN(F$3-$O$2,$Q$2)/$Q$2))</f>
        <v>7270.15625</v>
      </c>
      <c r="G350" s="15" t="n">
        <f aca="false">F350*(1+IF(G$3&lt;=$O$2,$D350,$D350-($D350-$I$346)*MIN(G$3-$O$2,$Q$2)/$Q$2))</f>
        <v>7724.541015625</v>
      </c>
      <c r="H350" s="15" t="n">
        <f aca="false">G350*(1+IF(H$3&lt;=$O$2,$D350,$D350-($D350-$I$346)*MIN(H$3-$O$2,$Q$2)/$Q$2))</f>
        <v>8207.32482910156</v>
      </c>
      <c r="I350" s="15" t="n">
        <f aca="false">H350*(1+IF(I$3&lt;=$O$2,$D350,$D350-($D350-$I$346)*MIN(I$3-$O$2,$Q$2)/$Q$2))</f>
        <v>8720.28263092041</v>
      </c>
      <c r="J350" s="15" t="n">
        <f aca="false">I350*(1+IF(J$3&lt;=$O$2,$D350,$D350-($D350-$I$346)*MIN(J$3-$O$2,$Q$2)/$Q$2))</f>
        <v>9196.93327952652</v>
      </c>
      <c r="K350" s="15" t="n">
        <f aca="false">J350*(1+IF(K$3&lt;=$O$2,$D350,$D350-($D350-$I$346)*MIN(K$3-$O$2,$Q$2)/$Q$2))</f>
        <v>9627.53369567395</v>
      </c>
      <c r="L350" s="15" t="n">
        <f aca="false">K350*(1+IF(L$3&lt;=$O$2,$D350,$D350-($D350-$I$346)*MIN(L$3-$O$2,$Q$2)/$Q$2))</f>
        <v>10002.8149591313</v>
      </c>
      <c r="M350" s="15" t="n">
        <f aca="false">L350*(1+IF(M$3&lt;=$O$2,$D350,$D350-($D350-$I$346)*MIN(M$3-$O$2,$Q$2)/$Q$2))</f>
        <v>10314.3026169587</v>
      </c>
      <c r="N350" s="15" t="n">
        <f aca="false">M350*(1+IF(N$3&lt;=$O$2,$D350,$D350-($D350-$I$346)*MIN(N$3-$O$2,$Q$2)/$Q$2))</f>
        <v>10554.6258679338</v>
      </c>
      <c r="O350" s="15" t="n">
        <f aca="false">SUMPRODUCT(E350:N350,1/(1+$F$346)^$E$3:$N$3)*$E$2</f>
        <v>10718.7026869831</v>
      </c>
      <c r="P350" s="15" t="n">
        <f aca="false">N350*$E$2*(1+$I$346)/($F$346-$I$346)/(1+$F$346)^$N$3</f>
        <v>12172.385798961</v>
      </c>
      <c r="Q350" s="15" t="n">
        <f aca="false">O350+P350</f>
        <v>22891.088485944</v>
      </c>
      <c r="R350" s="15" t="n">
        <f aca="false">Q350-$G$2+$I$2</f>
        <v>17591.188485944</v>
      </c>
      <c r="S350" s="42" t="n">
        <f aca="false">R350/$K$2</f>
        <v>149.737729706708</v>
      </c>
      <c r="T350" s="43" t="n">
        <f aca="false">S350-$M$2</f>
        <v>2.56374264508028</v>
      </c>
    </row>
    <row r="351" customFormat="false" ht="15" hidden="false" customHeight="false" outlineLevel="0" collapsed="false">
      <c r="A351" s="5" t="n">
        <v>4</v>
      </c>
      <c r="B351" s="25" t="n">
        <f aca="false">IF(T350&gt;0,B350,D350)</f>
        <v>-0.125</v>
      </c>
      <c r="C351" s="25" t="n">
        <f aca="false">IF(T350&gt;0,D350,C350)</f>
        <v>0.0625</v>
      </c>
      <c r="D351" s="41" t="n">
        <f aca="false">(B351+C351)/2</f>
        <v>-0.03125</v>
      </c>
      <c r="E351" s="15" t="n">
        <f aca="false">$C$2*(1+IF(E$3&lt;=$O$2,$D351,$D351-($D351-$I$346)*MIN(E$3-$O$2,$Q$2)/$Q$2))</f>
        <v>6238.75</v>
      </c>
      <c r="F351" s="15" t="n">
        <f aca="false">E351*(1+IF(F$3&lt;=$O$2,$D351,$D351-($D351-$I$346)*MIN(F$3-$O$2,$Q$2)/$Q$2))</f>
        <v>6043.7890625</v>
      </c>
      <c r="G351" s="15" t="n">
        <f aca="false">F351*(1+IF(G$3&lt;=$O$2,$D351,$D351-($D351-$I$346)*MIN(G$3-$O$2,$Q$2)/$Q$2))</f>
        <v>5854.92065429688</v>
      </c>
      <c r="H351" s="15" t="n">
        <f aca="false">G351*(1+IF(H$3&lt;=$O$2,$D351,$D351-($D351-$I$346)*MIN(H$3-$O$2,$Q$2)/$Q$2))</f>
        <v>5671.9543838501</v>
      </c>
      <c r="I351" s="15" t="n">
        <f aca="false">H351*(1+IF(I$3&lt;=$O$2,$D351,$D351-($D351-$I$346)*MIN(I$3-$O$2,$Q$2)/$Q$2))</f>
        <v>5494.70580935478</v>
      </c>
      <c r="J351" s="15" t="n">
        <f aca="false">I351*(1+IF(J$3&lt;=$O$2,$D351,$D351-($D351-$I$346)*MIN(J$3-$O$2,$Q$2)/$Q$2))</f>
        <v>5382.94349319251</v>
      </c>
      <c r="K351" s="15" t="n">
        <f aca="false">J351*(1+IF(K$3&lt;=$O$2,$D351,$D351-($D351-$I$346)*MIN(K$3-$O$2,$Q$2)/$Q$2))</f>
        <v>5332.1823360517</v>
      </c>
      <c r="L351" s="15" t="n">
        <f aca="false">K351*(1+IF(L$3&lt;=$O$2,$D351,$D351-($D351-$I$346)*MIN(L$3-$O$2,$Q$2)/$Q$2))</f>
        <v>5340.07396590906</v>
      </c>
      <c r="M351" s="15" t="n">
        <f aca="false">L351*(1+IF(M$3&lt;=$O$2,$D351,$D351-($D351-$I$346)*MIN(M$3-$O$2,$Q$2)/$Q$2))</f>
        <v>5406.23748234667</v>
      </c>
      <c r="N351" s="15" t="n">
        <f aca="false">M351*(1+IF(N$3&lt;=$O$2,$D351,$D351-($D351-$I$346)*MIN(N$3-$O$2,$Q$2)/$Q$2))</f>
        <v>5532.20281568535</v>
      </c>
      <c r="O351" s="15" t="n">
        <f aca="false">SUMPRODUCT(E351:N351,1/(1+$F$346)^$E$3:$N$3)*$E$2</f>
        <v>7164.8095310487</v>
      </c>
      <c r="P351" s="15" t="n">
        <f aca="false">N351*$E$2*(1+$I$346)/($F$346-$I$346)/(1+$F$346)^$N$3</f>
        <v>6380.151019394</v>
      </c>
      <c r="Q351" s="15" t="n">
        <f aca="false">O351+P351</f>
        <v>13544.9605504427</v>
      </c>
      <c r="R351" s="15" t="n">
        <f aca="false">Q351-$G$2+$I$2</f>
        <v>8245.0605504427</v>
      </c>
      <c r="S351" s="42" t="n">
        <f aca="false">R351/$K$2</f>
        <v>70.1826740759508</v>
      </c>
      <c r="T351" s="43" t="n">
        <f aca="false">S351-$M$2</f>
        <v>-76.9913129856767</v>
      </c>
    </row>
    <row r="352" customFormat="false" ht="15" hidden="false" customHeight="false" outlineLevel="0" collapsed="false">
      <c r="A352" s="5" t="n">
        <v>5</v>
      </c>
      <c r="B352" s="25" t="n">
        <f aca="false">IF(T351&gt;0,B351,D351)</f>
        <v>-0.03125</v>
      </c>
      <c r="C352" s="25" t="n">
        <f aca="false">IF(T351&gt;0,D351,C351)</f>
        <v>0.0625</v>
      </c>
      <c r="D352" s="41" t="n">
        <f aca="false">(B352+C352)/2</f>
        <v>0.015625</v>
      </c>
      <c r="E352" s="15" t="n">
        <f aca="false">$C$2*(1+IF(E$3&lt;=$O$2,$D352,$D352-($D352-$I$346)*MIN(E$3-$O$2,$Q$2)/$Q$2))</f>
        <v>6540.625</v>
      </c>
      <c r="F352" s="15" t="n">
        <f aca="false">E352*(1+IF(F$3&lt;=$O$2,$D352,$D352-($D352-$I$346)*MIN(F$3-$O$2,$Q$2)/$Q$2))</f>
        <v>6642.822265625</v>
      </c>
      <c r="G352" s="15" t="n">
        <f aca="false">F352*(1+IF(G$3&lt;=$O$2,$D352,$D352-($D352-$I$346)*MIN(G$3-$O$2,$Q$2)/$Q$2))</f>
        <v>6746.61636352539</v>
      </c>
      <c r="H352" s="15" t="n">
        <f aca="false">G352*(1+IF(H$3&lt;=$O$2,$D352,$D352-($D352-$I$346)*MIN(H$3-$O$2,$Q$2)/$Q$2))</f>
        <v>6852.03224420548</v>
      </c>
      <c r="I352" s="15" t="n">
        <f aca="false">H352*(1+IF(I$3&lt;=$O$2,$D352,$D352-($D352-$I$346)*MIN(I$3-$O$2,$Q$2)/$Q$2))</f>
        <v>6959.09524802119</v>
      </c>
      <c r="J352" s="15" t="n">
        <f aca="false">I352*(1+IF(J$3&lt;=$O$2,$D352,$D352-($D352-$I$346)*MIN(J$3-$O$2,$Q$2)/$Q$2))</f>
        <v>7078.51332247723</v>
      </c>
      <c r="K352" s="15" t="n">
        <f aca="false">J352*(1+IF(K$3&lt;=$O$2,$D352,$D352-($D352-$I$346)*MIN(K$3-$O$2,$Q$2)/$Q$2))</f>
        <v>7210.84612904094</v>
      </c>
      <c r="L352" s="15" t="n">
        <f aca="false">K352*(1+IF(L$3&lt;=$O$2,$D352,$D352-($D352-$I$346)*MIN(L$3-$O$2,$Q$2)/$Q$2))</f>
        <v>7356.72154623144</v>
      </c>
      <c r="M352" s="15" t="n">
        <f aca="false">L352*(1+IF(M$3&lt;=$O$2,$D352,$D352-($D352-$I$346)*MIN(M$3-$O$2,$Q$2)/$Q$2))</f>
        <v>7516.84059068517</v>
      </c>
      <c r="N352" s="15" t="n">
        <f aca="false">M352*(1+IF(N$3&lt;=$O$2,$D352,$D352-($D352-$I$346)*MIN(N$3-$O$2,$Q$2)/$Q$2))</f>
        <v>7691.98297644813</v>
      </c>
      <c r="O352" s="15" t="n">
        <f aca="false">SUMPRODUCT(E352:N352,1/(1+$F$346)^$E$3:$N$3)*$E$2</f>
        <v>8759.38784926367</v>
      </c>
      <c r="P352" s="15" t="n">
        <f aca="false">N352*$E$2*(1+$I$346)/($F$346-$I$346)/(1+$F$346)^$N$3</f>
        <v>8870.97141290673</v>
      </c>
      <c r="Q352" s="15" t="n">
        <f aca="false">O352+P352</f>
        <v>17630.3592621704</v>
      </c>
      <c r="R352" s="15" t="n">
        <f aca="false">Q352-$G$2+$I$2</f>
        <v>12330.4592621704</v>
      </c>
      <c r="S352" s="42" t="n">
        <f aca="false">R352/$K$2</f>
        <v>104.957944008941</v>
      </c>
      <c r="T352" s="43" t="n">
        <f aca="false">S352-$M$2</f>
        <v>-42.2160430526864</v>
      </c>
    </row>
    <row r="353" customFormat="false" ht="15" hidden="false" customHeight="false" outlineLevel="0" collapsed="false">
      <c r="A353" s="5" t="n">
        <v>6</v>
      </c>
      <c r="B353" s="25" t="n">
        <f aca="false">IF(T352&gt;0,B352,D352)</f>
        <v>0.015625</v>
      </c>
      <c r="C353" s="25" t="n">
        <f aca="false">IF(T352&gt;0,D352,C352)</f>
        <v>0.0625</v>
      </c>
      <c r="D353" s="41" t="n">
        <f aca="false">(B353+C353)/2</f>
        <v>0.0390625</v>
      </c>
      <c r="E353" s="15" t="n">
        <f aca="false">$C$2*(1+IF(E$3&lt;=$O$2,$D353,$D353-($D353-$I$346)*MIN(E$3-$O$2,$Q$2)/$Q$2))</f>
        <v>6691.5625</v>
      </c>
      <c r="F353" s="15" t="n">
        <f aca="false">E353*(1+IF(F$3&lt;=$O$2,$D353,$D353-($D353-$I$346)*MIN(F$3-$O$2,$Q$2)/$Q$2))</f>
        <v>6952.95166015625</v>
      </c>
      <c r="G353" s="15" t="n">
        <f aca="false">F353*(1+IF(G$3&lt;=$O$2,$D353,$D353-($D353-$I$346)*MIN(G$3-$O$2,$Q$2)/$Q$2))</f>
        <v>7224.5513343811</v>
      </c>
      <c r="H353" s="15" t="n">
        <f aca="false">G353*(1+IF(H$3&lt;=$O$2,$D353,$D353-($D353-$I$346)*MIN(H$3-$O$2,$Q$2)/$Q$2))</f>
        <v>7506.76037088037</v>
      </c>
      <c r="I353" s="15" t="n">
        <f aca="false">H353*(1+IF(I$3&lt;=$O$2,$D353,$D353-($D353-$I$346)*MIN(I$3-$O$2,$Q$2)/$Q$2))</f>
        <v>7799.99319786788</v>
      </c>
      <c r="J353" s="15" t="n">
        <f aca="false">I353*(1+IF(J$3&lt;=$O$2,$D353,$D353-($D353-$I$346)*MIN(J$3-$O$2,$Q$2)/$Q$2))</f>
        <v>8080.09095360331</v>
      </c>
      <c r="K353" s="15" t="n">
        <f aca="false">J353*(1+IF(K$3&lt;=$O$2,$D353,$D353-($D353-$I$346)*MIN(K$3-$O$2,$Q$2)/$Q$2))</f>
        <v>8344.77453301597</v>
      </c>
      <c r="L353" s="15" t="n">
        <f aca="false">K353*(1+IF(L$3&lt;=$O$2,$D353,$D353-($D353-$I$346)*MIN(L$3-$O$2,$Q$2)/$Q$2))</f>
        <v>8591.82158306591</v>
      </c>
      <c r="M353" s="15" t="n">
        <f aca="false">L353*(1+IF(M$3&lt;=$O$2,$D353,$D353-($D353-$I$346)*MIN(M$3-$O$2,$Q$2)/$Q$2))</f>
        <v>8819.09674349196</v>
      </c>
      <c r="N353" s="15" t="n">
        <f aca="false">M353*(1+IF(N$3&lt;=$O$2,$D353,$D353-($D353-$I$346)*MIN(N$3-$O$2,$Q$2)/$Q$2))</f>
        <v>9024.58169761533</v>
      </c>
      <c r="O353" s="15" t="n">
        <f aca="false">SUMPRODUCT(E353:N353,1/(1+$F$346)^$E$3:$N$3)*$E$2</f>
        <v>9688.91433256393</v>
      </c>
      <c r="P353" s="15" t="n">
        <f aca="false">N353*$E$2*(1+$I$346)/($F$346-$I$346)/(1+$F$346)^$N$3</f>
        <v>10407.8241590121</v>
      </c>
      <c r="Q353" s="15" t="n">
        <f aca="false">O353+P353</f>
        <v>20096.7384915761</v>
      </c>
      <c r="R353" s="15" t="n">
        <f aca="false">Q353-$G$2+$I$2</f>
        <v>14796.8384915761</v>
      </c>
      <c r="S353" s="42" t="n">
        <f aca="false">R353/$K$2</f>
        <v>125.95197898856</v>
      </c>
      <c r="T353" s="43" t="n">
        <f aca="false">S353-$M$2</f>
        <v>-21.2220080730672</v>
      </c>
    </row>
    <row r="354" customFormat="false" ht="15" hidden="false" customHeight="false" outlineLevel="0" collapsed="false">
      <c r="A354" s="5" t="n">
        <v>7</v>
      </c>
      <c r="B354" s="25" t="n">
        <f aca="false">IF(T353&gt;0,B353,D353)</f>
        <v>0.0390625</v>
      </c>
      <c r="C354" s="25" t="n">
        <f aca="false">IF(T353&gt;0,D353,C353)</f>
        <v>0.0625</v>
      </c>
      <c r="D354" s="41" t="n">
        <f aca="false">(B354+C354)/2</f>
        <v>0.05078125</v>
      </c>
      <c r="E354" s="15" t="n">
        <f aca="false">$C$2*(1+IF(E$3&lt;=$O$2,$D354,$D354-($D354-$I$346)*MIN(E$3-$O$2,$Q$2)/$Q$2))</f>
        <v>6767.03125</v>
      </c>
      <c r="F354" s="15" t="n">
        <f aca="false">E354*(1+IF(F$3&lt;=$O$2,$D354,$D354-($D354-$I$346)*MIN(F$3-$O$2,$Q$2)/$Q$2))</f>
        <v>7110.66955566406</v>
      </c>
      <c r="G354" s="15" t="n">
        <f aca="false">F354*(1+IF(G$3&lt;=$O$2,$D354,$D354-($D354-$I$346)*MIN(G$3-$O$2,$Q$2)/$Q$2))</f>
        <v>7471.75824403763</v>
      </c>
      <c r="H354" s="15" t="n">
        <f aca="false">G354*(1+IF(H$3&lt;=$O$2,$D354,$D354-($D354-$I$346)*MIN(H$3-$O$2,$Q$2)/$Q$2))</f>
        <v>7851.18346736766</v>
      </c>
      <c r="I354" s="15" t="n">
        <f aca="false">H354*(1+IF(I$3&lt;=$O$2,$D354,$D354-($D354-$I$346)*MIN(I$3-$O$2,$Q$2)/$Q$2))</f>
        <v>8249.87637781993</v>
      </c>
      <c r="J354" s="15" t="n">
        <f aca="false">I354*(1+IF(J$3&lt;=$O$2,$D354,$D354-($D354-$I$346)*MIN(J$3-$O$2,$Q$2)/$Q$2))</f>
        <v>8623.4720295895</v>
      </c>
      <c r="K354" s="15" t="n">
        <f aca="false">J354*(1+IF(K$3&lt;=$O$2,$D354,$D354-($D354-$I$346)*MIN(K$3-$O$2,$Q$2)/$Q$2))</f>
        <v>8966.58920230683</v>
      </c>
      <c r="L354" s="15" t="n">
        <f aca="false">K354*(1+IF(L$3&lt;=$O$2,$D354,$D354-($D354-$I$346)*MIN(L$3-$O$2,$Q$2)/$Q$2))</f>
        <v>9274.07596252694</v>
      </c>
      <c r="M354" s="15" t="n">
        <f aca="false">L354*(1+IF(M$3&lt;=$O$2,$D354,$D354-($D354-$I$346)*MIN(M$3-$O$2,$Q$2)/$Q$2))</f>
        <v>9541.13457246286</v>
      </c>
      <c r="N354" s="15" t="n">
        <f aca="false">M354*(1+IF(N$3&lt;=$O$2,$D354,$D354-($D354-$I$346)*MIN(N$3-$O$2,$Q$2)/$Q$2))</f>
        <v>9763.44300800124</v>
      </c>
      <c r="O354" s="15" t="n">
        <f aca="false">SUMPRODUCT(E354:N354,1/(1+$F$346)^$E$3:$N$3)*$E$2</f>
        <v>10190.6655186716</v>
      </c>
      <c r="P354" s="15" t="n">
        <f aca="false">N354*$E$2*(1+$I$346)/($F$346-$I$346)/(1+$F$346)^$N$3</f>
        <v>11259.9344123246</v>
      </c>
      <c r="Q354" s="15" t="n">
        <f aca="false">O354+P354</f>
        <v>21450.5999309962</v>
      </c>
      <c r="R354" s="15" t="n">
        <f aca="false">Q354-$G$2+$I$2</f>
        <v>16150.6999309962</v>
      </c>
      <c r="S354" s="42" t="n">
        <f aca="false">R354/$K$2</f>
        <v>137.476165568575</v>
      </c>
      <c r="T354" s="43" t="n">
        <f aca="false">S354-$M$2</f>
        <v>-9.69782149305246</v>
      </c>
    </row>
    <row r="355" customFormat="false" ht="15" hidden="false" customHeight="false" outlineLevel="0" collapsed="false">
      <c r="A355" s="5" t="n">
        <v>8</v>
      </c>
      <c r="B355" s="25" t="n">
        <f aca="false">IF(T354&gt;0,B354,D354)</f>
        <v>0.05078125</v>
      </c>
      <c r="C355" s="25" t="n">
        <f aca="false">IF(T354&gt;0,D354,C354)</f>
        <v>0.0625</v>
      </c>
      <c r="D355" s="41" t="n">
        <f aca="false">(B355+C355)/2</f>
        <v>0.056640625</v>
      </c>
      <c r="E355" s="15" t="n">
        <f aca="false">$C$2*(1+IF(E$3&lt;=$O$2,$D355,$D355-($D355-$I$346)*MIN(E$3-$O$2,$Q$2)/$Q$2))</f>
        <v>6804.765625</v>
      </c>
      <c r="F355" s="15" t="n">
        <f aca="false">E355*(1+IF(F$3&lt;=$O$2,$D355,$D355-($D355-$I$346)*MIN(F$3-$O$2,$Q$2)/$Q$2))</f>
        <v>7190.19180297852</v>
      </c>
      <c r="G355" s="15" t="n">
        <f aca="false">F355*(1+IF(G$3&lt;=$O$2,$D355,$D355-($D355-$I$346)*MIN(G$3-$O$2,$Q$2)/$Q$2))</f>
        <v>7597.4487605691</v>
      </c>
      <c r="H355" s="15" t="n">
        <f aca="false">G355*(1+IF(H$3&lt;=$O$2,$D355,$D355-($D355-$I$346)*MIN(H$3-$O$2,$Q$2)/$Q$2))</f>
        <v>8027.7730067732</v>
      </c>
      <c r="I355" s="15" t="n">
        <f aca="false">H355*(1+IF(I$3&lt;=$O$2,$D355,$D355-($D355-$I$346)*MIN(I$3-$O$2,$Q$2)/$Q$2))</f>
        <v>8482.47108723497</v>
      </c>
      <c r="J355" s="15" t="n">
        <f aca="false">I355*(1+IF(J$3&lt;=$O$2,$D355,$D355-($D355-$I$346)*MIN(J$3-$O$2,$Q$2)/$Q$2))</f>
        <v>8906.36137364182</v>
      </c>
      <c r="K355" s="15" t="n">
        <f aca="false">J355*(1+IF(K$3&lt;=$O$2,$D355,$D355-($D355-$I$346)*MIN(K$3-$O$2,$Q$2)/$Q$2))</f>
        <v>9292.04578645152</v>
      </c>
      <c r="L355" s="15" t="n">
        <f aca="false">K355*(1+IF(L$3&lt;=$O$2,$D355,$D355-($D355-$I$346)*MIN(L$3-$O$2,$Q$2)/$Q$2))</f>
        <v>9632.4714988954</v>
      </c>
      <c r="M355" s="15" t="n">
        <f aca="false">L355*(1+IF(M$3&lt;=$O$2,$D355,$D355-($D355-$I$346)*MIN(M$3-$O$2,$Q$2)/$Q$2))</f>
        <v>9921.13860883324</v>
      </c>
      <c r="N355" s="15" t="n">
        <f aca="false">M355*(1+IF(N$3&lt;=$O$2,$D355,$D355-($D355-$I$346)*MIN(N$3-$O$2,$Q$2)/$Q$2))</f>
        <v>10152.3011384191</v>
      </c>
      <c r="O355" s="15" t="n">
        <f aca="false">SUMPRODUCT(E355:N355,1/(1+$F$346)^$E$3:$N$3)*$E$2</f>
        <v>10451.3192495481</v>
      </c>
      <c r="P355" s="15" t="n">
        <f aca="false">N355*$E$2*(1+$I$346)/($F$346-$I$346)/(1+$F$346)^$N$3</f>
        <v>11708.3947598286</v>
      </c>
      <c r="Q355" s="15" t="n">
        <f aca="false">O355+P355</f>
        <v>22159.7140093766</v>
      </c>
      <c r="R355" s="15" t="n">
        <f aca="false">Q355-$G$2+$I$2</f>
        <v>16859.8140093766</v>
      </c>
      <c r="S355" s="42" t="n">
        <f aca="false">R355/$K$2</f>
        <v>143.512206412808</v>
      </c>
      <c r="T355" s="43" t="n">
        <f aca="false">S355-$M$2</f>
        <v>-3.66178064882001</v>
      </c>
    </row>
    <row r="356" customFormat="false" ht="15" hidden="false" customHeight="false" outlineLevel="0" collapsed="false">
      <c r="A356" s="5" t="n">
        <v>9</v>
      </c>
      <c r="B356" s="25" t="n">
        <f aca="false">IF(T355&gt;0,B355,D355)</f>
        <v>0.056640625</v>
      </c>
      <c r="C356" s="25" t="n">
        <f aca="false">IF(T355&gt;0,D355,C355)</f>
        <v>0.0625</v>
      </c>
      <c r="D356" s="41" t="n">
        <f aca="false">(B356+C356)/2</f>
        <v>0.0595703125</v>
      </c>
      <c r="E356" s="15" t="n">
        <f aca="false">$C$2*(1+IF(E$3&lt;=$O$2,$D356,$D356-($D356-$I$346)*MIN(E$3-$O$2,$Q$2)/$Q$2))</f>
        <v>6823.6328125</v>
      </c>
      <c r="F356" s="15" t="n">
        <f aca="false">E356*(1+IF(F$3&lt;=$O$2,$D356,$D356-($D356-$I$346)*MIN(F$3-$O$2,$Q$2)/$Q$2))</f>
        <v>7230.11875152588</v>
      </c>
      <c r="G356" s="15" t="n">
        <f aca="false">F356*(1+IF(G$3&lt;=$O$2,$D356,$D356-($D356-$I$346)*MIN(G$3-$O$2,$Q$2)/$Q$2))</f>
        <v>7660.81918496639</v>
      </c>
      <c r="H356" s="15" t="n">
        <f aca="false">G356*(1+IF(H$3&lt;=$O$2,$D356,$D356-($D356-$I$346)*MIN(H$3-$O$2,$Q$2)/$Q$2))</f>
        <v>8117.17657782083</v>
      </c>
      <c r="I356" s="15" t="n">
        <f aca="false">H356*(1+IF(I$3&lt;=$O$2,$D356,$D356-($D356-$I$346)*MIN(I$3-$O$2,$Q$2)/$Q$2))</f>
        <v>8600.7193231793</v>
      </c>
      <c r="J356" s="15" t="n">
        <f aca="false">I356*(1+IF(J$3&lt;=$O$2,$D356,$D356-($D356-$I$346)*MIN(J$3-$O$2,$Q$2)/$Q$2))</f>
        <v>9050.67670547057</v>
      </c>
      <c r="K356" s="15" t="n">
        <f aca="false">J356*(1+IF(K$3&lt;=$O$2,$D356,$D356-($D356-$I$346)*MIN(K$3-$O$2,$Q$2)/$Q$2))</f>
        <v>9458.51999617437</v>
      </c>
      <c r="L356" s="15" t="n">
        <f aca="false">K356*(1+IF(L$3&lt;=$O$2,$D356,$D356-($D356-$I$346)*MIN(L$3-$O$2,$Q$2)/$Q$2))</f>
        <v>9816.12890250473</v>
      </c>
      <c r="M356" s="15" t="n">
        <f aca="false">L356*(1+IF(M$3&lt;=$O$2,$D356,$D356-($D356-$I$346)*MIN(M$3-$O$2,$Q$2)/$Q$2))</f>
        <v>10116.0515184999</v>
      </c>
      <c r="N356" s="15" t="n">
        <f aca="false">M356*(1+IF(N$3&lt;=$O$2,$D356,$D356-($D356-$I$346)*MIN(N$3-$O$2,$Q$2)/$Q$2))</f>
        <v>10351.755518881</v>
      </c>
      <c r="O356" s="15" t="n">
        <f aca="false">SUMPRODUCT(E356:N356,1/(1+$F$346)^$E$3:$N$3)*$E$2</f>
        <v>10584.1596856974</v>
      </c>
      <c r="P356" s="15" t="n">
        <f aca="false">N356*$E$2*(1+$I$346)/($F$346-$I$346)/(1+$F$346)^$N$3</f>
        <v>11938.4205038629</v>
      </c>
      <c r="Q356" s="15" t="n">
        <f aca="false">O356+P356</f>
        <v>22522.5801895602</v>
      </c>
      <c r="R356" s="15" t="n">
        <f aca="false">Q356-$G$2+$I$2</f>
        <v>17222.6801895602</v>
      </c>
      <c r="S356" s="42" t="n">
        <f aca="false">R356/$K$2</f>
        <v>146.600954967316</v>
      </c>
      <c r="T356" s="43" t="n">
        <f aca="false">S356-$M$2</f>
        <v>-0.573032094311884</v>
      </c>
    </row>
    <row r="357" customFormat="false" ht="15" hidden="false" customHeight="false" outlineLevel="0" collapsed="false">
      <c r="A357" s="5" t="n">
        <v>10</v>
      </c>
      <c r="B357" s="25" t="n">
        <f aca="false">IF(T356&gt;0,B356,D356)</f>
        <v>0.0595703125</v>
      </c>
      <c r="C357" s="25" t="n">
        <f aca="false">IF(T356&gt;0,D356,C356)</f>
        <v>0.0625</v>
      </c>
      <c r="D357" s="41" t="n">
        <f aca="false">(B357+C357)/2</f>
        <v>0.06103515625</v>
      </c>
      <c r="E357" s="15" t="n">
        <f aca="false">$C$2*(1+IF(E$3&lt;=$O$2,$D357,$D357-($D357-$I$346)*MIN(E$3-$O$2,$Q$2)/$Q$2))</f>
        <v>6833.06640625</v>
      </c>
      <c r="F357" s="15" t="n">
        <f aca="false">E357*(1+IF(F$3&lt;=$O$2,$D357,$D357-($D357-$I$346)*MIN(F$3-$O$2,$Q$2)/$Q$2))</f>
        <v>7250.1236820221</v>
      </c>
      <c r="G357" s="15" t="n">
        <f aca="false">F357*(1+IF(G$3&lt;=$O$2,$D357,$D357-($D357-$I$346)*MIN(G$3-$O$2,$Q$2)/$Q$2))</f>
        <v>7692.63611378614</v>
      </c>
      <c r="H357" s="15" t="n">
        <f aca="false">G357*(1+IF(H$3&lt;=$O$2,$D357,$D357-($D357-$I$346)*MIN(H$3-$O$2,$Q$2)/$Q$2))</f>
        <v>8162.15736096547</v>
      </c>
      <c r="I357" s="15" t="n">
        <f aca="false">H357*(1+IF(I$3&lt;=$O$2,$D357,$D357-($D357-$I$346)*MIN(I$3-$O$2,$Q$2)/$Q$2))</f>
        <v>8660.33591082908</v>
      </c>
      <c r="J357" s="15" t="n">
        <f aca="false">I357*(1+IF(J$3&lt;=$O$2,$D357,$D357-($D357-$I$346)*MIN(J$3-$O$2,$Q$2)/$Q$2))</f>
        <v>9123.5610405695</v>
      </c>
      <c r="K357" s="15" t="n">
        <f aca="false">J357*(1+IF(K$3&lt;=$O$2,$D357,$D357-($D357-$I$346)*MIN(K$3-$O$2,$Q$2)/$Q$2))</f>
        <v>9542.70741366815</v>
      </c>
      <c r="L357" s="15" t="n">
        <f aca="false">K357*(1+IF(L$3&lt;=$O$2,$D357,$D357-($D357-$I$346)*MIN(L$3-$O$2,$Q$2)/$Q$2))</f>
        <v>9909.09071852774</v>
      </c>
      <c r="M357" s="15" t="n">
        <f aca="false">L357*(1+IF(M$3&lt;=$O$2,$D357,$D357-($D357-$I$346)*MIN(M$3-$O$2,$Q$2)/$Q$2))</f>
        <v>10214.7567495812</v>
      </c>
      <c r="N357" s="15" t="n">
        <f aca="false">M357*(1+IF(N$3&lt;=$O$2,$D357,$D357-($D357-$I$346)*MIN(N$3-$O$2,$Q$2)/$Q$2))</f>
        <v>10452.7605818465</v>
      </c>
      <c r="O357" s="15" t="n">
        <f aca="false">SUMPRODUCT(E357:N357,1/(1+$F$346)^$E$3:$N$3)*$E$2</f>
        <v>10651.2170955796</v>
      </c>
      <c r="P357" s="15" t="n">
        <f aca="false">N357*$E$2*(1+$I$346)/($F$346-$I$346)/(1+$F$346)^$N$3</f>
        <v>12054.9071145157</v>
      </c>
      <c r="Q357" s="15" t="n">
        <f aca="false">O357+P357</f>
        <v>22706.1242100953</v>
      </c>
      <c r="R357" s="15" t="n">
        <f aca="false">Q357-$G$2+$I$2</f>
        <v>17406.2242100953</v>
      </c>
      <c r="S357" s="42" t="n">
        <f aca="false">R357/$K$2</f>
        <v>148.163297668499</v>
      </c>
      <c r="T357" s="43" t="n">
        <f aca="false">S357-$M$2</f>
        <v>0.989310606871811</v>
      </c>
    </row>
    <row r="358" customFormat="false" ht="15" hidden="false" customHeight="false" outlineLevel="0" collapsed="false">
      <c r="A358" s="5" t="n">
        <v>11</v>
      </c>
      <c r="B358" s="25" t="n">
        <f aca="false">IF(T357&gt;0,B357,D357)</f>
        <v>0.0595703125</v>
      </c>
      <c r="C358" s="25" t="n">
        <f aca="false">IF(T357&gt;0,D357,C357)</f>
        <v>0.06103515625</v>
      </c>
      <c r="D358" s="41" t="n">
        <f aca="false">(B358+C358)/2</f>
        <v>0.060302734375</v>
      </c>
      <c r="E358" s="15" t="n">
        <f aca="false">$C$2*(1+IF(E$3&lt;=$O$2,$D358,$D358-($D358-$I$346)*MIN(E$3-$O$2,$Q$2)/$Q$2))</f>
        <v>6828.349609375</v>
      </c>
      <c r="F358" s="15" t="n">
        <f aca="false">E358*(1+IF(F$3&lt;=$O$2,$D358,$D358-($D358-$I$346)*MIN(F$3-$O$2,$Q$2)/$Q$2))</f>
        <v>7240.11776208878</v>
      </c>
      <c r="G358" s="15" t="n">
        <f aca="false">F358*(1+IF(G$3&lt;=$O$2,$D358,$D358-($D358-$I$346)*MIN(G$3-$O$2,$Q$2)/$Q$2))</f>
        <v>7676.71666033973</v>
      </c>
      <c r="H358" s="15" t="n">
        <f aca="false">G358*(1+IF(H$3&lt;=$O$2,$D358,$D358-($D358-$I$346)*MIN(H$3-$O$2,$Q$2)/$Q$2))</f>
        <v>8139.64366598034</v>
      </c>
      <c r="I358" s="15" t="n">
        <f aca="false">H358*(1+IF(I$3&lt;=$O$2,$D358,$D358-($D358-$I$346)*MIN(I$3-$O$2,$Q$2)/$Q$2))</f>
        <v>8630.4864358771</v>
      </c>
      <c r="J358" s="15" t="n">
        <f aca="false">I358*(1+IF(J$3&lt;=$O$2,$D358,$D358-($D358-$I$346)*MIN(J$3-$O$2,$Q$2)/$Q$2))</f>
        <v>9087.05804752408</v>
      </c>
      <c r="K358" s="15" t="n">
        <f aca="false">J358*(1+IF(K$3&lt;=$O$2,$D358,$D358-($D358-$I$346)*MIN(K$3-$O$2,$Q$2)/$Q$2))</f>
        <v>9500.53409714104</v>
      </c>
      <c r="L358" s="15" t="n">
        <f aca="false">K358*(1+IF(L$3&lt;=$O$2,$D358,$D358-($D358-$I$346)*MIN(L$3-$O$2,$Q$2)/$Q$2))</f>
        <v>9862.51483745128</v>
      </c>
      <c r="M358" s="15" t="n">
        <f aca="false">L358*(1+IF(M$3&lt;=$O$2,$D358,$D358-($D358-$I$346)*MIN(M$3-$O$2,$Q$2)/$Q$2))</f>
        <v>10165.2994365238</v>
      </c>
      <c r="N358" s="15" t="n">
        <f aca="false">M358*(1+IF(N$3&lt;=$O$2,$D358,$D358-($D358-$I$346)*MIN(N$3-$O$2,$Q$2)/$Q$2))</f>
        <v>10402.1509133948</v>
      </c>
      <c r="O358" s="15" t="n">
        <f aca="false">SUMPRODUCT(E358:N358,1/(1+$F$346)^$E$3:$N$3)*$E$2</f>
        <v>10617.6350272277</v>
      </c>
      <c r="P358" s="15" t="n">
        <f aca="false">N358*$E$2*(1+$I$346)/($F$346-$I$346)/(1+$F$346)^$N$3</f>
        <v>11996.5402508051</v>
      </c>
      <c r="Q358" s="15" t="n">
        <f aca="false">O358+P358</f>
        <v>22614.1752780328</v>
      </c>
      <c r="R358" s="15" t="n">
        <f aca="false">Q358-$G$2+$I$2</f>
        <v>17314.2752780328</v>
      </c>
      <c r="S358" s="42" t="n">
        <f aca="false">R358/$K$2</f>
        <v>147.380620344167</v>
      </c>
      <c r="T358" s="43" t="n">
        <f aca="false">S358-$M$2</f>
        <v>0.20663328253957</v>
      </c>
    </row>
    <row r="359" customFormat="false" ht="15" hidden="false" customHeight="false" outlineLevel="0" collapsed="false">
      <c r="A359" s="5" t="n">
        <v>12</v>
      </c>
      <c r="B359" s="25" t="n">
        <f aca="false">IF(T358&gt;0,B358,D358)</f>
        <v>0.0595703125</v>
      </c>
      <c r="C359" s="25" t="n">
        <f aca="false">IF(T358&gt;0,D358,C358)</f>
        <v>0.060302734375</v>
      </c>
      <c r="D359" s="41" t="n">
        <f aca="false">(B359+C359)/2</f>
        <v>0.0599365234375</v>
      </c>
      <c r="E359" s="15" t="n">
        <f aca="false">$C$2*(1+IF(E$3&lt;=$O$2,$D359,$D359-($D359-$I$346)*MIN(E$3-$O$2,$Q$2)/$Q$2))</f>
        <v>6825.9912109375</v>
      </c>
      <c r="F359" s="15" t="n">
        <f aca="false">E359*(1+IF(F$3&lt;=$O$2,$D359,$D359-($D359-$I$346)*MIN(F$3-$O$2,$Q$2)/$Q$2))</f>
        <v>7235.11739313602</v>
      </c>
      <c r="G359" s="15" t="n">
        <f aca="false">F359*(1+IF(G$3&lt;=$O$2,$D359,$D359-($D359-$I$346)*MIN(G$3-$O$2,$Q$2)/$Q$2))</f>
        <v>7668.76517634279</v>
      </c>
      <c r="H359" s="15" t="n">
        <f aca="false">G359*(1+IF(H$3&lt;=$O$2,$D359,$D359-($D359-$I$346)*MIN(H$3-$O$2,$Q$2)/$Q$2))</f>
        <v>8128.40430007134</v>
      </c>
      <c r="I359" s="15" t="n">
        <f aca="false">H359*(1+IF(I$3&lt;=$O$2,$D359,$D359-($D359-$I$346)*MIN(I$3-$O$2,$Q$2)/$Q$2))</f>
        <v>8615.59259491204</v>
      </c>
      <c r="J359" s="15" t="n">
        <f aca="false">I359*(1+IF(J$3&lt;=$O$2,$D359,$D359-($D359-$I$346)*MIN(J$3-$O$2,$Q$2)/$Q$2))</f>
        <v>9068.85219039865</v>
      </c>
      <c r="K359" s="15" t="n">
        <f aca="false">J359*(1+IF(K$3&lt;=$O$2,$D359,$D359-($D359-$I$346)*MIN(K$3-$O$2,$Q$2)/$Q$2))</f>
        <v>9479.5071759298</v>
      </c>
      <c r="L359" s="15" t="n">
        <f aca="false">K359*(1+IF(L$3&lt;=$O$2,$D359,$D359-($D359-$I$346)*MIN(L$3-$O$2,$Q$2)/$Q$2))</f>
        <v>9839.29816785972</v>
      </c>
      <c r="M359" s="15" t="n">
        <f aca="false">L359*(1+IF(M$3&lt;=$O$2,$D359,$D359-($D359-$I$346)*MIN(M$3-$O$2,$Q$2)/$Q$2))</f>
        <v>10140.6493507579</v>
      </c>
      <c r="N359" s="15" t="n">
        <f aca="false">M359*(1+IF(N$3&lt;=$O$2,$D359,$D359-($D359-$I$346)*MIN(N$3-$O$2,$Q$2)/$Q$2))</f>
        <v>10376.9264806306</v>
      </c>
      <c r="O359" s="15" t="n">
        <f aca="false">SUMPRODUCT(E359:N359,1/(1+$F$346)^$E$3:$N$3)*$E$2</f>
        <v>10600.8840354747</v>
      </c>
      <c r="P359" s="15" t="n">
        <f aca="false">N359*$E$2*(1+$I$346)/($F$346-$I$346)/(1+$F$346)^$N$3</f>
        <v>11967.4495439426</v>
      </c>
      <c r="Q359" s="15" t="n">
        <f aca="false">O359+P359</f>
        <v>22568.3335794173</v>
      </c>
      <c r="R359" s="15" t="n">
        <f aca="false">Q359-$G$2+$I$2</f>
        <v>17268.4335794173</v>
      </c>
      <c r="S359" s="42" t="n">
        <f aca="false">R359/$K$2</f>
        <v>146.990411809817</v>
      </c>
      <c r="T359" s="43" t="n">
        <f aca="false">S359-$M$2</f>
        <v>-0.18357525181051</v>
      </c>
    </row>
    <row r="360" customFormat="false" ht="15" hidden="false" customHeight="false" outlineLevel="0" collapsed="false">
      <c r="A360" s="5" t="n">
        <v>13</v>
      </c>
      <c r="B360" s="25" t="n">
        <f aca="false">IF(T359&gt;0,B359,D359)</f>
        <v>0.0599365234375</v>
      </c>
      <c r="C360" s="25" t="n">
        <f aca="false">IF(T359&gt;0,D359,C359)</f>
        <v>0.060302734375</v>
      </c>
      <c r="D360" s="41" t="n">
        <f aca="false">(B360+C360)/2</f>
        <v>0.06011962890625</v>
      </c>
      <c r="E360" s="15" t="n">
        <f aca="false">$C$2*(1+IF(E$3&lt;=$O$2,$D360,$D360-($D360-$I$346)*MIN(E$3-$O$2,$Q$2)/$Q$2))</f>
        <v>6827.17041015625</v>
      </c>
      <c r="F360" s="15" t="n">
        <f aca="false">E360*(1+IF(F$3&lt;=$O$2,$D360,$D360-($D360-$I$346)*MIN(F$3-$O$2,$Q$2)/$Q$2))</f>
        <v>7237.61736169457</v>
      </c>
      <c r="G360" s="15" t="n">
        <f aca="false">F360*(1+IF(G$3&lt;=$O$2,$D360,$D360-($D360-$I$346)*MIN(G$3-$O$2,$Q$2)/$Q$2))</f>
        <v>7672.74023164508</v>
      </c>
      <c r="H360" s="15" t="n">
        <f aca="false">G360*(1+IF(H$3&lt;=$O$2,$D360,$D360-($D360-$I$346)*MIN(H$3-$O$2,$Q$2)/$Q$2))</f>
        <v>8134.02252706564</v>
      </c>
      <c r="I360" s="15" t="n">
        <f aca="false">H360*(1+IF(I$3&lt;=$O$2,$D360,$D360-($D360-$I$346)*MIN(I$3-$O$2,$Q$2)/$Q$2))</f>
        <v>8623.03694290791</v>
      </c>
      <c r="J360" s="15" t="n">
        <f aca="false">I360*(1+IF(J$3&lt;=$O$2,$D360,$D360-($D360-$I$346)*MIN(J$3-$O$2,$Q$2)/$Q$2))</f>
        <v>9077.95131990386</v>
      </c>
      <c r="K360" s="15" t="n">
        <f aca="false">J360*(1+IF(K$3&lt;=$O$2,$D360,$D360-($D360-$I$346)*MIN(K$3-$O$2,$Q$2)/$Q$2))</f>
        <v>9490.01566495434</v>
      </c>
      <c r="L360" s="15" t="n">
        <f aca="false">K360*(1+IF(L$3&lt;=$O$2,$D360,$D360-($D360-$I$346)*MIN(L$3-$O$2,$Q$2)/$Q$2))</f>
        <v>9850.90057198702</v>
      </c>
      <c r="M360" s="15" t="n">
        <f aca="false">L360*(1+IF(M$3&lt;=$O$2,$D360,$D360-($D360-$I$346)*MIN(M$3-$O$2,$Q$2)/$Q$2))</f>
        <v>10152.9678560049</v>
      </c>
      <c r="N360" s="15" t="n">
        <f aca="false">M360*(1+IF(N$3&lt;=$O$2,$D360,$D360-($D360-$I$346)*MIN(N$3-$O$2,$Q$2)/$Q$2))</f>
        <v>10389.5320070498</v>
      </c>
      <c r="O360" s="15" t="n">
        <f aca="false">SUMPRODUCT(E360:N360,1/(1+$F$346)^$E$3:$N$3)*$E$2</f>
        <v>10609.2561986231</v>
      </c>
      <c r="P360" s="15" t="n">
        <f aca="false">N360*$E$2*(1+$I$346)/($F$346-$I$346)/(1+$F$346)^$N$3</f>
        <v>11981.9871820071</v>
      </c>
      <c r="Q360" s="15" t="n">
        <f aca="false">O360+P360</f>
        <v>22591.2433806302</v>
      </c>
      <c r="R360" s="15" t="n">
        <f aca="false">Q360-$G$2+$I$2</f>
        <v>17291.3433806302</v>
      </c>
      <c r="S360" s="42" t="n">
        <f aca="false">R360/$K$2</f>
        <v>147.185422034646</v>
      </c>
      <c r="T360" s="43" t="n">
        <f aca="false">S360-$M$2</f>
        <v>0.0114349730186802</v>
      </c>
    </row>
    <row r="361" customFormat="false" ht="15" hidden="false" customHeight="false" outlineLevel="0" collapsed="false">
      <c r="A361" s="5" t="n">
        <v>14</v>
      </c>
      <c r="B361" s="25" t="n">
        <f aca="false">IF(T360&gt;0,B360,D360)</f>
        <v>0.0599365234375</v>
      </c>
      <c r="C361" s="25" t="n">
        <f aca="false">IF(T360&gt;0,D360,C360)</f>
        <v>0.06011962890625</v>
      </c>
      <c r="D361" s="41" t="n">
        <f aca="false">(B361+C361)/2</f>
        <v>0.060028076171875</v>
      </c>
      <c r="E361" s="15" t="n">
        <f aca="false">$C$2*(1+IF(E$3&lt;=$O$2,$D361,$D361-($D361-$I$346)*MIN(E$3-$O$2,$Q$2)/$Q$2))</f>
        <v>6826.58081054688</v>
      </c>
      <c r="F361" s="15" t="n">
        <f aca="false">E361*(1+IF(F$3&lt;=$O$2,$D361,$D361-($D361-$I$346)*MIN(F$3-$O$2,$Q$2)/$Q$2))</f>
        <v>7236.36732343584</v>
      </c>
      <c r="G361" s="15" t="n">
        <f aca="false">F361*(1+IF(G$3&lt;=$O$2,$D361,$D361-($D361-$I$346)*MIN(G$3-$O$2,$Q$2)/$Q$2))</f>
        <v>7670.75253233472</v>
      </c>
      <c r="H361" s="15" t="n">
        <f aca="false">G361*(1+IF(H$3&lt;=$O$2,$D361,$D361-($D361-$I$346)*MIN(H$3-$O$2,$Q$2)/$Q$2))</f>
        <v>8131.21304964131</v>
      </c>
      <c r="I361" s="15" t="n">
        <f aca="false">H361*(1+IF(I$3&lt;=$O$2,$D361,$D361-($D361-$I$346)*MIN(I$3-$O$2,$Q$2)/$Q$2))</f>
        <v>8619.31412595492</v>
      </c>
      <c r="J361" s="15" t="n">
        <f aca="false">I361*(1+IF(J$3&lt;=$O$2,$D361,$D361-($D361-$I$346)*MIN(J$3-$O$2,$Q$2)/$Q$2))</f>
        <v>9073.40080570358</v>
      </c>
      <c r="K361" s="15" t="n">
        <f aca="false">J361*(1+IF(K$3&lt;=$O$2,$D361,$D361-($D361-$I$346)*MIN(K$3-$O$2,$Q$2)/$Q$2))</f>
        <v>9484.76017803438</v>
      </c>
      <c r="L361" s="15" t="n">
        <f aca="false">K361*(1+IF(L$3&lt;=$O$2,$D361,$D361-($D361-$I$346)*MIN(L$3-$O$2,$Q$2)/$Q$2))</f>
        <v>9845.0978878989</v>
      </c>
      <c r="M361" s="15" t="n">
        <f aca="false">L361*(1+IF(M$3&lt;=$O$2,$D361,$D361-($D361-$I$346)*MIN(M$3-$O$2,$Q$2)/$Q$2))</f>
        <v>10146.8069697162</v>
      </c>
      <c r="N361" s="15" t="n">
        <f aca="false">M361*(1+IF(N$3&lt;=$O$2,$D361,$D361-($D361-$I$346)*MIN(N$3-$O$2,$Q$2)/$Q$2))</f>
        <v>10383.2275721106</v>
      </c>
      <c r="O361" s="15" t="n">
        <f aca="false">SUMPRODUCT(E361:N361,1/(1+$F$346)^$E$3:$N$3)*$E$2</f>
        <v>10605.0692841771</v>
      </c>
      <c r="P361" s="15" t="n">
        <f aca="false">N361*$E$2*(1+$I$346)/($F$346-$I$346)/(1+$F$346)^$N$3</f>
        <v>11974.716435011</v>
      </c>
      <c r="Q361" s="15" t="n">
        <f aca="false">O361+P361</f>
        <v>22579.7857191881</v>
      </c>
      <c r="R361" s="15" t="n">
        <f aca="false">Q361-$G$2+$I$2</f>
        <v>17279.8857191881</v>
      </c>
      <c r="S361" s="42" t="n">
        <f aca="false">R361/$K$2</f>
        <v>147.087893421758</v>
      </c>
      <c r="T361" s="43" t="n">
        <f aca="false">S361-$M$2</f>
        <v>-0.0860936398696879</v>
      </c>
    </row>
    <row r="362" customFormat="false" ht="15" hidden="false" customHeight="false" outlineLevel="0" collapsed="false">
      <c r="A362" s="5" t="n">
        <v>15</v>
      </c>
      <c r="B362" s="25" t="n">
        <f aca="false">IF(T361&gt;0,B361,D361)</f>
        <v>0.060028076171875</v>
      </c>
      <c r="C362" s="25" t="n">
        <f aca="false">IF(T361&gt;0,D361,C361)</f>
        <v>0.06011962890625</v>
      </c>
      <c r="D362" s="41" t="n">
        <f aca="false">(B362+C362)/2</f>
        <v>0.0600738525390625</v>
      </c>
      <c r="E362" s="15" t="n">
        <f aca="false">$C$2*(1+IF(E$3&lt;=$O$2,$D362,$D362-($D362-$I$346)*MIN(E$3-$O$2,$Q$2)/$Q$2))</f>
        <v>6826.87561035156</v>
      </c>
      <c r="F362" s="15" t="n">
        <f aca="false">E362*(1+IF(F$3&lt;=$O$2,$D362,$D362-($D362-$I$346)*MIN(F$3-$O$2,$Q$2)/$Q$2))</f>
        <v>7236.99232907035</v>
      </c>
      <c r="G362" s="15" t="n">
        <f aca="false">F362*(1+IF(G$3&lt;=$O$2,$D362,$D362-($D362-$I$346)*MIN(G$3-$O$2,$Q$2)/$Q$2))</f>
        <v>7671.74633907324</v>
      </c>
      <c r="H362" s="15" t="n">
        <f aca="false">G362*(1+IF(H$3&lt;=$O$2,$D362,$D362-($D362-$I$346)*MIN(H$3-$O$2,$Q$2)/$Q$2))</f>
        <v>8132.61769736382</v>
      </c>
      <c r="I362" s="15" t="n">
        <f aca="false">H362*(1+IF(I$3&lt;=$O$2,$D362,$D362-($D362-$I$346)*MIN(I$3-$O$2,$Q$2)/$Q$2))</f>
        <v>8621.17537367183</v>
      </c>
      <c r="J362" s="15" t="n">
        <f aca="false">I362*(1+IF(J$3&lt;=$O$2,$D362,$D362-($D362-$I$346)*MIN(J$3-$O$2,$Q$2)/$Q$2))</f>
        <v>9075.67582540222</v>
      </c>
      <c r="K362" s="15" t="n">
        <f aca="false">J362*(1+IF(K$3&lt;=$O$2,$D362,$D362-($D362-$I$346)*MIN(K$3-$O$2,$Q$2)/$Q$2))</f>
        <v>9487.3876108315</v>
      </c>
      <c r="L362" s="15" t="n">
        <f aca="false">K362*(1+IF(L$3&lt;=$O$2,$D362,$D362-($D362-$I$346)*MIN(L$3-$O$2,$Q$2)/$Q$2))</f>
        <v>9847.99885935653</v>
      </c>
      <c r="M362" s="15" t="n">
        <f aca="false">L362*(1+IF(M$3&lt;=$O$2,$D362,$D362-($D362-$I$346)*MIN(M$3-$O$2,$Q$2)/$Q$2))</f>
        <v>10149.8870043513</v>
      </c>
      <c r="N362" s="15" t="n">
        <f aca="false">M362*(1+IF(N$3&lt;=$O$2,$D362,$D362-($D362-$I$346)*MIN(N$3-$O$2,$Q$2)/$Q$2))</f>
        <v>10386.3793715527</v>
      </c>
      <c r="O362" s="15" t="n">
        <f aca="false">SUMPRODUCT(E362:N362,1/(1+$F$346)^$E$3:$N$3)*$E$2</f>
        <v>10607.1625331434</v>
      </c>
      <c r="P362" s="15" t="n">
        <f aca="false">N362*$E$2*(1+$I$346)/($F$346-$I$346)/(1+$F$346)^$N$3</f>
        <v>11978.3513264084</v>
      </c>
      <c r="Q362" s="15" t="n">
        <f aca="false">O362+P362</f>
        <v>22585.5138595518</v>
      </c>
      <c r="R362" s="15" t="n">
        <f aca="false">Q362-$G$2+$I$2</f>
        <v>17285.6138595518</v>
      </c>
      <c r="S362" s="42" t="n">
        <f aca="false">R362/$K$2</f>
        <v>147.13665185182</v>
      </c>
      <c r="T362" s="43" t="n">
        <f aca="false">S362-$M$2</f>
        <v>-0.0373352098077646</v>
      </c>
    </row>
    <row r="363" customFormat="false" ht="15" hidden="false" customHeight="false" outlineLevel="0" collapsed="false">
      <c r="A363" s="5" t="n">
        <v>16</v>
      </c>
      <c r="B363" s="25" t="n">
        <f aca="false">IF(T362&gt;0,B362,D362)</f>
        <v>0.0600738525390625</v>
      </c>
      <c r="C363" s="25" t="n">
        <f aca="false">IF(T362&gt;0,D362,C362)</f>
        <v>0.06011962890625</v>
      </c>
      <c r="D363" s="41" t="n">
        <f aca="false">(B363+C363)/2</f>
        <v>0.0600967407226563</v>
      </c>
      <c r="E363" s="15" t="n">
        <f aca="false">$C$2*(1+IF(E$3&lt;=$O$2,$D363,$D363-($D363-$I$346)*MIN(E$3-$O$2,$Q$2)/$Q$2))</f>
        <v>6827.02301025391</v>
      </c>
      <c r="F363" s="15" t="n">
        <f aca="false">E363*(1+IF(F$3&lt;=$O$2,$D363,$D363-($D363-$I$346)*MIN(F$3-$O$2,$Q$2)/$Q$2))</f>
        <v>7237.30484200874</v>
      </c>
      <c r="G363" s="15" t="n">
        <f aca="false">F363*(1+IF(G$3&lt;=$O$2,$D363,$D363-($D363-$I$346)*MIN(G$3-$O$2,$Q$2)/$Q$2))</f>
        <v>7672.24327462977</v>
      </c>
      <c r="H363" s="15" t="n">
        <f aca="false">G363*(1+IF(H$3&lt;=$O$2,$D363,$D363-($D363-$I$346)*MIN(H$3-$O$2,$Q$2)/$Q$2))</f>
        <v>8133.32008946634</v>
      </c>
      <c r="I363" s="15" t="n">
        <f aca="false">H363*(1+IF(I$3&lt;=$O$2,$D363,$D363-($D363-$I$346)*MIN(I$3-$O$2,$Q$2)/$Q$2))</f>
        <v>8622.10611809737</v>
      </c>
      <c r="J363" s="15" t="n">
        <f aca="false">I363*(1+IF(J$3&lt;=$O$2,$D363,$D363-($D363-$I$346)*MIN(J$3-$O$2,$Q$2)/$Q$2))</f>
        <v>9076.81351329772</v>
      </c>
      <c r="K363" s="15" t="n">
        <f aca="false">J363*(1+IF(K$3&lt;=$O$2,$D363,$D363-($D363-$I$346)*MIN(K$3-$O$2,$Q$2)/$Q$2))</f>
        <v>9488.70156021959</v>
      </c>
      <c r="L363" s="15" t="n">
        <f aca="false">K363*(1+IF(L$3&lt;=$O$2,$D363,$D363-($D363-$I$346)*MIN(L$3-$O$2,$Q$2)/$Q$2))</f>
        <v>9849.44962301513</v>
      </c>
      <c r="M363" s="15" t="n">
        <f aca="false">L363*(1+IF(M$3&lt;=$O$2,$D363,$D363-($D363-$I$346)*MIN(M$3-$O$2,$Q$2)/$Q$2))</f>
        <v>10151.4273280392</v>
      </c>
      <c r="N363" s="15" t="n">
        <f aca="false">M363*(1+IF(N$3&lt;=$O$2,$D363,$D363-($D363-$I$346)*MIN(N$3-$O$2,$Q$2)/$Q$2))</f>
        <v>10387.9555847825</v>
      </c>
      <c r="O363" s="15" t="n">
        <f aca="false">SUMPRODUCT(E363:N363,1/(1+$F$346)^$E$3:$N$3)*$E$2</f>
        <v>10608.2093138142</v>
      </c>
      <c r="P363" s="15" t="n">
        <f aca="false">N363*$E$2*(1+$I$346)/($F$346-$I$346)/(1+$F$346)^$N$3</f>
        <v>11980.1691336689</v>
      </c>
      <c r="Q363" s="15" t="n">
        <f aca="false">O363+P363</f>
        <v>22588.3784474831</v>
      </c>
      <c r="R363" s="15" t="n">
        <f aca="false">Q363-$G$2+$I$2</f>
        <v>17288.4784474831</v>
      </c>
      <c r="S363" s="42" t="n">
        <f aca="false">R363/$K$2</f>
        <v>147.161035473979</v>
      </c>
      <c r="T363" s="43" t="n">
        <f aca="false">S363-$M$2</f>
        <v>-0.0129515876481037</v>
      </c>
    </row>
    <row r="364" customFormat="false" ht="15" hidden="false" customHeight="false" outlineLevel="0" collapsed="false">
      <c r="A364" s="5" t="n">
        <v>17</v>
      </c>
      <c r="B364" s="25" t="n">
        <f aca="false">IF(T363&gt;0,B363,D363)</f>
        <v>0.0600967407226563</v>
      </c>
      <c r="C364" s="25" t="n">
        <f aca="false">IF(T363&gt;0,D363,C363)</f>
        <v>0.06011962890625</v>
      </c>
      <c r="D364" s="41" t="n">
        <f aca="false">(B364+C364)/2</f>
        <v>0.0601081848144531</v>
      </c>
      <c r="E364" s="15" t="n">
        <f aca="false">$C$2*(1+IF(E$3&lt;=$O$2,$D364,$D364-($D364-$I$346)*MIN(E$3-$O$2,$Q$2)/$Q$2))</f>
        <v>6827.09671020508</v>
      </c>
      <c r="F364" s="15" t="n">
        <f aca="false">E364*(1+IF(F$3&lt;=$O$2,$D364,$D364-($D364-$I$346)*MIN(F$3-$O$2,$Q$2)/$Q$2))</f>
        <v>7237.46110100823</v>
      </c>
      <c r="G364" s="15" t="n">
        <f aca="false">F364*(1+IF(G$3&lt;=$O$2,$D364,$D364-($D364-$I$346)*MIN(G$3-$O$2,$Q$2)/$Q$2))</f>
        <v>7672.49175045505</v>
      </c>
      <c r="H364" s="15" t="n">
        <f aca="false">G364*(1+IF(H$3&lt;=$O$2,$D364,$D364-($D364-$I$346)*MIN(H$3-$O$2,$Q$2)/$Q$2))</f>
        <v>8133.67130257877</v>
      </c>
      <c r="I364" s="15" t="n">
        <f aca="false">H364*(1+IF(I$3&lt;=$O$2,$D364,$D364-($D364-$I$346)*MIN(I$3-$O$2,$Q$2)/$Q$2))</f>
        <v>8622.57152045419</v>
      </c>
      <c r="J364" s="15" t="n">
        <f aca="false">I364*(1+IF(J$3&lt;=$O$2,$D364,$D364-($D364-$I$346)*MIN(J$3-$O$2,$Q$2)/$Q$2))</f>
        <v>9077.38240176134</v>
      </c>
      <c r="K364" s="15" t="n">
        <f aca="false">J364*(1+IF(K$3&lt;=$O$2,$D364,$D364-($D364-$I$346)*MIN(K$3-$O$2,$Q$2)/$Q$2))</f>
        <v>9489.35859316768</v>
      </c>
      <c r="L364" s="15" t="n">
        <f aca="false">K364*(1+IF(L$3&lt;=$O$2,$D364,$D364-($D364-$I$346)*MIN(L$3-$O$2,$Q$2)/$Q$2))</f>
        <v>9850.17507433566</v>
      </c>
      <c r="M364" s="15" t="n">
        <f aca="false">L364*(1+IF(M$3&lt;=$O$2,$D364,$D364-($D364-$I$346)*MIN(M$3-$O$2,$Q$2)/$Q$2))</f>
        <v>10152.1975664859</v>
      </c>
      <c r="N364" s="15" t="n">
        <f aca="false">M364*(1+IF(N$3&lt;=$O$2,$D364,$D364-($D364-$I$346)*MIN(N$3-$O$2,$Q$2)/$Q$2))</f>
        <v>10388.743769785</v>
      </c>
      <c r="O364" s="15" t="n">
        <f aca="false">SUMPRODUCT(E364:N364,1/(1+$F$346)^$E$3:$N$3)*$E$2</f>
        <v>10608.7327432008</v>
      </c>
      <c r="P364" s="15" t="n">
        <f aca="false">N364*$E$2*(1+$I$346)/($F$346-$I$346)/(1+$F$346)^$N$3</f>
        <v>11981.0781277016</v>
      </c>
      <c r="Q364" s="15" t="n">
        <f aca="false">O364+P364</f>
        <v>22589.8108709024</v>
      </c>
      <c r="R364" s="15" t="n">
        <f aca="false">Q364-$G$2+$I$2</f>
        <v>17289.9108709024</v>
      </c>
      <c r="S364" s="42" t="n">
        <f aca="false">R364/$K$2</f>
        <v>147.17322838698</v>
      </c>
      <c r="T364" s="43" t="n">
        <f aca="false">S364-$M$2</f>
        <v>-0.000758674647840962</v>
      </c>
    </row>
    <row r="365" customFormat="false" ht="15" hidden="false" customHeight="false" outlineLevel="0" collapsed="false">
      <c r="A365" s="5" t="n">
        <v>18</v>
      </c>
      <c r="B365" s="25" t="n">
        <f aca="false">IF(T364&gt;0,B364,D364)</f>
        <v>0.0601081848144531</v>
      </c>
      <c r="C365" s="25" t="n">
        <f aca="false">IF(T364&gt;0,D364,C364)</f>
        <v>0.06011962890625</v>
      </c>
      <c r="D365" s="41" t="n">
        <f aca="false">(B365+C365)/2</f>
        <v>0.0601139068603516</v>
      </c>
      <c r="E365" s="15" t="n">
        <f aca="false">$C$2*(1+IF(E$3&lt;=$O$2,$D365,$D365-($D365-$I$346)*MIN(E$3-$O$2,$Q$2)/$Q$2))</f>
        <v>6827.13356018066</v>
      </c>
      <c r="F365" s="15" t="n">
        <f aca="false">E365*(1+IF(F$3&lt;=$O$2,$D365,$D365-($D365-$I$346)*MIN(F$3-$O$2,$Q$2)/$Q$2))</f>
        <v>7237.53923114055</v>
      </c>
      <c r="G365" s="15" t="n">
        <f aca="false">F365*(1+IF(G$3&lt;=$O$2,$D365,$D365-($D365-$I$346)*MIN(G$3-$O$2,$Q$2)/$Q$2))</f>
        <v>7672.61599037947</v>
      </c>
      <c r="H365" s="15" t="n">
        <f aca="false">G365*(1+IF(H$3&lt;=$O$2,$D365,$D365-($D365-$I$346)*MIN(H$3-$O$2,$Q$2)/$Q$2))</f>
        <v>8133.84691340038</v>
      </c>
      <c r="I365" s="15" t="n">
        <f aca="false">H365*(1+IF(I$3&lt;=$O$2,$D365,$D365-($D365-$I$346)*MIN(I$3-$O$2,$Q$2)/$Q$2))</f>
        <v>8622.80422916889</v>
      </c>
      <c r="J365" s="15" t="n">
        <f aca="false">I365*(1+IF(J$3&lt;=$O$2,$D365,$D365-($D365-$I$346)*MIN(J$3-$O$2,$Q$2)/$Q$2))</f>
        <v>9077.66685712266</v>
      </c>
      <c r="K365" s="15" t="n">
        <f aca="false">J365*(1+IF(K$3&lt;=$O$2,$D365,$D365-($D365-$I$346)*MIN(K$3-$O$2,$Q$2)/$Q$2))</f>
        <v>9489.68712420607</v>
      </c>
      <c r="L365" s="15" t="n">
        <f aca="false">K365*(1+IF(L$3&lt;=$O$2,$D365,$D365-($D365-$I$346)*MIN(L$3-$O$2,$Q$2)/$Q$2))</f>
        <v>9850.53781736983</v>
      </c>
      <c r="M365" s="15" t="n">
        <f aca="false">L365*(1+IF(M$3&lt;=$O$2,$D365,$D365-($D365-$I$346)*MIN(M$3-$O$2,$Q$2)/$Q$2))</f>
        <v>10152.5827048612</v>
      </c>
      <c r="N365" s="15" t="n">
        <f aca="false">M365*(1+IF(N$3&lt;=$O$2,$D365,$D365-($D365-$I$346)*MIN(N$3-$O$2,$Q$2)/$Q$2))</f>
        <v>10389.1378818844</v>
      </c>
      <c r="O365" s="15" t="n">
        <f aca="false">SUMPRODUCT(E365:N365,1/(1+$F$346)^$E$3:$N$3)*$E$2</f>
        <v>10608.9944676574</v>
      </c>
      <c r="P365" s="15" t="n">
        <f aca="false">N365*$E$2*(1+$I$346)/($F$346-$I$346)/(1+$F$346)^$N$3</f>
        <v>11981.53264732</v>
      </c>
      <c r="Q365" s="15" t="n">
        <f aca="false">O365+P365</f>
        <v>22590.5271149774</v>
      </c>
      <c r="R365" s="15" t="n">
        <f aca="false">Q365-$G$2+$I$2</f>
        <v>17290.6271149774</v>
      </c>
      <c r="S365" s="42" t="n">
        <f aca="false">R365/$K$2</f>
        <v>147.179325118977</v>
      </c>
      <c r="T365" s="43" t="n">
        <f aca="false">S365-$M$2</f>
        <v>0.00533805734963266</v>
      </c>
    </row>
    <row r="366" customFormat="false" ht="15" hidden="false" customHeight="false" outlineLevel="0" collapsed="false">
      <c r="A366" s="5" t="n">
        <v>19</v>
      </c>
      <c r="B366" s="25" t="n">
        <f aca="false">IF(T365&gt;0,B365,D365)</f>
        <v>0.0601081848144531</v>
      </c>
      <c r="C366" s="25" t="n">
        <f aca="false">IF(T365&gt;0,D365,C365)</f>
        <v>0.0601139068603516</v>
      </c>
      <c r="D366" s="41" t="n">
        <f aca="false">(B366+C366)/2</f>
        <v>0.0601110458374023</v>
      </c>
      <c r="E366" s="15" t="n">
        <f aca="false">$C$2*(1+IF(E$3&lt;=$O$2,$D366,$D366-($D366-$I$346)*MIN(E$3-$O$2,$Q$2)/$Q$2))</f>
        <v>6827.11513519287</v>
      </c>
      <c r="F366" s="15" t="n">
        <f aca="false">E366*(1+IF(F$3&lt;=$O$2,$D366,$D366-($D366-$I$346)*MIN(F$3-$O$2,$Q$2)/$Q$2))</f>
        <v>7237.50016602167</v>
      </c>
      <c r="G366" s="15" t="n">
        <f aca="false">F366*(1+IF(G$3&lt;=$O$2,$D366,$D366-($D366-$I$346)*MIN(G$3-$O$2,$Q$2)/$Q$2))</f>
        <v>7672.55387024961</v>
      </c>
      <c r="H366" s="15" t="n">
        <f aca="false">G366*(1+IF(H$3&lt;=$O$2,$D366,$D366-($D366-$I$346)*MIN(H$3-$O$2,$Q$2)/$Q$2))</f>
        <v>8133.75910763412</v>
      </c>
      <c r="I366" s="15" t="n">
        <f aca="false">H366*(1+IF(I$3&lt;=$O$2,$D366,$D366-($D366-$I$346)*MIN(I$3-$O$2,$Q$2)/$Q$2))</f>
        <v>8622.6878741835</v>
      </c>
      <c r="J366" s="15" t="n">
        <f aca="false">I366*(1+IF(J$3&lt;=$O$2,$D366,$D366-($D366-$I$346)*MIN(J$3-$O$2,$Q$2)/$Q$2))</f>
        <v>9077.52462851453</v>
      </c>
      <c r="K366" s="15" t="n">
        <f aca="false">J366*(1+IF(K$3&lt;=$O$2,$D366,$D366-($D366-$I$346)*MIN(K$3-$O$2,$Q$2)/$Q$2))</f>
        <v>9489.52285747315</v>
      </c>
      <c r="L366" s="15" t="n">
        <f aca="false">K366*(1+IF(L$3&lt;=$O$2,$D366,$D366-($D366-$I$346)*MIN(L$3-$O$2,$Q$2)/$Q$2))</f>
        <v>9850.35644440489</v>
      </c>
      <c r="M366" s="15" t="n">
        <f aca="false">L366*(1+IF(M$3&lt;=$O$2,$D366,$D366-($D366-$I$346)*MIN(M$3-$O$2,$Q$2)/$Q$2))</f>
        <v>10152.3901340775</v>
      </c>
      <c r="N366" s="15" t="n">
        <f aca="false">M366*(1+IF(N$3&lt;=$O$2,$D366,$D366-($D366-$I$346)*MIN(N$3-$O$2,$Q$2)/$Q$2))</f>
        <v>10388.9408242015</v>
      </c>
      <c r="O366" s="15" t="n">
        <f aca="false">SUMPRODUCT(E366:N366,1/(1+$F$346)^$E$3:$N$3)*$E$2</f>
        <v>10608.8636046155</v>
      </c>
      <c r="P366" s="15" t="n">
        <f aca="false">N366*$E$2*(1+$I$346)/($F$346-$I$346)/(1+$F$346)^$N$3</f>
        <v>11981.3053856272</v>
      </c>
      <c r="Q366" s="15" t="n">
        <f aca="false">O366+P366</f>
        <v>22590.1689902427</v>
      </c>
      <c r="R366" s="15" t="n">
        <f aca="false">Q366-$G$2+$I$2</f>
        <v>17290.2689902427</v>
      </c>
      <c r="S366" s="42" t="n">
        <f aca="false">R366/$K$2</f>
        <v>147.17627673002</v>
      </c>
      <c r="T366" s="43" t="n">
        <f aca="false">S366-$M$2</f>
        <v>0.00228966839227951</v>
      </c>
    </row>
    <row r="367" customFormat="false" ht="15" hidden="false" customHeight="false" outlineLevel="0" collapsed="false">
      <c r="A367" s="5" t="n">
        <v>20</v>
      </c>
      <c r="B367" s="25" t="n">
        <f aca="false">IF(T366&gt;0,B366,D366)</f>
        <v>0.0601081848144531</v>
      </c>
      <c r="C367" s="25" t="n">
        <f aca="false">IF(T366&gt;0,D366,C366)</f>
        <v>0.0601110458374023</v>
      </c>
      <c r="D367" s="41" t="n">
        <f aca="false">(B367+C367)/2</f>
        <v>0.0601096153259277</v>
      </c>
      <c r="E367" s="15" t="n">
        <f aca="false">$C$2*(1+IF(E$3&lt;=$O$2,$D367,$D367-($D367-$I$346)*MIN(E$3-$O$2,$Q$2)/$Q$2))</f>
        <v>6827.10592269898</v>
      </c>
      <c r="F367" s="15" t="n">
        <f aca="false">E367*(1+IF(F$3&lt;=$O$2,$D367,$D367-($D367-$I$346)*MIN(F$3-$O$2,$Q$2)/$Q$2))</f>
        <v>7237.48063350177</v>
      </c>
      <c r="G367" s="15" t="n">
        <f aca="false">F367*(1+IF(G$3&lt;=$O$2,$D367,$D367-($D367-$I$346)*MIN(G$3-$O$2,$Q$2)/$Q$2))</f>
        <v>7672.52281031042</v>
      </c>
      <c r="H367" s="15" t="n">
        <f aca="false">G367*(1+IF(H$3&lt;=$O$2,$D367,$D367-($D367-$I$346)*MIN(H$3-$O$2,$Q$2)/$Q$2))</f>
        <v>8133.71520501758</v>
      </c>
      <c r="I367" s="15" t="n">
        <f aca="false">H367*(1+IF(I$3&lt;=$O$2,$D367,$D367-($D367-$I$346)*MIN(I$3-$O$2,$Q$2)/$Q$2))</f>
        <v>8622.62969716184</v>
      </c>
      <c r="J367" s="15" t="n">
        <f aca="false">I367*(1+IF(J$3&lt;=$O$2,$D367,$D367-($D367-$I$346)*MIN(J$3-$O$2,$Q$2)/$Q$2))</f>
        <v>9077.45351490607</v>
      </c>
      <c r="K367" s="15" t="n">
        <f aca="false">J367*(1+IF(K$3&lt;=$O$2,$D367,$D367-($D367-$I$346)*MIN(K$3-$O$2,$Q$2)/$Q$2))</f>
        <v>9489.44072501699</v>
      </c>
      <c r="L367" s="15" t="n">
        <f aca="false">K367*(1+IF(L$3&lt;=$O$2,$D367,$D367-($D367-$I$346)*MIN(L$3-$O$2,$Q$2)/$Q$2))</f>
        <v>9850.26575900831</v>
      </c>
      <c r="M367" s="15" t="n">
        <f aca="false">L367*(1+IF(M$3&lt;=$O$2,$D367,$D367-($D367-$I$346)*MIN(M$3-$O$2,$Q$2)/$Q$2))</f>
        <v>10152.2938498827</v>
      </c>
      <c r="N367" s="15" t="n">
        <f aca="false">M367*(1+IF(N$3&lt;=$O$2,$D367,$D367-($D367-$I$346)*MIN(N$3-$O$2,$Q$2)/$Q$2))</f>
        <v>10388.8422965849</v>
      </c>
      <c r="O367" s="15" t="n">
        <f aca="false">SUMPRODUCT(E367:N367,1/(1+$F$346)^$E$3:$N$3)*$E$2</f>
        <v>10608.7981737047</v>
      </c>
      <c r="P367" s="15" t="n">
        <f aca="false">N367*$E$2*(1+$I$346)/($F$346-$I$346)/(1+$F$346)^$N$3</f>
        <v>11981.1917561935</v>
      </c>
      <c r="Q367" s="15" t="n">
        <f aca="false">O367+P367</f>
        <v>22589.9899298983</v>
      </c>
      <c r="R367" s="15" t="n">
        <f aca="false">Q367-$G$2+$I$2</f>
        <v>17290.0899298983</v>
      </c>
      <c r="S367" s="42" t="n">
        <f aca="false">R367/$K$2</f>
        <v>147.17475255276</v>
      </c>
      <c r="T367" s="43" t="n">
        <f aca="false">S367-$M$2</f>
        <v>0.000765491132568741</v>
      </c>
    </row>
    <row r="368" customFormat="false" ht="15" hidden="false" customHeight="false" outlineLevel="0" collapsed="false">
      <c r="A368" s="5" t="n">
        <v>21</v>
      </c>
      <c r="B368" s="25" t="n">
        <f aca="false">IF(T367&gt;0,B367,D367)</f>
        <v>0.0601081848144531</v>
      </c>
      <c r="C368" s="25" t="n">
        <f aca="false">IF(T367&gt;0,D367,C367)</f>
        <v>0.0601096153259277</v>
      </c>
      <c r="D368" s="41" t="n">
        <f aca="false">(B368+C368)/2</f>
        <v>0.0601089000701904</v>
      </c>
      <c r="E368" s="15" t="n">
        <f aca="false">$C$2*(1+IF(E$3&lt;=$O$2,$D368,$D368-($D368-$I$346)*MIN(E$3-$O$2,$Q$2)/$Q$2))</f>
        <v>6827.10131645203</v>
      </c>
      <c r="F368" s="15" t="n">
        <f aca="false">E368*(1+IF(F$3&lt;=$O$2,$D368,$D368-($D368-$I$346)*MIN(F$3-$O$2,$Q$2)/$Q$2))</f>
        <v>7237.47086725171</v>
      </c>
      <c r="G368" s="15" t="n">
        <f aca="false">F368*(1+IF(G$3&lt;=$O$2,$D368,$D368-($D368-$I$346)*MIN(G$3-$O$2,$Q$2)/$Q$2))</f>
        <v>7672.50728037225</v>
      </c>
      <c r="H368" s="15" t="n">
        <f aca="false">G368*(1+IF(H$3&lt;=$O$2,$D368,$D368-($D368-$I$346)*MIN(H$3-$O$2,$Q$2)/$Q$2))</f>
        <v>8133.69325377596</v>
      </c>
      <c r="I368" s="15" t="n">
        <f aca="false">H368*(1+IF(I$3&lt;=$O$2,$D368,$D368-($D368-$I$346)*MIN(I$3-$O$2,$Q$2)/$Q$2))</f>
        <v>8622.60060876876</v>
      </c>
      <c r="J368" s="15" t="n">
        <f aca="false">I368*(1+IF(J$3&lt;=$O$2,$D368,$D368-($D368-$I$346)*MIN(J$3-$O$2,$Q$2)/$Q$2))</f>
        <v>9077.41795827574</v>
      </c>
      <c r="K368" s="15" t="n">
        <f aca="false">J368*(1+IF(K$3&lt;=$O$2,$D368,$D368-($D368-$I$346)*MIN(K$3-$O$2,$Q$2)/$Q$2))</f>
        <v>9489.39965901647</v>
      </c>
      <c r="L368" s="15" t="n">
        <f aca="false">K368*(1+IF(L$3&lt;=$O$2,$D368,$D368-($D368-$I$346)*MIN(L$3-$O$2,$Q$2)/$Q$2))</f>
        <v>9850.22041658149</v>
      </c>
      <c r="M368" s="15" t="n">
        <f aca="false">L368*(1+IF(M$3&lt;=$O$2,$D368,$D368-($D368-$I$346)*MIN(M$3-$O$2,$Q$2)/$Q$2))</f>
        <v>10152.2457080845</v>
      </c>
      <c r="N368" s="15" t="n">
        <f aca="false">M368*(1+IF(N$3&lt;=$O$2,$D368,$D368-($D368-$I$346)*MIN(N$3-$O$2,$Q$2)/$Q$2))</f>
        <v>10388.7930330829</v>
      </c>
      <c r="O368" s="15" t="n">
        <f aca="false">SUMPRODUCT(E368:N368,1/(1+$F$346)^$E$3:$N$3)*$E$2</f>
        <v>10608.7654584019</v>
      </c>
      <c r="P368" s="15" t="n">
        <f aca="false">N368*$E$2*(1+$I$346)/($F$346-$I$346)/(1+$F$346)^$N$3</f>
        <v>11981.1349418298</v>
      </c>
      <c r="Q368" s="15" t="n">
        <f aca="false">O368+P368</f>
        <v>22589.9004002317</v>
      </c>
      <c r="R368" s="15" t="n">
        <f aca="false">Q368-$G$2+$I$2</f>
        <v>17290.0004002317</v>
      </c>
      <c r="S368" s="42" t="n">
        <f aca="false">R368/$K$2</f>
        <v>147.173990468435</v>
      </c>
      <c r="T368" s="43" t="n">
        <f aca="false">S368-$M$2</f>
        <v>3.40680742283439E-006</v>
      </c>
    </row>
    <row r="369" customFormat="false" ht="15" hidden="false" customHeight="false" outlineLevel="0" collapsed="false">
      <c r="A369" s="5" t="n">
        <v>22</v>
      </c>
      <c r="B369" s="25" t="n">
        <f aca="false">IF(T368&gt;0,B368,D368)</f>
        <v>0.0601081848144531</v>
      </c>
      <c r="C369" s="25" t="n">
        <f aca="false">IF(T368&gt;0,D368,C368)</f>
        <v>0.0601089000701904</v>
      </c>
      <c r="D369" s="41" t="n">
        <f aca="false">(B369+C369)/2</f>
        <v>0.0601085424423218</v>
      </c>
      <c r="E369" s="15" t="n">
        <f aca="false">$C$2*(1+IF(E$3&lt;=$O$2,$D369,$D369-($D369-$I$346)*MIN(E$3-$O$2,$Q$2)/$Q$2))</f>
        <v>6827.09901332855</v>
      </c>
      <c r="F369" s="15" t="n">
        <f aca="false">E369*(1+IF(F$3&lt;=$O$2,$D369,$D369-($D369-$I$346)*MIN(F$3-$O$2,$Q$2)/$Q$2))</f>
        <v>7237.46598412915</v>
      </c>
      <c r="G369" s="15" t="n">
        <f aca="false">F369*(1+IF(G$3&lt;=$O$2,$D369,$D369-($D369-$I$346)*MIN(G$3-$O$2,$Q$2)/$Q$2))</f>
        <v>7672.49951541103</v>
      </c>
      <c r="H369" s="15" t="n">
        <f aca="false">G369*(1+IF(H$3&lt;=$O$2,$D369,$D369-($D369-$I$346)*MIN(H$3-$O$2,$Q$2)/$Q$2))</f>
        <v>8133.68227817181</v>
      </c>
      <c r="I369" s="15" t="n">
        <f aca="false">H369*(1+IF(I$3&lt;=$O$2,$D369,$D369-($D369-$I$346)*MIN(I$3-$O$2,$Q$2)/$Q$2))</f>
        <v>8622.58606460166</v>
      </c>
      <c r="J369" s="15" t="n">
        <f aca="false">I369*(1+IF(J$3&lt;=$O$2,$D369,$D369-($D369-$I$346)*MIN(J$3-$O$2,$Q$2)/$Q$2))</f>
        <v>9077.40018000405</v>
      </c>
      <c r="K369" s="15" t="n">
        <f aca="false">J369*(1+IF(K$3&lt;=$O$2,$D369,$D369-($D369-$I$346)*MIN(K$3-$O$2,$Q$2)/$Q$2))</f>
        <v>9489.37912607311</v>
      </c>
      <c r="L369" s="15" t="n">
        <f aca="false">K369*(1+IF(L$3&lt;=$O$2,$D369,$D369-($D369-$I$346)*MIN(L$3-$O$2,$Q$2)/$Q$2))</f>
        <v>9850.19774543595</v>
      </c>
      <c r="M369" s="15" t="n">
        <f aca="false">L369*(1+IF(M$3&lt;=$O$2,$D369,$D369-($D369-$I$346)*MIN(M$3-$O$2,$Q$2)/$Q$2))</f>
        <v>10152.2216372602</v>
      </c>
      <c r="N369" s="15" t="n">
        <f aca="false">M369*(1+IF(N$3&lt;=$O$2,$D369,$D369-($D369-$I$346)*MIN(N$3-$O$2,$Q$2)/$Q$2))</f>
        <v>10388.7684014084</v>
      </c>
      <c r="O369" s="15" t="n">
        <f aca="false">SUMPRODUCT(E369:N369,1/(1+$F$346)^$E$3:$N$3)*$E$2</f>
        <v>10608.7491007887</v>
      </c>
      <c r="P369" s="15" t="n">
        <f aca="false">N369*$E$2*(1+$I$346)/($F$346-$I$346)/(1+$F$346)^$N$3</f>
        <v>11981.1065347363</v>
      </c>
      <c r="Q369" s="15" t="n">
        <f aca="false">O369+P369</f>
        <v>22589.8556355249</v>
      </c>
      <c r="R369" s="15" t="n">
        <f aca="false">Q369-$G$2+$I$2</f>
        <v>17289.9556355249</v>
      </c>
      <c r="S369" s="42" t="n">
        <f aca="false">R369/$K$2</f>
        <v>147.173609427349</v>
      </c>
      <c r="T369" s="43" t="n">
        <f aca="false">S369-$M$2</f>
        <v>-0.000377634278919459</v>
      </c>
    </row>
    <row r="370" customFormat="false" ht="15" hidden="false" customHeight="false" outlineLevel="0" collapsed="false">
      <c r="A370" s="5" t="n">
        <v>23</v>
      </c>
      <c r="B370" s="25" t="n">
        <f aca="false">IF(T369&gt;0,B369,D369)</f>
        <v>0.0601085424423218</v>
      </c>
      <c r="C370" s="25" t="n">
        <f aca="false">IF(T369&gt;0,D369,C369)</f>
        <v>0.0601089000701904</v>
      </c>
      <c r="D370" s="41" t="n">
        <f aca="false">(B370+C370)/2</f>
        <v>0.0601087212562561</v>
      </c>
      <c r="E370" s="15" t="n">
        <f aca="false">$C$2*(1+IF(E$3&lt;=$O$2,$D370,$D370-($D370-$I$346)*MIN(E$3-$O$2,$Q$2)/$Q$2))</f>
        <v>6827.10016489029</v>
      </c>
      <c r="F370" s="15" t="n">
        <f aca="false">E370*(1+IF(F$3&lt;=$O$2,$D370,$D370-($D370-$I$346)*MIN(F$3-$O$2,$Q$2)/$Q$2))</f>
        <v>7237.46842569022</v>
      </c>
      <c r="G370" s="15" t="n">
        <f aca="false">F370*(1+IF(G$3&lt;=$O$2,$D370,$D370-($D370-$I$346)*MIN(G$3-$O$2,$Q$2)/$Q$2))</f>
        <v>7672.50339789099</v>
      </c>
      <c r="H370" s="15" t="n">
        <f aca="false">G370*(1+IF(H$3&lt;=$O$2,$D370,$D370-($D370-$I$346)*MIN(H$3-$O$2,$Q$2)/$Q$2))</f>
        <v>8133.6877659725</v>
      </c>
      <c r="I370" s="15" t="n">
        <f aca="false">H370*(1+IF(I$3&lt;=$O$2,$D370,$D370-($D370-$I$346)*MIN(I$3-$O$2,$Q$2)/$Q$2))</f>
        <v>8622.59333668276</v>
      </c>
      <c r="J370" s="15" t="n">
        <f aca="false">I370*(1+IF(J$3&lt;=$O$2,$D370,$D370-($D370-$I$346)*MIN(J$3-$O$2,$Q$2)/$Q$2))</f>
        <v>9077.40906913627</v>
      </c>
      <c r="K370" s="15" t="n">
        <f aca="false">J370*(1+IF(K$3&lt;=$O$2,$D370,$D370-($D370-$I$346)*MIN(K$3-$O$2,$Q$2)/$Q$2))</f>
        <v>9489.38939254005</v>
      </c>
      <c r="L370" s="15" t="n">
        <f aca="false">K370*(1+IF(L$3&lt;=$O$2,$D370,$D370-($D370-$I$346)*MIN(L$3-$O$2,$Q$2)/$Q$2))</f>
        <v>9850.20908100307</v>
      </c>
      <c r="M370" s="15" t="n">
        <f aca="false">L370*(1+IF(M$3&lt;=$O$2,$D370,$D370-($D370-$I$346)*MIN(M$3-$O$2,$Q$2)/$Q$2))</f>
        <v>10152.2336726661</v>
      </c>
      <c r="N370" s="15" t="n">
        <f aca="false">M370*(1+IF(N$3&lt;=$O$2,$D370,$D370-($D370-$I$346)*MIN(N$3-$O$2,$Q$2)/$Q$2))</f>
        <v>10388.7807172393</v>
      </c>
      <c r="O370" s="15" t="n">
        <f aca="false">SUMPRODUCT(E370:N370,1/(1+$F$346)^$E$3:$N$3)*$E$2</f>
        <v>10608.7572795921</v>
      </c>
      <c r="P370" s="15" t="n">
        <f aca="false">N370*$E$2*(1+$I$346)/($F$346-$I$346)/(1+$F$346)^$N$3</f>
        <v>11981.1207382757</v>
      </c>
      <c r="Q370" s="15" t="n">
        <f aca="false">O370+P370</f>
        <v>22589.8780178678</v>
      </c>
      <c r="R370" s="15" t="n">
        <f aca="false">Q370-$G$2+$I$2</f>
        <v>17289.9780178678</v>
      </c>
      <c r="S370" s="42" t="n">
        <f aca="false">R370/$K$2</f>
        <v>147.173799947802</v>
      </c>
      <c r="T370" s="43" t="n">
        <f aca="false">S370-$M$2</f>
        <v>-0.00018711382548986</v>
      </c>
    </row>
    <row r="371" customFormat="false" ht="15" hidden="false" customHeight="false" outlineLevel="0" collapsed="false">
      <c r="A371" s="5" t="n">
        <v>24</v>
      </c>
      <c r="B371" s="25" t="n">
        <f aca="false">IF(T370&gt;0,B370,D370)</f>
        <v>0.0601087212562561</v>
      </c>
      <c r="C371" s="25" t="n">
        <f aca="false">IF(T370&gt;0,D370,C370)</f>
        <v>0.0601089000701904</v>
      </c>
      <c r="D371" s="41" t="n">
        <f aca="false">(B371+C371)/2</f>
        <v>0.0601088106632233</v>
      </c>
      <c r="E371" s="15" t="n">
        <f aca="false">$C$2*(1+IF(E$3&lt;=$O$2,$D371,$D371-($D371-$I$346)*MIN(E$3-$O$2,$Q$2)/$Q$2))</f>
        <v>6827.10074067116</v>
      </c>
      <c r="F371" s="15" t="n">
        <f aca="false">E371*(1+IF(F$3&lt;=$O$2,$D371,$D371-($D371-$I$346)*MIN(F$3-$O$2,$Q$2)/$Q$2))</f>
        <v>7237.46964647091</v>
      </c>
      <c r="G371" s="15" t="n">
        <f aca="false">F371*(1+IF(G$3&lt;=$O$2,$D371,$D371-($D371-$I$346)*MIN(G$3-$O$2,$Q$2)/$Q$2))</f>
        <v>7672.50533913146</v>
      </c>
      <c r="H371" s="15" t="n">
        <f aca="false">G371*(1+IF(H$3&lt;=$O$2,$D371,$D371-($D371-$I$346)*MIN(H$3-$O$2,$Q$2)/$Q$2))</f>
        <v>8133.69050987388</v>
      </c>
      <c r="I371" s="15" t="n">
        <f aca="false">H371*(1+IF(I$3&lt;=$O$2,$D371,$D371-($D371-$I$346)*MIN(I$3-$O$2,$Q$2)/$Q$2))</f>
        <v>8622.59697272514</v>
      </c>
      <c r="J371" s="15" t="n">
        <f aca="false">I371*(1+IF(J$3&lt;=$O$2,$D371,$D371-($D371-$I$346)*MIN(J$3-$O$2,$Q$2)/$Q$2))</f>
        <v>9077.4135137051</v>
      </c>
      <c r="K371" s="15" t="n">
        <f aca="false">J371*(1+IF(K$3&lt;=$O$2,$D371,$D371-($D371-$I$346)*MIN(K$3-$O$2,$Q$2)/$Q$2))</f>
        <v>9489.39452577708</v>
      </c>
      <c r="L371" s="15" t="n">
        <f aca="false">K371*(1+IF(L$3&lt;=$O$2,$D371,$D371-($D371-$I$346)*MIN(L$3-$O$2,$Q$2)/$Q$2))</f>
        <v>9850.21474879087</v>
      </c>
      <c r="M371" s="15" t="n">
        <f aca="false">L371*(1+IF(M$3&lt;=$O$2,$D371,$D371-($D371-$I$346)*MIN(M$3-$O$2,$Q$2)/$Q$2))</f>
        <v>10152.2396903738</v>
      </c>
      <c r="N371" s="15" t="n">
        <f aca="false">M371*(1+IF(N$3&lt;=$O$2,$D371,$D371-($D371-$I$346)*MIN(N$3-$O$2,$Q$2)/$Q$2))</f>
        <v>10388.7868751595</v>
      </c>
      <c r="O371" s="15" t="n">
        <f aca="false">SUMPRODUCT(E371:N371,1/(1+$F$346)^$E$3:$N$3)*$E$2</f>
        <v>10608.7613689962</v>
      </c>
      <c r="P371" s="15" t="n">
        <f aca="false">N371*$E$2*(1+$I$346)/($F$346-$I$346)/(1+$F$346)^$N$3</f>
        <v>11981.1278400509</v>
      </c>
      <c r="Q371" s="15" t="n">
        <f aca="false">O371+P371</f>
        <v>22589.8892090471</v>
      </c>
      <c r="R371" s="15" t="n">
        <f aca="false">Q371-$G$2+$I$2</f>
        <v>17289.9892090471</v>
      </c>
      <c r="S371" s="42" t="n">
        <f aca="false">R371/$K$2</f>
        <v>147.173895208096</v>
      </c>
      <c r="T371" s="43" t="n">
        <f aca="false">S371-$M$2</f>
        <v>-9.18535313871871E-005</v>
      </c>
    </row>
    <row r="373" customFormat="false" ht="15" hidden="false" customHeight="false" outlineLevel="0" collapsed="false">
      <c r="A373" s="38" t="s">
        <v>193</v>
      </c>
      <c r="E373" s="5" t="s">
        <v>11</v>
      </c>
      <c r="F373" s="12" t="n">
        <f aca="false">Sensitivity!$B$12</f>
        <v>0.0949886567315273</v>
      </c>
      <c r="G373" s="5" t="s">
        <v>12</v>
      </c>
      <c r="I373" s="12" t="n">
        <f aca="false">Sensitivity!$E$9</f>
        <v>0.0283</v>
      </c>
    </row>
    <row r="374" customFormat="false" ht="23.85" hidden="false" customHeight="false" outlineLevel="0" collapsed="false">
      <c r="A374" s="38" t="s">
        <v>161</v>
      </c>
      <c r="B374" s="28" t="s">
        <v>162</v>
      </c>
      <c r="C374" s="28" t="s">
        <v>163</v>
      </c>
      <c r="D374" s="28" t="s">
        <v>164</v>
      </c>
      <c r="E374" s="28" t="s">
        <v>165</v>
      </c>
      <c r="F374" s="28" t="s">
        <v>166</v>
      </c>
      <c r="G374" s="28" t="s">
        <v>167</v>
      </c>
      <c r="H374" s="28" t="s">
        <v>168</v>
      </c>
      <c r="I374" s="28" t="s">
        <v>169</v>
      </c>
      <c r="J374" s="28" t="s">
        <v>170</v>
      </c>
      <c r="K374" s="28" t="s">
        <v>171</v>
      </c>
      <c r="L374" s="28" t="s">
        <v>172</v>
      </c>
      <c r="M374" s="28" t="s">
        <v>173</v>
      </c>
      <c r="N374" s="28" t="s">
        <v>174</v>
      </c>
      <c r="O374" s="28" t="s">
        <v>175</v>
      </c>
      <c r="P374" s="28" t="s">
        <v>176</v>
      </c>
      <c r="Q374" s="28" t="s">
        <v>177</v>
      </c>
      <c r="R374" s="28" t="s">
        <v>178</v>
      </c>
      <c r="S374" s="28" t="s">
        <v>179</v>
      </c>
      <c r="T374" s="28" t="s">
        <v>180</v>
      </c>
    </row>
    <row r="375" customFormat="false" ht="15" hidden="false" customHeight="false" outlineLevel="0" collapsed="false">
      <c r="A375" s="5" t="n">
        <v>1</v>
      </c>
      <c r="B375" s="24" t="n">
        <v>-0.5</v>
      </c>
      <c r="C375" s="24" t="n">
        <v>1</v>
      </c>
      <c r="D375" s="41" t="n">
        <f aca="false">(B375+C375)/2</f>
        <v>0.25</v>
      </c>
      <c r="E375" s="15" t="n">
        <f aca="false">$C$2*(1+IF(E$3&lt;=$O$2,$D375,$D375-($D375-$I$373)*MIN(E$3-$O$2,$Q$2)/$Q$2))</f>
        <v>8050</v>
      </c>
      <c r="F375" s="15" t="n">
        <f aca="false">E375*(1+IF(F$3&lt;=$O$2,$D375,$D375-($D375-$I$373)*MIN(F$3-$O$2,$Q$2)/$Q$2))</f>
        <v>10062.5</v>
      </c>
      <c r="G375" s="15" t="n">
        <f aca="false">F375*(1+IF(G$3&lt;=$O$2,$D375,$D375-($D375-$I$373)*MIN(G$3-$O$2,$Q$2)/$Q$2))</f>
        <v>12578.125</v>
      </c>
      <c r="H375" s="15" t="n">
        <f aca="false">G375*(1+IF(H$3&lt;=$O$2,$D375,$D375-($D375-$I$373)*MIN(H$3-$O$2,$Q$2)/$Q$2))</f>
        <v>15722.65625</v>
      </c>
      <c r="I375" s="15" t="n">
        <f aca="false">H375*(1+IF(I$3&lt;=$O$2,$D375,$D375-($D375-$I$373)*MIN(I$3-$O$2,$Q$2)/$Q$2))</f>
        <v>19653.3203125</v>
      </c>
      <c r="J375" s="15" t="n">
        <f aca="false">I375*(1+IF(J$3&lt;=$O$2,$D375,$D375-($D375-$I$373)*MIN(J$3-$O$2,$Q$2)/$Q$2))</f>
        <v>23695.2221679688</v>
      </c>
      <c r="K375" s="15" t="n">
        <f aca="false">J375*(1+IF(K$3&lt;=$O$2,$D375,$D375-($D375-$I$373)*MIN(K$3-$O$2,$Q$2)/$Q$2))</f>
        <v>27517.7354081055</v>
      </c>
      <c r="L375" s="15" t="n">
        <f aca="false">K375*(1+IF(L$3&lt;=$O$2,$D375,$D375-($D375-$I$373)*MIN(L$3-$O$2,$Q$2)/$Q$2))</f>
        <v>30736.7600961456</v>
      </c>
      <c r="M375" s="15" t="n">
        <f aca="false">L375*(1+IF(M$3&lt;=$O$2,$D375,$D375-($D375-$I$373)*MIN(M$3-$O$2,$Q$2)/$Q$2))</f>
        <v>32969.4783495297</v>
      </c>
      <c r="N375" s="15" t="n">
        <f aca="false">M375*(1+IF(N$3&lt;=$O$2,$D375,$D375-($D375-$I$373)*MIN(N$3-$O$2,$Q$2)/$Q$2))</f>
        <v>33902.5145868214</v>
      </c>
      <c r="O375" s="15" t="n">
        <f aca="false">SUMPRODUCT(E375:N375,1/(1+$F$373)^$E$3:$N$3)*$E$2</f>
        <v>24063.8349716891</v>
      </c>
      <c r="P375" s="15" t="n">
        <f aca="false">N375*$E$2*(1+$I$373)/($F$373-$I$373)/(1+$F$373)^$N$3</f>
        <v>42235.7403721722</v>
      </c>
      <c r="Q375" s="15" t="n">
        <f aca="false">O375+P375</f>
        <v>66299.5753438613</v>
      </c>
      <c r="R375" s="15" t="n">
        <f aca="false">Q375-$G$2+$I$2</f>
        <v>60999.6753438613</v>
      </c>
      <c r="S375" s="42" t="n">
        <f aca="false">R375/$K$2</f>
        <v>519.234553488775</v>
      </c>
      <c r="T375" s="43" t="n">
        <f aca="false">S375-$M$2</f>
        <v>372.060566427148</v>
      </c>
    </row>
    <row r="376" customFormat="false" ht="15" hidden="false" customHeight="false" outlineLevel="0" collapsed="false">
      <c r="A376" s="5" t="n">
        <v>2</v>
      </c>
      <c r="B376" s="25" t="n">
        <f aca="false">IF(T375&gt;0,B375,D375)</f>
        <v>-0.5</v>
      </c>
      <c r="C376" s="25" t="n">
        <f aca="false">IF(T375&gt;0,D375,C375)</f>
        <v>0.25</v>
      </c>
      <c r="D376" s="41" t="n">
        <f aca="false">(B376+C376)/2</f>
        <v>-0.125</v>
      </c>
      <c r="E376" s="15" t="n">
        <f aca="false">$C$2*(1+IF(E$3&lt;=$O$2,$D376,$D376-($D376-$I$373)*MIN(E$3-$O$2,$Q$2)/$Q$2))</f>
        <v>5635</v>
      </c>
      <c r="F376" s="15" t="n">
        <f aca="false">E376*(1+IF(F$3&lt;=$O$2,$D376,$D376-($D376-$I$373)*MIN(F$3-$O$2,$Q$2)/$Q$2))</f>
        <v>4930.625</v>
      </c>
      <c r="G376" s="15" t="n">
        <f aca="false">F376*(1+IF(G$3&lt;=$O$2,$D376,$D376-($D376-$I$373)*MIN(G$3-$O$2,$Q$2)/$Q$2))</f>
        <v>4314.296875</v>
      </c>
      <c r="H376" s="15" t="n">
        <f aca="false">G376*(1+IF(H$3&lt;=$O$2,$D376,$D376-($D376-$I$373)*MIN(H$3-$O$2,$Q$2)/$Q$2))</f>
        <v>3775.009765625</v>
      </c>
      <c r="I376" s="15" t="n">
        <f aca="false">H376*(1+IF(I$3&lt;=$O$2,$D376,$D376-($D376-$I$373)*MIN(I$3-$O$2,$Q$2)/$Q$2))</f>
        <v>3303.13354492188</v>
      </c>
      <c r="J376" s="15" t="n">
        <f aca="false">I376*(1+IF(J$3&lt;=$O$2,$D376,$D376-($D376-$I$373)*MIN(J$3-$O$2,$Q$2)/$Q$2))</f>
        <v>2991.51592629395</v>
      </c>
      <c r="K376" s="15" t="n">
        <f aca="false">J376*(1+IF(K$3&lt;=$O$2,$D376,$D376-($D376-$I$373)*MIN(K$3-$O$2,$Q$2)/$Q$2))</f>
        <v>2801.01619210755</v>
      </c>
      <c r="L376" s="15" t="n">
        <f aca="false">K376*(1+IF(L$3&lt;=$O$2,$D376,$D376-($D376-$I$373)*MIN(L$3-$O$2,$Q$2)/$Q$2))</f>
        <v>2708.52663744416</v>
      </c>
      <c r="M376" s="15" t="n">
        <f aca="false">L376*(1+IF(M$3&lt;=$O$2,$D376,$D376-($D376-$I$373)*MIN(M$3-$O$2,$Q$2)/$Q$2))</f>
        <v>2702.13451457979</v>
      </c>
      <c r="N376" s="15" t="n">
        <f aca="false">M376*(1+IF(N$3&lt;=$O$2,$D376,$D376-($D376-$I$373)*MIN(N$3-$O$2,$Q$2)/$Q$2))</f>
        <v>2778.6049213424</v>
      </c>
      <c r="O376" s="15" t="n">
        <f aca="false">SUMPRODUCT(E376:N376,1/(1+$F$373)^$E$3:$N$3)*$E$2</f>
        <v>4827.82622646764</v>
      </c>
      <c r="P376" s="15" t="n">
        <f aca="false">N376*$E$2*(1+$I$373)/($F$373-$I$373)/(1+$F$373)^$N$3</f>
        <v>3461.58500290938</v>
      </c>
      <c r="Q376" s="15" t="n">
        <f aca="false">O376+P376</f>
        <v>8289.41122937702</v>
      </c>
      <c r="R376" s="15" t="n">
        <f aca="false">Q376-$G$2+$I$2</f>
        <v>2989.51122937702</v>
      </c>
      <c r="S376" s="42" t="n">
        <f aca="false">R376/$K$2</f>
        <v>25.446980161534</v>
      </c>
      <c r="T376" s="43" t="n">
        <f aca="false">S376-$M$2</f>
        <v>-121.727006900093</v>
      </c>
    </row>
    <row r="377" customFormat="false" ht="15" hidden="false" customHeight="false" outlineLevel="0" collapsed="false">
      <c r="A377" s="5" t="n">
        <v>3</v>
      </c>
      <c r="B377" s="25" t="n">
        <f aca="false">IF(T376&gt;0,B376,D376)</f>
        <v>-0.125</v>
      </c>
      <c r="C377" s="25" t="n">
        <f aca="false">IF(T376&gt;0,D376,C376)</f>
        <v>0.25</v>
      </c>
      <c r="D377" s="41" t="n">
        <f aca="false">(B377+C377)/2</f>
        <v>0.0625</v>
      </c>
      <c r="E377" s="15" t="n">
        <f aca="false">$C$2*(1+IF(E$3&lt;=$O$2,$D377,$D377-($D377-$I$373)*MIN(E$3-$O$2,$Q$2)/$Q$2))</f>
        <v>6842.5</v>
      </c>
      <c r="F377" s="15" t="n">
        <f aca="false">E377*(1+IF(F$3&lt;=$O$2,$D377,$D377-($D377-$I$373)*MIN(F$3-$O$2,$Q$2)/$Q$2))</f>
        <v>7270.15625</v>
      </c>
      <c r="G377" s="15" t="n">
        <f aca="false">F377*(1+IF(G$3&lt;=$O$2,$D377,$D377-($D377-$I$373)*MIN(G$3-$O$2,$Q$2)/$Q$2))</f>
        <v>7724.541015625</v>
      </c>
      <c r="H377" s="15" t="n">
        <f aca="false">G377*(1+IF(H$3&lt;=$O$2,$D377,$D377-($D377-$I$373)*MIN(H$3-$O$2,$Q$2)/$Q$2))</f>
        <v>8207.32482910156</v>
      </c>
      <c r="I377" s="15" t="n">
        <f aca="false">H377*(1+IF(I$3&lt;=$O$2,$D377,$D377-($D377-$I$373)*MIN(I$3-$O$2,$Q$2)/$Q$2))</f>
        <v>8720.28263092041</v>
      </c>
      <c r="J377" s="15" t="n">
        <f aca="false">I377*(1+IF(J$3&lt;=$O$2,$D377,$D377-($D377-$I$373)*MIN(J$3-$O$2,$Q$2)/$Q$2))</f>
        <v>9205.65356215744</v>
      </c>
      <c r="K377" s="15" t="n">
        <f aca="false">J377*(1+IF(K$3&lt;=$O$2,$D377,$D377-($D377-$I$373)*MIN(K$3-$O$2,$Q$2)/$Q$2))</f>
        <v>9655.07356906197</v>
      </c>
      <c r="L377" s="15" t="n">
        <f aca="false">K377*(1+IF(L$3&lt;=$O$2,$D377,$D377-($D377-$I$373)*MIN(L$3-$O$2,$Q$2)/$Q$2))</f>
        <v>10060.3935574912</v>
      </c>
      <c r="M377" s="15" t="n">
        <f aca="false">L377*(1+IF(M$3&lt;=$O$2,$D377,$D377-($D377-$I$373)*MIN(M$3-$O$2,$Q$2)/$Q$2))</f>
        <v>10413.9157871014</v>
      </c>
      <c r="N377" s="15" t="n">
        <f aca="false">M377*(1+IF(N$3&lt;=$O$2,$D377,$D377-($D377-$I$373)*MIN(N$3-$O$2,$Q$2)/$Q$2))</f>
        <v>10708.6296038764</v>
      </c>
      <c r="O377" s="15" t="n">
        <f aca="false">SUMPRODUCT(E377:N377,1/(1+$F$373)^$E$3:$N$3)*$E$2</f>
        <v>10749.4698507045</v>
      </c>
      <c r="P377" s="15" t="n">
        <f aca="false">N377*$E$2*(1+$I$373)/($F$373-$I$373)/(1+$F$373)^$N$3</f>
        <v>13340.806875337</v>
      </c>
      <c r="Q377" s="15" t="n">
        <f aca="false">O377+P377</f>
        <v>24090.2767260415</v>
      </c>
      <c r="R377" s="15" t="n">
        <f aca="false">Q377-$G$2+$I$2</f>
        <v>18790.3767260415</v>
      </c>
      <c r="S377" s="42" t="n">
        <f aca="false">R377/$K$2</f>
        <v>159.945324532189</v>
      </c>
      <c r="T377" s="43" t="n">
        <f aca="false">S377-$M$2</f>
        <v>12.7713374705612</v>
      </c>
    </row>
    <row r="378" customFormat="false" ht="15" hidden="false" customHeight="false" outlineLevel="0" collapsed="false">
      <c r="A378" s="5" t="n">
        <v>4</v>
      </c>
      <c r="B378" s="25" t="n">
        <f aca="false">IF(T377&gt;0,B377,D377)</f>
        <v>-0.125</v>
      </c>
      <c r="C378" s="25" t="n">
        <f aca="false">IF(T377&gt;0,D377,C377)</f>
        <v>0.0625</v>
      </c>
      <c r="D378" s="41" t="n">
        <f aca="false">(B378+C378)/2</f>
        <v>-0.03125</v>
      </c>
      <c r="E378" s="15" t="n">
        <f aca="false">$C$2*(1+IF(E$3&lt;=$O$2,$D378,$D378-($D378-$I$373)*MIN(E$3-$O$2,$Q$2)/$Q$2))</f>
        <v>6238.75</v>
      </c>
      <c r="F378" s="15" t="n">
        <f aca="false">E378*(1+IF(F$3&lt;=$O$2,$D378,$D378-($D378-$I$373)*MIN(F$3-$O$2,$Q$2)/$Q$2))</f>
        <v>6043.7890625</v>
      </c>
      <c r="G378" s="15" t="n">
        <f aca="false">F378*(1+IF(G$3&lt;=$O$2,$D378,$D378-($D378-$I$373)*MIN(G$3-$O$2,$Q$2)/$Q$2))</f>
        <v>5854.92065429688</v>
      </c>
      <c r="H378" s="15" t="n">
        <f aca="false">G378*(1+IF(H$3&lt;=$O$2,$D378,$D378-($D378-$I$373)*MIN(H$3-$O$2,$Q$2)/$Q$2))</f>
        <v>5671.9543838501</v>
      </c>
      <c r="I378" s="15" t="n">
        <f aca="false">H378*(1+IF(I$3&lt;=$O$2,$D378,$D378-($D378-$I$373)*MIN(I$3-$O$2,$Q$2)/$Q$2))</f>
        <v>5494.70580935478</v>
      </c>
      <c r="J378" s="15" t="n">
        <f aca="false">I378*(1+IF(J$3&lt;=$O$2,$D378,$D378-($D378-$I$373)*MIN(J$3-$O$2,$Q$2)/$Q$2))</f>
        <v>5388.43819900186</v>
      </c>
      <c r="K378" s="15" t="n">
        <f aca="false">J378*(1+IF(K$3&lt;=$O$2,$D378,$D378-($D378-$I$373)*MIN(K$3-$O$2,$Q$2)/$Q$2))</f>
        <v>5348.40210318328</v>
      </c>
      <c r="L378" s="15" t="n">
        <f aca="false">K378*(1+IF(L$3&lt;=$O$2,$D378,$D378-($D378-$I$373)*MIN(L$3-$O$2,$Q$2)/$Q$2))</f>
        <v>5372.36294460554</v>
      </c>
      <c r="M378" s="15" t="n">
        <f aca="false">L378*(1+IF(M$3&lt;=$O$2,$D378,$D378-($D378-$I$373)*MIN(M$3-$O$2,$Q$2)/$Q$2))</f>
        <v>5460.41597326762</v>
      </c>
      <c r="N378" s="15" t="n">
        <f aca="false">M378*(1+IF(N$3&lt;=$O$2,$D378,$D378-($D378-$I$373)*MIN(N$3-$O$2,$Q$2)/$Q$2))</f>
        <v>5614.9457453111</v>
      </c>
      <c r="O378" s="15" t="n">
        <f aca="false">SUMPRODUCT(E378:N378,1/(1+$F$373)^$E$3:$N$3)*$E$2</f>
        <v>7181.77439963681</v>
      </c>
      <c r="P378" s="15" t="n">
        <f aca="false">N378*$E$2*(1+$I$373)/($F$373-$I$373)/(1+$F$373)^$N$3</f>
        <v>6995.09737236359</v>
      </c>
      <c r="Q378" s="15" t="n">
        <f aca="false">O378+P378</f>
        <v>14176.8717720004</v>
      </c>
      <c r="R378" s="15" t="n">
        <f aca="false">Q378-$G$2+$I$2</f>
        <v>8876.9717720004</v>
      </c>
      <c r="S378" s="42" t="n">
        <f aca="false">R378/$K$2</f>
        <v>75.5615574736159</v>
      </c>
      <c r="T378" s="43" t="n">
        <f aca="false">S378-$M$2</f>
        <v>-71.6124295880116</v>
      </c>
    </row>
    <row r="379" customFormat="false" ht="15" hidden="false" customHeight="false" outlineLevel="0" collapsed="false">
      <c r="A379" s="5" t="n">
        <v>5</v>
      </c>
      <c r="B379" s="25" t="n">
        <f aca="false">IF(T378&gt;0,B378,D378)</f>
        <v>-0.03125</v>
      </c>
      <c r="C379" s="25" t="n">
        <f aca="false">IF(T378&gt;0,D378,C378)</f>
        <v>0.0625</v>
      </c>
      <c r="D379" s="41" t="n">
        <f aca="false">(B379+C379)/2</f>
        <v>0.015625</v>
      </c>
      <c r="E379" s="15" t="n">
        <f aca="false">$C$2*(1+IF(E$3&lt;=$O$2,$D379,$D379-($D379-$I$373)*MIN(E$3-$O$2,$Q$2)/$Q$2))</f>
        <v>6540.625</v>
      </c>
      <c r="F379" s="15" t="n">
        <f aca="false">E379*(1+IF(F$3&lt;=$O$2,$D379,$D379-($D379-$I$373)*MIN(F$3-$O$2,$Q$2)/$Q$2))</f>
        <v>6642.822265625</v>
      </c>
      <c r="G379" s="15" t="n">
        <f aca="false">F379*(1+IF(G$3&lt;=$O$2,$D379,$D379-($D379-$I$373)*MIN(G$3-$O$2,$Q$2)/$Q$2))</f>
        <v>6746.61636352539</v>
      </c>
      <c r="H379" s="15" t="n">
        <f aca="false">G379*(1+IF(H$3&lt;=$O$2,$D379,$D379-($D379-$I$373)*MIN(H$3-$O$2,$Q$2)/$Q$2))</f>
        <v>6852.03224420548</v>
      </c>
      <c r="I379" s="15" t="n">
        <f aca="false">H379*(1+IF(I$3&lt;=$O$2,$D379,$D379-($D379-$I$373)*MIN(I$3-$O$2,$Q$2)/$Q$2))</f>
        <v>6959.09524802119</v>
      </c>
      <c r="J379" s="15" t="n">
        <f aca="false">I379*(1+IF(J$3&lt;=$O$2,$D379,$D379-($D379-$I$373)*MIN(J$3-$O$2,$Q$2)/$Q$2))</f>
        <v>7085.47241772525</v>
      </c>
      <c r="K379" s="15" t="n">
        <f aca="false">J379*(1+IF(K$3&lt;=$O$2,$D379,$D379-($D379-$I$373)*MIN(K$3-$O$2,$Q$2)/$Q$2))</f>
        <v>7232.10626941007</v>
      </c>
      <c r="L379" s="15" t="n">
        <f aca="false">K379*(1+IF(L$3&lt;=$O$2,$D379,$D379-($D379-$I$373)*MIN(L$3-$O$2,$Q$2)/$Q$2))</f>
        <v>7400.10809804847</v>
      </c>
      <c r="M379" s="15" t="n">
        <f aca="false">L379*(1+IF(M$3&lt;=$O$2,$D379,$D379-($D379-$I$373)*MIN(M$3-$O$2,$Q$2)/$Q$2))</f>
        <v>7590.77188319469</v>
      </c>
      <c r="N379" s="15" t="n">
        <f aca="false">M379*(1+IF(N$3&lt;=$O$2,$D379,$D379-($D379-$I$373)*MIN(N$3-$O$2,$Q$2)/$Q$2))</f>
        <v>7805.5907274891</v>
      </c>
      <c r="O379" s="15" t="n">
        <f aca="false">SUMPRODUCT(E379:N379,1/(1+$F$373)^$E$3:$N$3)*$E$2</f>
        <v>8782.37371205722</v>
      </c>
      <c r="P379" s="15" t="n">
        <f aca="false">N379*$E$2*(1+$I$373)/($F$373-$I$373)/(1+$F$373)^$N$3</f>
        <v>9724.2020963783</v>
      </c>
      <c r="Q379" s="15" t="n">
        <f aca="false">O379+P379</f>
        <v>18506.5758084355</v>
      </c>
      <c r="R379" s="15" t="n">
        <f aca="false">Q379-$G$2+$I$2</f>
        <v>13206.6758084355</v>
      </c>
      <c r="S379" s="42" t="n">
        <f aca="false">R379/$K$2</f>
        <v>112.41637562509</v>
      </c>
      <c r="T379" s="43" t="n">
        <f aca="false">S379-$M$2</f>
        <v>-34.757611436538</v>
      </c>
    </row>
    <row r="380" customFormat="false" ht="15" hidden="false" customHeight="false" outlineLevel="0" collapsed="false">
      <c r="A380" s="5" t="n">
        <v>6</v>
      </c>
      <c r="B380" s="25" t="n">
        <f aca="false">IF(T379&gt;0,B379,D379)</f>
        <v>0.015625</v>
      </c>
      <c r="C380" s="25" t="n">
        <f aca="false">IF(T379&gt;0,D379,C379)</f>
        <v>0.0625</v>
      </c>
      <c r="D380" s="41" t="n">
        <f aca="false">(B380+C380)/2</f>
        <v>0.0390625</v>
      </c>
      <c r="E380" s="15" t="n">
        <f aca="false">$C$2*(1+IF(E$3&lt;=$O$2,$D380,$D380-($D380-$I$373)*MIN(E$3-$O$2,$Q$2)/$Q$2))</f>
        <v>6691.5625</v>
      </c>
      <c r="F380" s="15" t="n">
        <f aca="false">E380*(1+IF(F$3&lt;=$O$2,$D380,$D380-($D380-$I$373)*MIN(F$3-$O$2,$Q$2)/$Q$2))</f>
        <v>6952.95166015625</v>
      </c>
      <c r="G380" s="15" t="n">
        <f aca="false">F380*(1+IF(G$3&lt;=$O$2,$D380,$D380-($D380-$I$373)*MIN(G$3-$O$2,$Q$2)/$Q$2))</f>
        <v>7224.5513343811</v>
      </c>
      <c r="H380" s="15" t="n">
        <f aca="false">G380*(1+IF(H$3&lt;=$O$2,$D380,$D380-($D380-$I$373)*MIN(H$3-$O$2,$Q$2)/$Q$2))</f>
        <v>7506.76037088037</v>
      </c>
      <c r="I380" s="15" t="n">
        <f aca="false">H380*(1+IF(I$3&lt;=$O$2,$D380,$D380-($D380-$I$373)*MIN(I$3-$O$2,$Q$2)/$Q$2))</f>
        <v>7799.99319786788</v>
      </c>
      <c r="J380" s="15" t="n">
        <f aca="false">I380*(1+IF(J$3&lt;=$O$2,$D380,$D380-($D380-$I$373)*MIN(J$3-$O$2,$Q$2)/$Q$2))</f>
        <v>8087.89094680118</v>
      </c>
      <c r="K380" s="15" t="n">
        <f aca="false">J380*(1+IF(K$3&lt;=$O$2,$D380,$D380-($D380-$I$373)*MIN(K$3-$O$2,$Q$2)/$Q$2))</f>
        <v>8369.00581638463</v>
      </c>
      <c r="L380" s="15" t="n">
        <f aca="false">K380*(1+IF(L$3&lt;=$O$2,$D380,$D380-($D380-$I$373)*MIN(L$3-$O$2,$Q$2)/$Q$2))</f>
        <v>8641.87725102785</v>
      </c>
      <c r="M380" s="15" t="n">
        <f aca="false">L380*(1+IF(M$3&lt;=$O$2,$D380,$D380-($D380-$I$373)*MIN(M$3-$O$2,$Q$2)/$Q$2))</f>
        <v>8905.04401801477</v>
      </c>
      <c r="N380" s="15" t="n">
        <f aca="false">M380*(1+IF(N$3&lt;=$O$2,$D380,$D380-($D380-$I$373)*MIN(N$3-$O$2,$Q$2)/$Q$2))</f>
        <v>9157.05676372459</v>
      </c>
      <c r="O380" s="15" t="n">
        <f aca="false">SUMPRODUCT(E380:N380,1/(1+$F$373)^$E$3:$N$3)*$E$2</f>
        <v>9715.54648854642</v>
      </c>
      <c r="P380" s="15" t="n">
        <f aca="false">N380*$E$2*(1+$I$373)/($F$373-$I$373)/(1+$F$373)^$N$3</f>
        <v>11407.8579939983</v>
      </c>
      <c r="Q380" s="15" t="n">
        <f aca="false">O380+P380</f>
        <v>21123.4044825448</v>
      </c>
      <c r="R380" s="15" t="n">
        <f aca="false">Q380-$G$2+$I$2</f>
        <v>15823.5044825448</v>
      </c>
      <c r="S380" s="42" t="n">
        <f aca="false">R380/$K$2</f>
        <v>134.691049391767</v>
      </c>
      <c r="T380" s="43" t="n">
        <f aca="false">S380-$M$2</f>
        <v>-12.4829376698608</v>
      </c>
    </row>
    <row r="381" customFormat="false" ht="15" hidden="false" customHeight="false" outlineLevel="0" collapsed="false">
      <c r="A381" s="5" t="n">
        <v>7</v>
      </c>
      <c r="B381" s="25" t="n">
        <f aca="false">IF(T380&gt;0,B380,D380)</f>
        <v>0.0390625</v>
      </c>
      <c r="C381" s="25" t="n">
        <f aca="false">IF(T380&gt;0,D380,C380)</f>
        <v>0.0625</v>
      </c>
      <c r="D381" s="41" t="n">
        <f aca="false">(B381+C381)/2</f>
        <v>0.05078125</v>
      </c>
      <c r="E381" s="15" t="n">
        <f aca="false">$C$2*(1+IF(E$3&lt;=$O$2,$D381,$D381-($D381-$I$373)*MIN(E$3-$O$2,$Q$2)/$Q$2))</f>
        <v>6767.03125</v>
      </c>
      <c r="F381" s="15" t="n">
        <f aca="false">E381*(1+IF(F$3&lt;=$O$2,$D381,$D381-($D381-$I$373)*MIN(F$3-$O$2,$Q$2)/$Q$2))</f>
        <v>7110.66955566406</v>
      </c>
      <c r="G381" s="15" t="n">
        <f aca="false">F381*(1+IF(G$3&lt;=$O$2,$D381,$D381-($D381-$I$373)*MIN(G$3-$O$2,$Q$2)/$Q$2))</f>
        <v>7471.75824403763</v>
      </c>
      <c r="H381" s="15" t="n">
        <f aca="false">G381*(1+IF(H$3&lt;=$O$2,$D381,$D381-($D381-$I$373)*MIN(H$3-$O$2,$Q$2)/$Q$2))</f>
        <v>7851.18346736766</v>
      </c>
      <c r="I381" s="15" t="n">
        <f aca="false">H381*(1+IF(I$3&lt;=$O$2,$D381,$D381-($D381-$I$373)*MIN(I$3-$O$2,$Q$2)/$Q$2))</f>
        <v>8249.87637781993</v>
      </c>
      <c r="J381" s="15" t="n">
        <f aca="false">I381*(1+IF(J$3&lt;=$O$2,$D381,$D381-($D381-$I$373)*MIN(J$3-$O$2,$Q$2)/$Q$2))</f>
        <v>8631.72190596732</v>
      </c>
      <c r="K381" s="15" t="n">
        <f aca="false">J381*(1+IF(K$3&lt;=$O$2,$D381,$D381-($D381-$I$373)*MIN(K$3-$O$2,$Q$2)/$Q$2))</f>
        <v>8992.43077476532</v>
      </c>
      <c r="L381" s="15" t="n">
        <f aca="false">K381*(1+IF(L$3&lt;=$O$2,$D381,$D381-($D381-$I$373)*MIN(L$3-$O$2,$Q$2)/$Q$2))</f>
        <v>9327.78099943325</v>
      </c>
      <c r="M381" s="15" t="n">
        <f aca="false">L381*(1+IF(M$3&lt;=$O$2,$D381,$D381-($D381-$I$373)*MIN(M$3-$O$2,$Q$2)/$Q$2))</f>
        <v>9633.69723703591</v>
      </c>
      <c r="N381" s="15" t="n">
        <f aca="false">M381*(1+IF(N$3&lt;=$O$2,$D381,$D381-($D381-$I$373)*MIN(N$3-$O$2,$Q$2)/$Q$2))</f>
        <v>9906.33086884403</v>
      </c>
      <c r="O381" s="15" t="n">
        <f aca="false">SUMPRODUCT(E381:N381,1/(1+$F$373)^$E$3:$N$3)*$E$2</f>
        <v>10219.300810256</v>
      </c>
      <c r="P381" s="15" t="n">
        <f aca="false">N381*$E$2*(1+$I$373)/($F$373-$I$373)/(1+$F$373)^$N$3</f>
        <v>12341.3034023138</v>
      </c>
      <c r="Q381" s="15" t="n">
        <f aca="false">O381+P381</f>
        <v>22560.6042125698</v>
      </c>
      <c r="R381" s="15" t="n">
        <f aca="false">Q381-$G$2+$I$2</f>
        <v>17260.7042125698</v>
      </c>
      <c r="S381" s="42" t="n">
        <f aca="false">R381/$K$2</f>
        <v>146.92461876549</v>
      </c>
      <c r="T381" s="43" t="n">
        <f aca="false">S381-$M$2</f>
        <v>-0.249368296137106</v>
      </c>
    </row>
    <row r="382" customFormat="false" ht="15" hidden="false" customHeight="false" outlineLevel="0" collapsed="false">
      <c r="A382" s="5" t="n">
        <v>8</v>
      </c>
      <c r="B382" s="25" t="n">
        <f aca="false">IF(T381&gt;0,B381,D381)</f>
        <v>0.05078125</v>
      </c>
      <c r="C382" s="25" t="n">
        <f aca="false">IF(T381&gt;0,D381,C381)</f>
        <v>0.0625</v>
      </c>
      <c r="D382" s="41" t="n">
        <f aca="false">(B382+C382)/2</f>
        <v>0.056640625</v>
      </c>
      <c r="E382" s="15" t="n">
        <f aca="false">$C$2*(1+IF(E$3&lt;=$O$2,$D382,$D382-($D382-$I$373)*MIN(E$3-$O$2,$Q$2)/$Q$2))</f>
        <v>6804.765625</v>
      </c>
      <c r="F382" s="15" t="n">
        <f aca="false">E382*(1+IF(F$3&lt;=$O$2,$D382,$D382-($D382-$I$373)*MIN(F$3-$O$2,$Q$2)/$Q$2))</f>
        <v>7190.19180297852</v>
      </c>
      <c r="G382" s="15" t="n">
        <f aca="false">F382*(1+IF(G$3&lt;=$O$2,$D382,$D382-($D382-$I$373)*MIN(G$3-$O$2,$Q$2)/$Q$2))</f>
        <v>7597.4487605691</v>
      </c>
      <c r="H382" s="15" t="n">
        <f aca="false">G382*(1+IF(H$3&lt;=$O$2,$D382,$D382-($D382-$I$373)*MIN(H$3-$O$2,$Q$2)/$Q$2))</f>
        <v>8027.7730067732</v>
      </c>
      <c r="I382" s="15" t="n">
        <f aca="false">H382*(1+IF(I$3&lt;=$O$2,$D382,$D382-($D382-$I$373)*MIN(I$3-$O$2,$Q$2)/$Q$2))</f>
        <v>8482.47108723497</v>
      </c>
      <c r="J382" s="15" t="n">
        <f aca="false">I382*(1+IF(J$3&lt;=$O$2,$D382,$D382-($D382-$I$373)*MIN(J$3-$O$2,$Q$2)/$Q$2))</f>
        <v>8914.84384472905</v>
      </c>
      <c r="K382" s="15" t="n">
        <f aca="false">J382*(1+IF(K$3&lt;=$O$2,$D382,$D382-($D382-$I$373)*MIN(K$3-$O$2,$Q$2)/$Q$2))</f>
        <v>9318.7252733371</v>
      </c>
      <c r="L382" s="15" t="n">
        <f aca="false">K382*(1+IF(L$3&lt;=$O$2,$D382,$D382-($D382-$I$373)*MIN(L$3-$O$2,$Q$2)/$Q$2))</f>
        <v>9688.08459795241</v>
      </c>
      <c r="M382" s="15" t="n">
        <f aca="false">L382*(1+IF(M$3&lt;=$O$2,$D382,$D382-($D382-$I$373)*MIN(M$3-$O$2,$Q$2)/$Q$2))</f>
        <v>10017.1706665862</v>
      </c>
      <c r="N382" s="15" t="n">
        <f aca="false">M382*(1+IF(N$3&lt;=$O$2,$D382,$D382-($D382-$I$373)*MIN(N$3-$O$2,$Q$2)/$Q$2))</f>
        <v>10300.6565964506</v>
      </c>
      <c r="O382" s="15" t="n">
        <f aca="false">SUMPRODUCT(E382:N382,1/(1+$F$373)^$E$3:$N$3)*$E$2</f>
        <v>10481.0039595373</v>
      </c>
      <c r="P382" s="15" t="n">
        <f aca="false">N382*$E$2*(1+$I$373)/($F$373-$I$373)/(1+$F$373)^$N$3</f>
        <v>12832.5542507017</v>
      </c>
      <c r="Q382" s="15" t="n">
        <f aca="false">O382+P382</f>
        <v>23313.558210239</v>
      </c>
      <c r="R382" s="15" t="n">
        <f aca="false">Q382-$G$2+$I$2</f>
        <v>18013.658210239</v>
      </c>
      <c r="S382" s="42" t="n">
        <f aca="false">R382/$K$2</f>
        <v>153.333828823962</v>
      </c>
      <c r="T382" s="43" t="n">
        <f aca="false">S382-$M$2</f>
        <v>6.15984176233434</v>
      </c>
    </row>
    <row r="383" customFormat="false" ht="15" hidden="false" customHeight="false" outlineLevel="0" collapsed="false">
      <c r="A383" s="5" t="n">
        <v>9</v>
      </c>
      <c r="B383" s="25" t="n">
        <f aca="false">IF(T382&gt;0,B382,D382)</f>
        <v>0.05078125</v>
      </c>
      <c r="C383" s="25" t="n">
        <f aca="false">IF(T382&gt;0,D382,C382)</f>
        <v>0.056640625</v>
      </c>
      <c r="D383" s="41" t="n">
        <f aca="false">(B383+C383)/2</f>
        <v>0.0537109375</v>
      </c>
      <c r="E383" s="15" t="n">
        <f aca="false">$C$2*(1+IF(E$3&lt;=$O$2,$D383,$D383-($D383-$I$373)*MIN(E$3-$O$2,$Q$2)/$Q$2))</f>
        <v>6785.8984375</v>
      </c>
      <c r="F383" s="15" t="n">
        <f aca="false">E383*(1+IF(F$3&lt;=$O$2,$D383,$D383-($D383-$I$373)*MIN(F$3-$O$2,$Q$2)/$Q$2))</f>
        <v>7150.37540435791</v>
      </c>
      <c r="G383" s="15" t="n">
        <f aca="false">F383*(1+IF(G$3&lt;=$O$2,$D383,$D383-($D383-$I$373)*MIN(G$3-$O$2,$Q$2)/$Q$2))</f>
        <v>7534.42877080292</v>
      </c>
      <c r="H383" s="15" t="n">
        <f aca="false">G383*(1+IF(H$3&lt;=$O$2,$D383,$D383-($D383-$I$373)*MIN(H$3-$O$2,$Q$2)/$Q$2))</f>
        <v>7939.11000360971</v>
      </c>
      <c r="I383" s="15" t="n">
        <f aca="false">H383*(1+IF(I$3&lt;=$O$2,$D383,$D383-($D383-$I$373)*MIN(I$3-$O$2,$Q$2)/$Q$2))</f>
        <v>8365.52704481922</v>
      </c>
      <c r="J383" s="15" t="n">
        <f aca="false">I383*(1+IF(J$3&lt;=$O$2,$D383,$D383-($D383-$I$373)*MIN(J$3-$O$2,$Q$2)/$Q$2))</f>
        <v>8772.33216809997</v>
      </c>
      <c r="K383" s="15" t="n">
        <f aca="false">J383*(1+IF(K$3&lt;=$O$2,$D383,$D383-($D383-$I$373)*MIN(K$3-$O$2,$Q$2)/$Q$2))</f>
        <v>9154.3370791289</v>
      </c>
      <c r="L383" s="15" t="n">
        <f aca="false">K383*(1+IF(L$3&lt;=$O$2,$D383,$D383-($D383-$I$373)*MIN(L$3-$O$2,$Q$2)/$Q$2))</f>
        <v>9506.45293341692</v>
      </c>
      <c r="M383" s="15" t="n">
        <f aca="false">L383*(1+IF(M$3&lt;=$O$2,$D383,$D383-($D383-$I$373)*MIN(M$3-$O$2,$Q$2)/$Q$2))</f>
        <v>9823.79912770016</v>
      </c>
      <c r="N383" s="15" t="n">
        <f aca="false">M383*(1+IF(N$3&lt;=$O$2,$D383,$D383-($D383-$I$373)*MIN(N$3-$O$2,$Q$2)/$Q$2))</f>
        <v>10101.8126430141</v>
      </c>
      <c r="O383" s="15" t="n">
        <f aca="false">SUMPRODUCT(E383:N383,1/(1+$F$373)^$E$3:$N$3)*$E$2</f>
        <v>10349.3171131506</v>
      </c>
      <c r="P383" s="15" t="n">
        <f aca="false">N383*$E$2*(1+$I$373)/($F$373-$I$373)/(1+$F$373)^$N$3</f>
        <v>12584.8345256526</v>
      </c>
      <c r="Q383" s="15" t="n">
        <f aca="false">O383+P383</f>
        <v>22934.1516388032</v>
      </c>
      <c r="R383" s="15" t="n">
        <f aca="false">Q383-$G$2+$I$2</f>
        <v>17634.2516388032</v>
      </c>
      <c r="S383" s="42" t="n">
        <f aca="false">R383/$K$2</f>
        <v>150.104287017392</v>
      </c>
      <c r="T383" s="43" t="n">
        <f aca="false">S383-$M$2</f>
        <v>2.93029995576421</v>
      </c>
    </row>
    <row r="384" customFormat="false" ht="15" hidden="false" customHeight="false" outlineLevel="0" collapsed="false">
      <c r="A384" s="5" t="n">
        <v>10</v>
      </c>
      <c r="B384" s="25" t="n">
        <f aca="false">IF(T383&gt;0,B383,D383)</f>
        <v>0.05078125</v>
      </c>
      <c r="C384" s="25" t="n">
        <f aca="false">IF(T383&gt;0,D383,C383)</f>
        <v>0.0537109375</v>
      </c>
      <c r="D384" s="41" t="n">
        <f aca="false">(B384+C384)/2</f>
        <v>0.05224609375</v>
      </c>
      <c r="E384" s="15" t="n">
        <f aca="false">$C$2*(1+IF(E$3&lt;=$O$2,$D384,$D384-($D384-$I$373)*MIN(E$3-$O$2,$Q$2)/$Q$2))</f>
        <v>6776.46484375</v>
      </c>
      <c r="F384" s="15" t="n">
        <f aca="false">E384*(1+IF(F$3&lt;=$O$2,$D384,$D384-($D384-$I$373)*MIN(F$3-$O$2,$Q$2)/$Q$2))</f>
        <v>7130.50866127014</v>
      </c>
      <c r="G384" s="15" t="n">
        <f aca="false">F384*(1+IF(G$3&lt;=$O$2,$D384,$D384-($D384-$I$373)*MIN(G$3-$O$2,$Q$2)/$Q$2))</f>
        <v>7503.04988527205</v>
      </c>
      <c r="H384" s="15" t="n">
        <f aca="false">G384*(1+IF(H$3&lt;=$O$2,$D384,$D384-($D384-$I$373)*MIN(H$3-$O$2,$Q$2)/$Q$2))</f>
        <v>7895.0549329889</v>
      </c>
      <c r="I384" s="15" t="n">
        <f aca="false">H384*(1+IF(I$3&lt;=$O$2,$D384,$D384-($D384-$I$373)*MIN(I$3-$O$2,$Q$2)/$Q$2))</f>
        <v>8307.54071317924</v>
      </c>
      <c r="J384" s="15" t="n">
        <f aca="false">I384*(1+IF(J$3&lt;=$O$2,$D384,$D384-($D384-$I$373)*MIN(J$3-$O$2,$Q$2)/$Q$2))</f>
        <v>8701.79063436199</v>
      </c>
      <c r="K384" s="15" t="n">
        <f aca="false">J384*(1+IF(K$3&lt;=$O$2,$D384,$D384-($D384-$I$373)*MIN(K$3-$O$2,$Q$2)/$Q$2))</f>
        <v>9073.07564590842</v>
      </c>
      <c r="L384" s="15" t="n">
        <f aca="false">K384*(1+IF(L$3&lt;=$O$2,$D384,$D384-($D384-$I$373)*MIN(L$3-$O$2,$Q$2)/$Q$2))</f>
        <v>9416.74957469474</v>
      </c>
      <c r="M384" s="15" t="n">
        <f aca="false">L384*(1+IF(M$3&lt;=$O$2,$D384,$D384-($D384-$I$373)*MIN(M$3-$O$2,$Q$2)/$Q$2))</f>
        <v>9728.34246128578</v>
      </c>
      <c r="N384" s="15" t="n">
        <f aca="false">M384*(1+IF(N$3&lt;=$O$2,$D384,$D384-($D384-$I$373)*MIN(N$3-$O$2,$Q$2)/$Q$2))</f>
        <v>10003.6545529402</v>
      </c>
      <c r="O384" s="15" t="n">
        <f aca="false">SUMPRODUCT(E384:N384,1/(1+$F$373)^$E$3:$N$3)*$E$2</f>
        <v>10284.1013912126</v>
      </c>
      <c r="P384" s="15" t="n">
        <f aca="false">N384*$E$2*(1+$I$373)/($F$373-$I$373)/(1+$F$373)^$N$3</f>
        <v>12462.549212651</v>
      </c>
      <c r="Q384" s="15" t="n">
        <f aca="false">O384+P384</f>
        <v>22746.6506038636</v>
      </c>
      <c r="R384" s="15" t="n">
        <f aca="false">Q384-$G$2+$I$2</f>
        <v>17446.7506038636</v>
      </c>
      <c r="S384" s="42" t="n">
        <f aca="false">R384/$K$2</f>
        <v>148.508261864688</v>
      </c>
      <c r="T384" s="43" t="n">
        <f aca="false">S384-$M$2</f>
        <v>1.33427480306057</v>
      </c>
    </row>
    <row r="385" customFormat="false" ht="15" hidden="false" customHeight="false" outlineLevel="0" collapsed="false">
      <c r="A385" s="5" t="n">
        <v>11</v>
      </c>
      <c r="B385" s="25" t="n">
        <f aca="false">IF(T384&gt;0,B384,D384)</f>
        <v>0.05078125</v>
      </c>
      <c r="C385" s="25" t="n">
        <f aca="false">IF(T384&gt;0,D384,C384)</f>
        <v>0.05224609375</v>
      </c>
      <c r="D385" s="41" t="n">
        <f aca="false">(B385+C385)/2</f>
        <v>0.051513671875</v>
      </c>
      <c r="E385" s="15" t="n">
        <f aca="false">$C$2*(1+IF(E$3&lt;=$O$2,$D385,$D385-($D385-$I$373)*MIN(E$3-$O$2,$Q$2)/$Q$2))</f>
        <v>6771.748046875</v>
      </c>
      <c r="F385" s="15" t="n">
        <f aca="false">E385*(1+IF(F$3&lt;=$O$2,$D385,$D385-($D385-$I$373)*MIN(F$3-$O$2,$Q$2)/$Q$2))</f>
        <v>7120.58565378189</v>
      </c>
      <c r="G385" s="15" t="n">
        <f aca="false">F385*(1+IF(G$3&lt;=$O$2,$D385,$D385-($D385-$I$373)*MIN(G$3-$O$2,$Q$2)/$Q$2))</f>
        <v>7487.39316670864</v>
      </c>
      <c r="H385" s="15" t="n">
        <f aca="false">G385*(1+IF(H$3&lt;=$O$2,$D385,$D385-($D385-$I$373)*MIN(H$3-$O$2,$Q$2)/$Q$2))</f>
        <v>7873.09628149759</v>
      </c>
      <c r="I385" s="15" t="n">
        <f aca="false">H385*(1+IF(I$3&lt;=$O$2,$D385,$D385-($D385-$I$373)*MIN(I$3-$O$2,$Q$2)/$Q$2))</f>
        <v>8278.66837998294</v>
      </c>
      <c r="J385" s="15" t="n">
        <f aca="false">I385*(1+IF(J$3&lt;=$O$2,$D385,$D385-($D385-$I$373)*MIN(J$3-$O$2,$Q$2)/$Q$2))</f>
        <v>8666.69732820435</v>
      </c>
      <c r="K385" s="15" t="n">
        <f aca="false">J385*(1+IF(K$3&lt;=$O$2,$D385,$D385-($D385-$I$373)*MIN(K$3-$O$2,$Q$2)/$Q$2))</f>
        <v>9032.67638340265</v>
      </c>
      <c r="L385" s="15" t="n">
        <f aca="false">K385*(1+IF(L$3&lt;=$O$2,$D385,$D385-($D385-$I$373)*MIN(L$3-$O$2,$Q$2)/$Q$2))</f>
        <v>9372.1737593399</v>
      </c>
      <c r="M385" s="15" t="n">
        <f aca="false">L385*(1+IF(M$3&lt;=$O$2,$D385,$D385-($D385-$I$373)*MIN(M$3-$O$2,$Q$2)/$Q$2))</f>
        <v>9680.91879001018</v>
      </c>
      <c r="N385" s="15" t="n">
        <f aca="false">M385*(1+IF(N$3&lt;=$O$2,$D385,$D385-($D385-$I$373)*MIN(N$3-$O$2,$Q$2)/$Q$2))</f>
        <v>9954.88879176746</v>
      </c>
      <c r="O385" s="15" t="n">
        <f aca="false">SUMPRODUCT(E385:N385,1/(1+$F$373)^$E$3:$N$3)*$E$2</f>
        <v>10251.6493633327</v>
      </c>
      <c r="P385" s="15" t="n">
        <f aca="false">N385*$E$2*(1+$I$373)/($F$373-$I$373)/(1+$F$373)^$N$3</f>
        <v>12401.7968450746</v>
      </c>
      <c r="Q385" s="15" t="n">
        <f aca="false">O385+P385</f>
        <v>22653.4462084073</v>
      </c>
      <c r="R385" s="15" t="n">
        <f aca="false">Q385-$G$2+$I$2</f>
        <v>17353.5462084073</v>
      </c>
      <c r="S385" s="42" t="n">
        <f aca="false">R385/$K$2</f>
        <v>147.714897926518</v>
      </c>
      <c r="T385" s="43" t="n">
        <f aca="false">S385-$M$2</f>
        <v>0.540910864890122</v>
      </c>
    </row>
    <row r="386" customFormat="false" ht="15" hidden="false" customHeight="false" outlineLevel="0" collapsed="false">
      <c r="A386" s="5" t="n">
        <v>12</v>
      </c>
      <c r="B386" s="25" t="n">
        <f aca="false">IF(T385&gt;0,B385,D385)</f>
        <v>0.05078125</v>
      </c>
      <c r="C386" s="25" t="n">
        <f aca="false">IF(T385&gt;0,D385,C385)</f>
        <v>0.051513671875</v>
      </c>
      <c r="D386" s="41" t="n">
        <f aca="false">(B386+C386)/2</f>
        <v>0.0511474609375</v>
      </c>
      <c r="E386" s="15" t="n">
        <f aca="false">$C$2*(1+IF(E$3&lt;=$O$2,$D386,$D386-($D386-$I$373)*MIN(E$3-$O$2,$Q$2)/$Q$2))</f>
        <v>6769.3896484375</v>
      </c>
      <c r="F386" s="15" t="n">
        <f aca="false">E386*(1+IF(F$3&lt;=$O$2,$D386,$D386-($D386-$I$373)*MIN(F$3-$O$2,$Q$2)/$Q$2))</f>
        <v>7115.62674105167</v>
      </c>
      <c r="G386" s="15" t="n">
        <f aca="false">F386*(1+IF(G$3&lt;=$O$2,$D386,$D386-($D386-$I$373)*MIN(G$3-$O$2,$Q$2)/$Q$2))</f>
        <v>7479.57298183545</v>
      </c>
      <c r="H386" s="15" t="n">
        <f aca="false">G386*(1+IF(H$3&lt;=$O$2,$D386,$D386-($D386-$I$373)*MIN(H$3-$O$2,$Q$2)/$Q$2))</f>
        <v>7862.13414875305</v>
      </c>
      <c r="I386" s="15" t="n">
        <f aca="false">H386*(1+IF(I$3&lt;=$O$2,$D386,$D386-($D386-$I$373)*MIN(I$3-$O$2,$Q$2)/$Q$2))</f>
        <v>8264.26234801179</v>
      </c>
      <c r="J386" s="15" t="n">
        <f aca="false">I386*(1+IF(J$3&lt;=$O$2,$D386,$D386-($D386-$I$373)*MIN(J$3-$O$2,$Q$2)/$Q$2))</f>
        <v>8649.19490139928</v>
      </c>
      <c r="K386" s="15" t="n">
        <f aca="false">J386*(1+IF(K$3&lt;=$O$2,$D386,$D386-($D386-$I$373)*MIN(K$3-$O$2,$Q$2)/$Q$2))</f>
        <v>9012.53440269921</v>
      </c>
      <c r="L386" s="15" t="n">
        <f aca="false">K386*(1+IF(L$3&lt;=$O$2,$D386,$D386-($D386-$I$373)*MIN(L$3-$O$2,$Q$2)/$Q$2))</f>
        <v>9349.95453738101</v>
      </c>
      <c r="M386" s="15" t="n">
        <f aca="false">L386*(1+IF(M$3&lt;=$O$2,$D386,$D386-($D386-$I$373)*MIN(M$3-$O$2,$Q$2)/$Q$2))</f>
        <v>9657.28279500094</v>
      </c>
      <c r="N386" s="15" t="n">
        <f aca="false">M386*(1+IF(N$3&lt;=$O$2,$D386,$D386-($D386-$I$373)*MIN(N$3-$O$2,$Q$2)/$Q$2))</f>
        <v>9930.58389809947</v>
      </c>
      <c r="O386" s="15" t="n">
        <f aca="false">SUMPRODUCT(E386:N386,1/(1+$F$373)^$E$3:$N$3)*$E$2</f>
        <v>10235.4621718024</v>
      </c>
      <c r="P386" s="15" t="n">
        <f aca="false">N386*$E$2*(1+$I$373)/($F$373-$I$373)/(1+$F$373)^$N$3</f>
        <v>12371.517817361</v>
      </c>
      <c r="Q386" s="15" t="n">
        <f aca="false">O386+P386</f>
        <v>22606.9799891634</v>
      </c>
      <c r="R386" s="15" t="n">
        <f aca="false">Q386-$G$2+$I$2</f>
        <v>17307.0799891634</v>
      </c>
      <c r="S386" s="42" t="n">
        <f aca="false">R386/$K$2</f>
        <v>147.319373418143</v>
      </c>
      <c r="T386" s="43" t="n">
        <f aca="false">S386-$M$2</f>
        <v>0.145386356515104</v>
      </c>
    </row>
    <row r="387" customFormat="false" ht="15" hidden="false" customHeight="false" outlineLevel="0" collapsed="false">
      <c r="A387" s="5" t="n">
        <v>13</v>
      </c>
      <c r="B387" s="25" t="n">
        <f aca="false">IF(T386&gt;0,B386,D386)</f>
        <v>0.05078125</v>
      </c>
      <c r="C387" s="25" t="n">
        <f aca="false">IF(T386&gt;0,D386,C386)</f>
        <v>0.0511474609375</v>
      </c>
      <c r="D387" s="41" t="n">
        <f aca="false">(B387+C387)/2</f>
        <v>0.05096435546875</v>
      </c>
      <c r="E387" s="15" t="n">
        <f aca="false">$C$2*(1+IF(E$3&lt;=$O$2,$D387,$D387-($D387-$I$373)*MIN(E$3-$O$2,$Q$2)/$Q$2))</f>
        <v>6768.21044921875</v>
      </c>
      <c r="F387" s="15" t="n">
        <f aca="false">E387*(1+IF(F$3&lt;=$O$2,$D387,$D387-($D387-$I$373)*MIN(F$3-$O$2,$Q$2)/$Q$2))</f>
        <v>7113.14793244004</v>
      </c>
      <c r="G387" s="15" t="n">
        <f aca="false">F387*(1+IF(G$3&lt;=$O$2,$D387,$D387-($D387-$I$373)*MIN(G$3-$O$2,$Q$2)/$Q$2))</f>
        <v>7475.66493217072</v>
      </c>
      <c r="H387" s="15" t="n">
        <f aca="false">G387*(1+IF(H$3&lt;=$O$2,$D387,$D387-($D387-$I$373)*MIN(H$3-$O$2,$Q$2)/$Q$2))</f>
        <v>7856.65737713914</v>
      </c>
      <c r="I387" s="15" t="n">
        <f aca="false">H387*(1+IF(I$3&lt;=$O$2,$D387,$D387-($D387-$I$373)*MIN(I$3-$O$2,$Q$2)/$Q$2))</f>
        <v>8257.06685650383</v>
      </c>
      <c r="J387" s="15" t="n">
        <f aca="false">I387*(1+IF(J$3&lt;=$O$2,$D387,$D387-($D387-$I$373)*MIN(J$3-$O$2,$Q$2)/$Q$2))</f>
        <v>8640.45472723492</v>
      </c>
      <c r="K387" s="15" t="n">
        <f aca="false">J387*(1+IF(K$3&lt;=$O$2,$D387,$D387-($D387-$I$373)*MIN(K$3-$O$2,$Q$2)/$Q$2))</f>
        <v>9002.47779842549</v>
      </c>
      <c r="L387" s="15" t="n">
        <f aca="false">K387*(1+IF(L$3&lt;=$O$2,$D387,$D387-($D387-$I$373)*MIN(L$3-$O$2,$Q$2)/$Q$2))</f>
        <v>9338.86206289015</v>
      </c>
      <c r="M387" s="15" t="n">
        <f aca="false">L387*(1+IF(M$3&lt;=$O$2,$D387,$D387-($D387-$I$373)*MIN(M$3-$O$2,$Q$2)/$Q$2))</f>
        <v>9645.48371716333</v>
      </c>
      <c r="N387" s="15" t="n">
        <f aca="false">M387*(1+IF(N$3&lt;=$O$2,$D387,$D387-($D387-$I$373)*MIN(N$3-$O$2,$Q$2)/$Q$2))</f>
        <v>9918.45090635905</v>
      </c>
      <c r="O387" s="15" t="n">
        <f aca="false">SUMPRODUCT(E387:N387,1/(1+$F$373)^$E$3:$N$3)*$E$2</f>
        <v>10227.3782646982</v>
      </c>
      <c r="P387" s="15" t="n">
        <f aca="false">N387*$E$2*(1+$I$373)/($F$373-$I$373)/(1+$F$373)^$N$3</f>
        <v>12356.4025406528</v>
      </c>
      <c r="Q387" s="15" t="n">
        <f aca="false">O387+P387</f>
        <v>22583.780805351</v>
      </c>
      <c r="R387" s="15" t="n">
        <f aca="false">Q387-$G$2+$I$2</f>
        <v>17283.880805351</v>
      </c>
      <c r="S387" s="42" t="n">
        <f aca="false">R387/$K$2</f>
        <v>147.121899943403</v>
      </c>
      <c r="T387" s="43" t="n">
        <f aca="false">S387-$M$2</f>
        <v>-0.0520871182243354</v>
      </c>
    </row>
    <row r="388" customFormat="false" ht="15" hidden="false" customHeight="false" outlineLevel="0" collapsed="false">
      <c r="A388" s="5" t="n">
        <v>14</v>
      </c>
      <c r="B388" s="25" t="n">
        <f aca="false">IF(T387&gt;0,B387,D387)</f>
        <v>0.05096435546875</v>
      </c>
      <c r="C388" s="25" t="n">
        <f aca="false">IF(T387&gt;0,D387,C387)</f>
        <v>0.0511474609375</v>
      </c>
      <c r="D388" s="41" t="n">
        <f aca="false">(B388+C388)/2</f>
        <v>0.051055908203125</v>
      </c>
      <c r="E388" s="15" t="n">
        <f aca="false">$C$2*(1+IF(E$3&lt;=$O$2,$D388,$D388-($D388-$I$373)*MIN(E$3-$O$2,$Q$2)/$Q$2))</f>
        <v>6768.80004882813</v>
      </c>
      <c r="F388" s="15" t="n">
        <f aca="false">E388*(1+IF(F$3&lt;=$O$2,$D388,$D388-($D388-$I$373)*MIN(F$3-$O$2,$Q$2)/$Q$2))</f>
        <v>7114.3872827664</v>
      </c>
      <c r="G388" s="15" t="n">
        <f aca="false">F388*(1+IF(G$3&lt;=$O$2,$D388,$D388-($D388-$I$373)*MIN(G$3-$O$2,$Q$2)/$Q$2))</f>
        <v>7477.6187867968</v>
      </c>
      <c r="H388" s="15" t="n">
        <f aca="false">G388*(1+IF(H$3&lt;=$O$2,$D388,$D388-($D388-$I$373)*MIN(H$3-$O$2,$Q$2)/$Q$2))</f>
        <v>7859.39540515346</v>
      </c>
      <c r="I388" s="15" t="n">
        <f aca="false">H388*(1+IF(I$3&lt;=$O$2,$D388,$D388-($D388-$I$373)*MIN(I$3-$O$2,$Q$2)/$Q$2))</f>
        <v>8260.66397549104</v>
      </c>
      <c r="J388" s="15" t="n">
        <f aca="false">I388*(1+IF(J$3&lt;=$O$2,$D388,$D388-($D388-$I$373)*MIN(J$3-$O$2,$Q$2)/$Q$2))</f>
        <v>8644.82389489595</v>
      </c>
      <c r="K388" s="15" t="n">
        <f aca="false">J388*(1+IF(K$3&lt;=$O$2,$D388,$D388-($D388-$I$373)*MIN(K$3-$O$2,$Q$2)/$Q$2))</f>
        <v>9007.50490251216</v>
      </c>
      <c r="L388" s="15" t="n">
        <f aca="false">K388*(1+IF(L$3&lt;=$O$2,$D388,$D388-($D388-$I$373)*MIN(L$3-$O$2,$Q$2)/$Q$2))</f>
        <v>9344.40687313356</v>
      </c>
      <c r="M388" s="15" t="n">
        <f aca="false">L388*(1+IF(M$3&lt;=$O$2,$D388,$D388-($D388-$I$373)*MIN(M$3-$O$2,$Q$2)/$Q$2))</f>
        <v>9651.38168064678</v>
      </c>
      <c r="N388" s="15" t="n">
        <f aca="false">M388*(1+IF(N$3&lt;=$O$2,$D388,$D388-($D388-$I$373)*MIN(N$3-$O$2,$Q$2)/$Q$2))</f>
        <v>9924.51578220908</v>
      </c>
      <c r="O388" s="15" t="n">
        <f aca="false">SUMPRODUCT(E388:N388,1/(1+$F$373)^$E$3:$N$3)*$E$2</f>
        <v>10231.4194113656</v>
      </c>
      <c r="P388" s="15" t="n">
        <f aca="false">N388*$E$2*(1+$I$373)/($F$373-$I$373)/(1+$F$373)^$N$3</f>
        <v>12363.9581607863</v>
      </c>
      <c r="Q388" s="15" t="n">
        <f aca="false">O388+P388</f>
        <v>22595.3775721519</v>
      </c>
      <c r="R388" s="15" t="n">
        <f aca="false">Q388-$G$2+$I$2</f>
        <v>17295.4775721519</v>
      </c>
      <c r="S388" s="42" t="n">
        <f aca="false">R388/$K$2</f>
        <v>147.22061263323</v>
      </c>
      <c r="T388" s="43" t="n">
        <f aca="false">S388-$M$2</f>
        <v>0.0466255716028741</v>
      </c>
    </row>
    <row r="389" customFormat="false" ht="15" hidden="false" customHeight="false" outlineLevel="0" collapsed="false">
      <c r="A389" s="5" t="n">
        <v>15</v>
      </c>
      <c r="B389" s="25" t="n">
        <f aca="false">IF(T388&gt;0,B388,D388)</f>
        <v>0.05096435546875</v>
      </c>
      <c r="C389" s="25" t="n">
        <f aca="false">IF(T388&gt;0,D388,C388)</f>
        <v>0.051055908203125</v>
      </c>
      <c r="D389" s="41" t="n">
        <f aca="false">(B389+C389)/2</f>
        <v>0.0510101318359375</v>
      </c>
      <c r="E389" s="15" t="n">
        <f aca="false">$C$2*(1+IF(E$3&lt;=$O$2,$D389,$D389-($D389-$I$373)*MIN(E$3-$O$2,$Q$2)/$Q$2))</f>
        <v>6768.50524902344</v>
      </c>
      <c r="F389" s="15" t="n">
        <f aca="false">E389*(1+IF(F$3&lt;=$O$2,$D389,$D389-($D389-$I$373)*MIN(F$3-$O$2,$Q$2)/$Q$2))</f>
        <v>7113.76759410836</v>
      </c>
      <c r="G389" s="15" t="n">
        <f aca="false">F389*(1+IF(G$3&lt;=$O$2,$D389,$D389-($D389-$I$373)*MIN(G$3-$O$2,$Q$2)/$Q$2))</f>
        <v>7476.64181693405</v>
      </c>
      <c r="H389" s="15" t="n">
        <f aca="false">G389*(1+IF(H$3&lt;=$O$2,$D389,$D389-($D389-$I$373)*MIN(H$3-$O$2,$Q$2)/$Q$2))</f>
        <v>7858.02630170593</v>
      </c>
      <c r="I389" s="15" t="n">
        <f aca="false">H389*(1+IF(I$3&lt;=$O$2,$D389,$D389-($D389-$I$373)*MIN(I$3-$O$2,$Q$2)/$Q$2))</f>
        <v>8258.86525932622</v>
      </c>
      <c r="J389" s="15" t="n">
        <f aca="false">I389*(1+IF(J$3&lt;=$O$2,$D389,$D389-($D389-$I$373)*MIN(J$3-$O$2,$Q$2)/$Q$2))</f>
        <v>8642.63908124878</v>
      </c>
      <c r="K389" s="15" t="n">
        <f aca="false">J389*(1+IF(K$3&lt;=$O$2,$D389,$D389-($D389-$I$373)*MIN(K$3-$O$2,$Q$2)/$Q$2))</f>
        <v>9004.99105101548</v>
      </c>
      <c r="L389" s="15" t="n">
        <f aca="false">K389*(1+IF(L$3&lt;=$O$2,$D389,$D389-($D389-$I$373)*MIN(L$3-$O$2,$Q$2)/$Q$2))</f>
        <v>9341.63411133921</v>
      </c>
      <c r="M389" s="15" t="n">
        <f aca="false">L389*(1+IF(M$3&lt;=$O$2,$D389,$D389-($D389-$I$373)*MIN(M$3-$O$2,$Q$2)/$Q$2))</f>
        <v>9648.43230513643</v>
      </c>
      <c r="N389" s="15" t="n">
        <f aca="false">M389*(1+IF(N$3&lt;=$O$2,$D389,$D389-($D389-$I$373)*MIN(N$3-$O$2,$Q$2)/$Q$2))</f>
        <v>9921.48293937179</v>
      </c>
      <c r="O389" s="15" t="n">
        <f aca="false">SUMPRODUCT(E389:N389,1/(1+$F$373)^$E$3:$N$3)*$E$2</f>
        <v>10229.3986363485</v>
      </c>
      <c r="P389" s="15" t="n">
        <f aca="false">N389*$E$2*(1+$I$373)/($F$373-$I$373)/(1+$F$373)^$N$3</f>
        <v>12360.17984628</v>
      </c>
      <c r="Q389" s="15" t="n">
        <f aca="false">O389+P389</f>
        <v>22589.5784826285</v>
      </c>
      <c r="R389" s="15" t="n">
        <f aca="false">Q389-$G$2+$I$2</f>
        <v>17289.6784826285</v>
      </c>
      <c r="S389" s="42" t="n">
        <f aca="false">R389/$K$2</f>
        <v>147.171250277736</v>
      </c>
      <c r="T389" s="43" t="n">
        <f aca="false">S389-$M$2</f>
        <v>-0.00273678389115162</v>
      </c>
    </row>
    <row r="390" customFormat="false" ht="15" hidden="false" customHeight="false" outlineLevel="0" collapsed="false">
      <c r="A390" s="5" t="n">
        <v>16</v>
      </c>
      <c r="B390" s="25" t="n">
        <f aca="false">IF(T389&gt;0,B389,D389)</f>
        <v>0.0510101318359375</v>
      </c>
      <c r="C390" s="25" t="n">
        <f aca="false">IF(T389&gt;0,D389,C389)</f>
        <v>0.051055908203125</v>
      </c>
      <c r="D390" s="41" t="n">
        <f aca="false">(B390+C390)/2</f>
        <v>0.0510330200195313</v>
      </c>
      <c r="E390" s="15" t="n">
        <f aca="false">$C$2*(1+IF(E$3&lt;=$O$2,$D390,$D390-($D390-$I$373)*MIN(E$3-$O$2,$Q$2)/$Q$2))</f>
        <v>6768.65264892578</v>
      </c>
      <c r="F390" s="15" t="n">
        <f aca="false">E390*(1+IF(F$3&lt;=$O$2,$D390,$D390-($D390-$I$373)*MIN(F$3-$O$2,$Q$2)/$Q$2))</f>
        <v>7114.07743506366</v>
      </c>
      <c r="G390" s="15" t="n">
        <f aca="false">F390*(1+IF(G$3&lt;=$O$2,$D390,$D390-($D390-$I$373)*MIN(G$3-$O$2,$Q$2)/$Q$2))</f>
        <v>7477.13029122776</v>
      </c>
      <c r="H390" s="15" t="n">
        <f aca="false">G390*(1+IF(H$3&lt;=$O$2,$D390,$D390-($D390-$I$373)*MIN(H$3-$O$2,$Q$2)/$Q$2))</f>
        <v>7858.71083106863</v>
      </c>
      <c r="I390" s="15" t="n">
        <f aca="false">H390*(1+IF(I$3&lt;=$O$2,$D390,$D390-($D390-$I$373)*MIN(I$3-$O$2,$Q$2)/$Q$2))</f>
        <v>8259.76457823827</v>
      </c>
      <c r="J390" s="15" t="n">
        <f aca="false">I390*(1+IF(J$3&lt;=$O$2,$D390,$D390-($D390-$I$373)*MIN(J$3-$O$2,$Q$2)/$Q$2))</f>
        <v>8643.73143061337</v>
      </c>
      <c r="K390" s="15" t="n">
        <f aca="false">J390*(1+IF(K$3&lt;=$O$2,$D390,$D390-($D390-$I$373)*MIN(K$3-$O$2,$Q$2)/$Q$2))</f>
        <v>9006.24790189308</v>
      </c>
      <c r="L390" s="15" t="n">
        <f aca="false">K390*(1+IF(L$3&lt;=$O$2,$D390,$D390-($D390-$I$373)*MIN(L$3-$O$2,$Q$2)/$Q$2))</f>
        <v>9343.0204030585</v>
      </c>
      <c r="M390" s="15" t="n">
        <f aca="false">L390*(1+IF(M$3&lt;=$O$2,$D390,$D390-($D390-$I$373)*MIN(M$3-$O$2,$Q$2)/$Q$2))</f>
        <v>9649.90689443817</v>
      </c>
      <c r="N390" s="15" t="n">
        <f aca="false">M390*(1+IF(N$3&lt;=$O$2,$D390,$D390-($D390-$I$373)*MIN(N$3-$O$2,$Q$2)/$Q$2))</f>
        <v>9922.99925955077</v>
      </c>
      <c r="O390" s="15" t="n">
        <f aca="false">SUMPRODUCT(E390:N390,1/(1+$F$373)^$E$3:$N$3)*$E$2</f>
        <v>10230.4089734314</v>
      </c>
      <c r="P390" s="15" t="n">
        <f aca="false">N390*$E$2*(1+$I$373)/($F$373-$I$373)/(1+$F$373)^$N$3</f>
        <v>12362.0688774088</v>
      </c>
      <c r="Q390" s="15" t="n">
        <f aca="false">O390+P390</f>
        <v>22592.4778508403</v>
      </c>
      <c r="R390" s="15" t="n">
        <f aca="false">Q390-$G$2+$I$2</f>
        <v>17292.5778508403</v>
      </c>
      <c r="S390" s="42" t="n">
        <f aca="false">R390/$K$2</f>
        <v>147.195929952675</v>
      </c>
      <c r="T390" s="43" t="n">
        <f aca="false">S390-$M$2</f>
        <v>0.021942891047587</v>
      </c>
    </row>
    <row r="391" customFormat="false" ht="15" hidden="false" customHeight="false" outlineLevel="0" collapsed="false">
      <c r="A391" s="5" t="n">
        <v>17</v>
      </c>
      <c r="B391" s="25" t="n">
        <f aca="false">IF(T390&gt;0,B390,D390)</f>
        <v>0.0510101318359375</v>
      </c>
      <c r="C391" s="25" t="n">
        <f aca="false">IF(T390&gt;0,D390,C390)</f>
        <v>0.0510330200195313</v>
      </c>
      <c r="D391" s="41" t="n">
        <f aca="false">(B391+C391)/2</f>
        <v>0.0510215759277344</v>
      </c>
      <c r="E391" s="15" t="n">
        <f aca="false">$C$2*(1+IF(E$3&lt;=$O$2,$D391,$D391-($D391-$I$373)*MIN(E$3-$O$2,$Q$2)/$Q$2))</f>
        <v>6768.57894897461</v>
      </c>
      <c r="F391" s="15" t="n">
        <f aca="false">E391*(1+IF(F$3&lt;=$O$2,$D391,$D391-($D391-$I$373)*MIN(F$3-$O$2,$Q$2)/$Q$2))</f>
        <v>7113.92251374258</v>
      </c>
      <c r="G391" s="15" t="n">
        <f aca="false">F391*(1+IF(G$3&lt;=$O$2,$D391,$D391-($D391-$I$373)*MIN(G$3-$O$2,$Q$2)/$Q$2))</f>
        <v>7476.88605142152</v>
      </c>
      <c r="H391" s="15" t="n">
        <f aca="false">G391*(1+IF(H$3&lt;=$O$2,$D391,$D391-($D391-$I$373)*MIN(H$3-$O$2,$Q$2)/$Q$2))</f>
        <v>7858.36856079714</v>
      </c>
      <c r="I391" s="15" t="n">
        <f aca="false">H391*(1+IF(I$3&lt;=$O$2,$D391,$D391-($D391-$I$373)*MIN(I$3-$O$2,$Q$2)/$Q$2))</f>
        <v>8259.31490898997</v>
      </c>
      <c r="J391" s="15" t="n">
        <f aca="false">I391*(1+IF(J$3&lt;=$O$2,$D391,$D391-($D391-$I$373)*MIN(J$3-$O$2,$Q$2)/$Q$2))</f>
        <v>8643.18524156694</v>
      </c>
      <c r="K391" s="15" t="n">
        <f aca="false">J391*(1+IF(K$3&lt;=$O$2,$D391,$D391-($D391-$I$373)*MIN(K$3-$O$2,$Q$2)/$Q$2))</f>
        <v>9005.61945773752</v>
      </c>
      <c r="L391" s="15" t="n">
        <f aca="false">K391*(1+IF(L$3&lt;=$O$2,$D391,$D391-($D391-$I$373)*MIN(L$3-$O$2,$Q$2)/$Q$2))</f>
        <v>9342.3272349056</v>
      </c>
      <c r="M391" s="15" t="n">
        <f aca="false">L391*(1+IF(M$3&lt;=$O$2,$D391,$D391-($D391-$I$373)*MIN(M$3-$O$2,$Q$2)/$Q$2))</f>
        <v>9649.16957517536</v>
      </c>
      <c r="N391" s="15" t="n">
        <f aca="false">M391*(1+IF(N$3&lt;=$O$2,$D391,$D391-($D391-$I$373)*MIN(N$3-$O$2,$Q$2)/$Q$2))</f>
        <v>9922.24107415282</v>
      </c>
      <c r="O391" s="15" t="n">
        <f aca="false">SUMPRODUCT(E391:N391,1/(1+$F$373)^$E$3:$N$3)*$E$2</f>
        <v>10229.9037922842</v>
      </c>
      <c r="P391" s="15" t="n">
        <f aca="false">N391*$E$2*(1+$I$373)/($F$373-$I$373)/(1+$F$373)^$N$3</f>
        <v>12361.1243303151</v>
      </c>
      <c r="Q391" s="15" t="n">
        <f aca="false">O391+P391</f>
        <v>22591.0281225993</v>
      </c>
      <c r="R391" s="15" t="n">
        <f aca="false">Q391-$G$2+$I$2</f>
        <v>17291.1281225993</v>
      </c>
      <c r="S391" s="42" t="n">
        <f aca="false">R391/$K$2</f>
        <v>147.183589739524</v>
      </c>
      <c r="T391" s="43" t="n">
        <f aca="false">S391-$M$2</f>
        <v>0.00960267789656655</v>
      </c>
    </row>
    <row r="392" customFormat="false" ht="15" hidden="false" customHeight="false" outlineLevel="0" collapsed="false">
      <c r="A392" s="5" t="n">
        <v>18</v>
      </c>
      <c r="B392" s="25" t="n">
        <f aca="false">IF(T391&gt;0,B391,D391)</f>
        <v>0.0510101318359375</v>
      </c>
      <c r="C392" s="25" t="n">
        <f aca="false">IF(T391&gt;0,D391,C391)</f>
        <v>0.0510215759277344</v>
      </c>
      <c r="D392" s="41" t="n">
        <f aca="false">(B392+C392)/2</f>
        <v>0.0510158538818359</v>
      </c>
      <c r="E392" s="15" t="n">
        <f aca="false">$C$2*(1+IF(E$3&lt;=$O$2,$D392,$D392-($D392-$I$373)*MIN(E$3-$O$2,$Q$2)/$Q$2))</f>
        <v>6768.54209899902</v>
      </c>
      <c r="F392" s="15" t="n">
        <f aca="false">E392*(1+IF(F$3&lt;=$O$2,$D392,$D392-($D392-$I$373)*MIN(F$3-$O$2,$Q$2)/$Q$2))</f>
        <v>7113.84505371461</v>
      </c>
      <c r="G392" s="15" t="n">
        <f aca="false">F392*(1+IF(G$3&lt;=$O$2,$D392,$D392-($D392-$I$373)*MIN(G$3-$O$2,$Q$2)/$Q$2))</f>
        <v>7476.76393351294</v>
      </c>
      <c r="H392" s="15" t="n">
        <f aca="false">G392*(1+IF(H$3&lt;=$O$2,$D392,$D392-($D392-$I$373)*MIN(H$3-$O$2,$Q$2)/$Q$2))</f>
        <v>7858.19742985402</v>
      </c>
      <c r="I392" s="15" t="n">
        <f aca="false">H392*(1+IF(I$3&lt;=$O$2,$D392,$D392-($D392-$I$373)*MIN(I$3-$O$2,$Q$2)/$Q$2))</f>
        <v>8259.09008171007</v>
      </c>
      <c r="J392" s="15" t="n">
        <f aca="false">I392*(1+IF(J$3&lt;=$O$2,$D392,$D392-($D392-$I$373)*MIN(J$3-$O$2,$Q$2)/$Q$2))</f>
        <v>8642.9121578169</v>
      </c>
      <c r="K392" s="15" t="n">
        <f aca="false">J392*(1+IF(K$3&lt;=$O$2,$D392,$D392-($D392-$I$373)*MIN(K$3-$O$2,$Q$2)/$Q$2))</f>
        <v>9005.30524969743</v>
      </c>
      <c r="L392" s="15" t="n">
        <f aca="false">K392*(1+IF(L$3&lt;=$O$2,$D392,$D392-($D392-$I$373)*MIN(L$3-$O$2,$Q$2)/$Q$2))</f>
        <v>9341.98066754925</v>
      </c>
      <c r="M392" s="15" t="n">
        <f aca="false">L392*(1+IF(M$3&lt;=$O$2,$D392,$D392-($D392-$I$373)*MIN(M$3-$O$2,$Q$2)/$Q$2))</f>
        <v>9648.80093400309</v>
      </c>
      <c r="N392" s="15" t="n">
        <f aca="false">M392*(1+IF(N$3&lt;=$O$2,$D392,$D392-($D392-$I$373)*MIN(N$3-$O$2,$Q$2)/$Q$2))</f>
        <v>9921.86200043537</v>
      </c>
      <c r="O392" s="15" t="n">
        <f aca="false">SUMPRODUCT(E392:N392,1/(1+$F$373)^$E$3:$N$3)*$E$2</f>
        <v>10229.6512111649</v>
      </c>
      <c r="P392" s="15" t="n">
        <f aca="false">N392*$E$2*(1+$I$373)/($F$373-$I$373)/(1+$F$373)^$N$3</f>
        <v>12360.6520804155</v>
      </c>
      <c r="Q392" s="15" t="n">
        <f aca="false">O392+P392</f>
        <v>22590.3032915804</v>
      </c>
      <c r="R392" s="15" t="n">
        <f aca="false">Q392-$G$2+$I$2</f>
        <v>17290.4032915804</v>
      </c>
      <c r="S392" s="42" t="n">
        <f aca="false">R392/$K$2</f>
        <v>147.177419914712</v>
      </c>
      <c r="T392" s="43" t="n">
        <f aca="false">S392-$M$2</f>
        <v>0.00343285308488817</v>
      </c>
    </row>
    <row r="393" customFormat="false" ht="15" hidden="false" customHeight="false" outlineLevel="0" collapsed="false">
      <c r="A393" s="5" t="n">
        <v>19</v>
      </c>
      <c r="B393" s="25" t="n">
        <f aca="false">IF(T392&gt;0,B392,D392)</f>
        <v>0.0510101318359375</v>
      </c>
      <c r="C393" s="25" t="n">
        <f aca="false">IF(T392&gt;0,D392,C392)</f>
        <v>0.0510158538818359</v>
      </c>
      <c r="D393" s="41" t="n">
        <f aca="false">(B393+C393)/2</f>
        <v>0.0510129928588867</v>
      </c>
      <c r="E393" s="15" t="n">
        <f aca="false">$C$2*(1+IF(E$3&lt;=$O$2,$D393,$D393-($D393-$I$373)*MIN(E$3-$O$2,$Q$2)/$Q$2))</f>
        <v>6768.52367401123</v>
      </c>
      <c r="F393" s="15" t="n">
        <f aca="false">E393*(1+IF(F$3&lt;=$O$2,$D393,$D393-($D393-$I$373)*MIN(F$3-$O$2,$Q$2)/$Q$2))</f>
        <v>7113.80632385877</v>
      </c>
      <c r="G393" s="15" t="n">
        <f aca="false">F393*(1+IF(G$3&lt;=$O$2,$D393,$D393-($D393-$I$373)*MIN(G$3-$O$2,$Q$2)/$Q$2))</f>
        <v>7476.70287505728</v>
      </c>
      <c r="H393" s="15" t="n">
        <f aca="false">G393*(1+IF(H$3&lt;=$O$2,$D393,$D393-($D393-$I$373)*MIN(H$3-$O$2,$Q$2)/$Q$2))</f>
        <v>7858.1118654306</v>
      </c>
      <c r="I393" s="15" t="n">
        <f aca="false">H393*(1+IF(I$3&lt;=$O$2,$D393,$D393-($D393-$I$373)*MIN(I$3-$O$2,$Q$2)/$Q$2))</f>
        <v>8258.97766990614</v>
      </c>
      <c r="J393" s="15" t="n">
        <f aca="false">I393*(1+IF(J$3&lt;=$O$2,$D393,$D393-($D393-$I$373)*MIN(J$3-$O$2,$Q$2)/$Q$2))</f>
        <v>8642.77561863511</v>
      </c>
      <c r="K393" s="15" t="n">
        <f aca="false">J393*(1+IF(K$3&lt;=$O$2,$D393,$D393-($D393-$I$373)*MIN(K$3-$O$2,$Q$2)/$Q$2))</f>
        <v>9005.1481491867</v>
      </c>
      <c r="L393" s="15" t="n">
        <f aca="false">K393*(1+IF(L$3&lt;=$O$2,$D393,$D393-($D393-$I$373)*MIN(L$3-$O$2,$Q$2)/$Q$2))</f>
        <v>9341.80738805096</v>
      </c>
      <c r="M393" s="15" t="n">
        <f aca="false">L393*(1+IF(M$3&lt;=$O$2,$D393,$D393-($D393-$I$373)*MIN(M$3-$O$2,$Q$2)/$Q$2))</f>
        <v>9648.61661803158</v>
      </c>
      <c r="N393" s="15" t="n">
        <f aca="false">M393*(1+IF(N$3&lt;=$O$2,$D393,$D393-($D393-$I$373)*MIN(N$3-$O$2,$Q$2)/$Q$2))</f>
        <v>9921.67246832187</v>
      </c>
      <c r="O393" s="15" t="n">
        <f aca="false">SUMPRODUCT(E393:N393,1/(1+$F$373)^$E$3:$N$3)*$E$2</f>
        <v>10229.5249229689</v>
      </c>
      <c r="P393" s="15" t="n">
        <f aca="false">N393*$E$2*(1+$I$373)/($F$373-$I$373)/(1+$F$373)^$N$3</f>
        <v>12360.4159613772</v>
      </c>
      <c r="Q393" s="15" t="n">
        <f aca="false">O393+P393</f>
        <v>22589.9408843461</v>
      </c>
      <c r="R393" s="15" t="n">
        <f aca="false">Q393-$G$2+$I$2</f>
        <v>17290.0408843461</v>
      </c>
      <c r="S393" s="42" t="n">
        <f aca="false">R393/$K$2</f>
        <v>147.174335072745</v>
      </c>
      <c r="T393" s="43" t="n">
        <f aca="false">S393-$M$2</f>
        <v>0.000348011117694114</v>
      </c>
    </row>
    <row r="394" customFormat="false" ht="15" hidden="false" customHeight="false" outlineLevel="0" collapsed="false">
      <c r="A394" s="5" t="n">
        <v>20</v>
      </c>
      <c r="B394" s="25" t="n">
        <f aca="false">IF(T393&gt;0,B393,D393)</f>
        <v>0.0510101318359375</v>
      </c>
      <c r="C394" s="25" t="n">
        <f aca="false">IF(T393&gt;0,D393,C393)</f>
        <v>0.0510129928588867</v>
      </c>
      <c r="D394" s="41" t="n">
        <f aca="false">(B394+C394)/2</f>
        <v>0.0510115623474121</v>
      </c>
      <c r="E394" s="15" t="n">
        <f aca="false">$C$2*(1+IF(E$3&lt;=$O$2,$D394,$D394-($D394-$I$373)*MIN(E$3-$O$2,$Q$2)/$Q$2))</f>
        <v>6768.51446151733</v>
      </c>
      <c r="F394" s="15" t="n">
        <f aca="false">E394*(1+IF(F$3&lt;=$O$2,$D394,$D394-($D394-$I$373)*MIN(F$3-$O$2,$Q$2)/$Q$2))</f>
        <v>7113.78695897039</v>
      </c>
      <c r="G394" s="15" t="n">
        <f aca="false">F394*(1+IF(G$3&lt;=$O$2,$D394,$D394-($D394-$I$373)*MIN(G$3-$O$2,$Q$2)/$Q$2))</f>
        <v>7476.67234595411</v>
      </c>
      <c r="H394" s="15" t="n">
        <f aca="false">G394*(1+IF(H$3&lt;=$O$2,$D394,$D394-($D394-$I$373)*MIN(H$3-$O$2,$Q$2)/$Q$2))</f>
        <v>7858.06908348092</v>
      </c>
      <c r="I394" s="15" t="n">
        <f aca="false">H394*(1+IF(I$3&lt;=$O$2,$D394,$D394-($D394-$I$373)*MIN(I$3-$O$2,$Q$2)/$Q$2))</f>
        <v>8258.92146446318</v>
      </c>
      <c r="J394" s="15" t="n">
        <f aca="false">I394*(1+IF(J$3&lt;=$O$2,$D394,$D394-($D394-$I$373)*MIN(J$3-$O$2,$Q$2)/$Q$2))</f>
        <v>8642.70734971752</v>
      </c>
      <c r="K394" s="15" t="n">
        <f aca="false">J394*(1+IF(K$3&lt;=$O$2,$D394,$D394-($D394-$I$373)*MIN(K$3-$O$2,$Q$2)/$Q$2))</f>
        <v>9005.06959980865</v>
      </c>
      <c r="L394" s="15" t="n">
        <f aca="false">K394*(1+IF(L$3&lt;=$O$2,$D394,$D394-($D394-$I$373)*MIN(L$3-$O$2,$Q$2)/$Q$2))</f>
        <v>9341.72074934677</v>
      </c>
      <c r="M394" s="15" t="n">
        <f aca="false">L394*(1+IF(M$3&lt;=$O$2,$D394,$D394-($D394-$I$373)*MIN(M$3-$O$2,$Q$2)/$Q$2))</f>
        <v>9648.52446119946</v>
      </c>
      <c r="N394" s="15" t="n">
        <f aca="false">M394*(1+IF(N$3&lt;=$O$2,$D394,$D394-($D394-$I$373)*MIN(N$3-$O$2,$Q$2)/$Q$2))</f>
        <v>9921.57770345141</v>
      </c>
      <c r="O394" s="15" t="n">
        <f aca="false">SUMPRODUCT(E394:N394,1/(1+$F$373)^$E$3:$N$3)*$E$2</f>
        <v>10229.4617794617</v>
      </c>
      <c r="P394" s="15" t="n">
        <f aca="false">N394*$E$2*(1+$I$373)/($F$373-$I$373)/(1+$F$373)^$N$3</f>
        <v>12360.297903336</v>
      </c>
      <c r="Q394" s="15" t="n">
        <f aca="false">O394+P394</f>
        <v>22589.7596827977</v>
      </c>
      <c r="R394" s="15" t="n">
        <f aca="false">Q394-$G$2+$I$2</f>
        <v>17289.8596827977</v>
      </c>
      <c r="S394" s="42" t="n">
        <f aca="false">R394/$K$2</f>
        <v>147.172792669371</v>
      </c>
      <c r="T394" s="43" t="n">
        <f aca="false">S394-$M$2</f>
        <v>-0.00119439225645124</v>
      </c>
    </row>
    <row r="395" customFormat="false" ht="15" hidden="false" customHeight="false" outlineLevel="0" collapsed="false">
      <c r="A395" s="5" t="n">
        <v>21</v>
      </c>
      <c r="B395" s="25" t="n">
        <f aca="false">IF(T394&gt;0,B394,D394)</f>
        <v>0.0510115623474121</v>
      </c>
      <c r="C395" s="25" t="n">
        <f aca="false">IF(T394&gt;0,D394,C394)</f>
        <v>0.0510129928588867</v>
      </c>
      <c r="D395" s="41" t="n">
        <f aca="false">(B395+C395)/2</f>
        <v>0.0510122776031494</v>
      </c>
      <c r="E395" s="15" t="n">
        <f aca="false">$C$2*(1+IF(E$3&lt;=$O$2,$D395,$D395-($D395-$I$373)*MIN(E$3-$O$2,$Q$2)/$Q$2))</f>
        <v>6768.51906776428</v>
      </c>
      <c r="F395" s="15" t="n">
        <f aca="false">E395*(1+IF(F$3&lt;=$O$2,$D395,$D395-($D395-$I$373)*MIN(F$3-$O$2,$Q$2)/$Q$2))</f>
        <v>7113.79664141128</v>
      </c>
      <c r="G395" s="15" t="n">
        <f aca="false">F395*(1+IF(G$3&lt;=$O$2,$D395,$D395-($D395-$I$373)*MIN(G$3-$O$2,$Q$2)/$Q$2))</f>
        <v>7476.68761049531</v>
      </c>
      <c r="H395" s="15" t="n">
        <f aca="false">G395*(1+IF(H$3&lt;=$O$2,$D395,$D395-($D395-$I$373)*MIN(H$3-$O$2,$Q$2)/$Q$2))</f>
        <v>7858.09047443392</v>
      </c>
      <c r="I395" s="15" t="n">
        <f aca="false">H395*(1+IF(I$3&lt;=$O$2,$D395,$D395-($D395-$I$373)*MIN(I$3-$O$2,$Q$2)/$Q$2))</f>
        <v>8258.94956714641</v>
      </c>
      <c r="J395" s="15" t="n">
        <f aca="false">I395*(1+IF(J$3&lt;=$O$2,$D395,$D395-($D395-$I$373)*MIN(J$3-$O$2,$Q$2)/$Q$2))</f>
        <v>8642.7414841202</v>
      </c>
      <c r="K395" s="15" t="n">
        <f aca="false">J395*(1+IF(K$3&lt;=$O$2,$D395,$D395-($D395-$I$373)*MIN(K$3-$O$2,$Q$2)/$Q$2))</f>
        <v>9005.10887442456</v>
      </c>
      <c r="L395" s="15" t="n">
        <f aca="false">K395*(1+IF(L$3&lt;=$O$2,$D395,$D395-($D395-$I$373)*MIN(L$3-$O$2,$Q$2)/$Q$2))</f>
        <v>9341.76406861178</v>
      </c>
      <c r="M395" s="15" t="n">
        <f aca="false">L395*(1+IF(M$3&lt;=$O$2,$D395,$D395-($D395-$I$373)*MIN(M$3-$O$2,$Q$2)/$Q$2))</f>
        <v>9648.57053951938</v>
      </c>
      <c r="N395" s="15" t="n">
        <f aca="false">M395*(1+IF(N$3&lt;=$O$2,$D395,$D395-($D395-$I$373)*MIN(N$3-$O$2,$Q$2)/$Q$2))</f>
        <v>9921.62508578778</v>
      </c>
      <c r="O395" s="15" t="n">
        <f aca="false">SUMPRODUCT(E395:N395,1/(1+$F$373)^$E$3:$N$3)*$E$2</f>
        <v>10229.4933511661</v>
      </c>
      <c r="P395" s="15" t="n">
        <f aca="false">N395*$E$2*(1+$I$373)/($F$373-$I$373)/(1+$F$373)^$N$3</f>
        <v>12360.3569322335</v>
      </c>
      <c r="Q395" s="15" t="n">
        <f aca="false">O395+P395</f>
        <v>22589.8502833995</v>
      </c>
      <c r="R395" s="15" t="n">
        <f aca="false">Q395-$G$2+$I$2</f>
        <v>17289.9502833995</v>
      </c>
      <c r="S395" s="42" t="n">
        <f aca="false">R395/$K$2</f>
        <v>147.173563869591</v>
      </c>
      <c r="T395" s="43" t="n">
        <f aca="false">S395-$M$2</f>
        <v>-0.000423192036834053</v>
      </c>
    </row>
    <row r="396" customFormat="false" ht="15" hidden="false" customHeight="false" outlineLevel="0" collapsed="false">
      <c r="A396" s="5" t="n">
        <v>22</v>
      </c>
      <c r="B396" s="25" t="n">
        <f aca="false">IF(T395&gt;0,B395,D395)</f>
        <v>0.0510122776031494</v>
      </c>
      <c r="C396" s="25" t="n">
        <f aca="false">IF(T395&gt;0,D395,C395)</f>
        <v>0.0510129928588867</v>
      </c>
      <c r="D396" s="41" t="n">
        <f aca="false">(B396+C396)/2</f>
        <v>0.0510126352310181</v>
      </c>
      <c r="E396" s="15" t="n">
        <f aca="false">$C$2*(1+IF(E$3&lt;=$O$2,$D396,$D396-($D396-$I$373)*MIN(E$3-$O$2,$Q$2)/$Q$2))</f>
        <v>6768.52137088776</v>
      </c>
      <c r="F396" s="15" t="n">
        <f aca="false">E396*(1+IF(F$3&lt;=$O$2,$D396,$D396-($D396-$I$373)*MIN(F$3-$O$2,$Q$2)/$Q$2))</f>
        <v>7113.8014826342</v>
      </c>
      <c r="G396" s="15" t="n">
        <f aca="false">F396*(1+IF(G$3&lt;=$O$2,$D396,$D396-($D396-$I$373)*MIN(G$3-$O$2,$Q$2)/$Q$2))</f>
        <v>7476.6952427737</v>
      </c>
      <c r="H396" s="15" t="n">
        <f aca="false">G396*(1+IF(H$3&lt;=$O$2,$D396,$D396-($D396-$I$373)*MIN(H$3-$O$2,$Q$2)/$Q$2))</f>
        <v>7858.1011699268</v>
      </c>
      <c r="I396" s="15" t="n">
        <f aca="false">H396*(1+IF(I$3&lt;=$O$2,$D396,$D396-($D396-$I$373)*MIN(I$3-$O$2,$Q$2)/$Q$2))</f>
        <v>8258.96361851671</v>
      </c>
      <c r="J396" s="15" t="n">
        <f aca="false">I396*(1+IF(J$3&lt;=$O$2,$D396,$D396-($D396-$I$373)*MIN(J$3-$O$2,$Q$2)/$Q$2))</f>
        <v>8642.75855136363</v>
      </c>
      <c r="K396" s="15" t="n">
        <f aca="false">J396*(1+IF(K$3&lt;=$O$2,$D396,$D396-($D396-$I$373)*MIN(K$3-$O$2,$Q$2)/$Q$2))</f>
        <v>9005.12851178735</v>
      </c>
      <c r="L396" s="15" t="n">
        <f aca="false">K396*(1+IF(L$3&lt;=$O$2,$D396,$D396-($D396-$I$373)*MIN(L$3-$O$2,$Q$2)/$Q$2))</f>
        <v>9341.7857283096</v>
      </c>
      <c r="M396" s="15" t="n">
        <f aca="false">L396*(1+IF(M$3&lt;=$O$2,$D396,$D396-($D396-$I$373)*MIN(M$3-$O$2,$Q$2)/$Q$2))</f>
        <v>9648.59357875145</v>
      </c>
      <c r="N396" s="15" t="n">
        <f aca="false">M396*(1+IF(N$3&lt;=$O$2,$D396,$D396-($D396-$I$373)*MIN(N$3-$O$2,$Q$2)/$Q$2))</f>
        <v>9921.64877703011</v>
      </c>
      <c r="O396" s="15" t="n">
        <f aca="false">SUMPRODUCT(E396:N396,1/(1+$F$373)^$E$3:$N$3)*$E$2</f>
        <v>10229.5091370552</v>
      </c>
      <c r="P396" s="15" t="n">
        <f aca="false">N396*$E$2*(1+$I$373)/($F$373-$I$373)/(1+$F$373)^$N$3</f>
        <v>12360.3864467746</v>
      </c>
      <c r="Q396" s="15" t="n">
        <f aca="false">O396+P396</f>
        <v>22589.8955838297</v>
      </c>
      <c r="R396" s="15" t="n">
        <f aca="false">Q396-$G$2+$I$2</f>
        <v>17289.9955838297</v>
      </c>
      <c r="S396" s="42" t="n">
        <f aca="false">R396/$K$2</f>
        <v>147.173949470801</v>
      </c>
      <c r="T396" s="43" t="n">
        <f aca="false">S396-$M$2</f>
        <v>-3.75908264516056E-005</v>
      </c>
    </row>
    <row r="397" customFormat="false" ht="15" hidden="false" customHeight="false" outlineLevel="0" collapsed="false">
      <c r="A397" s="5" t="n">
        <v>23</v>
      </c>
      <c r="B397" s="25" t="n">
        <f aca="false">IF(T396&gt;0,B396,D396)</f>
        <v>0.0510126352310181</v>
      </c>
      <c r="C397" s="25" t="n">
        <f aca="false">IF(T396&gt;0,D396,C396)</f>
        <v>0.0510129928588867</v>
      </c>
      <c r="D397" s="41" t="n">
        <f aca="false">(B397+C397)/2</f>
        <v>0.0510128140449524</v>
      </c>
      <c r="E397" s="15" t="n">
        <f aca="false">$C$2*(1+IF(E$3&lt;=$O$2,$D397,$D397-($D397-$I$373)*MIN(E$3-$O$2,$Q$2)/$Q$2))</f>
        <v>6768.52252244949</v>
      </c>
      <c r="F397" s="15" t="n">
        <f aca="false">E397*(1+IF(F$3&lt;=$O$2,$D397,$D397-($D397-$I$373)*MIN(F$3-$O$2,$Q$2)/$Q$2))</f>
        <v>7113.80390324628</v>
      </c>
      <c r="G397" s="15" t="n">
        <f aca="false">F397*(1+IF(G$3&lt;=$O$2,$D397,$D397-($D397-$I$373)*MIN(G$3-$O$2,$Q$2)/$Q$2))</f>
        <v>7476.69905891484</v>
      </c>
      <c r="H397" s="15" t="n">
        <f aca="false">G397*(1+IF(H$3&lt;=$O$2,$D397,$D397-($D397-$I$373)*MIN(H$3-$O$2,$Q$2)/$Q$2))</f>
        <v>7858.10651767733</v>
      </c>
      <c r="I397" s="15" t="n">
        <f aca="false">H397*(1+IF(I$3&lt;=$O$2,$D397,$D397-($D397-$I$373)*MIN(I$3-$O$2,$Q$2)/$Q$2))</f>
        <v>8258.97064420904</v>
      </c>
      <c r="J397" s="15" t="n">
        <f aca="false">I397*(1+IF(J$3&lt;=$O$2,$D397,$D397-($D397-$I$373)*MIN(J$3-$O$2,$Q$2)/$Q$2))</f>
        <v>8642.76708499586</v>
      </c>
      <c r="K397" s="15" t="n">
        <f aca="false">J397*(1+IF(K$3&lt;=$O$2,$D397,$D397-($D397-$I$373)*MIN(K$3-$O$2,$Q$2)/$Q$2))</f>
        <v>9005.13833048245</v>
      </c>
      <c r="L397" s="15" t="n">
        <f aca="false">K397*(1+IF(L$3&lt;=$O$2,$D397,$D397-($D397-$I$373)*MIN(L$3-$O$2,$Q$2)/$Q$2))</f>
        <v>9341.79655817484</v>
      </c>
      <c r="M397" s="15" t="n">
        <f aca="false">L397*(1+IF(M$3&lt;=$O$2,$D397,$D397-($D397-$I$373)*MIN(M$3-$O$2,$Q$2)/$Q$2))</f>
        <v>9648.6050983855</v>
      </c>
      <c r="N397" s="15" t="n">
        <f aca="false">M397*(1+IF(N$3&lt;=$O$2,$D397,$D397-($D397-$I$373)*MIN(N$3-$O$2,$Q$2)/$Q$2))</f>
        <v>9921.66062266981</v>
      </c>
      <c r="O397" s="15" t="n">
        <f aca="false">SUMPRODUCT(E397:N397,1/(1+$F$373)^$E$3:$N$3)*$E$2</f>
        <v>10229.5170300089</v>
      </c>
      <c r="P397" s="15" t="n">
        <f aca="false">N397*$E$2*(1+$I$373)/($F$373-$I$373)/(1+$F$373)^$N$3</f>
        <v>12360.4012040682</v>
      </c>
      <c r="Q397" s="15" t="n">
        <f aca="false">O397+P397</f>
        <v>22589.9182340771</v>
      </c>
      <c r="R397" s="15" t="n">
        <f aca="false">Q397-$G$2+$I$2</f>
        <v>17290.0182340771</v>
      </c>
      <c r="S397" s="42" t="n">
        <f aca="false">R397/$K$2</f>
        <v>147.174142271681</v>
      </c>
      <c r="T397" s="43" t="n">
        <f aca="false">S397-$M$2</f>
        <v>0.000155210053918609</v>
      </c>
    </row>
    <row r="398" customFormat="false" ht="15" hidden="false" customHeight="false" outlineLevel="0" collapsed="false">
      <c r="A398" s="5" t="n">
        <v>24</v>
      </c>
      <c r="B398" s="25" t="n">
        <f aca="false">IF(T397&gt;0,B397,D397)</f>
        <v>0.0510126352310181</v>
      </c>
      <c r="C398" s="25" t="n">
        <f aca="false">IF(T397&gt;0,D397,C397)</f>
        <v>0.0510128140449524</v>
      </c>
      <c r="D398" s="41" t="n">
        <f aca="false">(B398+C398)/2</f>
        <v>0.0510127246379852</v>
      </c>
      <c r="E398" s="15" t="n">
        <f aca="false">$C$2*(1+IF(E$3&lt;=$O$2,$D398,$D398-($D398-$I$373)*MIN(E$3-$O$2,$Q$2)/$Q$2))</f>
        <v>6768.52194666863</v>
      </c>
      <c r="F398" s="15" t="n">
        <f aca="false">E398*(1+IF(F$3&lt;=$O$2,$D398,$D398-($D398-$I$373)*MIN(F$3-$O$2,$Q$2)/$Q$2))</f>
        <v>7113.80269294019</v>
      </c>
      <c r="G398" s="15" t="n">
        <f aca="false">F398*(1+IF(G$3&lt;=$O$2,$D398,$D398-($D398-$I$373)*MIN(G$3-$O$2,$Q$2)/$Q$2))</f>
        <v>7476.69715084411</v>
      </c>
      <c r="H398" s="15" t="n">
        <f aca="false">G398*(1+IF(H$3&lt;=$O$2,$D398,$D398-($D398-$I$373)*MIN(H$3-$O$2,$Q$2)/$Q$2))</f>
        <v>7858.10384380173</v>
      </c>
      <c r="I398" s="15" t="n">
        <f aca="false">H398*(1+IF(I$3&lt;=$O$2,$D398,$D398-($D398-$I$373)*MIN(I$3-$O$2,$Q$2)/$Q$2))</f>
        <v>8258.96713136228</v>
      </c>
      <c r="J398" s="15" t="n">
        <f aca="false">I398*(1+IF(J$3&lt;=$O$2,$D398,$D398-($D398-$I$373)*MIN(J$3-$O$2,$Q$2)/$Q$2))</f>
        <v>8642.76281817887</v>
      </c>
      <c r="K398" s="15" t="n">
        <f aca="false">J398*(1+IF(K$3&lt;=$O$2,$D398,$D398-($D398-$I$373)*MIN(K$3-$O$2,$Q$2)/$Q$2))</f>
        <v>9005.13342113376</v>
      </c>
      <c r="L398" s="15" t="n">
        <f aca="false">K398*(1+IF(L$3&lt;=$O$2,$D398,$D398-($D398-$I$373)*MIN(L$3-$O$2,$Q$2)/$Q$2))</f>
        <v>9341.79114324086</v>
      </c>
      <c r="M398" s="15" t="n">
        <f aca="false">L398*(1+IF(M$3&lt;=$O$2,$D398,$D398-($D398-$I$373)*MIN(M$3-$O$2,$Q$2)/$Q$2))</f>
        <v>9648.59933856698</v>
      </c>
      <c r="N398" s="15" t="n">
        <f aca="false">M398*(1+IF(N$3&lt;=$O$2,$D398,$D398-($D398-$I$373)*MIN(N$3-$O$2,$Q$2)/$Q$2))</f>
        <v>9921.65469984842</v>
      </c>
      <c r="O398" s="15" t="n">
        <f aca="false">SUMPRODUCT(E398:N398,1/(1+$F$373)^$E$3:$N$3)*$E$2</f>
        <v>10229.5130835313</v>
      </c>
      <c r="P398" s="15" t="n">
        <f aca="false">N398*$E$2*(1+$I$373)/($F$373-$I$373)/(1+$F$373)^$N$3</f>
        <v>12360.3938254195</v>
      </c>
      <c r="Q398" s="15" t="n">
        <f aca="false">O398+P398</f>
        <v>22589.9069089507</v>
      </c>
      <c r="R398" s="15" t="n">
        <f aca="false">Q398-$G$2+$I$2</f>
        <v>17290.0069089507</v>
      </c>
      <c r="S398" s="42" t="n">
        <f aca="false">R398/$K$2</f>
        <v>147.174045871218</v>
      </c>
      <c r="T398" s="43" t="n">
        <f aca="false">S398-$M$2</f>
        <v>5.88095908256037E-005</v>
      </c>
    </row>
    <row r="400" customFormat="false" ht="15" hidden="false" customHeight="false" outlineLevel="0" collapsed="false">
      <c r="A400" s="38" t="s">
        <v>194</v>
      </c>
      <c r="E400" s="5" t="s">
        <v>11</v>
      </c>
      <c r="F400" s="12" t="n">
        <f aca="false">Sensitivity!$B$12</f>
        <v>0.0949886567315273</v>
      </c>
      <c r="G400" s="5" t="s">
        <v>12</v>
      </c>
      <c r="I400" s="12" t="n">
        <f aca="false">Sensitivity!$F$9</f>
        <v>0.0333</v>
      </c>
    </row>
    <row r="401" customFormat="false" ht="23.85" hidden="false" customHeight="false" outlineLevel="0" collapsed="false">
      <c r="A401" s="38" t="s">
        <v>161</v>
      </c>
      <c r="B401" s="28" t="s">
        <v>162</v>
      </c>
      <c r="C401" s="28" t="s">
        <v>163</v>
      </c>
      <c r="D401" s="28" t="s">
        <v>164</v>
      </c>
      <c r="E401" s="28" t="s">
        <v>165</v>
      </c>
      <c r="F401" s="28" t="s">
        <v>166</v>
      </c>
      <c r="G401" s="28" t="s">
        <v>167</v>
      </c>
      <c r="H401" s="28" t="s">
        <v>168</v>
      </c>
      <c r="I401" s="28" t="s">
        <v>169</v>
      </c>
      <c r="J401" s="28" t="s">
        <v>170</v>
      </c>
      <c r="K401" s="28" t="s">
        <v>171</v>
      </c>
      <c r="L401" s="28" t="s">
        <v>172</v>
      </c>
      <c r="M401" s="28" t="s">
        <v>173</v>
      </c>
      <c r="N401" s="28" t="s">
        <v>174</v>
      </c>
      <c r="O401" s="28" t="s">
        <v>175</v>
      </c>
      <c r="P401" s="28" t="s">
        <v>176</v>
      </c>
      <c r="Q401" s="28" t="s">
        <v>177</v>
      </c>
      <c r="R401" s="28" t="s">
        <v>178</v>
      </c>
      <c r="S401" s="28" t="s">
        <v>179</v>
      </c>
      <c r="T401" s="28" t="s">
        <v>180</v>
      </c>
    </row>
    <row r="402" customFormat="false" ht="15" hidden="false" customHeight="false" outlineLevel="0" collapsed="false">
      <c r="A402" s="5" t="n">
        <v>1</v>
      </c>
      <c r="B402" s="24" t="n">
        <v>-0.5</v>
      </c>
      <c r="C402" s="24" t="n">
        <v>1</v>
      </c>
      <c r="D402" s="41" t="n">
        <f aca="false">(B402+C402)/2</f>
        <v>0.25</v>
      </c>
      <c r="E402" s="15" t="n">
        <f aca="false">$C$2*(1+IF(E$3&lt;=$O$2,$D402,$D402-($D402-$I$400)*MIN(E$3-$O$2,$Q$2)/$Q$2))</f>
        <v>8050</v>
      </c>
      <c r="F402" s="15" t="n">
        <f aca="false">E402*(1+IF(F$3&lt;=$O$2,$D402,$D402-($D402-$I$400)*MIN(F$3-$O$2,$Q$2)/$Q$2))</f>
        <v>10062.5</v>
      </c>
      <c r="G402" s="15" t="n">
        <f aca="false">F402*(1+IF(G$3&lt;=$O$2,$D402,$D402-($D402-$I$400)*MIN(G$3-$O$2,$Q$2)/$Q$2))</f>
        <v>12578.125</v>
      </c>
      <c r="H402" s="15" t="n">
        <f aca="false">G402*(1+IF(H$3&lt;=$O$2,$D402,$D402-($D402-$I$400)*MIN(H$3-$O$2,$Q$2)/$Q$2))</f>
        <v>15722.65625</v>
      </c>
      <c r="I402" s="15" t="n">
        <f aca="false">H402*(1+IF(I$3&lt;=$O$2,$D402,$D402-($D402-$I$400)*MIN(I$3-$O$2,$Q$2)/$Q$2))</f>
        <v>19653.3203125</v>
      </c>
      <c r="J402" s="15" t="n">
        <f aca="false">I402*(1+IF(J$3&lt;=$O$2,$D402,$D402-($D402-$I$400)*MIN(J$3-$O$2,$Q$2)/$Q$2))</f>
        <v>23714.8754882813</v>
      </c>
      <c r="K402" s="15" t="n">
        <f aca="false">J402*(1+IF(K$3&lt;=$O$2,$D402,$D402-($D402-$I$400)*MIN(K$3-$O$2,$Q$2)/$Q$2))</f>
        <v>27587.9889530273</v>
      </c>
      <c r="L402" s="15" t="n">
        <f aca="false">K402*(1+IF(L$3&lt;=$O$2,$D402,$D402-($D402-$I$400)*MIN(L$3-$O$2,$Q$2)/$Q$2))</f>
        <v>30897.9958676116</v>
      </c>
      <c r="M402" s="15" t="n">
        <f aca="false">L402*(1+IF(M$3&lt;=$O$2,$D402,$D402-($D402-$I$400)*MIN(M$3-$O$2,$Q$2)/$Q$2))</f>
        <v>33266.0182709053</v>
      </c>
      <c r="N402" s="15" t="n">
        <f aca="false">M402*(1+IF(N$3&lt;=$O$2,$D402,$D402-($D402-$I$400)*MIN(N$3-$O$2,$Q$2)/$Q$2))</f>
        <v>34373.7766793265</v>
      </c>
      <c r="O402" s="15" t="n">
        <f aca="false">SUMPRODUCT(E402:N402,1/(1+$F$400)^$E$3:$N$3)*$E$2</f>
        <v>24153.4988370449</v>
      </c>
      <c r="P402" s="15" t="n">
        <f aca="false">N402*$E$2*(1+$I$400)/($F$400-$I$400)/(1+$F$400)^$N$3</f>
        <v>46518.8211871307</v>
      </c>
      <c r="Q402" s="15" t="n">
        <f aca="false">O402+P402</f>
        <v>70672.3200241755</v>
      </c>
      <c r="R402" s="15" t="n">
        <f aca="false">Q402-$G$2+$I$2</f>
        <v>65372.4200241755</v>
      </c>
      <c r="S402" s="42" t="n">
        <f aca="false">R402/$K$2</f>
        <v>556.455737352532</v>
      </c>
      <c r="T402" s="43" t="n">
        <f aca="false">S402-$M$2</f>
        <v>409.281750290905</v>
      </c>
    </row>
    <row r="403" customFormat="false" ht="15" hidden="false" customHeight="false" outlineLevel="0" collapsed="false">
      <c r="A403" s="5" t="n">
        <v>2</v>
      </c>
      <c r="B403" s="25" t="n">
        <f aca="false">IF(T402&gt;0,B402,D402)</f>
        <v>-0.5</v>
      </c>
      <c r="C403" s="25" t="n">
        <f aca="false">IF(T402&gt;0,D402,C402)</f>
        <v>0.25</v>
      </c>
      <c r="D403" s="41" t="n">
        <f aca="false">(B403+C403)/2</f>
        <v>-0.125</v>
      </c>
      <c r="E403" s="15" t="n">
        <f aca="false">$C$2*(1+IF(E$3&lt;=$O$2,$D403,$D403-($D403-$I$400)*MIN(E$3-$O$2,$Q$2)/$Q$2))</f>
        <v>5635</v>
      </c>
      <c r="F403" s="15" t="n">
        <f aca="false">E403*(1+IF(F$3&lt;=$O$2,$D403,$D403-($D403-$I$400)*MIN(F$3-$O$2,$Q$2)/$Q$2))</f>
        <v>4930.625</v>
      </c>
      <c r="G403" s="15" t="n">
        <f aca="false">F403*(1+IF(G$3&lt;=$O$2,$D403,$D403-($D403-$I$400)*MIN(G$3-$O$2,$Q$2)/$Q$2))</f>
        <v>4314.296875</v>
      </c>
      <c r="H403" s="15" t="n">
        <f aca="false">G403*(1+IF(H$3&lt;=$O$2,$D403,$D403-($D403-$I$400)*MIN(H$3-$O$2,$Q$2)/$Q$2))</f>
        <v>3775.009765625</v>
      </c>
      <c r="I403" s="15" t="n">
        <f aca="false">H403*(1+IF(I$3&lt;=$O$2,$D403,$D403-($D403-$I$400)*MIN(I$3-$O$2,$Q$2)/$Q$2))</f>
        <v>3303.13354492188</v>
      </c>
      <c r="J403" s="15" t="n">
        <f aca="false">I403*(1+IF(J$3&lt;=$O$2,$D403,$D403-($D403-$I$400)*MIN(J$3-$O$2,$Q$2)/$Q$2))</f>
        <v>2994.81905983887</v>
      </c>
      <c r="K403" s="15" t="n">
        <f aca="false">J403*(1+IF(K$3&lt;=$O$2,$D403,$D403-($D403-$I$400)*MIN(K$3-$O$2,$Q$2)/$Q$2))</f>
        <v>2810.09862022801</v>
      </c>
      <c r="L403" s="15" t="n">
        <f aca="false">K403*(1+IF(L$3&lt;=$O$2,$D403,$D403-($D403-$I$400)*MIN(L$3-$O$2,$Q$2)/$Q$2))</f>
        <v>2725.73945964876</v>
      </c>
      <c r="M403" s="15" t="n">
        <f aca="false">L403*(1+IF(M$3&lt;=$O$2,$D403,$D403-($D403-$I$400)*MIN(M$3-$O$2,$Q$2)/$Q$2))</f>
        <v>2730.20967236259</v>
      </c>
      <c r="N403" s="15" t="n">
        <f aca="false">M403*(1+IF(N$3&lt;=$O$2,$D403,$D403-($D403-$I$400)*MIN(N$3-$O$2,$Q$2)/$Q$2))</f>
        <v>2821.12565445226</v>
      </c>
      <c r="O403" s="15" t="n">
        <f aca="false">SUMPRODUCT(E403:N403,1/(1+$F$400)^$E$3:$N$3)*$E$2</f>
        <v>4836.75994491405</v>
      </c>
      <c r="P403" s="15" t="n">
        <f aca="false">N403*$E$2*(1+$I$400)/($F$400-$I$400)/(1+$F$400)^$N$3</f>
        <v>3817.89411999121</v>
      </c>
      <c r="Q403" s="15" t="n">
        <f aca="false">O403+P403</f>
        <v>8654.65406490526</v>
      </c>
      <c r="R403" s="15" t="n">
        <f aca="false">Q403-$G$2+$I$2</f>
        <v>3354.75406490526</v>
      </c>
      <c r="S403" s="42" t="n">
        <f aca="false">R403/$K$2</f>
        <v>28.5559590134939</v>
      </c>
      <c r="T403" s="43" t="n">
        <f aca="false">S403-$M$2</f>
        <v>-118.618028048134</v>
      </c>
    </row>
    <row r="404" customFormat="false" ht="15" hidden="false" customHeight="false" outlineLevel="0" collapsed="false">
      <c r="A404" s="5" t="n">
        <v>3</v>
      </c>
      <c r="B404" s="25" t="n">
        <f aca="false">IF(T403&gt;0,B403,D403)</f>
        <v>-0.125</v>
      </c>
      <c r="C404" s="25" t="n">
        <f aca="false">IF(T403&gt;0,D403,C403)</f>
        <v>0.25</v>
      </c>
      <c r="D404" s="41" t="n">
        <f aca="false">(B404+C404)/2</f>
        <v>0.0625</v>
      </c>
      <c r="E404" s="15" t="n">
        <f aca="false">$C$2*(1+IF(E$3&lt;=$O$2,$D404,$D404-($D404-$I$400)*MIN(E$3-$O$2,$Q$2)/$Q$2))</f>
        <v>6842.5</v>
      </c>
      <c r="F404" s="15" t="n">
        <f aca="false">E404*(1+IF(F$3&lt;=$O$2,$D404,$D404-($D404-$I$400)*MIN(F$3-$O$2,$Q$2)/$Q$2))</f>
        <v>7270.15625</v>
      </c>
      <c r="G404" s="15" t="n">
        <f aca="false">F404*(1+IF(G$3&lt;=$O$2,$D404,$D404-($D404-$I$400)*MIN(G$3-$O$2,$Q$2)/$Q$2))</f>
        <v>7724.541015625</v>
      </c>
      <c r="H404" s="15" t="n">
        <f aca="false">G404*(1+IF(H$3&lt;=$O$2,$D404,$D404-($D404-$I$400)*MIN(H$3-$O$2,$Q$2)/$Q$2))</f>
        <v>8207.32482910156</v>
      </c>
      <c r="I404" s="15" t="n">
        <f aca="false">H404*(1+IF(I$3&lt;=$O$2,$D404,$D404-($D404-$I$400)*MIN(I$3-$O$2,$Q$2)/$Q$2))</f>
        <v>8720.28263092041</v>
      </c>
      <c r="J404" s="15" t="n">
        <f aca="false">I404*(1+IF(J$3&lt;=$O$2,$D404,$D404-($D404-$I$400)*MIN(J$3-$O$2,$Q$2)/$Q$2))</f>
        <v>9214.37384478836</v>
      </c>
      <c r="K404" s="15" t="n">
        <f aca="false">J404*(1+IF(K$3&lt;=$O$2,$D404,$D404-($D404-$I$400)*MIN(K$3-$O$2,$Q$2)/$Q$2))</f>
        <v>9682.64832358051</v>
      </c>
      <c r="L404" s="15" t="n">
        <f aca="false">K404*(1+IF(L$3&lt;=$O$2,$D404,$D404-($D404-$I$400)*MIN(L$3-$O$2,$Q$2)/$Q$2))</f>
        <v>10118.1738451752</v>
      </c>
      <c r="M404" s="15" t="n">
        <f aca="false">L404*(1+IF(M$3&lt;=$O$2,$D404,$D404-($D404-$I$400)*MIN(M$3-$O$2,$Q$2)/$Q$2))</f>
        <v>10514.1991694753</v>
      </c>
      <c r="N404" s="15" t="n">
        <f aca="false">M404*(1+IF(N$3&lt;=$O$2,$D404,$D404-($D404-$I$400)*MIN(N$3-$O$2,$Q$2)/$Q$2))</f>
        <v>10864.3220018188</v>
      </c>
      <c r="O404" s="15" t="n">
        <f aca="false">SUMPRODUCT(E404:N404,1/(1+$F$400)^$E$3:$N$3)*$E$2</f>
        <v>10780.4559795053</v>
      </c>
      <c r="P404" s="15" t="n">
        <f aca="false">N404*$E$2*(1+$I$400)/($F$400-$I$400)/(1+$F$400)^$N$3</f>
        <v>14702.9364051807</v>
      </c>
      <c r="Q404" s="15" t="n">
        <f aca="false">O404+P404</f>
        <v>25483.3923846859</v>
      </c>
      <c r="R404" s="15" t="n">
        <f aca="false">Q404-$G$2+$I$2</f>
        <v>20183.4923846859</v>
      </c>
      <c r="S404" s="42" t="n">
        <f aca="false">R404/$K$2</f>
        <v>171.803646447786</v>
      </c>
      <c r="T404" s="43" t="n">
        <f aca="false">S404-$M$2</f>
        <v>24.6296593861588</v>
      </c>
    </row>
    <row r="405" customFormat="false" ht="15" hidden="false" customHeight="false" outlineLevel="0" collapsed="false">
      <c r="A405" s="5" t="n">
        <v>4</v>
      </c>
      <c r="B405" s="25" t="n">
        <f aca="false">IF(T404&gt;0,B404,D404)</f>
        <v>-0.125</v>
      </c>
      <c r="C405" s="25" t="n">
        <f aca="false">IF(T404&gt;0,D404,C404)</f>
        <v>0.0625</v>
      </c>
      <c r="D405" s="41" t="n">
        <f aca="false">(B405+C405)/2</f>
        <v>-0.03125</v>
      </c>
      <c r="E405" s="15" t="n">
        <f aca="false">$C$2*(1+IF(E$3&lt;=$O$2,$D405,$D405-($D405-$I$400)*MIN(E$3-$O$2,$Q$2)/$Q$2))</f>
        <v>6238.75</v>
      </c>
      <c r="F405" s="15" t="n">
        <f aca="false">E405*(1+IF(F$3&lt;=$O$2,$D405,$D405-($D405-$I$400)*MIN(F$3-$O$2,$Q$2)/$Q$2))</f>
        <v>6043.7890625</v>
      </c>
      <c r="G405" s="15" t="n">
        <f aca="false">F405*(1+IF(G$3&lt;=$O$2,$D405,$D405-($D405-$I$400)*MIN(G$3-$O$2,$Q$2)/$Q$2))</f>
        <v>5854.92065429688</v>
      </c>
      <c r="H405" s="15" t="n">
        <f aca="false">G405*(1+IF(H$3&lt;=$O$2,$D405,$D405-($D405-$I$400)*MIN(H$3-$O$2,$Q$2)/$Q$2))</f>
        <v>5671.9543838501</v>
      </c>
      <c r="I405" s="15" t="n">
        <f aca="false">H405*(1+IF(I$3&lt;=$O$2,$D405,$D405-($D405-$I$400)*MIN(I$3-$O$2,$Q$2)/$Q$2))</f>
        <v>5494.70580935478</v>
      </c>
      <c r="J405" s="15" t="n">
        <f aca="false">I405*(1+IF(J$3&lt;=$O$2,$D405,$D405-($D405-$I$400)*MIN(J$3-$O$2,$Q$2)/$Q$2))</f>
        <v>5393.93290481122</v>
      </c>
      <c r="K405" s="15" t="n">
        <f aca="false">J405*(1+IF(K$3&lt;=$O$2,$D405,$D405-($D405-$I$400)*MIN(K$3-$O$2,$Q$2)/$Q$2))</f>
        <v>5364.64384913809</v>
      </c>
      <c r="L405" s="15" t="n">
        <f aca="false">K405*(1+IF(L$3&lt;=$O$2,$D405,$D405-($D405-$I$400)*MIN(L$3-$O$2,$Q$2)/$Q$2))</f>
        <v>5404.77138512964</v>
      </c>
      <c r="M405" s="15" t="n">
        <f aca="false">L405*(1+IF(M$3&lt;=$O$2,$D405,$D405-($D405-$I$400)*MIN(M$3-$O$2,$Q$2)/$Q$2))</f>
        <v>5514.97467367244</v>
      </c>
      <c r="N405" s="15" t="n">
        <f aca="false">M405*(1+IF(N$3&lt;=$O$2,$D405,$D405-($D405-$I$400)*MIN(N$3-$O$2,$Q$2)/$Q$2))</f>
        <v>5698.62333030573</v>
      </c>
      <c r="O405" s="15" t="n">
        <f aca="false">SUMPRODUCT(E405:N405,1/(1+$F$400)^$E$3:$N$3)*$E$2</f>
        <v>7198.86232357037</v>
      </c>
      <c r="P405" s="15" t="n">
        <f aca="false">N405*$E$2*(1+$I$400)/($F$400-$I$400)/(1+$F$400)^$N$3</f>
        <v>7712.07779082183</v>
      </c>
      <c r="Q405" s="15" t="n">
        <f aca="false">O405+P405</f>
        <v>14910.9401143922</v>
      </c>
      <c r="R405" s="15" t="n">
        <f aca="false">Q405-$G$2+$I$2</f>
        <v>9611.0401143922</v>
      </c>
      <c r="S405" s="42" t="n">
        <f aca="false">R405/$K$2</f>
        <v>81.810011188221</v>
      </c>
      <c r="T405" s="43" t="n">
        <f aca="false">S405-$M$2</f>
        <v>-65.3639758734066</v>
      </c>
    </row>
    <row r="406" customFormat="false" ht="15" hidden="false" customHeight="false" outlineLevel="0" collapsed="false">
      <c r="A406" s="5" t="n">
        <v>5</v>
      </c>
      <c r="B406" s="25" t="n">
        <f aca="false">IF(T405&gt;0,B405,D405)</f>
        <v>-0.03125</v>
      </c>
      <c r="C406" s="25" t="n">
        <f aca="false">IF(T405&gt;0,D405,C405)</f>
        <v>0.0625</v>
      </c>
      <c r="D406" s="41" t="n">
        <f aca="false">(B406+C406)/2</f>
        <v>0.015625</v>
      </c>
      <c r="E406" s="15" t="n">
        <f aca="false">$C$2*(1+IF(E$3&lt;=$O$2,$D406,$D406-($D406-$I$400)*MIN(E$3-$O$2,$Q$2)/$Q$2))</f>
        <v>6540.625</v>
      </c>
      <c r="F406" s="15" t="n">
        <f aca="false">E406*(1+IF(F$3&lt;=$O$2,$D406,$D406-($D406-$I$400)*MIN(F$3-$O$2,$Q$2)/$Q$2))</f>
        <v>6642.822265625</v>
      </c>
      <c r="G406" s="15" t="n">
        <f aca="false">F406*(1+IF(G$3&lt;=$O$2,$D406,$D406-($D406-$I$400)*MIN(G$3-$O$2,$Q$2)/$Q$2))</f>
        <v>6746.61636352539</v>
      </c>
      <c r="H406" s="15" t="n">
        <f aca="false">G406*(1+IF(H$3&lt;=$O$2,$D406,$D406-($D406-$I$400)*MIN(H$3-$O$2,$Q$2)/$Q$2))</f>
        <v>6852.03224420548</v>
      </c>
      <c r="I406" s="15" t="n">
        <f aca="false">H406*(1+IF(I$3&lt;=$O$2,$D406,$D406-($D406-$I$400)*MIN(I$3-$O$2,$Q$2)/$Q$2))</f>
        <v>6959.09524802119</v>
      </c>
      <c r="J406" s="15" t="n">
        <f aca="false">I406*(1+IF(J$3&lt;=$O$2,$D406,$D406-($D406-$I$400)*MIN(J$3-$O$2,$Q$2)/$Q$2))</f>
        <v>7092.43151297327</v>
      </c>
      <c r="K406" s="15" t="n">
        <f aca="false">J406*(1+IF(K$3&lt;=$O$2,$D406,$D406-($D406-$I$400)*MIN(K$3-$O$2,$Q$2)/$Q$2))</f>
        <v>7253.3942461602</v>
      </c>
      <c r="L406" s="15" t="n">
        <f aca="false">K406*(1+IF(L$3&lt;=$O$2,$D406,$D406-($D406-$I$400)*MIN(L$3-$O$2,$Q$2)/$Q$2))</f>
        <v>7443.65077723698</v>
      </c>
      <c r="M406" s="15" t="n">
        <f aca="false">L406*(1+IF(M$3&lt;=$O$2,$D406,$D406-($D406-$I$400)*MIN(M$3-$O$2,$Q$2)/$Q$2))</f>
        <v>7665.21104262144</v>
      </c>
      <c r="N406" s="15" t="n">
        <f aca="false">M406*(1+IF(N$3&lt;=$O$2,$D406,$D406-($D406-$I$400)*MIN(N$3-$O$2,$Q$2)/$Q$2))</f>
        <v>7920.46257034074</v>
      </c>
      <c r="O406" s="15" t="n">
        <f aca="false">SUMPRODUCT(E406:N406,1/(1+$F$400)^$E$3:$N$3)*$E$2</f>
        <v>8805.52471366451</v>
      </c>
      <c r="P406" s="15" t="n">
        <f aca="false">N406*$E$2*(1+$I$400)/($F$400-$I$400)/(1+$F$400)^$N$3</f>
        <v>10718.9438468261</v>
      </c>
      <c r="Q406" s="15" t="n">
        <f aca="false">O406+P406</f>
        <v>19524.4685604906</v>
      </c>
      <c r="R406" s="15" t="n">
        <f aca="false">Q406-$G$2+$I$2</f>
        <v>14224.5685604906</v>
      </c>
      <c r="S406" s="42" t="n">
        <f aca="false">R406/$K$2</f>
        <v>121.080767453955</v>
      </c>
      <c r="T406" s="43" t="n">
        <f aca="false">S406-$M$2</f>
        <v>-26.0932196076724</v>
      </c>
    </row>
    <row r="407" customFormat="false" ht="15" hidden="false" customHeight="false" outlineLevel="0" collapsed="false">
      <c r="A407" s="5" t="n">
        <v>6</v>
      </c>
      <c r="B407" s="25" t="n">
        <f aca="false">IF(T406&gt;0,B406,D406)</f>
        <v>0.015625</v>
      </c>
      <c r="C407" s="25" t="n">
        <f aca="false">IF(T406&gt;0,D406,C406)</f>
        <v>0.0625</v>
      </c>
      <c r="D407" s="41" t="n">
        <f aca="false">(B407+C407)/2</f>
        <v>0.0390625</v>
      </c>
      <c r="E407" s="15" t="n">
        <f aca="false">$C$2*(1+IF(E$3&lt;=$O$2,$D407,$D407-($D407-$I$400)*MIN(E$3-$O$2,$Q$2)/$Q$2))</f>
        <v>6691.5625</v>
      </c>
      <c r="F407" s="15" t="n">
        <f aca="false">E407*(1+IF(F$3&lt;=$O$2,$D407,$D407-($D407-$I$400)*MIN(F$3-$O$2,$Q$2)/$Q$2))</f>
        <v>6952.95166015625</v>
      </c>
      <c r="G407" s="15" t="n">
        <f aca="false">F407*(1+IF(G$3&lt;=$O$2,$D407,$D407-($D407-$I$400)*MIN(G$3-$O$2,$Q$2)/$Q$2))</f>
        <v>7224.5513343811</v>
      </c>
      <c r="H407" s="15" t="n">
        <f aca="false">G407*(1+IF(H$3&lt;=$O$2,$D407,$D407-($D407-$I$400)*MIN(H$3-$O$2,$Q$2)/$Q$2))</f>
        <v>7506.76037088037</v>
      </c>
      <c r="I407" s="15" t="n">
        <f aca="false">H407*(1+IF(I$3&lt;=$O$2,$D407,$D407-($D407-$I$400)*MIN(I$3-$O$2,$Q$2)/$Q$2))</f>
        <v>7799.99319786788</v>
      </c>
      <c r="J407" s="15" t="n">
        <f aca="false">I407*(1+IF(J$3&lt;=$O$2,$D407,$D407-($D407-$I$400)*MIN(J$3-$O$2,$Q$2)/$Q$2))</f>
        <v>8095.69093999905</v>
      </c>
      <c r="K407" s="15" t="n">
        <f aca="false">J407*(1+IF(K$3&lt;=$O$2,$D407,$D407-($D407-$I$400)*MIN(K$3-$O$2,$Q$2)/$Q$2))</f>
        <v>8393.26829972607</v>
      </c>
      <c r="L407" s="15" t="n">
        <f aca="false">K407*(1+IF(L$3&lt;=$O$2,$D407,$D407-($D407-$I$400)*MIN(L$3-$O$2,$Q$2)/$Q$2))</f>
        <v>8692.11061753782</v>
      </c>
      <c r="M407" s="15" t="n">
        <f aca="false">L407*(1+IF(M$3&lt;=$O$2,$D407,$D407-($D407-$I$400)*MIN(M$3-$O$2,$Q$2)/$Q$2))</f>
        <v>8991.57555858854</v>
      </c>
      <c r="N407" s="15" t="n">
        <f aca="false">M407*(1+IF(N$3&lt;=$O$2,$D407,$D407-($D407-$I$400)*MIN(N$3-$O$2,$Q$2)/$Q$2))</f>
        <v>9290.99502468954</v>
      </c>
      <c r="O407" s="15" t="n">
        <f aca="false">SUMPRODUCT(E407:N407,1/(1+$F$400)^$E$3:$N$3)*$E$2</f>
        <v>9742.3690750954</v>
      </c>
      <c r="P407" s="15" t="n">
        <f aca="false">N407*$E$2*(1+$I$400)/($F$400-$I$400)/(1+$F$400)^$N$3</f>
        <v>12573.7168841269</v>
      </c>
      <c r="Q407" s="15" t="n">
        <f aca="false">O407+P407</f>
        <v>22316.0859592222</v>
      </c>
      <c r="R407" s="15" t="n">
        <f aca="false">Q407-$G$2+$I$2</f>
        <v>17016.1859592222</v>
      </c>
      <c r="S407" s="42" t="n">
        <f aca="false">R407/$K$2</f>
        <v>144.843258079863</v>
      </c>
      <c r="T407" s="43" t="n">
        <f aca="false">S407-$M$2</f>
        <v>-2.33072898176502</v>
      </c>
    </row>
    <row r="408" customFormat="false" ht="15" hidden="false" customHeight="false" outlineLevel="0" collapsed="false">
      <c r="A408" s="5" t="n">
        <v>7</v>
      </c>
      <c r="B408" s="25" t="n">
        <f aca="false">IF(T407&gt;0,B407,D407)</f>
        <v>0.0390625</v>
      </c>
      <c r="C408" s="25" t="n">
        <f aca="false">IF(T407&gt;0,D407,C407)</f>
        <v>0.0625</v>
      </c>
      <c r="D408" s="41" t="n">
        <f aca="false">(B408+C408)/2</f>
        <v>0.05078125</v>
      </c>
      <c r="E408" s="15" t="n">
        <f aca="false">$C$2*(1+IF(E$3&lt;=$O$2,$D408,$D408-($D408-$I$400)*MIN(E$3-$O$2,$Q$2)/$Q$2))</f>
        <v>6767.03125</v>
      </c>
      <c r="F408" s="15" t="n">
        <f aca="false">E408*(1+IF(F$3&lt;=$O$2,$D408,$D408-($D408-$I$400)*MIN(F$3-$O$2,$Q$2)/$Q$2))</f>
        <v>7110.66955566406</v>
      </c>
      <c r="G408" s="15" t="n">
        <f aca="false">F408*(1+IF(G$3&lt;=$O$2,$D408,$D408-($D408-$I$400)*MIN(G$3-$O$2,$Q$2)/$Q$2))</f>
        <v>7471.75824403763</v>
      </c>
      <c r="H408" s="15" t="n">
        <f aca="false">G408*(1+IF(H$3&lt;=$O$2,$D408,$D408-($D408-$I$400)*MIN(H$3-$O$2,$Q$2)/$Q$2))</f>
        <v>7851.18346736766</v>
      </c>
      <c r="I408" s="15" t="n">
        <f aca="false">H408*(1+IF(I$3&lt;=$O$2,$D408,$D408-($D408-$I$400)*MIN(I$3-$O$2,$Q$2)/$Q$2))</f>
        <v>8249.87637781993</v>
      </c>
      <c r="J408" s="15" t="n">
        <f aca="false">I408*(1+IF(J$3&lt;=$O$2,$D408,$D408-($D408-$I$400)*MIN(J$3-$O$2,$Q$2)/$Q$2))</f>
        <v>8639.97178234514</v>
      </c>
      <c r="K408" s="15" t="n">
        <f aca="false">J408*(1+IF(K$3&lt;=$O$2,$D408,$D408-($D408-$I$400)*MIN(K$3-$O$2,$Q$2)/$Q$2))</f>
        <v>9018.30534672931</v>
      </c>
      <c r="L408" s="15" t="n">
        <f aca="false">K408*(1+IF(L$3&lt;=$O$2,$D408,$D408-($D408-$I$400)*MIN(L$3-$O$2,$Q$2)/$Q$2))</f>
        <v>9381.6754149124</v>
      </c>
      <c r="M408" s="15" t="n">
        <f aca="false">L408*(1+IF(M$3&lt;=$O$2,$D408,$D408-($D408-$I$400)*MIN(M$3-$O$2,$Q$2)/$Q$2))</f>
        <v>9726.88588889837</v>
      </c>
      <c r="N408" s="15" t="n">
        <f aca="false">M408*(1+IF(N$3&lt;=$O$2,$D408,$D408-($D408-$I$400)*MIN(N$3-$O$2,$Q$2)/$Q$2))</f>
        <v>10050.7911889987</v>
      </c>
      <c r="O408" s="15" t="n">
        <f aca="false">SUMPRODUCT(E408:N408,1/(1+$F$400)^$E$3:$N$3)*$E$2</f>
        <v>10248.1403737252</v>
      </c>
      <c r="P408" s="15" t="n">
        <f aca="false">N408*$E$2*(1+$I$400)/($F$400-$I$400)/(1+$F$400)^$N$3</f>
        <v>13601.9664778767</v>
      </c>
      <c r="Q408" s="15" t="n">
        <f aca="false">O408+P408</f>
        <v>23850.1068516019</v>
      </c>
      <c r="R408" s="15" t="n">
        <f aca="false">Q408-$G$2+$I$2</f>
        <v>18550.2068516018</v>
      </c>
      <c r="S408" s="42" t="n">
        <f aca="false">R408/$K$2</f>
        <v>157.900977626846</v>
      </c>
      <c r="T408" s="43" t="n">
        <f aca="false">S408-$M$2</f>
        <v>10.7269905652183</v>
      </c>
    </row>
    <row r="409" customFormat="false" ht="15" hidden="false" customHeight="false" outlineLevel="0" collapsed="false">
      <c r="A409" s="5" t="n">
        <v>8</v>
      </c>
      <c r="B409" s="25" t="n">
        <f aca="false">IF(T408&gt;0,B408,D408)</f>
        <v>0.0390625</v>
      </c>
      <c r="C409" s="25" t="n">
        <f aca="false">IF(T408&gt;0,D408,C408)</f>
        <v>0.05078125</v>
      </c>
      <c r="D409" s="41" t="n">
        <f aca="false">(B409+C409)/2</f>
        <v>0.044921875</v>
      </c>
      <c r="E409" s="15" t="n">
        <f aca="false">$C$2*(1+IF(E$3&lt;=$O$2,$D409,$D409-($D409-$I$400)*MIN(E$3-$O$2,$Q$2)/$Q$2))</f>
        <v>6729.296875</v>
      </c>
      <c r="F409" s="15" t="n">
        <f aca="false">E409*(1+IF(F$3&lt;=$O$2,$D409,$D409-($D409-$I$400)*MIN(F$3-$O$2,$Q$2)/$Q$2))</f>
        <v>7031.58950805664</v>
      </c>
      <c r="G409" s="15" t="n">
        <f aca="false">F409*(1+IF(G$3&lt;=$O$2,$D409,$D409-($D409-$I$400)*MIN(G$3-$O$2,$Q$2)/$Q$2))</f>
        <v>7347.46169298887</v>
      </c>
      <c r="H409" s="15" t="n">
        <f aca="false">G409*(1+IF(H$3&lt;=$O$2,$D409,$D409-($D409-$I$400)*MIN(H$3-$O$2,$Q$2)/$Q$2))</f>
        <v>7677.52344872861</v>
      </c>
      <c r="I409" s="15" t="n">
        <f aca="false">H409*(1+IF(I$3&lt;=$O$2,$D409,$D409-($D409-$I$400)*MIN(I$3-$O$2,$Q$2)/$Q$2))</f>
        <v>8022.41219740196</v>
      </c>
      <c r="J409" s="15" t="n">
        <f aca="false">I409*(1+IF(J$3&lt;=$O$2,$D409,$D409-($D409-$I$400)*MIN(J$3-$O$2,$Q$2)/$Q$2))</f>
        <v>8364.14690098079</v>
      </c>
      <c r="K409" s="15" t="n">
        <f aca="false">J409*(1+IF(K$3&lt;=$O$2,$D409,$D409-($D409-$I$400)*MIN(K$3-$O$2,$Q$2)/$Q$2))</f>
        <v>8700.99723464236</v>
      </c>
      <c r="L409" s="15" t="n">
        <f aca="false">K409*(1+IF(L$3&lt;=$O$2,$D409,$D409-($D409-$I$400)*MIN(L$3-$O$2,$Q$2)/$Q$2))</f>
        <v>9031.18920345049</v>
      </c>
      <c r="M409" s="15" t="n">
        <f aca="false">L409*(1+IF(M$3&lt;=$O$2,$D409,$D409-($D409-$I$400)*MIN(M$3-$O$2,$Q$2)/$Q$2))</f>
        <v>9352.91967433016</v>
      </c>
      <c r="N409" s="15" t="n">
        <f aca="false">M409*(1+IF(N$3&lt;=$O$2,$D409,$D409-($D409-$I$400)*MIN(N$3-$O$2,$Q$2)/$Q$2))</f>
        <v>9664.37189948536</v>
      </c>
      <c r="O409" s="15" t="n">
        <f aca="false">SUMPRODUCT(E409:N409,1/(1+$F$400)^$E$3:$N$3)*$E$2</f>
        <v>9992.01581559656</v>
      </c>
      <c r="P409" s="15" t="n">
        <f aca="false">N409*$E$2*(1+$I$400)/($F$400-$I$400)/(1+$F$400)^$N$3</f>
        <v>13079.0163813591</v>
      </c>
      <c r="Q409" s="15" t="n">
        <f aca="false">O409+P409</f>
        <v>23071.0321969556</v>
      </c>
      <c r="R409" s="15" t="n">
        <f aca="false">Q409-$G$2+$I$2</f>
        <v>17771.1321969556</v>
      </c>
      <c r="S409" s="42" t="n">
        <f aca="false">R409/$K$2</f>
        <v>151.269426259411</v>
      </c>
      <c r="T409" s="43" t="n">
        <f aca="false">S409-$M$2</f>
        <v>4.0954391977838</v>
      </c>
    </row>
    <row r="410" customFormat="false" ht="15" hidden="false" customHeight="false" outlineLevel="0" collapsed="false">
      <c r="A410" s="5" t="n">
        <v>9</v>
      </c>
      <c r="B410" s="25" t="n">
        <f aca="false">IF(T409&gt;0,B409,D409)</f>
        <v>0.0390625</v>
      </c>
      <c r="C410" s="25" t="n">
        <f aca="false">IF(T409&gt;0,D409,C409)</f>
        <v>0.044921875</v>
      </c>
      <c r="D410" s="41" t="n">
        <f aca="false">(B410+C410)/2</f>
        <v>0.0419921875</v>
      </c>
      <c r="E410" s="15" t="n">
        <f aca="false">$C$2*(1+IF(E$3&lt;=$O$2,$D410,$D410-($D410-$I$400)*MIN(E$3-$O$2,$Q$2)/$Q$2))</f>
        <v>6710.4296875</v>
      </c>
      <c r="F410" s="15" t="n">
        <f aca="false">E410*(1+IF(F$3&lt;=$O$2,$D410,$D410-($D410-$I$400)*MIN(F$3-$O$2,$Q$2)/$Q$2))</f>
        <v>6992.21530914307</v>
      </c>
      <c r="G410" s="15" t="n">
        <f aca="false">F410*(1+IF(G$3&lt;=$O$2,$D410,$D410-($D410-$I$400)*MIN(G$3-$O$2,$Q$2)/$Q$2))</f>
        <v>7285.83372544497</v>
      </c>
      <c r="H410" s="15" t="n">
        <f aca="false">G410*(1+IF(H$3&lt;=$O$2,$D410,$D410-($D410-$I$400)*MIN(H$3-$O$2,$Q$2)/$Q$2))</f>
        <v>7591.78182133768</v>
      </c>
      <c r="I410" s="15" t="n">
        <f aca="false">H410*(1+IF(I$3&lt;=$O$2,$D410,$D410-($D410-$I$400)*MIN(I$3-$O$2,$Q$2)/$Q$2))</f>
        <v>7910.57734703839</v>
      </c>
      <c r="J410" s="15" t="n">
        <f aca="false">I410*(1+IF(J$3&lt;=$O$2,$D410,$D410-($D410-$I$400)*MIN(J$3-$O$2,$Q$2)/$Q$2))</f>
        <v>8229.00774992173</v>
      </c>
      <c r="K410" s="15" t="n">
        <f aca="false">J410*(1+IF(K$3&lt;=$O$2,$D410,$D410-($D410-$I$400)*MIN(K$3-$O$2,$Q$2)/$Q$2))</f>
        <v>8545.95055497489</v>
      </c>
      <c r="L410" s="15" t="n">
        <f aca="false">K410*(1+IF(L$3&lt;=$O$2,$D410,$D410-($D410-$I$400)*MIN(L$3-$O$2,$Q$2)/$Q$2))</f>
        <v>8860.24391029138</v>
      </c>
      <c r="M410" s="15" t="n">
        <f aca="false">L410*(1+IF(M$3&lt;=$O$2,$D410,$D410-($D410-$I$400)*MIN(M$3-$O$2,$Q$2)/$Q$2))</f>
        <v>9170.69301277688</v>
      </c>
      <c r="N410" s="15" t="n">
        <f aca="false">M410*(1+IF(N$3&lt;=$O$2,$D410,$D410-($D410-$I$400)*MIN(N$3-$O$2,$Q$2)/$Q$2))</f>
        <v>9476.07709010235</v>
      </c>
      <c r="O410" s="15" t="n">
        <f aca="false">SUMPRODUCT(E410:N410,1/(1+$F$400)^$E$3:$N$3)*$E$2</f>
        <v>9866.39242938246</v>
      </c>
      <c r="P410" s="15" t="n">
        <f aca="false">N410*$E$2*(1+$I$400)/($F$400-$I$400)/(1+$F$400)^$N$3</f>
        <v>12824.1926926539</v>
      </c>
      <c r="Q410" s="15" t="n">
        <f aca="false">O410+P410</f>
        <v>22690.5851220364</v>
      </c>
      <c r="R410" s="15" t="n">
        <f aca="false">Q410-$G$2+$I$2</f>
        <v>17390.6851220364</v>
      </c>
      <c r="S410" s="42" t="n">
        <f aca="false">R410/$K$2</f>
        <v>148.031027596496</v>
      </c>
      <c r="T410" s="43" t="n">
        <f aca="false">S410-$M$2</f>
        <v>0.857040534868787</v>
      </c>
    </row>
    <row r="411" customFormat="false" ht="15" hidden="false" customHeight="false" outlineLevel="0" collapsed="false">
      <c r="A411" s="5" t="n">
        <v>10</v>
      </c>
      <c r="B411" s="25" t="n">
        <f aca="false">IF(T410&gt;0,B410,D410)</f>
        <v>0.0390625</v>
      </c>
      <c r="C411" s="25" t="n">
        <f aca="false">IF(T410&gt;0,D410,C410)</f>
        <v>0.0419921875</v>
      </c>
      <c r="D411" s="41" t="n">
        <f aca="false">(B411+C411)/2</f>
        <v>0.04052734375</v>
      </c>
      <c r="E411" s="15" t="n">
        <f aca="false">$C$2*(1+IF(E$3&lt;=$O$2,$D411,$D411-($D411-$I$400)*MIN(E$3-$O$2,$Q$2)/$Q$2))</f>
        <v>6700.99609375</v>
      </c>
      <c r="F411" s="15" t="n">
        <f aca="false">E411*(1+IF(F$3&lt;=$O$2,$D411,$D411-($D411-$I$400)*MIN(F$3-$O$2,$Q$2)/$Q$2))</f>
        <v>6972.56966590881</v>
      </c>
      <c r="G411" s="15" t="n">
        <f aca="false">F411*(1+IF(G$3&lt;=$O$2,$D411,$D411-($D411-$I$400)*MIN(G$3-$O$2,$Q$2)/$Q$2))</f>
        <v>7255.14939357992</v>
      </c>
      <c r="H411" s="15" t="n">
        <f aca="false">G411*(1+IF(H$3&lt;=$O$2,$D411,$D411-($D411-$I$400)*MIN(H$3-$O$2,$Q$2)/$Q$2))</f>
        <v>7549.18132701114</v>
      </c>
      <c r="I411" s="15" t="n">
        <f aca="false">H411*(1+IF(I$3&lt;=$O$2,$D411,$D411-($D411-$I$400)*MIN(I$3-$O$2,$Q$2)/$Q$2))</f>
        <v>7855.129593682</v>
      </c>
      <c r="J411" s="15" t="n">
        <f aca="false">I411*(1+IF(J$3&lt;=$O$2,$D411,$D411-($D411-$I$400)*MIN(J$3-$O$2,$Q$2)/$Q$2))</f>
        <v>8162.12278657108</v>
      </c>
      <c r="K411" s="15" t="n">
        <f aca="false">J411*(1+IF(K$3&lt;=$O$2,$D411,$D411-($D411-$I$400)*MIN(K$3-$O$2,$Q$2)/$Q$2))</f>
        <v>8469.31575562885</v>
      </c>
      <c r="L411" s="15" t="n">
        <f aca="false">K411*(1+IF(L$3&lt;=$O$2,$D411,$D411-($D411-$I$400)*MIN(L$3-$O$2,$Q$2)/$Q$2))</f>
        <v>8775.82823280858</v>
      </c>
      <c r="M411" s="15" t="n">
        <f aca="false">L411*(1+IF(M$3&lt;=$O$2,$D411,$D411-($D411-$I$400)*MIN(M$3-$O$2,$Q$2)/$Q$2))</f>
        <v>9080.748498427</v>
      </c>
      <c r="N411" s="15" t="n">
        <f aca="false">M411*(1+IF(N$3&lt;=$O$2,$D411,$D411-($D411-$I$400)*MIN(N$3-$O$2,$Q$2)/$Q$2))</f>
        <v>9383.13742342462</v>
      </c>
      <c r="O411" s="15" t="n">
        <f aca="false">SUMPRODUCT(E411:N411,1/(1+$F$400)^$E$3:$N$3)*$E$2</f>
        <v>9804.1819510508</v>
      </c>
      <c r="P411" s="15" t="n">
        <f aca="false">N411*$E$2*(1+$I$400)/($F$400-$I$400)/(1+$F$400)^$N$3</f>
        <v>12698.4153078845</v>
      </c>
      <c r="Q411" s="15" t="n">
        <f aca="false">O411+P411</f>
        <v>22502.5972589353</v>
      </c>
      <c r="R411" s="15" t="n">
        <f aca="false">Q411-$G$2+$I$2</f>
        <v>17202.6972589353</v>
      </c>
      <c r="S411" s="42" t="n">
        <f aca="false">R411/$K$2</f>
        <v>146.430858520049</v>
      </c>
      <c r="T411" s="43" t="n">
        <f aca="false">S411-$M$2</f>
        <v>-0.743128541578727</v>
      </c>
    </row>
    <row r="412" customFormat="false" ht="15" hidden="false" customHeight="false" outlineLevel="0" collapsed="false">
      <c r="A412" s="5" t="n">
        <v>11</v>
      </c>
      <c r="B412" s="25" t="n">
        <f aca="false">IF(T411&gt;0,B411,D411)</f>
        <v>0.04052734375</v>
      </c>
      <c r="C412" s="25" t="n">
        <f aca="false">IF(T411&gt;0,D411,C411)</f>
        <v>0.0419921875</v>
      </c>
      <c r="D412" s="41" t="n">
        <f aca="false">(B412+C412)/2</f>
        <v>0.041259765625</v>
      </c>
      <c r="E412" s="15" t="n">
        <f aca="false">$C$2*(1+IF(E$3&lt;=$O$2,$D412,$D412-($D412-$I$400)*MIN(E$3-$O$2,$Q$2)/$Q$2))</f>
        <v>6705.712890625</v>
      </c>
      <c r="F412" s="15" t="n">
        <f aca="false">E412*(1+IF(F$3&lt;=$O$2,$D412,$D412-($D412-$I$400)*MIN(F$3-$O$2,$Q$2)/$Q$2))</f>
        <v>6982.38903284073</v>
      </c>
      <c r="G412" s="15" t="n">
        <f aca="false">F412*(1+IF(G$3&lt;=$O$2,$D412,$D412-($D412-$I$400)*MIN(G$3-$O$2,$Q$2)/$Q$2))</f>
        <v>7270.48076783831</v>
      </c>
      <c r="H412" s="15" t="n">
        <f aca="false">G412*(1+IF(H$3&lt;=$O$2,$D412,$D412-($D412-$I$400)*MIN(H$3-$O$2,$Q$2)/$Q$2))</f>
        <v>7570.45910030039</v>
      </c>
      <c r="I412" s="15" t="n">
        <f aca="false">H412*(1+IF(I$3&lt;=$O$2,$D412,$D412-($D412-$I$400)*MIN(I$3-$O$2,$Q$2)/$Q$2))</f>
        <v>7882.81446845243</v>
      </c>
      <c r="J412" s="15" t="n">
        <f aca="false">I412*(1+IF(J$3&lt;=$O$2,$D412,$D412-($D412-$I$400)*MIN(J$3-$O$2,$Q$2)/$Q$2))</f>
        <v>8195.50847475929</v>
      </c>
      <c r="K412" s="15" t="n">
        <f aca="false">J412*(1+IF(K$3&lt;=$O$2,$D412,$D412-($D412-$I$400)*MIN(K$3-$O$2,$Q$2)/$Q$2))</f>
        <v>8507.55950295084</v>
      </c>
      <c r="L412" s="15" t="n">
        <f aca="false">K412*(1+IF(L$3&lt;=$O$2,$D412,$D412-($D412-$I$400)*MIN(L$3-$O$2,$Q$2)/$Q$2))</f>
        <v>8817.94850627279</v>
      </c>
      <c r="M412" s="15" t="n">
        <f aca="false">L412*(1+IF(M$3&lt;=$O$2,$D412,$D412-($D412-$I$400)*MIN(M$3-$O$2,$Q$2)/$Q$2))</f>
        <v>9125.62395221233</v>
      </c>
      <c r="N412" s="15" t="n">
        <f aca="false">M412*(1+IF(N$3&lt;=$O$2,$D412,$D412-($D412-$I$400)*MIN(N$3-$O$2,$Q$2)/$Q$2))</f>
        <v>9429.507229821</v>
      </c>
      <c r="O412" s="15" t="n">
        <f aca="false">SUMPRODUCT(E412:N412,1/(1+$F$400)^$E$3:$N$3)*$E$2</f>
        <v>9835.2373400621</v>
      </c>
      <c r="P412" s="15" t="n">
        <f aca="false">N412*$E$2*(1+$I$400)/($F$400-$I$400)/(1+$F$400)^$N$3</f>
        <v>12761.1686315114</v>
      </c>
      <c r="Q412" s="15" t="n">
        <f aca="false">O412+P412</f>
        <v>22596.4059715735</v>
      </c>
      <c r="R412" s="15" t="n">
        <f aca="false">Q412-$G$2+$I$2</f>
        <v>17296.5059715735</v>
      </c>
      <c r="S412" s="42" t="n">
        <f aca="false">R412/$K$2</f>
        <v>147.229366458746</v>
      </c>
      <c r="T412" s="43" t="n">
        <f aca="false">S412-$M$2</f>
        <v>0.0553793971185996</v>
      </c>
    </row>
    <row r="413" customFormat="false" ht="15" hidden="false" customHeight="false" outlineLevel="0" collapsed="false">
      <c r="A413" s="5" t="n">
        <v>12</v>
      </c>
      <c r="B413" s="25" t="n">
        <f aca="false">IF(T412&gt;0,B412,D412)</f>
        <v>0.04052734375</v>
      </c>
      <c r="C413" s="25" t="n">
        <f aca="false">IF(T412&gt;0,D412,C412)</f>
        <v>0.041259765625</v>
      </c>
      <c r="D413" s="41" t="n">
        <f aca="false">(B413+C413)/2</f>
        <v>0.0408935546875</v>
      </c>
      <c r="E413" s="15" t="n">
        <f aca="false">$C$2*(1+IF(E$3&lt;=$O$2,$D413,$D413-($D413-$I$400)*MIN(E$3-$O$2,$Q$2)/$Q$2))</f>
        <v>6703.3544921875</v>
      </c>
      <c r="F413" s="15" t="n">
        <f aca="false">E413*(1+IF(F$3&lt;=$O$2,$D413,$D413-($D413-$I$400)*MIN(F$3-$O$2,$Q$2)/$Q$2))</f>
        <v>6977.47848570347</v>
      </c>
      <c r="G413" s="15" t="n">
        <f aca="false">F413*(1+IF(G$3&lt;=$O$2,$D413,$D413-($D413-$I$400)*MIN(G$3-$O$2,$Q$2)/$Q$2))</f>
        <v>7262.81238373944</v>
      </c>
      <c r="H413" s="15" t="n">
        <f aca="false">G413*(1+IF(H$3&lt;=$O$2,$D413,$D413-($D413-$I$400)*MIN(H$3-$O$2,$Q$2)/$Q$2))</f>
        <v>7559.81459913894</v>
      </c>
      <c r="I413" s="15" t="n">
        <f aca="false">H413*(1+IF(I$3&lt;=$O$2,$D413,$D413-($D413-$I$400)*MIN(I$3-$O$2,$Q$2)/$Q$2))</f>
        <v>7868.96229087619</v>
      </c>
      <c r="J413" s="15" t="n">
        <f aca="false">I413*(1+IF(J$3&lt;=$O$2,$D413,$D413-($D413-$I$400)*MIN(J$3-$O$2,$Q$2)/$Q$2))</f>
        <v>8178.80145155408</v>
      </c>
      <c r="K413" s="15" t="n">
        <f aca="false">J413*(1+IF(K$3&lt;=$O$2,$D413,$D413-($D413-$I$400)*MIN(K$3-$O$2,$Q$2)/$Q$2))</f>
        <v>8488.41924555118</v>
      </c>
      <c r="L413" s="15" t="n">
        <f aca="false">K413*(1+IF(L$3&lt;=$O$2,$D413,$D413-($D413-$I$400)*MIN(L$3-$O$2,$Q$2)/$Q$2))</f>
        <v>8796.86651672864</v>
      </c>
      <c r="M413" s="15" t="n">
        <f aca="false">L413*(1+IF(M$3&lt;=$O$2,$D413,$D413-($D413-$I$400)*MIN(M$3-$O$2,$Q$2)/$Q$2))</f>
        <v>9103.16206913039</v>
      </c>
      <c r="N413" s="15" t="n">
        <f aca="false">M413*(1+IF(N$3&lt;=$O$2,$D413,$D413-($D413-$I$400)*MIN(N$3-$O$2,$Q$2)/$Q$2))</f>
        <v>9406.29736603243</v>
      </c>
      <c r="O413" s="15" t="n">
        <f aca="false">SUMPRODUCT(E413:N413,1/(1+$F$400)^$E$3:$N$3)*$E$2</f>
        <v>9819.69720178074</v>
      </c>
      <c r="P413" s="15" t="n">
        <f aca="false">N413*$E$2*(1+$I$400)/($F$400-$I$400)/(1+$F$400)^$N$3</f>
        <v>12729.7581899579</v>
      </c>
      <c r="Q413" s="15" t="n">
        <f aca="false">O413+P413</f>
        <v>22549.4553917387</v>
      </c>
      <c r="R413" s="15" t="n">
        <f aca="false">Q413-$G$2+$I$2</f>
        <v>17249.5553917387</v>
      </c>
      <c r="S413" s="42" t="n">
        <f aca="false">R413/$K$2</f>
        <v>146.829719030802</v>
      </c>
      <c r="T413" s="43" t="n">
        <f aca="false">S413-$M$2</f>
        <v>-0.344268030825162</v>
      </c>
    </row>
    <row r="414" customFormat="false" ht="15" hidden="false" customHeight="false" outlineLevel="0" collapsed="false">
      <c r="A414" s="5" t="n">
        <v>13</v>
      </c>
      <c r="B414" s="25" t="n">
        <f aca="false">IF(T413&gt;0,B413,D413)</f>
        <v>0.0408935546875</v>
      </c>
      <c r="C414" s="25" t="n">
        <f aca="false">IF(T413&gt;0,D413,C413)</f>
        <v>0.041259765625</v>
      </c>
      <c r="D414" s="41" t="n">
        <f aca="false">(B414+C414)/2</f>
        <v>0.04107666015625</v>
      </c>
      <c r="E414" s="15" t="n">
        <f aca="false">$C$2*(1+IF(E$3&lt;=$O$2,$D414,$D414-($D414-$I$400)*MIN(E$3-$O$2,$Q$2)/$Q$2))</f>
        <v>6704.53369140625</v>
      </c>
      <c r="F414" s="15" t="n">
        <f aca="false">E414*(1+IF(F$3&lt;=$O$2,$D414,$D414-($D414-$I$400)*MIN(F$3-$O$2,$Q$2)/$Q$2))</f>
        <v>6979.93354335427</v>
      </c>
      <c r="G414" s="15" t="n">
        <f aca="false">F414*(1+IF(G$3&lt;=$O$2,$D414,$D414-($D414-$I$400)*MIN(G$3-$O$2,$Q$2)/$Q$2))</f>
        <v>7266.64590142785</v>
      </c>
      <c r="H414" s="15" t="n">
        <f aca="false">G414*(1+IF(H$3&lt;=$O$2,$D414,$D414-($D414-$I$400)*MIN(H$3-$O$2,$Q$2)/$Q$2))</f>
        <v>7565.13544559661</v>
      </c>
      <c r="I414" s="15" t="n">
        <f aca="false">H414*(1+IF(I$3&lt;=$O$2,$D414,$D414-($D414-$I$400)*MIN(I$3-$O$2,$Q$2)/$Q$2))</f>
        <v>7875.88594333138</v>
      </c>
      <c r="J414" s="15" t="n">
        <f aca="false">I414*(1+IF(J$3&lt;=$O$2,$D414,$D414-($D414-$I$400)*MIN(J$3-$O$2,$Q$2)/$Q$2))</f>
        <v>8187.15141597285</v>
      </c>
      <c r="K414" s="15" t="n">
        <f aca="false">J414*(1+IF(K$3&lt;=$O$2,$D414,$D414-($D414-$I$400)*MIN(K$3-$O$2,$Q$2)/$Q$2))</f>
        <v>8497.98477465062</v>
      </c>
      <c r="L414" s="15" t="n">
        <f aca="false">K414*(1+IF(L$3&lt;=$O$2,$D414,$D414-($D414-$I$400)*MIN(L$3-$O$2,$Q$2)/$Q$2))</f>
        <v>8807.40204348866</v>
      </c>
      <c r="M414" s="15" t="n">
        <f aca="false">L414*(1+IF(M$3&lt;=$O$2,$D414,$D414-($D414-$I$400)*MIN(M$3-$O$2,$Q$2)/$Q$2))</f>
        <v>9114.38696604717</v>
      </c>
      <c r="N414" s="15" t="n">
        <f aca="false">M414*(1+IF(N$3&lt;=$O$2,$D414,$D414-($D414-$I$400)*MIN(N$3-$O$2,$Q$2)/$Q$2))</f>
        <v>9417.89605201654</v>
      </c>
      <c r="O414" s="15" t="n">
        <f aca="false">SUMPRODUCT(E414:N414,1/(1+$F$400)^$E$3:$N$3)*$E$2</f>
        <v>9827.46415763405</v>
      </c>
      <c r="P414" s="15" t="n">
        <f aca="false">N414*$E$2*(1+$I$400)/($F$400-$I$400)/(1+$F$400)^$N$3</f>
        <v>12745.454958001</v>
      </c>
      <c r="Q414" s="15" t="n">
        <f aca="false">O414+P414</f>
        <v>22572.9191156351</v>
      </c>
      <c r="R414" s="15" t="n">
        <f aca="false">Q414-$G$2+$I$2</f>
        <v>17273.0191156351</v>
      </c>
      <c r="S414" s="42" t="n">
        <f aca="false">R414/$K$2</f>
        <v>147.029444293795</v>
      </c>
      <c r="T414" s="43" t="n">
        <f aca="false">S414-$M$2</f>
        <v>-0.144542767832348</v>
      </c>
    </row>
    <row r="415" customFormat="false" ht="15" hidden="false" customHeight="false" outlineLevel="0" collapsed="false">
      <c r="A415" s="5" t="n">
        <v>14</v>
      </c>
      <c r="B415" s="25" t="n">
        <f aca="false">IF(T414&gt;0,B414,D414)</f>
        <v>0.04107666015625</v>
      </c>
      <c r="C415" s="25" t="n">
        <f aca="false">IF(T414&gt;0,D414,C414)</f>
        <v>0.041259765625</v>
      </c>
      <c r="D415" s="41" t="n">
        <f aca="false">(B415+C415)/2</f>
        <v>0.041168212890625</v>
      </c>
      <c r="E415" s="15" t="n">
        <f aca="false">$C$2*(1+IF(E$3&lt;=$O$2,$D415,$D415-($D415-$I$400)*MIN(E$3-$O$2,$Q$2)/$Q$2))</f>
        <v>6705.12329101563</v>
      </c>
      <c r="F415" s="15" t="n">
        <f aca="false">E415*(1+IF(F$3&lt;=$O$2,$D415,$D415-($D415-$I$400)*MIN(F$3-$O$2,$Q$2)/$Q$2))</f>
        <v>6981.16123411804</v>
      </c>
      <c r="G415" s="15" t="n">
        <f aca="false">F415*(1+IF(G$3&lt;=$O$2,$D415,$D415-($D415-$I$400)*MIN(G$3-$O$2,$Q$2)/$Q$2))</f>
        <v>7268.56316602799</v>
      </c>
      <c r="H415" s="15" t="n">
        <f aca="false">G415*(1+IF(H$3&lt;=$O$2,$D415,$D415-($D415-$I$400)*MIN(H$3-$O$2,$Q$2)/$Q$2))</f>
        <v>7567.79692185599</v>
      </c>
      <c r="I415" s="15" t="n">
        <f aca="false">H415*(1+IF(I$3&lt;=$O$2,$D415,$D415-($D415-$I$400)*MIN(I$3-$O$2,$Q$2)/$Q$2))</f>
        <v>7879.34959664797</v>
      </c>
      <c r="J415" s="15" t="n">
        <f aca="false">I415*(1+IF(J$3&lt;=$O$2,$D415,$D415-($D415-$I$400)*MIN(J$3-$O$2,$Q$2)/$Q$2))</f>
        <v>8191.32905826922</v>
      </c>
      <c r="K415" s="15" t="n">
        <f aca="false">J415*(1+IF(K$3&lt;=$O$2,$D415,$D415-($D415-$I$400)*MIN(K$3-$O$2,$Q$2)/$Q$2))</f>
        <v>8502.77098844216</v>
      </c>
      <c r="L415" s="15" t="n">
        <f aca="false">K415*(1+IF(L$3&lt;=$O$2,$D415,$D415-($D415-$I$400)*MIN(L$3-$O$2,$Q$2)/$Q$2))</f>
        <v>8812.6739072762</v>
      </c>
      <c r="M415" s="15" t="n">
        <f aca="false">L415*(1+IF(M$3&lt;=$O$2,$D415,$D415-($D415-$I$400)*MIN(M$3-$O$2,$Q$2)/$Q$2))</f>
        <v>9120.00394727612</v>
      </c>
      <c r="N415" s="15" t="n">
        <f aca="false">M415*(1+IF(N$3&lt;=$O$2,$D415,$D415-($D415-$I$400)*MIN(N$3-$O$2,$Q$2)/$Q$2))</f>
        <v>9423.70007872042</v>
      </c>
      <c r="O415" s="15" t="n">
        <f aca="false">SUMPRODUCT(E415:N415,1/(1+$F$400)^$E$3:$N$3)*$E$2</f>
        <v>9831.34997023314</v>
      </c>
      <c r="P415" s="15" t="n">
        <f aca="false">N415*$E$2*(1+$I$400)/($F$400-$I$400)/(1+$F$400)^$N$3</f>
        <v>12753.3096805973</v>
      </c>
      <c r="Q415" s="15" t="n">
        <f aca="false">O415+P415</f>
        <v>22584.6596508304</v>
      </c>
      <c r="R415" s="15" t="n">
        <f aca="false">Q415-$G$2+$I$2</f>
        <v>17284.7596508304</v>
      </c>
      <c r="S415" s="42" t="n">
        <f aca="false">R415/$K$2</f>
        <v>147.129380752728</v>
      </c>
      <c r="T415" s="43" t="n">
        <f aca="false">S415-$M$2</f>
        <v>-0.0446063088998869</v>
      </c>
    </row>
    <row r="416" customFormat="false" ht="15" hidden="false" customHeight="false" outlineLevel="0" collapsed="false">
      <c r="A416" s="5" t="n">
        <v>15</v>
      </c>
      <c r="B416" s="25" t="n">
        <f aca="false">IF(T415&gt;0,B415,D415)</f>
        <v>0.041168212890625</v>
      </c>
      <c r="C416" s="25" t="n">
        <f aca="false">IF(T415&gt;0,D415,C415)</f>
        <v>0.041259765625</v>
      </c>
      <c r="D416" s="41" t="n">
        <f aca="false">(B416+C416)/2</f>
        <v>0.0412139892578125</v>
      </c>
      <c r="E416" s="15" t="n">
        <f aca="false">$C$2*(1+IF(E$3&lt;=$O$2,$D416,$D416-($D416-$I$400)*MIN(E$3-$O$2,$Q$2)/$Q$2))</f>
        <v>6705.41809082031</v>
      </c>
      <c r="F416" s="15" t="n">
        <f aca="false">E416*(1+IF(F$3&lt;=$O$2,$D416,$D416-($D416-$I$400)*MIN(F$3-$O$2,$Q$2)/$Q$2))</f>
        <v>6981.77511998452</v>
      </c>
      <c r="G416" s="15" t="n">
        <f aca="false">F416*(1+IF(G$3&lt;=$O$2,$D416,$D416-($D416-$I$400)*MIN(G$3-$O$2,$Q$2)/$Q$2))</f>
        <v>7269.52192478003</v>
      </c>
      <c r="H416" s="15" t="n">
        <f aca="false">G416*(1+IF(H$3&lt;=$O$2,$D416,$D416-($D416-$I$400)*MIN(H$3-$O$2,$Q$2)/$Q$2))</f>
        <v>7569.12792329734</v>
      </c>
      <c r="I416" s="15" t="n">
        <f aca="false">H416*(1+IF(I$3&lt;=$O$2,$D416,$D416-($D416-$I$400)*MIN(I$3-$O$2,$Q$2)/$Q$2))</f>
        <v>7881.08188021913</v>
      </c>
      <c r="J416" s="15" t="n">
        <f aca="false">I416*(1+IF(J$3&lt;=$O$2,$D416,$D416-($D416-$I$400)*MIN(J$3-$O$2,$Q$2)/$Q$2))</f>
        <v>8193.41854470242</v>
      </c>
      <c r="K416" s="15" t="n">
        <f aca="false">J416*(1+IF(K$3&lt;=$O$2,$D416,$D416-($D416-$I$400)*MIN(K$3-$O$2,$Q$2)/$Q$2))</f>
        <v>8505.16495804953</v>
      </c>
      <c r="L416" s="15" t="n">
        <f aca="false">K416*(1+IF(L$3&lt;=$O$2,$D416,$D416-($D416-$I$400)*MIN(L$3-$O$2,$Q$2)/$Q$2))</f>
        <v>8815.31086479816</v>
      </c>
      <c r="M416" s="15" t="n">
        <f aca="false">L416*(1+IF(M$3&lt;=$O$2,$D416,$D416-($D416-$I$400)*MIN(M$3-$O$2,$Q$2)/$Q$2))</f>
        <v>9122.81357169359</v>
      </c>
      <c r="N416" s="15" t="n">
        <f aca="false">M416*(1+IF(N$3&lt;=$O$2,$D416,$D416-($D416-$I$400)*MIN(N$3-$O$2,$Q$2)/$Q$2))</f>
        <v>9426.60326363099</v>
      </c>
      <c r="O416" s="15" t="n">
        <f aca="false">SUMPRODUCT(E416:N416,1/(1+$F$400)^$E$3:$N$3)*$E$2</f>
        <v>9833.29346045724</v>
      </c>
      <c r="P416" s="15" t="n">
        <f aca="false">N416*$E$2*(1+$I$400)/($F$400-$I$400)/(1+$F$400)^$N$3</f>
        <v>12757.2386273927</v>
      </c>
      <c r="Q416" s="15" t="n">
        <f aca="false">O416+P416</f>
        <v>22590.5320878499</v>
      </c>
      <c r="R416" s="15" t="n">
        <f aca="false">Q416-$G$2+$I$2</f>
        <v>17290.6320878499</v>
      </c>
      <c r="S416" s="42" t="n">
        <f aca="false">R416/$K$2</f>
        <v>147.179367448501</v>
      </c>
      <c r="T416" s="43" t="n">
        <f aca="false">S416-$M$2</f>
        <v>0.00538038687341214</v>
      </c>
    </row>
    <row r="417" customFormat="false" ht="15" hidden="false" customHeight="false" outlineLevel="0" collapsed="false">
      <c r="A417" s="5" t="n">
        <v>16</v>
      </c>
      <c r="B417" s="25" t="n">
        <f aca="false">IF(T416&gt;0,B416,D416)</f>
        <v>0.041168212890625</v>
      </c>
      <c r="C417" s="25" t="n">
        <f aca="false">IF(T416&gt;0,D416,C416)</f>
        <v>0.0412139892578125</v>
      </c>
      <c r="D417" s="41" t="n">
        <f aca="false">(B417+C417)/2</f>
        <v>0.0411911010742188</v>
      </c>
      <c r="E417" s="15" t="n">
        <f aca="false">$C$2*(1+IF(E$3&lt;=$O$2,$D417,$D417-($D417-$I$400)*MIN(E$3-$O$2,$Q$2)/$Q$2))</f>
        <v>6705.27069091797</v>
      </c>
      <c r="F417" s="15" t="n">
        <f aca="false">E417*(1+IF(F$3&lt;=$O$2,$D417,$D417-($D417-$I$400)*MIN(F$3-$O$2,$Q$2)/$Q$2))</f>
        <v>6981.46817367757</v>
      </c>
      <c r="G417" s="15" t="n">
        <f aca="false">F417*(1+IF(G$3&lt;=$O$2,$D417,$D417-($D417-$I$400)*MIN(G$3-$O$2,$Q$2)/$Q$2))</f>
        <v>7269.04253486596</v>
      </c>
      <c r="H417" s="15" t="n">
        <f aca="false">G417*(1+IF(H$3&lt;=$O$2,$D417,$D417-($D417-$I$400)*MIN(H$3-$O$2,$Q$2)/$Q$2))</f>
        <v>7568.46240063242</v>
      </c>
      <c r="I417" s="15" t="n">
        <f aca="false">H417*(1+IF(I$3&lt;=$O$2,$D417,$D417-($D417-$I$400)*MIN(I$3-$O$2,$Q$2)/$Q$2))</f>
        <v>7880.2157003533</v>
      </c>
      <c r="J417" s="15" t="n">
        <f aca="false">I417*(1+IF(J$3&lt;=$O$2,$D417,$D417-($D417-$I$400)*MIN(J$3-$O$2,$Q$2)/$Q$2))</f>
        <v>8192.37374603757</v>
      </c>
      <c r="K417" s="15" t="n">
        <f aca="false">J417*(1+IF(K$3&lt;=$O$2,$D417,$D417-($D417-$I$400)*MIN(K$3-$O$2,$Q$2)/$Q$2))</f>
        <v>8503.96790134127</v>
      </c>
      <c r="L417" s="15" t="n">
        <f aca="false">K417*(1+IF(L$3&lt;=$O$2,$D417,$D417-($D417-$I$400)*MIN(L$3-$O$2,$Q$2)/$Q$2))</f>
        <v>8813.9923005525</v>
      </c>
      <c r="M417" s="15" t="n">
        <f aca="false">L417*(1+IF(M$3&lt;=$O$2,$D417,$D417-($D417-$I$400)*MIN(M$3-$O$2,$Q$2)/$Q$2))</f>
        <v>9121.4086649831</v>
      </c>
      <c r="N417" s="15" t="n">
        <f aca="false">M417*(1+IF(N$3&lt;=$O$2,$D417,$D417-($D417-$I$400)*MIN(N$3-$O$2,$Q$2)/$Q$2))</f>
        <v>9425.15157352704</v>
      </c>
      <c r="O417" s="15" t="n">
        <f aca="false">SUMPRODUCT(E417:N417,1/(1+$F$400)^$E$3:$N$3)*$E$2</f>
        <v>9832.32166667717</v>
      </c>
      <c r="P417" s="15" t="n">
        <f aca="false">N417*$E$2*(1+$I$400)/($F$400-$I$400)/(1+$F$400)^$N$3</f>
        <v>12755.2740218448</v>
      </c>
      <c r="Q417" s="15" t="n">
        <f aca="false">O417+P417</f>
        <v>22587.595688522</v>
      </c>
      <c r="R417" s="15" t="n">
        <f aca="false">Q417-$G$2+$I$2</f>
        <v>17287.695688522</v>
      </c>
      <c r="S417" s="42" t="n">
        <f aca="false">R417/$K$2</f>
        <v>147.154372561474</v>
      </c>
      <c r="T417" s="43" t="n">
        <f aca="false">S417-$M$2</f>
        <v>-0.0196145001534944</v>
      </c>
    </row>
    <row r="418" customFormat="false" ht="15" hidden="false" customHeight="false" outlineLevel="0" collapsed="false">
      <c r="A418" s="5" t="n">
        <v>17</v>
      </c>
      <c r="B418" s="25" t="n">
        <f aca="false">IF(T417&gt;0,B417,D417)</f>
        <v>0.0411911010742188</v>
      </c>
      <c r="C418" s="25" t="n">
        <f aca="false">IF(T417&gt;0,D417,C417)</f>
        <v>0.0412139892578125</v>
      </c>
      <c r="D418" s="41" t="n">
        <f aca="false">(B418+C418)/2</f>
        <v>0.0412025451660156</v>
      </c>
      <c r="E418" s="15" t="n">
        <f aca="false">$C$2*(1+IF(E$3&lt;=$O$2,$D418,$D418-($D418-$I$400)*MIN(E$3-$O$2,$Q$2)/$Q$2))</f>
        <v>6705.34439086914</v>
      </c>
      <c r="F418" s="15" t="n">
        <f aca="false">E418*(1+IF(F$3&lt;=$O$2,$D418,$D418-($D418-$I$400)*MIN(F$3-$O$2,$Q$2)/$Q$2))</f>
        <v>6981.62164598762</v>
      </c>
      <c r="G418" s="15" t="n">
        <f aca="false">F418*(1+IF(G$3&lt;=$O$2,$D418,$D418-($D418-$I$400)*MIN(G$3-$O$2,$Q$2)/$Q$2))</f>
        <v>7269.28222718845</v>
      </c>
      <c r="H418" s="15" t="n">
        <f aca="false">G418*(1+IF(H$3&lt;=$O$2,$D418,$D418-($D418-$I$400)*MIN(H$3-$O$2,$Q$2)/$Q$2))</f>
        <v>7568.7951564787</v>
      </c>
      <c r="I418" s="15" t="n">
        <f aca="false">H418*(1+IF(I$3&lt;=$O$2,$D418,$D418-($D418-$I$400)*MIN(I$3-$O$2,$Q$2)/$Q$2))</f>
        <v>7880.64878076583</v>
      </c>
      <c r="J418" s="15" t="n">
        <f aca="false">I418*(1+IF(J$3&lt;=$O$2,$D418,$D418-($D418-$I$400)*MIN(J$3-$O$2,$Q$2)/$Q$2))</f>
        <v>8192.89613150734</v>
      </c>
      <c r="K418" s="15" t="n">
        <f aca="false">J418*(1+IF(K$3&lt;=$O$2,$D418,$D418-($D418-$I$400)*MIN(K$3-$O$2,$Q$2)/$Q$2))</f>
        <v>8504.56641171836</v>
      </c>
      <c r="L418" s="15" t="n">
        <f aca="false">K418*(1+IF(L$3&lt;=$O$2,$D418,$D418-($D418-$I$400)*MIN(L$3-$O$2,$Q$2)/$Q$2))</f>
        <v>8814.65156130298</v>
      </c>
      <c r="M418" s="15" t="n">
        <f aca="false">L418*(1+IF(M$3&lt;=$O$2,$D418,$D418-($D418-$I$400)*MIN(M$3-$O$2,$Q$2)/$Q$2))</f>
        <v>9122.11109471155</v>
      </c>
      <c r="N418" s="15" t="n">
        <f aca="false">M418*(1+IF(N$3&lt;=$O$2,$D418,$D418-($D418-$I$400)*MIN(N$3-$O$2,$Q$2)/$Q$2))</f>
        <v>9425.87739416544</v>
      </c>
      <c r="O418" s="15" t="n">
        <f aca="false">SUMPRODUCT(E418:N418,1/(1+$F$400)^$E$3:$N$3)*$E$2</f>
        <v>9832.80755139963</v>
      </c>
      <c r="P418" s="15" t="n">
        <f aca="false">N418*$E$2*(1+$I$400)/($F$400-$I$400)/(1+$F$400)^$N$3</f>
        <v>12756.2562915793</v>
      </c>
      <c r="Q418" s="15" t="n">
        <f aca="false">O418+P418</f>
        <v>22589.0638429789</v>
      </c>
      <c r="R418" s="15" t="n">
        <f aca="false">Q418-$G$2+$I$2</f>
        <v>17289.1638429789</v>
      </c>
      <c r="S418" s="42" t="n">
        <f aca="false">R418/$K$2</f>
        <v>147.166869620181</v>
      </c>
      <c r="T418" s="43" t="n">
        <f aca="false">S418-$M$2</f>
        <v>-0.00711744144624049</v>
      </c>
    </row>
    <row r="419" customFormat="false" ht="15" hidden="false" customHeight="false" outlineLevel="0" collapsed="false">
      <c r="A419" s="5" t="n">
        <v>18</v>
      </c>
      <c r="B419" s="25" t="n">
        <f aca="false">IF(T418&gt;0,B418,D418)</f>
        <v>0.0412025451660156</v>
      </c>
      <c r="C419" s="25" t="n">
        <f aca="false">IF(T418&gt;0,D418,C418)</f>
        <v>0.0412139892578125</v>
      </c>
      <c r="D419" s="41" t="n">
        <f aca="false">(B419+C419)/2</f>
        <v>0.0412082672119141</v>
      </c>
      <c r="E419" s="15" t="n">
        <f aca="false">$C$2*(1+IF(E$3&lt;=$O$2,$D419,$D419-($D419-$I$400)*MIN(E$3-$O$2,$Q$2)/$Q$2))</f>
        <v>6705.38124084473</v>
      </c>
      <c r="F419" s="15" t="n">
        <f aca="false">E419*(1+IF(F$3&lt;=$O$2,$D419,$D419-($D419-$I$400)*MIN(F$3-$O$2,$Q$2)/$Q$2))</f>
        <v>6981.69838277521</v>
      </c>
      <c r="G419" s="15" t="n">
        <f aca="false">F419*(1+IF(G$3&lt;=$O$2,$D419,$D419-($D419-$I$400)*MIN(G$3-$O$2,$Q$2)/$Q$2))</f>
        <v>7269.4020753256</v>
      </c>
      <c r="H419" s="15" t="n">
        <f aca="false">G419*(1+IF(H$3&lt;=$O$2,$D419,$D419-($D419-$I$400)*MIN(H$3-$O$2,$Q$2)/$Q$2))</f>
        <v>7568.96153851646</v>
      </c>
      <c r="I419" s="15" t="n">
        <f aca="false">H419*(1+IF(I$3&lt;=$O$2,$D419,$D419-($D419-$I$400)*MIN(I$3-$O$2,$Q$2)/$Q$2))</f>
        <v>7880.86532811235</v>
      </c>
      <c r="J419" s="15" t="n">
        <f aca="false">I419*(1+IF(J$3&lt;=$O$2,$D419,$D419-($D419-$I$400)*MIN(J$3-$O$2,$Q$2)/$Q$2))</f>
        <v>8193.15733463915</v>
      </c>
      <c r="K419" s="15" t="n">
        <f aca="false">J419*(1+IF(K$3&lt;=$O$2,$D419,$D419-($D419-$I$400)*MIN(K$3-$O$2,$Q$2)/$Q$2))</f>
        <v>8504.86568038958</v>
      </c>
      <c r="L419" s="15" t="n">
        <f aca="false">K419*(1+IF(L$3&lt;=$O$2,$D419,$D419-($D419-$I$400)*MIN(L$3-$O$2,$Q$2)/$Q$2))</f>
        <v>8814.98120770734</v>
      </c>
      <c r="M419" s="15" t="n">
        <f aca="false">L419*(1+IF(M$3&lt;=$O$2,$D419,$D419-($D419-$I$400)*MIN(M$3-$O$2,$Q$2)/$Q$2))</f>
        <v>9122.4623272957</v>
      </c>
      <c r="N419" s="15" t="n">
        <f aca="false">M419*(1+IF(N$3&lt;=$O$2,$D419,$D419-($D419-$I$400)*MIN(N$3-$O$2,$Q$2)/$Q$2))</f>
        <v>9426.24032279465</v>
      </c>
      <c r="O419" s="15" t="n">
        <f aca="false">SUMPRODUCT(E419:N419,1/(1+$F$400)^$E$3:$N$3)*$E$2</f>
        <v>9833.05050288647</v>
      </c>
      <c r="P419" s="15" t="n">
        <f aca="false">N419*$E$2*(1+$I$400)/($F$400-$I$400)/(1+$F$400)^$N$3</f>
        <v>12756.7474512259</v>
      </c>
      <c r="Q419" s="15" t="n">
        <f aca="false">O419+P419</f>
        <v>22589.7979541123</v>
      </c>
      <c r="R419" s="15" t="n">
        <f aca="false">Q419-$G$2+$I$2</f>
        <v>17289.8979541123</v>
      </c>
      <c r="S419" s="42" t="n">
        <f aca="false">R419/$K$2</f>
        <v>147.173118438137</v>
      </c>
      <c r="T419" s="43" t="n">
        <f aca="false">S419-$M$2</f>
        <v>-0.000868623490589471</v>
      </c>
    </row>
    <row r="420" customFormat="false" ht="15" hidden="false" customHeight="false" outlineLevel="0" collapsed="false">
      <c r="A420" s="5" t="n">
        <v>19</v>
      </c>
      <c r="B420" s="25" t="n">
        <f aca="false">IF(T419&gt;0,B419,D419)</f>
        <v>0.0412082672119141</v>
      </c>
      <c r="C420" s="25" t="n">
        <f aca="false">IF(T419&gt;0,D419,C419)</f>
        <v>0.0412139892578125</v>
      </c>
      <c r="D420" s="41" t="n">
        <f aca="false">(B420+C420)/2</f>
        <v>0.0412111282348633</v>
      </c>
      <c r="E420" s="15" t="n">
        <f aca="false">$C$2*(1+IF(E$3&lt;=$O$2,$D420,$D420-($D420-$I$400)*MIN(E$3-$O$2,$Q$2)/$Q$2))</f>
        <v>6705.39966583252</v>
      </c>
      <c r="F420" s="15" t="n">
        <f aca="false">E420*(1+IF(F$3&lt;=$O$2,$D420,$D420-($D420-$I$400)*MIN(F$3-$O$2,$Q$2)/$Q$2))</f>
        <v>6981.73675132715</v>
      </c>
      <c r="G420" s="15" t="n">
        <f aca="false">F420*(1+IF(G$3&lt;=$O$2,$D420,$D420-($D420-$I$400)*MIN(G$3-$O$2,$Q$2)/$Q$2))</f>
        <v>7269.46199988815</v>
      </c>
      <c r="H420" s="15" t="n">
        <f aca="false">G420*(1+IF(H$3&lt;=$O$2,$D420,$D420-($D420-$I$400)*MIN(H$3-$O$2,$Q$2)/$Q$2))</f>
        <v>7569.04473056401</v>
      </c>
      <c r="I420" s="15" t="n">
        <f aca="false">H420*(1+IF(I$3&lt;=$O$2,$D420,$D420-($D420-$I$400)*MIN(I$3-$O$2,$Q$2)/$Q$2))</f>
        <v>7880.9736035707</v>
      </c>
      <c r="J420" s="15" t="n">
        <f aca="false">I420*(1+IF(J$3&lt;=$O$2,$D420,$D420-($D420-$I$400)*MIN(J$3-$O$2,$Q$2)/$Q$2))</f>
        <v>8193.28793880434</v>
      </c>
      <c r="K420" s="15" t="n">
        <f aca="false">J420*(1+IF(K$3&lt;=$O$2,$D420,$D420-($D420-$I$400)*MIN(K$3-$O$2,$Q$2)/$Q$2))</f>
        <v>8505.01531809595</v>
      </c>
      <c r="L420" s="15" t="n">
        <f aca="false">K420*(1+IF(L$3&lt;=$O$2,$D420,$D420-($D420-$I$400)*MIN(L$3-$O$2,$Q$2)/$Q$2))</f>
        <v>8815.14603491692</v>
      </c>
      <c r="M420" s="15" t="n">
        <f aca="false">L420*(1+IF(M$3&lt;=$O$2,$D420,$D420-($D420-$I$400)*MIN(M$3-$O$2,$Q$2)/$Q$2))</f>
        <v>9122.63794801791</v>
      </c>
      <c r="N420" s="15" t="n">
        <f aca="false">M420*(1+IF(N$3&lt;=$O$2,$D420,$D420-($D420-$I$400)*MIN(N$3-$O$2,$Q$2)/$Q$2))</f>
        <v>9426.42179168691</v>
      </c>
      <c r="O420" s="15" t="n">
        <f aca="false">SUMPRODUCT(E420:N420,1/(1+$F$400)^$E$3:$N$3)*$E$2</f>
        <v>9833.17198091135</v>
      </c>
      <c r="P420" s="15" t="n">
        <f aca="false">N420*$E$2*(1+$I$400)/($F$400-$I$400)/(1+$F$400)^$N$3</f>
        <v>12756.9930372442</v>
      </c>
      <c r="Q420" s="15" t="n">
        <f aca="false">O420+P420</f>
        <v>22590.1650181556</v>
      </c>
      <c r="R420" s="15" t="n">
        <f aca="false">Q420-$G$2+$I$2</f>
        <v>17290.2650181556</v>
      </c>
      <c r="S420" s="42" t="n">
        <f aca="false">R420/$K$2</f>
        <v>147.176242919268</v>
      </c>
      <c r="T420" s="43" t="n">
        <f aca="false">S420-$M$2</f>
        <v>0.0022558576400229</v>
      </c>
    </row>
    <row r="421" customFormat="false" ht="15" hidden="false" customHeight="false" outlineLevel="0" collapsed="false">
      <c r="A421" s="5" t="n">
        <v>20</v>
      </c>
      <c r="B421" s="25" t="n">
        <f aca="false">IF(T420&gt;0,B420,D420)</f>
        <v>0.0412082672119141</v>
      </c>
      <c r="C421" s="25" t="n">
        <f aca="false">IF(T420&gt;0,D420,C420)</f>
        <v>0.0412111282348633</v>
      </c>
      <c r="D421" s="41" t="n">
        <f aca="false">(B421+C421)/2</f>
        <v>0.0412096977233887</v>
      </c>
      <c r="E421" s="15" t="n">
        <f aca="false">$C$2*(1+IF(E$3&lt;=$O$2,$D421,$D421-($D421-$I$400)*MIN(E$3-$O$2,$Q$2)/$Q$2))</f>
        <v>6705.39045333862</v>
      </c>
      <c r="F421" s="15" t="n">
        <f aca="false">E421*(1+IF(F$3&lt;=$O$2,$D421,$D421-($D421-$I$400)*MIN(F$3-$O$2,$Q$2)/$Q$2))</f>
        <v>6981.717567038</v>
      </c>
      <c r="G421" s="15" t="n">
        <f aca="false">F421*(1+IF(G$3&lt;=$O$2,$D421,$D421-($D421-$I$400)*MIN(G$3-$O$2,$Q$2)/$Q$2))</f>
        <v>7269.43203756571</v>
      </c>
      <c r="H421" s="15" t="n">
        <f aca="false">G421*(1+IF(H$3&lt;=$O$2,$D421,$D421-($D421-$I$400)*MIN(H$3-$O$2,$Q$2)/$Q$2))</f>
        <v>7569.00313445451</v>
      </c>
      <c r="I421" s="15" t="n">
        <f aca="false">H421*(1+IF(I$3&lt;=$O$2,$D421,$D421-($D421-$I$400)*MIN(I$3-$O$2,$Q$2)/$Q$2))</f>
        <v>7880.91946569277</v>
      </c>
      <c r="J421" s="15" t="n">
        <f aca="false">I421*(1+IF(J$3&lt;=$O$2,$D421,$D421-($D421-$I$400)*MIN(J$3-$O$2,$Q$2)/$Q$2))</f>
        <v>8193.22263650513</v>
      </c>
      <c r="K421" s="15" t="n">
        <f aca="false">J421*(1+IF(K$3&lt;=$O$2,$D421,$D421-($D421-$I$400)*MIN(K$3-$O$2,$Q$2)/$Q$2))</f>
        <v>8504.94049896186</v>
      </c>
      <c r="L421" s="15" t="n">
        <f aca="false">K421*(1+IF(L$3&lt;=$O$2,$D421,$D421-($D421-$I$400)*MIN(L$3-$O$2,$Q$2)/$Q$2))</f>
        <v>8815.06362097817</v>
      </c>
      <c r="M421" s="15" t="n">
        <f aca="false">L421*(1+IF(M$3&lt;=$O$2,$D421,$D421-($D421-$I$400)*MIN(M$3-$O$2,$Q$2)/$Q$2))</f>
        <v>9122.55013728762</v>
      </c>
      <c r="N421" s="15" t="n">
        <f aca="false">M421*(1+IF(N$3&lt;=$O$2,$D421,$D421-($D421-$I$400)*MIN(N$3-$O$2,$Q$2)/$Q$2))</f>
        <v>9426.3310568593</v>
      </c>
      <c r="O421" s="15" t="n">
        <f aca="false">SUMPRODUCT(E421:N421,1/(1+$F$400)^$E$3:$N$3)*$E$2</f>
        <v>9833.11124170878</v>
      </c>
      <c r="P421" s="15" t="n">
        <f aca="false">N421*$E$2*(1+$I$400)/($F$400-$I$400)/(1+$F$400)^$N$3</f>
        <v>12756.8702437188</v>
      </c>
      <c r="Q421" s="15" t="n">
        <f aca="false">O421+P421</f>
        <v>22589.9814854276</v>
      </c>
      <c r="R421" s="15" t="n">
        <f aca="false">Q421-$G$2+$I$2</f>
        <v>17290.0814854276</v>
      </c>
      <c r="S421" s="42" t="n">
        <f aca="false">R421/$K$2</f>
        <v>147.174680672689</v>
      </c>
      <c r="T421" s="43" t="n">
        <f aca="false">S421-$M$2</f>
        <v>0.000693611061905131</v>
      </c>
    </row>
    <row r="422" customFormat="false" ht="15" hidden="false" customHeight="false" outlineLevel="0" collapsed="false">
      <c r="A422" s="5" t="n">
        <v>21</v>
      </c>
      <c r="B422" s="25" t="n">
        <f aca="false">IF(T421&gt;0,B421,D421)</f>
        <v>0.0412082672119141</v>
      </c>
      <c r="C422" s="25" t="n">
        <f aca="false">IF(T421&gt;0,D421,C421)</f>
        <v>0.0412096977233887</v>
      </c>
      <c r="D422" s="41" t="n">
        <f aca="false">(B422+C422)/2</f>
        <v>0.0412089824676514</v>
      </c>
      <c r="E422" s="15" t="n">
        <f aca="false">$C$2*(1+IF(E$3&lt;=$O$2,$D422,$D422-($D422-$I$400)*MIN(E$3-$O$2,$Q$2)/$Q$2))</f>
        <v>6705.38584709168</v>
      </c>
      <c r="F422" s="15" t="n">
        <f aca="false">E422*(1+IF(F$3&lt;=$O$2,$D422,$D422-($D422-$I$400)*MIN(F$3-$O$2,$Q$2)/$Q$2))</f>
        <v>6981.70797490331</v>
      </c>
      <c r="G422" s="15" t="n">
        <f aca="false">F422*(1+IF(G$3&lt;=$O$2,$D422,$D422-($D422-$I$400)*MIN(G$3-$O$2,$Q$2)/$Q$2))</f>
        <v>7269.41705643537</v>
      </c>
      <c r="H422" s="15" t="n">
        <f aca="false">G422*(1+IF(H$3&lt;=$O$2,$D422,$D422-($D422-$I$400)*MIN(H$3-$O$2,$Q$2)/$Q$2))</f>
        <v>7568.98233646406</v>
      </c>
      <c r="I422" s="15" t="n">
        <f aca="false">H422*(1+IF(I$3&lt;=$O$2,$D422,$D422-($D422-$I$400)*MIN(I$3-$O$2,$Q$2)/$Q$2))</f>
        <v>7880.89239686537</v>
      </c>
      <c r="J422" s="15" t="n">
        <f aca="false">I422*(1+IF(J$3&lt;=$O$2,$D422,$D422-($D422-$I$400)*MIN(J$3-$O$2,$Q$2)/$Q$2))</f>
        <v>8193.18998551799</v>
      </c>
      <c r="K422" s="15" t="n">
        <f aca="false">J422*(1+IF(K$3&lt;=$O$2,$D422,$D422-($D422-$I$400)*MIN(K$3-$O$2,$Q$2)/$Q$2))</f>
        <v>8504.9030896055</v>
      </c>
      <c r="L422" s="15" t="n">
        <f aca="false">K422*(1+IF(L$3&lt;=$O$2,$D422,$D422-($D422-$I$400)*MIN(L$3-$O$2,$Q$2)/$Q$2))</f>
        <v>8815.02241425926</v>
      </c>
      <c r="M422" s="15" t="n">
        <f aca="false">L422*(1+IF(M$3&lt;=$O$2,$D422,$D422-($D422-$I$400)*MIN(M$3-$O$2,$Q$2)/$Q$2))</f>
        <v>9122.50623219936</v>
      </c>
      <c r="N422" s="15" t="n">
        <f aca="false">M422*(1+IF(N$3&lt;=$O$2,$D422,$D422-($D422-$I$400)*MIN(N$3-$O$2,$Q$2)/$Q$2))</f>
        <v>9426.2856897316</v>
      </c>
      <c r="O422" s="15" t="n">
        <f aca="false">SUMPRODUCT(E422:N422,1/(1+$F$400)^$E$3:$N$3)*$E$2</f>
        <v>9833.08087225009</v>
      </c>
      <c r="P422" s="15" t="n">
        <f aca="false">N422*$E$2*(1+$I$400)/($F$400-$I$400)/(1+$F$400)^$N$3</f>
        <v>12756.8088473432</v>
      </c>
      <c r="Q422" s="15" t="n">
        <f aca="false">O422+P422</f>
        <v>22589.8897195933</v>
      </c>
      <c r="R422" s="15" t="n">
        <f aca="false">Q422-$G$2+$I$2</f>
        <v>17289.9897195933</v>
      </c>
      <c r="S422" s="42" t="n">
        <f aca="false">R422/$K$2</f>
        <v>147.17389955391</v>
      </c>
      <c r="T422" s="43" t="n">
        <f aca="false">S422-$M$2</f>
        <v>-8.75077175805927E-005</v>
      </c>
    </row>
    <row r="423" customFormat="false" ht="15" hidden="false" customHeight="false" outlineLevel="0" collapsed="false">
      <c r="A423" s="5" t="n">
        <v>22</v>
      </c>
      <c r="B423" s="25" t="n">
        <f aca="false">IF(T422&gt;0,B422,D422)</f>
        <v>0.0412089824676514</v>
      </c>
      <c r="C423" s="25" t="n">
        <f aca="false">IF(T422&gt;0,D422,C422)</f>
        <v>0.0412096977233887</v>
      </c>
      <c r="D423" s="41" t="n">
        <f aca="false">(B423+C423)/2</f>
        <v>0.04120934009552</v>
      </c>
      <c r="E423" s="15" t="n">
        <f aca="false">$C$2*(1+IF(E$3&lt;=$O$2,$D423,$D423-($D423-$I$400)*MIN(E$3-$O$2,$Q$2)/$Q$2))</f>
        <v>6705.38815021515</v>
      </c>
      <c r="F423" s="15" t="n">
        <f aca="false">E423*(1+IF(F$3&lt;=$O$2,$D423,$D423-($D423-$I$400)*MIN(F$3-$O$2,$Q$2)/$Q$2))</f>
        <v>6981.71277096984</v>
      </c>
      <c r="G423" s="15" t="n">
        <f aca="false">F423*(1+IF(G$3&lt;=$O$2,$D423,$D423-($D423-$I$400)*MIN(G$3-$O$2,$Q$2)/$Q$2))</f>
        <v>7269.42454699797</v>
      </c>
      <c r="H423" s="15" t="n">
        <f aca="false">G423*(1+IF(H$3&lt;=$O$2,$D423,$D423-($D423-$I$400)*MIN(H$3-$O$2,$Q$2)/$Q$2))</f>
        <v>7568.99273545393</v>
      </c>
      <c r="I423" s="15" t="n">
        <f aca="false">H423*(1+IF(I$3&lt;=$O$2,$D423,$D423-($D423-$I$400)*MIN(I$3-$O$2,$Q$2)/$Q$2))</f>
        <v>7880.90593126977</v>
      </c>
      <c r="J423" s="15" t="n">
        <f aca="false">I423*(1+IF(J$3&lt;=$O$2,$D423,$D423-($D423-$I$400)*MIN(J$3-$O$2,$Q$2)/$Q$2))</f>
        <v>8193.20631099802</v>
      </c>
      <c r="K423" s="15" t="n">
        <f aca="false">J423*(1+IF(K$3&lt;=$O$2,$D423,$D423-($D423-$I$400)*MIN(K$3-$O$2,$Q$2)/$Q$2))</f>
        <v>8504.92179426612</v>
      </c>
      <c r="L423" s="15" t="n">
        <f aca="false">K423*(1+IF(L$3&lt;=$O$2,$D423,$D423-($D423-$I$400)*MIN(L$3-$O$2,$Q$2)/$Q$2))</f>
        <v>8815.04301759785</v>
      </c>
      <c r="M423" s="15" t="n">
        <f aca="false">L423*(1+IF(M$3&lt;=$O$2,$D423,$D423-($D423-$I$400)*MIN(M$3-$O$2,$Q$2)/$Q$2))</f>
        <v>9122.52818472042</v>
      </c>
      <c r="N423" s="15" t="n">
        <f aca="false">M423*(1+IF(N$3&lt;=$O$2,$D423,$D423-($D423-$I$400)*MIN(N$3-$O$2,$Q$2)/$Q$2))</f>
        <v>9426.30837327161</v>
      </c>
      <c r="O423" s="15" t="n">
        <f aca="false">SUMPRODUCT(E423:N423,1/(1+$F$400)^$E$3:$N$3)*$E$2</f>
        <v>9833.09605696756</v>
      </c>
      <c r="P423" s="15" t="n">
        <f aca="false">N423*$E$2*(1+$I$400)/($F$400-$I$400)/(1+$F$400)^$N$3</f>
        <v>12756.8395454987</v>
      </c>
      <c r="Q423" s="15" t="n">
        <f aca="false">O423+P423</f>
        <v>22589.9356024663</v>
      </c>
      <c r="R423" s="15" t="n">
        <f aca="false">Q423-$G$2+$I$2</f>
        <v>17290.0356024663</v>
      </c>
      <c r="S423" s="42" t="n">
        <f aca="false">R423/$K$2</f>
        <v>147.174290112924</v>
      </c>
      <c r="T423" s="43" t="n">
        <f aca="false">S423-$M$2</f>
        <v>0.000303051296413059</v>
      </c>
    </row>
    <row r="424" customFormat="false" ht="15" hidden="false" customHeight="false" outlineLevel="0" collapsed="false">
      <c r="A424" s="5" t="n">
        <v>23</v>
      </c>
      <c r="B424" s="25" t="n">
        <f aca="false">IF(T423&gt;0,B423,D423)</f>
        <v>0.0412089824676514</v>
      </c>
      <c r="C424" s="25" t="n">
        <f aca="false">IF(T423&gt;0,D423,C423)</f>
        <v>0.04120934009552</v>
      </c>
      <c r="D424" s="41" t="n">
        <f aca="false">(B424+C424)/2</f>
        <v>0.0412091612815857</v>
      </c>
      <c r="E424" s="15" t="n">
        <f aca="false">$C$2*(1+IF(E$3&lt;=$O$2,$D424,$D424-($D424-$I$400)*MIN(E$3-$O$2,$Q$2)/$Q$2))</f>
        <v>6705.38699865341</v>
      </c>
      <c r="F424" s="15" t="n">
        <f aca="false">E424*(1+IF(F$3&lt;=$O$2,$D424,$D424-($D424-$I$400)*MIN(F$3-$O$2,$Q$2)/$Q$2))</f>
        <v>6981.71037293637</v>
      </c>
      <c r="G424" s="15" t="n">
        <f aca="false">F424*(1+IF(G$3&lt;=$O$2,$D424,$D424-($D424-$I$400)*MIN(G$3-$O$2,$Q$2)/$Q$2))</f>
        <v>7269.42080171602</v>
      </c>
      <c r="H424" s="15" t="n">
        <f aca="false">G424*(1+IF(H$3&lt;=$O$2,$D424,$D424-($D424-$I$400)*MIN(H$3-$O$2,$Q$2)/$Q$2))</f>
        <v>7568.98753595765</v>
      </c>
      <c r="I424" s="15" t="n">
        <f aca="false">H424*(1+IF(I$3&lt;=$O$2,$D424,$D424-($D424-$I$400)*MIN(I$3-$O$2,$Q$2)/$Q$2))</f>
        <v>7880.89916406524</v>
      </c>
      <c r="J424" s="15" t="n">
        <f aca="false">I424*(1+IF(J$3&lt;=$O$2,$D424,$D424-($D424-$I$400)*MIN(J$3-$O$2,$Q$2)/$Q$2))</f>
        <v>8193.19814825462</v>
      </c>
      <c r="K424" s="15" t="n">
        <f aca="false">J424*(1+IF(K$3&lt;=$O$2,$D424,$D424-($D424-$I$400)*MIN(K$3-$O$2,$Q$2)/$Q$2))</f>
        <v>8504.91244193142</v>
      </c>
      <c r="L424" s="15" t="n">
        <f aca="false">K424*(1+IF(L$3&lt;=$O$2,$D424,$D424-($D424-$I$400)*MIN(L$3-$O$2,$Q$2)/$Q$2))</f>
        <v>8815.03271592334</v>
      </c>
      <c r="M424" s="15" t="n">
        <f aca="false">L424*(1+IF(M$3&lt;=$O$2,$D424,$D424-($D424-$I$400)*MIN(M$3-$O$2,$Q$2)/$Q$2))</f>
        <v>9122.51720845413</v>
      </c>
      <c r="N424" s="15" t="n">
        <f aca="false">M424*(1+IF(N$3&lt;=$O$2,$D424,$D424-($D424-$I$400)*MIN(N$3-$O$2,$Q$2)/$Q$2))</f>
        <v>9426.29703149565</v>
      </c>
      <c r="O424" s="15" t="n">
        <f aca="false">SUMPRODUCT(E424:N424,1/(1+$F$400)^$E$3:$N$3)*$E$2</f>
        <v>9833.08846460586</v>
      </c>
      <c r="P424" s="15" t="n">
        <f aca="false">N424*$E$2*(1+$I$400)/($F$400-$I$400)/(1+$F$400)^$N$3</f>
        <v>12756.8241964129</v>
      </c>
      <c r="Q424" s="15" t="n">
        <f aca="false">O424+P424</f>
        <v>22589.9126610188</v>
      </c>
      <c r="R424" s="15" t="n">
        <f aca="false">Q424-$G$2+$I$2</f>
        <v>17290.0126610188</v>
      </c>
      <c r="S424" s="42" t="n">
        <f aca="false">R424/$K$2</f>
        <v>147.174094833323</v>
      </c>
      <c r="T424" s="43" t="n">
        <f aca="false">S424-$M$2</f>
        <v>0.000107771695496695</v>
      </c>
    </row>
    <row r="425" customFormat="false" ht="15" hidden="false" customHeight="false" outlineLevel="0" collapsed="false">
      <c r="A425" s="5" t="n">
        <v>24</v>
      </c>
      <c r="B425" s="25" t="n">
        <f aca="false">IF(T424&gt;0,B424,D424)</f>
        <v>0.0412089824676514</v>
      </c>
      <c r="C425" s="25" t="n">
        <f aca="false">IF(T424&gt;0,D424,C424)</f>
        <v>0.0412091612815857</v>
      </c>
      <c r="D425" s="41" t="n">
        <f aca="false">(B425+C425)/2</f>
        <v>0.0412090718746185</v>
      </c>
      <c r="E425" s="15" t="n">
        <f aca="false">$C$2*(1+IF(E$3&lt;=$O$2,$D425,$D425-($D425-$I$400)*MIN(E$3-$O$2,$Q$2)/$Q$2))</f>
        <v>6705.38642287254</v>
      </c>
      <c r="F425" s="15" t="n">
        <f aca="false">E425*(1+IF(F$3&lt;=$O$2,$D425,$D425-($D425-$I$400)*MIN(F$3-$O$2,$Q$2)/$Q$2))</f>
        <v>6981.70917391979</v>
      </c>
      <c r="G425" s="15" t="n">
        <f aca="false">F425*(1+IF(G$3&lt;=$O$2,$D425,$D425-($D425-$I$400)*MIN(G$3-$O$2,$Q$2)/$Q$2))</f>
        <v>7269.41892907553</v>
      </c>
      <c r="H425" s="15" t="n">
        <f aca="false">G425*(1+IF(H$3&lt;=$O$2,$D425,$D425-($D425-$I$400)*MIN(H$3-$O$2,$Q$2)/$Q$2))</f>
        <v>7568.98493621052</v>
      </c>
      <c r="I425" s="15" t="n">
        <f aca="false">H425*(1+IF(I$3&lt;=$O$2,$D425,$D425-($D425-$I$400)*MIN(I$3-$O$2,$Q$2)/$Q$2))</f>
        <v>7880.89578046472</v>
      </c>
      <c r="J425" s="15" t="n">
        <f aca="false">I425*(1+IF(J$3&lt;=$O$2,$D425,$D425-($D425-$I$400)*MIN(J$3-$O$2,$Q$2)/$Q$2))</f>
        <v>8193.19406688546</v>
      </c>
      <c r="K425" s="15" t="n">
        <f aca="false">J425*(1+IF(K$3&lt;=$O$2,$D425,$D425-($D425-$I$400)*MIN(K$3-$O$2,$Q$2)/$Q$2))</f>
        <v>8504.90776576736</v>
      </c>
      <c r="L425" s="15" t="n">
        <f aca="false">K425*(1+IF(L$3&lt;=$O$2,$D425,$D425-($D425-$I$400)*MIN(L$3-$O$2,$Q$2)/$Q$2))</f>
        <v>8815.02756509</v>
      </c>
      <c r="M425" s="15" t="n">
        <f aca="false">L425*(1+IF(M$3&lt;=$O$2,$D425,$D425-($D425-$I$400)*MIN(M$3-$O$2,$Q$2)/$Q$2))</f>
        <v>9122.5117203253</v>
      </c>
      <c r="N425" s="15" t="n">
        <f aca="false">M425*(1+IF(N$3&lt;=$O$2,$D425,$D425-($D425-$I$400)*MIN(N$3-$O$2,$Q$2)/$Q$2))</f>
        <v>9426.29136061214</v>
      </c>
      <c r="O425" s="15" t="n">
        <f aca="false">SUMPRODUCT(E425:N425,1/(1+$F$400)^$E$3:$N$3)*$E$2</f>
        <v>9833.08466842723</v>
      </c>
      <c r="P425" s="15" t="n">
        <f aca="false">N425*$E$2*(1+$I$400)/($F$400-$I$400)/(1+$F$400)^$N$3</f>
        <v>12756.8165218761</v>
      </c>
      <c r="Q425" s="15" t="n">
        <f aca="false">O425+P425</f>
        <v>22589.9011903033</v>
      </c>
      <c r="R425" s="15" t="n">
        <f aca="false">Q425-$G$2+$I$2</f>
        <v>17290.0011903033</v>
      </c>
      <c r="S425" s="42" t="n">
        <f aca="false">R425/$K$2</f>
        <v>147.173997193593</v>
      </c>
      <c r="T425" s="43" t="n">
        <f aca="false">S425-$M$2</f>
        <v>1.01319654959298E-005</v>
      </c>
    </row>
    <row r="427" customFormat="false" ht="15" hidden="false" customHeight="false" outlineLevel="0" collapsed="false">
      <c r="A427" s="38" t="s">
        <v>195</v>
      </c>
      <c r="E427" s="5" t="s">
        <v>11</v>
      </c>
      <c r="F427" s="12" t="n">
        <f aca="false">Sensitivity!$B$12</f>
        <v>0.0949886567315273</v>
      </c>
      <c r="G427" s="5" t="s">
        <v>12</v>
      </c>
      <c r="I427" s="12" t="n">
        <f aca="false">Sensitivity!$G$9</f>
        <v>0.0383</v>
      </c>
    </row>
    <row r="428" customFormat="false" ht="23.85" hidden="false" customHeight="false" outlineLevel="0" collapsed="false">
      <c r="A428" s="38" t="s">
        <v>161</v>
      </c>
      <c r="B428" s="28" t="s">
        <v>162</v>
      </c>
      <c r="C428" s="28" t="s">
        <v>163</v>
      </c>
      <c r="D428" s="28" t="s">
        <v>164</v>
      </c>
      <c r="E428" s="28" t="s">
        <v>165</v>
      </c>
      <c r="F428" s="28" t="s">
        <v>166</v>
      </c>
      <c r="G428" s="28" t="s">
        <v>167</v>
      </c>
      <c r="H428" s="28" t="s">
        <v>168</v>
      </c>
      <c r="I428" s="28" t="s">
        <v>169</v>
      </c>
      <c r="J428" s="28" t="s">
        <v>170</v>
      </c>
      <c r="K428" s="28" t="s">
        <v>171</v>
      </c>
      <c r="L428" s="28" t="s">
        <v>172</v>
      </c>
      <c r="M428" s="28" t="s">
        <v>173</v>
      </c>
      <c r="N428" s="28" t="s">
        <v>174</v>
      </c>
      <c r="O428" s="28" t="s">
        <v>175</v>
      </c>
      <c r="P428" s="28" t="s">
        <v>176</v>
      </c>
      <c r="Q428" s="28" t="s">
        <v>177</v>
      </c>
      <c r="R428" s="28" t="s">
        <v>178</v>
      </c>
      <c r="S428" s="28" t="s">
        <v>179</v>
      </c>
      <c r="T428" s="28" t="s">
        <v>180</v>
      </c>
    </row>
    <row r="429" customFormat="false" ht="15" hidden="false" customHeight="false" outlineLevel="0" collapsed="false">
      <c r="A429" s="5" t="n">
        <v>1</v>
      </c>
      <c r="B429" s="24" t="n">
        <v>-0.5</v>
      </c>
      <c r="C429" s="24" t="n">
        <v>1</v>
      </c>
      <c r="D429" s="41" t="n">
        <f aca="false">(B429+C429)/2</f>
        <v>0.25</v>
      </c>
      <c r="E429" s="15" t="n">
        <f aca="false">$C$2*(1+IF(E$3&lt;=$O$2,$D429,$D429-($D429-$I$427)*MIN(E$3-$O$2,$Q$2)/$Q$2))</f>
        <v>8050</v>
      </c>
      <c r="F429" s="15" t="n">
        <f aca="false">E429*(1+IF(F$3&lt;=$O$2,$D429,$D429-($D429-$I$427)*MIN(F$3-$O$2,$Q$2)/$Q$2))</f>
        <v>10062.5</v>
      </c>
      <c r="G429" s="15" t="n">
        <f aca="false">F429*(1+IF(G$3&lt;=$O$2,$D429,$D429-($D429-$I$427)*MIN(G$3-$O$2,$Q$2)/$Q$2))</f>
        <v>12578.125</v>
      </c>
      <c r="H429" s="15" t="n">
        <f aca="false">G429*(1+IF(H$3&lt;=$O$2,$D429,$D429-($D429-$I$427)*MIN(H$3-$O$2,$Q$2)/$Q$2))</f>
        <v>15722.65625</v>
      </c>
      <c r="I429" s="15" t="n">
        <f aca="false">H429*(1+IF(I$3&lt;=$O$2,$D429,$D429-($D429-$I$427)*MIN(I$3-$O$2,$Q$2)/$Q$2))</f>
        <v>19653.3203125</v>
      </c>
      <c r="J429" s="15" t="n">
        <f aca="false">I429*(1+IF(J$3&lt;=$O$2,$D429,$D429-($D429-$I$427)*MIN(J$3-$O$2,$Q$2)/$Q$2))</f>
        <v>23734.5288085938</v>
      </c>
      <c r="K429" s="15" t="n">
        <f aca="false">J429*(1+IF(K$3&lt;=$O$2,$D429,$D429-($D429-$I$427)*MIN(K$3-$O$2,$Q$2)/$Q$2))</f>
        <v>27658.3211112305</v>
      </c>
      <c r="L429" s="15" t="n">
        <f aca="false">K429*(1+IF(L$3&lt;=$O$2,$D429,$D429-($D429-$I$427)*MIN(L$3-$O$2,$Q$2)/$Q$2))</f>
        <v>31059.7414414896</v>
      </c>
      <c r="M429" s="15" t="n">
        <f aca="false">L429*(1+IF(M$3&lt;=$O$2,$D429,$D429-($D429-$I$427)*MIN(M$3-$O$2,$Q$2)/$Q$2))</f>
        <v>33564.3989913313</v>
      </c>
      <c r="N429" s="15" t="n">
        <f aca="false">M429*(1+IF(N$3&lt;=$O$2,$D429,$D429-($D429-$I$427)*MIN(N$3-$O$2,$Q$2)/$Q$2))</f>
        <v>34849.9154726993</v>
      </c>
      <c r="O429" s="15" t="n">
        <f aca="false">SUMPRODUCT(E429:N429,1/(1+$F$427)^$E$3:$N$3)*$E$2</f>
        <v>24243.7772894537</v>
      </c>
      <c r="P429" s="15" t="n">
        <f aca="false">N429*$E$2*(1+$I$427)/($F$427-$I$427)/(1+$F$427)^$N$3</f>
        <v>51571.379761285</v>
      </c>
      <c r="Q429" s="15" t="n">
        <f aca="false">O429+P429</f>
        <v>75815.1570507387</v>
      </c>
      <c r="R429" s="15" t="n">
        <f aca="false">Q429-$G$2+$I$2</f>
        <v>70515.2570507387</v>
      </c>
      <c r="S429" s="42" t="n">
        <f aca="false">R429/$K$2</f>
        <v>600.232014391715</v>
      </c>
      <c r="T429" s="43" t="n">
        <f aca="false">S429-$M$2</f>
        <v>453.058027330087</v>
      </c>
    </row>
    <row r="430" customFormat="false" ht="15" hidden="false" customHeight="false" outlineLevel="0" collapsed="false">
      <c r="A430" s="5" t="n">
        <v>2</v>
      </c>
      <c r="B430" s="25" t="n">
        <f aca="false">IF(T429&gt;0,B429,D429)</f>
        <v>-0.5</v>
      </c>
      <c r="C430" s="25" t="n">
        <f aca="false">IF(T429&gt;0,D429,C429)</f>
        <v>0.25</v>
      </c>
      <c r="D430" s="41" t="n">
        <f aca="false">(B430+C430)/2</f>
        <v>-0.125</v>
      </c>
      <c r="E430" s="15" t="n">
        <f aca="false">$C$2*(1+IF(E$3&lt;=$O$2,$D430,$D430-($D430-$I$427)*MIN(E$3-$O$2,$Q$2)/$Q$2))</f>
        <v>5635</v>
      </c>
      <c r="F430" s="15" t="n">
        <f aca="false">E430*(1+IF(F$3&lt;=$O$2,$D430,$D430-($D430-$I$427)*MIN(F$3-$O$2,$Q$2)/$Q$2))</f>
        <v>4930.625</v>
      </c>
      <c r="G430" s="15" t="n">
        <f aca="false">F430*(1+IF(G$3&lt;=$O$2,$D430,$D430-($D430-$I$427)*MIN(G$3-$O$2,$Q$2)/$Q$2))</f>
        <v>4314.296875</v>
      </c>
      <c r="H430" s="15" t="n">
        <f aca="false">G430*(1+IF(H$3&lt;=$O$2,$D430,$D430-($D430-$I$427)*MIN(H$3-$O$2,$Q$2)/$Q$2))</f>
        <v>3775.009765625</v>
      </c>
      <c r="I430" s="15" t="n">
        <f aca="false">H430*(1+IF(I$3&lt;=$O$2,$D430,$D430-($D430-$I$427)*MIN(I$3-$O$2,$Q$2)/$Q$2))</f>
        <v>3303.13354492188</v>
      </c>
      <c r="J430" s="15" t="n">
        <f aca="false">I430*(1+IF(J$3&lt;=$O$2,$D430,$D430-($D430-$I$427)*MIN(J$3-$O$2,$Q$2)/$Q$2))</f>
        <v>2998.12219338379</v>
      </c>
      <c r="K430" s="15" t="n">
        <f aca="false">J430*(1+IF(K$3&lt;=$O$2,$D430,$D430-($D430-$I$427)*MIN(K$3-$O$2,$Q$2)/$Q$2))</f>
        <v>2819.19426088265</v>
      </c>
      <c r="L430" s="15" t="n">
        <f aca="false">K430*(1+IF(L$3&lt;=$O$2,$D430,$D430-($D430-$I$427)*MIN(L$3-$O$2,$Q$2)/$Q$2))</f>
        <v>2743.0196319536</v>
      </c>
      <c r="M430" s="15" t="n">
        <f aca="false">L430*(1+IF(M$3&lt;=$O$2,$D430,$D430-($D430-$I$427)*MIN(M$3-$O$2,$Q$2)/$Q$2))</f>
        <v>2758.49026267781</v>
      </c>
      <c r="N430" s="15" t="n">
        <f aca="false">M430*(1+IF(N$3&lt;=$O$2,$D430,$D430-($D430-$I$427)*MIN(N$3-$O$2,$Q$2)/$Q$2))</f>
        <v>2864.14043973838</v>
      </c>
      <c r="O430" s="15" t="n">
        <f aca="false">SUMPRODUCT(E430:N430,1/(1+$F$427)^$E$3:$N$3)*$E$2</f>
        <v>4845.7596801522</v>
      </c>
      <c r="P430" s="15" t="n">
        <f aca="false">N430*$E$2*(1+$I$427)/($F$427-$I$427)/(1+$F$427)^$N$3</f>
        <v>4238.39404784533</v>
      </c>
      <c r="Q430" s="15" t="n">
        <f aca="false">O430+P430</f>
        <v>9084.15372799752</v>
      </c>
      <c r="R430" s="15" t="n">
        <f aca="false">Q430-$G$2+$I$2</f>
        <v>3784.25372799752</v>
      </c>
      <c r="S430" s="42" t="n">
        <f aca="false">R430/$K$2</f>
        <v>32.2118975825462</v>
      </c>
      <c r="T430" s="43" t="n">
        <f aca="false">S430-$M$2</f>
        <v>-114.962089479081</v>
      </c>
    </row>
    <row r="431" customFormat="false" ht="15" hidden="false" customHeight="false" outlineLevel="0" collapsed="false">
      <c r="A431" s="5" t="n">
        <v>3</v>
      </c>
      <c r="B431" s="25" t="n">
        <f aca="false">IF(T430&gt;0,B430,D430)</f>
        <v>-0.125</v>
      </c>
      <c r="C431" s="25" t="n">
        <f aca="false">IF(T430&gt;0,D430,C430)</f>
        <v>0.25</v>
      </c>
      <c r="D431" s="41" t="n">
        <f aca="false">(B431+C431)/2</f>
        <v>0.0625</v>
      </c>
      <c r="E431" s="15" t="n">
        <f aca="false">$C$2*(1+IF(E$3&lt;=$O$2,$D431,$D431-($D431-$I$427)*MIN(E$3-$O$2,$Q$2)/$Q$2))</f>
        <v>6842.5</v>
      </c>
      <c r="F431" s="15" t="n">
        <f aca="false">E431*(1+IF(F$3&lt;=$O$2,$D431,$D431-($D431-$I$427)*MIN(F$3-$O$2,$Q$2)/$Q$2))</f>
        <v>7270.15625</v>
      </c>
      <c r="G431" s="15" t="n">
        <f aca="false">F431*(1+IF(G$3&lt;=$O$2,$D431,$D431-($D431-$I$427)*MIN(G$3-$O$2,$Q$2)/$Q$2))</f>
        <v>7724.541015625</v>
      </c>
      <c r="H431" s="15" t="n">
        <f aca="false">G431*(1+IF(H$3&lt;=$O$2,$D431,$D431-($D431-$I$427)*MIN(H$3-$O$2,$Q$2)/$Q$2))</f>
        <v>8207.32482910156</v>
      </c>
      <c r="I431" s="15" t="n">
        <f aca="false">H431*(1+IF(I$3&lt;=$O$2,$D431,$D431-($D431-$I$427)*MIN(I$3-$O$2,$Q$2)/$Q$2))</f>
        <v>8720.28263092041</v>
      </c>
      <c r="J431" s="15" t="n">
        <f aca="false">I431*(1+IF(J$3&lt;=$O$2,$D431,$D431-($D431-$I$427)*MIN(J$3-$O$2,$Q$2)/$Q$2))</f>
        <v>9223.09412741928</v>
      </c>
      <c r="K431" s="15" t="n">
        <f aca="false">J431*(1+IF(K$3&lt;=$O$2,$D431,$D431-($D431-$I$427)*MIN(K$3-$O$2,$Q$2)/$Q$2))</f>
        <v>9710.25795922957</v>
      </c>
      <c r="L431" s="15" t="n">
        <f aca="false">K431*(1+IF(L$3&lt;=$O$2,$D431,$D431-($D431-$I$427)*MIN(L$3-$O$2,$Q$2)/$Q$2))</f>
        <v>10176.1561361134</v>
      </c>
      <c r="M431" s="15" t="n">
        <f aca="false">L431*(1+IF(M$3&lt;=$O$2,$D431,$D431-($D431-$I$427)*MIN(M$3-$O$2,$Q$2)/$Q$2))</f>
        <v>10615.1555118253</v>
      </c>
      <c r="N431" s="15" t="n">
        <f aca="false">M431*(1+IF(N$3&lt;=$O$2,$D431,$D431-($D431-$I$427)*MIN(N$3-$O$2,$Q$2)/$Q$2))</f>
        <v>11021.7159679282</v>
      </c>
      <c r="O431" s="15" t="n">
        <f aca="false">SUMPRODUCT(E431:N431,1/(1+$F$427)^$E$3:$N$3)*$E$2</f>
        <v>10811.6623896299</v>
      </c>
      <c r="P431" s="15" t="n">
        <f aca="false">N431*$E$2*(1+$I$427)/($F$427-$I$427)/(1+$F$427)^$N$3</f>
        <v>16310.085464865</v>
      </c>
      <c r="Q431" s="15" t="n">
        <f aca="false">O431+P431</f>
        <v>27121.7478544949</v>
      </c>
      <c r="R431" s="15" t="n">
        <f aca="false">Q431-$G$2+$I$2</f>
        <v>21821.8478544949</v>
      </c>
      <c r="S431" s="42" t="n">
        <f aca="false">R431/$K$2</f>
        <v>185.749471012043</v>
      </c>
      <c r="T431" s="43" t="n">
        <f aca="false">S431-$M$2</f>
        <v>38.5754839504158</v>
      </c>
    </row>
    <row r="432" customFormat="false" ht="15" hidden="false" customHeight="false" outlineLevel="0" collapsed="false">
      <c r="A432" s="5" t="n">
        <v>4</v>
      </c>
      <c r="B432" s="25" t="n">
        <f aca="false">IF(T431&gt;0,B431,D431)</f>
        <v>-0.125</v>
      </c>
      <c r="C432" s="25" t="n">
        <f aca="false">IF(T431&gt;0,D431,C431)</f>
        <v>0.0625</v>
      </c>
      <c r="D432" s="41" t="n">
        <f aca="false">(B432+C432)/2</f>
        <v>-0.03125</v>
      </c>
      <c r="E432" s="15" t="n">
        <f aca="false">$C$2*(1+IF(E$3&lt;=$O$2,$D432,$D432-($D432-$I$427)*MIN(E$3-$O$2,$Q$2)/$Q$2))</f>
        <v>6238.75</v>
      </c>
      <c r="F432" s="15" t="n">
        <f aca="false">E432*(1+IF(F$3&lt;=$O$2,$D432,$D432-($D432-$I$427)*MIN(F$3-$O$2,$Q$2)/$Q$2))</f>
        <v>6043.7890625</v>
      </c>
      <c r="G432" s="15" t="n">
        <f aca="false">F432*(1+IF(G$3&lt;=$O$2,$D432,$D432-($D432-$I$427)*MIN(G$3-$O$2,$Q$2)/$Q$2))</f>
        <v>5854.92065429688</v>
      </c>
      <c r="H432" s="15" t="n">
        <f aca="false">G432*(1+IF(H$3&lt;=$O$2,$D432,$D432-($D432-$I$427)*MIN(H$3-$O$2,$Q$2)/$Q$2))</f>
        <v>5671.9543838501</v>
      </c>
      <c r="I432" s="15" t="n">
        <f aca="false">H432*(1+IF(I$3&lt;=$O$2,$D432,$D432-($D432-$I$427)*MIN(I$3-$O$2,$Q$2)/$Q$2))</f>
        <v>5494.70580935478</v>
      </c>
      <c r="J432" s="15" t="n">
        <f aca="false">I432*(1+IF(J$3&lt;=$O$2,$D432,$D432-($D432-$I$427)*MIN(J$3-$O$2,$Q$2)/$Q$2))</f>
        <v>5399.42761062057</v>
      </c>
      <c r="K432" s="15" t="n">
        <f aca="false">J432*(1+IF(K$3&lt;=$O$2,$D432,$D432-($D432-$I$427)*MIN(K$3-$O$2,$Q$2)/$Q$2))</f>
        <v>5380.90757391614</v>
      </c>
      <c r="L432" s="15" t="n">
        <f aca="false">K432*(1+IF(L$3&lt;=$O$2,$D432,$D432-($D432-$I$427)*MIN(L$3-$O$2,$Q$2)/$Q$2))</f>
        <v>5437.29948529078</v>
      </c>
      <c r="M432" s="15" t="n">
        <f aca="false">L432*(1+IF(M$3&lt;=$O$2,$D432,$D432-($D432-$I$427)*MIN(M$3-$O$2,$Q$2)/$Q$2))</f>
        <v>5569.91521973702</v>
      </c>
      <c r="N432" s="15" t="n">
        <f aca="false">M432*(1+IF(N$3&lt;=$O$2,$D432,$D432-($D432-$I$427)*MIN(N$3-$O$2,$Q$2)/$Q$2))</f>
        <v>5783.24297265295</v>
      </c>
      <c r="O432" s="15" t="n">
        <f aca="false">SUMPRODUCT(E432:N432,1/(1+$F$427)^$E$3:$N$3)*$E$2</f>
        <v>7216.07406479963</v>
      </c>
      <c r="P432" s="15" t="n">
        <f aca="false">N432*$E$2*(1+$I$427)/($F$427-$I$427)/(1+$F$427)^$N$3</f>
        <v>8558.12175005448</v>
      </c>
      <c r="Q432" s="15" t="n">
        <f aca="false">O432+P432</f>
        <v>15774.1958148541</v>
      </c>
      <c r="R432" s="15" t="n">
        <f aca="false">Q432-$G$2+$I$2</f>
        <v>10474.2958148541</v>
      </c>
      <c r="S432" s="42" t="n">
        <f aca="false">R432/$K$2</f>
        <v>89.1581189551762</v>
      </c>
      <c r="T432" s="43" t="n">
        <f aca="false">S432-$M$2</f>
        <v>-58.0158681064513</v>
      </c>
    </row>
    <row r="433" customFormat="false" ht="15" hidden="false" customHeight="false" outlineLevel="0" collapsed="false">
      <c r="A433" s="5" t="n">
        <v>5</v>
      </c>
      <c r="B433" s="25" t="n">
        <f aca="false">IF(T432&gt;0,B432,D432)</f>
        <v>-0.03125</v>
      </c>
      <c r="C433" s="25" t="n">
        <f aca="false">IF(T432&gt;0,D432,C432)</f>
        <v>0.0625</v>
      </c>
      <c r="D433" s="41" t="n">
        <f aca="false">(B433+C433)/2</f>
        <v>0.015625</v>
      </c>
      <c r="E433" s="15" t="n">
        <f aca="false">$C$2*(1+IF(E$3&lt;=$O$2,$D433,$D433-($D433-$I$427)*MIN(E$3-$O$2,$Q$2)/$Q$2))</f>
        <v>6540.625</v>
      </c>
      <c r="F433" s="15" t="n">
        <f aca="false">E433*(1+IF(F$3&lt;=$O$2,$D433,$D433-($D433-$I$427)*MIN(F$3-$O$2,$Q$2)/$Q$2))</f>
        <v>6642.822265625</v>
      </c>
      <c r="G433" s="15" t="n">
        <f aca="false">F433*(1+IF(G$3&lt;=$O$2,$D433,$D433-($D433-$I$427)*MIN(G$3-$O$2,$Q$2)/$Q$2))</f>
        <v>6746.61636352539</v>
      </c>
      <c r="H433" s="15" t="n">
        <f aca="false">G433*(1+IF(H$3&lt;=$O$2,$D433,$D433-($D433-$I$427)*MIN(H$3-$O$2,$Q$2)/$Q$2))</f>
        <v>6852.03224420548</v>
      </c>
      <c r="I433" s="15" t="n">
        <f aca="false">H433*(1+IF(I$3&lt;=$O$2,$D433,$D433-($D433-$I$427)*MIN(I$3-$O$2,$Q$2)/$Q$2))</f>
        <v>6959.09524802119</v>
      </c>
      <c r="J433" s="15" t="n">
        <f aca="false">I433*(1+IF(J$3&lt;=$O$2,$D433,$D433-($D433-$I$427)*MIN(J$3-$O$2,$Q$2)/$Q$2))</f>
        <v>7099.39060822129</v>
      </c>
      <c r="K433" s="15" t="n">
        <f aca="false">J433*(1+IF(K$3&lt;=$O$2,$D433,$D433-($D433-$I$427)*MIN(K$3-$O$2,$Q$2)/$Q$2))</f>
        <v>7274.71005929132</v>
      </c>
      <c r="L433" s="15" t="n">
        <f aca="false">K433*(1+IF(L$3&lt;=$O$2,$D433,$D433-($D433-$I$427)*MIN(L$3-$O$2,$Q$2)/$Q$2))</f>
        <v>7487.3498343244</v>
      </c>
      <c r="M433" s="15" t="n">
        <f aca="false">L433*(1+IF(M$3&lt;=$O$2,$D433,$D433-($D433-$I$427)*MIN(M$3-$O$2,$Q$2)/$Q$2))</f>
        <v>7740.16020148037</v>
      </c>
      <c r="N433" s="15" t="n">
        <f aca="false">M433*(1+IF(N$3&lt;=$O$2,$D433,$D433-($D433-$I$427)*MIN(N$3-$O$2,$Q$2)/$Q$2))</f>
        <v>8036.60833719706</v>
      </c>
      <c r="O433" s="15" t="n">
        <f aca="false">SUMPRODUCT(E433:N433,1/(1+$F$427)^$E$3:$N$3)*$E$2</f>
        <v>8828.84186140019</v>
      </c>
      <c r="P433" s="15" t="n">
        <f aca="false">N433*$E$2*(1+$I$427)/($F$427-$I$427)/(1+$F$427)^$N$3</f>
        <v>11892.6825195595</v>
      </c>
      <c r="Q433" s="15" t="n">
        <f aca="false">O433+P433</f>
        <v>20721.5243809597</v>
      </c>
      <c r="R433" s="15" t="n">
        <f aca="false">Q433-$G$2+$I$2</f>
        <v>15421.6243809597</v>
      </c>
      <c r="S433" s="42" t="n">
        <f aca="false">R433/$K$2</f>
        <v>131.270210937689</v>
      </c>
      <c r="T433" s="43" t="n">
        <f aca="false">S433-$M$2</f>
        <v>-15.9037761239382</v>
      </c>
    </row>
    <row r="434" customFormat="false" ht="15" hidden="false" customHeight="false" outlineLevel="0" collapsed="false">
      <c r="A434" s="5" t="n">
        <v>6</v>
      </c>
      <c r="B434" s="25" t="n">
        <f aca="false">IF(T433&gt;0,B433,D433)</f>
        <v>0.015625</v>
      </c>
      <c r="C434" s="25" t="n">
        <f aca="false">IF(T433&gt;0,D433,C433)</f>
        <v>0.0625</v>
      </c>
      <c r="D434" s="41" t="n">
        <f aca="false">(B434+C434)/2</f>
        <v>0.0390625</v>
      </c>
      <c r="E434" s="15" t="n">
        <f aca="false">$C$2*(1+IF(E$3&lt;=$O$2,$D434,$D434-($D434-$I$427)*MIN(E$3-$O$2,$Q$2)/$Q$2))</f>
        <v>6691.5625</v>
      </c>
      <c r="F434" s="15" t="n">
        <f aca="false">E434*(1+IF(F$3&lt;=$O$2,$D434,$D434-($D434-$I$427)*MIN(F$3-$O$2,$Q$2)/$Q$2))</f>
        <v>6952.95166015625</v>
      </c>
      <c r="G434" s="15" t="n">
        <f aca="false">F434*(1+IF(G$3&lt;=$O$2,$D434,$D434-($D434-$I$427)*MIN(G$3-$O$2,$Q$2)/$Q$2))</f>
        <v>7224.5513343811</v>
      </c>
      <c r="H434" s="15" t="n">
        <f aca="false">G434*(1+IF(H$3&lt;=$O$2,$D434,$D434-($D434-$I$427)*MIN(H$3-$O$2,$Q$2)/$Q$2))</f>
        <v>7506.76037088037</v>
      </c>
      <c r="I434" s="15" t="n">
        <f aca="false">H434*(1+IF(I$3&lt;=$O$2,$D434,$D434-($D434-$I$427)*MIN(I$3-$O$2,$Q$2)/$Q$2))</f>
        <v>7799.99319786788</v>
      </c>
      <c r="J434" s="15" t="n">
        <f aca="false">I434*(1+IF(J$3&lt;=$O$2,$D434,$D434-($D434-$I$427)*MIN(J$3-$O$2,$Q$2)/$Q$2))</f>
        <v>8103.49093319692</v>
      </c>
      <c r="K434" s="15" t="n">
        <f aca="false">J434*(1+IF(K$3&lt;=$O$2,$D434,$D434-($D434-$I$427)*MIN(K$3-$O$2,$Q$2)/$Q$2))</f>
        <v>8417.5619830403</v>
      </c>
      <c r="L434" s="15" t="n">
        <f aca="false">K434*(1+IF(L$3&lt;=$O$2,$D434,$D434-($D434-$I$427)*MIN(L$3-$O$2,$Q$2)/$Q$2))</f>
        <v>8742.52196339557</v>
      </c>
      <c r="M434" s="15" t="n">
        <f aca="false">L434*(1+IF(M$3&lt;=$O$2,$D434,$D434-($D434-$I$427)*MIN(M$3-$O$2,$Q$2)/$Q$2))</f>
        <v>9078.69378919304</v>
      </c>
      <c r="N434" s="15" t="n">
        <f aca="false">M434*(1+IF(N$3&lt;=$O$2,$D434,$D434-($D434-$I$427)*MIN(N$3-$O$2,$Q$2)/$Q$2))</f>
        <v>9426.40776131913</v>
      </c>
      <c r="O434" s="15" t="n">
        <f aca="false">SUMPRODUCT(E434:N434,1/(1+$F$427)^$E$3:$N$3)*$E$2</f>
        <v>9769.38324528333</v>
      </c>
      <c r="P434" s="15" t="n">
        <f aca="false">N434*$E$2*(1+$I$427)/($F$427-$I$427)/(1+$F$427)^$N$3</f>
        <v>13949.3266439782</v>
      </c>
      <c r="Q434" s="15" t="n">
        <f aca="false">O434+P434</f>
        <v>23718.7098892615</v>
      </c>
      <c r="R434" s="15" t="n">
        <f aca="false">Q434-$G$2+$I$2</f>
        <v>18418.8098892615</v>
      </c>
      <c r="S434" s="42" t="n">
        <f aca="false">R434/$K$2</f>
        <v>156.78251523035</v>
      </c>
      <c r="T434" s="43" t="n">
        <f aca="false">S434-$M$2</f>
        <v>9.60852816872264</v>
      </c>
    </row>
    <row r="435" customFormat="false" ht="15" hidden="false" customHeight="false" outlineLevel="0" collapsed="false">
      <c r="A435" s="5" t="n">
        <v>7</v>
      </c>
      <c r="B435" s="25" t="n">
        <f aca="false">IF(T434&gt;0,B434,D434)</f>
        <v>0.015625</v>
      </c>
      <c r="C435" s="25" t="n">
        <f aca="false">IF(T434&gt;0,D434,C434)</f>
        <v>0.0390625</v>
      </c>
      <c r="D435" s="41" t="n">
        <f aca="false">(B435+C435)/2</f>
        <v>0.02734375</v>
      </c>
      <c r="E435" s="15" t="n">
        <f aca="false">$C$2*(1+IF(E$3&lt;=$O$2,$D435,$D435-($D435-$I$427)*MIN(E$3-$O$2,$Q$2)/$Q$2))</f>
        <v>6616.09375</v>
      </c>
      <c r="F435" s="15" t="n">
        <f aca="false">E435*(1+IF(F$3&lt;=$O$2,$D435,$D435-($D435-$I$427)*MIN(F$3-$O$2,$Q$2)/$Q$2))</f>
        <v>6797.00256347656</v>
      </c>
      <c r="G435" s="15" t="n">
        <f aca="false">F435*(1+IF(G$3&lt;=$O$2,$D435,$D435-($D435-$I$427)*MIN(G$3-$O$2,$Q$2)/$Q$2))</f>
        <v>6982.85810232163</v>
      </c>
      <c r="H435" s="15" t="n">
        <f aca="false">G435*(1+IF(H$3&lt;=$O$2,$D435,$D435-($D435-$I$427)*MIN(H$3-$O$2,$Q$2)/$Q$2))</f>
        <v>7173.79562855698</v>
      </c>
      <c r="I435" s="15" t="n">
        <f aca="false">H435*(1+IF(I$3&lt;=$O$2,$D435,$D435-($D435-$I$427)*MIN(I$3-$O$2,$Q$2)/$Q$2))</f>
        <v>7369.95410277534</v>
      </c>
      <c r="J435" s="15" t="n">
        <f aca="false">I435*(1+IF(J$3&lt;=$O$2,$D435,$D435-($D435-$I$427)*MIN(J$3-$O$2,$Q$2)/$Q$2))</f>
        <v>7587.62569720081</v>
      </c>
      <c r="K435" s="15" t="n">
        <f aca="false">J435*(1+IF(K$3&lt;=$O$2,$D435,$D435-($D435-$I$427)*MIN(K$3-$O$2,$Q$2)/$Q$2))</f>
        <v>7828.35260697662</v>
      </c>
      <c r="L435" s="15" t="n">
        <f aca="false">K435*(1+IF(L$3&lt;=$O$2,$D435,$D435-($D435-$I$427)*MIN(L$3-$O$2,$Q$2)/$Q$2))</f>
        <v>8093.87075652375</v>
      </c>
      <c r="M435" s="15" t="n">
        <f aca="false">L435*(1+IF(M$3&lt;=$O$2,$D435,$D435-($D435-$I$427)*MIN(M$3-$O$2,$Q$2)/$Q$2))</f>
        <v>8386.13031220338</v>
      </c>
      <c r="N435" s="15" t="n">
        <f aca="false">M435*(1+IF(N$3&lt;=$O$2,$D435,$D435-($D435-$I$427)*MIN(N$3-$O$2,$Q$2)/$Q$2))</f>
        <v>8707.31910316077</v>
      </c>
      <c r="O435" s="15" t="n">
        <f aca="false">SUMPRODUCT(E435:N435,1/(1+$F$427)^$E$3:$N$3)*$E$2</f>
        <v>9287.00259078882</v>
      </c>
      <c r="P435" s="15" t="n">
        <f aca="false">N435*$E$2*(1+$I$427)/($F$427-$I$427)/(1+$F$427)^$N$3</f>
        <v>12885.2094497495</v>
      </c>
      <c r="Q435" s="15" t="n">
        <f aca="false">O435+P435</f>
        <v>22172.2120405383</v>
      </c>
      <c r="R435" s="15" t="n">
        <f aca="false">Q435-$G$2+$I$2</f>
        <v>16872.3120405383</v>
      </c>
      <c r="S435" s="42" t="n">
        <f aca="false">R435/$K$2</f>
        <v>143.618590743431</v>
      </c>
      <c r="T435" s="43" t="n">
        <f aca="false">S435-$M$2</f>
        <v>-3.55539631819642</v>
      </c>
    </row>
    <row r="436" customFormat="false" ht="15" hidden="false" customHeight="false" outlineLevel="0" collapsed="false">
      <c r="A436" s="5" t="n">
        <v>8</v>
      </c>
      <c r="B436" s="25" t="n">
        <f aca="false">IF(T435&gt;0,B435,D435)</f>
        <v>0.02734375</v>
      </c>
      <c r="C436" s="25" t="n">
        <f aca="false">IF(T435&gt;0,D435,C435)</f>
        <v>0.0390625</v>
      </c>
      <c r="D436" s="41" t="n">
        <f aca="false">(B436+C436)/2</f>
        <v>0.033203125</v>
      </c>
      <c r="E436" s="15" t="n">
        <f aca="false">$C$2*(1+IF(E$3&lt;=$O$2,$D436,$D436-($D436-$I$427)*MIN(E$3-$O$2,$Q$2)/$Q$2))</f>
        <v>6653.828125</v>
      </c>
      <c r="F436" s="15" t="n">
        <f aca="false">E436*(1+IF(F$3&lt;=$O$2,$D436,$D436-($D436-$I$427)*MIN(F$3-$O$2,$Q$2)/$Q$2))</f>
        <v>6874.75601196289</v>
      </c>
      <c r="G436" s="15" t="n">
        <f aca="false">F436*(1+IF(G$3&lt;=$O$2,$D436,$D436-($D436-$I$427)*MIN(G$3-$O$2,$Q$2)/$Q$2))</f>
        <v>7103.0193951726</v>
      </c>
      <c r="H436" s="15" t="n">
        <f aca="false">G436*(1+IF(H$3&lt;=$O$2,$D436,$D436-($D436-$I$427)*MIN(H$3-$O$2,$Q$2)/$Q$2))</f>
        <v>7338.86183602794</v>
      </c>
      <c r="I436" s="15" t="n">
        <f aca="false">H436*(1+IF(I$3&lt;=$O$2,$D436,$D436-($D436-$I$427)*MIN(I$3-$O$2,$Q$2)/$Q$2))</f>
        <v>7582.5349829273</v>
      </c>
      <c r="J436" s="15" t="n">
        <f aca="false">I436*(1+IF(J$3&lt;=$O$2,$D436,$D436-($D436-$I$427)*MIN(J$3-$O$2,$Q$2)/$Q$2))</f>
        <v>7842.02828638053</v>
      </c>
      <c r="K436" s="15" t="n">
        <f aca="false">J436*(1+IF(K$3&lt;=$O$2,$D436,$D436-($D436-$I$427)*MIN(K$3-$O$2,$Q$2)/$Q$2))</f>
        <v>8118.39606699562</v>
      </c>
      <c r="L436" s="15" t="n">
        <f aca="false">K436*(1+IF(L$3&lt;=$O$2,$D436,$D436-($D436-$I$427)*MIN(L$3-$O$2,$Q$2)/$Q$2))</f>
        <v>8412.77925637996</v>
      </c>
      <c r="M436" s="15" t="n">
        <f aca="false">L436*(1+IF(M$3&lt;=$O$2,$D436,$D436-($D436-$I$427)*MIN(M$3-$O$2,$Q$2)/$Q$2))</f>
        <v>8726.41292504484</v>
      </c>
      <c r="N436" s="15" t="n">
        <f aca="false">M436*(1+IF(N$3&lt;=$O$2,$D436,$D436-($D436-$I$427)*MIN(N$3-$O$2,$Q$2)/$Q$2))</f>
        <v>9060.63454007406</v>
      </c>
      <c r="O436" s="15" t="n">
        <f aca="false">SUMPRODUCT(E436:N436,1/(1+$F$427)^$E$3:$N$3)*$E$2</f>
        <v>9525.09151465966</v>
      </c>
      <c r="P436" s="15" t="n">
        <f aca="false">N436*$E$2*(1+$I$427)/($F$427-$I$427)/(1+$F$427)^$N$3</f>
        <v>13408.0504473655</v>
      </c>
      <c r="Q436" s="15" t="n">
        <f aca="false">O436+P436</f>
        <v>22933.1419620251</v>
      </c>
      <c r="R436" s="15" t="n">
        <f aca="false">Q436-$G$2+$I$2</f>
        <v>17633.2419620251</v>
      </c>
      <c r="S436" s="42" t="n">
        <f aca="false">R436/$K$2</f>
        <v>150.09569256065</v>
      </c>
      <c r="T436" s="43" t="n">
        <f aca="false">S436-$M$2</f>
        <v>2.92170549902221</v>
      </c>
    </row>
    <row r="437" customFormat="false" ht="15" hidden="false" customHeight="false" outlineLevel="0" collapsed="false">
      <c r="A437" s="5" t="n">
        <v>9</v>
      </c>
      <c r="B437" s="25" t="n">
        <f aca="false">IF(T436&gt;0,B436,D436)</f>
        <v>0.02734375</v>
      </c>
      <c r="C437" s="25" t="n">
        <f aca="false">IF(T436&gt;0,D436,C436)</f>
        <v>0.033203125</v>
      </c>
      <c r="D437" s="41" t="n">
        <f aca="false">(B437+C437)/2</f>
        <v>0.0302734375</v>
      </c>
      <c r="E437" s="15" t="n">
        <f aca="false">$C$2*(1+IF(E$3&lt;=$O$2,$D437,$D437-($D437-$I$427)*MIN(E$3-$O$2,$Q$2)/$Q$2))</f>
        <v>6634.9609375</v>
      </c>
      <c r="F437" s="15" t="n">
        <f aca="false">E437*(1+IF(F$3&lt;=$O$2,$D437,$D437-($D437-$I$427)*MIN(F$3-$O$2,$Q$2)/$Q$2))</f>
        <v>6835.82401275635</v>
      </c>
      <c r="G437" s="15" t="n">
        <f aca="false">F437*(1+IF(G$3&lt;=$O$2,$D437,$D437-($D437-$I$427)*MIN(G$3-$O$2,$Q$2)/$Q$2))</f>
        <v>7042.76790376753</v>
      </c>
      <c r="H437" s="15" t="n">
        <f aca="false">G437*(1+IF(H$3&lt;=$O$2,$D437,$D437-($D437-$I$427)*MIN(H$3-$O$2,$Q$2)/$Q$2))</f>
        <v>7255.97669772924</v>
      </c>
      <c r="I437" s="15" t="n">
        <f aca="false">H437*(1+IF(I$3&lt;=$O$2,$D437,$D437-($D437-$I$427)*MIN(I$3-$O$2,$Q$2)/$Q$2))</f>
        <v>7475.6400547894</v>
      </c>
      <c r="J437" s="15" t="n">
        <f aca="false">I437*(1+IF(J$3&lt;=$O$2,$D437,$D437-($D437-$I$427)*MIN(J$3-$O$2,$Q$2)/$Q$2))</f>
        <v>7713.95411518602</v>
      </c>
      <c r="K437" s="15" t="n">
        <f aca="false">J437*(1+IF(K$3&lt;=$O$2,$D437,$D437-($D437-$I$427)*MIN(K$3-$O$2,$Q$2)/$Q$2))</f>
        <v>7972.24863690104</v>
      </c>
      <c r="L437" s="15" t="n">
        <f aca="false">K437*(1+IF(L$3&lt;=$O$2,$D437,$D437-($D437-$I$427)*MIN(L$3-$O$2,$Q$2)/$Q$2))</f>
        <v>8251.9898589145</v>
      </c>
      <c r="M437" s="15" t="n">
        <f aca="false">L437*(1+IF(M$3&lt;=$O$2,$D437,$D437-($D437-$I$427)*MIN(M$3-$O$2,$Q$2)/$Q$2))</f>
        <v>8554.79404804053</v>
      </c>
      <c r="N437" s="15" t="n">
        <f aca="false">M437*(1+IF(N$3&lt;=$O$2,$D437,$D437-($D437-$I$427)*MIN(N$3-$O$2,$Q$2)/$Q$2))</f>
        <v>8882.44266008049</v>
      </c>
      <c r="O437" s="15" t="n">
        <f aca="false">SUMPRODUCT(E437:N437,1/(1+$F$427)^$E$3:$N$3)*$E$2</f>
        <v>9405.28106324615</v>
      </c>
      <c r="P437" s="15" t="n">
        <f aca="false">N437*$E$2*(1+$I$427)/($F$427-$I$427)/(1+$F$427)^$N$3</f>
        <v>13144.3596754115</v>
      </c>
      <c r="Q437" s="15" t="n">
        <f aca="false">O437+P437</f>
        <v>22549.6407386577</v>
      </c>
      <c r="R437" s="15" t="n">
        <f aca="false">Q437-$G$2+$I$2</f>
        <v>17249.7407386577</v>
      </c>
      <c r="S437" s="42" t="n">
        <f aca="false">R437/$K$2</f>
        <v>146.831296719933</v>
      </c>
      <c r="T437" s="43" t="n">
        <f aca="false">S437-$M$2</f>
        <v>-0.342690341694976</v>
      </c>
    </row>
    <row r="438" customFormat="false" ht="15" hidden="false" customHeight="false" outlineLevel="0" collapsed="false">
      <c r="A438" s="5" t="n">
        <v>10</v>
      </c>
      <c r="B438" s="25" t="n">
        <f aca="false">IF(T437&gt;0,B437,D437)</f>
        <v>0.0302734375</v>
      </c>
      <c r="C438" s="25" t="n">
        <f aca="false">IF(T437&gt;0,D437,C437)</f>
        <v>0.033203125</v>
      </c>
      <c r="D438" s="41" t="n">
        <f aca="false">(B438+C438)/2</f>
        <v>0.03173828125</v>
      </c>
      <c r="E438" s="15" t="n">
        <f aca="false">$C$2*(1+IF(E$3&lt;=$O$2,$D438,$D438-($D438-$I$427)*MIN(E$3-$O$2,$Q$2)/$Q$2))</f>
        <v>6644.39453125</v>
      </c>
      <c r="F438" s="15" t="n">
        <f aca="false">E438*(1+IF(F$3&lt;=$O$2,$D438,$D438-($D438-$I$427)*MIN(F$3-$O$2,$Q$2)/$Q$2))</f>
        <v>6855.27619361877</v>
      </c>
      <c r="G438" s="15" t="n">
        <f aca="false">F438*(1+IF(G$3&lt;=$O$2,$D438,$D438-($D438-$I$427)*MIN(G$3-$O$2,$Q$2)/$Q$2))</f>
        <v>7072.85087749828</v>
      </c>
      <c r="H438" s="15" t="n">
        <f aca="false">G438*(1+IF(H$3&lt;=$O$2,$D438,$D438-($D438-$I$427)*MIN(H$3-$O$2,$Q$2)/$Q$2))</f>
        <v>7297.33100788763</v>
      </c>
      <c r="I438" s="15" t="n">
        <f aca="false">H438*(1+IF(I$3&lt;=$O$2,$D438,$D438-($D438-$I$427)*MIN(I$3-$O$2,$Q$2)/$Q$2))</f>
        <v>7528.93575179031</v>
      </c>
      <c r="J438" s="15" t="n">
        <f aca="false">I438*(1+IF(J$3&lt;=$O$2,$D438,$D438-($D438-$I$427)*MIN(J$3-$O$2,$Q$2)/$Q$2))</f>
        <v>7777.77178397182</v>
      </c>
      <c r="K438" s="15" t="n">
        <f aca="false">J438*(1+IF(K$3&lt;=$O$2,$D438,$D438-($D438-$I$427)*MIN(K$3-$O$2,$Q$2)/$Q$2))</f>
        <v>8045.03911272908</v>
      </c>
      <c r="L438" s="15" t="n">
        <f aca="false">K438*(1+IF(L$3&lt;=$O$2,$D438,$D438-($D438-$I$427)*MIN(L$3-$O$2,$Q$2)/$Q$2))</f>
        <v>8332.04839715041</v>
      </c>
      <c r="M438" s="15" t="n">
        <f aca="false">L438*(1+IF(M$3&lt;=$O$2,$D438,$D438-($D438-$I$427)*MIN(M$3-$O$2,$Q$2)/$Q$2))</f>
        <v>8640.23133912257</v>
      </c>
      <c r="N438" s="15" t="n">
        <f aca="false">M438*(1+IF(N$3&lt;=$O$2,$D438,$D438-($D438-$I$427)*MIN(N$3-$O$2,$Q$2)/$Q$2))</f>
        <v>8971.15219941097</v>
      </c>
      <c r="O438" s="15" t="n">
        <f aca="false">SUMPRODUCT(E438:N438,1/(1+$F$427)^$E$3:$N$3)*$E$2</f>
        <v>9464.99362912821</v>
      </c>
      <c r="P438" s="15" t="n">
        <f aca="false">N438*$E$2*(1+$I$427)/($F$427-$I$427)/(1+$F$427)^$N$3</f>
        <v>13275.6332604176</v>
      </c>
      <c r="Q438" s="15" t="n">
        <f aca="false">O438+P438</f>
        <v>22740.6268895458</v>
      </c>
      <c r="R438" s="15" t="n">
        <f aca="false">Q438-$G$2+$I$2</f>
        <v>17440.7268895458</v>
      </c>
      <c r="S438" s="42" t="n">
        <f aca="false">R438/$K$2</f>
        <v>148.456987483366</v>
      </c>
      <c r="T438" s="43" t="n">
        <f aca="false">S438-$M$2</f>
        <v>1.28300042173854</v>
      </c>
    </row>
    <row r="439" customFormat="false" ht="15" hidden="false" customHeight="false" outlineLevel="0" collapsed="false">
      <c r="A439" s="5" t="n">
        <v>11</v>
      </c>
      <c r="B439" s="25" t="n">
        <f aca="false">IF(T438&gt;0,B438,D438)</f>
        <v>0.0302734375</v>
      </c>
      <c r="C439" s="25" t="n">
        <f aca="false">IF(T438&gt;0,D438,C438)</f>
        <v>0.03173828125</v>
      </c>
      <c r="D439" s="41" t="n">
        <f aca="false">(B439+C439)/2</f>
        <v>0.031005859375</v>
      </c>
      <c r="E439" s="15" t="n">
        <f aca="false">$C$2*(1+IF(E$3&lt;=$O$2,$D439,$D439-($D439-$I$427)*MIN(E$3-$O$2,$Q$2)/$Q$2))</f>
        <v>6639.677734375</v>
      </c>
      <c r="F439" s="15" t="n">
        <f aca="false">E439*(1+IF(F$3&lt;=$O$2,$D439,$D439-($D439-$I$427)*MIN(F$3-$O$2,$Q$2)/$Q$2))</f>
        <v>6845.54664850235</v>
      </c>
      <c r="G439" s="15" t="n">
        <f aca="false">F439*(1+IF(G$3&lt;=$O$2,$D439,$D439-($D439-$I$427)*MIN(G$3-$O$2,$Q$2)/$Q$2))</f>
        <v>7057.79870523082</v>
      </c>
      <c r="H439" s="15" t="n">
        <f aca="false">G439*(1+IF(H$3&lt;=$O$2,$D439,$D439-($D439-$I$427)*MIN(H$3-$O$2,$Q$2)/$Q$2))</f>
        <v>7276.63181938226</v>
      </c>
      <c r="I439" s="15" t="n">
        <f aca="false">H439*(1+IF(I$3&lt;=$O$2,$D439,$D439-($D439-$I$427)*MIN(I$3-$O$2,$Q$2)/$Q$2))</f>
        <v>7502.25004229768</v>
      </c>
      <c r="J439" s="15" t="n">
        <f aca="false">I439*(1+IF(J$3&lt;=$O$2,$D439,$D439-($D439-$I$427)*MIN(J$3-$O$2,$Q$2)/$Q$2))</f>
        <v>7745.80824546773</v>
      </c>
      <c r="K439" s="15" t="n">
        <f aca="false">J439*(1+IF(K$3&lt;=$O$2,$D439,$D439-($D439-$I$427)*MIN(K$3-$O$2,$Q$2)/$Q$2))</f>
        <v>8008.57329251111</v>
      </c>
      <c r="L439" s="15" t="n">
        <f aca="false">K439*(1+IF(L$3&lt;=$O$2,$D439,$D439-($D439-$I$427)*MIN(L$3-$O$2,$Q$2)/$Q$2))</f>
        <v>8291.93538569381</v>
      </c>
      <c r="M439" s="15" t="n">
        <f aca="false">L439*(1+IF(M$3&lt;=$O$2,$D439,$D439-($D439-$I$427)*MIN(M$3-$O$2,$Q$2)/$Q$2))</f>
        <v>8597.42000241455</v>
      </c>
      <c r="N439" s="15" t="n">
        <f aca="false">M439*(1+IF(N$3&lt;=$O$2,$D439,$D439-($D439-$I$427)*MIN(N$3-$O$2,$Q$2)/$Q$2))</f>
        <v>8926.70118850703</v>
      </c>
      <c r="O439" s="15" t="n">
        <f aca="false">SUMPRODUCT(E439:N439,1/(1+$F$427)^$E$3:$N$3)*$E$2</f>
        <v>9435.08932701782</v>
      </c>
      <c r="P439" s="15" t="n">
        <f aca="false">N439*$E$2*(1+$I$427)/($F$427-$I$427)/(1+$F$427)^$N$3</f>
        <v>13209.8540488182</v>
      </c>
      <c r="Q439" s="15" t="n">
        <f aca="false">O439+P439</f>
        <v>22644.943375836</v>
      </c>
      <c r="R439" s="15" t="n">
        <f aca="false">Q439-$G$2+$I$2</f>
        <v>17345.043375836</v>
      </c>
      <c r="S439" s="42" t="n">
        <f aca="false">R439/$K$2</f>
        <v>147.642521074532</v>
      </c>
      <c r="T439" s="43" t="n">
        <f aca="false">S439-$M$2</f>
        <v>0.468534012904627</v>
      </c>
    </row>
    <row r="440" customFormat="false" ht="15" hidden="false" customHeight="false" outlineLevel="0" collapsed="false">
      <c r="A440" s="5" t="n">
        <v>12</v>
      </c>
      <c r="B440" s="25" t="n">
        <f aca="false">IF(T439&gt;0,B439,D439)</f>
        <v>0.0302734375</v>
      </c>
      <c r="C440" s="25" t="n">
        <f aca="false">IF(T439&gt;0,D439,C439)</f>
        <v>0.031005859375</v>
      </c>
      <c r="D440" s="41" t="n">
        <f aca="false">(B440+C440)/2</f>
        <v>0.0306396484375</v>
      </c>
      <c r="E440" s="15" t="n">
        <f aca="false">$C$2*(1+IF(E$3&lt;=$O$2,$D440,$D440-($D440-$I$427)*MIN(E$3-$O$2,$Q$2)/$Q$2))</f>
        <v>6637.3193359375</v>
      </c>
      <c r="F440" s="15" t="n">
        <f aca="false">E440*(1+IF(F$3&lt;=$O$2,$D440,$D440-($D440-$I$427)*MIN(F$3-$O$2,$Q$2)/$Q$2))</f>
        <v>6840.68446695805</v>
      </c>
      <c r="G440" s="15" t="n">
        <f aca="false">F440*(1+IF(G$3&lt;=$O$2,$D440,$D440-($D440-$I$427)*MIN(G$3-$O$2,$Q$2)/$Q$2))</f>
        <v>7050.28063409751</v>
      </c>
      <c r="H440" s="15" t="n">
        <f aca="false">G440*(1+IF(H$3&lt;=$O$2,$D440,$D440-($D440-$I$427)*MIN(H$3-$O$2,$Q$2)/$Q$2))</f>
        <v>7266.29875411197</v>
      </c>
      <c r="I440" s="15" t="n">
        <f aca="false">H440*(1+IF(I$3&lt;=$O$2,$D440,$D440-($D440-$I$427)*MIN(I$3-$O$2,$Q$2)/$Q$2))</f>
        <v>7488.93559337981</v>
      </c>
      <c r="J440" s="15" t="n">
        <f aca="false">I440*(1+IF(J$3&lt;=$O$2,$D440,$D440-($D440-$I$427)*MIN(J$3-$O$2,$Q$2)/$Q$2))</f>
        <v>7729.86752302688</v>
      </c>
      <c r="K440" s="15" t="n">
        <f aca="false">J440*(1+IF(K$3&lt;=$O$2,$D440,$D440-($D440-$I$427)*MIN(K$3-$O$2,$Q$2)/$Q$2))</f>
        <v>7990.39334750405</v>
      </c>
      <c r="L440" s="15" t="n">
        <f aca="false">K440*(1+IF(L$3&lt;=$O$2,$D440,$D440-($D440-$I$427)*MIN(L$3-$O$2,$Q$2)/$Q$2))</f>
        <v>8271.94172384764</v>
      </c>
      <c r="M440" s="15" t="n">
        <f aca="false">L440*(1+IF(M$3&lt;=$O$2,$D440,$D440-($D440-$I$427)*MIN(M$3-$O$2,$Q$2)/$Q$2))</f>
        <v>8576.08389552917</v>
      </c>
      <c r="N440" s="15" t="n">
        <f aca="false">M440*(1+IF(N$3&lt;=$O$2,$D440,$D440-($D440-$I$427)*MIN(N$3-$O$2,$Q$2)/$Q$2))</f>
        <v>8904.54790872794</v>
      </c>
      <c r="O440" s="15" t="n">
        <f aca="false">SUMPRODUCT(E440:N440,1/(1+$F$427)^$E$3:$N$3)*$E$2</f>
        <v>9420.17320852092</v>
      </c>
      <c r="P440" s="15" t="n">
        <f aca="false">N440*$E$2*(1+$I$427)/($F$427-$I$427)/(1+$F$427)^$N$3</f>
        <v>13177.0713235534</v>
      </c>
      <c r="Q440" s="15" t="n">
        <f aca="false">O440+P440</f>
        <v>22597.2445320743</v>
      </c>
      <c r="R440" s="15" t="n">
        <f aca="false">Q440-$G$2+$I$2</f>
        <v>17297.3445320743</v>
      </c>
      <c r="S440" s="42" t="n">
        <f aca="false">R440/$K$2</f>
        <v>147.236504358821</v>
      </c>
      <c r="T440" s="43" t="n">
        <f aca="false">S440-$M$2</f>
        <v>0.062517297193267</v>
      </c>
    </row>
    <row r="441" customFormat="false" ht="15" hidden="false" customHeight="false" outlineLevel="0" collapsed="false">
      <c r="A441" s="5" t="n">
        <v>13</v>
      </c>
      <c r="B441" s="25" t="n">
        <f aca="false">IF(T440&gt;0,B440,D440)</f>
        <v>0.0302734375</v>
      </c>
      <c r="C441" s="25" t="n">
        <f aca="false">IF(T440&gt;0,D440,C440)</f>
        <v>0.0306396484375</v>
      </c>
      <c r="D441" s="41" t="n">
        <f aca="false">(B441+C441)/2</f>
        <v>0.03045654296875</v>
      </c>
      <c r="E441" s="15" t="n">
        <f aca="false">$C$2*(1+IF(E$3&lt;=$O$2,$D441,$D441-($D441-$I$427)*MIN(E$3-$O$2,$Q$2)/$Q$2))</f>
        <v>6636.14013671875</v>
      </c>
      <c r="F441" s="15" t="n">
        <f aca="false">E441*(1+IF(F$3&lt;=$O$2,$D441,$D441-($D441-$I$427)*MIN(F$3-$O$2,$Q$2)/$Q$2))</f>
        <v>6838.25402393937</v>
      </c>
      <c r="G441" s="15" t="n">
        <f aca="false">F441*(1+IF(G$3&lt;=$O$2,$D441,$D441-($D441-$I$427)*MIN(G$3-$O$2,$Q$2)/$Q$2))</f>
        <v>7046.52360145071</v>
      </c>
      <c r="H441" s="15" t="n">
        <f aca="false">G441*(1+IF(H$3&lt;=$O$2,$D441,$D441-($D441-$I$427)*MIN(H$3-$O$2,$Q$2)/$Q$2))</f>
        <v>7261.1363502986</v>
      </c>
      <c r="I441" s="15" t="n">
        <f aca="false">H441*(1+IF(I$3&lt;=$O$2,$D441,$D441-($D441-$I$427)*MIN(I$3-$O$2,$Q$2)/$Q$2))</f>
        <v>7482.28546155342</v>
      </c>
      <c r="J441" s="15" t="n">
        <f aca="false">I441*(1+IF(J$3&lt;=$O$2,$D441,$D441-($D441-$I$427)*MIN(J$3-$O$2,$Q$2)/$Q$2))</f>
        <v>7721.90740712033</v>
      </c>
      <c r="K441" s="15" t="n">
        <f aca="false">J441*(1+IF(K$3&lt;=$O$2,$D441,$D441-($D441-$I$427)*MIN(K$3-$O$2,$Q$2)/$Q$2))</f>
        <v>7981.31659144481</v>
      </c>
      <c r="L441" s="15" t="n">
        <f aca="false">K441*(1+IF(L$3&lt;=$O$2,$D441,$D441-($D441-$I$427)*MIN(L$3-$O$2,$Q$2)/$Q$2))</f>
        <v>8261.96057140203</v>
      </c>
      <c r="M441" s="15" t="n">
        <f aca="false">L441*(1+IF(M$3&lt;=$O$2,$D441,$D441-($D441-$I$427)*MIN(M$3-$O$2,$Q$2)/$Q$2))</f>
        <v>8565.43319473959</v>
      </c>
      <c r="N441" s="15" t="n">
        <f aca="false">M441*(1+IF(N$3&lt;=$O$2,$D441,$D441-($D441-$I$427)*MIN(N$3-$O$2,$Q$2)/$Q$2))</f>
        <v>8893.48928609812</v>
      </c>
      <c r="O441" s="15" t="n">
        <f aca="false">SUMPRODUCT(E441:N441,1/(1+$F$427)^$E$3:$N$3)*$E$2</f>
        <v>9412.7241415008</v>
      </c>
      <c r="P441" s="15" t="n">
        <f aca="false">N441*$E$2*(1+$I$427)/($F$427-$I$427)/(1+$F$427)^$N$3</f>
        <v>13160.7066231074</v>
      </c>
      <c r="Q441" s="15" t="n">
        <f aca="false">O441+P441</f>
        <v>22573.4307646082</v>
      </c>
      <c r="R441" s="15" t="n">
        <f aca="false">Q441-$G$2+$I$2</f>
        <v>17273.5307646082</v>
      </c>
      <c r="S441" s="42" t="n">
        <f aca="false">R441/$K$2</f>
        <v>147.033799494451</v>
      </c>
      <c r="T441" s="43" t="n">
        <f aca="false">S441-$M$2</f>
        <v>-0.140187567176099</v>
      </c>
    </row>
    <row r="442" customFormat="false" ht="15" hidden="false" customHeight="false" outlineLevel="0" collapsed="false">
      <c r="A442" s="5" t="n">
        <v>14</v>
      </c>
      <c r="B442" s="25" t="n">
        <f aca="false">IF(T441&gt;0,B441,D441)</f>
        <v>0.03045654296875</v>
      </c>
      <c r="C442" s="25" t="n">
        <f aca="false">IF(T441&gt;0,D441,C441)</f>
        <v>0.0306396484375</v>
      </c>
      <c r="D442" s="41" t="n">
        <f aca="false">(B442+C442)/2</f>
        <v>0.030548095703125</v>
      </c>
      <c r="E442" s="15" t="n">
        <f aca="false">$C$2*(1+IF(E$3&lt;=$O$2,$D442,$D442-($D442-$I$427)*MIN(E$3-$O$2,$Q$2)/$Q$2))</f>
        <v>6636.72973632813</v>
      </c>
      <c r="F442" s="15" t="n">
        <f aca="false">E442*(1+IF(F$3&lt;=$O$2,$D442,$D442-($D442-$I$427)*MIN(F$3-$O$2,$Q$2)/$Q$2))</f>
        <v>6839.46919146925</v>
      </c>
      <c r="G442" s="15" t="n">
        <f aca="false">F442*(1+IF(G$3&lt;=$O$2,$D442,$D442-($D442-$I$427)*MIN(G$3-$O$2,$Q$2)/$Q$2))</f>
        <v>7048.40195088883</v>
      </c>
      <c r="H442" s="15" t="n">
        <f aca="false">G442*(1+IF(H$3&lt;=$O$2,$D442,$D442-($D442-$I$427)*MIN(H$3-$O$2,$Q$2)/$Q$2))</f>
        <v>7263.71720823867</v>
      </c>
      <c r="I442" s="15" t="n">
        <f aca="false">H442*(1+IF(I$3&lt;=$O$2,$D442,$D442-($D442-$I$427)*MIN(I$3-$O$2,$Q$2)/$Q$2))</f>
        <v>7485.60993667639</v>
      </c>
      <c r="J442" s="15" t="n">
        <f aca="false">I442*(1+IF(J$3&lt;=$O$2,$D442,$D442-($D442-$I$427)*MIN(J$3-$O$2,$Q$2)/$Q$2))</f>
        <v>7725.88661178481</v>
      </c>
      <c r="K442" s="15" t="n">
        <f aca="false">J442*(1+IF(K$3&lt;=$O$2,$D442,$D442-($D442-$I$427)*MIN(K$3-$O$2,$Q$2)/$Q$2))</f>
        <v>7985.85386884233</v>
      </c>
      <c r="L442" s="15" t="n">
        <f aca="false">K442*(1+IF(L$3&lt;=$O$2,$D442,$D442-($D442-$I$427)*MIN(L$3-$O$2,$Q$2)/$Q$2))</f>
        <v>8266.94984205095</v>
      </c>
      <c r="M442" s="15" t="n">
        <f aca="false">L442*(1+IF(M$3&lt;=$O$2,$D442,$D442-($D442-$I$427)*MIN(M$3-$O$2,$Q$2)/$Q$2))</f>
        <v>8570.75710020098</v>
      </c>
      <c r="N442" s="15" t="n">
        <f aca="false">M442*(1+IF(N$3&lt;=$O$2,$D442,$D442-($D442-$I$427)*MIN(N$3-$O$2,$Q$2)/$Q$2))</f>
        <v>8899.01709713867</v>
      </c>
      <c r="O442" s="15" t="n">
        <f aca="false">SUMPRODUCT(E442:N442,1/(1+$F$427)^$E$3:$N$3)*$E$2</f>
        <v>9416.44792613154</v>
      </c>
      <c r="P442" s="15" t="n">
        <f aca="false">N442*$E$2*(1+$I$427)/($F$427-$I$427)/(1+$F$427)^$N$3</f>
        <v>13168.8867532039</v>
      </c>
      <c r="Q442" s="15" t="n">
        <f aca="false">O442+P442</f>
        <v>22585.3346793355</v>
      </c>
      <c r="R442" s="15" t="n">
        <f aca="false">Q442-$G$2+$I$2</f>
        <v>17285.4346793355</v>
      </c>
      <c r="S442" s="42" t="n">
        <f aca="false">R442/$K$2</f>
        <v>147.1351266542</v>
      </c>
      <c r="T442" s="43" t="n">
        <f aca="false">S442-$M$2</f>
        <v>-0.0388604074271655</v>
      </c>
    </row>
    <row r="443" customFormat="false" ht="15" hidden="false" customHeight="false" outlineLevel="0" collapsed="false">
      <c r="A443" s="5" t="n">
        <v>15</v>
      </c>
      <c r="B443" s="25" t="n">
        <f aca="false">IF(T442&gt;0,B442,D442)</f>
        <v>0.030548095703125</v>
      </c>
      <c r="C443" s="25" t="n">
        <f aca="false">IF(T442&gt;0,D442,C442)</f>
        <v>0.0306396484375</v>
      </c>
      <c r="D443" s="41" t="n">
        <f aca="false">(B443+C443)/2</f>
        <v>0.0305938720703125</v>
      </c>
      <c r="E443" s="15" t="n">
        <f aca="false">$C$2*(1+IF(E$3&lt;=$O$2,$D443,$D443-($D443-$I$427)*MIN(E$3-$O$2,$Q$2)/$Q$2))</f>
        <v>6637.02453613281</v>
      </c>
      <c r="F443" s="15" t="n">
        <f aca="false">E443*(1+IF(F$3&lt;=$O$2,$D443,$D443-($D443-$I$427)*MIN(F$3-$O$2,$Q$2)/$Q$2))</f>
        <v>6840.07681571879</v>
      </c>
      <c r="G443" s="15" t="n">
        <f aca="false">F443*(1+IF(G$3&lt;=$O$2,$D443,$D443-($D443-$I$427)*MIN(G$3-$O$2,$Q$2)/$Q$2))</f>
        <v>7049.34125077</v>
      </c>
      <c r="H443" s="15" t="n">
        <f aca="false">G443*(1+IF(H$3&lt;=$O$2,$D443,$D443-($D443-$I$427)*MIN(H$3-$O$2,$Q$2)/$Q$2))</f>
        <v>7265.00789517603</v>
      </c>
      <c r="I443" s="15" t="n">
        <f aca="false">H443*(1+IF(I$3&lt;=$O$2,$D443,$D443-($D443-$I$427)*MIN(I$3-$O$2,$Q$2)/$Q$2))</f>
        <v>7487.27261731086</v>
      </c>
      <c r="J443" s="15" t="n">
        <f aca="false">I443*(1+IF(J$3&lt;=$O$2,$D443,$D443-($D443-$I$427)*MIN(J$3-$O$2,$Q$2)/$Q$2))</f>
        <v>7727.87685404711</v>
      </c>
      <c r="K443" s="15" t="n">
        <f aca="false">J443*(1+IF(K$3&lt;=$O$2,$D443,$D443-($D443-$I$427)*MIN(K$3-$O$2,$Q$2)/$Q$2))</f>
        <v>7988.12333295982</v>
      </c>
      <c r="L443" s="15" t="n">
        <f aca="false">K443*(1+IF(L$3&lt;=$O$2,$D443,$D443-($D443-$I$427)*MIN(L$3-$O$2,$Q$2)/$Q$2))</f>
        <v>8269.44545648341</v>
      </c>
      <c r="M443" s="15" t="n">
        <f aca="false">L443*(1+IF(M$3&lt;=$O$2,$D443,$D443-($D443-$I$427)*MIN(M$3-$O$2,$Q$2)/$Q$2))</f>
        <v>8573.42013654768</v>
      </c>
      <c r="N443" s="15" t="n">
        <f aca="false">M443*(1+IF(N$3&lt;=$O$2,$D443,$D443-($D443-$I$427)*MIN(N$3-$O$2,$Q$2)/$Q$2))</f>
        <v>8901.78212777746</v>
      </c>
      <c r="O443" s="15" t="n">
        <f aca="false">SUMPRODUCT(E443:N443,1/(1+$F$427)^$E$3:$N$3)*$E$2</f>
        <v>9418.31038007093</v>
      </c>
      <c r="P443" s="15" t="n">
        <f aca="false">N443*$E$2*(1+$I$427)/($F$427-$I$427)/(1+$F$427)^$N$3</f>
        <v>13172.9784832179</v>
      </c>
      <c r="Q443" s="15" t="n">
        <f aca="false">O443+P443</f>
        <v>22591.2888632888</v>
      </c>
      <c r="R443" s="15" t="n">
        <f aca="false">Q443-$G$2+$I$2</f>
        <v>17291.3888632888</v>
      </c>
      <c r="S443" s="42" t="n">
        <f aca="false">R443/$K$2</f>
        <v>147.185809187001</v>
      </c>
      <c r="T443" s="43" t="n">
        <f aca="false">S443-$M$2</f>
        <v>0.0118221253731008</v>
      </c>
    </row>
    <row r="444" customFormat="false" ht="15" hidden="false" customHeight="false" outlineLevel="0" collapsed="false">
      <c r="A444" s="5" t="n">
        <v>16</v>
      </c>
      <c r="B444" s="25" t="n">
        <f aca="false">IF(T443&gt;0,B443,D443)</f>
        <v>0.030548095703125</v>
      </c>
      <c r="C444" s="25" t="n">
        <f aca="false">IF(T443&gt;0,D443,C443)</f>
        <v>0.0305938720703125</v>
      </c>
      <c r="D444" s="41" t="n">
        <f aca="false">(B444+C444)/2</f>
        <v>0.0305709838867188</v>
      </c>
      <c r="E444" s="15" t="n">
        <f aca="false">$C$2*(1+IF(E$3&lt;=$O$2,$D444,$D444-($D444-$I$427)*MIN(E$3-$O$2,$Q$2)/$Q$2))</f>
        <v>6636.87713623047</v>
      </c>
      <c r="F444" s="15" t="n">
        <f aca="false">E444*(1+IF(F$3&lt;=$O$2,$D444,$D444-($D444-$I$427)*MIN(F$3-$O$2,$Q$2)/$Q$2))</f>
        <v>6839.7730002203</v>
      </c>
      <c r="G444" s="15" t="n">
        <f aca="false">F444*(1+IF(G$3&lt;=$O$2,$D444,$D444-($D444-$I$427)*MIN(G$3-$O$2,$Q$2)/$Q$2))</f>
        <v>7048.87159039885</v>
      </c>
      <c r="H444" s="15" t="n">
        <f aca="false">G444*(1+IF(H$3&lt;=$O$2,$D444,$D444-($D444-$I$427)*MIN(H$3-$O$2,$Q$2)/$Q$2))</f>
        <v>7264.36253020848</v>
      </c>
      <c r="I444" s="15" t="n">
        <f aca="false">H444*(1+IF(I$3&lt;=$O$2,$D444,$D444-($D444-$I$427)*MIN(I$3-$O$2,$Q$2)/$Q$2))</f>
        <v>7486.44124006677</v>
      </c>
      <c r="J444" s="15" t="n">
        <f aca="false">I444*(1+IF(J$3&lt;=$O$2,$D444,$D444-($D444-$I$427)*MIN(J$3-$O$2,$Q$2)/$Q$2))</f>
        <v>7726.88167958084</v>
      </c>
      <c r="K444" s="15" t="n">
        <f aca="false">J444*(1+IF(K$3&lt;=$O$2,$D444,$D444-($D444-$I$427)*MIN(K$3-$O$2,$Q$2)/$Q$2))</f>
        <v>7986.98853210465</v>
      </c>
      <c r="L444" s="15" t="n">
        <f aca="false">K444*(1+IF(L$3&lt;=$O$2,$D444,$D444-($D444-$I$427)*MIN(L$3-$O$2,$Q$2)/$Q$2))</f>
        <v>8268.19756765977</v>
      </c>
      <c r="M444" s="15" t="n">
        <f aca="false">L444*(1+IF(M$3&lt;=$O$2,$D444,$D444-($D444-$I$427)*MIN(M$3-$O$2,$Q$2)/$Q$2))</f>
        <v>8572.08852805549</v>
      </c>
      <c r="N444" s="15" t="n">
        <f aca="false">M444*(1+IF(N$3&lt;=$O$2,$D444,$D444-($D444-$I$427)*MIN(N$3-$O$2,$Q$2)/$Q$2))</f>
        <v>8900.39951868001</v>
      </c>
      <c r="O444" s="15" t="n">
        <f aca="false">SUMPRODUCT(E444:N444,1/(1+$F$427)^$E$3:$N$3)*$E$2</f>
        <v>9417.37910629184</v>
      </c>
      <c r="P444" s="15" t="n">
        <f aca="false">N444*$E$2*(1+$I$427)/($F$427-$I$427)/(1+$F$427)^$N$3</f>
        <v>13170.9324794369</v>
      </c>
      <c r="Q444" s="15" t="n">
        <f aca="false">O444+P444</f>
        <v>22588.3115857287</v>
      </c>
      <c r="R444" s="15" t="n">
        <f aca="false">Q444-$G$2+$I$2</f>
        <v>17288.4115857287</v>
      </c>
      <c r="S444" s="42" t="n">
        <f aca="false">R444/$K$2</f>
        <v>147.160466340898</v>
      </c>
      <c r="T444" s="43" t="n">
        <f aca="false">S444-$M$2</f>
        <v>-0.0135207207294172</v>
      </c>
    </row>
    <row r="445" customFormat="false" ht="15" hidden="false" customHeight="false" outlineLevel="0" collapsed="false">
      <c r="A445" s="5" t="n">
        <v>17</v>
      </c>
      <c r="B445" s="25" t="n">
        <f aca="false">IF(T444&gt;0,B444,D444)</f>
        <v>0.0305709838867188</v>
      </c>
      <c r="C445" s="25" t="n">
        <f aca="false">IF(T444&gt;0,D444,C444)</f>
        <v>0.0305938720703125</v>
      </c>
      <c r="D445" s="41" t="n">
        <f aca="false">(B445+C445)/2</f>
        <v>0.0305824279785156</v>
      </c>
      <c r="E445" s="15" t="n">
        <f aca="false">$C$2*(1+IF(E$3&lt;=$O$2,$D445,$D445-($D445-$I$427)*MIN(E$3-$O$2,$Q$2)/$Q$2))</f>
        <v>6636.95083618164</v>
      </c>
      <c r="F445" s="15" t="n">
        <f aca="false">E445*(1+IF(F$3&lt;=$O$2,$D445,$D445-($D445-$I$427)*MIN(F$3-$O$2,$Q$2)/$Q$2))</f>
        <v>6839.92490712612</v>
      </c>
      <c r="G445" s="15" t="n">
        <f aca="false">F445*(1+IF(G$3&lt;=$O$2,$D445,$D445-($D445-$I$427)*MIN(G$3-$O$2,$Q$2)/$Q$2))</f>
        <v>7049.10641797675</v>
      </c>
      <c r="H445" s="15" t="n">
        <f aca="false">G445*(1+IF(H$3&lt;=$O$2,$D445,$D445-($D445-$I$427)*MIN(H$3-$O$2,$Q$2)/$Q$2))</f>
        <v>7264.68520731742</v>
      </c>
      <c r="I445" s="15" t="n">
        <f aca="false">H445*(1+IF(I$3&lt;=$O$2,$D445,$D445-($D445-$I$427)*MIN(I$3-$O$2,$Q$2)/$Q$2))</f>
        <v>7486.85691945679</v>
      </c>
      <c r="J445" s="15" t="n">
        <f aca="false">I445*(1+IF(J$3&lt;=$O$2,$D445,$D445-($D445-$I$427)*MIN(J$3-$O$2,$Q$2)/$Q$2))</f>
        <v>7727.37925347962</v>
      </c>
      <c r="K445" s="15" t="n">
        <f aca="false">J445*(1+IF(K$3&lt;=$O$2,$D445,$D445-($D445-$I$427)*MIN(K$3-$O$2,$Q$2)/$Q$2))</f>
        <v>7987.55591533226</v>
      </c>
      <c r="L445" s="15" t="n">
        <f aca="false">K445*(1+IF(L$3&lt;=$O$2,$D445,$D445-($D445-$I$427)*MIN(L$3-$O$2,$Q$2)/$Q$2))</f>
        <v>8268.8214916686</v>
      </c>
      <c r="M445" s="15" t="n">
        <f aca="false">L445*(1+IF(M$3&lt;=$O$2,$D445,$D445-($D445-$I$427)*MIN(M$3-$O$2,$Q$2)/$Q$2))</f>
        <v>8572.75430972056</v>
      </c>
      <c r="N445" s="15" t="n">
        <f aca="false">M445*(1+IF(N$3&lt;=$O$2,$D445,$D445-($D445-$I$427)*MIN(N$3-$O$2,$Q$2)/$Q$2))</f>
        <v>8901.09079978286</v>
      </c>
      <c r="O445" s="15" t="n">
        <f aca="false">SUMPRODUCT(E445:N445,1/(1+$F$427)^$E$3:$N$3)*$E$2</f>
        <v>9417.84473147849</v>
      </c>
      <c r="P445" s="15" t="n">
        <f aca="false">N445*$E$2*(1+$I$427)/($F$427-$I$427)/(1+$F$427)^$N$3</f>
        <v>13171.9554466319</v>
      </c>
      <c r="Q445" s="15" t="n">
        <f aca="false">O445+P445</f>
        <v>22589.8001781104</v>
      </c>
      <c r="R445" s="15" t="n">
        <f aca="false">Q445-$G$2+$I$2</f>
        <v>17289.9001781103</v>
      </c>
      <c r="S445" s="42" t="n">
        <f aca="false">R445/$K$2</f>
        <v>147.173137369002</v>
      </c>
      <c r="T445" s="43" t="n">
        <f aca="false">S445-$M$2</f>
        <v>-0.000849692625592979</v>
      </c>
    </row>
    <row r="446" customFormat="false" ht="15" hidden="false" customHeight="false" outlineLevel="0" collapsed="false">
      <c r="A446" s="5" t="n">
        <v>18</v>
      </c>
      <c r="B446" s="25" t="n">
        <f aca="false">IF(T445&gt;0,B445,D445)</f>
        <v>0.0305824279785156</v>
      </c>
      <c r="C446" s="25" t="n">
        <f aca="false">IF(T445&gt;0,D445,C445)</f>
        <v>0.0305938720703125</v>
      </c>
      <c r="D446" s="41" t="n">
        <f aca="false">(B446+C446)/2</f>
        <v>0.0305881500244141</v>
      </c>
      <c r="E446" s="15" t="n">
        <f aca="false">$C$2*(1+IF(E$3&lt;=$O$2,$D446,$D446-($D446-$I$427)*MIN(E$3-$O$2,$Q$2)/$Q$2))</f>
        <v>6636.98768615723</v>
      </c>
      <c r="F446" s="15" t="n">
        <f aca="false">E446*(1+IF(F$3&lt;=$O$2,$D446,$D446-($D446-$I$427)*MIN(F$3-$O$2,$Q$2)/$Q$2))</f>
        <v>6840.00086121159</v>
      </c>
      <c r="G446" s="15" t="n">
        <f aca="false">F446*(1+IF(G$3&lt;=$O$2,$D446,$D446-($D446-$I$427)*MIN(G$3-$O$2,$Q$2)/$Q$2))</f>
        <v>7049.22383372145</v>
      </c>
      <c r="H446" s="15" t="n">
        <f aca="false">G446*(1+IF(H$3&lt;=$O$2,$D446,$D446-($D446-$I$427)*MIN(H$3-$O$2,$Q$2)/$Q$2))</f>
        <v>7264.846549903</v>
      </c>
      <c r="I446" s="15" t="n">
        <f aca="false">H446*(1+IF(I$3&lt;=$O$2,$D446,$D446-($D446-$I$427)*MIN(I$3-$O$2,$Q$2)/$Q$2))</f>
        <v>7487.06476607578</v>
      </c>
      <c r="J446" s="15" t="n">
        <f aca="false">I446*(1+IF(J$3&lt;=$O$2,$D446,$D446-($D446-$I$427)*MIN(J$3-$O$2,$Q$2)/$Q$2))</f>
        <v>7727.62805042971</v>
      </c>
      <c r="K446" s="15" t="n">
        <f aca="false">J446*(1+IF(K$3&lt;=$O$2,$D446,$D446-($D446-$I$427)*MIN(K$3-$O$2,$Q$2)/$Q$2))</f>
        <v>7987.83961984594</v>
      </c>
      <c r="L446" s="15" t="n">
        <f aca="false">K446*(1+IF(L$3&lt;=$O$2,$D446,$D446-($D446-$I$427)*MIN(L$3-$O$2,$Q$2)/$Q$2))</f>
        <v>8269.13346897512</v>
      </c>
      <c r="M446" s="15" t="n">
        <f aca="false">L446*(1+IF(M$3&lt;=$O$2,$D446,$D446-($D446-$I$427)*MIN(M$3-$O$2,$Q$2)/$Q$2))</f>
        <v>8573.0872174887</v>
      </c>
      <c r="N446" s="15" t="n">
        <f aca="false">M446*(1+IF(N$3&lt;=$O$2,$D446,$D446-($D446-$I$427)*MIN(N$3-$O$2,$Q$2)/$Q$2))</f>
        <v>8901.43645791852</v>
      </c>
      <c r="O446" s="15" t="n">
        <f aca="false">SUMPRODUCT(E446:N446,1/(1+$F$427)^$E$3:$N$3)*$E$2</f>
        <v>9418.07755284891</v>
      </c>
      <c r="P446" s="15" t="n">
        <f aca="false">N446*$E$2*(1+$I$427)/($F$427-$I$427)/(1+$F$427)^$N$3</f>
        <v>13172.4669562507</v>
      </c>
      <c r="Q446" s="15" t="n">
        <f aca="false">O446+P446</f>
        <v>22590.5445090997</v>
      </c>
      <c r="R446" s="15" t="n">
        <f aca="false">Q446-$G$2+$I$2</f>
        <v>17290.6445090997</v>
      </c>
      <c r="S446" s="42" t="n">
        <f aca="false">R446/$K$2</f>
        <v>147.179473179262</v>
      </c>
      <c r="T446" s="43" t="n">
        <f aca="false">S446-$M$2</f>
        <v>0.00548611763412055</v>
      </c>
    </row>
    <row r="447" customFormat="false" ht="15" hidden="false" customHeight="false" outlineLevel="0" collapsed="false">
      <c r="A447" s="5" t="n">
        <v>19</v>
      </c>
      <c r="B447" s="25" t="n">
        <f aca="false">IF(T446&gt;0,B446,D446)</f>
        <v>0.0305824279785156</v>
      </c>
      <c r="C447" s="25" t="n">
        <f aca="false">IF(T446&gt;0,D446,C446)</f>
        <v>0.0305881500244141</v>
      </c>
      <c r="D447" s="41" t="n">
        <f aca="false">(B447+C447)/2</f>
        <v>0.0305852890014648</v>
      </c>
      <c r="E447" s="15" t="n">
        <f aca="false">$C$2*(1+IF(E$3&lt;=$O$2,$D447,$D447-($D447-$I$427)*MIN(E$3-$O$2,$Q$2)/$Q$2))</f>
        <v>6636.96926116943</v>
      </c>
      <c r="F447" s="15" t="n">
        <f aca="false">E447*(1+IF(F$3&lt;=$O$2,$D447,$D447-($D447-$I$427)*MIN(F$3-$O$2,$Q$2)/$Q$2))</f>
        <v>6839.96288411614</v>
      </c>
      <c r="G447" s="15" t="n">
        <f aca="false">F447*(1+IF(G$3&lt;=$O$2,$D447,$D447-($D447-$I$427)*MIN(G$3-$O$2,$Q$2)/$Q$2))</f>
        <v>7049.16512568612</v>
      </c>
      <c r="H447" s="15" t="n">
        <f aca="false">G447*(1+IF(H$3&lt;=$O$2,$D447,$D447-($D447-$I$427)*MIN(H$3-$O$2,$Q$2)/$Q$2))</f>
        <v>7264.76587827428</v>
      </c>
      <c r="I447" s="15" t="n">
        <f aca="false">H447*(1+IF(I$3&lt;=$O$2,$D447,$D447-($D447-$I$427)*MIN(I$3-$O$2,$Q$2)/$Q$2))</f>
        <v>7486.96084218928</v>
      </c>
      <c r="J447" s="15" t="n">
        <f aca="false">I447*(1+IF(J$3&lt;=$O$2,$D447,$D447-($D447-$I$427)*MIN(J$3-$O$2,$Q$2)/$Q$2))</f>
        <v>7727.50365112126</v>
      </c>
      <c r="K447" s="15" t="n">
        <f aca="false">J447*(1+IF(K$3&lt;=$O$2,$D447,$D447-($D447-$I$427)*MIN(K$3-$O$2,$Q$2)/$Q$2))</f>
        <v>7987.69776651409</v>
      </c>
      <c r="L447" s="15" t="n">
        <f aca="false">K447*(1+IF(L$3&lt;=$O$2,$D447,$D447-($D447-$I$427)*MIN(L$3-$O$2,$Q$2)/$Q$2))</f>
        <v>8268.97747904666</v>
      </c>
      <c r="M447" s="15" t="n">
        <f aca="false">L447*(1+IF(M$3&lt;=$O$2,$D447,$D447-($D447-$I$427)*MIN(M$3-$O$2,$Q$2)/$Q$2))</f>
        <v>8572.9207621933</v>
      </c>
      <c r="N447" s="15" t="n">
        <f aca="false">M447*(1+IF(N$3&lt;=$O$2,$D447,$D447-($D447-$I$427)*MIN(N$3-$O$2,$Q$2)/$Q$2))</f>
        <v>8901.2636273853</v>
      </c>
      <c r="O447" s="15" t="n">
        <f aca="false">SUMPRODUCT(E447:N447,1/(1+$F$427)^$E$3:$N$3)*$E$2</f>
        <v>9417.96114143226</v>
      </c>
      <c r="P447" s="15" t="n">
        <f aca="false">N447*$E$2*(1+$I$427)/($F$427-$I$427)/(1+$F$427)^$N$3</f>
        <v>13172.2111992728</v>
      </c>
      <c r="Q447" s="15" t="n">
        <f aca="false">O447+P447</f>
        <v>22590.1723407051</v>
      </c>
      <c r="R447" s="15" t="n">
        <f aca="false">Q447-$G$2+$I$2</f>
        <v>17290.2723407051</v>
      </c>
      <c r="S447" s="42" t="n">
        <f aca="false">R447/$K$2</f>
        <v>147.176305249447</v>
      </c>
      <c r="T447" s="43" t="n">
        <f aca="false">S447-$M$2</f>
        <v>0.00231818781972493</v>
      </c>
    </row>
    <row r="448" customFormat="false" ht="15" hidden="false" customHeight="false" outlineLevel="0" collapsed="false">
      <c r="A448" s="5" t="n">
        <v>20</v>
      </c>
      <c r="B448" s="25" t="n">
        <f aca="false">IF(T447&gt;0,B447,D447)</f>
        <v>0.0305824279785156</v>
      </c>
      <c r="C448" s="25" t="n">
        <f aca="false">IF(T447&gt;0,D447,C447)</f>
        <v>0.0305852890014648</v>
      </c>
      <c r="D448" s="41" t="n">
        <f aca="false">(B448+C448)/2</f>
        <v>0.0305838584899902</v>
      </c>
      <c r="E448" s="15" t="n">
        <f aca="false">$C$2*(1+IF(E$3&lt;=$O$2,$D448,$D448-($D448-$I$427)*MIN(E$3-$O$2,$Q$2)/$Q$2))</f>
        <v>6636.96004867554</v>
      </c>
      <c r="F448" s="15" t="n">
        <f aca="false">E448*(1+IF(F$3&lt;=$O$2,$D448,$D448-($D448-$I$427)*MIN(F$3-$O$2,$Q$2)/$Q$2))</f>
        <v>6839.94389560795</v>
      </c>
      <c r="G448" s="15" t="n">
        <f aca="false">F448*(1+IF(G$3&lt;=$O$2,$D448,$D448-($D448-$I$427)*MIN(G$3-$O$2,$Q$2)/$Q$2))</f>
        <v>7049.1357717907</v>
      </c>
      <c r="H448" s="15" t="n">
        <f aca="false">G448*(1+IF(H$3&lt;=$O$2,$D448,$D448-($D448-$I$427)*MIN(H$3-$O$2,$Q$2)/$Q$2))</f>
        <v>7264.72554271187</v>
      </c>
      <c r="I448" s="15" t="n">
        <f aca="false">H448*(1+IF(I$3&lt;=$O$2,$D448,$D448-($D448-$I$427)*MIN(I$3-$O$2,$Q$2)/$Q$2))</f>
        <v>7486.90888067879</v>
      </c>
      <c r="J448" s="15" t="n">
        <f aca="false">I448*(1+IF(J$3&lt;=$O$2,$D448,$D448-($D448-$I$427)*MIN(J$3-$O$2,$Q$2)/$Q$2))</f>
        <v>7727.44145209209</v>
      </c>
      <c r="K448" s="15" t="n">
        <f aca="false">J448*(1+IF(K$3&lt;=$O$2,$D448,$D448-($D448-$I$427)*MIN(K$3-$O$2,$Q$2)/$Q$2))</f>
        <v>7987.62684065442</v>
      </c>
      <c r="L448" s="15" t="n">
        <f aca="false">K448*(1+IF(L$3&lt;=$O$2,$D448,$D448-($D448-$I$427)*MIN(L$3-$O$2,$Q$2)/$Q$2))</f>
        <v>8268.89948503883</v>
      </c>
      <c r="M448" s="15" t="n">
        <f aca="false">L448*(1+IF(M$3&lt;=$O$2,$D448,$D448-($D448-$I$427)*MIN(M$3-$O$2,$Q$2)/$Q$2))</f>
        <v>8572.8375356041</v>
      </c>
      <c r="N448" s="15" t="n">
        <f aca="false">M448*(1+IF(N$3&lt;=$O$2,$D448,$D448-($D448-$I$427)*MIN(N$3-$O$2,$Q$2)/$Q$2))</f>
        <v>8901.17721321773</v>
      </c>
      <c r="O448" s="15" t="n">
        <f aca="false">SUMPRODUCT(E448:N448,1/(1+$F$427)^$E$3:$N$3)*$E$2</f>
        <v>9417.90293627252</v>
      </c>
      <c r="P448" s="15" t="n">
        <f aca="false">N448*$E$2*(1+$I$427)/($F$427-$I$427)/(1+$F$427)^$N$3</f>
        <v>13172.0833224102</v>
      </c>
      <c r="Q448" s="15" t="n">
        <f aca="false">O448+P448</f>
        <v>22589.9862586827</v>
      </c>
      <c r="R448" s="15" t="n">
        <f aca="false">Q448-$G$2+$I$2</f>
        <v>17290.0862586827</v>
      </c>
      <c r="S448" s="42" t="n">
        <f aca="false">R448/$K$2</f>
        <v>147.174721303053</v>
      </c>
      <c r="T448" s="43" t="n">
        <f aca="false">S448-$M$2</f>
        <v>0.000734241425931259</v>
      </c>
    </row>
    <row r="449" customFormat="false" ht="15" hidden="false" customHeight="false" outlineLevel="0" collapsed="false">
      <c r="A449" s="5" t="n">
        <v>21</v>
      </c>
      <c r="B449" s="25" t="n">
        <f aca="false">IF(T448&gt;0,B448,D448)</f>
        <v>0.0305824279785156</v>
      </c>
      <c r="C449" s="25" t="n">
        <f aca="false">IF(T448&gt;0,D448,C448)</f>
        <v>0.0305838584899902</v>
      </c>
      <c r="D449" s="41" t="n">
        <f aca="false">(B449+C449)/2</f>
        <v>0.0305831432342529</v>
      </c>
      <c r="E449" s="15" t="n">
        <f aca="false">$C$2*(1+IF(E$3&lt;=$O$2,$D449,$D449-($D449-$I$427)*MIN(E$3-$O$2,$Q$2)/$Q$2))</f>
        <v>6636.95544242859</v>
      </c>
      <c r="F449" s="15" t="n">
        <f aca="false">E449*(1+IF(F$3&lt;=$O$2,$D449,$D449-($D449-$I$427)*MIN(F$3-$O$2,$Q$2)/$Q$2))</f>
        <v>6839.93440136374</v>
      </c>
      <c r="G449" s="15" t="n">
        <f aca="false">F449*(1+IF(G$3&lt;=$O$2,$D449,$D449-($D449-$I$427)*MIN(G$3-$O$2,$Q$2)/$Q$2))</f>
        <v>7049.12109487354</v>
      </c>
      <c r="H449" s="15" t="n">
        <f aca="false">G449*(1+IF(H$3&lt;=$O$2,$D449,$D449-($D449-$I$427)*MIN(H$3-$O$2,$Q$2)/$Q$2))</f>
        <v>7264.70537499365</v>
      </c>
      <c r="I449" s="15" t="n">
        <f aca="false">H449*(1+IF(I$3&lt;=$O$2,$D449,$D449-($D449-$I$427)*MIN(I$3-$O$2,$Q$2)/$Q$2))</f>
        <v>7486.88290003173</v>
      </c>
      <c r="J449" s="15" t="n">
        <f aca="false">I449*(1+IF(J$3&lt;=$O$2,$D449,$D449-($D449-$I$427)*MIN(J$3-$O$2,$Q$2)/$Q$2))</f>
        <v>7727.41035273377</v>
      </c>
      <c r="K449" s="15" t="n">
        <f aca="false">J449*(1+IF(K$3&lt;=$O$2,$D449,$D449-($D449-$I$427)*MIN(K$3-$O$2,$Q$2)/$Q$2))</f>
        <v>7987.59137792616</v>
      </c>
      <c r="L449" s="15" t="n">
        <f aca="false">K449*(1+IF(L$3&lt;=$O$2,$D449,$D449-($D449-$I$427)*MIN(L$3-$O$2,$Q$2)/$Q$2))</f>
        <v>8268.86048827402</v>
      </c>
      <c r="M449" s="15" t="n">
        <f aca="false">L449*(1+IF(M$3&lt;=$O$2,$D449,$D449-($D449-$I$427)*MIN(M$3-$O$2,$Q$2)/$Q$2))</f>
        <v>8572.79592257412</v>
      </c>
      <c r="N449" s="15" t="n">
        <f aca="false">M449*(1+IF(N$3&lt;=$O$2,$D449,$D449-($D449-$I$427)*MIN(N$3-$O$2,$Q$2)/$Q$2))</f>
        <v>8901.13400640871</v>
      </c>
      <c r="O449" s="15" t="n">
        <f aca="false">SUMPRODUCT(E449:N449,1/(1+$F$427)^$E$3:$N$3)*$E$2</f>
        <v>9417.87383382979</v>
      </c>
      <c r="P449" s="15" t="n">
        <f aca="false">N449*$E$2*(1+$I$427)/($F$427-$I$427)/(1+$F$427)^$N$3</f>
        <v>13172.0193843855</v>
      </c>
      <c r="Q449" s="15" t="n">
        <f aca="false">O449+P449</f>
        <v>22589.8932182153</v>
      </c>
      <c r="R449" s="15" t="n">
        <f aca="false">Q449-$G$2+$I$2</f>
        <v>17289.9932182153</v>
      </c>
      <c r="S449" s="42" t="n">
        <f aca="false">R449/$K$2</f>
        <v>147.173929334485</v>
      </c>
      <c r="T449" s="43" t="n">
        <f aca="false">S449-$M$2</f>
        <v>-5.77271426038806E-005</v>
      </c>
    </row>
    <row r="450" customFormat="false" ht="15" hidden="false" customHeight="false" outlineLevel="0" collapsed="false">
      <c r="A450" s="5" t="n">
        <v>22</v>
      </c>
      <c r="B450" s="25" t="n">
        <f aca="false">IF(T449&gt;0,B449,D449)</f>
        <v>0.0305831432342529</v>
      </c>
      <c r="C450" s="25" t="n">
        <f aca="false">IF(T449&gt;0,D449,C449)</f>
        <v>0.0305838584899902</v>
      </c>
      <c r="D450" s="41" t="n">
        <f aca="false">(B450+C450)/2</f>
        <v>0.0305835008621216</v>
      </c>
      <c r="E450" s="15" t="n">
        <f aca="false">$C$2*(1+IF(E$3&lt;=$O$2,$D450,$D450-($D450-$I$427)*MIN(E$3-$O$2,$Q$2)/$Q$2))</f>
        <v>6636.95774555206</v>
      </c>
      <c r="F450" s="15" t="n">
        <f aca="false">E450*(1+IF(F$3&lt;=$O$2,$D450,$D450-($D450-$I$427)*MIN(F$3-$O$2,$Q$2)/$Q$2))</f>
        <v>6839.93914848502</v>
      </c>
      <c r="G450" s="15" t="n">
        <f aca="false">F450*(1+IF(G$3&lt;=$O$2,$D450,$D450-($D450-$I$427)*MIN(G$3-$O$2,$Q$2)/$Q$2))</f>
        <v>7049.12843332957</v>
      </c>
      <c r="H450" s="15" t="n">
        <f aca="false">G450*(1+IF(H$3&lt;=$O$2,$D450,$D450-($D450-$I$427)*MIN(H$3-$O$2,$Q$2)/$Q$2))</f>
        <v>7264.71545884751</v>
      </c>
      <c r="I450" s="15" t="n">
        <f aca="false">H450*(1+IF(I$3&lt;=$O$2,$D450,$D450-($D450-$I$427)*MIN(I$3-$O$2,$Q$2)/$Q$2))</f>
        <v>7486.89589034624</v>
      </c>
      <c r="J450" s="15" t="n">
        <f aca="false">I450*(1+IF(J$3&lt;=$O$2,$D450,$D450-($D450-$I$427)*MIN(J$3-$O$2,$Q$2)/$Q$2))</f>
        <v>7727.42590239991</v>
      </c>
      <c r="K450" s="15" t="n">
        <f aca="false">J450*(1+IF(K$3&lt;=$O$2,$D450,$D450-($D450-$I$427)*MIN(K$3-$O$2,$Q$2)/$Q$2))</f>
        <v>7987.60910927349</v>
      </c>
      <c r="L450" s="15" t="n">
        <f aca="false">K450*(1+IF(L$3&lt;=$O$2,$D450,$D450-($D450-$I$427)*MIN(L$3-$O$2,$Q$2)/$Q$2))</f>
        <v>8268.8799866365</v>
      </c>
      <c r="M450" s="15" t="n">
        <f aca="false">L450*(1+IF(M$3&lt;=$O$2,$D450,$D450-($D450-$I$427)*MIN(M$3-$O$2,$Q$2)/$Q$2))</f>
        <v>8572.81672906706</v>
      </c>
      <c r="N450" s="15" t="n">
        <f aca="false">M450*(1+IF(N$3&lt;=$O$2,$D450,$D450-($D450-$I$427)*MIN(N$3-$O$2,$Q$2)/$Q$2))</f>
        <v>8901.15560979033</v>
      </c>
      <c r="O450" s="15" t="n">
        <f aca="false">SUMPRODUCT(E450:N450,1/(1+$F$427)^$E$3:$N$3)*$E$2</f>
        <v>9417.88838503972</v>
      </c>
      <c r="P450" s="15" t="n">
        <f aca="false">N450*$E$2*(1+$I$427)/($F$427-$I$427)/(1+$F$427)^$N$3</f>
        <v>13172.051353364</v>
      </c>
      <c r="Q450" s="15" t="n">
        <f aca="false">O450+P450</f>
        <v>22589.9397384037</v>
      </c>
      <c r="R450" s="15" t="n">
        <f aca="false">Q450-$G$2+$I$2</f>
        <v>17290.0397384037</v>
      </c>
      <c r="S450" s="42" t="n">
        <f aca="false">R450/$K$2</f>
        <v>147.174325318384</v>
      </c>
      <c r="T450" s="43" t="n">
        <f aca="false">S450-$M$2</f>
        <v>0.000338256756037936</v>
      </c>
    </row>
    <row r="451" customFormat="false" ht="15" hidden="false" customHeight="false" outlineLevel="0" collapsed="false">
      <c r="A451" s="5" t="n">
        <v>23</v>
      </c>
      <c r="B451" s="25" t="n">
        <f aca="false">IF(T450&gt;0,B450,D450)</f>
        <v>0.0305831432342529</v>
      </c>
      <c r="C451" s="25" t="n">
        <f aca="false">IF(T450&gt;0,D450,C450)</f>
        <v>0.0305835008621216</v>
      </c>
      <c r="D451" s="41" t="n">
        <f aca="false">(B451+C451)/2</f>
        <v>0.0305833220481873</v>
      </c>
      <c r="E451" s="15" t="n">
        <f aca="false">$C$2*(1+IF(E$3&lt;=$O$2,$D451,$D451-($D451-$I$427)*MIN(E$3-$O$2,$Q$2)/$Q$2))</f>
        <v>6636.95659399033</v>
      </c>
      <c r="F451" s="15" t="n">
        <f aca="false">E451*(1+IF(F$3&lt;=$O$2,$D451,$D451-($D451-$I$427)*MIN(F$3-$O$2,$Q$2)/$Q$2))</f>
        <v>6839.93677492417</v>
      </c>
      <c r="G451" s="15" t="n">
        <f aca="false">F451*(1+IF(G$3&lt;=$O$2,$D451,$D451-($D451-$I$427)*MIN(G$3-$O$2,$Q$2)/$Q$2))</f>
        <v>7049.12476410092</v>
      </c>
      <c r="H451" s="15" t="n">
        <f aca="false">G451*(1+IF(H$3&lt;=$O$2,$D451,$D451-($D451-$I$427)*MIN(H$3-$O$2,$Q$2)/$Q$2))</f>
        <v>7264.71041691927</v>
      </c>
      <c r="I451" s="15" t="n">
        <f aca="false">H451*(1+IF(I$3&lt;=$O$2,$D451,$D451-($D451-$I$427)*MIN(I$3-$O$2,$Q$2)/$Q$2))</f>
        <v>7486.88939518673</v>
      </c>
      <c r="J451" s="15" t="n">
        <f aca="false">I451*(1+IF(J$3&lt;=$O$2,$D451,$D451-($D451-$I$427)*MIN(J$3-$O$2,$Q$2)/$Q$2))</f>
        <v>7727.41812756358</v>
      </c>
      <c r="K451" s="15" t="n">
        <f aca="false">J451*(1+IF(K$3&lt;=$O$2,$D451,$D451-($D451-$I$427)*MIN(K$3-$O$2,$Q$2)/$Q$2))</f>
        <v>7987.60024359562</v>
      </c>
      <c r="L451" s="15" t="n">
        <f aca="false">K451*(1+IF(L$3&lt;=$O$2,$D451,$D451-($D451-$I$427)*MIN(L$3-$O$2,$Q$2)/$Q$2))</f>
        <v>8268.87023745028</v>
      </c>
      <c r="M451" s="15" t="n">
        <f aca="false">L451*(1+IF(M$3&lt;=$O$2,$D451,$D451-($D451-$I$427)*MIN(M$3-$O$2,$Q$2)/$Q$2))</f>
        <v>8572.80632581508</v>
      </c>
      <c r="N451" s="15" t="n">
        <f aca="false">M451*(1+IF(N$3&lt;=$O$2,$D451,$D451-($D451-$I$427)*MIN(N$3-$O$2,$Q$2)/$Q$2))</f>
        <v>8901.14480809379</v>
      </c>
      <c r="O451" s="15" t="n">
        <f aca="false">SUMPRODUCT(E451:N451,1/(1+$F$427)^$E$3:$N$3)*$E$2</f>
        <v>9417.8811094319</v>
      </c>
      <c r="P451" s="15" t="n">
        <f aca="false">N451*$E$2*(1+$I$427)/($F$427-$I$427)/(1+$F$427)^$N$3</f>
        <v>13172.0353688663</v>
      </c>
      <c r="Q451" s="15" t="n">
        <f aca="false">O451+P451</f>
        <v>22589.9164782982</v>
      </c>
      <c r="R451" s="15" t="n">
        <f aca="false">Q451-$G$2+$I$2</f>
        <v>17290.0164782982</v>
      </c>
      <c r="S451" s="42" t="n">
        <f aca="false">R451/$K$2</f>
        <v>147.174127326338</v>
      </c>
      <c r="T451" s="43" t="n">
        <f aca="false">S451-$M$2</f>
        <v>0.000140264710267957</v>
      </c>
    </row>
    <row r="452" customFormat="false" ht="15" hidden="false" customHeight="false" outlineLevel="0" collapsed="false">
      <c r="A452" s="5" t="n">
        <v>24</v>
      </c>
      <c r="B452" s="25" t="n">
        <f aca="false">IF(T451&gt;0,B451,D451)</f>
        <v>0.0305831432342529</v>
      </c>
      <c r="C452" s="25" t="n">
        <f aca="false">IF(T451&gt;0,D451,C451)</f>
        <v>0.0305833220481873</v>
      </c>
      <c r="D452" s="41" t="n">
        <f aca="false">(B452+C452)/2</f>
        <v>0.0305832326412201</v>
      </c>
      <c r="E452" s="15" t="n">
        <f aca="false">$C$2*(1+IF(E$3&lt;=$O$2,$D452,$D452-($D452-$I$427)*MIN(E$3-$O$2,$Q$2)/$Q$2))</f>
        <v>6636.95601820946</v>
      </c>
      <c r="F452" s="15" t="n">
        <f aca="false">E452*(1+IF(F$3&lt;=$O$2,$D452,$D452-($D452-$I$427)*MIN(F$3-$O$2,$Q$2)/$Q$2))</f>
        <v>6839.9355881439</v>
      </c>
      <c r="G452" s="15" t="n">
        <f aca="false">F452*(1+IF(G$3&lt;=$O$2,$D452,$D452-($D452-$I$427)*MIN(G$3-$O$2,$Q$2)/$Q$2))</f>
        <v>7049.12292948707</v>
      </c>
      <c r="H452" s="15" t="n">
        <f aca="false">G452*(1+IF(H$3&lt;=$O$2,$D452,$D452-($D452-$I$427)*MIN(H$3-$O$2,$Q$2)/$Q$2))</f>
        <v>7264.70789595613</v>
      </c>
      <c r="I452" s="15" t="n">
        <f aca="false">H452*(1+IF(I$3&lt;=$O$2,$D452,$D452-($D452-$I$427)*MIN(I$3-$O$2,$Q$2)/$Q$2))</f>
        <v>7486.88614760867</v>
      </c>
      <c r="J452" s="15" t="n">
        <f aca="false">I452*(1+IF(J$3&lt;=$O$2,$D452,$D452-($D452-$I$427)*MIN(J$3-$O$2,$Q$2)/$Q$2))</f>
        <v>7727.41424014786</v>
      </c>
      <c r="K452" s="15" t="n">
        <f aca="false">J452*(1+IF(K$3&lt;=$O$2,$D452,$D452-($D452-$I$427)*MIN(K$3-$O$2,$Q$2)/$Q$2))</f>
        <v>7987.59581075984</v>
      </c>
      <c r="L452" s="15" t="n">
        <f aca="false">K452*(1+IF(L$3&lt;=$O$2,$D452,$D452-($D452-$I$427)*MIN(L$3-$O$2,$Q$2)/$Q$2))</f>
        <v>8268.8653628609</v>
      </c>
      <c r="M452" s="15" t="n">
        <f aca="false">L452*(1+IF(M$3&lt;=$O$2,$D452,$D452-($D452-$I$427)*MIN(M$3-$O$2,$Q$2)/$Q$2))</f>
        <v>8572.80112419322</v>
      </c>
      <c r="N452" s="15" t="n">
        <f aca="false">M452*(1+IF(N$3&lt;=$O$2,$D452,$D452-($D452-$I$427)*MIN(N$3-$O$2,$Q$2)/$Q$2))</f>
        <v>8901.13940724982</v>
      </c>
      <c r="O452" s="15" t="n">
        <f aca="false">SUMPRODUCT(E452:N452,1/(1+$F$427)^$E$3:$N$3)*$E$2</f>
        <v>9417.87747163013</v>
      </c>
      <c r="P452" s="15" t="n">
        <f aca="false">N452*$E$2*(1+$I$427)/($F$427-$I$427)/(1+$F$427)^$N$3</f>
        <v>13172.0273766238</v>
      </c>
      <c r="Q452" s="15" t="n">
        <f aca="false">O452+P452</f>
        <v>22589.9048482539</v>
      </c>
      <c r="R452" s="15" t="n">
        <f aca="false">Q452-$G$2+$I$2</f>
        <v>17290.0048482539</v>
      </c>
      <c r="S452" s="42" t="n">
        <f aca="false">R452/$K$2</f>
        <v>147.174028330387</v>
      </c>
      <c r="T452" s="43" t="n">
        <f aca="false">S452-$M$2</f>
        <v>4.12687597588501E-005</v>
      </c>
    </row>
    <row r="454" customFormat="false" ht="15" hidden="false" customHeight="false" outlineLevel="0" collapsed="false">
      <c r="A454" s="38" t="s">
        <v>196</v>
      </c>
      <c r="E454" s="5" t="s">
        <v>11</v>
      </c>
      <c r="F454" s="12" t="n">
        <f aca="false">Sensitivity!$B$13</f>
        <v>0.0999886567315273</v>
      </c>
      <c r="G454" s="5" t="s">
        <v>12</v>
      </c>
      <c r="I454" s="12" t="n">
        <f aca="false">Sensitivity!$C$9</f>
        <v>0.0183</v>
      </c>
    </row>
    <row r="455" customFormat="false" ht="23.85" hidden="false" customHeight="false" outlineLevel="0" collapsed="false">
      <c r="A455" s="38" t="s">
        <v>161</v>
      </c>
      <c r="B455" s="28" t="s">
        <v>162</v>
      </c>
      <c r="C455" s="28" t="s">
        <v>163</v>
      </c>
      <c r="D455" s="28" t="s">
        <v>164</v>
      </c>
      <c r="E455" s="28" t="s">
        <v>165</v>
      </c>
      <c r="F455" s="28" t="s">
        <v>166</v>
      </c>
      <c r="G455" s="28" t="s">
        <v>167</v>
      </c>
      <c r="H455" s="28" t="s">
        <v>168</v>
      </c>
      <c r="I455" s="28" t="s">
        <v>169</v>
      </c>
      <c r="J455" s="28" t="s">
        <v>170</v>
      </c>
      <c r="K455" s="28" t="s">
        <v>171</v>
      </c>
      <c r="L455" s="28" t="s">
        <v>172</v>
      </c>
      <c r="M455" s="28" t="s">
        <v>173</v>
      </c>
      <c r="N455" s="28" t="s">
        <v>174</v>
      </c>
      <c r="O455" s="28" t="s">
        <v>175</v>
      </c>
      <c r="P455" s="28" t="s">
        <v>176</v>
      </c>
      <c r="Q455" s="28" t="s">
        <v>177</v>
      </c>
      <c r="R455" s="28" t="s">
        <v>178</v>
      </c>
      <c r="S455" s="28" t="s">
        <v>179</v>
      </c>
      <c r="T455" s="28" t="s">
        <v>180</v>
      </c>
    </row>
    <row r="456" customFormat="false" ht="15" hidden="false" customHeight="false" outlineLevel="0" collapsed="false">
      <c r="A456" s="5" t="n">
        <v>1</v>
      </c>
      <c r="B456" s="24" t="n">
        <v>-0.5</v>
      </c>
      <c r="C456" s="24" t="n">
        <v>1</v>
      </c>
      <c r="D456" s="41" t="n">
        <f aca="false">(B456+C456)/2</f>
        <v>0.25</v>
      </c>
      <c r="E456" s="15" t="n">
        <f aca="false">$C$2*(1+IF(E$3&lt;=$O$2,$D456,$D456-($D456-$I$454)*MIN(E$3-$O$2,$Q$2)/$Q$2))</f>
        <v>8050</v>
      </c>
      <c r="F456" s="15" t="n">
        <f aca="false">E456*(1+IF(F$3&lt;=$O$2,$D456,$D456-($D456-$I$454)*MIN(F$3-$O$2,$Q$2)/$Q$2))</f>
        <v>10062.5</v>
      </c>
      <c r="G456" s="15" t="n">
        <f aca="false">F456*(1+IF(G$3&lt;=$O$2,$D456,$D456-($D456-$I$454)*MIN(G$3-$O$2,$Q$2)/$Q$2))</f>
        <v>12578.125</v>
      </c>
      <c r="H456" s="15" t="n">
        <f aca="false">G456*(1+IF(H$3&lt;=$O$2,$D456,$D456-($D456-$I$454)*MIN(H$3-$O$2,$Q$2)/$Q$2))</f>
        <v>15722.65625</v>
      </c>
      <c r="I456" s="15" t="n">
        <f aca="false">H456*(1+IF(I$3&lt;=$O$2,$D456,$D456-($D456-$I$454)*MIN(I$3-$O$2,$Q$2)/$Q$2))</f>
        <v>19653.3203125</v>
      </c>
      <c r="J456" s="15" t="n">
        <f aca="false">I456*(1+IF(J$3&lt;=$O$2,$D456,$D456-($D456-$I$454)*MIN(J$3-$O$2,$Q$2)/$Q$2))</f>
        <v>23655.9155273438</v>
      </c>
      <c r="K456" s="15" t="n">
        <f aca="false">J456*(1+IF(K$3&lt;=$O$2,$D456,$D456-($D456-$I$454)*MIN(K$3-$O$2,$Q$2)/$Q$2))</f>
        <v>27377.4641581055</v>
      </c>
      <c r="L456" s="15" t="n">
        <f aca="false">K456*(1+IF(L$3&lt;=$O$2,$D456,$D456-($D456-$I$454)*MIN(L$3-$O$2,$Q$2)/$Q$2))</f>
        <v>30415.815130372</v>
      </c>
      <c r="M456" s="15" t="n">
        <f aca="false">L456*(1+IF(M$3&lt;=$O$2,$D456,$D456-($D456-$I$454)*MIN(M$3-$O$2,$Q$2)/$Q$2))</f>
        <v>32381.8934203993</v>
      </c>
      <c r="N456" s="15" t="n">
        <f aca="false">M456*(1+IF(N$3&lt;=$O$2,$D456,$D456-($D456-$I$454)*MIN(N$3-$O$2,$Q$2)/$Q$2))</f>
        <v>32974.4820699926</v>
      </c>
      <c r="O456" s="15" t="n">
        <f aca="false">SUMPRODUCT(E456:N456,1/(1+$F$454)^$E$3:$N$3)*$E$2</f>
        <v>23238.0972049208</v>
      </c>
      <c r="P456" s="15" t="n">
        <f aca="false">N456*$E$2*(1+$I$454)/($F$454-$I$454)/(1+$F$454)^$N$3</f>
        <v>31731.1959957802</v>
      </c>
      <c r="Q456" s="15" t="n">
        <f aca="false">O456+P456</f>
        <v>54969.293200701</v>
      </c>
      <c r="R456" s="15" t="n">
        <f aca="false">Q456-$G$2+$I$2</f>
        <v>49669.393200701</v>
      </c>
      <c r="S456" s="42" t="n">
        <f aca="false">R456/$K$2</f>
        <v>422.790204296059</v>
      </c>
      <c r="T456" s="43" t="n">
        <f aca="false">S456-$M$2</f>
        <v>275.616217234432</v>
      </c>
    </row>
    <row r="457" customFormat="false" ht="15" hidden="false" customHeight="false" outlineLevel="0" collapsed="false">
      <c r="A457" s="5" t="n">
        <v>2</v>
      </c>
      <c r="B457" s="25" t="n">
        <f aca="false">IF(T456&gt;0,B456,D456)</f>
        <v>-0.5</v>
      </c>
      <c r="C457" s="25" t="n">
        <f aca="false">IF(T456&gt;0,D456,C456)</f>
        <v>0.25</v>
      </c>
      <c r="D457" s="41" t="n">
        <f aca="false">(B457+C457)/2</f>
        <v>-0.125</v>
      </c>
      <c r="E457" s="15" t="n">
        <f aca="false">$C$2*(1+IF(E$3&lt;=$O$2,$D457,$D457-($D457-$I$454)*MIN(E$3-$O$2,$Q$2)/$Q$2))</f>
        <v>5635</v>
      </c>
      <c r="F457" s="15" t="n">
        <f aca="false">E457*(1+IF(F$3&lt;=$O$2,$D457,$D457-($D457-$I$454)*MIN(F$3-$O$2,$Q$2)/$Q$2))</f>
        <v>4930.625</v>
      </c>
      <c r="G457" s="15" t="n">
        <f aca="false">F457*(1+IF(G$3&lt;=$O$2,$D457,$D457-($D457-$I$454)*MIN(G$3-$O$2,$Q$2)/$Q$2))</f>
        <v>4314.296875</v>
      </c>
      <c r="H457" s="15" t="n">
        <f aca="false">G457*(1+IF(H$3&lt;=$O$2,$D457,$D457-($D457-$I$454)*MIN(H$3-$O$2,$Q$2)/$Q$2))</f>
        <v>3775.009765625</v>
      </c>
      <c r="I457" s="15" t="n">
        <f aca="false">H457*(1+IF(I$3&lt;=$O$2,$D457,$D457-($D457-$I$454)*MIN(I$3-$O$2,$Q$2)/$Q$2))</f>
        <v>3303.13354492188</v>
      </c>
      <c r="J457" s="15" t="n">
        <f aca="false">I457*(1+IF(J$3&lt;=$O$2,$D457,$D457-($D457-$I$454)*MIN(J$3-$O$2,$Q$2)/$Q$2))</f>
        <v>2984.9096592041</v>
      </c>
      <c r="K457" s="15" t="n">
        <f aca="false">J457*(1+IF(K$3&lt;=$O$2,$D457,$D457-($D457-$I$454)*MIN(K$3-$O$2,$Q$2)/$Q$2))</f>
        <v>2782.89097346917</v>
      </c>
      <c r="L457" s="15" t="n">
        <f aca="false">K457*(1+IF(L$3&lt;=$O$2,$D457,$D457-($D457-$I$454)*MIN(L$3-$O$2,$Q$2)/$Q$2))</f>
        <v>2674.3025676844</v>
      </c>
      <c r="M457" s="15" t="n">
        <f aca="false">L457*(1+IF(M$3&lt;=$O$2,$D457,$D457-($D457-$I$454)*MIN(M$3-$O$2,$Q$2)/$Q$2))</f>
        <v>2646.59679308319</v>
      </c>
      <c r="N457" s="15" t="n">
        <f aca="false">M457*(1+IF(N$3&lt;=$O$2,$D457,$D457-($D457-$I$454)*MIN(N$3-$O$2,$Q$2)/$Q$2))</f>
        <v>2695.02951439661</v>
      </c>
      <c r="O457" s="15" t="n">
        <f aca="false">SUMPRODUCT(E457:N457,1/(1+$F$454)^$E$3:$N$3)*$E$2</f>
        <v>4723.12842286211</v>
      </c>
      <c r="P457" s="15" t="n">
        <f aca="false">N457*$E$2*(1+$I$454)/($F$454-$I$454)/(1+$F$454)^$N$3</f>
        <v>2593.41479736396</v>
      </c>
      <c r="Q457" s="15" t="n">
        <f aca="false">O457+P457</f>
        <v>7316.54322022607</v>
      </c>
      <c r="R457" s="15" t="n">
        <f aca="false">Q457-$G$2+$I$2</f>
        <v>2016.64322022607</v>
      </c>
      <c r="S457" s="42" t="n">
        <f aca="false">R457/$K$2</f>
        <v>17.1658428687953</v>
      </c>
      <c r="T457" s="43" t="n">
        <f aca="false">S457-$M$2</f>
        <v>-130.008144192832</v>
      </c>
    </row>
    <row r="458" customFormat="false" ht="15" hidden="false" customHeight="false" outlineLevel="0" collapsed="false">
      <c r="A458" s="5" t="n">
        <v>3</v>
      </c>
      <c r="B458" s="25" t="n">
        <f aca="false">IF(T457&gt;0,B457,D457)</f>
        <v>-0.125</v>
      </c>
      <c r="C458" s="25" t="n">
        <f aca="false">IF(T457&gt;0,D457,C457)</f>
        <v>0.25</v>
      </c>
      <c r="D458" s="41" t="n">
        <f aca="false">(B458+C458)/2</f>
        <v>0.0625</v>
      </c>
      <c r="E458" s="15" t="n">
        <f aca="false">$C$2*(1+IF(E$3&lt;=$O$2,$D458,$D458-($D458-$I$454)*MIN(E$3-$O$2,$Q$2)/$Q$2))</f>
        <v>6842.5</v>
      </c>
      <c r="F458" s="15" t="n">
        <f aca="false">E458*(1+IF(F$3&lt;=$O$2,$D458,$D458-($D458-$I$454)*MIN(F$3-$O$2,$Q$2)/$Q$2))</f>
        <v>7270.15625</v>
      </c>
      <c r="G458" s="15" t="n">
        <f aca="false">F458*(1+IF(G$3&lt;=$O$2,$D458,$D458-($D458-$I$454)*MIN(G$3-$O$2,$Q$2)/$Q$2))</f>
        <v>7724.541015625</v>
      </c>
      <c r="H458" s="15" t="n">
        <f aca="false">G458*(1+IF(H$3&lt;=$O$2,$D458,$D458-($D458-$I$454)*MIN(H$3-$O$2,$Q$2)/$Q$2))</f>
        <v>8207.32482910156</v>
      </c>
      <c r="I458" s="15" t="n">
        <f aca="false">H458*(1+IF(I$3&lt;=$O$2,$D458,$D458-($D458-$I$454)*MIN(I$3-$O$2,$Q$2)/$Q$2))</f>
        <v>8720.28263092041</v>
      </c>
      <c r="J458" s="15" t="n">
        <f aca="false">I458*(1+IF(J$3&lt;=$O$2,$D458,$D458-($D458-$I$454)*MIN(J$3-$O$2,$Q$2)/$Q$2))</f>
        <v>9188.2129968956</v>
      </c>
      <c r="K458" s="15" t="n">
        <f aca="false">J458*(1+IF(K$3&lt;=$O$2,$D458,$D458-($D458-$I$454)*MIN(K$3-$O$2,$Q$2)/$Q$2))</f>
        <v>9600.02870341646</v>
      </c>
      <c r="L458" s="15" t="n">
        <f aca="false">K458*(1+IF(L$3&lt;=$O$2,$D458,$D458-($D458-$I$454)*MIN(L$3-$O$2,$Q$2)/$Q$2))</f>
        <v>9945.43773616538</v>
      </c>
      <c r="M458" s="15" t="n">
        <f aca="false">L458*(1+IF(M$3&lt;=$O$2,$D458,$D458-($D458-$I$454)*MIN(M$3-$O$2,$Q$2)/$Q$2))</f>
        <v>10215.3569163249</v>
      </c>
      <c r="N458" s="15" t="n">
        <f aca="false">M458*(1+IF(N$3&lt;=$O$2,$D458,$D458-($D458-$I$454)*MIN(N$3-$O$2,$Q$2)/$Q$2))</f>
        <v>10402.2979478937</v>
      </c>
      <c r="O458" s="15" t="n">
        <f aca="false">SUMPRODUCT(E458:N458,1/(1+$F$454)^$E$3:$N$3)*$E$2</f>
        <v>10440.8877923579</v>
      </c>
      <c r="P458" s="15" t="n">
        <f aca="false">N458*$E$2*(1+$I$454)/($F$454-$I$454)/(1+$F$454)^$N$3</f>
        <v>10010.0845948235</v>
      </c>
      <c r="Q458" s="15" t="n">
        <f aca="false">O458+P458</f>
        <v>20450.9723871814</v>
      </c>
      <c r="R458" s="15" t="n">
        <f aca="false">Q458-$G$2+$I$2</f>
        <v>15151.0723871814</v>
      </c>
      <c r="S458" s="42" t="n">
        <f aca="false">R458/$K$2</f>
        <v>128.967248784316</v>
      </c>
      <c r="T458" s="43" t="n">
        <f aca="false">S458-$M$2</f>
        <v>-18.2067382773118</v>
      </c>
    </row>
    <row r="459" customFormat="false" ht="15" hidden="false" customHeight="false" outlineLevel="0" collapsed="false">
      <c r="A459" s="5" t="n">
        <v>4</v>
      </c>
      <c r="B459" s="25" t="n">
        <f aca="false">IF(T458&gt;0,B458,D458)</f>
        <v>0.0625</v>
      </c>
      <c r="C459" s="25" t="n">
        <f aca="false">IF(T458&gt;0,D458,C458)</f>
        <v>0.25</v>
      </c>
      <c r="D459" s="41" t="n">
        <f aca="false">(B459+C459)/2</f>
        <v>0.15625</v>
      </c>
      <c r="E459" s="15" t="n">
        <f aca="false">$C$2*(1+IF(E$3&lt;=$O$2,$D459,$D459-($D459-$I$454)*MIN(E$3-$O$2,$Q$2)/$Q$2))</f>
        <v>7446.25</v>
      </c>
      <c r="F459" s="15" t="n">
        <f aca="false">E459*(1+IF(F$3&lt;=$O$2,$D459,$D459-($D459-$I$454)*MIN(F$3-$O$2,$Q$2)/$Q$2))</f>
        <v>8609.7265625</v>
      </c>
      <c r="G459" s="15" t="n">
        <f aca="false">F459*(1+IF(G$3&lt;=$O$2,$D459,$D459-($D459-$I$454)*MIN(G$3-$O$2,$Q$2)/$Q$2))</f>
        <v>9954.99633789063</v>
      </c>
      <c r="H459" s="15" t="n">
        <f aca="false">G459*(1+IF(H$3&lt;=$O$2,$D459,$D459-($D459-$I$454)*MIN(H$3-$O$2,$Q$2)/$Q$2))</f>
        <v>11510.464515686</v>
      </c>
      <c r="I459" s="15" t="n">
        <f aca="false">H459*(1+IF(I$3&lt;=$O$2,$D459,$D459-($D459-$I$454)*MIN(I$3-$O$2,$Q$2)/$Q$2))</f>
        <v>13308.974596262</v>
      </c>
      <c r="J459" s="15" t="n">
        <f aca="false">I459*(1+IF(J$3&lt;=$O$2,$D459,$D459-($D459-$I$454)*MIN(J$3-$O$2,$Q$2)/$Q$2))</f>
        <v>15021.307267817</v>
      </c>
      <c r="K459" s="15" t="n">
        <f aca="false">J459*(1+IF(K$3&lt;=$O$2,$D459,$D459-($D459-$I$454)*MIN(K$3-$O$2,$Q$2)/$Q$2))</f>
        <v>16539.5107933753</v>
      </c>
      <c r="L459" s="15" t="n">
        <f aca="false">K459*(1+IF(L$3&lt;=$O$2,$D459,$D459-($D459-$I$454)*MIN(L$3-$O$2,$Q$2)/$Q$2))</f>
        <v>17754.8340464725</v>
      </c>
      <c r="M459" s="15" t="n">
        <f aca="false">L459*(1+IF(M$3&lt;=$O$2,$D459,$D459-($D459-$I$454)*MIN(M$3-$O$2,$Q$2)/$Q$2))</f>
        <v>18569.6033808652</v>
      </c>
      <c r="N459" s="15" t="n">
        <f aca="false">M459*(1+IF(N$3&lt;=$O$2,$D459,$D459-($D459-$I$454)*MIN(N$3-$O$2,$Q$2)/$Q$2))</f>
        <v>18909.427122735</v>
      </c>
      <c r="O459" s="15" t="n">
        <f aca="false">SUMPRODUCT(E459:N459,1/(1+$F$454)^$E$3:$N$3)*$E$2</f>
        <v>15597.8834280475</v>
      </c>
      <c r="P459" s="15" t="n">
        <f aca="false">N459*$E$2*(1+$I$454)/($F$454-$I$454)/(1+$F$454)^$N$3</f>
        <v>18196.4567912184</v>
      </c>
      <c r="Q459" s="15" t="n">
        <f aca="false">O459+P459</f>
        <v>33794.3402192659</v>
      </c>
      <c r="R459" s="15" t="n">
        <f aca="false">Q459-$G$2+$I$2</f>
        <v>28494.4402192659</v>
      </c>
      <c r="S459" s="42" t="n">
        <f aca="false">R459/$K$2</f>
        <v>242.547158829298</v>
      </c>
      <c r="T459" s="43" t="n">
        <f aca="false">S459-$M$2</f>
        <v>95.3731717676706</v>
      </c>
    </row>
    <row r="460" customFormat="false" ht="15" hidden="false" customHeight="false" outlineLevel="0" collapsed="false">
      <c r="A460" s="5" t="n">
        <v>5</v>
      </c>
      <c r="B460" s="25" t="n">
        <f aca="false">IF(T459&gt;0,B459,D459)</f>
        <v>0.0625</v>
      </c>
      <c r="C460" s="25" t="n">
        <f aca="false">IF(T459&gt;0,D459,C459)</f>
        <v>0.15625</v>
      </c>
      <c r="D460" s="41" t="n">
        <f aca="false">(B460+C460)/2</f>
        <v>0.109375</v>
      </c>
      <c r="E460" s="15" t="n">
        <f aca="false">$C$2*(1+IF(E$3&lt;=$O$2,$D460,$D460-($D460-$I$454)*MIN(E$3-$O$2,$Q$2)/$Q$2))</f>
        <v>7144.375</v>
      </c>
      <c r="F460" s="15" t="n">
        <f aca="false">E460*(1+IF(F$3&lt;=$O$2,$D460,$D460-($D460-$I$454)*MIN(F$3-$O$2,$Q$2)/$Q$2))</f>
        <v>7925.791015625</v>
      </c>
      <c r="G460" s="15" t="n">
        <f aca="false">F460*(1+IF(G$3&lt;=$O$2,$D460,$D460-($D460-$I$454)*MIN(G$3-$O$2,$Q$2)/$Q$2))</f>
        <v>8792.67440795898</v>
      </c>
      <c r="H460" s="15" t="n">
        <f aca="false">G460*(1+IF(H$3&lt;=$O$2,$D460,$D460-($D460-$I$454)*MIN(H$3-$O$2,$Q$2)/$Q$2))</f>
        <v>9754.3731713295</v>
      </c>
      <c r="I460" s="15" t="n">
        <f aca="false">H460*(1+IF(I$3&lt;=$O$2,$D460,$D460-($D460-$I$454)*MIN(I$3-$O$2,$Q$2)/$Q$2))</f>
        <v>10821.2577369437</v>
      </c>
      <c r="J460" s="15" t="n">
        <f aca="false">I460*(1+IF(J$3&lt;=$O$2,$D460,$D460-($D460-$I$454)*MIN(J$3-$O$2,$Q$2)/$Q$2))</f>
        <v>11807.7235922434</v>
      </c>
      <c r="K460" s="15" t="n">
        <f aca="false">J460*(1+IF(K$3&lt;=$O$2,$D460,$D460-($D460-$I$454)*MIN(K$3-$O$2,$Q$2)/$Q$2))</f>
        <v>12669.0379896796</v>
      </c>
      <c r="L460" s="15" t="n">
        <f aca="false">K460*(1+IF(L$3&lt;=$O$2,$D460,$D460-($D460-$I$454)*MIN(L$3-$O$2,$Q$2)/$Q$2))</f>
        <v>13362.4144388548</v>
      </c>
      <c r="M460" s="15" t="n">
        <f aca="false">L460*(1+IF(M$3&lt;=$O$2,$D460,$D460-($D460-$I$454)*MIN(M$3-$O$2,$Q$2)/$Q$2))</f>
        <v>13850.3430020896</v>
      </c>
      <c r="N460" s="15" t="n">
        <f aca="false">M460*(1+IF(N$3&lt;=$O$2,$D460,$D460-($D460-$I$454)*MIN(N$3-$O$2,$Q$2)/$Q$2))</f>
        <v>14103.8042790278</v>
      </c>
      <c r="O460" s="15" t="n">
        <f aca="false">SUMPRODUCT(E460:N460,1/(1+$F$454)^$E$3:$N$3)*$E$2</f>
        <v>12762.676232605</v>
      </c>
      <c r="P460" s="15" t="n">
        <f aca="false">N460*$E$2*(1+$I$454)/($F$454-$I$454)/(1+$F$454)^$N$3</f>
        <v>13572.0275124872</v>
      </c>
      <c r="Q460" s="15" t="n">
        <f aca="false">O460+P460</f>
        <v>26334.7037450922</v>
      </c>
      <c r="R460" s="15" t="n">
        <f aca="false">Q460-$G$2+$I$2</f>
        <v>21034.8037450922</v>
      </c>
      <c r="S460" s="42" t="n">
        <f aca="false">R460/$K$2</f>
        <v>179.050082951074</v>
      </c>
      <c r="T460" s="43" t="n">
        <f aca="false">S460-$M$2</f>
        <v>31.8760958894469</v>
      </c>
    </row>
    <row r="461" customFormat="false" ht="15" hidden="false" customHeight="false" outlineLevel="0" collapsed="false">
      <c r="A461" s="5" t="n">
        <v>6</v>
      </c>
      <c r="B461" s="25" t="n">
        <f aca="false">IF(T460&gt;0,B460,D460)</f>
        <v>0.0625</v>
      </c>
      <c r="C461" s="25" t="n">
        <f aca="false">IF(T460&gt;0,D460,C460)</f>
        <v>0.109375</v>
      </c>
      <c r="D461" s="41" t="n">
        <f aca="false">(B461+C461)/2</f>
        <v>0.0859375</v>
      </c>
      <c r="E461" s="15" t="n">
        <f aca="false">$C$2*(1+IF(E$3&lt;=$O$2,$D461,$D461-($D461-$I$454)*MIN(E$3-$O$2,$Q$2)/$Q$2))</f>
        <v>6993.4375</v>
      </c>
      <c r="F461" s="15" t="n">
        <f aca="false">E461*(1+IF(F$3&lt;=$O$2,$D461,$D461-($D461-$I$454)*MIN(F$3-$O$2,$Q$2)/$Q$2))</f>
        <v>7594.43603515625</v>
      </c>
      <c r="G461" s="15" t="n">
        <f aca="false">F461*(1+IF(G$3&lt;=$O$2,$D461,$D461-($D461-$I$454)*MIN(G$3-$O$2,$Q$2)/$Q$2))</f>
        <v>8247.08288192749</v>
      </c>
      <c r="H461" s="15" t="n">
        <f aca="false">G461*(1+IF(H$3&lt;=$O$2,$D461,$D461-($D461-$I$454)*MIN(H$3-$O$2,$Q$2)/$Q$2))</f>
        <v>8955.81656709313</v>
      </c>
      <c r="I461" s="15" t="n">
        <f aca="false">H461*(1+IF(I$3&lt;=$O$2,$D461,$D461-($D461-$I$454)*MIN(I$3-$O$2,$Q$2)/$Q$2))</f>
        <v>9725.4570533277</v>
      </c>
      <c r="J461" s="15" t="n">
        <f aca="false">I461*(1+IF(J$3&lt;=$O$2,$D461,$D461-($D461-$I$454)*MIN(J$3-$O$2,$Q$2)/$Q$2))</f>
        <v>10429.6773985592</v>
      </c>
      <c r="K461" s="15" t="n">
        <f aca="false">J461*(1+IF(K$3&lt;=$O$2,$D461,$D461-($D461-$I$454)*MIN(K$3-$O$2,$Q$2)/$Q$2))</f>
        <v>11043.8028779798</v>
      </c>
      <c r="L461" s="15" t="n">
        <f aca="false">K461*(1+IF(L$3&lt;=$O$2,$D461,$D461-($D461-$I$454)*MIN(L$3-$O$2,$Q$2)/$Q$2))</f>
        <v>11544.6945575106</v>
      </c>
      <c r="M461" s="15" t="n">
        <f aca="false">L461*(1+IF(M$3&lt;=$O$2,$D461,$D461-($D461-$I$454)*MIN(M$3-$O$2,$Q$2)/$Q$2))</f>
        <v>11912.1333235398</v>
      </c>
      <c r="N461" s="15" t="n">
        <f aca="false">M461*(1+IF(N$3&lt;=$O$2,$D461,$D461-($D461-$I$454)*MIN(N$3-$O$2,$Q$2)/$Q$2))</f>
        <v>12130.1253633605</v>
      </c>
      <c r="O461" s="15" t="n">
        <f aca="false">SUMPRODUCT(E461:N461,1/(1+$F$454)^$E$3:$N$3)*$E$2</f>
        <v>11543.4237357825</v>
      </c>
      <c r="P461" s="15" t="n">
        <f aca="false">N461*$E$2*(1+$I$454)/($F$454-$I$454)/(1+$F$454)^$N$3</f>
        <v>11672.7651564374</v>
      </c>
      <c r="Q461" s="15" t="n">
        <f aca="false">O461+P461</f>
        <v>23216.1888922199</v>
      </c>
      <c r="R461" s="15" t="n">
        <f aca="false">Q461-$G$2+$I$2</f>
        <v>17916.2888922199</v>
      </c>
      <c r="S461" s="42" t="n">
        <f aca="false">R461/$K$2</f>
        <v>152.505012701906</v>
      </c>
      <c r="T461" s="43" t="n">
        <f aca="false">S461-$M$2</f>
        <v>5.33102564027846</v>
      </c>
    </row>
    <row r="462" customFormat="false" ht="15" hidden="false" customHeight="false" outlineLevel="0" collapsed="false">
      <c r="A462" s="5" t="n">
        <v>7</v>
      </c>
      <c r="B462" s="25" t="n">
        <f aca="false">IF(T461&gt;0,B461,D461)</f>
        <v>0.0625</v>
      </c>
      <c r="C462" s="25" t="n">
        <f aca="false">IF(T461&gt;0,D461,C461)</f>
        <v>0.0859375</v>
      </c>
      <c r="D462" s="41" t="n">
        <f aca="false">(B462+C462)/2</f>
        <v>0.07421875</v>
      </c>
      <c r="E462" s="15" t="n">
        <f aca="false">$C$2*(1+IF(E$3&lt;=$O$2,$D462,$D462-($D462-$I$454)*MIN(E$3-$O$2,$Q$2)/$Q$2))</f>
        <v>6917.96875</v>
      </c>
      <c r="F462" s="15" t="n">
        <f aca="false">E462*(1+IF(F$3&lt;=$O$2,$D462,$D462-($D462-$I$454)*MIN(F$3-$O$2,$Q$2)/$Q$2))</f>
        <v>7431.41174316406</v>
      </c>
      <c r="G462" s="15" t="n">
        <f aca="false">F462*(1+IF(G$3&lt;=$O$2,$D462,$D462-($D462-$I$454)*MIN(G$3-$O$2,$Q$2)/$Q$2))</f>
        <v>7982.96183347702</v>
      </c>
      <c r="H462" s="15" t="n">
        <f aca="false">G462*(1+IF(H$3&lt;=$O$2,$D462,$D462-($D462-$I$454)*MIN(H$3-$O$2,$Q$2)/$Q$2))</f>
        <v>8575.44728205539</v>
      </c>
      <c r="I462" s="15" t="n">
        <f aca="false">H462*(1+IF(I$3&lt;=$O$2,$D462,$D462-($D462-$I$454)*MIN(I$3-$O$2,$Q$2)/$Q$2))</f>
        <v>9211.90626002044</v>
      </c>
      <c r="J462" s="15" t="n">
        <f aca="false">I462*(1+IF(J$3&lt;=$O$2,$D462,$D462-($D462-$I$454)*MIN(J$3-$O$2,$Q$2)/$Q$2))</f>
        <v>9792.57877112083</v>
      </c>
      <c r="K462" s="15" t="n">
        <f aca="false">J462*(1+IF(K$3&lt;=$O$2,$D462,$D462-($D462-$I$454)*MIN(K$3-$O$2,$Q$2)/$Q$2))</f>
        <v>10300.3362211269</v>
      </c>
      <c r="L462" s="15" t="n">
        <f aca="false">K462*(1+IF(L$3&lt;=$O$2,$D462,$D462-($D462-$I$454)*MIN(L$3-$O$2,$Q$2)/$Q$2))</f>
        <v>10719.2251443996</v>
      </c>
      <c r="M462" s="15" t="n">
        <f aca="false">L462*(1+IF(M$3&lt;=$O$2,$D462,$D462-($D462-$I$454)*MIN(M$3-$O$2,$Q$2)/$Q$2))</f>
        <v>11035.2680987508</v>
      </c>
      <c r="N462" s="15" t="n">
        <f aca="false">M462*(1+IF(N$3&lt;=$O$2,$D462,$D462-($D462-$I$454)*MIN(N$3-$O$2,$Q$2)/$Q$2))</f>
        <v>11237.2135049579</v>
      </c>
      <c r="O462" s="15" t="n">
        <f aca="false">SUMPRODUCT(E462:N462,1/(1+$F$454)^$E$3:$N$3)*$E$2</f>
        <v>10978.2431396488</v>
      </c>
      <c r="P462" s="15" t="n">
        <f aca="false">N462*$E$2*(1+$I$454)/($F$454-$I$454)/(1+$F$454)^$N$3</f>
        <v>10813.5200854825</v>
      </c>
      <c r="Q462" s="15" t="n">
        <f aca="false">O462+P462</f>
        <v>21791.7632251313</v>
      </c>
      <c r="R462" s="15" t="n">
        <f aca="false">Q462-$G$2+$I$2</f>
        <v>16491.8632251313</v>
      </c>
      <c r="S462" s="42" t="n">
        <f aca="false">R462/$K$2</f>
        <v>140.380177265333</v>
      </c>
      <c r="T462" s="43" t="n">
        <f aca="false">S462-$M$2</f>
        <v>-6.79380979629431</v>
      </c>
    </row>
    <row r="463" customFormat="false" ht="15" hidden="false" customHeight="false" outlineLevel="0" collapsed="false">
      <c r="A463" s="5" t="n">
        <v>8</v>
      </c>
      <c r="B463" s="25" t="n">
        <f aca="false">IF(T462&gt;0,B462,D462)</f>
        <v>0.07421875</v>
      </c>
      <c r="C463" s="25" t="n">
        <f aca="false">IF(T462&gt;0,D462,C462)</f>
        <v>0.0859375</v>
      </c>
      <c r="D463" s="41" t="n">
        <f aca="false">(B463+C463)/2</f>
        <v>0.080078125</v>
      </c>
      <c r="E463" s="15" t="n">
        <f aca="false">$C$2*(1+IF(E$3&lt;=$O$2,$D463,$D463-($D463-$I$454)*MIN(E$3-$O$2,$Q$2)/$Q$2))</f>
        <v>6955.703125</v>
      </c>
      <c r="F463" s="15" t="n">
        <f aca="false">E463*(1+IF(F$3&lt;=$O$2,$D463,$D463-($D463-$I$454)*MIN(F$3-$O$2,$Q$2)/$Q$2))</f>
        <v>7512.70278930664</v>
      </c>
      <c r="G463" s="15" t="n">
        <f aca="false">F463*(1+IF(G$3&lt;=$O$2,$D463,$D463-($D463-$I$454)*MIN(G$3-$O$2,$Q$2)/$Q$2))</f>
        <v>8114.30594235659</v>
      </c>
      <c r="H463" s="15" t="n">
        <f aca="false">G463*(1+IF(H$3&lt;=$O$2,$D463,$D463-($D463-$I$454)*MIN(H$3-$O$2,$Q$2)/$Q$2))</f>
        <v>8764.08434789686</v>
      </c>
      <c r="I463" s="15" t="n">
        <f aca="false">H463*(1+IF(I$3&lt;=$O$2,$D463,$D463-($D463-$I$454)*MIN(I$3-$O$2,$Q$2)/$Q$2))</f>
        <v>9465.89578981829</v>
      </c>
      <c r="J463" s="15" t="n">
        <f aca="false">I463*(1+IF(J$3&lt;=$O$2,$D463,$D463-($D463-$I$454)*MIN(J$3-$O$2,$Q$2)/$Q$2))</f>
        <v>10106.9499174443</v>
      </c>
      <c r="K463" s="15" t="n">
        <f aca="false">J463*(1+IF(K$3&lt;=$O$2,$D463,$D463-($D463-$I$454)*MIN(K$3-$O$2,$Q$2)/$Q$2))</f>
        <v>10666.5401501547</v>
      </c>
      <c r="L463" s="15" t="n">
        <f aca="false">K463*(1+IF(L$3&lt;=$O$2,$D463,$D463-($D463-$I$454)*MIN(L$3-$O$2,$Q$2)/$Q$2))</f>
        <v>11125.321375188</v>
      </c>
      <c r="M463" s="15" t="n">
        <f aca="false">L463*(1+IF(M$3&lt;=$O$2,$D463,$D463-($D463-$I$454)*MIN(M$3-$O$2,$Q$2)/$Q$2))</f>
        <v>11466.3750552702</v>
      </c>
      <c r="N463" s="15" t="n">
        <f aca="false">M463*(1+IF(N$3&lt;=$O$2,$D463,$D463-($D463-$I$454)*MIN(N$3-$O$2,$Q$2)/$Q$2))</f>
        <v>11676.2097187817</v>
      </c>
      <c r="O463" s="15" t="n">
        <f aca="false">SUMPRODUCT(E463:N463,1/(1+$F$454)^$E$3:$N$3)*$E$2</f>
        <v>11257.2728181834</v>
      </c>
      <c r="P463" s="15" t="n">
        <f aca="false">N463*$E$2*(1+$I$454)/($F$454-$I$454)/(1+$F$454)^$N$3</f>
        <v>11235.9641703564</v>
      </c>
      <c r="Q463" s="15" t="n">
        <f aca="false">O463+P463</f>
        <v>22493.2369885398</v>
      </c>
      <c r="R463" s="15" t="n">
        <f aca="false">Q463-$G$2+$I$2</f>
        <v>17193.3369885398</v>
      </c>
      <c r="S463" s="42" t="n">
        <f aca="false">R463/$K$2</f>
        <v>146.351183082565</v>
      </c>
      <c r="T463" s="43" t="n">
        <f aca="false">S463-$M$2</f>
        <v>-0.8228039790624</v>
      </c>
    </row>
    <row r="464" customFormat="false" ht="15" hidden="false" customHeight="false" outlineLevel="0" collapsed="false">
      <c r="A464" s="5" t="n">
        <v>9</v>
      </c>
      <c r="B464" s="25" t="n">
        <f aca="false">IF(T463&gt;0,B463,D463)</f>
        <v>0.080078125</v>
      </c>
      <c r="C464" s="25" t="n">
        <f aca="false">IF(T463&gt;0,D463,C463)</f>
        <v>0.0859375</v>
      </c>
      <c r="D464" s="41" t="n">
        <f aca="false">(B464+C464)/2</f>
        <v>0.0830078125</v>
      </c>
      <c r="E464" s="15" t="n">
        <f aca="false">$C$2*(1+IF(E$3&lt;=$O$2,$D464,$D464-($D464-$I$454)*MIN(E$3-$O$2,$Q$2)/$Q$2))</f>
        <v>6974.5703125</v>
      </c>
      <c r="F464" s="15" t="n">
        <f aca="false">E464*(1+IF(F$3&lt;=$O$2,$D464,$D464-($D464-$I$454)*MIN(F$3-$O$2,$Q$2)/$Q$2))</f>
        <v>7553.51413726807</v>
      </c>
      <c r="G464" s="15" t="n">
        <f aca="false">F464*(1+IF(G$3&lt;=$O$2,$D464,$D464-($D464-$I$454)*MIN(G$3-$O$2,$Q$2)/$Q$2))</f>
        <v>8180.51482249051</v>
      </c>
      <c r="H464" s="15" t="n">
        <f aca="false">G464*(1+IF(H$3&lt;=$O$2,$D464,$D464-($D464-$I$454)*MIN(H$3-$O$2,$Q$2)/$Q$2))</f>
        <v>8859.56146302928</v>
      </c>
      <c r="I464" s="15" t="n">
        <f aca="false">H464*(1+IF(I$3&lt;=$O$2,$D464,$D464-($D464-$I$454)*MIN(I$3-$O$2,$Q$2)/$Q$2))</f>
        <v>9594.97427978464</v>
      </c>
      <c r="J464" s="15" t="n">
        <f aca="false">I464*(1+IF(J$3&lt;=$O$2,$D464,$D464-($D464-$I$454)*MIN(J$3-$O$2,$Q$2)/$Q$2))</f>
        <v>10267.2581464156</v>
      </c>
      <c r="K464" s="15" t="n">
        <f aca="false">J464*(1+IF(K$3&lt;=$O$2,$D464,$D464-($D464-$I$454)*MIN(K$3-$O$2,$Q$2)/$Q$2))</f>
        <v>10853.7720595114</v>
      </c>
      <c r="L464" s="15" t="n">
        <f aca="false">K464*(1+IF(L$3&lt;=$O$2,$D464,$D464-($D464-$I$454)*MIN(L$3-$O$2,$Q$2)/$Q$2))</f>
        <v>11333.3256271383</v>
      </c>
      <c r="M464" s="15" t="n">
        <f aca="false">L464*(1+IF(M$3&lt;=$O$2,$D464,$D464-($D464-$I$454)*MIN(M$3-$O$2,$Q$2)/$Q$2))</f>
        <v>11687.3964280514</v>
      </c>
      <c r="N464" s="15" t="n">
        <f aca="false">M464*(1+IF(N$3&lt;=$O$2,$D464,$D464-($D464-$I$454)*MIN(N$3-$O$2,$Q$2)/$Q$2))</f>
        <v>11901.2757826848</v>
      </c>
      <c r="O464" s="15" t="n">
        <f aca="false">SUMPRODUCT(E464:N464,1/(1+$F$454)^$E$3:$N$3)*$E$2</f>
        <v>11399.4476284982</v>
      </c>
      <c r="P464" s="15" t="n">
        <f aca="false">N464*$E$2*(1+$I$454)/($F$454-$I$454)/(1+$F$454)^$N$3</f>
        <v>11452.5442327983</v>
      </c>
      <c r="Q464" s="15" t="n">
        <f aca="false">O464+P464</f>
        <v>22851.9918612965</v>
      </c>
      <c r="R464" s="15" t="n">
        <f aca="false">Q464-$G$2+$I$2</f>
        <v>17552.0918612965</v>
      </c>
      <c r="S464" s="42" t="n">
        <f aca="false">R464/$K$2</f>
        <v>149.404935829899</v>
      </c>
      <c r="T464" s="43" t="n">
        <f aca="false">S464-$M$2</f>
        <v>2.23094876827102</v>
      </c>
    </row>
    <row r="465" customFormat="false" ht="15" hidden="false" customHeight="false" outlineLevel="0" collapsed="false">
      <c r="A465" s="5" t="n">
        <v>10</v>
      </c>
      <c r="B465" s="25" t="n">
        <f aca="false">IF(T464&gt;0,B464,D464)</f>
        <v>0.080078125</v>
      </c>
      <c r="C465" s="25" t="n">
        <f aca="false">IF(T464&gt;0,D464,C464)</f>
        <v>0.0830078125</v>
      </c>
      <c r="D465" s="41" t="n">
        <f aca="false">(B465+C465)/2</f>
        <v>0.08154296875</v>
      </c>
      <c r="E465" s="15" t="n">
        <f aca="false">$C$2*(1+IF(E$3&lt;=$O$2,$D465,$D465-($D465-$I$454)*MIN(E$3-$O$2,$Q$2)/$Q$2))</f>
        <v>6965.13671875</v>
      </c>
      <c r="F465" s="15" t="n">
        <f aca="false">E465*(1+IF(F$3&lt;=$O$2,$D465,$D465-($D465-$I$454)*MIN(F$3-$O$2,$Q$2)/$Q$2))</f>
        <v>7533.09464454651</v>
      </c>
      <c r="G465" s="15" t="n">
        <f aca="false">F465*(1+IF(G$3&lt;=$O$2,$D465,$D465-($D465-$I$454)*MIN(G$3-$O$2,$Q$2)/$Q$2))</f>
        <v>8147.36554573756</v>
      </c>
      <c r="H465" s="15" t="n">
        <f aca="false">G465*(1+IF(H$3&lt;=$O$2,$D465,$D465-($D465-$I$454)*MIN(H$3-$O$2,$Q$2)/$Q$2))</f>
        <v>8811.72591982846</v>
      </c>
      <c r="I465" s="15" t="n">
        <f aca="false">H465*(1+IF(I$3&lt;=$O$2,$D465,$D465-($D465-$I$454)*MIN(I$3-$O$2,$Q$2)/$Q$2))</f>
        <v>9530.2602111426</v>
      </c>
      <c r="J465" s="15" t="n">
        <f aca="false">I465*(1+IF(J$3&lt;=$O$2,$D465,$D465-($D465-$I$454)*MIN(J$3-$O$2,$Q$2)/$Q$2))</f>
        <v>10186.8415319766</v>
      </c>
      <c r="K465" s="15" t="n">
        <f aca="false">J465*(1+IF(K$3&lt;=$O$2,$D465,$D465-($D465-$I$454)*MIN(K$3-$O$2,$Q$2)/$Q$2))</f>
        <v>10759.8083924126</v>
      </c>
      <c r="L465" s="15" t="n">
        <f aca="false">K465*(1+IF(L$3&lt;=$O$2,$D465,$D465-($D465-$I$454)*MIN(L$3-$O$2,$Q$2)/$Q$2))</f>
        <v>11228.9057763607</v>
      </c>
      <c r="M465" s="15" t="n">
        <f aca="false">L465*(1+IF(M$3&lt;=$O$2,$D465,$D465-($D465-$I$454)*MIN(M$3-$O$2,$Q$2)/$Q$2))</f>
        <v>11576.4246194903</v>
      </c>
      <c r="N465" s="15" t="n">
        <f aca="false">M465*(1+IF(N$3&lt;=$O$2,$D465,$D465-($D465-$I$454)*MIN(N$3-$O$2,$Q$2)/$Q$2))</f>
        <v>11788.273190027</v>
      </c>
      <c r="O465" s="15" t="n">
        <f aca="false">SUMPRODUCT(E465:N465,1/(1+$F$454)^$E$3:$N$3)*$E$2</f>
        <v>11328.1363813001</v>
      </c>
      <c r="P465" s="15" t="n">
        <f aca="false">N465*$E$2*(1+$I$454)/($F$454-$I$454)/(1+$F$454)^$N$3</f>
        <v>11343.8023454187</v>
      </c>
      <c r="Q465" s="15" t="n">
        <f aca="false">O465+P465</f>
        <v>22671.9387267187</v>
      </c>
      <c r="R465" s="15" t="n">
        <f aca="false">Q465-$G$2+$I$2</f>
        <v>17372.0387267187</v>
      </c>
      <c r="S465" s="42" t="n">
        <f aca="false">R465/$K$2</f>
        <v>147.872307854262</v>
      </c>
      <c r="T465" s="43" t="n">
        <f aca="false">S465-$M$2</f>
        <v>0.698320792634831</v>
      </c>
    </row>
    <row r="466" customFormat="false" ht="15" hidden="false" customHeight="false" outlineLevel="0" collapsed="false">
      <c r="A466" s="5" t="n">
        <v>11</v>
      </c>
      <c r="B466" s="25" t="n">
        <f aca="false">IF(T465&gt;0,B465,D465)</f>
        <v>0.080078125</v>
      </c>
      <c r="C466" s="25" t="n">
        <f aca="false">IF(T465&gt;0,D465,C465)</f>
        <v>0.08154296875</v>
      </c>
      <c r="D466" s="41" t="n">
        <f aca="false">(B466+C466)/2</f>
        <v>0.080810546875</v>
      </c>
      <c r="E466" s="15" t="n">
        <f aca="false">$C$2*(1+IF(E$3&lt;=$O$2,$D466,$D466-($D466-$I$454)*MIN(E$3-$O$2,$Q$2)/$Q$2))</f>
        <v>6960.419921875</v>
      </c>
      <c r="F466" s="15" t="n">
        <f aca="false">E466*(1+IF(F$3&lt;=$O$2,$D466,$D466-($D466-$I$454)*MIN(F$3-$O$2,$Q$2)/$Q$2))</f>
        <v>7522.89526224136</v>
      </c>
      <c r="G466" s="15" t="n">
        <f aca="false">F466*(1+IF(G$3&lt;=$O$2,$D466,$D466-($D466-$I$454)*MIN(G$3-$O$2,$Q$2)/$Q$2))</f>
        <v>8130.82454246644</v>
      </c>
      <c r="H466" s="15" t="n">
        <f aca="false">G466*(1+IF(H$3&lt;=$O$2,$D466,$D466-($D466-$I$454)*MIN(H$3-$O$2,$Q$2)/$Q$2))</f>
        <v>8787.88092028782</v>
      </c>
      <c r="I466" s="15" t="n">
        <f aca="false">H466*(1+IF(I$3&lt;=$O$2,$D466,$D466-($D466-$I$454)*MIN(I$3-$O$2,$Q$2)/$Q$2))</f>
        <v>9498.03438332866</v>
      </c>
      <c r="J466" s="15" t="n">
        <f aca="false">I466*(1+IF(J$3&lt;=$O$2,$D466,$D466-($D466-$I$454)*MIN(J$3-$O$2,$Q$2)/$Q$2))</f>
        <v>10146.8302713751</v>
      </c>
      <c r="K466" s="15" t="n">
        <f aca="false">J466*(1+IF(K$3&lt;=$O$2,$D466,$D466-($D466-$I$454)*MIN(K$3-$O$2,$Q$2)/$Q$2))</f>
        <v>10713.0876109282</v>
      </c>
      <c r="L466" s="15" t="n">
        <f aca="false">K466*(1+IF(L$3&lt;=$O$2,$D466,$D466-($D466-$I$454)*MIN(L$3-$O$2,$Q$2)/$Q$2))</f>
        <v>11177.0095003197</v>
      </c>
      <c r="M466" s="15" t="n">
        <f aca="false">L466*(1+IF(M$3&lt;=$O$2,$D466,$D466-($D466-$I$454)*MIN(M$3-$O$2,$Q$2)/$Q$2))</f>
        <v>11521.284969434</v>
      </c>
      <c r="N466" s="15" t="n">
        <f aca="false">M466*(1+IF(N$3&lt;=$O$2,$D466,$D466-($D466-$I$454)*MIN(N$3-$O$2,$Q$2)/$Q$2))</f>
        <v>11732.1244843746</v>
      </c>
      <c r="O466" s="15" t="n">
        <f aca="false">SUMPRODUCT(E466:N466,1/(1+$F$454)^$E$3:$N$3)*$E$2</f>
        <v>11292.6488035055</v>
      </c>
      <c r="P466" s="15" t="n">
        <f aca="false">N466*$E$2*(1+$I$454)/($F$454-$I$454)/(1+$F$454)^$N$3</f>
        <v>11289.7706981533</v>
      </c>
      <c r="Q466" s="15" t="n">
        <f aca="false">O466+P466</f>
        <v>22582.4195016588</v>
      </c>
      <c r="R466" s="15" t="n">
        <f aca="false">Q466-$G$2+$I$2</f>
        <v>17282.5195016588</v>
      </c>
      <c r="S466" s="42" t="n">
        <f aca="false">R466/$K$2</f>
        <v>147.110312407719</v>
      </c>
      <c r="T466" s="43" t="n">
        <f aca="false">S466-$M$2</f>
        <v>-0.0636746539086914</v>
      </c>
    </row>
    <row r="467" customFormat="false" ht="15" hidden="false" customHeight="false" outlineLevel="0" collapsed="false">
      <c r="A467" s="5" t="n">
        <v>12</v>
      </c>
      <c r="B467" s="25" t="n">
        <f aca="false">IF(T466&gt;0,B466,D466)</f>
        <v>0.080810546875</v>
      </c>
      <c r="C467" s="25" t="n">
        <f aca="false">IF(T466&gt;0,D466,C466)</f>
        <v>0.08154296875</v>
      </c>
      <c r="D467" s="41" t="n">
        <f aca="false">(B467+C467)/2</f>
        <v>0.0811767578125</v>
      </c>
      <c r="E467" s="15" t="n">
        <f aca="false">$C$2*(1+IF(E$3&lt;=$O$2,$D467,$D467-($D467-$I$454)*MIN(E$3-$O$2,$Q$2)/$Q$2))</f>
        <v>6962.7783203125</v>
      </c>
      <c r="F467" s="15" t="n">
        <f aca="false">E467*(1+IF(F$3&lt;=$O$2,$D467,$D467-($D467-$I$454)*MIN(F$3-$O$2,$Q$2)/$Q$2))</f>
        <v>7527.99408972263</v>
      </c>
      <c r="G467" s="15" t="n">
        <f aca="false">F467*(1+IF(G$3&lt;=$O$2,$D467,$D467-($D467-$I$454)*MIN(G$3-$O$2,$Q$2)/$Q$2))</f>
        <v>8139.09224275798</v>
      </c>
      <c r="H467" s="15" t="n">
        <f aca="false">G467*(1+IF(H$3&lt;=$O$2,$D467,$D467-($D467-$I$454)*MIN(H$3-$O$2,$Q$2)/$Q$2))</f>
        <v>8799.79736256194</v>
      </c>
      <c r="I467" s="15" t="n">
        <f aca="false">H467*(1+IF(I$3&lt;=$O$2,$D467,$D467-($D467-$I$454)*MIN(I$3-$O$2,$Q$2)/$Q$2))</f>
        <v>9514.13638186171</v>
      </c>
      <c r="J467" s="15" t="n">
        <f aca="false">I467*(1+IF(J$3&lt;=$O$2,$D467,$D467-($D467-$I$454)*MIN(J$3-$O$2,$Q$2)/$Q$2))</f>
        <v>10166.8195169117</v>
      </c>
      <c r="K467" s="15" t="n">
        <f aca="false">J467*(1+IF(K$3&lt;=$O$2,$D467,$D467-($D467-$I$454)*MIN(K$3-$O$2,$Q$2)/$Q$2))</f>
        <v>10736.4263031641</v>
      </c>
      <c r="L467" s="15" t="n">
        <f aca="false">K467*(1+IF(L$3&lt;=$O$2,$D467,$D467-($D467-$I$454)*MIN(L$3-$O$2,$Q$2)/$Q$2))</f>
        <v>11202.9315750864</v>
      </c>
      <c r="M467" s="15" t="n">
        <f aca="false">L467*(1+IF(M$3&lt;=$O$2,$D467,$D467-($D467-$I$454)*MIN(M$3-$O$2,$Q$2)/$Q$2))</f>
        <v>11548.8260259978</v>
      </c>
      <c r="N467" s="15" t="n">
        <f aca="false">M467*(1+IF(N$3&lt;=$O$2,$D467,$D467-($D467-$I$454)*MIN(N$3-$O$2,$Q$2)/$Q$2))</f>
        <v>11760.1695422736</v>
      </c>
      <c r="O467" s="15" t="n">
        <f aca="false">SUMPRODUCT(E467:N467,1/(1+$F$454)^$E$3:$N$3)*$E$2</f>
        <v>11310.3786228423</v>
      </c>
      <c r="P467" s="15" t="n">
        <f aca="false">N467*$E$2*(1+$I$454)/($F$454-$I$454)/(1+$F$454)^$N$3</f>
        <v>11316.7583314091</v>
      </c>
      <c r="Q467" s="15" t="n">
        <f aca="false">O467+P467</f>
        <v>22627.1369542513</v>
      </c>
      <c r="R467" s="15" t="n">
        <f aca="false">Q467-$G$2+$I$2</f>
        <v>17327.2369542513</v>
      </c>
      <c r="S467" s="42" t="n">
        <f aca="false">R467/$K$2</f>
        <v>147.490951261928</v>
      </c>
      <c r="T467" s="43" t="n">
        <f aca="false">S467-$M$2</f>
        <v>0.316964200300816</v>
      </c>
    </row>
    <row r="468" customFormat="false" ht="15" hidden="false" customHeight="false" outlineLevel="0" collapsed="false">
      <c r="A468" s="5" t="n">
        <v>13</v>
      </c>
      <c r="B468" s="25" t="n">
        <f aca="false">IF(T467&gt;0,B467,D467)</f>
        <v>0.080810546875</v>
      </c>
      <c r="C468" s="25" t="n">
        <f aca="false">IF(T467&gt;0,D467,C467)</f>
        <v>0.0811767578125</v>
      </c>
      <c r="D468" s="41" t="n">
        <f aca="false">(B468+C468)/2</f>
        <v>0.08099365234375</v>
      </c>
      <c r="E468" s="15" t="n">
        <f aca="false">$C$2*(1+IF(E$3&lt;=$O$2,$D468,$D468-($D468-$I$454)*MIN(E$3-$O$2,$Q$2)/$Q$2))</f>
        <v>6961.59912109375</v>
      </c>
      <c r="F468" s="15" t="n">
        <f aca="false">E468*(1+IF(F$3&lt;=$O$2,$D468,$D468-($D468-$I$454)*MIN(F$3-$O$2,$Q$2)/$Q$2))</f>
        <v>7525.44446006417</v>
      </c>
      <c r="G468" s="15" t="n">
        <f aca="false">F468*(1+IF(G$3&lt;=$O$2,$D468,$D468-($D468-$I$454)*MIN(G$3-$O$2,$Q$2)/$Q$2))</f>
        <v>8134.95769239481</v>
      </c>
      <c r="H468" s="15" t="n">
        <f aca="false">G468*(1+IF(H$3&lt;=$O$2,$D468,$D468-($D468-$I$454)*MIN(H$3-$O$2,$Q$2)/$Q$2))</f>
        <v>8793.83762756375</v>
      </c>
      <c r="I468" s="15" t="n">
        <f aca="false">H468*(1+IF(I$3&lt;=$O$2,$D468,$D468-($D468-$I$454)*MIN(I$3-$O$2,$Q$2)/$Q$2))</f>
        <v>9506.08265513803</v>
      </c>
      <c r="J468" s="15" t="n">
        <f aca="false">I468*(1+IF(J$3&lt;=$O$2,$D468,$D468-($D468-$I$454)*MIN(J$3-$O$2,$Q$2)/$Q$2))</f>
        <v>10156.8208006328</v>
      </c>
      <c r="K468" s="15" t="n">
        <f aca="false">J468*(1+IF(K$3&lt;=$O$2,$D468,$D468-($D468-$I$454)*MIN(K$3-$O$2,$Q$2)/$Q$2))</f>
        <v>10724.7515366</v>
      </c>
      <c r="L468" s="15" t="n">
        <f aca="false">K468*(1+IF(L$3&lt;=$O$2,$D468,$D468-($D468-$I$454)*MIN(L$3-$O$2,$Q$2)/$Q$2))</f>
        <v>11189.9640274432</v>
      </c>
      <c r="M468" s="15" t="n">
        <f aca="false">L468*(1+IF(M$3&lt;=$O$2,$D468,$D468-($D468-$I$454)*MIN(M$3-$O$2,$Q$2)/$Q$2))</f>
        <v>11535.0483120406</v>
      </c>
      <c r="N468" s="15" t="n">
        <f aca="false">M468*(1+IF(N$3&lt;=$O$2,$D468,$D468-($D468-$I$454)*MIN(N$3-$O$2,$Q$2)/$Q$2))</f>
        <v>11746.1396961509</v>
      </c>
      <c r="O468" s="15" t="n">
        <f aca="false">SUMPRODUCT(E468:N468,1/(1+$F$454)^$E$3:$N$3)*$E$2</f>
        <v>11301.5102233485</v>
      </c>
      <c r="P468" s="15" t="n">
        <f aca="false">N468*$E$2*(1+$I$454)/($F$454-$I$454)/(1+$F$454)^$N$3</f>
        <v>11303.2574734983</v>
      </c>
      <c r="Q468" s="15" t="n">
        <f aca="false">O468+P468</f>
        <v>22604.7676968468</v>
      </c>
      <c r="R468" s="15" t="n">
        <f aca="false">Q468-$G$2+$I$2</f>
        <v>17304.8676968468</v>
      </c>
      <c r="S468" s="42" t="n">
        <f aca="false">R468/$K$2</f>
        <v>147.300542193112</v>
      </c>
      <c r="T468" s="43" t="n">
        <f aca="false">S468-$M$2</f>
        <v>0.126555131484338</v>
      </c>
    </row>
    <row r="469" customFormat="false" ht="15" hidden="false" customHeight="false" outlineLevel="0" collapsed="false">
      <c r="A469" s="5" t="n">
        <v>14</v>
      </c>
      <c r="B469" s="25" t="n">
        <f aca="false">IF(T468&gt;0,B468,D468)</f>
        <v>0.080810546875</v>
      </c>
      <c r="C469" s="25" t="n">
        <f aca="false">IF(T468&gt;0,D468,C468)</f>
        <v>0.08099365234375</v>
      </c>
      <c r="D469" s="41" t="n">
        <f aca="false">(B469+C469)/2</f>
        <v>0.080902099609375</v>
      </c>
      <c r="E469" s="15" t="n">
        <f aca="false">$C$2*(1+IF(E$3&lt;=$O$2,$D469,$D469-($D469-$I$454)*MIN(E$3-$O$2,$Q$2)/$Q$2))</f>
        <v>6961.00952148438</v>
      </c>
      <c r="F469" s="15" t="n">
        <f aca="false">E469*(1+IF(F$3&lt;=$O$2,$D469,$D469-($D469-$I$454)*MIN(F$3-$O$2,$Q$2)/$Q$2))</f>
        <v>7524.16980717331</v>
      </c>
      <c r="G469" s="15" t="n">
        <f aca="false">F469*(1+IF(G$3&lt;=$O$2,$D469,$D469-($D469-$I$454)*MIN(G$3-$O$2,$Q$2)/$Q$2))</f>
        <v>8132.8909423911</v>
      </c>
      <c r="H469" s="15" t="n">
        <f aca="false">G469*(1+IF(H$3&lt;=$O$2,$D469,$D469-($D469-$I$454)*MIN(H$3-$O$2,$Q$2)/$Q$2))</f>
        <v>8790.85889552461</v>
      </c>
      <c r="I469" s="15" t="n">
        <f aca="false">H469*(1+IF(I$3&lt;=$O$2,$D469,$D469-($D469-$I$454)*MIN(I$3-$O$2,$Q$2)/$Q$2))</f>
        <v>9502.0578375423</v>
      </c>
      <c r="J469" s="15" t="n">
        <f aca="false">I469*(1+IF(J$3&lt;=$O$2,$D469,$D469-($D469-$I$454)*MIN(J$3-$O$2,$Q$2)/$Q$2))</f>
        <v>10151.8245129612</v>
      </c>
      <c r="K469" s="15" t="n">
        <f aca="false">J469*(1+IF(K$3&lt;=$O$2,$D469,$D469-($D469-$I$454)*MIN(K$3-$O$2,$Q$2)/$Q$2))</f>
        <v>10718.9182191748</v>
      </c>
      <c r="L469" s="15" t="n">
        <f aca="false">K469*(1+IF(L$3&lt;=$O$2,$D469,$D469-($D469-$I$454)*MIN(L$3-$O$2,$Q$2)/$Q$2))</f>
        <v>11183.4851370103</v>
      </c>
      <c r="M469" s="15" t="n">
        <f aca="false">L469*(1+IF(M$3&lt;=$O$2,$D469,$D469-($D469-$I$454)*MIN(M$3-$O$2,$Q$2)/$Q$2))</f>
        <v>11528.164845123</v>
      </c>
      <c r="N469" s="15" t="n">
        <f aca="false">M469*(1+IF(N$3&lt;=$O$2,$D469,$D469-($D469-$I$454)*MIN(N$3-$O$2,$Q$2)/$Q$2))</f>
        <v>11739.1302617887</v>
      </c>
      <c r="O469" s="15" t="n">
        <f aca="false">SUMPRODUCT(E469:N469,1/(1+$F$454)^$E$3:$N$3)*$E$2</f>
        <v>11297.0786412911</v>
      </c>
      <c r="P469" s="15" t="n">
        <f aca="false">N469*$E$2*(1+$I$454)/($F$454-$I$454)/(1+$F$454)^$N$3</f>
        <v>11296.5123262935</v>
      </c>
      <c r="Q469" s="15" t="n">
        <f aca="false">O469+P469</f>
        <v>22593.5909675845</v>
      </c>
      <c r="R469" s="15" t="n">
        <f aca="false">Q469-$G$2+$I$2</f>
        <v>17293.6909675845</v>
      </c>
      <c r="S469" s="42" t="n">
        <f aca="false">R469/$K$2</f>
        <v>147.205404899426</v>
      </c>
      <c r="T469" s="43" t="n">
        <f aca="false">S469-$M$2</f>
        <v>0.0314178377982444</v>
      </c>
    </row>
    <row r="470" customFormat="false" ht="15" hidden="false" customHeight="false" outlineLevel="0" collapsed="false">
      <c r="A470" s="5" t="n">
        <v>15</v>
      </c>
      <c r="B470" s="25" t="n">
        <f aca="false">IF(T469&gt;0,B469,D469)</f>
        <v>0.080810546875</v>
      </c>
      <c r="C470" s="25" t="n">
        <f aca="false">IF(T469&gt;0,D469,C469)</f>
        <v>0.080902099609375</v>
      </c>
      <c r="D470" s="41" t="n">
        <f aca="false">(B470+C470)/2</f>
        <v>0.0808563232421875</v>
      </c>
      <c r="E470" s="15" t="n">
        <f aca="false">$C$2*(1+IF(E$3&lt;=$O$2,$D470,$D470-($D470-$I$454)*MIN(E$3-$O$2,$Q$2)/$Q$2))</f>
        <v>6960.71472167969</v>
      </c>
      <c r="F470" s="15" t="n">
        <f aca="false">E470*(1+IF(F$3&lt;=$O$2,$D470,$D470-($D470-$I$454)*MIN(F$3-$O$2,$Q$2)/$Q$2))</f>
        <v>7523.53252121247</v>
      </c>
      <c r="G470" s="15" t="n">
        <f aca="false">F470*(1+IF(G$3&lt;=$O$2,$D470,$D470-($D470-$I$454)*MIN(G$3-$O$2,$Q$2)/$Q$2))</f>
        <v>8131.85769867074</v>
      </c>
      <c r="H470" s="15" t="n">
        <f aca="false">G470*(1+IF(H$3&lt;=$O$2,$D470,$D470-($D470-$I$454)*MIN(H$3-$O$2,$Q$2)/$Q$2))</f>
        <v>8789.36981331393</v>
      </c>
      <c r="I470" s="15" t="n">
        <f aca="false">H470*(1+IF(I$3&lt;=$O$2,$D470,$D470-($D470-$I$454)*MIN(I$3-$O$2,$Q$2)/$Q$2))</f>
        <v>9500.04594003437</v>
      </c>
      <c r="J470" s="15" t="n">
        <f aca="false">I470*(1+IF(J$3&lt;=$O$2,$D470,$D470-($D470-$I$454)*MIN(J$3-$O$2,$Q$2)/$Q$2))</f>
        <v>10149.3271364493</v>
      </c>
      <c r="K470" s="15" t="n">
        <f aca="false">J470*(1+IF(K$3&lt;=$O$2,$D470,$D470-($D470-$I$454)*MIN(K$3-$O$2,$Q$2)/$Q$2))</f>
        <v>10716.0025764694</v>
      </c>
      <c r="L470" s="15" t="n">
        <f aca="false">K470*(1+IF(L$3&lt;=$O$2,$D470,$D470-($D470-$I$454)*MIN(L$3-$O$2,$Q$2)/$Q$2))</f>
        <v>11180.2469120339</v>
      </c>
      <c r="M470" s="15" t="n">
        <f aca="false">L470*(1+IF(M$3&lt;=$O$2,$D470,$D470-($D470-$I$454)*MIN(M$3-$O$2,$Q$2)/$Q$2))</f>
        <v>11524.7244584755</v>
      </c>
      <c r="N470" s="15" t="n">
        <f aca="false">M470*(1+IF(N$3&lt;=$O$2,$D470,$D470-($D470-$I$454)*MIN(N$3-$O$2,$Q$2)/$Q$2))</f>
        <v>11735.6269160656</v>
      </c>
      <c r="O470" s="15" t="n">
        <f aca="false">SUMPRODUCT(E470:N470,1/(1+$F$454)^$E$3:$N$3)*$E$2</f>
        <v>11294.8635044044</v>
      </c>
      <c r="P470" s="15" t="n">
        <f aca="false">N470*$E$2*(1+$I$454)/($F$454-$I$454)/(1+$F$454)^$N$3</f>
        <v>11293.1410724388</v>
      </c>
      <c r="Q470" s="15" t="n">
        <f aca="false">O470+P470</f>
        <v>22588.0045768432</v>
      </c>
      <c r="R470" s="15" t="n">
        <f aca="false">Q470-$G$2+$I$2</f>
        <v>17288.1045768432</v>
      </c>
      <c r="S470" s="42" t="n">
        <f aca="false">R470/$K$2</f>
        <v>147.157853054504</v>
      </c>
      <c r="T470" s="43" t="n">
        <f aca="false">S470-$M$2</f>
        <v>-0.0161340071232132</v>
      </c>
    </row>
    <row r="471" customFormat="false" ht="15" hidden="false" customHeight="false" outlineLevel="0" collapsed="false">
      <c r="A471" s="5" t="n">
        <v>16</v>
      </c>
      <c r="B471" s="25" t="n">
        <f aca="false">IF(T470&gt;0,B470,D470)</f>
        <v>0.0808563232421875</v>
      </c>
      <c r="C471" s="25" t="n">
        <f aca="false">IF(T470&gt;0,D470,C470)</f>
        <v>0.080902099609375</v>
      </c>
      <c r="D471" s="41" t="n">
        <f aca="false">(B471+C471)/2</f>
        <v>0.0808792114257813</v>
      </c>
      <c r="E471" s="15" t="n">
        <f aca="false">$C$2*(1+IF(E$3&lt;=$O$2,$D471,$D471-($D471-$I$454)*MIN(E$3-$O$2,$Q$2)/$Q$2))</f>
        <v>6960.86212158203</v>
      </c>
      <c r="F471" s="15" t="n">
        <f aca="false">E471*(1+IF(F$3&lt;=$O$2,$D471,$D471-($D471-$I$454)*MIN(F$3-$O$2,$Q$2)/$Q$2))</f>
        <v>7523.85116081918</v>
      </c>
      <c r="G471" s="15" t="n">
        <f aca="false">F471*(1+IF(G$3&lt;=$O$2,$D471,$D471-($D471-$I$454)*MIN(G$3-$O$2,$Q$2)/$Q$2))</f>
        <v>8132.37430959118</v>
      </c>
      <c r="H471" s="15" t="n">
        <f aca="false">G471*(1+IF(H$3&lt;=$O$2,$D471,$D471-($D471-$I$454)*MIN(H$3-$O$2,$Q$2)/$Q$2))</f>
        <v>8790.1143307702</v>
      </c>
      <c r="I471" s="15" t="n">
        <f aca="false">H471*(1+IF(I$3&lt;=$O$2,$D471,$D471-($D471-$I$454)*MIN(I$3-$O$2,$Q$2)/$Q$2))</f>
        <v>9501.05184618535</v>
      </c>
      <c r="J471" s="15" t="n">
        <f aca="false">I471*(1+IF(J$3&lt;=$O$2,$D471,$D471-($D471-$I$454)*MIN(J$3-$O$2,$Q$2)/$Q$2))</f>
        <v>10150.5757607703</v>
      </c>
      <c r="K471" s="15" t="n">
        <f aca="false">J471*(1+IF(K$3&lt;=$O$2,$D471,$D471-($D471-$I$454)*MIN(K$3-$O$2,$Q$2)/$Q$2))</f>
        <v>10717.4603131684</v>
      </c>
      <c r="L471" s="15" t="n">
        <f aca="false">K471*(1+IF(L$3&lt;=$O$2,$D471,$D471-($D471-$I$454)*MIN(L$3-$O$2,$Q$2)/$Q$2))</f>
        <v>11181.8659228535</v>
      </c>
      <c r="M471" s="15" t="n">
        <f aca="false">L471*(1+IF(M$3&lt;=$O$2,$D471,$D471-($D471-$I$454)*MIN(M$3-$O$2,$Q$2)/$Q$2))</f>
        <v>11526.4445395859</v>
      </c>
      <c r="N471" s="15" t="n">
        <f aca="false">M471*(1+IF(N$3&lt;=$O$2,$D471,$D471-($D471-$I$454)*MIN(N$3-$O$2,$Q$2)/$Q$2))</f>
        <v>11737.3784746603</v>
      </c>
      <c r="O471" s="15" t="n">
        <f aca="false">SUMPRODUCT(E471:N471,1/(1+$F$454)^$E$3:$N$3)*$E$2</f>
        <v>11295.9710183442</v>
      </c>
      <c r="P471" s="15" t="n">
        <f aca="false">N471*$E$2*(1+$I$454)/($F$454-$I$454)/(1+$F$454)^$N$3</f>
        <v>11294.8265894077</v>
      </c>
      <c r="Q471" s="15" t="n">
        <f aca="false">O471+P471</f>
        <v>22590.7976077519</v>
      </c>
      <c r="R471" s="15" t="n">
        <f aca="false">Q471-$G$2+$I$2</f>
        <v>17290.8976077519</v>
      </c>
      <c r="S471" s="42" t="n">
        <f aca="false">R471/$K$2</f>
        <v>147.181627577051</v>
      </c>
      <c r="T471" s="43" t="n">
        <f aca="false">S471-$M$2</f>
        <v>0.00764051542307698</v>
      </c>
    </row>
    <row r="472" customFormat="false" ht="15" hidden="false" customHeight="false" outlineLevel="0" collapsed="false">
      <c r="A472" s="5" t="n">
        <v>17</v>
      </c>
      <c r="B472" s="25" t="n">
        <f aca="false">IF(T471&gt;0,B471,D471)</f>
        <v>0.0808563232421875</v>
      </c>
      <c r="C472" s="25" t="n">
        <f aca="false">IF(T471&gt;0,D471,C471)</f>
        <v>0.0808792114257813</v>
      </c>
      <c r="D472" s="41" t="n">
        <f aca="false">(B472+C472)/2</f>
        <v>0.0808677673339844</v>
      </c>
      <c r="E472" s="15" t="n">
        <f aca="false">$C$2*(1+IF(E$3&lt;=$O$2,$D472,$D472-($D472-$I$454)*MIN(E$3-$O$2,$Q$2)/$Q$2))</f>
        <v>6960.78842163086</v>
      </c>
      <c r="F472" s="15" t="n">
        <f aca="false">E472*(1+IF(F$3&lt;=$O$2,$D472,$D472-($D472-$I$454)*MIN(F$3-$O$2,$Q$2)/$Q$2))</f>
        <v>7523.6918401724</v>
      </c>
      <c r="G472" s="15" t="n">
        <f aca="false">F472*(1+IF(G$3&lt;=$O$2,$D472,$D472-($D472-$I$454)*MIN(G$3-$O$2,$Q$2)/$Q$2))</f>
        <v>8132.11600139605</v>
      </c>
      <c r="H472" s="15" t="n">
        <f aca="false">G472*(1+IF(H$3&lt;=$O$2,$D472,$D472-($D472-$I$454)*MIN(H$3-$O$2,$Q$2)/$Q$2))</f>
        <v>8789.74206612992</v>
      </c>
      <c r="I472" s="15" t="n">
        <f aca="false">H472*(1+IF(I$3&lt;=$O$2,$D472,$D472-($D472-$I$454)*MIN(I$3-$O$2,$Q$2)/$Q$2))</f>
        <v>9500.54888245945</v>
      </c>
      <c r="J472" s="15" t="n">
        <f aca="false">I472*(1+IF(J$3&lt;=$O$2,$D472,$D472-($D472-$I$454)*MIN(J$3-$O$2,$Q$2)/$Q$2))</f>
        <v>10149.9514326268</v>
      </c>
      <c r="K472" s="15" t="n">
        <f aca="false">J472*(1+IF(K$3&lt;=$O$2,$D472,$D472-($D472-$I$454)*MIN(K$3-$O$2,$Q$2)/$Q$2))</f>
        <v>10716.7314236565</v>
      </c>
      <c r="L472" s="15" t="n">
        <f aca="false">K472*(1+IF(L$3&lt;=$O$2,$D472,$D472-($D472-$I$454)*MIN(L$3-$O$2,$Q$2)/$Q$2))</f>
        <v>11181.0563920279</v>
      </c>
      <c r="M472" s="15" t="n">
        <f aca="false">L472*(1+IF(M$3&lt;=$O$2,$D472,$D472-($D472-$I$454)*MIN(M$3-$O$2,$Q$2)/$Q$2))</f>
        <v>11525.5844709789</v>
      </c>
      <c r="N472" s="15" t="n">
        <f aca="false">M472*(1+IF(N$3&lt;=$O$2,$D472,$D472-($D472-$I$454)*MIN(N$3-$O$2,$Q$2)/$Q$2))</f>
        <v>11736.5026667978</v>
      </c>
      <c r="O472" s="15" t="n">
        <f aca="false">SUMPRODUCT(E472:N472,1/(1+$F$454)^$E$3:$N$3)*$E$2</f>
        <v>11295.417247749</v>
      </c>
      <c r="P472" s="15" t="n">
        <f aca="false">N472*$E$2*(1+$I$454)/($F$454-$I$454)/(1+$F$454)^$N$3</f>
        <v>11293.9838034352</v>
      </c>
      <c r="Q472" s="15" t="n">
        <f aca="false">O472+P472</f>
        <v>22589.4010511842</v>
      </c>
      <c r="R472" s="15" t="n">
        <f aca="false">Q472-$G$2+$I$2</f>
        <v>17289.5010511842</v>
      </c>
      <c r="S472" s="42" t="n">
        <f aca="false">R472/$K$2</f>
        <v>147.169739965817</v>
      </c>
      <c r="T472" s="43" t="n">
        <f aca="false">S472-$M$2</f>
        <v>-0.00424709581022853</v>
      </c>
    </row>
    <row r="473" customFormat="false" ht="15" hidden="false" customHeight="false" outlineLevel="0" collapsed="false">
      <c r="A473" s="5" t="n">
        <v>18</v>
      </c>
      <c r="B473" s="25" t="n">
        <f aca="false">IF(T472&gt;0,B472,D472)</f>
        <v>0.0808677673339844</v>
      </c>
      <c r="C473" s="25" t="n">
        <f aca="false">IF(T472&gt;0,D472,C472)</f>
        <v>0.0808792114257813</v>
      </c>
      <c r="D473" s="41" t="n">
        <f aca="false">(B473+C473)/2</f>
        <v>0.0808734893798828</v>
      </c>
      <c r="E473" s="15" t="n">
        <f aca="false">$C$2*(1+IF(E$3&lt;=$O$2,$D473,$D473-($D473-$I$454)*MIN(E$3-$O$2,$Q$2)/$Q$2))</f>
        <v>6960.82527160645</v>
      </c>
      <c r="F473" s="15" t="n">
        <f aca="false">E473*(1+IF(F$3&lt;=$O$2,$D473,$D473-($D473-$I$454)*MIN(F$3-$O$2,$Q$2)/$Q$2))</f>
        <v>7523.77150028493</v>
      </c>
      <c r="G473" s="15" t="n">
        <f aca="false">F473*(1+IF(G$3&lt;=$O$2,$D473,$D473-($D473-$I$454)*MIN(G$3-$O$2,$Q$2)/$Q$2))</f>
        <v>8132.24515480989</v>
      </c>
      <c r="H473" s="15" t="n">
        <f aca="false">G473*(1+IF(H$3&lt;=$O$2,$D473,$D473-($D473-$I$454)*MIN(H$3-$O$2,$Q$2)/$Q$2))</f>
        <v>8789.92819697201</v>
      </c>
      <c r="I473" s="15" t="n">
        <f aca="false">H473*(1+IF(I$3&lt;=$O$2,$D473,$D473-($D473-$I$454)*MIN(I$3-$O$2,$Q$2)/$Q$2))</f>
        <v>9500.80036165976</v>
      </c>
      <c r="J473" s="15" t="n">
        <f aca="false">I473*(1+IF(J$3&lt;=$O$2,$D473,$D473-($D473-$I$454)*MIN(J$3-$O$2,$Q$2)/$Q$2))</f>
        <v>10150.2635927027</v>
      </c>
      <c r="K473" s="15" t="n">
        <f aca="false">J473*(1+IF(K$3&lt;=$O$2,$D473,$D473-($D473-$I$454)*MIN(K$3-$O$2,$Q$2)/$Q$2))</f>
        <v>10717.0958631217</v>
      </c>
      <c r="L473" s="15" t="n">
        <f aca="false">K473*(1+IF(L$3&lt;=$O$2,$D473,$D473-($D473-$I$454)*MIN(L$3-$O$2,$Q$2)/$Q$2))</f>
        <v>11181.4611510866</v>
      </c>
      <c r="M473" s="15" t="n">
        <f aca="false">L473*(1+IF(M$3&lt;=$O$2,$D473,$D473-($D473-$I$454)*MIN(M$3-$O$2,$Q$2)/$Q$2))</f>
        <v>11526.0144982693</v>
      </c>
      <c r="N473" s="15" t="n">
        <f aca="false">M473*(1+IF(N$3&lt;=$O$2,$D473,$D473-($D473-$I$454)*MIN(N$3-$O$2,$Q$2)/$Q$2))</f>
        <v>11736.9405635876</v>
      </c>
      <c r="O473" s="15" t="n">
        <f aca="false">SUMPRODUCT(E473:N473,1/(1+$F$454)^$E$3:$N$3)*$E$2</f>
        <v>11295.6941296402</v>
      </c>
      <c r="P473" s="15" t="n">
        <f aca="false">N473*$E$2*(1+$I$454)/($F$454-$I$454)/(1+$F$454)^$N$3</f>
        <v>11294.4051895492</v>
      </c>
      <c r="Q473" s="15" t="n">
        <f aca="false">O473+P473</f>
        <v>22590.0993191895</v>
      </c>
      <c r="R473" s="15" t="n">
        <f aca="false">Q473-$G$2+$I$2</f>
        <v>17290.1993191895</v>
      </c>
      <c r="S473" s="42" t="n">
        <f aca="false">R473/$K$2</f>
        <v>147.175683683942</v>
      </c>
      <c r="T473" s="43" t="n">
        <f aca="false">S473-$M$2</f>
        <v>0.00169662231405709</v>
      </c>
    </row>
    <row r="474" customFormat="false" ht="15" hidden="false" customHeight="false" outlineLevel="0" collapsed="false">
      <c r="A474" s="5" t="n">
        <v>19</v>
      </c>
      <c r="B474" s="25" t="n">
        <f aca="false">IF(T473&gt;0,B473,D473)</f>
        <v>0.0808677673339844</v>
      </c>
      <c r="C474" s="25" t="n">
        <f aca="false">IF(T473&gt;0,D473,C473)</f>
        <v>0.0808734893798828</v>
      </c>
      <c r="D474" s="41" t="n">
        <f aca="false">(B474+C474)/2</f>
        <v>0.0808706283569336</v>
      </c>
      <c r="E474" s="15" t="n">
        <f aca="false">$C$2*(1+IF(E$3&lt;=$O$2,$D474,$D474-($D474-$I$454)*MIN(E$3-$O$2,$Q$2)/$Q$2))</f>
        <v>6960.80684661865</v>
      </c>
      <c r="F474" s="15" t="n">
        <f aca="false">E474*(1+IF(F$3&lt;=$O$2,$D474,$D474-($D474-$I$454)*MIN(F$3-$O$2,$Q$2)/$Q$2))</f>
        <v>7523.73167017595</v>
      </c>
      <c r="G474" s="15" t="n">
        <f aca="false">F474*(1+IF(G$3&lt;=$O$2,$D474,$D474-($D474-$I$454)*MIN(G$3-$O$2,$Q$2)/$Q$2))</f>
        <v>8132.18057793204</v>
      </c>
      <c r="H474" s="15" t="n">
        <f aca="false">G474*(1+IF(H$3&lt;=$O$2,$D474,$D474-($D474-$I$454)*MIN(H$3-$O$2,$Q$2)/$Q$2))</f>
        <v>8789.83513118145</v>
      </c>
      <c r="I474" s="15" t="n">
        <f aca="false">H474*(1+IF(I$3&lt;=$O$2,$D474,$D474-($D474-$I$454)*MIN(I$3-$O$2,$Q$2)/$Q$2))</f>
        <v>9500.67462139395</v>
      </c>
      <c r="J474" s="15" t="n">
        <f aca="false">I474*(1+IF(J$3&lt;=$O$2,$D474,$D474-($D474-$I$454)*MIN(J$3-$O$2,$Q$2)/$Q$2))</f>
        <v>10150.1075116658</v>
      </c>
      <c r="K474" s="15" t="n">
        <f aca="false">J474*(1+IF(K$3&lt;=$O$2,$D474,$D474-($D474-$I$454)*MIN(K$3-$O$2,$Q$2)/$Q$2))</f>
        <v>10716.9136420665</v>
      </c>
      <c r="L474" s="15" t="n">
        <f aca="false">K474*(1+IF(L$3&lt;=$O$2,$D474,$D474-($D474-$I$454)*MIN(L$3-$O$2,$Q$2)/$Q$2))</f>
        <v>11181.2587699687</v>
      </c>
      <c r="M474" s="15" t="n">
        <f aca="false">L474*(1+IF(M$3&lt;=$O$2,$D474,$D474-($D474-$I$454)*MIN(M$3-$O$2,$Q$2)/$Q$2))</f>
        <v>11525.7994828708</v>
      </c>
      <c r="N474" s="15" t="n">
        <f aca="false">M474*(1+IF(N$3&lt;=$O$2,$D474,$D474-($D474-$I$454)*MIN(N$3-$O$2,$Q$2)/$Q$2))</f>
        <v>11736.7216134074</v>
      </c>
      <c r="O474" s="15" t="n">
        <f aca="false">SUMPRODUCT(E474:N474,1/(1+$F$454)^$E$3:$N$3)*$E$2</f>
        <v>11295.5556878431</v>
      </c>
      <c r="P474" s="15" t="n">
        <f aca="false">N474*$E$2*(1+$I$454)/($F$454-$I$454)/(1+$F$454)^$N$3</f>
        <v>11294.1944947742</v>
      </c>
      <c r="Q474" s="15" t="n">
        <f aca="false">O474+P474</f>
        <v>22589.7501826172</v>
      </c>
      <c r="R474" s="15" t="n">
        <f aca="false">Q474-$G$2+$I$2</f>
        <v>17289.8501826172</v>
      </c>
      <c r="S474" s="42" t="n">
        <f aca="false">R474/$K$2</f>
        <v>147.172711803007</v>
      </c>
      <c r="T474" s="43" t="n">
        <f aca="false">S474-$M$2</f>
        <v>-0.00127525862086486</v>
      </c>
    </row>
    <row r="475" customFormat="false" ht="15" hidden="false" customHeight="false" outlineLevel="0" collapsed="false">
      <c r="A475" s="5" t="n">
        <v>20</v>
      </c>
      <c r="B475" s="25" t="n">
        <f aca="false">IF(T474&gt;0,B474,D474)</f>
        <v>0.0808706283569336</v>
      </c>
      <c r="C475" s="25" t="n">
        <f aca="false">IF(T474&gt;0,D474,C474)</f>
        <v>0.0808734893798828</v>
      </c>
      <c r="D475" s="41" t="n">
        <f aca="false">(B475+C475)/2</f>
        <v>0.0808720588684082</v>
      </c>
      <c r="E475" s="15" t="n">
        <f aca="false">$C$2*(1+IF(E$3&lt;=$O$2,$D475,$D475-($D475-$I$454)*MIN(E$3-$O$2,$Q$2)/$Q$2))</f>
        <v>6960.81605911255</v>
      </c>
      <c r="F475" s="15" t="n">
        <f aca="false">E475*(1+IF(F$3&lt;=$O$2,$D475,$D475-($D475-$I$454)*MIN(F$3-$O$2,$Q$2)/$Q$2))</f>
        <v>7523.75158521726</v>
      </c>
      <c r="G475" s="15" t="n">
        <f aca="false">F475*(1+IF(G$3&lt;=$O$2,$D475,$D475-($D475-$I$454)*MIN(G$3-$O$2,$Q$2)/$Q$2))</f>
        <v>8132.21286632823</v>
      </c>
      <c r="H475" s="15" t="n">
        <f aca="false">G475*(1+IF(H$3&lt;=$O$2,$D475,$D475-($D475-$I$454)*MIN(H$3-$O$2,$Q$2)/$Q$2))</f>
        <v>8789.88166398435</v>
      </c>
      <c r="I475" s="15" t="n">
        <f aca="false">H475*(1+IF(I$3&lt;=$O$2,$D475,$D475-($D475-$I$454)*MIN(I$3-$O$2,$Q$2)/$Q$2))</f>
        <v>9500.73749136044</v>
      </c>
      <c r="J475" s="15" t="n">
        <f aca="false">I475*(1+IF(J$3&lt;=$O$2,$D475,$D475-($D475-$I$454)*MIN(J$3-$O$2,$Q$2)/$Q$2))</f>
        <v>10150.1855519345</v>
      </c>
      <c r="K475" s="15" t="n">
        <f aca="false">J475*(1+IF(K$3&lt;=$O$2,$D475,$D475-($D475-$I$454)*MIN(K$3-$O$2,$Q$2)/$Q$2))</f>
        <v>10717.0047522634</v>
      </c>
      <c r="L475" s="15" t="n">
        <f aca="false">K475*(1+IF(L$3&lt;=$O$2,$D475,$D475-($D475-$I$454)*MIN(L$3-$O$2,$Q$2)/$Q$2))</f>
        <v>11181.3599601305</v>
      </c>
      <c r="M475" s="15" t="n">
        <f aca="false">L475*(1+IF(M$3&lt;=$O$2,$D475,$D475-($D475-$I$454)*MIN(M$3-$O$2,$Q$2)/$Q$2))</f>
        <v>11525.9069901317</v>
      </c>
      <c r="N475" s="15" t="n">
        <f aca="false">M475*(1+IF(N$3&lt;=$O$2,$D475,$D475-($D475-$I$454)*MIN(N$3-$O$2,$Q$2)/$Q$2))</f>
        <v>11736.8310880511</v>
      </c>
      <c r="O475" s="15" t="n">
        <f aca="false">SUMPRODUCT(E475:N475,1/(1+$F$454)^$E$3:$N$3)*$E$2</f>
        <v>11295.6249085288</v>
      </c>
      <c r="P475" s="15" t="n">
        <f aca="false">N475*$E$2*(1+$I$454)/($F$454-$I$454)/(1+$F$454)^$N$3</f>
        <v>11294.2998417322</v>
      </c>
      <c r="Q475" s="15" t="n">
        <f aca="false">O475+P475</f>
        <v>22589.9247502609</v>
      </c>
      <c r="R475" s="15" t="n">
        <f aca="false">Q475-$G$2+$I$2</f>
        <v>17290.0247502609</v>
      </c>
      <c r="S475" s="42" t="n">
        <f aca="false">R475/$K$2</f>
        <v>147.174197738006</v>
      </c>
      <c r="T475" s="43" t="n">
        <f aca="false">S475-$M$2</f>
        <v>0.000210676378401331</v>
      </c>
    </row>
    <row r="476" customFormat="false" ht="15" hidden="false" customHeight="false" outlineLevel="0" collapsed="false">
      <c r="A476" s="5" t="n">
        <v>21</v>
      </c>
      <c r="B476" s="25" t="n">
        <f aca="false">IF(T475&gt;0,B475,D475)</f>
        <v>0.0808706283569336</v>
      </c>
      <c r="C476" s="25" t="n">
        <f aca="false">IF(T475&gt;0,D475,C475)</f>
        <v>0.0808720588684082</v>
      </c>
      <c r="D476" s="41" t="n">
        <f aca="false">(B476+C476)/2</f>
        <v>0.0808713436126709</v>
      </c>
      <c r="E476" s="15" t="n">
        <f aca="false">$C$2*(1+IF(E$3&lt;=$O$2,$D476,$D476-($D476-$I$454)*MIN(E$3-$O$2,$Q$2)/$Q$2))</f>
        <v>6960.8114528656</v>
      </c>
      <c r="F476" s="15" t="n">
        <f aca="false">E476*(1+IF(F$3&lt;=$O$2,$D476,$D476-($D476-$I$454)*MIN(F$3-$O$2,$Q$2)/$Q$2))</f>
        <v>7523.74162769331</v>
      </c>
      <c r="G476" s="15" t="n">
        <f aca="false">F476*(1+IF(G$3&lt;=$O$2,$D476,$D476-($D476-$I$454)*MIN(G$3-$O$2,$Q$2)/$Q$2))</f>
        <v>8132.19672211945</v>
      </c>
      <c r="H476" s="15" t="n">
        <f aca="false">G476*(1+IF(H$3&lt;=$O$2,$D476,$D476-($D476-$I$454)*MIN(H$3-$O$2,$Q$2)/$Q$2))</f>
        <v>8789.85839755981</v>
      </c>
      <c r="I476" s="15" t="n">
        <f aca="false">H476*(1+IF(I$3&lt;=$O$2,$D476,$D476-($D476-$I$454)*MIN(I$3-$O$2,$Q$2)/$Q$2))</f>
        <v>9500.70605633559</v>
      </c>
      <c r="J476" s="15" t="n">
        <f aca="false">I476*(1+IF(J$3&lt;=$O$2,$D476,$D476-($D476-$I$454)*MIN(J$3-$O$2,$Q$2)/$Q$2))</f>
        <v>10150.1465317377</v>
      </c>
      <c r="K476" s="15" t="n">
        <f aca="false">J476*(1+IF(K$3&lt;=$O$2,$D476,$D476-($D476-$I$454)*MIN(K$3-$O$2,$Q$2)/$Q$2))</f>
        <v>10716.9591970823</v>
      </c>
      <c r="L476" s="15" t="n">
        <f aca="false">K476*(1+IF(L$3&lt;=$O$2,$D476,$D476-($D476-$I$454)*MIN(L$3-$O$2,$Q$2)/$Q$2))</f>
        <v>11181.3093649503</v>
      </c>
      <c r="M476" s="15" t="n">
        <f aca="false">L476*(1+IF(M$3&lt;=$O$2,$D476,$D476-($D476-$I$454)*MIN(M$3-$O$2,$Q$2)/$Q$2))</f>
        <v>11525.8532363917</v>
      </c>
      <c r="N476" s="15" t="n">
        <f aca="false">M476*(1+IF(N$3&lt;=$O$2,$D476,$D476-($D476-$I$454)*MIN(N$3-$O$2,$Q$2)/$Q$2))</f>
        <v>11736.7763506177</v>
      </c>
      <c r="O476" s="15" t="n">
        <f aca="false">SUMPRODUCT(E476:N476,1/(1+$F$454)^$E$3:$N$3)*$E$2</f>
        <v>11295.5902981327</v>
      </c>
      <c r="P476" s="15" t="n">
        <f aca="false">N476*$E$2*(1+$I$454)/($F$454-$I$454)/(1+$F$454)^$N$3</f>
        <v>11294.2471681458</v>
      </c>
      <c r="Q476" s="15" t="n">
        <f aca="false">O476+P476</f>
        <v>22589.8374662785</v>
      </c>
      <c r="R476" s="15" t="n">
        <f aca="false">Q476-$G$2+$I$2</f>
        <v>17289.9374662785</v>
      </c>
      <c r="S476" s="42" t="n">
        <f aca="false">R476/$K$2</f>
        <v>147.173454769139</v>
      </c>
      <c r="T476" s="43" t="n">
        <f aca="false">S476-$M$2</f>
        <v>-0.000532292488372832</v>
      </c>
    </row>
    <row r="477" customFormat="false" ht="15" hidden="false" customHeight="false" outlineLevel="0" collapsed="false">
      <c r="A477" s="5" t="n">
        <v>22</v>
      </c>
      <c r="B477" s="25" t="n">
        <f aca="false">IF(T476&gt;0,B476,D476)</f>
        <v>0.0808713436126709</v>
      </c>
      <c r="C477" s="25" t="n">
        <f aca="false">IF(T476&gt;0,D476,C476)</f>
        <v>0.0808720588684082</v>
      </c>
      <c r="D477" s="41" t="n">
        <f aca="false">(B477+C477)/2</f>
        <v>0.0808717012405396</v>
      </c>
      <c r="E477" s="15" t="n">
        <f aca="false">$C$2*(1+IF(E$3&lt;=$O$2,$D477,$D477-($D477-$I$454)*MIN(E$3-$O$2,$Q$2)/$Q$2))</f>
        <v>6960.81375598908</v>
      </c>
      <c r="F477" s="15" t="n">
        <f aca="false">E477*(1+IF(F$3&lt;=$O$2,$D477,$D477-($D477-$I$454)*MIN(F$3-$O$2,$Q$2)/$Q$2))</f>
        <v>7523.74660645446</v>
      </c>
      <c r="G477" s="15" t="n">
        <f aca="false">F477*(1+IF(G$3&lt;=$O$2,$D477,$D477-($D477-$I$454)*MIN(G$3-$O$2,$Q$2)/$Q$2))</f>
        <v>8132.20479422117</v>
      </c>
      <c r="H477" s="15" t="n">
        <f aca="false">G477*(1+IF(H$3&lt;=$O$2,$D477,$D477-($D477-$I$454)*MIN(H$3-$O$2,$Q$2)/$Q$2))</f>
        <v>8789.87003076631</v>
      </c>
      <c r="I477" s="15" t="n">
        <f aca="false">H477*(1+IF(I$3&lt;=$O$2,$D477,$D477-($D477-$I$454)*MIN(I$3-$O$2,$Q$2)/$Q$2))</f>
        <v>9500.72177383761</v>
      </c>
      <c r="J477" s="15" t="n">
        <f aca="false">I477*(1+IF(J$3&lt;=$O$2,$D477,$D477-($D477-$I$454)*MIN(J$3-$O$2,$Q$2)/$Q$2))</f>
        <v>10150.1660418205</v>
      </c>
      <c r="K477" s="15" t="n">
        <f aca="false">J477*(1+IF(K$3&lt;=$O$2,$D477,$D477-($D477-$I$454)*MIN(K$3-$O$2,$Q$2)/$Q$2))</f>
        <v>10716.9819746522</v>
      </c>
      <c r="L477" s="15" t="n">
        <f aca="false">K477*(1+IF(L$3&lt;=$O$2,$D477,$D477-($D477-$I$454)*MIN(L$3-$O$2,$Q$2)/$Q$2))</f>
        <v>11181.3346625156</v>
      </c>
      <c r="M477" s="15" t="n">
        <f aca="false">L477*(1+IF(M$3&lt;=$O$2,$D477,$D477-($D477-$I$454)*MIN(M$3-$O$2,$Q$2)/$Q$2))</f>
        <v>11525.8801132343</v>
      </c>
      <c r="N477" s="15" t="n">
        <f aca="false">M477*(1+IF(N$3&lt;=$O$2,$D477,$D477-($D477-$I$454)*MIN(N$3-$O$2,$Q$2)/$Q$2))</f>
        <v>11736.8037193065</v>
      </c>
      <c r="O477" s="15" t="n">
        <f aca="false">SUMPRODUCT(E477:N477,1/(1+$F$454)^$E$3:$N$3)*$E$2</f>
        <v>11295.6076033174</v>
      </c>
      <c r="P477" s="15" t="n">
        <f aca="false">N477*$E$2*(1+$I$454)/($F$454-$I$454)/(1+$F$454)^$N$3</f>
        <v>11294.2735049121</v>
      </c>
      <c r="Q477" s="15" t="n">
        <f aca="false">O477+P477</f>
        <v>22589.8811082296</v>
      </c>
      <c r="R477" s="15" t="n">
        <f aca="false">Q477-$G$2+$I$2</f>
        <v>17289.9811082296</v>
      </c>
      <c r="S477" s="42" t="n">
        <f aca="false">R477/$K$2</f>
        <v>147.173826253231</v>
      </c>
      <c r="T477" s="43" t="n">
        <f aca="false">S477-$M$2</f>
        <v>-0.000160808396771017</v>
      </c>
    </row>
    <row r="478" customFormat="false" ht="15" hidden="false" customHeight="false" outlineLevel="0" collapsed="false">
      <c r="A478" s="5" t="n">
        <v>23</v>
      </c>
      <c r="B478" s="25" t="n">
        <f aca="false">IF(T477&gt;0,B477,D477)</f>
        <v>0.0808717012405396</v>
      </c>
      <c r="C478" s="25" t="n">
        <f aca="false">IF(T477&gt;0,D477,C477)</f>
        <v>0.0808720588684082</v>
      </c>
      <c r="D478" s="41" t="n">
        <f aca="false">(B478+C478)/2</f>
        <v>0.0808718800544739</v>
      </c>
      <c r="E478" s="15" t="n">
        <f aca="false">$C$2*(1+IF(E$3&lt;=$O$2,$D478,$D478-($D478-$I$454)*MIN(E$3-$O$2,$Q$2)/$Q$2))</f>
        <v>6960.81490755081</v>
      </c>
      <c r="F478" s="15" t="n">
        <f aca="false">E478*(1+IF(F$3&lt;=$O$2,$D478,$D478-($D478-$I$454)*MIN(F$3-$O$2,$Q$2)/$Q$2))</f>
        <v>7523.74909583566</v>
      </c>
      <c r="G478" s="15" t="n">
        <f aca="false">F478*(1+IF(G$3&lt;=$O$2,$D478,$D478-($D478-$I$454)*MIN(G$3-$O$2,$Q$2)/$Q$2))</f>
        <v>8132.20883027403</v>
      </c>
      <c r="H478" s="15" t="n">
        <f aca="false">G478*(1+IF(H$3&lt;=$O$2,$D478,$D478-($D478-$I$454)*MIN(H$3-$O$2,$Q$2)/$Q$2))</f>
        <v>8789.87584737389</v>
      </c>
      <c r="I478" s="15" t="n">
        <f aca="false">H478*(1+IF(I$3&lt;=$O$2,$D478,$D478-($D478-$I$454)*MIN(I$3-$O$2,$Q$2)/$Q$2))</f>
        <v>9500.72963259643</v>
      </c>
      <c r="J478" s="15" t="n">
        <f aca="false">I478*(1+IF(J$3&lt;=$O$2,$D478,$D478-($D478-$I$454)*MIN(J$3-$O$2,$Q$2)/$Q$2))</f>
        <v>10150.1757968736</v>
      </c>
      <c r="K478" s="15" t="n">
        <f aca="false">J478*(1+IF(K$3&lt;=$O$2,$D478,$D478-($D478-$I$454)*MIN(K$3-$O$2,$Q$2)/$Q$2))</f>
        <v>10716.9933634527</v>
      </c>
      <c r="L478" s="15" t="n">
        <f aca="false">K478*(1+IF(L$3&lt;=$O$2,$D478,$D478-($D478-$I$454)*MIN(L$3-$O$2,$Q$2)/$Q$2))</f>
        <v>11181.3473113169</v>
      </c>
      <c r="M478" s="15" t="n">
        <f aca="false">L478*(1+IF(M$3&lt;=$O$2,$D478,$D478-($D478-$I$454)*MIN(M$3-$O$2,$Q$2)/$Q$2))</f>
        <v>11525.8935516762</v>
      </c>
      <c r="N478" s="15" t="n">
        <f aca="false">M478*(1+IF(N$3&lt;=$O$2,$D478,$D478-($D478-$I$454)*MIN(N$3-$O$2,$Q$2)/$Q$2))</f>
        <v>11736.8174036719</v>
      </c>
      <c r="O478" s="15" t="n">
        <f aca="false">SUMPRODUCT(E478:N478,1/(1+$F$454)^$E$3:$N$3)*$E$2</f>
        <v>11295.6162559198</v>
      </c>
      <c r="P478" s="15" t="n">
        <f aca="false">N478*$E$2*(1+$I$454)/($F$454-$I$454)/(1+$F$454)^$N$3</f>
        <v>11294.2866733154</v>
      </c>
      <c r="Q478" s="15" t="n">
        <f aca="false">O478+P478</f>
        <v>22589.9029292352</v>
      </c>
      <c r="R478" s="15" t="n">
        <f aca="false">Q478-$G$2+$I$2</f>
        <v>17290.0029292352</v>
      </c>
      <c r="S478" s="42" t="n">
        <f aca="false">R478/$K$2</f>
        <v>147.174011995533</v>
      </c>
      <c r="T478" s="43" t="n">
        <f aca="false">S478-$M$2</f>
        <v>2.49339053652875E-005</v>
      </c>
    </row>
    <row r="479" customFormat="false" ht="15" hidden="false" customHeight="false" outlineLevel="0" collapsed="false">
      <c r="A479" s="5" t="n">
        <v>24</v>
      </c>
      <c r="B479" s="25" t="n">
        <f aca="false">IF(T478&gt;0,B478,D478)</f>
        <v>0.0808717012405396</v>
      </c>
      <c r="C479" s="25" t="n">
        <f aca="false">IF(T478&gt;0,D478,C478)</f>
        <v>0.0808718800544739</v>
      </c>
      <c r="D479" s="41" t="n">
        <f aca="false">(B479+C479)/2</f>
        <v>0.0808717906475067</v>
      </c>
      <c r="E479" s="15" t="n">
        <f aca="false">$C$2*(1+IF(E$3&lt;=$O$2,$D479,$D479-($D479-$I$454)*MIN(E$3-$O$2,$Q$2)/$Q$2))</f>
        <v>6960.81433176994</v>
      </c>
      <c r="F479" s="15" t="n">
        <f aca="false">E479*(1+IF(F$3&lt;=$O$2,$D479,$D479-($D479-$I$454)*MIN(F$3-$O$2,$Q$2)/$Q$2))</f>
        <v>7523.74785114501</v>
      </c>
      <c r="G479" s="15" t="n">
        <f aca="false">F479*(1+IF(G$3&lt;=$O$2,$D479,$D479-($D479-$I$454)*MIN(G$3-$O$2,$Q$2)/$Q$2))</f>
        <v>8132.20681224743</v>
      </c>
      <c r="H479" s="15" t="n">
        <f aca="false">G479*(1+IF(H$3&lt;=$O$2,$D479,$D479-($D479-$I$454)*MIN(H$3-$O$2,$Q$2)/$Q$2))</f>
        <v>8789.87293906974</v>
      </c>
      <c r="I479" s="15" t="n">
        <f aca="false">H479*(1+IF(I$3&lt;=$O$2,$D479,$D479-($D479-$I$454)*MIN(I$3-$O$2,$Q$2)/$Q$2))</f>
        <v>9500.72570321637</v>
      </c>
      <c r="J479" s="15" t="n">
        <f aca="false">I479*(1+IF(J$3&lt;=$O$2,$D479,$D479-($D479-$I$454)*MIN(J$3-$O$2,$Q$2)/$Q$2))</f>
        <v>10150.1709193461</v>
      </c>
      <c r="K479" s="15" t="n">
        <f aca="false">J479*(1+IF(K$3&lt;=$O$2,$D479,$D479-($D479-$I$454)*MIN(K$3-$O$2,$Q$2)/$Q$2))</f>
        <v>10716.9876690511</v>
      </c>
      <c r="L479" s="15" t="n">
        <f aca="false">K479*(1+IF(L$3&lt;=$O$2,$D479,$D479-($D479-$I$454)*MIN(L$3-$O$2,$Q$2)/$Q$2))</f>
        <v>11181.3409869147</v>
      </c>
      <c r="M479" s="15" t="n">
        <f aca="false">L479*(1+IF(M$3&lt;=$O$2,$D479,$D479-($D479-$I$454)*MIN(M$3-$O$2,$Q$2)/$Q$2))</f>
        <v>11525.8868324535</v>
      </c>
      <c r="N479" s="15" t="n">
        <f aca="false">M479*(1+IF(N$3&lt;=$O$2,$D479,$D479-($D479-$I$454)*MIN(N$3-$O$2,$Q$2)/$Q$2))</f>
        <v>11736.8105614874</v>
      </c>
      <c r="O479" s="15" t="n">
        <f aca="false">SUMPRODUCT(E479:N479,1/(1+$F$454)^$E$3:$N$3)*$E$2</f>
        <v>11295.6119296178</v>
      </c>
      <c r="P479" s="15" t="n">
        <f aca="false">N479*$E$2*(1+$I$454)/($F$454-$I$454)/(1+$F$454)^$N$3</f>
        <v>11294.2800891121</v>
      </c>
      <c r="Q479" s="15" t="n">
        <f aca="false">O479+P479</f>
        <v>22589.8920187299</v>
      </c>
      <c r="R479" s="15" t="n">
        <f aca="false">Q479-$G$2+$I$2</f>
        <v>17289.9920187299</v>
      </c>
      <c r="S479" s="42" t="n">
        <f aca="false">R479/$K$2</f>
        <v>147.17391912436</v>
      </c>
      <c r="T479" s="43" t="n">
        <f aca="false">S479-$M$2</f>
        <v>-6.79372670902012E-005</v>
      </c>
    </row>
    <row r="481" customFormat="false" ht="15" hidden="false" customHeight="false" outlineLevel="0" collapsed="false">
      <c r="A481" s="38" t="s">
        <v>197</v>
      </c>
      <c r="E481" s="5" t="s">
        <v>11</v>
      </c>
      <c r="F481" s="12" t="n">
        <f aca="false">Sensitivity!$B$13</f>
        <v>0.0999886567315273</v>
      </c>
      <c r="G481" s="5" t="s">
        <v>12</v>
      </c>
      <c r="I481" s="12" t="n">
        <f aca="false">Sensitivity!$D$9</f>
        <v>0.0233</v>
      </c>
    </row>
    <row r="482" customFormat="false" ht="23.85" hidden="false" customHeight="false" outlineLevel="0" collapsed="false">
      <c r="A482" s="38" t="s">
        <v>161</v>
      </c>
      <c r="B482" s="28" t="s">
        <v>162</v>
      </c>
      <c r="C482" s="28" t="s">
        <v>163</v>
      </c>
      <c r="D482" s="28" t="s">
        <v>164</v>
      </c>
      <c r="E482" s="28" t="s">
        <v>165</v>
      </c>
      <c r="F482" s="28" t="s">
        <v>166</v>
      </c>
      <c r="G482" s="28" t="s">
        <v>167</v>
      </c>
      <c r="H482" s="28" t="s">
        <v>168</v>
      </c>
      <c r="I482" s="28" t="s">
        <v>169</v>
      </c>
      <c r="J482" s="28" t="s">
        <v>170</v>
      </c>
      <c r="K482" s="28" t="s">
        <v>171</v>
      </c>
      <c r="L482" s="28" t="s">
        <v>172</v>
      </c>
      <c r="M482" s="28" t="s">
        <v>173</v>
      </c>
      <c r="N482" s="28" t="s">
        <v>174</v>
      </c>
      <c r="O482" s="28" t="s">
        <v>175</v>
      </c>
      <c r="P482" s="28" t="s">
        <v>176</v>
      </c>
      <c r="Q482" s="28" t="s">
        <v>177</v>
      </c>
      <c r="R482" s="28" t="s">
        <v>178</v>
      </c>
      <c r="S482" s="28" t="s">
        <v>179</v>
      </c>
      <c r="T482" s="28" t="s">
        <v>180</v>
      </c>
    </row>
    <row r="483" customFormat="false" ht="15" hidden="false" customHeight="false" outlineLevel="0" collapsed="false">
      <c r="A483" s="5" t="n">
        <v>1</v>
      </c>
      <c r="B483" s="24" t="n">
        <v>-0.5</v>
      </c>
      <c r="C483" s="24" t="n">
        <v>1</v>
      </c>
      <c r="D483" s="41" t="n">
        <f aca="false">(B483+C483)/2</f>
        <v>0.25</v>
      </c>
      <c r="E483" s="15" t="n">
        <f aca="false">$C$2*(1+IF(E$3&lt;=$O$2,$D483,$D483-($D483-$I$481)*MIN(E$3-$O$2,$Q$2)/$Q$2))</f>
        <v>8050</v>
      </c>
      <c r="F483" s="15" t="n">
        <f aca="false">E483*(1+IF(F$3&lt;=$O$2,$D483,$D483-($D483-$I$481)*MIN(F$3-$O$2,$Q$2)/$Q$2))</f>
        <v>10062.5</v>
      </c>
      <c r="G483" s="15" t="n">
        <f aca="false">F483*(1+IF(G$3&lt;=$O$2,$D483,$D483-($D483-$I$481)*MIN(G$3-$O$2,$Q$2)/$Q$2))</f>
        <v>12578.125</v>
      </c>
      <c r="H483" s="15" t="n">
        <f aca="false">G483*(1+IF(H$3&lt;=$O$2,$D483,$D483-($D483-$I$481)*MIN(H$3-$O$2,$Q$2)/$Q$2))</f>
        <v>15722.65625</v>
      </c>
      <c r="I483" s="15" t="n">
        <f aca="false">H483*(1+IF(I$3&lt;=$O$2,$D483,$D483-($D483-$I$481)*MIN(I$3-$O$2,$Q$2)/$Q$2))</f>
        <v>19653.3203125</v>
      </c>
      <c r="J483" s="15" t="n">
        <f aca="false">I483*(1+IF(J$3&lt;=$O$2,$D483,$D483-($D483-$I$481)*MIN(J$3-$O$2,$Q$2)/$Q$2))</f>
        <v>23675.5688476563</v>
      </c>
      <c r="K483" s="15" t="n">
        <f aca="false">J483*(1+IF(K$3&lt;=$O$2,$D483,$D483-($D483-$I$481)*MIN(K$3-$O$2,$Q$2)/$Q$2))</f>
        <v>27447.5604764648</v>
      </c>
      <c r="L483" s="15" t="n">
        <f aca="false">K483*(1+IF(L$3&lt;=$O$2,$D483,$D483-($D483-$I$481)*MIN(L$3-$O$2,$Q$2)/$Q$2))</f>
        <v>30576.0334195723</v>
      </c>
      <c r="M483" s="15" t="n">
        <f aca="false">L483*(1+IF(M$3&lt;=$O$2,$D483,$D483-($D483-$I$481)*MIN(M$3-$O$2,$Q$2)/$Q$2))</f>
        <v>32674.7723534918</v>
      </c>
      <c r="N483" s="15" t="n">
        <f aca="false">M483*(1+IF(N$3&lt;=$O$2,$D483,$D483-($D483-$I$481)*MIN(N$3-$O$2,$Q$2)/$Q$2))</f>
        <v>33436.0945493281</v>
      </c>
      <c r="O483" s="15" t="n">
        <f aca="false">SUMPRODUCT(E483:N483,1/(1+$F$481)^$E$3:$N$3)*$E$2</f>
        <v>23322.9899424153</v>
      </c>
      <c r="P483" s="15" t="n">
        <f aca="false">N483*$E$2*(1+$I$481)/($F$481-$I$481)/(1+$F$481)^$N$3</f>
        <v>34441.4841439983</v>
      </c>
      <c r="Q483" s="15" t="n">
        <f aca="false">O483+P483</f>
        <v>57764.4740864136</v>
      </c>
      <c r="R483" s="15" t="n">
        <f aca="false">Q483-$G$2+$I$2</f>
        <v>52464.5740864136</v>
      </c>
      <c r="S483" s="42" t="n">
        <f aca="false">R483/$K$2</f>
        <v>446.583027633756</v>
      </c>
      <c r="T483" s="43" t="n">
        <f aca="false">S483-$M$2</f>
        <v>299.409040572128</v>
      </c>
    </row>
    <row r="484" customFormat="false" ht="15" hidden="false" customHeight="false" outlineLevel="0" collapsed="false">
      <c r="A484" s="5" t="n">
        <v>2</v>
      </c>
      <c r="B484" s="25" t="n">
        <f aca="false">IF(T483&gt;0,B483,D483)</f>
        <v>-0.5</v>
      </c>
      <c r="C484" s="25" t="n">
        <f aca="false">IF(T483&gt;0,D483,C483)</f>
        <v>0.25</v>
      </c>
      <c r="D484" s="41" t="n">
        <f aca="false">(B484+C484)/2</f>
        <v>-0.125</v>
      </c>
      <c r="E484" s="15" t="n">
        <f aca="false">$C$2*(1+IF(E$3&lt;=$O$2,$D484,$D484-($D484-$I$481)*MIN(E$3-$O$2,$Q$2)/$Q$2))</f>
        <v>5635</v>
      </c>
      <c r="F484" s="15" t="n">
        <f aca="false">E484*(1+IF(F$3&lt;=$O$2,$D484,$D484-($D484-$I$481)*MIN(F$3-$O$2,$Q$2)/$Q$2))</f>
        <v>4930.625</v>
      </c>
      <c r="G484" s="15" t="n">
        <f aca="false">F484*(1+IF(G$3&lt;=$O$2,$D484,$D484-($D484-$I$481)*MIN(G$3-$O$2,$Q$2)/$Q$2))</f>
        <v>4314.296875</v>
      </c>
      <c r="H484" s="15" t="n">
        <f aca="false">G484*(1+IF(H$3&lt;=$O$2,$D484,$D484-($D484-$I$481)*MIN(H$3-$O$2,$Q$2)/$Q$2))</f>
        <v>3775.009765625</v>
      </c>
      <c r="I484" s="15" t="n">
        <f aca="false">H484*(1+IF(I$3&lt;=$O$2,$D484,$D484-($D484-$I$481)*MIN(I$3-$O$2,$Q$2)/$Q$2))</f>
        <v>3303.13354492188</v>
      </c>
      <c r="J484" s="15" t="n">
        <f aca="false">I484*(1+IF(J$3&lt;=$O$2,$D484,$D484-($D484-$I$481)*MIN(J$3-$O$2,$Q$2)/$Q$2))</f>
        <v>2988.21279274902</v>
      </c>
      <c r="K484" s="15" t="n">
        <f aca="false">J484*(1+IF(K$3&lt;=$O$2,$D484,$D484-($D484-$I$481)*MIN(K$3-$O$2,$Q$2)/$Q$2))</f>
        <v>2791.94697652127</v>
      </c>
      <c r="L484" s="15" t="n">
        <f aca="false">K484*(1+IF(L$3&lt;=$O$2,$D484,$D484-($D484-$I$481)*MIN(L$3-$O$2,$Q$2)/$Q$2))</f>
        <v>2691.38104642697</v>
      </c>
      <c r="M484" s="15" t="n">
        <f aca="false">L484*(1+IF(M$3&lt;=$O$2,$D484,$D484-($D484-$I$481)*MIN(M$3-$O$2,$Q$2)/$Q$2))</f>
        <v>2674.2638629717</v>
      </c>
      <c r="N484" s="15" t="n">
        <f aca="false">M484*(1+IF(N$3&lt;=$O$2,$D484,$D484-($D484-$I$481)*MIN(N$3-$O$2,$Q$2)/$Q$2))</f>
        <v>2736.57421097894</v>
      </c>
      <c r="O484" s="15" t="n">
        <f aca="false">SUMPRODUCT(E484:N484,1/(1+$F$481)^$E$3:$N$3)*$E$2</f>
        <v>4731.58383163361</v>
      </c>
      <c r="P484" s="15" t="n">
        <f aca="false">N484*$E$2*(1+$I$481)/($F$481-$I$481)/(1+$F$481)^$N$3</f>
        <v>2818.86023372905</v>
      </c>
      <c r="Q484" s="15" t="n">
        <f aca="false">O484+P484</f>
        <v>7550.44406536266</v>
      </c>
      <c r="R484" s="15" t="n">
        <f aca="false">Q484-$G$2+$I$2</f>
        <v>2250.54406536266</v>
      </c>
      <c r="S484" s="42" t="n">
        <f aca="false">R484/$K$2</f>
        <v>19.156827250278</v>
      </c>
      <c r="T484" s="43" t="n">
        <f aca="false">S484-$M$2</f>
        <v>-128.01715981135</v>
      </c>
    </row>
    <row r="485" customFormat="false" ht="15" hidden="false" customHeight="false" outlineLevel="0" collapsed="false">
      <c r="A485" s="5" t="n">
        <v>3</v>
      </c>
      <c r="B485" s="25" t="n">
        <f aca="false">IF(T484&gt;0,B484,D484)</f>
        <v>-0.125</v>
      </c>
      <c r="C485" s="25" t="n">
        <f aca="false">IF(T484&gt;0,D484,C484)</f>
        <v>0.25</v>
      </c>
      <c r="D485" s="41" t="n">
        <f aca="false">(B485+C485)/2</f>
        <v>0.0625</v>
      </c>
      <c r="E485" s="15" t="n">
        <f aca="false">$C$2*(1+IF(E$3&lt;=$O$2,$D485,$D485-($D485-$I$481)*MIN(E$3-$O$2,$Q$2)/$Q$2))</f>
        <v>6842.5</v>
      </c>
      <c r="F485" s="15" t="n">
        <f aca="false">E485*(1+IF(F$3&lt;=$O$2,$D485,$D485-($D485-$I$481)*MIN(F$3-$O$2,$Q$2)/$Q$2))</f>
        <v>7270.15625</v>
      </c>
      <c r="G485" s="15" t="n">
        <f aca="false">F485*(1+IF(G$3&lt;=$O$2,$D485,$D485-($D485-$I$481)*MIN(G$3-$O$2,$Q$2)/$Q$2))</f>
        <v>7724.541015625</v>
      </c>
      <c r="H485" s="15" t="n">
        <f aca="false">G485*(1+IF(H$3&lt;=$O$2,$D485,$D485-($D485-$I$481)*MIN(H$3-$O$2,$Q$2)/$Q$2))</f>
        <v>8207.32482910156</v>
      </c>
      <c r="I485" s="15" t="n">
        <f aca="false">H485*(1+IF(I$3&lt;=$O$2,$D485,$D485-($D485-$I$481)*MIN(I$3-$O$2,$Q$2)/$Q$2))</f>
        <v>8720.28263092041</v>
      </c>
      <c r="J485" s="15" t="n">
        <f aca="false">I485*(1+IF(J$3&lt;=$O$2,$D485,$D485-($D485-$I$481)*MIN(J$3-$O$2,$Q$2)/$Q$2))</f>
        <v>9196.93327952652</v>
      </c>
      <c r="K485" s="15" t="n">
        <f aca="false">J485*(1+IF(K$3&lt;=$O$2,$D485,$D485-($D485-$I$481)*MIN(K$3-$O$2,$Q$2)/$Q$2))</f>
        <v>9627.53369567395</v>
      </c>
      <c r="L485" s="15" t="n">
        <f aca="false">K485*(1+IF(L$3&lt;=$O$2,$D485,$D485-($D485-$I$481)*MIN(L$3-$O$2,$Q$2)/$Q$2))</f>
        <v>10002.8149591313</v>
      </c>
      <c r="M485" s="15" t="n">
        <f aca="false">L485*(1+IF(M$3&lt;=$O$2,$D485,$D485-($D485-$I$481)*MIN(M$3-$O$2,$Q$2)/$Q$2))</f>
        <v>10314.3026169587</v>
      </c>
      <c r="N485" s="15" t="n">
        <f aca="false">M485*(1+IF(N$3&lt;=$O$2,$D485,$D485-($D485-$I$481)*MIN(N$3-$O$2,$Q$2)/$Q$2))</f>
        <v>10554.6258679338</v>
      </c>
      <c r="O485" s="15" t="n">
        <f aca="false">SUMPRODUCT(E485:N485,1/(1+$F$481)^$E$3:$N$3)*$E$2</f>
        <v>10470.2196971695</v>
      </c>
      <c r="P485" s="15" t="n">
        <f aca="false">N485*$E$2*(1+$I$481)/($F$481-$I$481)/(1+$F$481)^$N$3</f>
        <v>10871.9928082504</v>
      </c>
      <c r="Q485" s="15" t="n">
        <f aca="false">O485+P485</f>
        <v>21342.21250542</v>
      </c>
      <c r="R485" s="15" t="n">
        <f aca="false">Q485-$G$2+$I$2</f>
        <v>16042.31250542</v>
      </c>
      <c r="S485" s="42" t="n">
        <f aca="false">R485/$K$2</f>
        <v>136.553562354613</v>
      </c>
      <c r="T485" s="43" t="n">
        <f aca="false">S485-$M$2</f>
        <v>-10.6204247070144</v>
      </c>
    </row>
    <row r="486" customFormat="false" ht="15" hidden="false" customHeight="false" outlineLevel="0" collapsed="false">
      <c r="A486" s="5" t="n">
        <v>4</v>
      </c>
      <c r="B486" s="25" t="n">
        <f aca="false">IF(T485&gt;0,B485,D485)</f>
        <v>0.0625</v>
      </c>
      <c r="C486" s="25" t="n">
        <f aca="false">IF(T485&gt;0,D485,C485)</f>
        <v>0.25</v>
      </c>
      <c r="D486" s="41" t="n">
        <f aca="false">(B486+C486)/2</f>
        <v>0.15625</v>
      </c>
      <c r="E486" s="15" t="n">
        <f aca="false">$C$2*(1+IF(E$3&lt;=$O$2,$D486,$D486-($D486-$I$481)*MIN(E$3-$O$2,$Q$2)/$Q$2))</f>
        <v>7446.25</v>
      </c>
      <c r="F486" s="15" t="n">
        <f aca="false">E486*(1+IF(F$3&lt;=$O$2,$D486,$D486-($D486-$I$481)*MIN(F$3-$O$2,$Q$2)/$Q$2))</f>
        <v>8609.7265625</v>
      </c>
      <c r="G486" s="15" t="n">
        <f aca="false">F486*(1+IF(G$3&lt;=$O$2,$D486,$D486-($D486-$I$481)*MIN(G$3-$O$2,$Q$2)/$Q$2))</f>
        <v>9954.99633789063</v>
      </c>
      <c r="H486" s="15" t="n">
        <f aca="false">G486*(1+IF(H$3&lt;=$O$2,$D486,$D486-($D486-$I$481)*MIN(H$3-$O$2,$Q$2)/$Q$2))</f>
        <v>11510.464515686</v>
      </c>
      <c r="I486" s="15" t="n">
        <f aca="false">H486*(1+IF(I$3&lt;=$O$2,$D486,$D486-($D486-$I$481)*MIN(I$3-$O$2,$Q$2)/$Q$2))</f>
        <v>13308.974596262</v>
      </c>
      <c r="J486" s="15" t="n">
        <f aca="false">I486*(1+IF(J$3&lt;=$O$2,$D486,$D486-($D486-$I$481)*MIN(J$3-$O$2,$Q$2)/$Q$2))</f>
        <v>15034.6162424133</v>
      </c>
      <c r="K486" s="15" t="n">
        <f aca="false">J486*(1+IF(K$3&lt;=$O$2,$D486,$D486-($D486-$I$481)*MIN(K$3-$O$2,$Q$2)/$Q$2))</f>
        <v>16584.2341385188</v>
      </c>
      <c r="L486" s="15" t="n">
        <f aca="false">K486*(1+IF(L$3&lt;=$O$2,$D486,$D486-($D486-$I$481)*MIN(L$3-$O$2,$Q$2)/$Q$2))</f>
        <v>17852.5963654328</v>
      </c>
      <c r="M486" s="15" t="n">
        <f aca="false">L486*(1+IF(M$3&lt;=$O$2,$D486,$D486-($D486-$I$481)*MIN(M$3-$O$2,$Q$2)/$Q$2))</f>
        <v>18743.2623981042</v>
      </c>
      <c r="N486" s="15" t="n">
        <f aca="false">M486*(1+IF(N$3&lt;=$O$2,$D486,$D486-($D486-$I$481)*MIN(N$3-$O$2,$Q$2)/$Q$2))</f>
        <v>19179.98041198</v>
      </c>
      <c r="O486" s="15" t="n">
        <f aca="false">SUMPRODUCT(E486:N486,1/(1+$F$481)^$E$3:$N$3)*$E$2</f>
        <v>15648.7459814745</v>
      </c>
      <c r="P486" s="15" t="n">
        <f aca="false">N486*$E$2*(1+$I$481)/($F$481-$I$481)/(1+$F$481)^$N$3</f>
        <v>19756.703052351</v>
      </c>
      <c r="Q486" s="15" t="n">
        <f aca="false">O486+P486</f>
        <v>35405.4490338256</v>
      </c>
      <c r="R486" s="15" t="n">
        <f aca="false">Q486-$G$2+$I$2</f>
        <v>30105.5490338256</v>
      </c>
      <c r="S486" s="42" t="n">
        <f aca="false">R486/$K$2</f>
        <v>256.261057489152</v>
      </c>
      <c r="T486" s="43" t="n">
        <f aca="false">S486-$M$2</f>
        <v>109.087070427524</v>
      </c>
    </row>
    <row r="487" customFormat="false" ht="15" hidden="false" customHeight="false" outlineLevel="0" collapsed="false">
      <c r="A487" s="5" t="n">
        <v>5</v>
      </c>
      <c r="B487" s="25" t="n">
        <f aca="false">IF(T486&gt;0,B486,D486)</f>
        <v>0.0625</v>
      </c>
      <c r="C487" s="25" t="n">
        <f aca="false">IF(T486&gt;0,D486,C486)</f>
        <v>0.15625</v>
      </c>
      <c r="D487" s="41" t="n">
        <f aca="false">(B487+C487)/2</f>
        <v>0.109375</v>
      </c>
      <c r="E487" s="15" t="n">
        <f aca="false">$C$2*(1+IF(E$3&lt;=$O$2,$D487,$D487-($D487-$I$481)*MIN(E$3-$O$2,$Q$2)/$Q$2))</f>
        <v>7144.375</v>
      </c>
      <c r="F487" s="15" t="n">
        <f aca="false">E487*(1+IF(F$3&lt;=$O$2,$D487,$D487-($D487-$I$481)*MIN(F$3-$O$2,$Q$2)/$Q$2))</f>
        <v>7925.791015625</v>
      </c>
      <c r="G487" s="15" t="n">
        <f aca="false">F487*(1+IF(G$3&lt;=$O$2,$D487,$D487-($D487-$I$481)*MIN(G$3-$O$2,$Q$2)/$Q$2))</f>
        <v>8792.67440795898</v>
      </c>
      <c r="H487" s="15" t="n">
        <f aca="false">G487*(1+IF(H$3&lt;=$O$2,$D487,$D487-($D487-$I$481)*MIN(H$3-$O$2,$Q$2)/$Q$2))</f>
        <v>9754.3731713295</v>
      </c>
      <c r="I487" s="15" t="n">
        <f aca="false">H487*(1+IF(I$3&lt;=$O$2,$D487,$D487-($D487-$I$481)*MIN(I$3-$O$2,$Q$2)/$Q$2))</f>
        <v>10821.2577369437</v>
      </c>
      <c r="J487" s="15" t="n">
        <f aca="false">I487*(1+IF(J$3&lt;=$O$2,$D487,$D487-($D487-$I$481)*MIN(J$3-$O$2,$Q$2)/$Q$2))</f>
        <v>11818.5448499804</v>
      </c>
      <c r="K487" s="15" t="n">
        <f aca="false">J487*(1+IF(K$3&lt;=$O$2,$D487,$D487-($D487-$I$481)*MIN(K$3-$O$2,$Q$2)/$Q$2))</f>
        <v>12704.2856937622</v>
      </c>
      <c r="L487" s="15" t="n">
        <f aca="false">K487*(1+IF(L$3&lt;=$O$2,$D487,$D487-($D487-$I$481)*MIN(L$3-$O$2,$Q$2)/$Q$2))</f>
        <v>13437.7041068631</v>
      </c>
      <c r="M487" s="15" t="n">
        <f aca="false">L487*(1+IF(M$3&lt;=$O$2,$D487,$D487-($D487-$I$481)*MIN(M$3-$O$2,$Q$2)/$Q$2))</f>
        <v>13982.1326887526</v>
      </c>
      <c r="N487" s="15" t="n">
        <f aca="false">M487*(1+IF(N$3&lt;=$O$2,$D487,$D487-($D487-$I$481)*MIN(N$3-$O$2,$Q$2)/$Q$2))</f>
        <v>14307.9163804006</v>
      </c>
      <c r="O487" s="15" t="n">
        <f aca="false">SUMPRODUCT(E487:N487,1/(1+$F$481)^$E$3:$N$3)*$E$2</f>
        <v>12801.5006866401</v>
      </c>
      <c r="P487" s="15" t="n">
        <f aca="false">N487*$E$2*(1+$I$481)/($F$481-$I$481)/(1+$F$481)^$N$3</f>
        <v>14738.1409758312</v>
      </c>
      <c r="Q487" s="15" t="n">
        <f aca="false">O487+P487</f>
        <v>27539.6416624713</v>
      </c>
      <c r="R487" s="15" t="n">
        <f aca="false">Q487-$G$2+$I$2</f>
        <v>22239.7416624713</v>
      </c>
      <c r="S487" s="42" t="n">
        <f aca="false">R487/$K$2</f>
        <v>189.30661953074</v>
      </c>
      <c r="T487" s="43" t="n">
        <f aca="false">S487-$M$2</f>
        <v>42.1326324691122</v>
      </c>
    </row>
    <row r="488" customFormat="false" ht="15" hidden="false" customHeight="false" outlineLevel="0" collapsed="false">
      <c r="A488" s="5" t="n">
        <v>6</v>
      </c>
      <c r="B488" s="25" t="n">
        <f aca="false">IF(T487&gt;0,B487,D487)</f>
        <v>0.0625</v>
      </c>
      <c r="C488" s="25" t="n">
        <f aca="false">IF(T487&gt;0,D487,C487)</f>
        <v>0.109375</v>
      </c>
      <c r="D488" s="41" t="n">
        <f aca="false">(B488+C488)/2</f>
        <v>0.0859375</v>
      </c>
      <c r="E488" s="15" t="n">
        <f aca="false">$C$2*(1+IF(E$3&lt;=$O$2,$D488,$D488-($D488-$I$481)*MIN(E$3-$O$2,$Q$2)/$Q$2))</f>
        <v>6993.4375</v>
      </c>
      <c r="F488" s="15" t="n">
        <f aca="false">E488*(1+IF(F$3&lt;=$O$2,$D488,$D488-($D488-$I$481)*MIN(F$3-$O$2,$Q$2)/$Q$2))</f>
        <v>7594.43603515625</v>
      </c>
      <c r="G488" s="15" t="n">
        <f aca="false">F488*(1+IF(G$3&lt;=$O$2,$D488,$D488-($D488-$I$481)*MIN(G$3-$O$2,$Q$2)/$Q$2))</f>
        <v>8247.08288192749</v>
      </c>
      <c r="H488" s="15" t="n">
        <f aca="false">G488*(1+IF(H$3&lt;=$O$2,$D488,$D488-($D488-$I$481)*MIN(H$3-$O$2,$Q$2)/$Q$2))</f>
        <v>8955.81656709313</v>
      </c>
      <c r="I488" s="15" t="n">
        <f aca="false">H488*(1+IF(I$3&lt;=$O$2,$D488,$D488-($D488-$I$481)*MIN(I$3-$O$2,$Q$2)/$Q$2))</f>
        <v>9725.4570533277</v>
      </c>
      <c r="J488" s="15" t="n">
        <f aca="false">I488*(1+IF(J$3&lt;=$O$2,$D488,$D488-($D488-$I$481)*MIN(J$3-$O$2,$Q$2)/$Q$2))</f>
        <v>10439.4028556125</v>
      </c>
      <c r="K488" s="15" t="n">
        <f aca="false">J488*(1+IF(K$3&lt;=$O$2,$D488,$D488-($D488-$I$481)*MIN(K$3-$O$2,$Q$2)/$Q$2))</f>
        <v>11074.9797999693</v>
      </c>
      <c r="L488" s="15" t="n">
        <f aca="false">K488*(1+IF(L$3&lt;=$O$2,$D488,$D488-($D488-$I$481)*MIN(L$3-$O$2,$Q$2)/$Q$2))</f>
        <v>11610.5104481968</v>
      </c>
      <c r="M488" s="15" t="n">
        <f aca="false">L488*(1+IF(M$3&lt;=$O$2,$D488,$D488-($D488-$I$481)*MIN(M$3-$O$2,$Q$2)/$Q$2))</f>
        <v>12026.4860112796</v>
      </c>
      <c r="N488" s="15" t="n">
        <f aca="false">M488*(1+IF(N$3&lt;=$O$2,$D488,$D488-($D488-$I$481)*MIN(N$3-$O$2,$Q$2)/$Q$2))</f>
        <v>12306.7031353424</v>
      </c>
      <c r="O488" s="15" t="n">
        <f aca="false">SUMPRODUCT(E488:N488,1/(1+$F$481)^$E$3:$N$3)*$E$2</f>
        <v>11577.2149987058</v>
      </c>
      <c r="P488" s="15" t="n">
        <f aca="false">N488*$E$2*(1+$I$481)/($F$481-$I$481)/(1+$F$481)^$N$3</f>
        <v>12676.7532695982</v>
      </c>
      <c r="Q488" s="15" t="n">
        <f aca="false">O488+P488</f>
        <v>24253.968268304</v>
      </c>
      <c r="R488" s="15" t="n">
        <f aca="false">Q488-$G$2+$I$2</f>
        <v>18954.068268304</v>
      </c>
      <c r="S488" s="42" t="n">
        <f aca="false">R488/$K$2</f>
        <v>161.338681207899</v>
      </c>
      <c r="T488" s="43" t="n">
        <f aca="false">S488-$M$2</f>
        <v>14.1646941462716</v>
      </c>
    </row>
    <row r="489" customFormat="false" ht="15" hidden="false" customHeight="false" outlineLevel="0" collapsed="false">
      <c r="A489" s="5" t="n">
        <v>7</v>
      </c>
      <c r="B489" s="25" t="n">
        <f aca="false">IF(T488&gt;0,B488,D488)</f>
        <v>0.0625</v>
      </c>
      <c r="C489" s="25" t="n">
        <f aca="false">IF(T488&gt;0,D488,C488)</f>
        <v>0.0859375</v>
      </c>
      <c r="D489" s="41" t="n">
        <f aca="false">(B489+C489)/2</f>
        <v>0.07421875</v>
      </c>
      <c r="E489" s="15" t="n">
        <f aca="false">$C$2*(1+IF(E$3&lt;=$O$2,$D489,$D489-($D489-$I$481)*MIN(E$3-$O$2,$Q$2)/$Q$2))</f>
        <v>6917.96875</v>
      </c>
      <c r="F489" s="15" t="n">
        <f aca="false">E489*(1+IF(F$3&lt;=$O$2,$D489,$D489-($D489-$I$481)*MIN(F$3-$O$2,$Q$2)/$Q$2))</f>
        <v>7431.41174316406</v>
      </c>
      <c r="G489" s="15" t="n">
        <f aca="false">F489*(1+IF(G$3&lt;=$O$2,$D489,$D489-($D489-$I$481)*MIN(G$3-$O$2,$Q$2)/$Q$2))</f>
        <v>7982.96183347702</v>
      </c>
      <c r="H489" s="15" t="n">
        <f aca="false">G489*(1+IF(H$3&lt;=$O$2,$D489,$D489-($D489-$I$481)*MIN(H$3-$O$2,$Q$2)/$Q$2))</f>
        <v>8575.44728205539</v>
      </c>
      <c r="I489" s="15" t="n">
        <f aca="false">H489*(1+IF(I$3&lt;=$O$2,$D489,$D489-($D489-$I$481)*MIN(I$3-$O$2,$Q$2)/$Q$2))</f>
        <v>9211.90626002044</v>
      </c>
      <c r="J489" s="15" t="n">
        <f aca="false">I489*(1+IF(J$3&lt;=$O$2,$D489,$D489-($D489-$I$481)*MIN(J$3-$O$2,$Q$2)/$Q$2))</f>
        <v>9801.79067738085</v>
      </c>
      <c r="K489" s="15" t="n">
        <f aca="false">J489*(1+IF(K$3&lt;=$O$2,$D489,$D489-($D489-$I$481)*MIN(K$3-$O$2,$Q$2)/$Q$2))</f>
        <v>10329.6293575962</v>
      </c>
      <c r="L489" s="15" t="n">
        <f aca="false">K489*(1+IF(L$3&lt;=$O$2,$D489,$D489-($D489-$I$481)*MIN(L$3-$O$2,$Q$2)/$Q$2))</f>
        <v>10780.698447569</v>
      </c>
      <c r="M489" s="15" t="n">
        <f aca="false">L489*(1+IF(M$3&lt;=$O$2,$D489,$D489-($D489-$I$481)*MIN(M$3-$O$2,$Q$2)/$Q$2))</f>
        <v>11141.6766592128</v>
      </c>
      <c r="N489" s="15" t="n">
        <f aca="false">M489*(1+IF(N$3&lt;=$O$2,$D489,$D489-($D489-$I$481)*MIN(N$3-$O$2,$Q$2)/$Q$2))</f>
        <v>11401.2777253724</v>
      </c>
      <c r="O489" s="15" t="n">
        <f aca="false">SUMPRODUCT(E489:N489,1/(1+$F$481)^$E$3:$N$3)*$E$2</f>
        <v>11009.7366249423</v>
      </c>
      <c r="P489" s="15" t="n">
        <f aca="false">N489*$E$2*(1+$I$481)/($F$481-$I$481)/(1+$F$481)^$N$3</f>
        <v>11744.1026319752</v>
      </c>
      <c r="Q489" s="15" t="n">
        <f aca="false">O489+P489</f>
        <v>22753.8392569175</v>
      </c>
      <c r="R489" s="15" t="n">
        <f aca="false">Q489-$G$2+$I$2</f>
        <v>17453.9392569175</v>
      </c>
      <c r="S489" s="42" t="n">
        <f aca="false">R489/$K$2</f>
        <v>148.569452306073</v>
      </c>
      <c r="T489" s="43" t="n">
        <f aca="false">S489-$M$2</f>
        <v>1.39546524444577</v>
      </c>
    </row>
    <row r="490" customFormat="false" ht="15" hidden="false" customHeight="false" outlineLevel="0" collapsed="false">
      <c r="A490" s="5" t="n">
        <v>8</v>
      </c>
      <c r="B490" s="25" t="n">
        <f aca="false">IF(T489&gt;0,B489,D489)</f>
        <v>0.0625</v>
      </c>
      <c r="C490" s="25" t="n">
        <f aca="false">IF(T489&gt;0,D489,C489)</f>
        <v>0.07421875</v>
      </c>
      <c r="D490" s="41" t="n">
        <f aca="false">(B490+C490)/2</f>
        <v>0.068359375</v>
      </c>
      <c r="E490" s="15" t="n">
        <f aca="false">$C$2*(1+IF(E$3&lt;=$O$2,$D490,$D490-($D490-$I$481)*MIN(E$3-$O$2,$Q$2)/$Q$2))</f>
        <v>6880.234375</v>
      </c>
      <c r="F490" s="15" t="n">
        <f aca="false">E490*(1+IF(F$3&lt;=$O$2,$D490,$D490-($D490-$I$481)*MIN(F$3-$O$2,$Q$2)/$Q$2))</f>
        <v>7350.56289672852</v>
      </c>
      <c r="G490" s="15" t="n">
        <f aca="false">F490*(1+IF(G$3&lt;=$O$2,$D490,$D490-($D490-$I$481)*MIN(G$3-$O$2,$Q$2)/$Q$2))</f>
        <v>7853.04278224707</v>
      </c>
      <c r="H490" s="15" t="n">
        <f aca="false">G490*(1+IF(H$3&lt;=$O$2,$D490,$D490-($D490-$I$481)*MIN(H$3-$O$2,$Q$2)/$Q$2))</f>
        <v>8389.87187868974</v>
      </c>
      <c r="I490" s="15" t="n">
        <f aca="false">H490*(1+IF(I$3&lt;=$O$2,$D490,$D490-($D490-$I$481)*MIN(I$3-$O$2,$Q$2)/$Q$2))</f>
        <v>8963.39827664704</v>
      </c>
      <c r="J490" s="15" t="n">
        <f aca="false">I490*(1+IF(J$3&lt;=$O$2,$D490,$D490-($D490-$I$481)*MIN(J$3-$O$2,$Q$2)/$Q$2))</f>
        <v>9495.35355587035</v>
      </c>
      <c r="K490" s="15" t="n">
        <f aca="false">J490*(1+IF(K$3&lt;=$O$2,$D490,$D490-($D490-$I$481)*MIN(K$3-$O$2,$Q$2)/$Q$2))</f>
        <v>9973.30811170106</v>
      </c>
      <c r="L490" s="15" t="n">
        <f aca="false">K490*(1+IF(L$3&lt;=$O$2,$D490,$D490-($D490-$I$481)*MIN(L$3-$O$2,$Q$2)/$Q$2))</f>
        <v>10385.442602782</v>
      </c>
      <c r="M490" s="15" t="n">
        <f aca="false">L490*(1+IF(M$3&lt;=$O$2,$D490,$D490-($D490-$I$481)*MIN(M$3-$O$2,$Q$2)/$Q$2))</f>
        <v>10721.0157259827</v>
      </c>
      <c r="N490" s="15" t="n">
        <f aca="false">M490*(1+IF(N$3&lt;=$O$2,$D490,$D490-($D490-$I$481)*MIN(N$3-$O$2,$Q$2)/$Q$2))</f>
        <v>10970.8153923981</v>
      </c>
      <c r="O490" s="15" t="n">
        <f aca="false">SUMPRODUCT(E490:N490,1/(1+$F$481)^$E$3:$N$3)*$E$2</f>
        <v>10736.5650393221</v>
      </c>
      <c r="P490" s="15" t="n">
        <f aca="false">N490*$E$2*(1+$I$481)/($F$481-$I$481)/(1+$F$481)^$N$3</f>
        <v>11300.6967313892</v>
      </c>
      <c r="Q490" s="15" t="n">
        <f aca="false">O490+P490</f>
        <v>22037.2617707113</v>
      </c>
      <c r="R490" s="15" t="n">
        <f aca="false">Q490-$G$2+$I$2</f>
        <v>16737.3617707113</v>
      </c>
      <c r="S490" s="42" t="n">
        <f aca="false">R490/$K$2</f>
        <v>142.46988228389</v>
      </c>
      <c r="T490" s="43" t="n">
        <f aca="false">S490-$M$2</f>
        <v>-4.70410477773797</v>
      </c>
    </row>
    <row r="491" customFormat="false" ht="15" hidden="false" customHeight="false" outlineLevel="0" collapsed="false">
      <c r="A491" s="5" t="n">
        <v>9</v>
      </c>
      <c r="B491" s="25" t="n">
        <f aca="false">IF(T490&gt;0,B490,D490)</f>
        <v>0.068359375</v>
      </c>
      <c r="C491" s="25" t="n">
        <f aca="false">IF(T490&gt;0,D490,C490)</f>
        <v>0.07421875</v>
      </c>
      <c r="D491" s="41" t="n">
        <f aca="false">(B491+C491)/2</f>
        <v>0.0712890625</v>
      </c>
      <c r="E491" s="15" t="n">
        <f aca="false">$C$2*(1+IF(E$3&lt;=$O$2,$D491,$D491-($D491-$I$481)*MIN(E$3-$O$2,$Q$2)/$Q$2))</f>
        <v>6899.1015625</v>
      </c>
      <c r="F491" s="15" t="n">
        <f aca="false">E491*(1+IF(F$3&lt;=$O$2,$D491,$D491-($D491-$I$481)*MIN(F$3-$O$2,$Q$2)/$Q$2))</f>
        <v>7390.93204498291</v>
      </c>
      <c r="G491" s="15" t="n">
        <f aca="false">F491*(1+IF(G$3&lt;=$O$2,$D491,$D491-($D491-$I$481)*MIN(G$3-$O$2,$Q$2)/$Q$2))</f>
        <v>7917.82466147095</v>
      </c>
      <c r="H491" s="15" t="n">
        <f aca="false">G491*(1+IF(H$3&lt;=$O$2,$D491,$D491-($D491-$I$481)*MIN(H$3-$O$2,$Q$2)/$Q$2))</f>
        <v>8482.27895862659</v>
      </c>
      <c r="I491" s="15" t="n">
        <f aca="false">H491*(1+IF(I$3&lt;=$O$2,$D491,$D491-($D491-$I$481)*MIN(I$3-$O$2,$Q$2)/$Q$2))</f>
        <v>9086.97267345056</v>
      </c>
      <c r="J491" s="15" t="n">
        <f aca="false">I491*(1+IF(J$3&lt;=$O$2,$D491,$D491-($D491-$I$481)*MIN(J$3-$O$2,$Q$2)/$Q$2))</f>
        <v>9647.55937639157</v>
      </c>
      <c r="K491" s="15" t="n">
        <f aca="false">J491*(1+IF(K$3&lt;=$O$2,$D491,$D491-($D491-$I$481)*MIN(K$3-$O$2,$Q$2)/$Q$2))</f>
        <v>10150.1339077932</v>
      </c>
      <c r="L491" s="15" t="n">
        <f aca="false">K491*(1+IF(L$3&lt;=$O$2,$D491,$D491-($D491-$I$481)*MIN(L$3-$O$2,$Q$2)/$Q$2))</f>
        <v>10581.4701920385</v>
      </c>
      <c r="M491" s="15" t="n">
        <f aca="false">L491*(1+IF(M$3&lt;=$O$2,$D491,$D491-($D491-$I$481)*MIN(M$3-$O$2,$Q$2)/$Q$2))</f>
        <v>10929.5774143905</v>
      </c>
      <c r="N491" s="15" t="n">
        <f aca="false">M491*(1+IF(N$3&lt;=$O$2,$D491,$D491-($D491-$I$481)*MIN(N$3-$O$2,$Q$2)/$Q$2))</f>
        <v>11184.2365681458</v>
      </c>
      <c r="O491" s="15" t="n">
        <f aca="false">SUMPRODUCT(E491:N491,1/(1+$F$481)^$E$3:$N$3)*$E$2</f>
        <v>10872.2874258851</v>
      </c>
      <c r="P491" s="15" t="n">
        <f aca="false">N491*$E$2*(1+$I$481)/($F$481-$I$481)/(1+$F$481)^$N$3</f>
        <v>11520.5352663492</v>
      </c>
      <c r="Q491" s="15" t="n">
        <f aca="false">O491+P491</f>
        <v>22392.8226922343</v>
      </c>
      <c r="R491" s="15" t="n">
        <f aca="false">Q491-$G$2+$I$2</f>
        <v>17092.9226922343</v>
      </c>
      <c r="S491" s="42" t="n">
        <f aca="false">R491/$K$2</f>
        <v>145.496447839924</v>
      </c>
      <c r="T491" s="43" t="n">
        <f aca="false">S491-$M$2</f>
        <v>-1.6775392217032</v>
      </c>
    </row>
    <row r="492" customFormat="false" ht="15" hidden="false" customHeight="false" outlineLevel="0" collapsed="false">
      <c r="A492" s="5" t="n">
        <v>10</v>
      </c>
      <c r="B492" s="25" t="n">
        <f aca="false">IF(T491&gt;0,B491,D491)</f>
        <v>0.0712890625</v>
      </c>
      <c r="C492" s="25" t="n">
        <f aca="false">IF(T491&gt;0,D491,C491)</f>
        <v>0.07421875</v>
      </c>
      <c r="D492" s="41" t="n">
        <f aca="false">(B492+C492)/2</f>
        <v>0.07275390625</v>
      </c>
      <c r="E492" s="15" t="n">
        <f aca="false">$C$2*(1+IF(E$3&lt;=$O$2,$D492,$D492-($D492-$I$481)*MIN(E$3-$O$2,$Q$2)/$Q$2))</f>
        <v>6908.53515625</v>
      </c>
      <c r="F492" s="15" t="n">
        <f aca="false">E492*(1+IF(F$3&lt;=$O$2,$D492,$D492-($D492-$I$481)*MIN(F$3-$O$2,$Q$2)/$Q$2))</f>
        <v>7411.15807533264</v>
      </c>
      <c r="G492" s="15" t="n">
        <f aca="false">F492*(1+IF(G$3&lt;=$O$2,$D492,$D492-($D492-$I$481)*MIN(G$3-$O$2,$Q$2)/$Q$2))</f>
        <v>7950.34877514932</v>
      </c>
      <c r="H492" s="15" t="n">
        <f aca="false">G492*(1+IF(H$3&lt;=$O$2,$D492,$D492-($D492-$I$481)*MIN(H$3-$O$2,$Q$2)/$Q$2))</f>
        <v>8528.76770459134</v>
      </c>
      <c r="I492" s="15" t="n">
        <f aca="false">H492*(1+IF(I$3&lt;=$O$2,$D492,$D492-($D492-$I$481)*MIN(I$3-$O$2,$Q$2)/$Q$2))</f>
        <v>9149.2688705992</v>
      </c>
      <c r="J492" s="15" t="n">
        <f aca="false">I492*(1+IF(J$3&lt;=$O$2,$D492,$D492-($D492-$I$481)*MIN(J$3-$O$2,$Q$2)/$Q$2))</f>
        <v>9724.42050327029</v>
      </c>
      <c r="K492" s="15" t="n">
        <f aca="false">J492*(1+IF(K$3&lt;=$O$2,$D492,$D492-($D492-$I$481)*MIN(K$3-$O$2,$Q$2)/$Q$2))</f>
        <v>10239.5458489391</v>
      </c>
      <c r="L492" s="15" t="n">
        <f aca="false">K492*(1+IF(L$3&lt;=$O$2,$D492,$D492-($D492-$I$481)*MIN(L$3-$O$2,$Q$2)/$Q$2))</f>
        <v>10680.6814834018</v>
      </c>
      <c r="M492" s="15" t="n">
        <f aca="false">L492*(1+IF(M$3&lt;=$O$2,$D492,$D492-($D492-$I$481)*MIN(M$3-$O$2,$Q$2)/$Q$2))</f>
        <v>11035.1816461183</v>
      </c>
      <c r="N492" s="15" t="n">
        <f aca="false">M492*(1+IF(N$3&lt;=$O$2,$D492,$D492-($D492-$I$481)*MIN(N$3-$O$2,$Q$2)/$Q$2))</f>
        <v>11292.3013784728</v>
      </c>
      <c r="O492" s="15" t="n">
        <f aca="false">SUMPRODUCT(E492:N492,1/(1+$F$481)^$E$3:$N$3)*$E$2</f>
        <v>10940.7948967013</v>
      </c>
      <c r="P492" s="15" t="n">
        <f aca="false">N492*$E$2*(1+$I$481)/($F$481-$I$481)/(1+$F$481)^$N$3</f>
        <v>11631.8494763838</v>
      </c>
      <c r="Q492" s="15" t="n">
        <f aca="false">O492+P492</f>
        <v>22572.6443730851</v>
      </c>
      <c r="R492" s="15" t="n">
        <f aca="false">Q492-$G$2+$I$2</f>
        <v>17272.7443730851</v>
      </c>
      <c r="S492" s="42" t="n">
        <f aca="false">R492/$K$2</f>
        <v>147.027105661262</v>
      </c>
      <c r="T492" s="43" t="n">
        <f aca="false">S492-$M$2</f>
        <v>-0.146881400365118</v>
      </c>
    </row>
    <row r="493" customFormat="false" ht="15" hidden="false" customHeight="false" outlineLevel="0" collapsed="false">
      <c r="A493" s="5" t="n">
        <v>11</v>
      </c>
      <c r="B493" s="25" t="n">
        <f aca="false">IF(T492&gt;0,B492,D492)</f>
        <v>0.07275390625</v>
      </c>
      <c r="C493" s="25" t="n">
        <f aca="false">IF(T492&gt;0,D492,C492)</f>
        <v>0.07421875</v>
      </c>
      <c r="D493" s="41" t="n">
        <f aca="false">(B493+C493)/2</f>
        <v>0.073486328125</v>
      </c>
      <c r="E493" s="15" t="n">
        <f aca="false">$C$2*(1+IF(E$3&lt;=$O$2,$D493,$D493-($D493-$I$481)*MIN(E$3-$O$2,$Q$2)/$Q$2))</f>
        <v>6913.251953125</v>
      </c>
      <c r="F493" s="15" t="n">
        <f aca="false">E493*(1+IF(F$3&lt;=$O$2,$D493,$D493-($D493-$I$481)*MIN(F$3-$O$2,$Q$2)/$Q$2))</f>
        <v>7421.28145456314</v>
      </c>
      <c r="G493" s="15" t="n">
        <f aca="false">F493*(1+IF(G$3&lt;=$O$2,$D493,$D493-($D493-$I$481)*MIN(G$3-$O$2,$Q$2)/$Q$2))</f>
        <v>7966.64417864115</v>
      </c>
      <c r="H493" s="15" t="n">
        <f aca="false">G493*(1+IF(H$3&lt;=$O$2,$D493,$D493-($D493-$I$481)*MIN(H$3-$O$2,$Q$2)/$Q$2))</f>
        <v>8552.08360680789</v>
      </c>
      <c r="I493" s="15" t="n">
        <f aca="false">H493*(1+IF(I$3&lt;=$O$2,$D493,$D493-($D493-$I$481)*MIN(I$3-$O$2,$Q$2)/$Q$2))</f>
        <v>9180.54482889021</v>
      </c>
      <c r="J493" s="15" t="n">
        <f aca="false">I493*(1+IF(J$3&lt;=$O$2,$D493,$D493-($D493-$I$481)*MIN(J$3-$O$2,$Q$2)/$Q$2))</f>
        <v>9763.04179152251</v>
      </c>
      <c r="K493" s="15" t="n">
        <f aca="false">J493*(1+IF(K$3&lt;=$O$2,$D493,$D493-($D493-$I$481)*MIN(K$3-$O$2,$Q$2)/$Q$2))</f>
        <v>10284.5033965735</v>
      </c>
      <c r="L493" s="15" t="n">
        <f aca="false">K493*(1+IF(L$3&lt;=$O$2,$D493,$D493-($D493-$I$481)*MIN(L$3-$O$2,$Q$2)/$Q$2))</f>
        <v>10730.5889105389</v>
      </c>
      <c r="M493" s="15" t="n">
        <f aca="false">L493*(1+IF(M$3&lt;=$O$2,$D493,$D493-($D493-$I$481)*MIN(M$3-$O$2,$Q$2)/$Q$2))</f>
        <v>11088.3174033622</v>
      </c>
      <c r="N493" s="15" t="n">
        <f aca="false">M493*(1+IF(N$3&lt;=$O$2,$D493,$D493-($D493-$I$481)*MIN(N$3-$O$2,$Q$2)/$Q$2))</f>
        <v>11346.6751988605</v>
      </c>
      <c r="O493" s="15" t="n">
        <f aca="false">SUMPRODUCT(E493:N493,1/(1+$F$481)^$E$3:$N$3)*$E$2</f>
        <v>10975.2113182813</v>
      </c>
      <c r="P493" s="15" t="n">
        <f aca="false">N493*$E$2*(1+$I$481)/($F$481-$I$481)/(1+$F$481)^$N$3</f>
        <v>11687.8582626363</v>
      </c>
      <c r="Q493" s="15" t="n">
        <f aca="false">O493+P493</f>
        <v>22663.0695809176</v>
      </c>
      <c r="R493" s="15" t="n">
        <f aca="false">Q493-$G$2+$I$2</f>
        <v>17363.1695809176</v>
      </c>
      <c r="S493" s="42" t="n">
        <f aca="false">R493/$K$2</f>
        <v>147.796812912135</v>
      </c>
      <c r="T493" s="43" t="n">
        <f aca="false">S493-$M$2</f>
        <v>0.622825850507354</v>
      </c>
    </row>
    <row r="494" customFormat="false" ht="15" hidden="false" customHeight="false" outlineLevel="0" collapsed="false">
      <c r="A494" s="5" t="n">
        <v>12</v>
      </c>
      <c r="B494" s="25" t="n">
        <f aca="false">IF(T493&gt;0,B493,D493)</f>
        <v>0.07275390625</v>
      </c>
      <c r="C494" s="25" t="n">
        <f aca="false">IF(T493&gt;0,D493,C493)</f>
        <v>0.073486328125</v>
      </c>
      <c r="D494" s="41" t="n">
        <f aca="false">(B494+C494)/2</f>
        <v>0.0731201171875</v>
      </c>
      <c r="E494" s="15" t="n">
        <f aca="false">$C$2*(1+IF(E$3&lt;=$O$2,$D494,$D494-($D494-$I$481)*MIN(E$3-$O$2,$Q$2)/$Q$2))</f>
        <v>6910.8935546875</v>
      </c>
      <c r="F494" s="15" t="n">
        <f aca="false">E494*(1+IF(F$3&lt;=$O$2,$D494,$D494-($D494-$I$481)*MIN(F$3-$O$2,$Q$2)/$Q$2))</f>
        <v>7416.21890127659</v>
      </c>
      <c r="G494" s="15" t="n">
        <f aca="false">F494*(1+IF(G$3&lt;=$O$2,$D494,$D494-($D494-$I$481)*MIN(G$3-$O$2,$Q$2)/$Q$2))</f>
        <v>7958.49369642609</v>
      </c>
      <c r="H494" s="15" t="n">
        <f aca="false">G494*(1+IF(H$3&lt;=$O$2,$D494,$D494-($D494-$I$481)*MIN(H$3-$O$2,$Q$2)/$Q$2))</f>
        <v>8540.41968814474</v>
      </c>
      <c r="I494" s="15" t="n">
        <f aca="false">H494*(1+IF(I$3&lt;=$O$2,$D494,$D494-($D494-$I$481)*MIN(I$3-$O$2,$Q$2)/$Q$2))</f>
        <v>9164.89617657232</v>
      </c>
      <c r="J494" s="15" t="n">
        <f aca="false">I494*(1+IF(J$3&lt;=$O$2,$D494,$D494-($D494-$I$481)*MIN(J$3-$O$2,$Q$2)/$Q$2))</f>
        <v>9743.71521870893</v>
      </c>
      <c r="K494" s="15" t="n">
        <f aca="false">J494*(1+IF(K$3&lt;=$O$2,$D494,$D494-($D494-$I$481)*MIN(K$3-$O$2,$Q$2)/$Q$2))</f>
        <v>10262.0036037275</v>
      </c>
      <c r="L494" s="15" t="n">
        <f aca="false">K494*(1+IF(L$3&lt;=$O$2,$D494,$D494-($D494-$I$481)*MIN(L$3-$O$2,$Q$2)/$Q$2))</f>
        <v>10705.6099765408</v>
      </c>
      <c r="M494" s="15" t="n">
        <f aca="false">L494*(1+IF(M$3&lt;=$O$2,$D494,$D494-($D494-$I$481)*MIN(M$3-$O$2,$Q$2)/$Q$2))</f>
        <v>11061.7216377132</v>
      </c>
      <c r="N494" s="15" t="n">
        <f aca="false">M494*(1+IF(N$3&lt;=$O$2,$D494,$D494-($D494-$I$481)*MIN(N$3-$O$2,$Q$2)/$Q$2))</f>
        <v>11319.4597518719</v>
      </c>
      <c r="O494" s="15" t="n">
        <f aca="false">SUMPRODUCT(E494:N494,1/(1+$F$481)^$E$3:$N$3)*$E$2</f>
        <v>10957.9895169336</v>
      </c>
      <c r="P494" s="15" t="n">
        <f aca="false">N494*$E$2*(1+$I$481)/($F$481-$I$481)/(1+$F$481)^$N$3</f>
        <v>11659.8244746427</v>
      </c>
      <c r="Q494" s="15" t="n">
        <f aca="false">O494+P494</f>
        <v>22617.8139915764</v>
      </c>
      <c r="R494" s="15" t="n">
        <f aca="false">Q494-$G$2+$I$2</f>
        <v>17317.9139915764</v>
      </c>
      <c r="S494" s="42" t="n">
        <f aca="false">R494/$K$2</f>
        <v>147.411593391014</v>
      </c>
      <c r="T494" s="43" t="n">
        <f aca="false">S494-$M$2</f>
        <v>0.237606329386779</v>
      </c>
    </row>
    <row r="495" customFormat="false" ht="15" hidden="false" customHeight="false" outlineLevel="0" collapsed="false">
      <c r="A495" s="5" t="n">
        <v>13</v>
      </c>
      <c r="B495" s="25" t="n">
        <f aca="false">IF(T494&gt;0,B494,D494)</f>
        <v>0.07275390625</v>
      </c>
      <c r="C495" s="25" t="n">
        <f aca="false">IF(T494&gt;0,D494,C494)</f>
        <v>0.0731201171875</v>
      </c>
      <c r="D495" s="41" t="n">
        <f aca="false">(B495+C495)/2</f>
        <v>0.07293701171875</v>
      </c>
      <c r="E495" s="15" t="n">
        <f aca="false">$C$2*(1+IF(E$3&lt;=$O$2,$D495,$D495-($D495-$I$481)*MIN(E$3-$O$2,$Q$2)/$Q$2))</f>
        <v>6909.71435546875</v>
      </c>
      <c r="F495" s="15" t="n">
        <f aca="false">E495*(1+IF(F$3&lt;=$O$2,$D495,$D495-($D495-$I$481)*MIN(F$3-$O$2,$Q$2)/$Q$2))</f>
        <v>7413.68827238679</v>
      </c>
      <c r="G495" s="15" t="n">
        <f aca="false">F495*(1+IF(G$3&lt;=$O$2,$D495,$D495-($D495-$I$481)*MIN(G$3-$O$2,$Q$2)/$Q$2))</f>
        <v>7954.42054078902</v>
      </c>
      <c r="H495" s="15" t="n">
        <f aca="false">G495*(1+IF(H$3&lt;=$O$2,$D495,$D495-($D495-$I$481)*MIN(H$3-$O$2,$Q$2)/$Q$2))</f>
        <v>8534.59220498842</v>
      </c>
      <c r="I495" s="15" t="n">
        <f aca="false">H495*(1+IF(I$3&lt;=$O$2,$D495,$D495-($D495-$I$481)*MIN(I$3-$O$2,$Q$2)/$Q$2))</f>
        <v>9157.07985665841</v>
      </c>
      <c r="J495" s="15" t="n">
        <f aca="false">I495*(1+IF(J$3&lt;=$O$2,$D495,$D495-($D495-$I$481)*MIN(J$3-$O$2,$Q$2)/$Q$2))</f>
        <v>9734.06388144214</v>
      </c>
      <c r="K495" s="15" t="n">
        <f aca="false">J495*(1+IF(K$3&lt;=$O$2,$D495,$D495-($D495-$I$481)*MIN(K$3-$O$2,$Q$2)/$Q$2))</f>
        <v>10250.7694756523</v>
      </c>
      <c r="L495" s="15" t="n">
        <f aca="false">K495*(1+IF(L$3&lt;=$O$2,$D495,$D495-($D495-$I$481)*MIN(L$3-$O$2,$Q$2)/$Q$2))</f>
        <v>10693.1394302706</v>
      </c>
      <c r="M495" s="15" t="n">
        <f aca="false">L495*(1+IF(M$3&lt;=$O$2,$D495,$D495-($D495-$I$481)*MIN(M$3-$O$2,$Q$2)/$Q$2))</f>
        <v>11048.444676438</v>
      </c>
      <c r="N495" s="15" t="n">
        <f aca="false">M495*(1+IF(N$3&lt;=$O$2,$D495,$D495-($D495-$I$481)*MIN(N$3-$O$2,$Q$2)/$Q$2))</f>
        <v>11305.8734373991</v>
      </c>
      <c r="O495" s="15" t="n">
        <f aca="false">SUMPRODUCT(E495:N495,1/(1+$F$481)^$E$3:$N$3)*$E$2</f>
        <v>10949.3888116849</v>
      </c>
      <c r="P495" s="15" t="n">
        <f aca="false">N495*$E$2*(1+$I$481)/($F$481-$I$481)/(1+$F$481)^$N$3</f>
        <v>11645.829633415</v>
      </c>
      <c r="Q495" s="15" t="n">
        <f aca="false">O495+P495</f>
        <v>22595.2184450999</v>
      </c>
      <c r="R495" s="15" t="n">
        <f aca="false">Q495-$G$2+$I$2</f>
        <v>17295.3184450999</v>
      </c>
      <c r="S495" s="42" t="n">
        <f aca="false">R495/$K$2</f>
        <v>147.219258129894</v>
      </c>
      <c r="T495" s="43" t="n">
        <f aca="false">S495-$M$2</f>
        <v>0.0452710682662314</v>
      </c>
    </row>
    <row r="496" customFormat="false" ht="15" hidden="false" customHeight="false" outlineLevel="0" collapsed="false">
      <c r="A496" s="5" t="n">
        <v>14</v>
      </c>
      <c r="B496" s="25" t="n">
        <f aca="false">IF(T495&gt;0,B495,D495)</f>
        <v>0.07275390625</v>
      </c>
      <c r="C496" s="25" t="n">
        <f aca="false">IF(T495&gt;0,D495,C495)</f>
        <v>0.07293701171875</v>
      </c>
      <c r="D496" s="41" t="n">
        <f aca="false">(B496+C496)/2</f>
        <v>0.072845458984375</v>
      </c>
      <c r="E496" s="15" t="n">
        <f aca="false">$C$2*(1+IF(E$3&lt;=$O$2,$D496,$D496-($D496-$I$481)*MIN(E$3-$O$2,$Q$2)/$Q$2))</f>
        <v>6909.12475585938</v>
      </c>
      <c r="F496" s="15" t="n">
        <f aca="false">E496*(1+IF(F$3&lt;=$O$2,$D496,$D496-($D496-$I$481)*MIN(F$3-$O$2,$Q$2)/$Q$2))</f>
        <v>7412.42311988026</v>
      </c>
      <c r="G496" s="15" t="n">
        <f aca="false">F496*(1+IF(G$3&lt;=$O$2,$D496,$D496-($D496-$I$481)*MIN(G$3-$O$2,$Q$2)/$Q$2))</f>
        <v>7952.38448423433</v>
      </c>
      <c r="H496" s="15" t="n">
        <f aca="false">G496*(1+IF(H$3&lt;=$O$2,$D496,$D496-($D496-$I$481)*MIN(H$3-$O$2,$Q$2)/$Q$2))</f>
        <v>8531.6795820086</v>
      </c>
      <c r="I496" s="15" t="n">
        <f aca="false">H496*(1+IF(I$3&lt;=$O$2,$D496,$D496-($D496-$I$481)*MIN(I$3-$O$2,$Q$2)/$Q$2))</f>
        <v>9153.17369706764</v>
      </c>
      <c r="J496" s="15" t="n">
        <f aca="false">I496*(1+IF(J$3&lt;=$O$2,$D496,$D496-($D496-$I$481)*MIN(J$3-$O$2,$Q$2)/$Q$2))</f>
        <v>9729.24119779725</v>
      </c>
      <c r="K496" s="15" t="n">
        <f aca="false">J496*(1+IF(K$3&lt;=$O$2,$D496,$D496-($D496-$I$481)*MIN(K$3-$O$2,$Q$2)/$Q$2))</f>
        <v>10245.1563501347</v>
      </c>
      <c r="L496" s="15" t="n">
        <f aca="false">K496*(1+IF(L$3&lt;=$O$2,$D496,$D496-($D496-$I$481)*MIN(L$3-$O$2,$Q$2)/$Q$2))</f>
        <v>10686.9088825864</v>
      </c>
      <c r="M496" s="15" t="n">
        <f aca="false">L496*(1+IF(M$3&lt;=$O$2,$D496,$D496-($D496-$I$481)*MIN(M$3-$O$2,$Q$2)/$Q$2))</f>
        <v>11041.8114206931</v>
      </c>
      <c r="N496" s="15" t="n">
        <f aca="false">M496*(1+IF(N$3&lt;=$O$2,$D496,$D496-($D496-$I$481)*MIN(N$3-$O$2,$Q$2)/$Q$2))</f>
        <v>11299.0856267952</v>
      </c>
      <c r="O496" s="15" t="n">
        <f aca="false">SUMPRODUCT(E496:N496,1/(1+$F$481)^$E$3:$N$3)*$E$2</f>
        <v>10945.0910057231</v>
      </c>
      <c r="P496" s="15" t="n">
        <f aca="false">N496*$E$2*(1+$I$481)/($F$481-$I$481)/(1+$F$481)^$N$3</f>
        <v>11638.8377202016</v>
      </c>
      <c r="Q496" s="15" t="n">
        <f aca="false">O496+P496</f>
        <v>22583.9287259248</v>
      </c>
      <c r="R496" s="15" t="n">
        <f aca="false">Q496-$G$2+$I$2</f>
        <v>17284.0287259248</v>
      </c>
      <c r="S496" s="42" t="n">
        <f aca="false">R496/$K$2</f>
        <v>147.12315905622</v>
      </c>
      <c r="T496" s="43" t="n">
        <f aca="false">S496-$M$2</f>
        <v>-0.0508280054072543</v>
      </c>
    </row>
    <row r="497" customFormat="false" ht="15" hidden="false" customHeight="false" outlineLevel="0" collapsed="false">
      <c r="A497" s="5" t="n">
        <v>15</v>
      </c>
      <c r="B497" s="25" t="n">
        <f aca="false">IF(T496&gt;0,B496,D496)</f>
        <v>0.072845458984375</v>
      </c>
      <c r="C497" s="25" t="n">
        <f aca="false">IF(T496&gt;0,D496,C496)</f>
        <v>0.07293701171875</v>
      </c>
      <c r="D497" s="41" t="n">
        <f aca="false">(B497+C497)/2</f>
        <v>0.0728912353515625</v>
      </c>
      <c r="E497" s="15" t="n">
        <f aca="false">$C$2*(1+IF(E$3&lt;=$O$2,$D497,$D497-($D497-$I$481)*MIN(E$3-$O$2,$Q$2)/$Q$2))</f>
        <v>6909.41955566406</v>
      </c>
      <c r="F497" s="15" t="n">
        <f aca="false">E497*(1+IF(F$3&lt;=$O$2,$D497,$D497-($D497-$I$481)*MIN(F$3-$O$2,$Q$2)/$Q$2))</f>
        <v>7413.05568263866</v>
      </c>
      <c r="G497" s="15" t="n">
        <f aca="false">F497*(1+IF(G$3&lt;=$O$2,$D497,$D497-($D497-$I$481)*MIN(G$3-$O$2,$Q$2)/$Q$2))</f>
        <v>7953.40246907611</v>
      </c>
      <c r="H497" s="15" t="n">
        <f aca="false">G497*(1+IF(H$3&lt;=$O$2,$D497,$D497-($D497-$I$481)*MIN(H$3-$O$2,$Q$2)/$Q$2))</f>
        <v>8533.13580029524</v>
      </c>
      <c r="I497" s="15" t="n">
        <f aca="false">H497*(1+IF(I$3&lt;=$O$2,$D497,$D497-($D497-$I$481)*MIN(I$3-$O$2,$Q$2)/$Q$2))</f>
        <v>9155.1266102014</v>
      </c>
      <c r="J497" s="15" t="n">
        <f aca="false">I497*(1+IF(J$3&lt;=$O$2,$D497,$D497-($D497-$I$481)*MIN(J$3-$O$2,$Q$2)/$Q$2))</f>
        <v>9731.65229093898</v>
      </c>
      <c r="K497" s="15" t="n">
        <f aca="false">J497*(1+IF(K$3&lt;=$O$2,$D497,$D497-($D497-$I$481)*MIN(K$3-$O$2,$Q$2)/$Q$2))</f>
        <v>10247.9625847896</v>
      </c>
      <c r="L497" s="15" t="n">
        <f aca="false">K497*(1+IF(L$3&lt;=$O$2,$D497,$D497-($D497-$I$481)*MIN(L$3-$O$2,$Q$2)/$Q$2))</f>
        <v>10690.0237627817</v>
      </c>
      <c r="M497" s="15" t="n">
        <f aca="false">L497*(1+IF(M$3&lt;=$O$2,$D497,$D497-($D497-$I$481)*MIN(M$3-$O$2,$Q$2)/$Q$2))</f>
        <v>11045.1276133213</v>
      </c>
      <c r="N497" s="15" t="n">
        <f aca="false">M497*(1+IF(N$3&lt;=$O$2,$D497,$D497-($D497-$I$481)*MIN(N$3-$O$2,$Q$2)/$Q$2))</f>
        <v>11302.4790867117</v>
      </c>
      <c r="O497" s="15" t="n">
        <f aca="false">SUMPRODUCT(E497:N497,1/(1+$F$481)^$E$3:$N$3)*$E$2</f>
        <v>10947.2396965474</v>
      </c>
      <c r="P497" s="15" t="n">
        <f aca="false">N497*$E$2*(1+$I$481)/($F$481-$I$481)/(1+$F$481)^$N$3</f>
        <v>11642.3332180305</v>
      </c>
      <c r="Q497" s="15" t="n">
        <f aca="false">O497+P497</f>
        <v>22589.5729145779</v>
      </c>
      <c r="R497" s="15" t="n">
        <f aca="false">Q497-$G$2+$I$2</f>
        <v>17289.6729145779</v>
      </c>
      <c r="S497" s="42" t="n">
        <f aca="false">R497/$K$2</f>
        <v>147.171202882005</v>
      </c>
      <c r="T497" s="43" t="n">
        <f aca="false">S497-$M$2</f>
        <v>-0.00278417962266531</v>
      </c>
    </row>
    <row r="498" customFormat="false" ht="15" hidden="false" customHeight="false" outlineLevel="0" collapsed="false">
      <c r="A498" s="5" t="n">
        <v>16</v>
      </c>
      <c r="B498" s="25" t="n">
        <f aca="false">IF(T497&gt;0,B497,D497)</f>
        <v>0.0728912353515625</v>
      </c>
      <c r="C498" s="25" t="n">
        <f aca="false">IF(T497&gt;0,D497,C497)</f>
        <v>0.07293701171875</v>
      </c>
      <c r="D498" s="41" t="n">
        <f aca="false">(B498+C498)/2</f>
        <v>0.0729141235351563</v>
      </c>
      <c r="E498" s="15" t="n">
        <f aca="false">$C$2*(1+IF(E$3&lt;=$O$2,$D498,$D498-($D498-$I$481)*MIN(E$3-$O$2,$Q$2)/$Q$2))</f>
        <v>6909.56695556641</v>
      </c>
      <c r="F498" s="15" t="n">
        <f aca="false">E498*(1+IF(F$3&lt;=$O$2,$D498,$D498-($D498-$I$481)*MIN(F$3-$O$2,$Q$2)/$Q$2))</f>
        <v>7413.37197413901</v>
      </c>
      <c r="G498" s="15" t="n">
        <f aca="false">F498*(1+IF(G$3&lt;=$O$2,$D498,$D498-($D498-$I$481)*MIN(G$3-$O$2,$Q$2)/$Q$2))</f>
        <v>7953.91149407345</v>
      </c>
      <c r="H498" s="15" t="n">
        <f aca="false">G498*(1+IF(H$3&lt;=$O$2,$D498,$D498-($D498-$I$481)*MIN(H$3-$O$2,$Q$2)/$Q$2))</f>
        <v>8533.86397934002</v>
      </c>
      <c r="I498" s="15" t="n">
        <f aca="false">H498*(1+IF(I$3&lt;=$O$2,$D498,$D498-($D498-$I$481)*MIN(I$3-$O$2,$Q$2)/$Q$2))</f>
        <v>9156.10319176184</v>
      </c>
      <c r="J498" s="15" t="n">
        <f aca="false">I498*(1+IF(J$3&lt;=$O$2,$D498,$D498-($D498-$I$481)*MIN(J$3-$O$2,$Q$2)/$Q$2))</f>
        <v>9732.85802401525</v>
      </c>
      <c r="K498" s="15" t="n">
        <f aca="false">J498*(1+IF(K$3&lt;=$O$2,$D498,$D498-($D498-$I$481)*MIN(K$3-$O$2,$Q$2)/$Q$2))</f>
        <v>10249.365948187</v>
      </c>
      <c r="L498" s="15" t="n">
        <f aca="false">K498*(1+IF(L$3&lt;=$O$2,$D498,$D498-($D498-$I$481)*MIN(L$3-$O$2,$Q$2)/$Q$2))</f>
        <v>10691.5814981039</v>
      </c>
      <c r="M498" s="15" t="n">
        <f aca="false">L498*(1+IF(M$3&lt;=$O$2,$D498,$D498-($D498-$I$481)*MIN(M$3-$O$2,$Q$2)/$Q$2))</f>
        <v>11046.7860360563</v>
      </c>
      <c r="N498" s="15" t="n">
        <f aca="false">M498*(1+IF(N$3&lt;=$O$2,$D498,$D498-($D498-$I$481)*MIN(N$3-$O$2,$Q$2)/$Q$2))</f>
        <v>11304.1761506965</v>
      </c>
      <c r="O498" s="15" t="n">
        <f aca="false">SUMPRODUCT(E498:N498,1/(1+$F$481)^$E$3:$N$3)*$E$2</f>
        <v>10948.3142010721</v>
      </c>
      <c r="P498" s="15" t="n">
        <f aca="false">N498*$E$2*(1+$I$481)/($F$481-$I$481)/(1+$F$481)^$N$3</f>
        <v>11644.0813110154</v>
      </c>
      <c r="Q498" s="15" t="n">
        <f aca="false">O498+P498</f>
        <v>22592.3955120875</v>
      </c>
      <c r="R498" s="15" t="n">
        <f aca="false">Q498-$G$2+$I$2</f>
        <v>17292.4955120875</v>
      </c>
      <c r="S498" s="42" t="n">
        <f aca="false">R498/$K$2</f>
        <v>147.195229078035</v>
      </c>
      <c r="T498" s="43" t="n">
        <f aca="false">S498-$M$2</f>
        <v>0.0212420164071716</v>
      </c>
    </row>
    <row r="499" customFormat="false" ht="15" hidden="false" customHeight="false" outlineLevel="0" collapsed="false">
      <c r="A499" s="5" t="n">
        <v>17</v>
      </c>
      <c r="B499" s="25" t="n">
        <f aca="false">IF(T498&gt;0,B498,D498)</f>
        <v>0.0728912353515625</v>
      </c>
      <c r="C499" s="25" t="n">
        <f aca="false">IF(T498&gt;0,D498,C498)</f>
        <v>0.0729141235351563</v>
      </c>
      <c r="D499" s="41" t="n">
        <f aca="false">(B499+C499)/2</f>
        <v>0.0729026794433594</v>
      </c>
      <c r="E499" s="15" t="n">
        <f aca="false">$C$2*(1+IF(E$3&lt;=$O$2,$D499,$D499-($D499-$I$481)*MIN(E$3-$O$2,$Q$2)/$Q$2))</f>
        <v>6909.49325561523</v>
      </c>
      <c r="F499" s="15" t="n">
        <f aca="false">E499*(1+IF(F$3&lt;=$O$2,$D499,$D499-($D499-$I$481)*MIN(F$3-$O$2,$Q$2)/$Q$2))</f>
        <v>7413.21382754541</v>
      </c>
      <c r="G499" s="15" t="n">
        <f aca="false">F499*(1+IF(G$3&lt;=$O$2,$D499,$D499-($D499-$I$481)*MIN(G$3-$O$2,$Q$2)/$Q$2))</f>
        <v>7953.65697886003</v>
      </c>
      <c r="H499" s="15" t="n">
        <f aca="false">G499*(1+IF(H$3&lt;=$O$2,$D499,$D499-($D499-$I$481)*MIN(H$3-$O$2,$Q$2)/$Q$2))</f>
        <v>8533.4998839923</v>
      </c>
      <c r="I499" s="15" t="n">
        <f aca="false">H499*(1+IF(I$3&lt;=$O$2,$D499,$D499-($D499-$I$481)*MIN(I$3-$O$2,$Q$2)/$Q$2))</f>
        <v>9155.61489056493</v>
      </c>
      <c r="J499" s="15" t="n">
        <f aca="false">I499*(1+IF(J$3&lt;=$O$2,$D499,$D499-($D499-$I$481)*MIN(J$3-$O$2,$Q$2)/$Q$2))</f>
        <v>9732.25514193393</v>
      </c>
      <c r="K499" s="15" t="n">
        <f aca="false">J499*(1+IF(K$3&lt;=$O$2,$D499,$D499-($D499-$I$481)*MIN(K$3-$O$2,$Q$2)/$Q$2))</f>
        <v>10248.6642459808</v>
      </c>
      <c r="L499" s="15" t="n">
        <f aca="false">K499*(1+IF(L$3&lt;=$O$2,$D499,$D499-($D499-$I$481)*MIN(L$3-$O$2,$Q$2)/$Q$2))</f>
        <v>10690.8026058385</v>
      </c>
      <c r="M499" s="15" t="n">
        <f aca="false">L499*(1+IF(M$3&lt;=$O$2,$D499,$D499-($D499-$I$481)*MIN(M$3-$O$2,$Q$2)/$Q$2))</f>
        <v>11045.9567974845</v>
      </c>
      <c r="N499" s="15" t="n">
        <f aca="false">M499*(1+IF(N$3&lt;=$O$2,$D499,$D499-($D499-$I$481)*MIN(N$3-$O$2,$Q$2)/$Q$2))</f>
        <v>11303.3275908659</v>
      </c>
      <c r="O499" s="15" t="n">
        <f aca="false">SUMPRODUCT(E499:N499,1/(1+$F$481)^$E$3:$N$3)*$E$2</f>
        <v>10947.7769355494</v>
      </c>
      <c r="P499" s="15" t="n">
        <f aca="false">N499*$E$2*(1+$I$481)/($F$481-$I$481)/(1+$F$481)^$N$3</f>
        <v>11643.2072358477</v>
      </c>
      <c r="Q499" s="15" t="n">
        <f aca="false">O499+P499</f>
        <v>22590.9841713971</v>
      </c>
      <c r="R499" s="15" t="n">
        <f aca="false">Q499-$G$2+$I$2</f>
        <v>17291.0841713971</v>
      </c>
      <c r="S499" s="42" t="n">
        <f aca="false">R499/$K$2</f>
        <v>147.18321562306</v>
      </c>
      <c r="T499" s="43" t="n">
        <f aca="false">S499-$M$2</f>
        <v>0.00922856143256468</v>
      </c>
    </row>
    <row r="500" customFormat="false" ht="15" hidden="false" customHeight="false" outlineLevel="0" collapsed="false">
      <c r="A500" s="5" t="n">
        <v>18</v>
      </c>
      <c r="B500" s="25" t="n">
        <f aca="false">IF(T499&gt;0,B499,D499)</f>
        <v>0.0728912353515625</v>
      </c>
      <c r="C500" s="25" t="n">
        <f aca="false">IF(T499&gt;0,D499,C499)</f>
        <v>0.0729026794433594</v>
      </c>
      <c r="D500" s="41" t="n">
        <f aca="false">(B500+C500)/2</f>
        <v>0.0728969573974609</v>
      </c>
      <c r="E500" s="15" t="n">
        <f aca="false">$C$2*(1+IF(E$3&lt;=$O$2,$D500,$D500-($D500-$I$481)*MIN(E$3-$O$2,$Q$2)/$Q$2))</f>
        <v>6909.45640563965</v>
      </c>
      <c r="F500" s="15" t="n">
        <f aca="false">E500*(1+IF(F$3&lt;=$O$2,$D500,$D500-($D500-$I$481)*MIN(F$3-$O$2,$Q$2)/$Q$2))</f>
        <v>7413.13475488118</v>
      </c>
      <c r="G500" s="15" t="n">
        <f aca="false">F500*(1+IF(G$3&lt;=$O$2,$D500,$D500-($D500-$I$481)*MIN(G$3-$O$2,$Q$2)/$Q$2))</f>
        <v>7953.52972328939</v>
      </c>
      <c r="H500" s="15" t="n">
        <f aca="false">G500*(1+IF(H$3&lt;=$O$2,$D500,$D500-($D500-$I$481)*MIN(H$3-$O$2,$Q$2)/$Q$2))</f>
        <v>8533.31784068745</v>
      </c>
      <c r="I500" s="15" t="n">
        <f aca="false">H500*(1+IF(I$3&lt;=$O$2,$D500,$D500-($D500-$I$481)*MIN(I$3-$O$2,$Q$2)/$Q$2))</f>
        <v>9155.37074777904</v>
      </c>
      <c r="J500" s="15" t="n">
        <f aca="false">I500*(1+IF(J$3&lt;=$O$2,$D500,$D500-($D500-$I$481)*MIN(J$3-$O$2,$Q$2)/$Q$2))</f>
        <v>9731.95371255074</v>
      </c>
      <c r="K500" s="15" t="n">
        <f aca="false">J500*(1+IF(K$3&lt;=$O$2,$D500,$D500-($D500-$I$481)*MIN(K$3-$O$2,$Q$2)/$Q$2))</f>
        <v>10248.3134102584</v>
      </c>
      <c r="L500" s="15" t="n">
        <f aca="false">K500*(1+IF(L$3&lt;=$O$2,$D500,$D500-($D500-$I$481)*MIN(L$3-$O$2,$Q$2)/$Q$2))</f>
        <v>10690.4131781592</v>
      </c>
      <c r="M500" s="15" t="n">
        <f aca="false">L500*(1+IF(M$3&lt;=$O$2,$D500,$D500-($D500-$I$481)*MIN(M$3-$O$2,$Q$2)/$Q$2))</f>
        <v>11045.542198602</v>
      </c>
      <c r="N500" s="15" t="n">
        <f aca="false">M500*(1+IF(N$3&lt;=$O$2,$D500,$D500-($D500-$I$481)*MIN(N$3-$O$2,$Q$2)/$Q$2))</f>
        <v>11302.9033318294</v>
      </c>
      <c r="O500" s="15" t="n">
        <f aca="false">SUMPRODUCT(E500:N500,1/(1+$F$481)^$E$3:$N$3)*$E$2</f>
        <v>10947.5083127334</v>
      </c>
      <c r="P500" s="15" t="n">
        <f aca="false">N500*$E$2*(1+$I$481)/($F$481-$I$481)/(1+$F$481)^$N$3</f>
        <v>11642.7702197705</v>
      </c>
      <c r="Q500" s="15" t="n">
        <f aca="false">O500+P500</f>
        <v>22590.2785325039</v>
      </c>
      <c r="R500" s="15" t="n">
        <f aca="false">Q500-$G$2+$I$2</f>
        <v>17290.3785325039</v>
      </c>
      <c r="S500" s="42" t="n">
        <f aca="false">R500/$K$2</f>
        <v>147.177209163295</v>
      </c>
      <c r="T500" s="43" t="n">
        <f aca="false">S500-$M$2</f>
        <v>0.0032221016674896</v>
      </c>
    </row>
    <row r="501" customFormat="false" ht="15" hidden="false" customHeight="false" outlineLevel="0" collapsed="false">
      <c r="A501" s="5" t="n">
        <v>19</v>
      </c>
      <c r="B501" s="25" t="n">
        <f aca="false">IF(T500&gt;0,B500,D500)</f>
        <v>0.0728912353515625</v>
      </c>
      <c r="C501" s="25" t="n">
        <f aca="false">IF(T500&gt;0,D500,C500)</f>
        <v>0.0728969573974609</v>
      </c>
      <c r="D501" s="41" t="n">
        <f aca="false">(B501+C501)/2</f>
        <v>0.0728940963745117</v>
      </c>
      <c r="E501" s="15" t="n">
        <f aca="false">$C$2*(1+IF(E$3&lt;=$O$2,$D501,$D501-($D501-$I$481)*MIN(E$3-$O$2,$Q$2)/$Q$2))</f>
        <v>6909.43798065186</v>
      </c>
      <c r="F501" s="15" t="n">
        <f aca="false">E501*(1+IF(F$3&lt;=$O$2,$D501,$D501-($D501-$I$481)*MIN(F$3-$O$2,$Q$2)/$Q$2))</f>
        <v>7413.0952187072</v>
      </c>
      <c r="G501" s="15" t="n">
        <f aca="false">F501*(1+IF(G$3&lt;=$O$2,$D501,$D501-($D501-$I$481)*MIN(G$3-$O$2,$Q$2)/$Q$2))</f>
        <v>7953.46609601308</v>
      </c>
      <c r="H501" s="15" t="n">
        <f aca="false">G501*(1+IF(H$3&lt;=$O$2,$D501,$D501-($D501-$I$481)*MIN(H$3-$O$2,$Q$2)/$Q$2))</f>
        <v>8533.22682012727</v>
      </c>
      <c r="I501" s="15" t="n">
        <f aca="false">H501*(1+IF(I$3&lt;=$O$2,$D501,$D501-($D501-$I$481)*MIN(I$3-$O$2,$Q$2)/$Q$2))</f>
        <v>9155.24867833919</v>
      </c>
      <c r="J501" s="15" t="n">
        <f aca="false">I501*(1+IF(J$3&lt;=$O$2,$D501,$D501-($D501-$I$481)*MIN(J$3-$O$2,$Q$2)/$Q$2))</f>
        <v>9731.80300077343</v>
      </c>
      <c r="K501" s="15" t="n">
        <f aca="false">J501*(1+IF(K$3&lt;=$O$2,$D501,$D501-($D501-$I$481)*MIN(K$3-$O$2,$Q$2)/$Q$2))</f>
        <v>10248.1379962423</v>
      </c>
      <c r="L501" s="15" t="n">
        <f aca="false">K501*(1+IF(L$3&lt;=$O$2,$D501,$D501-($D501-$I$481)*MIN(L$3-$O$2,$Q$2)/$Q$2))</f>
        <v>10690.2184689328</v>
      </c>
      <c r="M501" s="15" t="n">
        <f aca="false">L501*(1+IF(M$3&lt;=$O$2,$D501,$D501-($D501-$I$481)*MIN(M$3-$O$2,$Q$2)/$Q$2))</f>
        <v>11045.3349042615</v>
      </c>
      <c r="N501" s="15" t="n">
        <f aca="false">M501*(1+IF(N$3&lt;=$O$2,$D501,$D501-($D501-$I$481)*MIN(N$3-$O$2,$Q$2)/$Q$2))</f>
        <v>11302.6912075307</v>
      </c>
      <c r="O501" s="15" t="n">
        <f aca="false">SUMPRODUCT(E501:N501,1/(1+$F$481)^$E$3:$N$3)*$E$2</f>
        <v>10947.3740038116</v>
      </c>
      <c r="P501" s="15" t="n">
        <f aca="false">N501*$E$2*(1+$I$481)/($F$481-$I$481)/(1+$F$481)^$N$3</f>
        <v>11642.5517171084</v>
      </c>
      <c r="Q501" s="15" t="n">
        <f aca="false">O501+P501</f>
        <v>22589.92572092</v>
      </c>
      <c r="R501" s="15" t="n">
        <f aca="false">Q501-$G$2+$I$2</f>
        <v>17290.02572092</v>
      </c>
      <c r="S501" s="42" t="n">
        <f aca="false">R501/$K$2</f>
        <v>147.174206000341</v>
      </c>
      <c r="T501" s="43" t="n">
        <f aca="false">S501-$M$2</f>
        <v>0.000218938713288708</v>
      </c>
    </row>
    <row r="502" customFormat="false" ht="15" hidden="false" customHeight="false" outlineLevel="0" collapsed="false">
      <c r="A502" s="5" t="n">
        <v>20</v>
      </c>
      <c r="B502" s="25" t="n">
        <f aca="false">IF(T501&gt;0,B501,D501)</f>
        <v>0.0728912353515625</v>
      </c>
      <c r="C502" s="25" t="n">
        <f aca="false">IF(T501&gt;0,D501,C501)</f>
        <v>0.0728940963745117</v>
      </c>
      <c r="D502" s="41" t="n">
        <f aca="false">(B502+C502)/2</f>
        <v>0.0728926658630371</v>
      </c>
      <c r="E502" s="15" t="n">
        <f aca="false">$C$2*(1+IF(E$3&lt;=$O$2,$D502,$D502-($D502-$I$481)*MIN(E$3-$O$2,$Q$2)/$Q$2))</f>
        <v>6909.42876815796</v>
      </c>
      <c r="F502" s="15" t="n">
        <f aca="false">E502*(1+IF(F$3&lt;=$O$2,$D502,$D502-($D502-$I$481)*MIN(F$3-$O$2,$Q$2)/$Q$2))</f>
        <v>7413.07545065975</v>
      </c>
      <c r="G502" s="15" t="n">
        <f aca="false">F502*(1+IF(G$3&lt;=$O$2,$D502,$D502-($D502-$I$481)*MIN(G$3-$O$2,$Q$2)/$Q$2))</f>
        <v>7953.43428250218</v>
      </c>
      <c r="H502" s="15" t="n">
        <f aca="false">G502*(1+IF(H$3&lt;=$O$2,$D502,$D502-($D502-$I$481)*MIN(H$3-$O$2,$Q$2)/$Q$2))</f>
        <v>8533.18131012023</v>
      </c>
      <c r="I502" s="15" t="n">
        <f aca="false">H502*(1+IF(I$3&lt;=$O$2,$D502,$D502-($D502-$I$481)*MIN(I$3-$O$2,$Q$2)/$Q$2))</f>
        <v>9155.18764410754</v>
      </c>
      <c r="J502" s="15" t="n">
        <f aca="false">I502*(1+IF(J$3&lt;=$O$2,$D502,$D502-($D502-$I$481)*MIN(J$3-$O$2,$Q$2)/$Q$2))</f>
        <v>9731.72764561335</v>
      </c>
      <c r="K502" s="15" t="n">
        <f aca="false">J502*(1+IF(K$3&lt;=$O$2,$D502,$D502-($D502-$I$481)*MIN(K$3-$O$2,$Q$2)/$Q$2))</f>
        <v>10248.0502901955</v>
      </c>
      <c r="L502" s="15" t="n">
        <f aca="false">K502*(1+IF(L$3&lt;=$O$2,$D502,$D502-($D502-$I$481)*MIN(L$3-$O$2,$Q$2)/$Q$2))</f>
        <v>10690.1211154728</v>
      </c>
      <c r="M502" s="15" t="n">
        <f aca="false">L502*(1+IF(M$3&lt;=$O$2,$D502,$D502-($D502-$I$481)*MIN(M$3-$O$2,$Q$2)/$Q$2))</f>
        <v>11045.2312583663</v>
      </c>
      <c r="N502" s="15" t="n">
        <f aca="false">M502*(1+IF(N$3&lt;=$O$2,$D502,$D502-($D502-$I$481)*MIN(N$3-$O$2,$Q$2)/$Q$2))</f>
        <v>11302.5851466863</v>
      </c>
      <c r="O502" s="15" t="n">
        <f aca="false">SUMPRODUCT(E502:N502,1/(1+$F$481)^$E$3:$N$3)*$E$2</f>
        <v>10947.3068499723</v>
      </c>
      <c r="P502" s="15" t="n">
        <f aca="false">N502*$E$2*(1+$I$481)/($F$481-$I$481)/(1+$F$481)^$N$3</f>
        <v>11642.4424671214</v>
      </c>
      <c r="Q502" s="15" t="n">
        <f aca="false">O502+P502</f>
        <v>22589.7493170938</v>
      </c>
      <c r="R502" s="15" t="n">
        <f aca="false">Q502-$G$2+$I$2</f>
        <v>17289.8493170938</v>
      </c>
      <c r="S502" s="42" t="n">
        <f aca="false">R502/$K$2</f>
        <v>147.172704435596</v>
      </c>
      <c r="T502" s="43" t="n">
        <f aca="false">S502-$M$2</f>
        <v>-0.00128262603189455</v>
      </c>
    </row>
    <row r="503" customFormat="false" ht="15" hidden="false" customHeight="false" outlineLevel="0" collapsed="false">
      <c r="A503" s="5" t="n">
        <v>21</v>
      </c>
      <c r="B503" s="25" t="n">
        <f aca="false">IF(T502&gt;0,B502,D502)</f>
        <v>0.0728926658630371</v>
      </c>
      <c r="C503" s="25" t="n">
        <f aca="false">IF(T502&gt;0,D502,C502)</f>
        <v>0.0728940963745117</v>
      </c>
      <c r="D503" s="41" t="n">
        <f aca="false">(B503+C503)/2</f>
        <v>0.0728933811187744</v>
      </c>
      <c r="E503" s="15" t="n">
        <f aca="false">$C$2*(1+IF(E$3&lt;=$O$2,$D503,$D503-($D503-$I$481)*MIN(E$3-$O$2,$Q$2)/$Q$2))</f>
        <v>6909.43337440491</v>
      </c>
      <c r="F503" s="15" t="n">
        <f aca="false">E503*(1+IF(F$3&lt;=$O$2,$D503,$D503-($D503-$I$481)*MIN(F$3-$O$2,$Q$2)/$Q$2))</f>
        <v>7413.08533468018</v>
      </c>
      <c r="G503" s="15" t="n">
        <f aca="false">F503*(1+IF(G$3&lt;=$O$2,$D503,$D503-($D503-$I$481)*MIN(G$3-$O$2,$Q$2)/$Q$2))</f>
        <v>7953.45018924702</v>
      </c>
      <c r="H503" s="15" t="n">
        <f aca="false">G503*(1+IF(H$3&lt;=$O$2,$D503,$D503-($D503-$I$481)*MIN(H$3-$O$2,$Q$2)/$Q$2))</f>
        <v>8533.204065101</v>
      </c>
      <c r="I503" s="15" t="n">
        <f aca="false">H503*(1+IF(I$3&lt;=$O$2,$D503,$D503-($D503-$I$481)*MIN(I$3-$O$2,$Q$2)/$Q$2))</f>
        <v>9155.21816118268</v>
      </c>
      <c r="J503" s="15" t="n">
        <f aca="false">I503*(1+IF(J$3&lt;=$O$2,$D503,$D503-($D503-$I$481)*MIN(J$3-$O$2,$Q$2)/$Q$2))</f>
        <v>9731.76532313268</v>
      </c>
      <c r="K503" s="15" t="n">
        <f aca="false">J503*(1+IF(K$3&lt;=$O$2,$D503,$D503-($D503-$I$481)*MIN(K$3-$O$2,$Q$2)/$Q$2))</f>
        <v>10248.0941431388</v>
      </c>
      <c r="L503" s="15" t="n">
        <f aca="false">K503*(1+IF(L$3&lt;=$O$2,$D503,$D503-($D503-$I$481)*MIN(L$3-$O$2,$Q$2)/$Q$2))</f>
        <v>10690.1697921067</v>
      </c>
      <c r="M503" s="15" t="n">
        <f aca="false">L503*(1+IF(M$3&lt;=$O$2,$D503,$D503-($D503-$I$481)*MIN(M$3-$O$2,$Q$2)/$Q$2))</f>
        <v>11045.2830812076</v>
      </c>
      <c r="N503" s="15" t="n">
        <f aca="false">M503*(1+IF(N$3&lt;=$O$2,$D503,$D503-($D503-$I$481)*MIN(N$3-$O$2,$Q$2)/$Q$2))</f>
        <v>11302.6381769998</v>
      </c>
      <c r="O503" s="15" t="n">
        <f aca="false">SUMPRODUCT(E503:N503,1/(1+$F$481)^$E$3:$N$3)*$E$2</f>
        <v>10947.3404268402</v>
      </c>
      <c r="P503" s="15" t="n">
        <f aca="false">N503*$E$2*(1+$I$481)/($F$481-$I$481)/(1+$F$481)^$N$3</f>
        <v>11642.4970920029</v>
      </c>
      <c r="Q503" s="15" t="n">
        <f aca="false">O503+P503</f>
        <v>22589.8375188431</v>
      </c>
      <c r="R503" s="15" t="n">
        <f aca="false">Q503-$G$2+$I$2</f>
        <v>17289.9375188431</v>
      </c>
      <c r="S503" s="42" t="n">
        <f aca="false">R503/$K$2</f>
        <v>147.173455216574</v>
      </c>
      <c r="T503" s="43" t="n">
        <f aca="false">S503-$M$2</f>
        <v>-0.0005318450535583</v>
      </c>
    </row>
    <row r="504" customFormat="false" ht="15" hidden="false" customHeight="false" outlineLevel="0" collapsed="false">
      <c r="A504" s="5" t="n">
        <v>22</v>
      </c>
      <c r="B504" s="25" t="n">
        <f aca="false">IF(T503&gt;0,B503,D503)</f>
        <v>0.0728933811187744</v>
      </c>
      <c r="C504" s="25" t="n">
        <f aca="false">IF(T503&gt;0,D503,C503)</f>
        <v>0.0728940963745117</v>
      </c>
      <c r="D504" s="41" t="n">
        <f aca="false">(B504+C504)/2</f>
        <v>0.0728937387466431</v>
      </c>
      <c r="E504" s="15" t="n">
        <f aca="false">$C$2*(1+IF(E$3&lt;=$O$2,$D504,$D504-($D504-$I$481)*MIN(E$3-$O$2,$Q$2)/$Q$2))</f>
        <v>6909.43567752838</v>
      </c>
      <c r="F504" s="15" t="n">
        <f aca="false">E504*(1+IF(F$3&lt;=$O$2,$D504,$D504-($D504-$I$481)*MIN(F$3-$O$2,$Q$2)/$Q$2))</f>
        <v>7413.09027669287</v>
      </c>
      <c r="G504" s="15" t="n">
        <f aca="false">F504*(1+IF(G$3&lt;=$O$2,$D504,$D504-($D504-$I$481)*MIN(G$3-$O$2,$Q$2)/$Q$2))</f>
        <v>7953.4581426274</v>
      </c>
      <c r="H504" s="15" t="n">
        <f aca="false">G504*(1+IF(H$3&lt;=$O$2,$D504,$D504-($D504-$I$481)*MIN(H$3-$O$2,$Q$2)/$Q$2))</f>
        <v>8533.21544260844</v>
      </c>
      <c r="I504" s="15" t="n">
        <f aca="false">H504*(1+IF(I$3&lt;=$O$2,$D504,$D504-($D504-$I$481)*MIN(I$3-$O$2,$Q$2)/$Q$2))</f>
        <v>9155.23341975076</v>
      </c>
      <c r="J504" s="15" t="n">
        <f aca="false">I504*(1+IF(J$3&lt;=$O$2,$D504,$D504-($D504-$I$481)*MIN(J$3-$O$2,$Q$2)/$Q$2))</f>
        <v>9731.78416193788</v>
      </c>
      <c r="K504" s="15" t="n">
        <f aca="false">J504*(1+IF(K$3&lt;=$O$2,$D504,$D504-($D504-$I$481)*MIN(K$3-$O$2,$Q$2)/$Q$2))</f>
        <v>10248.1160696705</v>
      </c>
      <c r="L504" s="15" t="n">
        <f aca="false">K504*(1+IF(L$3&lt;=$O$2,$D504,$D504-($D504-$I$481)*MIN(L$3-$O$2,$Q$2)/$Q$2))</f>
        <v>10690.1941304957</v>
      </c>
      <c r="M504" s="15" t="n">
        <f aca="false">L504*(1+IF(M$3&lt;=$O$2,$D504,$D504-($D504-$I$481)*MIN(M$3-$O$2,$Q$2)/$Q$2))</f>
        <v>11045.308992708</v>
      </c>
      <c r="N504" s="15" t="n">
        <f aca="false">M504*(1+IF(N$3&lt;=$O$2,$D504,$D504-($D504-$I$481)*MIN(N$3-$O$2,$Q$2)/$Q$2))</f>
        <v>11302.6646922381</v>
      </c>
      <c r="O504" s="15" t="n">
        <f aca="false">SUMPRODUCT(E504:N504,1/(1+$F$481)^$E$3:$N$3)*$E$2</f>
        <v>10947.357215313</v>
      </c>
      <c r="P504" s="15" t="n">
        <f aca="false">N504*$E$2*(1+$I$481)/($F$481-$I$481)/(1+$F$481)^$N$3</f>
        <v>11642.5244045277</v>
      </c>
      <c r="Q504" s="15" t="n">
        <f aca="false">O504+P504</f>
        <v>22589.8816198406</v>
      </c>
      <c r="R504" s="15" t="n">
        <f aca="false">Q504-$G$2+$I$2</f>
        <v>17289.9816198406</v>
      </c>
      <c r="S504" s="42" t="n">
        <f aca="false">R504/$K$2</f>
        <v>147.173830608109</v>
      </c>
      <c r="T504" s="43" t="n">
        <f aca="false">S504-$M$2</f>
        <v>-0.000156453518798116</v>
      </c>
    </row>
    <row r="505" customFormat="false" ht="15" hidden="false" customHeight="false" outlineLevel="0" collapsed="false">
      <c r="A505" s="5" t="n">
        <v>23</v>
      </c>
      <c r="B505" s="25" t="n">
        <f aca="false">IF(T504&gt;0,B504,D504)</f>
        <v>0.0728937387466431</v>
      </c>
      <c r="C505" s="25" t="n">
        <f aca="false">IF(T504&gt;0,D504,C504)</f>
        <v>0.0728940963745117</v>
      </c>
      <c r="D505" s="41" t="n">
        <f aca="false">(B505+C505)/2</f>
        <v>0.0728939175605774</v>
      </c>
      <c r="E505" s="15" t="n">
        <f aca="false">$C$2*(1+IF(E$3&lt;=$O$2,$D505,$D505-($D505-$I$481)*MIN(E$3-$O$2,$Q$2)/$Q$2))</f>
        <v>6909.43682909012</v>
      </c>
      <c r="F505" s="15" t="n">
        <f aca="false">E505*(1+IF(F$3&lt;=$O$2,$D505,$D505-($D505-$I$481)*MIN(F$3-$O$2,$Q$2)/$Q$2))</f>
        <v>7413.09274769983</v>
      </c>
      <c r="G505" s="15" t="n">
        <f aca="false">F505*(1+IF(G$3&lt;=$O$2,$D505,$D505-($D505-$I$481)*MIN(G$3-$O$2,$Q$2)/$Q$2))</f>
        <v>7953.46211931958</v>
      </c>
      <c r="H505" s="15" t="n">
        <f aca="false">G505*(1+IF(H$3&lt;=$O$2,$D505,$D505-($D505-$I$481)*MIN(H$3-$O$2,$Q$2)/$Q$2))</f>
        <v>8533.22113136643</v>
      </c>
      <c r="I505" s="15" t="n">
        <f aca="false">H505*(1+IF(I$3&lt;=$O$2,$D505,$D505-($D505-$I$481)*MIN(I$3-$O$2,$Q$2)/$Q$2))</f>
        <v>9155.24104904243</v>
      </c>
      <c r="J505" s="15" t="n">
        <f aca="false">I505*(1+IF(J$3&lt;=$O$2,$D505,$D505-($D505-$I$481)*MIN(J$3-$O$2,$Q$2)/$Q$2))</f>
        <v>9731.79358135186</v>
      </c>
      <c r="K505" s="15" t="n">
        <f aca="false">J505*(1+IF(K$3&lt;=$O$2,$D505,$D505-($D505-$I$481)*MIN(K$3-$O$2,$Q$2)/$Q$2))</f>
        <v>10248.1270329514</v>
      </c>
      <c r="L505" s="15" t="n">
        <f aca="false">K505*(1+IF(L$3&lt;=$O$2,$D505,$D505-($D505-$I$481)*MIN(L$3-$O$2,$Q$2)/$Q$2))</f>
        <v>10690.2062997082</v>
      </c>
      <c r="M505" s="15" t="n">
        <f aca="false">L505*(1+IF(M$3&lt;=$O$2,$D505,$D505-($D505-$I$481)*MIN(M$3-$O$2,$Q$2)/$Q$2))</f>
        <v>11045.3219484781</v>
      </c>
      <c r="N505" s="15" t="n">
        <f aca="false">M505*(1+IF(N$3&lt;=$O$2,$D505,$D505-($D505-$I$481)*MIN(N$3-$O$2,$Q$2)/$Q$2))</f>
        <v>11302.6779498776</v>
      </c>
      <c r="O505" s="15" t="n">
        <f aca="false">SUMPRODUCT(E505:N505,1/(1+$F$481)^$E$3:$N$3)*$E$2</f>
        <v>10947.3656095591</v>
      </c>
      <c r="P505" s="15" t="n">
        <f aca="false">N505*$E$2*(1+$I$481)/($F$481-$I$481)/(1+$F$481)^$N$3</f>
        <v>11642.538060811</v>
      </c>
      <c r="Q505" s="15" t="n">
        <f aca="false">O505+P505</f>
        <v>22589.9036703701</v>
      </c>
      <c r="R505" s="15" t="n">
        <f aca="false">Q505-$G$2+$I$2</f>
        <v>17290.0036703701</v>
      </c>
      <c r="S505" s="42" t="n">
        <f aca="false">R505/$K$2</f>
        <v>147.174018304138</v>
      </c>
      <c r="T505" s="43" t="n">
        <f aca="false">S505-$M$2</f>
        <v>3.12425101185454E-005</v>
      </c>
    </row>
    <row r="506" customFormat="false" ht="15" hidden="false" customHeight="false" outlineLevel="0" collapsed="false">
      <c r="A506" s="5" t="n">
        <v>24</v>
      </c>
      <c r="B506" s="25" t="n">
        <f aca="false">IF(T505&gt;0,B505,D505)</f>
        <v>0.0728937387466431</v>
      </c>
      <c r="C506" s="25" t="n">
        <f aca="false">IF(T505&gt;0,D505,C505)</f>
        <v>0.0728939175605774</v>
      </c>
      <c r="D506" s="41" t="n">
        <f aca="false">(B506+C506)/2</f>
        <v>0.0728938281536102</v>
      </c>
      <c r="E506" s="15" t="n">
        <f aca="false">$C$2*(1+IF(E$3&lt;=$O$2,$D506,$D506-($D506-$I$481)*MIN(E$3-$O$2,$Q$2)/$Q$2))</f>
        <v>6909.43625330925</v>
      </c>
      <c r="F506" s="15" t="n">
        <f aca="false">E506*(1+IF(F$3&lt;=$O$2,$D506,$D506-($D506-$I$481)*MIN(F$3-$O$2,$Q$2)/$Q$2))</f>
        <v>7413.0915121963</v>
      </c>
      <c r="G506" s="15" t="n">
        <f aca="false">F506*(1+IF(G$3&lt;=$O$2,$D506,$D506-($D506-$I$481)*MIN(G$3-$O$2,$Q$2)/$Q$2))</f>
        <v>7953.46013097332</v>
      </c>
      <c r="H506" s="15" t="n">
        <f aca="false">G506*(1+IF(H$3&lt;=$O$2,$D506,$D506-($D506-$I$481)*MIN(H$3-$O$2,$Q$2)/$Q$2))</f>
        <v>8533.21828698708</v>
      </c>
      <c r="I506" s="15" t="n">
        <f aca="false">H506*(1+IF(I$3&lt;=$O$2,$D506,$D506-($D506-$I$481)*MIN(I$3-$O$2,$Q$2)/$Q$2))</f>
        <v>9155.23723439596</v>
      </c>
      <c r="J506" s="15" t="n">
        <f aca="false">I506*(1+IF(J$3&lt;=$O$2,$D506,$D506-($D506-$I$481)*MIN(J$3-$O$2,$Q$2)/$Q$2))</f>
        <v>9731.78887164392</v>
      </c>
      <c r="K506" s="15" t="n">
        <f aca="false">J506*(1+IF(K$3&lt;=$O$2,$D506,$D506-($D506-$I$481)*MIN(K$3-$O$2,$Q$2)/$Q$2))</f>
        <v>10248.1215513097</v>
      </c>
      <c r="L506" s="15" t="n">
        <f aca="false">K506*(1+IF(L$3&lt;=$O$2,$D506,$D506-($D506-$I$481)*MIN(L$3-$O$2,$Q$2)/$Q$2))</f>
        <v>10690.2002151004</v>
      </c>
      <c r="M506" s="15" t="n">
        <f aca="false">L506*(1+IF(M$3&lt;=$O$2,$D506,$D506-($D506-$I$481)*MIN(M$3-$O$2,$Q$2)/$Q$2))</f>
        <v>11045.3154705914</v>
      </c>
      <c r="N506" s="15" t="n">
        <f aca="false">M506*(1+IF(N$3&lt;=$O$2,$D506,$D506-($D506-$I$481)*MIN(N$3-$O$2,$Q$2)/$Q$2))</f>
        <v>11302.6713210561</v>
      </c>
      <c r="O506" s="15" t="n">
        <f aca="false">SUMPRODUCT(E506:N506,1/(1+$F$481)^$E$3:$N$3)*$E$2</f>
        <v>10947.3614124352</v>
      </c>
      <c r="P506" s="15" t="n">
        <f aca="false">N506*$E$2*(1+$I$481)/($F$481-$I$481)/(1+$F$481)^$N$3</f>
        <v>11642.5312326676</v>
      </c>
      <c r="Q506" s="15" t="n">
        <f aca="false">O506+P506</f>
        <v>22589.8926451028</v>
      </c>
      <c r="R506" s="15" t="n">
        <f aca="false">Q506-$G$2+$I$2</f>
        <v>17289.9926451028</v>
      </c>
      <c r="S506" s="42" t="n">
        <f aca="false">R506/$K$2</f>
        <v>147.173924456101</v>
      </c>
      <c r="T506" s="43" t="n">
        <f aca="false">S506-$M$2</f>
        <v>-6.26055260397607E-005</v>
      </c>
    </row>
    <row r="508" customFormat="false" ht="15" hidden="false" customHeight="false" outlineLevel="0" collapsed="false">
      <c r="A508" s="38" t="s">
        <v>198</v>
      </c>
      <c r="E508" s="5" t="s">
        <v>11</v>
      </c>
      <c r="F508" s="12" t="n">
        <f aca="false">Sensitivity!$B$13</f>
        <v>0.0999886567315273</v>
      </c>
      <c r="G508" s="5" t="s">
        <v>12</v>
      </c>
      <c r="I508" s="12" t="n">
        <f aca="false">Sensitivity!$E$9</f>
        <v>0.0283</v>
      </c>
    </row>
    <row r="509" customFormat="false" ht="23.85" hidden="false" customHeight="false" outlineLevel="0" collapsed="false">
      <c r="A509" s="38" t="s">
        <v>161</v>
      </c>
      <c r="B509" s="28" t="s">
        <v>162</v>
      </c>
      <c r="C509" s="28" t="s">
        <v>163</v>
      </c>
      <c r="D509" s="28" t="s">
        <v>164</v>
      </c>
      <c r="E509" s="28" t="s">
        <v>165</v>
      </c>
      <c r="F509" s="28" t="s">
        <v>166</v>
      </c>
      <c r="G509" s="28" t="s">
        <v>167</v>
      </c>
      <c r="H509" s="28" t="s">
        <v>168</v>
      </c>
      <c r="I509" s="28" t="s">
        <v>169</v>
      </c>
      <c r="J509" s="28" t="s">
        <v>170</v>
      </c>
      <c r="K509" s="28" t="s">
        <v>171</v>
      </c>
      <c r="L509" s="28" t="s">
        <v>172</v>
      </c>
      <c r="M509" s="28" t="s">
        <v>173</v>
      </c>
      <c r="N509" s="28" t="s">
        <v>174</v>
      </c>
      <c r="O509" s="28" t="s">
        <v>175</v>
      </c>
      <c r="P509" s="28" t="s">
        <v>176</v>
      </c>
      <c r="Q509" s="28" t="s">
        <v>177</v>
      </c>
      <c r="R509" s="28" t="s">
        <v>178</v>
      </c>
      <c r="S509" s="28" t="s">
        <v>179</v>
      </c>
      <c r="T509" s="28" t="s">
        <v>180</v>
      </c>
    </row>
    <row r="510" customFormat="false" ht="15" hidden="false" customHeight="false" outlineLevel="0" collapsed="false">
      <c r="A510" s="5" t="n">
        <v>1</v>
      </c>
      <c r="B510" s="24" t="n">
        <v>-0.5</v>
      </c>
      <c r="C510" s="24" t="n">
        <v>1</v>
      </c>
      <c r="D510" s="41" t="n">
        <f aca="false">(B510+C510)/2</f>
        <v>0.25</v>
      </c>
      <c r="E510" s="15" t="n">
        <f aca="false">$C$2*(1+IF(E$3&lt;=$O$2,$D510,$D510-($D510-$I$508)*MIN(E$3-$O$2,$Q$2)/$Q$2))</f>
        <v>8050</v>
      </c>
      <c r="F510" s="15" t="n">
        <f aca="false">E510*(1+IF(F$3&lt;=$O$2,$D510,$D510-($D510-$I$508)*MIN(F$3-$O$2,$Q$2)/$Q$2))</f>
        <v>10062.5</v>
      </c>
      <c r="G510" s="15" t="n">
        <f aca="false">F510*(1+IF(G$3&lt;=$O$2,$D510,$D510-($D510-$I$508)*MIN(G$3-$O$2,$Q$2)/$Q$2))</f>
        <v>12578.125</v>
      </c>
      <c r="H510" s="15" t="n">
        <f aca="false">G510*(1+IF(H$3&lt;=$O$2,$D510,$D510-($D510-$I$508)*MIN(H$3-$O$2,$Q$2)/$Q$2))</f>
        <v>15722.65625</v>
      </c>
      <c r="I510" s="15" t="n">
        <f aca="false">H510*(1+IF(I$3&lt;=$O$2,$D510,$D510-($D510-$I$508)*MIN(I$3-$O$2,$Q$2)/$Q$2))</f>
        <v>19653.3203125</v>
      </c>
      <c r="J510" s="15" t="n">
        <f aca="false">I510*(1+IF(J$3&lt;=$O$2,$D510,$D510-($D510-$I$508)*MIN(J$3-$O$2,$Q$2)/$Q$2))</f>
        <v>23695.2221679688</v>
      </c>
      <c r="K510" s="15" t="n">
        <f aca="false">J510*(1+IF(K$3&lt;=$O$2,$D510,$D510-($D510-$I$508)*MIN(K$3-$O$2,$Q$2)/$Q$2))</f>
        <v>27517.7354081055</v>
      </c>
      <c r="L510" s="15" t="n">
        <f aca="false">K510*(1+IF(L$3&lt;=$O$2,$D510,$D510-($D510-$I$508)*MIN(L$3-$O$2,$Q$2)/$Q$2))</f>
        <v>30736.7600961456</v>
      </c>
      <c r="M510" s="15" t="n">
        <f aca="false">L510*(1+IF(M$3&lt;=$O$2,$D510,$D510-($D510-$I$508)*MIN(M$3-$O$2,$Q$2)/$Q$2))</f>
        <v>32969.4783495297</v>
      </c>
      <c r="N510" s="15" t="n">
        <f aca="false">M510*(1+IF(N$3&lt;=$O$2,$D510,$D510-($D510-$I$508)*MIN(N$3-$O$2,$Q$2)/$Q$2))</f>
        <v>33902.5145868214</v>
      </c>
      <c r="O510" s="15" t="n">
        <f aca="false">SUMPRODUCT(E510:N510,1/(1+$F$508)^$E$3:$N$3)*$E$2</f>
        <v>23408.4645114158</v>
      </c>
      <c r="P510" s="15" t="n">
        <f aca="false">N510*$E$2*(1+$I$508)/($F$508-$I$508)/(1+$F$508)^$N$3</f>
        <v>37540.1301669522</v>
      </c>
      <c r="Q510" s="15" t="n">
        <f aca="false">O510+P510</f>
        <v>60948.594678368</v>
      </c>
      <c r="R510" s="15" t="n">
        <f aca="false">Q510-$G$2+$I$2</f>
        <v>55648.694678368</v>
      </c>
      <c r="S510" s="42" t="n">
        <f aca="false">R510/$K$2</f>
        <v>473.686539652434</v>
      </c>
      <c r="T510" s="43" t="n">
        <f aca="false">S510-$M$2</f>
        <v>326.512552590807</v>
      </c>
    </row>
    <row r="511" customFormat="false" ht="15" hidden="false" customHeight="false" outlineLevel="0" collapsed="false">
      <c r="A511" s="5" t="n">
        <v>2</v>
      </c>
      <c r="B511" s="25" t="n">
        <f aca="false">IF(T510&gt;0,B510,D510)</f>
        <v>-0.5</v>
      </c>
      <c r="C511" s="25" t="n">
        <f aca="false">IF(T510&gt;0,D510,C510)</f>
        <v>0.25</v>
      </c>
      <c r="D511" s="41" t="n">
        <f aca="false">(B511+C511)/2</f>
        <v>-0.125</v>
      </c>
      <c r="E511" s="15" t="n">
        <f aca="false">$C$2*(1+IF(E$3&lt;=$O$2,$D511,$D511-($D511-$I$508)*MIN(E$3-$O$2,$Q$2)/$Q$2))</f>
        <v>5635</v>
      </c>
      <c r="F511" s="15" t="n">
        <f aca="false">E511*(1+IF(F$3&lt;=$O$2,$D511,$D511-($D511-$I$508)*MIN(F$3-$O$2,$Q$2)/$Q$2))</f>
        <v>4930.625</v>
      </c>
      <c r="G511" s="15" t="n">
        <f aca="false">F511*(1+IF(G$3&lt;=$O$2,$D511,$D511-($D511-$I$508)*MIN(G$3-$O$2,$Q$2)/$Q$2))</f>
        <v>4314.296875</v>
      </c>
      <c r="H511" s="15" t="n">
        <f aca="false">G511*(1+IF(H$3&lt;=$O$2,$D511,$D511-($D511-$I$508)*MIN(H$3-$O$2,$Q$2)/$Q$2))</f>
        <v>3775.009765625</v>
      </c>
      <c r="I511" s="15" t="n">
        <f aca="false">H511*(1+IF(I$3&lt;=$O$2,$D511,$D511-($D511-$I$508)*MIN(I$3-$O$2,$Q$2)/$Q$2))</f>
        <v>3303.13354492188</v>
      </c>
      <c r="J511" s="15" t="n">
        <f aca="false">I511*(1+IF(J$3&lt;=$O$2,$D511,$D511-($D511-$I$508)*MIN(J$3-$O$2,$Q$2)/$Q$2))</f>
        <v>2991.51592629395</v>
      </c>
      <c r="K511" s="15" t="n">
        <f aca="false">J511*(1+IF(K$3&lt;=$O$2,$D511,$D511-($D511-$I$508)*MIN(K$3-$O$2,$Q$2)/$Q$2))</f>
        <v>2801.01619210755</v>
      </c>
      <c r="L511" s="15" t="n">
        <f aca="false">K511*(1+IF(L$3&lt;=$O$2,$D511,$D511-($D511-$I$508)*MIN(L$3-$O$2,$Q$2)/$Q$2))</f>
        <v>2708.52663744416</v>
      </c>
      <c r="M511" s="15" t="n">
        <f aca="false">L511*(1+IF(M$3&lt;=$O$2,$D511,$D511-($D511-$I$508)*MIN(M$3-$O$2,$Q$2)/$Q$2))</f>
        <v>2702.13451457979</v>
      </c>
      <c r="N511" s="15" t="n">
        <f aca="false">M511*(1+IF(N$3&lt;=$O$2,$D511,$D511-($D511-$I$508)*MIN(N$3-$O$2,$Q$2)/$Q$2))</f>
        <v>2778.6049213424</v>
      </c>
      <c r="O511" s="15" t="n">
        <f aca="false">SUMPRODUCT(E511:N511,1/(1+$F$508)^$E$3:$N$3)*$E$2</f>
        <v>4740.10167191895</v>
      </c>
      <c r="P511" s="15" t="n">
        <f aca="false">N511*$E$2*(1+$I$508)/($F$508-$I$508)/(1+$F$508)^$N$3</f>
        <v>3076.7390472645</v>
      </c>
      <c r="Q511" s="15" t="n">
        <f aca="false">O511+P511</f>
        <v>7816.84071918345</v>
      </c>
      <c r="R511" s="15" t="n">
        <f aca="false">Q511-$G$2+$I$2</f>
        <v>2516.94071918345</v>
      </c>
      <c r="S511" s="42" t="n">
        <f aca="false">R511/$K$2</f>
        <v>21.4244187877379</v>
      </c>
      <c r="T511" s="43" t="n">
        <f aca="false">S511-$M$2</f>
        <v>-125.74956827389</v>
      </c>
    </row>
    <row r="512" customFormat="false" ht="15" hidden="false" customHeight="false" outlineLevel="0" collapsed="false">
      <c r="A512" s="5" t="n">
        <v>3</v>
      </c>
      <c r="B512" s="25" t="n">
        <f aca="false">IF(T511&gt;0,B511,D511)</f>
        <v>-0.125</v>
      </c>
      <c r="C512" s="25" t="n">
        <f aca="false">IF(T511&gt;0,D511,C511)</f>
        <v>0.25</v>
      </c>
      <c r="D512" s="41" t="n">
        <f aca="false">(B512+C512)/2</f>
        <v>0.0625</v>
      </c>
      <c r="E512" s="15" t="n">
        <f aca="false">$C$2*(1+IF(E$3&lt;=$O$2,$D512,$D512-($D512-$I$508)*MIN(E$3-$O$2,$Q$2)/$Q$2))</f>
        <v>6842.5</v>
      </c>
      <c r="F512" s="15" t="n">
        <f aca="false">E512*(1+IF(F$3&lt;=$O$2,$D512,$D512-($D512-$I$508)*MIN(F$3-$O$2,$Q$2)/$Q$2))</f>
        <v>7270.15625</v>
      </c>
      <c r="G512" s="15" t="n">
        <f aca="false">F512*(1+IF(G$3&lt;=$O$2,$D512,$D512-($D512-$I$508)*MIN(G$3-$O$2,$Q$2)/$Q$2))</f>
        <v>7724.541015625</v>
      </c>
      <c r="H512" s="15" t="n">
        <f aca="false">G512*(1+IF(H$3&lt;=$O$2,$D512,$D512-($D512-$I$508)*MIN(H$3-$O$2,$Q$2)/$Q$2))</f>
        <v>8207.32482910156</v>
      </c>
      <c r="I512" s="15" t="n">
        <f aca="false">H512*(1+IF(I$3&lt;=$O$2,$D512,$D512-($D512-$I$508)*MIN(I$3-$O$2,$Q$2)/$Q$2))</f>
        <v>8720.28263092041</v>
      </c>
      <c r="J512" s="15" t="n">
        <f aca="false">I512*(1+IF(J$3&lt;=$O$2,$D512,$D512-($D512-$I$508)*MIN(J$3-$O$2,$Q$2)/$Q$2))</f>
        <v>9205.65356215744</v>
      </c>
      <c r="K512" s="15" t="n">
        <f aca="false">J512*(1+IF(K$3&lt;=$O$2,$D512,$D512-($D512-$I$508)*MIN(K$3-$O$2,$Q$2)/$Q$2))</f>
        <v>9655.07356906197</v>
      </c>
      <c r="L512" s="15" t="n">
        <f aca="false">K512*(1+IF(L$3&lt;=$O$2,$D512,$D512-($D512-$I$508)*MIN(L$3-$O$2,$Q$2)/$Q$2))</f>
        <v>10060.3935574912</v>
      </c>
      <c r="M512" s="15" t="n">
        <f aca="false">L512*(1+IF(M$3&lt;=$O$2,$D512,$D512-($D512-$I$508)*MIN(M$3-$O$2,$Q$2)/$Q$2))</f>
        <v>10413.9157871014</v>
      </c>
      <c r="N512" s="15" t="n">
        <f aca="false">M512*(1+IF(N$3&lt;=$O$2,$D512,$D512-($D512-$I$508)*MIN(N$3-$O$2,$Q$2)/$Q$2))</f>
        <v>10708.6296038764</v>
      </c>
      <c r="O512" s="15" t="n">
        <f aca="false">SUMPRODUCT(E512:N512,1/(1+$F$508)^$E$3:$N$3)*$E$2</f>
        <v>10499.7600394645</v>
      </c>
      <c r="P512" s="15" t="n">
        <f aca="false">N512*$E$2*(1+$I$508)/($F$508-$I$508)/(1+$F$508)^$N$3</f>
        <v>11857.6263188296</v>
      </c>
      <c r="Q512" s="15" t="n">
        <f aca="false">O512+P512</f>
        <v>22357.3863582941</v>
      </c>
      <c r="R512" s="15" t="n">
        <f aca="false">Q512-$G$2+$I$2</f>
        <v>17057.4863582941</v>
      </c>
      <c r="S512" s="42" t="n">
        <f aca="false">R512/$K$2</f>
        <v>145.194810676661</v>
      </c>
      <c r="T512" s="43" t="n">
        <f aca="false">S512-$M$2</f>
        <v>-1.97917638496665</v>
      </c>
    </row>
    <row r="513" customFormat="false" ht="15" hidden="false" customHeight="false" outlineLevel="0" collapsed="false">
      <c r="A513" s="5" t="n">
        <v>4</v>
      </c>
      <c r="B513" s="25" t="n">
        <f aca="false">IF(T512&gt;0,B512,D512)</f>
        <v>0.0625</v>
      </c>
      <c r="C513" s="25" t="n">
        <f aca="false">IF(T512&gt;0,D512,C512)</f>
        <v>0.25</v>
      </c>
      <c r="D513" s="41" t="n">
        <f aca="false">(B513+C513)/2</f>
        <v>0.15625</v>
      </c>
      <c r="E513" s="15" t="n">
        <f aca="false">$C$2*(1+IF(E$3&lt;=$O$2,$D513,$D513-($D513-$I$508)*MIN(E$3-$O$2,$Q$2)/$Q$2))</f>
        <v>7446.25</v>
      </c>
      <c r="F513" s="15" t="n">
        <f aca="false">E513*(1+IF(F$3&lt;=$O$2,$D513,$D513-($D513-$I$508)*MIN(F$3-$O$2,$Q$2)/$Q$2))</f>
        <v>8609.7265625</v>
      </c>
      <c r="G513" s="15" t="n">
        <f aca="false">F513*(1+IF(G$3&lt;=$O$2,$D513,$D513-($D513-$I$508)*MIN(G$3-$O$2,$Q$2)/$Q$2))</f>
        <v>9954.99633789063</v>
      </c>
      <c r="H513" s="15" t="n">
        <f aca="false">G513*(1+IF(H$3&lt;=$O$2,$D513,$D513-($D513-$I$508)*MIN(H$3-$O$2,$Q$2)/$Q$2))</f>
        <v>11510.464515686</v>
      </c>
      <c r="I513" s="15" t="n">
        <f aca="false">H513*(1+IF(I$3&lt;=$O$2,$D513,$D513-($D513-$I$508)*MIN(I$3-$O$2,$Q$2)/$Q$2))</f>
        <v>13308.974596262</v>
      </c>
      <c r="J513" s="15" t="n">
        <f aca="false">I513*(1+IF(J$3&lt;=$O$2,$D513,$D513-($D513-$I$508)*MIN(J$3-$O$2,$Q$2)/$Q$2))</f>
        <v>15047.9252170096</v>
      </c>
      <c r="K513" s="15" t="n">
        <f aca="false">J513*(1+IF(K$3&lt;=$O$2,$D513,$D513-($D513-$I$508)*MIN(K$3-$O$2,$Q$2)/$Q$2))</f>
        <v>16629.0107195608</v>
      </c>
      <c r="L513" s="15" t="n">
        <f aca="false">K513*(1+IF(L$3&lt;=$O$2,$D513,$D513-($D513-$I$508)*MIN(L$3-$O$2,$Q$2)/$Q$2))</f>
        <v>17950.6844915515</v>
      </c>
      <c r="M513" s="15" t="n">
        <f aca="false">L513*(1+IF(M$3&lt;=$O$2,$D513,$D513-($D513-$I$508)*MIN(M$3-$O$2,$Q$2)/$Q$2))</f>
        <v>18918.0468788012</v>
      </c>
      <c r="N513" s="15" t="n">
        <f aca="false">M513*(1+IF(N$3&lt;=$O$2,$D513,$D513-($D513-$I$508)*MIN(N$3-$O$2,$Q$2)/$Q$2))</f>
        <v>19453.4276054712</v>
      </c>
      <c r="O513" s="15" t="n">
        <f aca="false">SUMPRODUCT(E513:N513,1/(1+$F$508)^$E$3:$N$3)*$E$2</f>
        <v>15699.9634026852</v>
      </c>
      <c r="P513" s="15" t="n">
        <f aca="false">N513*$E$2*(1+$I$508)/($F$508-$I$508)/(1+$F$508)^$N$3</f>
        <v>21540.7091008715</v>
      </c>
      <c r="Q513" s="15" t="n">
        <f aca="false">O513+P513</f>
        <v>37240.6725035567</v>
      </c>
      <c r="R513" s="15" t="n">
        <f aca="false">Q513-$G$2+$I$2</f>
        <v>31940.7725035567</v>
      </c>
      <c r="S513" s="42" t="n">
        <f aca="false">R513/$K$2</f>
        <v>271.882639628504</v>
      </c>
      <c r="T513" s="43" t="n">
        <f aca="false">S513-$M$2</f>
        <v>124.708652566877</v>
      </c>
    </row>
    <row r="514" customFormat="false" ht="15" hidden="false" customHeight="false" outlineLevel="0" collapsed="false">
      <c r="A514" s="5" t="n">
        <v>5</v>
      </c>
      <c r="B514" s="25" t="n">
        <f aca="false">IF(T513&gt;0,B513,D513)</f>
        <v>0.0625</v>
      </c>
      <c r="C514" s="25" t="n">
        <f aca="false">IF(T513&gt;0,D513,C513)</f>
        <v>0.15625</v>
      </c>
      <c r="D514" s="41" t="n">
        <f aca="false">(B514+C514)/2</f>
        <v>0.109375</v>
      </c>
      <c r="E514" s="15" t="n">
        <f aca="false">$C$2*(1+IF(E$3&lt;=$O$2,$D514,$D514-($D514-$I$508)*MIN(E$3-$O$2,$Q$2)/$Q$2))</f>
        <v>7144.375</v>
      </c>
      <c r="F514" s="15" t="n">
        <f aca="false">E514*(1+IF(F$3&lt;=$O$2,$D514,$D514-($D514-$I$508)*MIN(F$3-$O$2,$Q$2)/$Q$2))</f>
        <v>7925.791015625</v>
      </c>
      <c r="G514" s="15" t="n">
        <f aca="false">F514*(1+IF(G$3&lt;=$O$2,$D514,$D514-($D514-$I$508)*MIN(G$3-$O$2,$Q$2)/$Q$2))</f>
        <v>8792.67440795898</v>
      </c>
      <c r="H514" s="15" t="n">
        <f aca="false">G514*(1+IF(H$3&lt;=$O$2,$D514,$D514-($D514-$I$508)*MIN(H$3-$O$2,$Q$2)/$Q$2))</f>
        <v>9754.3731713295</v>
      </c>
      <c r="I514" s="15" t="n">
        <f aca="false">H514*(1+IF(I$3&lt;=$O$2,$D514,$D514-($D514-$I$508)*MIN(I$3-$O$2,$Q$2)/$Q$2))</f>
        <v>10821.2577369437</v>
      </c>
      <c r="J514" s="15" t="n">
        <f aca="false">I514*(1+IF(J$3&lt;=$O$2,$D514,$D514-($D514-$I$508)*MIN(J$3-$O$2,$Q$2)/$Q$2))</f>
        <v>11829.3661077173</v>
      </c>
      <c r="K514" s="15" t="n">
        <f aca="false">J514*(1+IF(K$3&lt;=$O$2,$D514,$D514-($D514-$I$508)*MIN(K$3-$O$2,$Q$2)/$Q$2))</f>
        <v>12739.5766828756</v>
      </c>
      <c r="L514" s="15" t="n">
        <f aca="false">K514*(1+IF(L$3&lt;=$O$2,$D514,$D514-($D514-$I$508)*MIN(L$3-$O$2,$Q$2)/$Q$2))</f>
        <v>13513.2511748267</v>
      </c>
      <c r="M514" s="15" t="n">
        <f aca="false">L514*(1+IF(M$3&lt;=$O$2,$D514,$D514-($D514-$I$508)*MIN(M$3-$O$2,$Q$2)/$Q$2))</f>
        <v>14114.7935508741</v>
      </c>
      <c r="N514" s="15" t="n">
        <f aca="false">M514*(1+IF(N$3&lt;=$O$2,$D514,$D514-($D514-$I$508)*MIN(N$3-$O$2,$Q$2)/$Q$2))</f>
        <v>14514.2422083638</v>
      </c>
      <c r="O514" s="15" t="n">
        <f aca="false">SUMPRODUCT(E514:N514,1/(1+$F$508)^$E$3:$N$3)*$E$2</f>
        <v>12840.598496741</v>
      </c>
      <c r="P514" s="15" t="n">
        <f aca="false">N514*$E$2*(1+$I$508)/($F$508-$I$508)/(1+$F$508)^$N$3</f>
        <v>16071.5672101931</v>
      </c>
      <c r="Q514" s="15" t="n">
        <f aca="false">O514+P514</f>
        <v>28912.1657069341</v>
      </c>
      <c r="R514" s="15" t="n">
        <f aca="false">Q514-$G$2+$I$2</f>
        <v>23612.2657069341</v>
      </c>
      <c r="S514" s="42" t="n">
        <f aca="false">R514/$K$2</f>
        <v>200.989663831581</v>
      </c>
      <c r="T514" s="43" t="n">
        <f aca="false">S514-$M$2</f>
        <v>53.8156767699532</v>
      </c>
    </row>
    <row r="515" customFormat="false" ht="15" hidden="false" customHeight="false" outlineLevel="0" collapsed="false">
      <c r="A515" s="5" t="n">
        <v>6</v>
      </c>
      <c r="B515" s="25" t="n">
        <f aca="false">IF(T514&gt;0,B514,D514)</f>
        <v>0.0625</v>
      </c>
      <c r="C515" s="25" t="n">
        <f aca="false">IF(T514&gt;0,D514,C514)</f>
        <v>0.109375</v>
      </c>
      <c r="D515" s="41" t="n">
        <f aca="false">(B515+C515)/2</f>
        <v>0.0859375</v>
      </c>
      <c r="E515" s="15" t="n">
        <f aca="false">$C$2*(1+IF(E$3&lt;=$O$2,$D515,$D515-($D515-$I$508)*MIN(E$3-$O$2,$Q$2)/$Q$2))</f>
        <v>6993.4375</v>
      </c>
      <c r="F515" s="15" t="n">
        <f aca="false">E515*(1+IF(F$3&lt;=$O$2,$D515,$D515-($D515-$I$508)*MIN(F$3-$O$2,$Q$2)/$Q$2))</f>
        <v>7594.43603515625</v>
      </c>
      <c r="G515" s="15" t="n">
        <f aca="false">F515*(1+IF(G$3&lt;=$O$2,$D515,$D515-($D515-$I$508)*MIN(G$3-$O$2,$Q$2)/$Q$2))</f>
        <v>8247.08288192749</v>
      </c>
      <c r="H515" s="15" t="n">
        <f aca="false">G515*(1+IF(H$3&lt;=$O$2,$D515,$D515-($D515-$I$508)*MIN(H$3-$O$2,$Q$2)/$Q$2))</f>
        <v>8955.81656709313</v>
      </c>
      <c r="I515" s="15" t="n">
        <f aca="false">H515*(1+IF(I$3&lt;=$O$2,$D515,$D515-($D515-$I$508)*MIN(I$3-$O$2,$Q$2)/$Q$2))</f>
        <v>9725.4570533277</v>
      </c>
      <c r="J515" s="15" t="n">
        <f aca="false">I515*(1+IF(J$3&lt;=$O$2,$D515,$D515-($D515-$I$508)*MIN(J$3-$O$2,$Q$2)/$Q$2))</f>
        <v>10449.1283126658</v>
      </c>
      <c r="K515" s="15" t="n">
        <f aca="false">J515*(1+IF(K$3&lt;=$O$2,$D515,$D515-($D515-$I$508)*MIN(K$3-$O$2,$Q$2)/$Q$2))</f>
        <v>11106.195623787</v>
      </c>
      <c r="L515" s="15" t="n">
        <f aca="false">K515*(1+IF(L$3&lt;=$O$2,$D515,$D515-($D515-$I$508)*MIN(L$3-$O$2,$Q$2)/$Q$2))</f>
        <v>11676.5543000466</v>
      </c>
      <c r="M515" s="15" t="n">
        <f aca="false">L515*(1+IF(M$3&lt;=$O$2,$D515,$D515-($D515-$I$508)*MIN(M$3-$O$2,$Q$2)/$Q$2))</f>
        <v>12141.6022664317</v>
      </c>
      <c r="N515" s="15" t="n">
        <f aca="false">M515*(1+IF(N$3&lt;=$O$2,$D515,$D515-($D515-$I$508)*MIN(N$3-$O$2,$Q$2)/$Q$2))</f>
        <v>12485.2096105717</v>
      </c>
      <c r="O515" s="15" t="n">
        <f aca="false">SUMPRODUCT(E515:N515,1/(1+$F$508)^$E$3:$N$3)*$E$2</f>
        <v>11611.2452774632</v>
      </c>
      <c r="P515" s="15" t="n">
        <f aca="false">N515*$E$2*(1+$I$508)/($F$508-$I$508)/(1+$F$508)^$N$3</f>
        <v>13824.8268500042</v>
      </c>
      <c r="Q515" s="15" t="n">
        <f aca="false">O515+P515</f>
        <v>25436.0721274673</v>
      </c>
      <c r="R515" s="15" t="n">
        <f aca="false">Q515-$G$2+$I$2</f>
        <v>20136.1721274673</v>
      </c>
      <c r="S515" s="42" t="n">
        <f aca="false">R515/$K$2</f>
        <v>171.400852293729</v>
      </c>
      <c r="T515" s="43" t="n">
        <f aca="false">S515-$M$2</f>
        <v>24.2268652321018</v>
      </c>
    </row>
    <row r="516" customFormat="false" ht="15" hidden="false" customHeight="false" outlineLevel="0" collapsed="false">
      <c r="A516" s="5" t="n">
        <v>7</v>
      </c>
      <c r="B516" s="25" t="n">
        <f aca="false">IF(T515&gt;0,B515,D515)</f>
        <v>0.0625</v>
      </c>
      <c r="C516" s="25" t="n">
        <f aca="false">IF(T515&gt;0,D515,C515)</f>
        <v>0.0859375</v>
      </c>
      <c r="D516" s="41" t="n">
        <f aca="false">(B516+C516)/2</f>
        <v>0.07421875</v>
      </c>
      <c r="E516" s="15" t="n">
        <f aca="false">$C$2*(1+IF(E$3&lt;=$O$2,$D516,$D516-($D516-$I$508)*MIN(E$3-$O$2,$Q$2)/$Q$2))</f>
        <v>6917.96875</v>
      </c>
      <c r="F516" s="15" t="n">
        <f aca="false">E516*(1+IF(F$3&lt;=$O$2,$D516,$D516-($D516-$I$508)*MIN(F$3-$O$2,$Q$2)/$Q$2))</f>
        <v>7431.41174316406</v>
      </c>
      <c r="G516" s="15" t="n">
        <f aca="false">F516*(1+IF(G$3&lt;=$O$2,$D516,$D516-($D516-$I$508)*MIN(G$3-$O$2,$Q$2)/$Q$2))</f>
        <v>7982.96183347702</v>
      </c>
      <c r="H516" s="15" t="n">
        <f aca="false">G516*(1+IF(H$3&lt;=$O$2,$D516,$D516-($D516-$I$508)*MIN(H$3-$O$2,$Q$2)/$Q$2))</f>
        <v>8575.44728205539</v>
      </c>
      <c r="I516" s="15" t="n">
        <f aca="false">H516*(1+IF(I$3&lt;=$O$2,$D516,$D516-($D516-$I$508)*MIN(I$3-$O$2,$Q$2)/$Q$2))</f>
        <v>9211.90626002044</v>
      </c>
      <c r="J516" s="15" t="n">
        <f aca="false">I516*(1+IF(J$3&lt;=$O$2,$D516,$D516-($D516-$I$508)*MIN(J$3-$O$2,$Q$2)/$Q$2))</f>
        <v>9811.00258364087</v>
      </c>
      <c r="K516" s="15" t="n">
        <f aca="false">J516*(1+IF(K$3&lt;=$O$2,$D516,$D516-($D516-$I$508)*MIN(K$3-$O$2,$Q$2)/$Q$2))</f>
        <v>10358.9593416904</v>
      </c>
      <c r="L516" s="15" t="n">
        <f aca="false">K516*(1+IF(L$3&lt;=$O$2,$D516,$D516-($D516-$I$508)*MIN(L$3-$O$2,$Q$2)/$Q$2))</f>
        <v>10842.3860767688</v>
      </c>
      <c r="M516" s="15" t="n">
        <f aca="false">L516*(1+IF(M$3&lt;=$O$2,$D516,$D516-($D516-$I$508)*MIN(M$3-$O$2,$Q$2)/$Q$2))</f>
        <v>11248.7993658739</v>
      </c>
      <c r="N516" s="15" t="n">
        <f aca="false">M516*(1+IF(N$3&lt;=$O$2,$D516,$D516-($D516-$I$508)*MIN(N$3-$O$2,$Q$2)/$Q$2))</f>
        <v>11567.1403879281</v>
      </c>
      <c r="O516" s="15" t="n">
        <f aca="false">SUMPRODUCT(E516:N516,1/(1+$F$508)^$E$3:$N$3)*$E$2</f>
        <v>11041.4533892054</v>
      </c>
      <c r="P516" s="15" t="n">
        <f aca="false">N516*$E$2*(1+$I$508)/($F$508-$I$508)/(1+$F$508)^$N$3</f>
        <v>12808.2521640158</v>
      </c>
      <c r="Q516" s="15" t="n">
        <f aca="false">O516+P516</f>
        <v>23849.7055532212</v>
      </c>
      <c r="R516" s="15" t="n">
        <f aca="false">Q516-$G$2+$I$2</f>
        <v>18549.8055532212</v>
      </c>
      <c r="S516" s="42" t="n">
        <f aca="false">R516/$K$2</f>
        <v>157.897561740051</v>
      </c>
      <c r="T516" s="43" t="n">
        <f aca="false">S516-$M$2</f>
        <v>10.7235746784237</v>
      </c>
    </row>
    <row r="517" customFormat="false" ht="15" hidden="false" customHeight="false" outlineLevel="0" collapsed="false">
      <c r="A517" s="5" t="n">
        <v>8</v>
      </c>
      <c r="B517" s="25" t="n">
        <f aca="false">IF(T516&gt;0,B516,D516)</f>
        <v>0.0625</v>
      </c>
      <c r="C517" s="25" t="n">
        <f aca="false">IF(T516&gt;0,D516,C516)</f>
        <v>0.07421875</v>
      </c>
      <c r="D517" s="41" t="n">
        <f aca="false">(B517+C517)/2</f>
        <v>0.068359375</v>
      </c>
      <c r="E517" s="15" t="n">
        <f aca="false">$C$2*(1+IF(E$3&lt;=$O$2,$D517,$D517-($D517-$I$508)*MIN(E$3-$O$2,$Q$2)/$Q$2))</f>
        <v>6880.234375</v>
      </c>
      <c r="F517" s="15" t="n">
        <f aca="false">E517*(1+IF(F$3&lt;=$O$2,$D517,$D517-($D517-$I$508)*MIN(F$3-$O$2,$Q$2)/$Q$2))</f>
        <v>7350.56289672852</v>
      </c>
      <c r="G517" s="15" t="n">
        <f aca="false">F517*(1+IF(G$3&lt;=$O$2,$D517,$D517-($D517-$I$508)*MIN(G$3-$O$2,$Q$2)/$Q$2))</f>
        <v>7853.04278224707</v>
      </c>
      <c r="H517" s="15" t="n">
        <f aca="false">G517*(1+IF(H$3&lt;=$O$2,$D517,$D517-($D517-$I$508)*MIN(H$3-$O$2,$Q$2)/$Q$2))</f>
        <v>8389.87187868974</v>
      </c>
      <c r="I517" s="15" t="n">
        <f aca="false">H517*(1+IF(I$3&lt;=$O$2,$D517,$D517-($D517-$I$508)*MIN(I$3-$O$2,$Q$2)/$Q$2))</f>
        <v>8963.39827664704</v>
      </c>
      <c r="J517" s="15" t="n">
        <f aca="false">I517*(1+IF(J$3&lt;=$O$2,$D517,$D517-($D517-$I$508)*MIN(J$3-$O$2,$Q$2)/$Q$2))</f>
        <v>9504.316954147</v>
      </c>
      <c r="K517" s="15" t="n">
        <f aca="false">J517*(1+IF(K$3&lt;=$O$2,$D517,$D517-($D517-$I$508)*MIN(K$3-$O$2,$Q$2)/$Q$2))</f>
        <v>10001.7313221404</v>
      </c>
      <c r="L517" s="15" t="n">
        <f aca="false">K517*(1+IF(L$3&lt;=$O$2,$D517,$D517-($D517-$I$508)*MIN(L$3-$O$2,$Q$2)/$Q$2))</f>
        <v>10445.0455608301</v>
      </c>
      <c r="M517" s="15" t="n">
        <f aca="false">L517*(1+IF(M$3&lt;=$O$2,$D517,$D517-($D517-$I$508)*MIN(M$3-$O$2,$Q$2)/$Q$2))</f>
        <v>10824.3247496043</v>
      </c>
      <c r="N517" s="15" t="n">
        <f aca="false">M517*(1+IF(N$3&lt;=$O$2,$D517,$D517-($D517-$I$508)*MIN(N$3-$O$2,$Q$2)/$Q$2))</f>
        <v>11130.6531400181</v>
      </c>
      <c r="O517" s="15" t="n">
        <f aca="false">SUMPRODUCT(E517:N517,1/(1+$F$508)^$E$3:$N$3)*$E$2</f>
        <v>10767.1768959854</v>
      </c>
      <c r="P517" s="15" t="n">
        <f aca="false">N517*$E$2*(1+$I$508)/($F$508-$I$508)/(1+$F$508)^$N$3</f>
        <v>12324.9314339031</v>
      </c>
      <c r="Q517" s="15" t="n">
        <f aca="false">O517+P517</f>
        <v>23092.1083298885</v>
      </c>
      <c r="R517" s="15" t="n">
        <f aca="false">Q517-$G$2+$I$2</f>
        <v>17792.2083298885</v>
      </c>
      <c r="S517" s="42" t="n">
        <f aca="false">R517/$K$2</f>
        <v>151.448828140011</v>
      </c>
      <c r="T517" s="43" t="n">
        <f aca="false">S517-$M$2</f>
        <v>4.2748410783833</v>
      </c>
    </row>
    <row r="518" customFormat="false" ht="15" hidden="false" customHeight="false" outlineLevel="0" collapsed="false">
      <c r="A518" s="5" t="n">
        <v>9</v>
      </c>
      <c r="B518" s="25" t="n">
        <f aca="false">IF(T517&gt;0,B517,D517)</f>
        <v>0.0625</v>
      </c>
      <c r="C518" s="25" t="n">
        <f aca="false">IF(T517&gt;0,D517,C517)</f>
        <v>0.068359375</v>
      </c>
      <c r="D518" s="41" t="n">
        <f aca="false">(B518+C518)/2</f>
        <v>0.0654296875</v>
      </c>
      <c r="E518" s="15" t="n">
        <f aca="false">$C$2*(1+IF(E$3&lt;=$O$2,$D518,$D518-($D518-$I$508)*MIN(E$3-$O$2,$Q$2)/$Q$2))</f>
        <v>6861.3671875</v>
      </c>
      <c r="F518" s="15" t="n">
        <f aca="false">E518*(1+IF(F$3&lt;=$O$2,$D518,$D518-($D518-$I$508)*MIN(F$3-$O$2,$Q$2)/$Q$2))</f>
        <v>7310.30429840088</v>
      </c>
      <c r="G518" s="15" t="n">
        <f aca="false">F518*(1+IF(G$3&lt;=$O$2,$D518,$D518-($D518-$I$508)*MIN(G$3-$O$2,$Q$2)/$Q$2))</f>
        <v>7788.61522417516</v>
      </c>
      <c r="H518" s="15" t="n">
        <f aca="false">G518*(1+IF(H$3&lt;=$O$2,$D518,$D518-($D518-$I$508)*MIN(H$3-$O$2,$Q$2)/$Q$2))</f>
        <v>8298.22188435068</v>
      </c>
      <c r="I518" s="15" t="n">
        <f aca="false">H518*(1+IF(I$3&lt;=$O$2,$D518,$D518-($D518-$I$508)*MIN(I$3-$O$2,$Q$2)/$Q$2))</f>
        <v>8841.1719490494</v>
      </c>
      <c r="J518" s="15" t="n">
        <f aca="false">I518*(1+IF(J$3&lt;=$O$2,$D518,$D518-($D518-$I$508)*MIN(J$3-$O$2,$Q$2)/$Q$2))</f>
        <v>9353.99307648908</v>
      </c>
      <c r="K518" s="15" t="n">
        <f aca="false">J518*(1+IF(K$3&lt;=$O$2,$D518,$D518-($D518-$I$508)*MIN(K$3-$O$2,$Q$2)/$Q$2))</f>
        <v>9827.09758443804</v>
      </c>
      <c r="L518" s="15" t="n">
        <f aca="false">K518*(1+IF(L$3&lt;=$O$2,$D518,$D518-($D518-$I$508)*MIN(L$3-$O$2,$Q$2)/$Q$2))</f>
        <v>10251.1552710145</v>
      </c>
      <c r="M518" s="15" t="n">
        <f aca="false">L518*(1+IF(M$3&lt;=$O$2,$D518,$D518-($D518-$I$508)*MIN(M$3-$O$2,$Q$2)/$Q$2))</f>
        <v>10617.3874035296</v>
      </c>
      <c r="N518" s="15" t="n">
        <f aca="false">M518*(1+IF(N$3&lt;=$O$2,$D518,$D518-($D518-$I$508)*MIN(N$3-$O$2,$Q$2)/$Q$2))</f>
        <v>10917.8594670495</v>
      </c>
      <c r="O518" s="15" t="n">
        <f aca="false">SUMPRODUCT(E518:N518,1/(1+$F$508)^$E$3:$N$3)*$E$2</f>
        <v>10632.6211409257</v>
      </c>
      <c r="P518" s="15" t="n">
        <f aca="false">N518*$E$2*(1+$I$508)/($F$508-$I$508)/(1+$F$508)^$N$3</f>
        <v>12089.3057796028</v>
      </c>
      <c r="Q518" s="15" t="n">
        <f aca="false">O518+P518</f>
        <v>22721.9269205285</v>
      </c>
      <c r="R518" s="15" t="n">
        <f aca="false">Q518-$G$2+$I$2</f>
        <v>17422.0269205285</v>
      </c>
      <c r="S518" s="42" t="n">
        <f aca="false">R518/$K$2</f>
        <v>148.297811717131</v>
      </c>
      <c r="T518" s="43" t="n">
        <f aca="false">S518-$M$2</f>
        <v>1.12382465550326</v>
      </c>
    </row>
    <row r="519" customFormat="false" ht="15" hidden="false" customHeight="false" outlineLevel="0" collapsed="false">
      <c r="A519" s="5" t="n">
        <v>10</v>
      </c>
      <c r="B519" s="25" t="n">
        <f aca="false">IF(T518&gt;0,B518,D518)</f>
        <v>0.0625</v>
      </c>
      <c r="C519" s="25" t="n">
        <f aca="false">IF(T518&gt;0,D518,C518)</f>
        <v>0.0654296875</v>
      </c>
      <c r="D519" s="41" t="n">
        <f aca="false">(B519+C519)/2</f>
        <v>0.06396484375</v>
      </c>
      <c r="E519" s="15" t="n">
        <f aca="false">$C$2*(1+IF(E$3&lt;=$O$2,$D519,$D519-($D519-$I$508)*MIN(E$3-$O$2,$Q$2)/$Q$2))</f>
        <v>6851.93359375</v>
      </c>
      <c r="F519" s="15" t="n">
        <f aca="false">E519*(1+IF(F$3&lt;=$O$2,$D519,$D519-($D519-$I$508)*MIN(F$3-$O$2,$Q$2)/$Q$2))</f>
        <v>7290.2164554596</v>
      </c>
      <c r="G519" s="15" t="n">
        <f aca="false">F519*(1+IF(G$3&lt;=$O$2,$D519,$D519-($D519-$I$508)*MIN(G$3-$O$2,$Q$2)/$Q$2))</f>
        <v>7756.53401193675</v>
      </c>
      <c r="H519" s="15" t="n">
        <f aca="false">G519*(1+IF(H$3&lt;=$O$2,$D519,$D519-($D519-$I$508)*MIN(H$3-$O$2,$Q$2)/$Q$2))</f>
        <v>8252.67949805184</v>
      </c>
      <c r="I519" s="15" t="n">
        <f aca="false">H519*(1+IF(I$3&lt;=$O$2,$D519,$D519-($D519-$I$508)*MIN(I$3-$O$2,$Q$2)/$Q$2))</f>
        <v>8780.56085266356</v>
      </c>
      <c r="J519" s="15" t="n">
        <f aca="false">I519*(1+IF(J$3&lt;=$O$2,$D519,$D519-($D519-$I$508)*MIN(J$3-$O$2,$Q$2)/$Q$2))</f>
        <v>9279.57658947202</v>
      </c>
      <c r="K519" s="15" t="n">
        <f aca="false">J519*(1+IF(K$3&lt;=$O$2,$D519,$D519-($D519-$I$508)*MIN(K$3-$O$2,$Q$2)/$Q$2))</f>
        <v>9740.76139643189</v>
      </c>
      <c r="L519" s="15" t="n">
        <f aca="false">K519*(1+IF(L$3&lt;=$O$2,$D519,$D519-($D519-$I$508)*MIN(L$3-$O$2,$Q$2)/$Q$2))</f>
        <v>10155.3860372348</v>
      </c>
      <c r="M519" s="15" t="n">
        <f aca="false">L519*(1+IF(M$3&lt;=$O$2,$D519,$D519-($D519-$I$508)*MIN(M$3-$O$2,$Q$2)/$Q$2))</f>
        <v>10515.2215133363</v>
      </c>
      <c r="N519" s="15" t="n">
        <f aca="false">M519*(1+IF(N$3&lt;=$O$2,$D519,$D519-($D519-$I$508)*MIN(N$3-$O$2,$Q$2)/$Q$2))</f>
        <v>10812.8022821638</v>
      </c>
      <c r="O519" s="15" t="n">
        <f aca="false">SUMPRODUCT(E519:N519,1/(1+$F$508)^$E$3:$N$3)*$E$2</f>
        <v>10565.9800130789</v>
      </c>
      <c r="P519" s="15" t="n">
        <f aca="false">N519*$E$2*(1+$I$508)/($F$508-$I$508)/(1+$F$508)^$N$3</f>
        <v>11972.9763437587</v>
      </c>
      <c r="Q519" s="15" t="n">
        <f aca="false">O519+P519</f>
        <v>22538.9563568375</v>
      </c>
      <c r="R519" s="15" t="n">
        <f aca="false">Q519-$G$2+$I$2</f>
        <v>17239.0563568375</v>
      </c>
      <c r="S519" s="42" t="n">
        <f aca="false">R519/$K$2</f>
        <v>146.740350330588</v>
      </c>
      <c r="T519" s="43" t="n">
        <f aca="false">S519-$M$2</f>
        <v>-0.433636731039087</v>
      </c>
    </row>
    <row r="520" customFormat="false" ht="15" hidden="false" customHeight="false" outlineLevel="0" collapsed="false">
      <c r="A520" s="5" t="n">
        <v>11</v>
      </c>
      <c r="B520" s="25" t="n">
        <f aca="false">IF(T519&gt;0,B519,D519)</f>
        <v>0.06396484375</v>
      </c>
      <c r="C520" s="25" t="n">
        <f aca="false">IF(T519&gt;0,D519,C519)</f>
        <v>0.0654296875</v>
      </c>
      <c r="D520" s="41" t="n">
        <f aca="false">(B520+C520)/2</f>
        <v>0.064697265625</v>
      </c>
      <c r="E520" s="15" t="n">
        <f aca="false">$C$2*(1+IF(E$3&lt;=$O$2,$D520,$D520-($D520-$I$508)*MIN(E$3-$O$2,$Q$2)/$Q$2))</f>
        <v>6856.650390625</v>
      </c>
      <c r="F520" s="15" t="n">
        <f aca="false">E520*(1+IF(F$3&lt;=$O$2,$D520,$D520-($D520-$I$508)*MIN(F$3-$O$2,$Q$2)/$Q$2))</f>
        <v>7300.25692224503</v>
      </c>
      <c r="G520" s="15" t="n">
        <f aca="false">F520*(1+IF(G$3&lt;=$O$2,$D520,$D520-($D520-$I$508)*MIN(G$3-$O$2,$Q$2)/$Q$2))</f>
        <v>7772.56358347426</v>
      </c>
      <c r="H520" s="15" t="n">
        <f aca="false">G520*(1+IF(H$3&lt;=$O$2,$D520,$D520-($D520-$I$508)*MIN(H$3-$O$2,$Q$2)/$Q$2))</f>
        <v>8275.42719422149</v>
      </c>
      <c r="I520" s="15" t="n">
        <f aca="false">H520*(1+IF(I$3&lt;=$O$2,$D520,$D520-($D520-$I$508)*MIN(I$3-$O$2,$Q$2)/$Q$2))</f>
        <v>8810.82470556639</v>
      </c>
      <c r="J520" s="15" t="n">
        <f aca="false">I520*(1+IF(J$3&lt;=$O$2,$D520,$D520-($D520-$I$508)*MIN(J$3-$O$2,$Q$2)/$Q$2))</f>
        <v>9316.72298648097</v>
      </c>
      <c r="K520" s="15" t="n">
        <f aca="false">J520*(1+IF(K$3&lt;=$O$2,$D520,$D520-($D520-$I$508)*MIN(K$3-$O$2,$Q$2)/$Q$2))</f>
        <v>9783.84819177447</v>
      </c>
      <c r="L520" s="15" t="n">
        <f aca="false">K520*(1+IF(L$3&lt;=$O$2,$D520,$D520-($D520-$I$508)*MIN(L$3-$O$2,$Q$2)/$Q$2))</f>
        <v>10203.17322419</v>
      </c>
      <c r="M520" s="15" t="n">
        <f aca="false">L520*(1+IF(M$3&lt;=$O$2,$D520,$D520-($D520-$I$508)*MIN(M$3-$O$2,$Q$2)/$Q$2))</f>
        <v>10566.1965476463</v>
      </c>
      <c r="N520" s="15" t="n">
        <f aca="false">M520*(1+IF(N$3&lt;=$O$2,$D520,$D520-($D520-$I$508)*MIN(N$3-$O$2,$Q$2)/$Q$2))</f>
        <v>10865.2199099447</v>
      </c>
      <c r="O520" s="15" t="n">
        <f aca="false">SUMPRODUCT(E520:N520,1/(1+$F$508)^$E$3:$N$3)*$E$2</f>
        <v>10599.2477764059</v>
      </c>
      <c r="P520" s="15" t="n">
        <f aca="false">N520*$E$2*(1+$I$508)/($F$508-$I$508)/(1+$F$508)^$N$3</f>
        <v>12031.0181909172</v>
      </c>
      <c r="Q520" s="15" t="n">
        <f aca="false">O520+P520</f>
        <v>22630.2659673232</v>
      </c>
      <c r="R520" s="15" t="n">
        <f aca="false">Q520-$G$2+$I$2</f>
        <v>17330.3659673232</v>
      </c>
      <c r="S520" s="42" t="n">
        <f aca="false">R520/$K$2</f>
        <v>147.517585693932</v>
      </c>
      <c r="T520" s="43" t="n">
        <f aca="false">S520-$M$2</f>
        <v>0.34359863230469</v>
      </c>
    </row>
    <row r="521" customFormat="false" ht="15" hidden="false" customHeight="false" outlineLevel="0" collapsed="false">
      <c r="A521" s="5" t="n">
        <v>12</v>
      </c>
      <c r="B521" s="25" t="n">
        <f aca="false">IF(T520&gt;0,B520,D520)</f>
        <v>0.06396484375</v>
      </c>
      <c r="C521" s="25" t="n">
        <f aca="false">IF(T520&gt;0,D520,C520)</f>
        <v>0.064697265625</v>
      </c>
      <c r="D521" s="41" t="n">
        <f aca="false">(B521+C521)/2</f>
        <v>0.0643310546875</v>
      </c>
      <c r="E521" s="15" t="n">
        <f aca="false">$C$2*(1+IF(E$3&lt;=$O$2,$D521,$D521-($D521-$I$508)*MIN(E$3-$O$2,$Q$2)/$Q$2))</f>
        <v>6854.2919921875</v>
      </c>
      <c r="F521" s="15" t="n">
        <f aca="false">E521*(1+IF(F$3&lt;=$O$2,$D521,$D521-($D521-$I$508)*MIN(F$3-$O$2,$Q$2)/$Q$2))</f>
        <v>7295.23582518101</v>
      </c>
      <c r="G521" s="15" t="n">
        <f aca="false">F521*(1+IF(G$3&lt;=$O$2,$D521,$D521-($D521-$I$508)*MIN(G$3-$O$2,$Q$2)/$Q$2))</f>
        <v>7764.54604000894</v>
      </c>
      <c r="H521" s="15" t="n">
        <f aca="false">G521*(1+IF(H$3&lt;=$O$2,$D521,$D521-($D521-$I$508)*MIN(H$3-$O$2,$Q$2)/$Q$2))</f>
        <v>8264.04747593236</v>
      </c>
      <c r="I521" s="15" t="n">
        <f aca="false">H521*(1+IF(I$3&lt;=$O$2,$D521,$D521-($D521-$I$508)*MIN(I$3-$O$2,$Q$2)/$Q$2))</f>
        <v>8795.68236604666</v>
      </c>
      <c r="J521" s="15" t="n">
        <f aca="false">I521*(1+IF(J$3&lt;=$O$2,$D521,$D521-($D521-$I$508)*MIN(J$3-$O$2,$Q$2)/$Q$2))</f>
        <v>9298.13434688171</v>
      </c>
      <c r="K521" s="15" t="n">
        <f aca="false">J521*(1+IF(K$3&lt;=$O$2,$D521,$D521-($D521-$I$508)*MIN(K$3-$O$2,$Q$2)/$Q$2))</f>
        <v>9762.28450118499</v>
      </c>
      <c r="L521" s="15" t="n">
        <f aca="false">K521*(1+IF(L$3&lt;=$O$2,$D521,$D521-($D521-$I$508)*MIN(L$3-$O$2,$Q$2)/$Q$2))</f>
        <v>10179.2553152634</v>
      </c>
      <c r="M521" s="15" t="n">
        <f aca="false">L521*(1+IF(M$3&lt;=$O$2,$D521,$D521-($D521-$I$508)*MIN(M$3-$O$2,$Q$2)/$Q$2))</f>
        <v>10540.6821016738</v>
      </c>
      <c r="N521" s="15" t="n">
        <f aca="false">M521*(1+IF(N$3&lt;=$O$2,$D521,$D521-($D521-$I$508)*MIN(N$3-$O$2,$Q$2)/$Q$2))</f>
        <v>10838.9834051512</v>
      </c>
      <c r="O521" s="15" t="n">
        <f aca="false">SUMPRODUCT(E521:N521,1/(1+$F$508)^$E$3:$N$3)*$E$2</f>
        <v>10582.6007141645</v>
      </c>
      <c r="P521" s="15" t="n">
        <f aca="false">N521*$E$2*(1+$I$508)/($F$508-$I$508)/(1+$F$508)^$N$3</f>
        <v>12001.9666053025</v>
      </c>
      <c r="Q521" s="15" t="n">
        <f aca="false">O521+P521</f>
        <v>22584.567319467</v>
      </c>
      <c r="R521" s="15" t="n">
        <f aca="false">Q521-$G$2+$I$2</f>
        <v>17284.667319467</v>
      </c>
      <c r="S521" s="42" t="n">
        <f aca="false">R521/$K$2</f>
        <v>147.128594820114</v>
      </c>
      <c r="T521" s="43" t="n">
        <f aca="false">S521-$M$2</f>
        <v>-0.0453922415138379</v>
      </c>
    </row>
    <row r="522" customFormat="false" ht="15" hidden="false" customHeight="false" outlineLevel="0" collapsed="false">
      <c r="A522" s="5" t="n">
        <v>13</v>
      </c>
      <c r="B522" s="25" t="n">
        <f aca="false">IF(T521&gt;0,B521,D521)</f>
        <v>0.0643310546875</v>
      </c>
      <c r="C522" s="25" t="n">
        <f aca="false">IF(T521&gt;0,D521,C521)</f>
        <v>0.064697265625</v>
      </c>
      <c r="D522" s="41" t="n">
        <f aca="false">(B522+C522)/2</f>
        <v>0.06451416015625</v>
      </c>
      <c r="E522" s="15" t="n">
        <f aca="false">$C$2*(1+IF(E$3&lt;=$O$2,$D522,$D522-($D522-$I$508)*MIN(E$3-$O$2,$Q$2)/$Q$2))</f>
        <v>6855.47119140625</v>
      </c>
      <c r="F522" s="15" t="n">
        <f aca="false">E522*(1+IF(F$3&lt;=$O$2,$D522,$D522-($D522-$I$508)*MIN(F$3-$O$2,$Q$2)/$Q$2))</f>
        <v>7297.74615779519</v>
      </c>
      <c r="G522" s="15" t="n">
        <f aca="false">F522*(1+IF(G$3&lt;=$O$2,$D522,$D522-($D522-$I$508)*MIN(G$3-$O$2,$Q$2)/$Q$2))</f>
        <v>7768.55412219885</v>
      </c>
      <c r="H522" s="15" t="n">
        <f aca="false">G522*(1+IF(H$3&lt;=$O$2,$D522,$D522-($D522-$I$508)*MIN(H$3-$O$2,$Q$2)/$Q$2))</f>
        <v>8269.73586702088</v>
      </c>
      <c r="I522" s="15" t="n">
        <f aca="false">H522*(1+IF(I$3&lt;=$O$2,$D522,$D522-($D522-$I$508)*MIN(I$3-$O$2,$Q$2)/$Q$2))</f>
        <v>8803.25093119575</v>
      </c>
      <c r="J522" s="15" t="n">
        <f aca="false">I522*(1+IF(J$3&lt;=$O$2,$D522,$D522-($D522-$I$508)*MIN(J$3-$O$2,$Q$2)/$Q$2))</f>
        <v>9307.42480384297</v>
      </c>
      <c r="K522" s="15" t="n">
        <f aca="false">J522*(1+IF(K$3&lt;=$O$2,$D522,$D522-($D522-$I$508)*MIN(K$3-$O$2,$Q$2)/$Q$2))</f>
        <v>9773.0612692849</v>
      </c>
      <c r="L522" s="15" t="n">
        <f aca="false">K522*(1+IF(L$3&lt;=$O$2,$D522,$D522-($D522-$I$508)*MIN(L$3-$O$2,$Q$2)/$Q$2))</f>
        <v>10191.2081856148</v>
      </c>
      <c r="M522" s="15" t="n">
        <f aca="false">L522*(1+IF(M$3&lt;=$O$2,$D522,$D522-($D522-$I$508)*MIN(M$3-$O$2,$Q$2)/$Q$2))</f>
        <v>10553.4325863516</v>
      </c>
      <c r="N522" s="15" t="n">
        <f aca="false">M522*(1+IF(N$3&lt;=$O$2,$D522,$D522-($D522-$I$508)*MIN(N$3-$O$2,$Q$2)/$Q$2))</f>
        <v>10852.0947285453</v>
      </c>
      <c r="O522" s="15" t="n">
        <f aca="false">SUMPRODUCT(E522:N522,1/(1+$F$508)^$E$3:$N$3)*$E$2</f>
        <v>10590.9209476963</v>
      </c>
      <c r="P522" s="15" t="n">
        <f aca="false">N522*$E$2*(1+$I$508)/($F$508-$I$508)/(1+$F$508)^$N$3</f>
        <v>12016.4847256506</v>
      </c>
      <c r="Q522" s="15" t="n">
        <f aca="false">O522+P522</f>
        <v>22607.405673347</v>
      </c>
      <c r="R522" s="15" t="n">
        <f aca="false">Q522-$G$2+$I$2</f>
        <v>17307.505673347</v>
      </c>
      <c r="S522" s="42" t="n">
        <f aca="false">R522/$K$2</f>
        <v>147.322996879017</v>
      </c>
      <c r="T522" s="43" t="n">
        <f aca="false">S522-$M$2</f>
        <v>0.149009817389896</v>
      </c>
    </row>
    <row r="523" customFormat="false" ht="15" hidden="false" customHeight="false" outlineLevel="0" collapsed="false">
      <c r="A523" s="5" t="n">
        <v>14</v>
      </c>
      <c r="B523" s="25" t="n">
        <f aca="false">IF(T522&gt;0,B522,D522)</f>
        <v>0.0643310546875</v>
      </c>
      <c r="C523" s="25" t="n">
        <f aca="false">IF(T522&gt;0,D522,C522)</f>
        <v>0.06451416015625</v>
      </c>
      <c r="D523" s="41" t="n">
        <f aca="false">(B523+C523)/2</f>
        <v>0.064422607421875</v>
      </c>
      <c r="E523" s="15" t="n">
        <f aca="false">$C$2*(1+IF(E$3&lt;=$O$2,$D523,$D523-($D523-$I$508)*MIN(E$3-$O$2,$Q$2)/$Q$2))</f>
        <v>6854.88159179688</v>
      </c>
      <c r="F523" s="15" t="n">
        <f aca="false">E523*(1+IF(F$3&lt;=$O$2,$D523,$D523-($D523-$I$508)*MIN(F$3-$O$2,$Q$2)/$Q$2))</f>
        <v>7296.49093750864</v>
      </c>
      <c r="G523" s="15" t="n">
        <f aca="false">F523*(1+IF(G$3&lt;=$O$2,$D523,$D523-($D523-$I$508)*MIN(G$3-$O$2,$Q$2)/$Q$2))</f>
        <v>7766.54990873303</v>
      </c>
      <c r="H523" s="15" t="n">
        <f aca="false">G523*(1+IF(H$3&lt;=$O$2,$D523,$D523-($D523-$I$508)*MIN(H$3-$O$2,$Q$2)/$Q$2))</f>
        <v>8266.89130452574</v>
      </c>
      <c r="I523" s="15" t="n">
        <f aca="false">H523*(1+IF(I$3&lt;=$O$2,$D523,$D523-($D523-$I$508)*MIN(I$3-$O$2,$Q$2)/$Q$2))</f>
        <v>8799.46599763651</v>
      </c>
      <c r="J523" s="15" t="n">
        <f aca="false">I523*(1+IF(J$3&lt;=$O$2,$D523,$D523-($D523-$I$508)*MIN(J$3-$O$2,$Q$2)/$Q$2))</f>
        <v>9302.77860997344</v>
      </c>
      <c r="K523" s="15" t="n">
        <f aca="false">J523*(1+IF(K$3&lt;=$O$2,$D523,$D523-($D523-$I$508)*MIN(K$3-$O$2,$Q$2)/$Q$2))</f>
        <v>9767.6716164321</v>
      </c>
      <c r="L523" s="15" t="n">
        <f aca="false">K523*(1+IF(L$3&lt;=$O$2,$D523,$D523-($D523-$I$508)*MIN(L$3-$O$2,$Q$2)/$Q$2))</f>
        <v>10185.2302300676</v>
      </c>
      <c r="M523" s="15" t="n">
        <f aca="false">L523*(1+IF(M$3&lt;=$O$2,$D523,$D523-($D523-$I$508)*MIN(M$3-$O$2,$Q$2)/$Q$2))</f>
        <v>10547.0556601989</v>
      </c>
      <c r="N523" s="15" t="n">
        <f aca="false">M523*(1+IF(N$3&lt;=$O$2,$D523,$D523-($D523-$I$508)*MIN(N$3-$O$2,$Q$2)/$Q$2))</f>
        <v>10845.5373353826</v>
      </c>
      <c r="O523" s="15" t="n">
        <f aca="false">SUMPRODUCT(E523:N523,1/(1+$F$508)^$E$3:$N$3)*$E$2</f>
        <v>10586.7600068389</v>
      </c>
      <c r="P523" s="15" t="n">
        <f aca="false">N523*$E$2*(1+$I$508)/($F$508-$I$508)/(1+$F$508)^$N$3</f>
        <v>12009.223748231</v>
      </c>
      <c r="Q523" s="15" t="n">
        <f aca="false">O523+P523</f>
        <v>22595.9837550698</v>
      </c>
      <c r="R523" s="15" t="n">
        <f aca="false">Q523-$G$2+$I$2</f>
        <v>17296.0837550698</v>
      </c>
      <c r="S523" s="42" t="n">
        <f aca="false">R523/$K$2</f>
        <v>147.225772515065</v>
      </c>
      <c r="T523" s="43" t="n">
        <f aca="false">S523-$M$2</f>
        <v>0.0517854534373043</v>
      </c>
    </row>
    <row r="524" customFormat="false" ht="15" hidden="false" customHeight="false" outlineLevel="0" collapsed="false">
      <c r="A524" s="5" t="n">
        <v>15</v>
      </c>
      <c r="B524" s="25" t="n">
        <f aca="false">IF(T523&gt;0,B523,D523)</f>
        <v>0.0643310546875</v>
      </c>
      <c r="C524" s="25" t="n">
        <f aca="false">IF(T523&gt;0,D523,C523)</f>
        <v>0.064422607421875</v>
      </c>
      <c r="D524" s="41" t="n">
        <f aca="false">(B524+C524)/2</f>
        <v>0.0643768310546875</v>
      </c>
      <c r="E524" s="15" t="n">
        <f aca="false">$C$2*(1+IF(E$3&lt;=$O$2,$D524,$D524-($D524-$I$508)*MIN(E$3-$O$2,$Q$2)/$Q$2))</f>
        <v>6854.58679199219</v>
      </c>
      <c r="F524" s="15" t="n">
        <f aca="false">E524*(1+IF(F$3&lt;=$O$2,$D524,$D524-($D524-$I$508)*MIN(F$3-$O$2,$Q$2)/$Q$2))</f>
        <v>7295.86336784996</v>
      </c>
      <c r="G524" s="15" t="n">
        <f aca="false">F524*(1+IF(G$3&lt;=$O$2,$D524,$D524-($D524-$I$508)*MIN(G$3-$O$2,$Q$2)/$Q$2))</f>
        <v>7765.54793128012</v>
      </c>
      <c r="H524" s="15" t="n">
        <f aca="false">G524*(1+IF(H$3&lt;=$O$2,$D524,$D524-($D524-$I$508)*MIN(H$3-$O$2,$Q$2)/$Q$2))</f>
        <v>8265.46929849922</v>
      </c>
      <c r="I524" s="15" t="n">
        <f aca="false">H524*(1+IF(I$3&lt;=$O$2,$D524,$D524-($D524-$I$508)*MIN(I$3-$O$2,$Q$2)/$Q$2))</f>
        <v>8797.57401911641</v>
      </c>
      <c r="J524" s="15" t="n">
        <f aca="false">I524*(1+IF(J$3&lt;=$O$2,$D524,$D524-($D524-$I$508)*MIN(J$3-$O$2,$Q$2)/$Q$2))</f>
        <v>9300.45623712042</v>
      </c>
      <c r="K524" s="15" t="n">
        <f aca="false">J524*(1+IF(K$3&lt;=$O$2,$D524,$D524-($D524-$I$508)*MIN(K$3-$O$2,$Q$2)/$Q$2))</f>
        <v>9764.97774166979</v>
      </c>
      <c r="L524" s="15" t="n">
        <f aca="false">K524*(1+IF(L$3&lt;=$O$2,$D524,$D524-($D524-$I$508)*MIN(L$3-$O$2,$Q$2)/$Q$2))</f>
        <v>10182.2423926547</v>
      </c>
      <c r="M524" s="15" t="n">
        <f aca="false">L524*(1+IF(M$3&lt;=$O$2,$D524,$D524-($D524-$I$508)*MIN(M$3-$O$2,$Q$2)/$Q$2))</f>
        <v>10543.8684600783</v>
      </c>
      <c r="N524" s="15" t="n">
        <f aca="false">M524*(1+IF(N$3&lt;=$O$2,$D524,$D524-($D524-$I$508)*MIN(N$3-$O$2,$Q$2)/$Q$2))</f>
        <v>10842.2599374985</v>
      </c>
      <c r="O524" s="15" t="n">
        <f aca="false">SUMPRODUCT(E524:N524,1/(1+$F$508)^$E$3:$N$3)*$E$2</f>
        <v>10584.680154517</v>
      </c>
      <c r="P524" s="15" t="n">
        <f aca="false">N524*$E$2*(1+$I$508)/($F$508-$I$508)/(1+$F$508)^$N$3</f>
        <v>12005.5946975639</v>
      </c>
      <c r="Q524" s="15" t="n">
        <f aca="false">O524+P524</f>
        <v>22590.2748520809</v>
      </c>
      <c r="R524" s="15" t="n">
        <f aca="false">Q524-$G$2+$I$2</f>
        <v>17290.3748520809</v>
      </c>
      <c r="S524" s="42" t="n">
        <f aca="false">R524/$K$2</f>
        <v>147.177177835214</v>
      </c>
      <c r="T524" s="43" t="n">
        <f aca="false">S524-$M$2</f>
        <v>0.00319077358631148</v>
      </c>
    </row>
    <row r="525" customFormat="false" ht="15" hidden="false" customHeight="false" outlineLevel="0" collapsed="false">
      <c r="A525" s="5" t="n">
        <v>16</v>
      </c>
      <c r="B525" s="25" t="n">
        <f aca="false">IF(T524&gt;0,B524,D524)</f>
        <v>0.0643310546875</v>
      </c>
      <c r="C525" s="25" t="n">
        <f aca="false">IF(T524&gt;0,D524,C524)</f>
        <v>0.0643768310546875</v>
      </c>
      <c r="D525" s="41" t="n">
        <f aca="false">(B525+C525)/2</f>
        <v>0.0643539428710938</v>
      </c>
      <c r="E525" s="15" t="n">
        <f aca="false">$C$2*(1+IF(E$3&lt;=$O$2,$D525,$D525-($D525-$I$508)*MIN(E$3-$O$2,$Q$2)/$Q$2))</f>
        <v>6854.43939208984</v>
      </c>
      <c r="F525" s="15" t="n">
        <f aca="false">E525*(1+IF(F$3&lt;=$O$2,$D525,$D525-($D525-$I$508)*MIN(F$3-$O$2,$Q$2)/$Q$2))</f>
        <v>7295.54959314177</v>
      </c>
      <c r="G525" s="15" t="n">
        <f aca="false">F525*(1+IF(G$3&lt;=$O$2,$D525,$D525-($D525-$I$508)*MIN(G$3-$O$2,$Q$2)/$Q$2))</f>
        <v>7765.04697487204</v>
      </c>
      <c r="H525" s="15" t="n">
        <f aca="false">G525*(1+IF(H$3&lt;=$O$2,$D525,$D525-($D525-$I$508)*MIN(H$3-$O$2,$Q$2)/$Q$2))</f>
        <v>8264.75836428432</v>
      </c>
      <c r="I525" s="15" t="n">
        <f aca="false">H525*(1+IF(I$3&lt;=$O$2,$D525,$D525-($D525-$I$508)*MIN(I$3-$O$2,$Q$2)/$Q$2))</f>
        <v>8796.62815190287</v>
      </c>
      <c r="J525" s="15" t="n">
        <f aca="false">I525*(1+IF(J$3&lt;=$O$2,$D525,$D525-($D525-$I$508)*MIN(J$3-$O$2,$Q$2)/$Q$2))</f>
        <v>9299.29523167929</v>
      </c>
      <c r="K525" s="15" t="n">
        <f aca="false">J525*(1+IF(K$3&lt;=$O$2,$D525,$D525-($D525-$I$508)*MIN(K$3-$O$2,$Q$2)/$Q$2))</f>
        <v>9763.63104215045</v>
      </c>
      <c r="L525" s="15" t="n">
        <f aca="false">K525*(1+IF(L$3&lt;=$O$2,$D525,$D525-($D525-$I$508)*MIN(L$3-$O$2,$Q$2)/$Q$2))</f>
        <v>10180.7487589666</v>
      </c>
      <c r="M525" s="15" t="n">
        <f aca="false">L525*(1+IF(M$3&lt;=$O$2,$D525,$D525-($D525-$I$508)*MIN(M$3-$O$2,$Q$2)/$Q$2))</f>
        <v>10542.2751756735</v>
      </c>
      <c r="N525" s="15" t="n">
        <f aca="false">M525*(1+IF(N$3&lt;=$O$2,$D525,$D525-($D525-$I$508)*MIN(N$3-$O$2,$Q$2)/$Q$2))</f>
        <v>10840.621563145</v>
      </c>
      <c r="O525" s="15" t="n">
        <f aca="false">SUMPRODUCT(E525:N525,1/(1+$F$508)^$E$3:$N$3)*$E$2</f>
        <v>10583.6403828494</v>
      </c>
      <c r="P525" s="15" t="n">
        <f aca="false">N525*$E$2*(1+$I$508)/($F$508-$I$508)/(1+$F$508)^$N$3</f>
        <v>12003.7805316461</v>
      </c>
      <c r="Q525" s="15" t="n">
        <f aca="false">O525+P525</f>
        <v>22587.4209144954</v>
      </c>
      <c r="R525" s="15" t="n">
        <f aca="false">Q525-$G$2+$I$2</f>
        <v>17287.5209144954</v>
      </c>
      <c r="S525" s="42" t="n">
        <f aca="false">R525/$K$2</f>
        <v>147.152884869726</v>
      </c>
      <c r="T525" s="43" t="n">
        <f aca="false">S525-$M$2</f>
        <v>-0.0211021919014911</v>
      </c>
    </row>
    <row r="526" customFormat="false" ht="15" hidden="false" customHeight="false" outlineLevel="0" collapsed="false">
      <c r="A526" s="5" t="n">
        <v>17</v>
      </c>
      <c r="B526" s="25" t="n">
        <f aca="false">IF(T525&gt;0,B525,D525)</f>
        <v>0.0643539428710938</v>
      </c>
      <c r="C526" s="25" t="n">
        <f aca="false">IF(T525&gt;0,D525,C525)</f>
        <v>0.0643768310546875</v>
      </c>
      <c r="D526" s="41" t="n">
        <f aca="false">(B526+C526)/2</f>
        <v>0.0643653869628906</v>
      </c>
      <c r="E526" s="15" t="n">
        <f aca="false">$C$2*(1+IF(E$3&lt;=$O$2,$D526,$D526-($D526-$I$508)*MIN(E$3-$O$2,$Q$2)/$Q$2))</f>
        <v>6854.51309204102</v>
      </c>
      <c r="F526" s="15" t="n">
        <f aca="false">E526*(1+IF(F$3&lt;=$O$2,$D526,$D526-($D526-$I$508)*MIN(F$3-$O$2,$Q$2)/$Q$2))</f>
        <v>7295.70647965244</v>
      </c>
      <c r="G526" s="15" t="n">
        <f aca="false">F526*(1+IF(G$3&lt;=$O$2,$D526,$D526-($D526-$I$508)*MIN(G$3-$O$2,$Q$2)/$Q$2))</f>
        <v>7765.29745038293</v>
      </c>
      <c r="H526" s="15" t="n">
        <f aca="false">G526*(1+IF(H$3&lt;=$O$2,$D526,$D526-($D526-$I$508)*MIN(H$3-$O$2,$Q$2)/$Q$2))</f>
        <v>8265.11382565878</v>
      </c>
      <c r="I526" s="15" t="n">
        <f aca="false">H526*(1+IF(I$3&lt;=$O$2,$D526,$D526-($D526-$I$508)*MIN(I$3-$O$2,$Q$2)/$Q$2))</f>
        <v>8797.10107533964</v>
      </c>
      <c r="J526" s="15" t="n">
        <f aca="false">I526*(1+IF(J$3&lt;=$O$2,$D526,$D526-($D526-$I$508)*MIN(J$3-$O$2,$Q$2)/$Q$2))</f>
        <v>9299.87571931878</v>
      </c>
      <c r="K526" s="15" t="n">
        <f aca="false">J526*(1+IF(K$3&lt;=$O$2,$D526,$D526-($D526-$I$508)*MIN(K$3-$O$2,$Q$2)/$Q$2))</f>
        <v>9764.30437208992</v>
      </c>
      <c r="L526" s="15" t="n">
        <f aca="false">K526*(1+IF(L$3&lt;=$O$2,$D526,$D526-($D526-$I$508)*MIN(L$3-$O$2,$Q$2)/$Q$2))</f>
        <v>10181.4955520612</v>
      </c>
      <c r="M526" s="15" t="n">
        <f aca="false">L526*(1+IF(M$3&lt;=$O$2,$D526,$D526-($D526-$I$508)*MIN(M$3-$O$2,$Q$2)/$Q$2))</f>
        <v>10543.0717915738</v>
      </c>
      <c r="N526" s="15" t="n">
        <f aca="false">M526*(1+IF(N$3&lt;=$O$2,$D526,$D526-($D526-$I$508)*MIN(N$3-$O$2,$Q$2)/$Q$2))</f>
        <v>10841.4407232753</v>
      </c>
      <c r="O526" s="15" t="n">
        <f aca="false">SUMPRODUCT(E526:N526,1/(1+$F$508)^$E$3:$N$3)*$E$2</f>
        <v>10584.1602558097</v>
      </c>
      <c r="P526" s="15" t="n">
        <f aca="false">N526*$E$2*(1+$I$508)/($F$508-$I$508)/(1+$F$508)^$N$3</f>
        <v>12004.6875846565</v>
      </c>
      <c r="Q526" s="15" t="n">
        <f aca="false">O526+P526</f>
        <v>22588.8478404662</v>
      </c>
      <c r="R526" s="15" t="n">
        <f aca="false">Q526-$G$2+$I$2</f>
        <v>17288.9478404662</v>
      </c>
      <c r="S526" s="42" t="n">
        <f aca="false">R526/$K$2</f>
        <v>147.165030987966</v>
      </c>
      <c r="T526" s="43" t="n">
        <f aca="false">S526-$M$2</f>
        <v>-0.00895607366155105</v>
      </c>
    </row>
    <row r="527" customFormat="false" ht="15" hidden="false" customHeight="false" outlineLevel="0" collapsed="false">
      <c r="A527" s="5" t="n">
        <v>18</v>
      </c>
      <c r="B527" s="25" t="n">
        <f aca="false">IF(T526&gt;0,B526,D526)</f>
        <v>0.0643653869628906</v>
      </c>
      <c r="C527" s="25" t="n">
        <f aca="false">IF(T526&gt;0,D526,C526)</f>
        <v>0.0643768310546875</v>
      </c>
      <c r="D527" s="41" t="n">
        <f aca="false">(B527+C527)/2</f>
        <v>0.0643711090087891</v>
      </c>
      <c r="E527" s="15" t="n">
        <f aca="false">$C$2*(1+IF(E$3&lt;=$O$2,$D527,$D527-($D527-$I$508)*MIN(E$3-$O$2,$Q$2)/$Q$2))</f>
        <v>6854.5499420166</v>
      </c>
      <c r="F527" s="15" t="n">
        <f aca="false">E527*(1+IF(F$3&lt;=$O$2,$D527,$D527-($D527-$I$508)*MIN(F$3-$O$2,$Q$2)/$Q$2))</f>
        <v>7295.78492354034</v>
      </c>
      <c r="G527" s="15" t="n">
        <f aca="false">F527*(1+IF(G$3&lt;=$O$2,$D527,$D527-($D527-$I$508)*MIN(G$3-$O$2,$Q$2)/$Q$2))</f>
        <v>7765.42269015824</v>
      </c>
      <c r="H527" s="15" t="n">
        <f aca="false">G527*(1+IF(H$3&lt;=$O$2,$D527,$D527-($D527-$I$508)*MIN(H$3-$O$2,$Q$2)/$Q$2))</f>
        <v>8265.29156064574</v>
      </c>
      <c r="I527" s="15" t="n">
        <f aca="false">H527*(1+IF(I$3&lt;=$O$2,$D527,$D527-($D527-$I$508)*MIN(I$3-$O$2,$Q$2)/$Q$2))</f>
        <v>8797.33754468549</v>
      </c>
      <c r="J527" s="15" t="n">
        <f aca="false">I527*(1+IF(J$3&lt;=$O$2,$D527,$D527-($D527-$I$508)*MIN(J$3-$O$2,$Q$2)/$Q$2))</f>
        <v>9300.16597444926</v>
      </c>
      <c r="K527" s="15" t="n">
        <f aca="false">J527*(1+IF(K$3&lt;=$O$2,$D527,$D527-($D527-$I$508)*MIN(K$3-$O$2,$Q$2)/$Q$2))</f>
        <v>9764.64105192468</v>
      </c>
      <c r="L527" s="15" t="n">
        <f aca="false">K527*(1+IF(L$3&lt;=$O$2,$D527,$D527-($D527-$I$508)*MIN(L$3-$O$2,$Q$2)/$Q$2))</f>
        <v>10181.8689664204</v>
      </c>
      <c r="M527" s="15" t="n">
        <f aca="false">L527*(1+IF(M$3&lt;=$O$2,$D527,$D527-($D527-$I$508)*MIN(M$3-$O$2,$Q$2)/$Q$2))</f>
        <v>10543.4701192503</v>
      </c>
      <c r="N527" s="15" t="n">
        <f aca="false">M527*(1+IF(N$3&lt;=$O$2,$D527,$D527-($D527-$I$508)*MIN(N$3-$O$2,$Q$2)/$Q$2))</f>
        <v>10841.8503236251</v>
      </c>
      <c r="O527" s="15" t="n">
        <f aca="false">SUMPRODUCT(E527:N527,1/(1+$F$508)^$E$3:$N$3)*$E$2</f>
        <v>10584.4202019449</v>
      </c>
      <c r="P527" s="15" t="n">
        <f aca="false">N527*$E$2*(1+$I$508)/($F$508-$I$508)/(1+$F$508)^$N$3</f>
        <v>12005.1411336229</v>
      </c>
      <c r="Q527" s="15" t="n">
        <f aca="false">O527+P527</f>
        <v>22589.5613355678</v>
      </c>
      <c r="R527" s="15" t="n">
        <f aca="false">Q527-$G$2+$I$2</f>
        <v>17289.6613355678</v>
      </c>
      <c r="S527" s="42" t="n">
        <f aca="false">R527/$K$2</f>
        <v>147.171104320461</v>
      </c>
      <c r="T527" s="43" t="n">
        <f aca="false">S527-$M$2</f>
        <v>-0.00288274116607568</v>
      </c>
    </row>
    <row r="528" customFormat="false" ht="15" hidden="false" customHeight="false" outlineLevel="0" collapsed="false">
      <c r="A528" s="5" t="n">
        <v>19</v>
      </c>
      <c r="B528" s="25" t="n">
        <f aca="false">IF(T527&gt;0,B527,D527)</f>
        <v>0.0643711090087891</v>
      </c>
      <c r="C528" s="25" t="n">
        <f aca="false">IF(T527&gt;0,D527,C527)</f>
        <v>0.0643768310546875</v>
      </c>
      <c r="D528" s="41" t="n">
        <f aca="false">(B528+C528)/2</f>
        <v>0.0643739700317383</v>
      </c>
      <c r="E528" s="15" t="n">
        <f aca="false">$C$2*(1+IF(E$3&lt;=$O$2,$D528,$D528-($D528-$I$508)*MIN(E$3-$O$2,$Q$2)/$Q$2))</f>
        <v>6854.56836700439</v>
      </c>
      <c r="F528" s="15" t="n">
        <f aca="false">E528*(1+IF(F$3&lt;=$O$2,$D528,$D528-($D528-$I$508)*MIN(F$3-$O$2,$Q$2)/$Q$2))</f>
        <v>7295.82414564244</v>
      </c>
      <c r="G528" s="15" t="n">
        <f aca="false">F528*(1+IF(G$3&lt;=$O$2,$D528,$D528-($D528-$I$508)*MIN(G$3-$O$2,$Q$2)/$Q$2))</f>
        <v>7765.48531055086</v>
      </c>
      <c r="H528" s="15" t="n">
        <f aca="false">G528*(1+IF(H$3&lt;=$O$2,$D528,$D528-($D528-$I$508)*MIN(H$3-$O$2,$Q$2)/$Q$2))</f>
        <v>8265.38042921416</v>
      </c>
      <c r="I528" s="15" t="n">
        <f aca="false">H528*(1+IF(I$3&lt;=$O$2,$D528,$D528-($D528-$I$508)*MIN(I$3-$O$2,$Q$2)/$Q$2))</f>
        <v>8797.45578126531</v>
      </c>
      <c r="J528" s="15" t="n">
        <f aca="false">I528*(1+IF(J$3&lt;=$O$2,$D528,$D528-($D528-$I$508)*MIN(J$3-$O$2,$Q$2)/$Q$2))</f>
        <v>9300.31110484224</v>
      </c>
      <c r="K528" s="15" t="n">
        <f aca="false">J528*(1+IF(K$3&lt;=$O$2,$D528,$D528-($D528-$I$508)*MIN(K$3-$O$2,$Q$2)/$Q$2))</f>
        <v>9764.80939555843</v>
      </c>
      <c r="L528" s="15" t="n">
        <f aca="false">K528*(1+IF(L$3&lt;=$O$2,$D528,$D528-($D528-$I$508)*MIN(L$3-$O$2,$Q$2)/$Q$2))</f>
        <v>10182.0556780531</v>
      </c>
      <c r="M528" s="15" t="n">
        <f aca="false">L528*(1+IF(M$3&lt;=$O$2,$D528,$D528-($D528-$I$508)*MIN(M$3-$O$2,$Q$2)/$Q$2))</f>
        <v>10543.6692880204</v>
      </c>
      <c r="N528" s="15" t="n">
        <f aca="false">M528*(1+IF(N$3&lt;=$O$2,$D528,$D528-($D528-$I$508)*MIN(N$3-$O$2,$Q$2)/$Q$2))</f>
        <v>10842.0551288713</v>
      </c>
      <c r="O528" s="15" t="n">
        <f aca="false">SUMPRODUCT(E528:N528,1/(1+$F$508)^$E$3:$N$3)*$E$2</f>
        <v>10584.5501774263</v>
      </c>
      <c r="P528" s="15" t="n">
        <f aca="false">N528*$E$2*(1+$I$508)/($F$508-$I$508)/(1+$F$508)^$N$3</f>
        <v>12005.3679137215</v>
      </c>
      <c r="Q528" s="15" t="n">
        <f aca="false">O528+P528</f>
        <v>22589.9180911479</v>
      </c>
      <c r="R528" s="15" t="n">
        <f aca="false">Q528-$G$2+$I$2</f>
        <v>17290.0180911479</v>
      </c>
      <c r="S528" s="42" t="n">
        <f aca="false">R528/$K$2</f>
        <v>147.174141055055</v>
      </c>
      <c r="T528" s="43" t="n">
        <f aca="false">S528-$M$2</f>
        <v>0.000153993427630894</v>
      </c>
    </row>
    <row r="529" customFormat="false" ht="15" hidden="false" customHeight="false" outlineLevel="0" collapsed="false">
      <c r="A529" s="5" t="n">
        <v>20</v>
      </c>
      <c r="B529" s="25" t="n">
        <f aca="false">IF(T528&gt;0,B528,D528)</f>
        <v>0.0643711090087891</v>
      </c>
      <c r="C529" s="25" t="n">
        <f aca="false">IF(T528&gt;0,D528,C528)</f>
        <v>0.0643739700317383</v>
      </c>
      <c r="D529" s="41" t="n">
        <f aca="false">(B529+C529)/2</f>
        <v>0.0643725395202637</v>
      </c>
      <c r="E529" s="15" t="n">
        <f aca="false">$C$2*(1+IF(E$3&lt;=$O$2,$D529,$D529-($D529-$I$508)*MIN(E$3-$O$2,$Q$2)/$Q$2))</f>
        <v>6854.5591545105</v>
      </c>
      <c r="F529" s="15" t="n">
        <f aca="false">E529*(1+IF(F$3&lt;=$O$2,$D529,$D529-($D529-$I$508)*MIN(F$3-$O$2,$Q$2)/$Q$2))</f>
        <v>7295.80453457821</v>
      </c>
      <c r="G529" s="15" t="n">
        <f aca="false">F529*(1+IF(G$3&lt;=$O$2,$D529,$D529-($D529-$I$508)*MIN(G$3-$O$2,$Q$2)/$Q$2))</f>
        <v>7765.45400031247</v>
      </c>
      <c r="H529" s="15" t="n">
        <f aca="false">G529*(1+IF(H$3&lt;=$O$2,$D529,$D529-($D529-$I$508)*MIN(H$3-$O$2,$Q$2)/$Q$2))</f>
        <v>8265.33599484037</v>
      </c>
      <c r="I529" s="15" t="n">
        <f aca="false">H529*(1+IF(I$3&lt;=$O$2,$D529,$D529-($D529-$I$508)*MIN(I$3-$O$2,$Q$2)/$Q$2))</f>
        <v>8797.39666281649</v>
      </c>
      <c r="J529" s="15" t="n">
        <f aca="false">I529*(1+IF(J$3&lt;=$O$2,$D529,$D529-($D529-$I$508)*MIN(J$3-$O$2,$Q$2)/$Q$2))</f>
        <v>9300.2385394101</v>
      </c>
      <c r="K529" s="15" t="n">
        <f aca="false">J529*(1+IF(K$3&lt;=$O$2,$D529,$D529-($D529-$I$508)*MIN(K$3-$O$2,$Q$2)/$Q$2))</f>
        <v>9764.72522343186</v>
      </c>
      <c r="L529" s="15" t="n">
        <f aca="false">K529*(1+IF(L$3&lt;=$O$2,$D529,$D529-($D529-$I$508)*MIN(L$3-$O$2,$Q$2)/$Q$2))</f>
        <v>10181.9623218657</v>
      </c>
      <c r="M529" s="15" t="n">
        <f aca="false">L529*(1+IF(M$3&lt;=$O$2,$D529,$D529-($D529-$I$508)*MIN(M$3-$O$2,$Q$2)/$Q$2))</f>
        <v>10543.5697032244</v>
      </c>
      <c r="N529" s="15" t="n">
        <f aca="false">M529*(1+IF(N$3&lt;=$O$2,$D529,$D529-($D529-$I$508)*MIN(N$3-$O$2,$Q$2)/$Q$2))</f>
        <v>10841.9527258256</v>
      </c>
      <c r="O529" s="15" t="n">
        <f aca="false">SUMPRODUCT(E529:N529,1/(1+$F$508)^$E$3:$N$3)*$E$2</f>
        <v>10584.4851894845</v>
      </c>
      <c r="P529" s="15" t="n">
        <f aca="false">N529*$E$2*(1+$I$508)/($F$508-$I$508)/(1+$F$508)^$N$3</f>
        <v>12005.2545232043</v>
      </c>
      <c r="Q529" s="15" t="n">
        <f aca="false">O529+P529</f>
        <v>22589.7397126887</v>
      </c>
      <c r="R529" s="15" t="n">
        <f aca="false">Q529-$G$2+$I$2</f>
        <v>17289.8397126887</v>
      </c>
      <c r="S529" s="42" t="n">
        <f aca="false">R529/$K$2</f>
        <v>147.172622682063</v>
      </c>
      <c r="T529" s="43" t="n">
        <f aca="false">S529-$M$2</f>
        <v>-0.00136437956476243</v>
      </c>
    </row>
    <row r="530" customFormat="false" ht="15" hidden="false" customHeight="false" outlineLevel="0" collapsed="false">
      <c r="A530" s="5" t="n">
        <v>21</v>
      </c>
      <c r="B530" s="25" t="n">
        <f aca="false">IF(T529&gt;0,B529,D529)</f>
        <v>0.0643725395202637</v>
      </c>
      <c r="C530" s="25" t="n">
        <f aca="false">IF(T529&gt;0,D529,C529)</f>
        <v>0.0643739700317383</v>
      </c>
      <c r="D530" s="41" t="n">
        <f aca="false">(B530+C530)/2</f>
        <v>0.064373254776001</v>
      </c>
      <c r="E530" s="15" t="n">
        <f aca="false">$C$2*(1+IF(E$3&lt;=$O$2,$D530,$D530-($D530-$I$508)*MIN(E$3-$O$2,$Q$2)/$Q$2))</f>
        <v>6854.56376075745</v>
      </c>
      <c r="F530" s="15" t="n">
        <f aca="false">E530*(1+IF(F$3&lt;=$O$2,$D530,$D530-($D530-$I$508)*MIN(F$3-$O$2,$Q$2)/$Q$2))</f>
        <v>7295.81434010703</v>
      </c>
      <c r="G530" s="15" t="n">
        <f aca="false">F530*(1+IF(G$3&lt;=$O$2,$D530,$D530-($D530-$I$508)*MIN(G$3-$O$2,$Q$2)/$Q$2))</f>
        <v>7765.46965542114</v>
      </c>
      <c r="H530" s="15" t="n">
        <f aca="false">G530*(1+IF(H$3&lt;=$O$2,$D530,$D530-($D530-$I$508)*MIN(H$3-$O$2,$Q$2)/$Q$2))</f>
        <v>8265.35821200487</v>
      </c>
      <c r="I530" s="15" t="n">
        <f aca="false">H530*(1+IF(I$3&lt;=$O$2,$D530,$D530-($D530-$I$508)*MIN(I$3-$O$2,$Q$2)/$Q$2))</f>
        <v>8797.42622200117</v>
      </c>
      <c r="J530" s="15" t="n">
        <f aca="false">I530*(1+IF(J$3&lt;=$O$2,$D530,$D530-($D530-$I$508)*MIN(J$3-$O$2,$Q$2)/$Q$2))</f>
        <v>9300.27482206726</v>
      </c>
      <c r="K530" s="15" t="n">
        <f aca="false">J530*(1+IF(K$3&lt;=$O$2,$D530,$D530-($D530-$I$508)*MIN(K$3-$O$2,$Q$2)/$Q$2))</f>
        <v>9764.76730941772</v>
      </c>
      <c r="L530" s="15" t="n">
        <f aca="false">K530*(1+IF(L$3&lt;=$O$2,$D530,$D530-($D530-$I$508)*MIN(L$3-$O$2,$Q$2)/$Q$2))</f>
        <v>10182.0089998666</v>
      </c>
      <c r="M530" s="15" t="n">
        <f aca="false">L530*(1+IF(M$3&lt;=$O$2,$D530,$D530-($D530-$I$508)*MIN(M$3-$O$2,$Q$2)/$Q$2))</f>
        <v>10543.6194955196</v>
      </c>
      <c r="N530" s="15" t="n">
        <f aca="false">M530*(1+IF(N$3&lt;=$O$2,$D530,$D530-($D530-$I$508)*MIN(N$3-$O$2,$Q$2)/$Q$2))</f>
        <v>10842.0039272428</v>
      </c>
      <c r="O530" s="15" t="n">
        <f aca="false">SUMPRODUCT(E530:N530,1/(1+$F$508)^$E$3:$N$3)*$E$2</f>
        <v>10584.5176834051</v>
      </c>
      <c r="P530" s="15" t="n">
        <f aca="false">N530*$E$2*(1+$I$508)/($F$508-$I$508)/(1+$F$508)^$N$3</f>
        <v>12005.3112183459</v>
      </c>
      <c r="Q530" s="15" t="n">
        <f aca="false">O530+P530</f>
        <v>22589.828901751</v>
      </c>
      <c r="R530" s="15" t="n">
        <f aca="false">Q530-$G$2+$I$2</f>
        <v>17289.928901751</v>
      </c>
      <c r="S530" s="42" t="n">
        <f aca="false">R530/$K$2</f>
        <v>147.173381867135</v>
      </c>
      <c r="T530" s="43" t="n">
        <f aca="false">S530-$M$2</f>
        <v>-0.000605194492464989</v>
      </c>
    </row>
    <row r="531" customFormat="false" ht="15" hidden="false" customHeight="false" outlineLevel="0" collapsed="false">
      <c r="A531" s="5" t="n">
        <v>22</v>
      </c>
      <c r="B531" s="25" t="n">
        <f aca="false">IF(T530&gt;0,B530,D530)</f>
        <v>0.064373254776001</v>
      </c>
      <c r="C531" s="25" t="n">
        <f aca="false">IF(T530&gt;0,D530,C530)</f>
        <v>0.0643739700317383</v>
      </c>
      <c r="D531" s="41" t="n">
        <f aca="false">(B531+C531)/2</f>
        <v>0.0643736124038696</v>
      </c>
      <c r="E531" s="15" t="n">
        <f aca="false">$C$2*(1+IF(E$3&lt;=$O$2,$D531,$D531-($D531-$I$508)*MIN(E$3-$O$2,$Q$2)/$Q$2))</f>
        <v>6854.56606388092</v>
      </c>
      <c r="F531" s="15" t="n">
        <f aca="false">E531*(1+IF(F$3&lt;=$O$2,$D531,$D531-($D531-$I$508)*MIN(F$3-$O$2,$Q$2)/$Q$2))</f>
        <v>7295.81924287391</v>
      </c>
      <c r="G531" s="15" t="n">
        <f aca="false">F531*(1+IF(G$3&lt;=$O$2,$D531,$D531-($D531-$I$508)*MIN(G$3-$O$2,$Q$2)/$Q$2))</f>
        <v>7765.47748298337</v>
      </c>
      <c r="H531" s="15" t="n">
        <f aca="false">G531*(1+IF(H$3&lt;=$O$2,$D531,$D531-($D531-$I$508)*MIN(H$3-$O$2,$Q$2)/$Q$2))</f>
        <v>8265.36932060392</v>
      </c>
      <c r="I531" s="15" t="n">
        <f aca="false">H531*(1+IF(I$3&lt;=$O$2,$D531,$D531-($D531-$I$508)*MIN(I$3-$O$2,$Q$2)/$Q$2))</f>
        <v>8797.44100162331</v>
      </c>
      <c r="J531" s="15" t="n">
        <f aca="false">I531*(1+IF(J$3&lt;=$O$2,$D531,$D531-($D531-$I$508)*MIN(J$3-$O$2,$Q$2)/$Q$2))</f>
        <v>9300.29296344002</v>
      </c>
      <c r="K531" s="15" t="n">
        <f aca="false">J531*(1+IF(K$3&lt;=$O$2,$D531,$D531-($D531-$I$508)*MIN(K$3-$O$2,$Q$2)/$Q$2))</f>
        <v>9764.78835246872</v>
      </c>
      <c r="L531" s="15" t="n">
        <f aca="false">K531*(1+IF(L$3&lt;=$O$2,$D531,$D531-($D531-$I$508)*MIN(L$3-$O$2,$Q$2)/$Q$2))</f>
        <v>10182.0323389367</v>
      </c>
      <c r="M531" s="15" t="n">
        <f aca="false">L531*(1+IF(M$3&lt;=$O$2,$D531,$D531-($D531-$I$508)*MIN(M$3-$O$2,$Q$2)/$Q$2))</f>
        <v>10543.6443917443</v>
      </c>
      <c r="N531" s="15" t="n">
        <f aca="false">M531*(1+IF(N$3&lt;=$O$2,$D531,$D531-($D531-$I$508)*MIN(N$3-$O$2,$Q$2)/$Q$2))</f>
        <v>10842.0295280307</v>
      </c>
      <c r="O531" s="15" t="n">
        <f aca="false">SUMPRODUCT(E531:N531,1/(1+$F$508)^$E$3:$N$3)*$E$2</f>
        <v>10584.5339304032</v>
      </c>
      <c r="P531" s="15" t="n">
        <f aca="false">N531*$E$2*(1+$I$508)/($F$508-$I$508)/(1+$F$508)^$N$3</f>
        <v>12005.3395660045</v>
      </c>
      <c r="Q531" s="15" t="n">
        <f aca="false">O531+P531</f>
        <v>22589.8734964076</v>
      </c>
      <c r="R531" s="15" t="n">
        <f aca="false">Q531-$G$2+$I$2</f>
        <v>17289.9734964076</v>
      </c>
      <c r="S531" s="42" t="n">
        <f aca="false">R531/$K$2</f>
        <v>147.173761460739</v>
      </c>
      <c r="T531" s="43" t="n">
        <f aca="false">S531-$M$2</f>
        <v>-0.000225600888313693</v>
      </c>
    </row>
    <row r="532" customFormat="false" ht="15" hidden="false" customHeight="false" outlineLevel="0" collapsed="false">
      <c r="A532" s="5" t="n">
        <v>23</v>
      </c>
      <c r="B532" s="25" t="n">
        <f aca="false">IF(T531&gt;0,B531,D531)</f>
        <v>0.0643736124038696</v>
      </c>
      <c r="C532" s="25" t="n">
        <f aca="false">IF(T531&gt;0,D531,C531)</f>
        <v>0.0643739700317383</v>
      </c>
      <c r="D532" s="41" t="n">
        <f aca="false">(B532+C532)/2</f>
        <v>0.064373791217804</v>
      </c>
      <c r="E532" s="15" t="n">
        <f aca="false">$C$2*(1+IF(E$3&lt;=$O$2,$D532,$D532-($D532-$I$508)*MIN(E$3-$O$2,$Q$2)/$Q$2))</f>
        <v>6854.56721544266</v>
      </c>
      <c r="F532" s="15" t="n">
        <f aca="false">E532*(1+IF(F$3&lt;=$O$2,$D532,$D532-($D532-$I$508)*MIN(F$3-$O$2,$Q$2)/$Q$2))</f>
        <v>7295.82169425797</v>
      </c>
      <c r="G532" s="15" t="n">
        <f aca="false">F532*(1+IF(G$3&lt;=$O$2,$D532,$D532-($D532-$I$508)*MIN(G$3-$O$2,$Q$2)/$Q$2))</f>
        <v>7765.48139676645</v>
      </c>
      <c r="H532" s="15" t="n">
        <f aca="false">G532*(1+IF(H$3&lt;=$O$2,$D532,$D532-($D532-$I$508)*MIN(H$3-$O$2,$Q$2)/$Q$2))</f>
        <v>8265.37487490764</v>
      </c>
      <c r="I532" s="15" t="n">
        <f aca="false">H532*(1+IF(I$3&lt;=$O$2,$D532,$D532-($D532-$I$508)*MIN(I$3-$O$2,$Q$2)/$Q$2))</f>
        <v>8797.44839144183</v>
      </c>
      <c r="J532" s="15" t="n">
        <f aca="false">I532*(1+IF(J$3&lt;=$O$2,$D532,$D532-($D532-$I$508)*MIN(J$3-$O$2,$Q$2)/$Q$2))</f>
        <v>9300.30203413745</v>
      </c>
      <c r="K532" s="15" t="n">
        <f aca="false">J532*(1+IF(K$3&lt;=$O$2,$D532,$D532-($D532-$I$508)*MIN(K$3-$O$2,$Q$2)/$Q$2))</f>
        <v>9764.79887400874</v>
      </c>
      <c r="L532" s="15" t="n">
        <f aca="false">K532*(1+IF(L$3&lt;=$O$2,$D532,$D532-($D532-$I$508)*MIN(L$3-$O$2,$Q$2)/$Q$2))</f>
        <v>10182.0440084891</v>
      </c>
      <c r="M532" s="15" t="n">
        <f aca="false">L532*(1+IF(M$3&lt;=$O$2,$D532,$D532-($D532-$I$508)*MIN(M$3-$O$2,$Q$2)/$Q$2))</f>
        <v>10543.6568398759</v>
      </c>
      <c r="N532" s="15" t="n">
        <f aca="false">M532*(1+IF(N$3&lt;=$O$2,$D532,$D532-($D532-$I$508)*MIN(N$3-$O$2,$Q$2)/$Q$2))</f>
        <v>10842.0423284444</v>
      </c>
      <c r="O532" s="15" t="n">
        <f aca="false">SUMPRODUCT(E532:N532,1/(1+$F$508)^$E$3:$N$3)*$E$2</f>
        <v>10584.5420539116</v>
      </c>
      <c r="P532" s="15" t="n">
        <f aca="false">N532*$E$2*(1+$I$508)/($F$508-$I$508)/(1+$F$508)^$N$3</f>
        <v>12005.3537398557</v>
      </c>
      <c r="Q532" s="15" t="n">
        <f aca="false">O532+P532</f>
        <v>22589.8957937673</v>
      </c>
      <c r="R532" s="15" t="n">
        <f aca="false">Q532-$G$2+$I$2</f>
        <v>17289.9957937673</v>
      </c>
      <c r="S532" s="42" t="n">
        <f aca="false">R532/$K$2</f>
        <v>147.173951257808</v>
      </c>
      <c r="T532" s="43" t="n">
        <f aca="false">S532-$M$2</f>
        <v>-3.58038193724042E-005</v>
      </c>
    </row>
    <row r="533" customFormat="false" ht="15" hidden="false" customHeight="false" outlineLevel="0" collapsed="false">
      <c r="A533" s="5" t="n">
        <v>24</v>
      </c>
      <c r="B533" s="25" t="n">
        <f aca="false">IF(T532&gt;0,B532,D532)</f>
        <v>0.064373791217804</v>
      </c>
      <c r="C533" s="25" t="n">
        <f aca="false">IF(T532&gt;0,D532,C532)</f>
        <v>0.0643739700317383</v>
      </c>
      <c r="D533" s="41" t="n">
        <f aca="false">(B533+C533)/2</f>
        <v>0.0643738806247711</v>
      </c>
      <c r="E533" s="15" t="n">
        <f aca="false">$C$2*(1+IF(E$3&lt;=$O$2,$D533,$D533-($D533-$I$508)*MIN(E$3-$O$2,$Q$2)/$Q$2))</f>
        <v>6854.56779122353</v>
      </c>
      <c r="F533" s="15" t="n">
        <f aca="false">E533*(1+IF(F$3&lt;=$O$2,$D533,$D533-($D533-$I$508)*MIN(F$3-$O$2,$Q$2)/$Q$2))</f>
        <v>7295.82291995015</v>
      </c>
      <c r="G533" s="15" t="n">
        <f aca="false">F533*(1+IF(G$3&lt;=$O$2,$D533,$D533-($D533-$I$508)*MIN(G$3-$O$2,$Q$2)/$Q$2))</f>
        <v>7765.48335365849</v>
      </c>
      <c r="H533" s="15" t="n">
        <f aca="false">G533*(1+IF(H$3&lt;=$O$2,$D533,$D533-($D533-$I$508)*MIN(H$3-$O$2,$Q$2)/$Q$2))</f>
        <v>8265.37765206055</v>
      </c>
      <c r="I533" s="15" t="n">
        <f aca="false">H533*(1+IF(I$3&lt;=$O$2,$D533,$D533-($D533-$I$508)*MIN(I$3-$O$2,$Q$2)/$Q$2))</f>
        <v>8797.45208635295</v>
      </c>
      <c r="J533" s="15" t="n">
        <f aca="false">I533*(1+IF(J$3&lt;=$O$2,$D533,$D533-($D533-$I$508)*MIN(J$3-$O$2,$Q$2)/$Q$2))</f>
        <v>9300.30656948893</v>
      </c>
      <c r="K533" s="15" t="n">
        <f aca="false">J533*(1+IF(K$3&lt;=$O$2,$D533,$D533-($D533-$I$508)*MIN(K$3-$O$2,$Q$2)/$Q$2))</f>
        <v>9764.80413478238</v>
      </c>
      <c r="L533" s="15" t="n">
        <f aca="false">K533*(1+IF(L$3&lt;=$O$2,$D533,$D533-($D533-$I$508)*MIN(L$3-$O$2,$Q$2)/$Q$2))</f>
        <v>10182.0498432697</v>
      </c>
      <c r="M533" s="15" t="n">
        <f aca="false">L533*(1+IF(M$3&lt;=$O$2,$D533,$D533-($D533-$I$508)*MIN(M$3-$O$2,$Q$2)/$Q$2))</f>
        <v>10543.6630639465</v>
      </c>
      <c r="N533" s="15" t="n">
        <f aca="false">M533*(1+IF(N$3&lt;=$O$2,$D533,$D533-($D533-$I$508)*MIN(N$3-$O$2,$Q$2)/$Q$2))</f>
        <v>10842.0487286562</v>
      </c>
      <c r="O533" s="15" t="n">
        <f aca="false">SUMPRODUCT(E533:N533,1/(1+$F$508)^$E$3:$N$3)*$E$2</f>
        <v>10584.5461156682</v>
      </c>
      <c r="P533" s="15" t="n">
        <f aca="false">N533*$E$2*(1+$I$508)/($F$508-$I$508)/(1+$F$508)^$N$3</f>
        <v>12005.3608267868</v>
      </c>
      <c r="Q533" s="15" t="n">
        <f aca="false">O533+P533</f>
        <v>22589.906942455</v>
      </c>
      <c r="R533" s="15" t="n">
        <f aca="false">Q533-$G$2+$I$2</f>
        <v>17290.006942455</v>
      </c>
      <c r="S533" s="42" t="n">
        <f aca="false">R533/$K$2</f>
        <v>147.174046156409</v>
      </c>
      <c r="T533" s="43" t="n">
        <f aca="false">S533-$M$2</f>
        <v>5.90947819034682E-005</v>
      </c>
    </row>
    <row r="535" customFormat="false" ht="15" hidden="false" customHeight="false" outlineLevel="0" collapsed="false">
      <c r="A535" s="38" t="s">
        <v>199</v>
      </c>
      <c r="E535" s="5" t="s">
        <v>11</v>
      </c>
      <c r="F535" s="12" t="n">
        <f aca="false">Sensitivity!$B$13</f>
        <v>0.0999886567315273</v>
      </c>
      <c r="G535" s="5" t="s">
        <v>12</v>
      </c>
      <c r="I535" s="12" t="n">
        <f aca="false">Sensitivity!$F$9</f>
        <v>0.0333</v>
      </c>
    </row>
    <row r="536" customFormat="false" ht="23.85" hidden="false" customHeight="false" outlineLevel="0" collapsed="false">
      <c r="A536" s="38" t="s">
        <v>161</v>
      </c>
      <c r="B536" s="28" t="s">
        <v>162</v>
      </c>
      <c r="C536" s="28" t="s">
        <v>163</v>
      </c>
      <c r="D536" s="28" t="s">
        <v>164</v>
      </c>
      <c r="E536" s="28" t="s">
        <v>165</v>
      </c>
      <c r="F536" s="28" t="s">
        <v>166</v>
      </c>
      <c r="G536" s="28" t="s">
        <v>167</v>
      </c>
      <c r="H536" s="28" t="s">
        <v>168</v>
      </c>
      <c r="I536" s="28" t="s">
        <v>169</v>
      </c>
      <c r="J536" s="28" t="s">
        <v>170</v>
      </c>
      <c r="K536" s="28" t="s">
        <v>171</v>
      </c>
      <c r="L536" s="28" t="s">
        <v>172</v>
      </c>
      <c r="M536" s="28" t="s">
        <v>173</v>
      </c>
      <c r="N536" s="28" t="s">
        <v>174</v>
      </c>
      <c r="O536" s="28" t="s">
        <v>175</v>
      </c>
      <c r="P536" s="28" t="s">
        <v>176</v>
      </c>
      <c r="Q536" s="28" t="s">
        <v>177</v>
      </c>
      <c r="R536" s="28" t="s">
        <v>178</v>
      </c>
      <c r="S536" s="28" t="s">
        <v>179</v>
      </c>
      <c r="T536" s="28" t="s">
        <v>180</v>
      </c>
    </row>
    <row r="537" customFormat="false" ht="15" hidden="false" customHeight="false" outlineLevel="0" collapsed="false">
      <c r="A537" s="5" t="n">
        <v>1</v>
      </c>
      <c r="B537" s="24" t="n">
        <v>-0.5</v>
      </c>
      <c r="C537" s="24" t="n">
        <v>1</v>
      </c>
      <c r="D537" s="41" t="n">
        <f aca="false">(B537+C537)/2</f>
        <v>0.25</v>
      </c>
      <c r="E537" s="15" t="n">
        <f aca="false">$C$2*(1+IF(E$3&lt;=$O$2,$D537,$D537-($D537-$I$535)*MIN(E$3-$O$2,$Q$2)/$Q$2))</f>
        <v>8050</v>
      </c>
      <c r="F537" s="15" t="n">
        <f aca="false">E537*(1+IF(F$3&lt;=$O$2,$D537,$D537-($D537-$I$535)*MIN(F$3-$O$2,$Q$2)/$Q$2))</f>
        <v>10062.5</v>
      </c>
      <c r="G537" s="15" t="n">
        <f aca="false">F537*(1+IF(G$3&lt;=$O$2,$D537,$D537-($D537-$I$535)*MIN(G$3-$O$2,$Q$2)/$Q$2))</f>
        <v>12578.125</v>
      </c>
      <c r="H537" s="15" t="n">
        <f aca="false">G537*(1+IF(H$3&lt;=$O$2,$D537,$D537-($D537-$I$535)*MIN(H$3-$O$2,$Q$2)/$Q$2))</f>
        <v>15722.65625</v>
      </c>
      <c r="I537" s="15" t="n">
        <f aca="false">H537*(1+IF(I$3&lt;=$O$2,$D537,$D537-($D537-$I$535)*MIN(I$3-$O$2,$Q$2)/$Q$2))</f>
        <v>19653.3203125</v>
      </c>
      <c r="J537" s="15" t="n">
        <f aca="false">I537*(1+IF(J$3&lt;=$O$2,$D537,$D537-($D537-$I$535)*MIN(J$3-$O$2,$Q$2)/$Q$2))</f>
        <v>23714.8754882813</v>
      </c>
      <c r="K537" s="15" t="n">
        <f aca="false">J537*(1+IF(K$3&lt;=$O$2,$D537,$D537-($D537-$I$535)*MIN(K$3-$O$2,$Q$2)/$Q$2))</f>
        <v>27587.9889530273</v>
      </c>
      <c r="L537" s="15" t="n">
        <f aca="false">K537*(1+IF(L$3&lt;=$O$2,$D537,$D537-($D537-$I$535)*MIN(L$3-$O$2,$Q$2)/$Q$2))</f>
        <v>30897.9958676116</v>
      </c>
      <c r="M537" s="15" t="n">
        <f aca="false">L537*(1+IF(M$3&lt;=$O$2,$D537,$D537-($D537-$I$535)*MIN(M$3-$O$2,$Q$2)/$Q$2))</f>
        <v>33266.0182709053</v>
      </c>
      <c r="N537" s="15" t="n">
        <f aca="false">M537*(1+IF(N$3&lt;=$O$2,$D537,$D537-($D537-$I$535)*MIN(N$3-$O$2,$Q$2)/$Q$2))</f>
        <v>34373.7766793265</v>
      </c>
      <c r="O537" s="15" t="n">
        <f aca="false">SUMPRODUCT(E537:N537,1/(1+$F$535)^$E$3:$N$3)*$E$2</f>
        <v>23494.5242237431</v>
      </c>
      <c r="P537" s="15" t="n">
        <f aca="false">N537*$E$2*(1+$I$535)/($F$535-$I$535)/(1+$F$535)^$N$3</f>
        <v>41114.6105105963</v>
      </c>
      <c r="Q537" s="15" t="n">
        <f aca="false">O537+P537</f>
        <v>64609.1347343394</v>
      </c>
      <c r="R537" s="15" t="n">
        <f aca="false">Q537-$G$2+$I$2</f>
        <v>59309.2347343394</v>
      </c>
      <c r="S537" s="42" t="n">
        <f aca="false">R537/$K$2</f>
        <v>504.845375675344</v>
      </c>
      <c r="T537" s="43" t="n">
        <f aca="false">S537-$M$2</f>
        <v>357.671388613716</v>
      </c>
    </row>
    <row r="538" customFormat="false" ht="15" hidden="false" customHeight="false" outlineLevel="0" collapsed="false">
      <c r="A538" s="5" t="n">
        <v>2</v>
      </c>
      <c r="B538" s="25" t="n">
        <f aca="false">IF(T537&gt;0,B537,D537)</f>
        <v>-0.5</v>
      </c>
      <c r="C538" s="25" t="n">
        <f aca="false">IF(T537&gt;0,D537,C537)</f>
        <v>0.25</v>
      </c>
      <c r="D538" s="41" t="n">
        <f aca="false">(B538+C538)/2</f>
        <v>-0.125</v>
      </c>
      <c r="E538" s="15" t="n">
        <f aca="false">$C$2*(1+IF(E$3&lt;=$O$2,$D538,$D538-($D538-$I$535)*MIN(E$3-$O$2,$Q$2)/$Q$2))</f>
        <v>5635</v>
      </c>
      <c r="F538" s="15" t="n">
        <f aca="false">E538*(1+IF(F$3&lt;=$O$2,$D538,$D538-($D538-$I$535)*MIN(F$3-$O$2,$Q$2)/$Q$2))</f>
        <v>4930.625</v>
      </c>
      <c r="G538" s="15" t="n">
        <f aca="false">F538*(1+IF(G$3&lt;=$O$2,$D538,$D538-($D538-$I$535)*MIN(G$3-$O$2,$Q$2)/$Q$2))</f>
        <v>4314.296875</v>
      </c>
      <c r="H538" s="15" t="n">
        <f aca="false">G538*(1+IF(H$3&lt;=$O$2,$D538,$D538-($D538-$I$535)*MIN(H$3-$O$2,$Q$2)/$Q$2))</f>
        <v>3775.009765625</v>
      </c>
      <c r="I538" s="15" t="n">
        <f aca="false">H538*(1+IF(I$3&lt;=$O$2,$D538,$D538-($D538-$I$535)*MIN(I$3-$O$2,$Q$2)/$Q$2))</f>
        <v>3303.13354492188</v>
      </c>
      <c r="J538" s="15" t="n">
        <f aca="false">I538*(1+IF(J$3&lt;=$O$2,$D538,$D538-($D538-$I$535)*MIN(J$3-$O$2,$Q$2)/$Q$2))</f>
        <v>2994.81905983887</v>
      </c>
      <c r="K538" s="15" t="n">
        <f aca="false">J538*(1+IF(K$3&lt;=$O$2,$D538,$D538-($D538-$I$535)*MIN(K$3-$O$2,$Q$2)/$Q$2))</f>
        <v>2810.09862022801</v>
      </c>
      <c r="L538" s="15" t="n">
        <f aca="false">K538*(1+IF(L$3&lt;=$O$2,$D538,$D538-($D538-$I$535)*MIN(L$3-$O$2,$Q$2)/$Q$2))</f>
        <v>2725.73945964876</v>
      </c>
      <c r="M538" s="15" t="n">
        <f aca="false">L538*(1+IF(M$3&lt;=$O$2,$D538,$D538-($D538-$I$535)*MIN(M$3-$O$2,$Q$2)/$Q$2))</f>
        <v>2730.20967236259</v>
      </c>
      <c r="N538" s="15" t="n">
        <f aca="false">M538*(1+IF(N$3&lt;=$O$2,$D538,$D538-($D538-$I$535)*MIN(N$3-$O$2,$Q$2)/$Q$2))</f>
        <v>2821.12565445226</v>
      </c>
      <c r="O538" s="15" t="n">
        <f aca="false">SUMPRODUCT(E538:N538,1/(1+$F$535)^$E$3:$N$3)*$E$2</f>
        <v>4748.68234280086</v>
      </c>
      <c r="P538" s="15" t="n">
        <f aca="false">N538*$E$2*(1+$I$535)/($F$535-$I$535)/(1+$F$535)^$N$3</f>
        <v>3374.35957550791</v>
      </c>
      <c r="Q538" s="15" t="n">
        <f aca="false">O538+P538</f>
        <v>8123.04191830877</v>
      </c>
      <c r="R538" s="15" t="n">
        <f aca="false">Q538-$G$2+$I$2</f>
        <v>2823.14191830877</v>
      </c>
      <c r="S538" s="42" t="n">
        <f aca="false">R538/$K$2</f>
        <v>24.0308300843443</v>
      </c>
      <c r="T538" s="43" t="n">
        <f aca="false">S538-$M$2</f>
        <v>-123.143156977283</v>
      </c>
    </row>
    <row r="539" customFormat="false" ht="15" hidden="false" customHeight="false" outlineLevel="0" collapsed="false">
      <c r="A539" s="5" t="n">
        <v>3</v>
      </c>
      <c r="B539" s="25" t="n">
        <f aca="false">IF(T538&gt;0,B538,D538)</f>
        <v>-0.125</v>
      </c>
      <c r="C539" s="25" t="n">
        <f aca="false">IF(T538&gt;0,D538,C538)</f>
        <v>0.25</v>
      </c>
      <c r="D539" s="41" t="n">
        <f aca="false">(B539+C539)/2</f>
        <v>0.0625</v>
      </c>
      <c r="E539" s="15" t="n">
        <f aca="false">$C$2*(1+IF(E$3&lt;=$O$2,$D539,$D539-($D539-$I$535)*MIN(E$3-$O$2,$Q$2)/$Q$2))</f>
        <v>6842.5</v>
      </c>
      <c r="F539" s="15" t="n">
        <f aca="false">E539*(1+IF(F$3&lt;=$O$2,$D539,$D539-($D539-$I$535)*MIN(F$3-$O$2,$Q$2)/$Q$2))</f>
        <v>7270.15625</v>
      </c>
      <c r="G539" s="15" t="n">
        <f aca="false">F539*(1+IF(G$3&lt;=$O$2,$D539,$D539-($D539-$I$535)*MIN(G$3-$O$2,$Q$2)/$Q$2))</f>
        <v>7724.541015625</v>
      </c>
      <c r="H539" s="15" t="n">
        <f aca="false">G539*(1+IF(H$3&lt;=$O$2,$D539,$D539-($D539-$I$535)*MIN(H$3-$O$2,$Q$2)/$Q$2))</f>
        <v>8207.32482910156</v>
      </c>
      <c r="I539" s="15" t="n">
        <f aca="false">H539*(1+IF(I$3&lt;=$O$2,$D539,$D539-($D539-$I$535)*MIN(I$3-$O$2,$Q$2)/$Q$2))</f>
        <v>8720.28263092041</v>
      </c>
      <c r="J539" s="15" t="n">
        <f aca="false">I539*(1+IF(J$3&lt;=$O$2,$D539,$D539-($D539-$I$535)*MIN(J$3-$O$2,$Q$2)/$Q$2))</f>
        <v>9214.37384478836</v>
      </c>
      <c r="K539" s="15" t="n">
        <f aca="false">J539*(1+IF(K$3&lt;=$O$2,$D539,$D539-($D539-$I$535)*MIN(K$3-$O$2,$Q$2)/$Q$2))</f>
        <v>9682.64832358051</v>
      </c>
      <c r="L539" s="15" t="n">
        <f aca="false">K539*(1+IF(L$3&lt;=$O$2,$D539,$D539-($D539-$I$535)*MIN(L$3-$O$2,$Q$2)/$Q$2))</f>
        <v>10118.1738451752</v>
      </c>
      <c r="M539" s="15" t="n">
        <f aca="false">L539*(1+IF(M$3&lt;=$O$2,$D539,$D539-($D539-$I$535)*MIN(M$3-$O$2,$Q$2)/$Q$2))</f>
        <v>10514.1991694753</v>
      </c>
      <c r="N539" s="15" t="n">
        <f aca="false">M539*(1+IF(N$3&lt;=$O$2,$D539,$D539-($D539-$I$535)*MIN(N$3-$O$2,$Q$2)/$Q$2))</f>
        <v>10864.3220018188</v>
      </c>
      <c r="O539" s="15" t="n">
        <f aca="false">SUMPRODUCT(E539:N539,1/(1+$F$535)^$E$3:$N$3)*$E$2</f>
        <v>10529.5100731295</v>
      </c>
      <c r="P539" s="15" t="n">
        <f aca="false">N539*$E$2*(1+$I$535)/($F$535-$I$535)/(1+$F$535)^$N$3</f>
        <v>12994.8586020556</v>
      </c>
      <c r="Q539" s="15" t="n">
        <f aca="false">O539+P539</f>
        <v>23524.3686751851</v>
      </c>
      <c r="R539" s="15" t="n">
        <f aca="false">Q539-$G$2+$I$2</f>
        <v>18224.4686751851</v>
      </c>
      <c r="S539" s="42" t="n">
        <f aca="false">R539/$K$2</f>
        <v>155.128265876618</v>
      </c>
      <c r="T539" s="43" t="n">
        <f aca="false">S539-$M$2</f>
        <v>7.95427881499035</v>
      </c>
    </row>
    <row r="540" customFormat="false" ht="15" hidden="false" customHeight="false" outlineLevel="0" collapsed="false">
      <c r="A540" s="5" t="n">
        <v>4</v>
      </c>
      <c r="B540" s="25" t="n">
        <f aca="false">IF(T539&gt;0,B539,D539)</f>
        <v>-0.125</v>
      </c>
      <c r="C540" s="25" t="n">
        <f aca="false">IF(T539&gt;0,D539,C539)</f>
        <v>0.0625</v>
      </c>
      <c r="D540" s="41" t="n">
        <f aca="false">(B540+C540)/2</f>
        <v>-0.03125</v>
      </c>
      <c r="E540" s="15" t="n">
        <f aca="false">$C$2*(1+IF(E$3&lt;=$O$2,$D540,$D540-($D540-$I$535)*MIN(E$3-$O$2,$Q$2)/$Q$2))</f>
        <v>6238.75</v>
      </c>
      <c r="F540" s="15" t="n">
        <f aca="false">E540*(1+IF(F$3&lt;=$O$2,$D540,$D540-($D540-$I$535)*MIN(F$3-$O$2,$Q$2)/$Q$2))</f>
        <v>6043.7890625</v>
      </c>
      <c r="G540" s="15" t="n">
        <f aca="false">F540*(1+IF(G$3&lt;=$O$2,$D540,$D540-($D540-$I$535)*MIN(G$3-$O$2,$Q$2)/$Q$2))</f>
        <v>5854.92065429688</v>
      </c>
      <c r="H540" s="15" t="n">
        <f aca="false">G540*(1+IF(H$3&lt;=$O$2,$D540,$D540-($D540-$I$535)*MIN(H$3-$O$2,$Q$2)/$Q$2))</f>
        <v>5671.9543838501</v>
      </c>
      <c r="I540" s="15" t="n">
        <f aca="false">H540*(1+IF(I$3&lt;=$O$2,$D540,$D540-($D540-$I$535)*MIN(I$3-$O$2,$Q$2)/$Q$2))</f>
        <v>5494.70580935478</v>
      </c>
      <c r="J540" s="15" t="n">
        <f aca="false">I540*(1+IF(J$3&lt;=$O$2,$D540,$D540-($D540-$I$535)*MIN(J$3-$O$2,$Q$2)/$Q$2))</f>
        <v>5393.93290481122</v>
      </c>
      <c r="K540" s="15" t="n">
        <f aca="false">J540*(1+IF(K$3&lt;=$O$2,$D540,$D540-($D540-$I$535)*MIN(K$3-$O$2,$Q$2)/$Q$2))</f>
        <v>5364.64384913809</v>
      </c>
      <c r="L540" s="15" t="n">
        <f aca="false">K540*(1+IF(L$3&lt;=$O$2,$D540,$D540-($D540-$I$535)*MIN(L$3-$O$2,$Q$2)/$Q$2))</f>
        <v>5404.77138512964</v>
      </c>
      <c r="M540" s="15" t="n">
        <f aca="false">L540*(1+IF(M$3&lt;=$O$2,$D540,$D540-($D540-$I$535)*MIN(M$3-$O$2,$Q$2)/$Q$2))</f>
        <v>5514.97467367244</v>
      </c>
      <c r="N540" s="15" t="n">
        <f aca="false">M540*(1+IF(N$3&lt;=$O$2,$D540,$D540-($D540-$I$535)*MIN(N$3-$O$2,$Q$2)/$Q$2))</f>
        <v>5698.62333030573</v>
      </c>
      <c r="O540" s="15" t="n">
        <f aca="false">SUMPRODUCT(E540:N540,1/(1+$F$535)^$E$3:$N$3)*$E$2</f>
        <v>7048.80065818907</v>
      </c>
      <c r="P540" s="15" t="n">
        <f aca="false">N540*$E$2*(1+$I$535)/($F$535-$I$535)/(1+$F$535)^$N$3</f>
        <v>6816.14594921805</v>
      </c>
      <c r="Q540" s="15" t="n">
        <f aca="false">O540+P540</f>
        <v>13864.9466074071</v>
      </c>
      <c r="R540" s="15" t="n">
        <f aca="false">Q540-$G$2+$I$2</f>
        <v>8565.04660740713</v>
      </c>
      <c r="S540" s="42" t="n">
        <f aca="false">R540/$K$2</f>
        <v>72.9064232840239</v>
      </c>
      <c r="T540" s="43" t="n">
        <f aca="false">S540-$M$2</f>
        <v>-74.2675637776036</v>
      </c>
    </row>
    <row r="541" customFormat="false" ht="15" hidden="false" customHeight="false" outlineLevel="0" collapsed="false">
      <c r="A541" s="5" t="n">
        <v>5</v>
      </c>
      <c r="B541" s="25" t="n">
        <f aca="false">IF(T540&gt;0,B540,D540)</f>
        <v>-0.03125</v>
      </c>
      <c r="C541" s="25" t="n">
        <f aca="false">IF(T540&gt;0,D540,C540)</f>
        <v>0.0625</v>
      </c>
      <c r="D541" s="41" t="n">
        <f aca="false">(B541+C541)/2</f>
        <v>0.015625</v>
      </c>
      <c r="E541" s="15" t="n">
        <f aca="false">$C$2*(1+IF(E$3&lt;=$O$2,$D541,$D541-($D541-$I$535)*MIN(E$3-$O$2,$Q$2)/$Q$2))</f>
        <v>6540.625</v>
      </c>
      <c r="F541" s="15" t="n">
        <f aca="false">E541*(1+IF(F$3&lt;=$O$2,$D541,$D541-($D541-$I$535)*MIN(F$3-$O$2,$Q$2)/$Q$2))</f>
        <v>6642.822265625</v>
      </c>
      <c r="G541" s="15" t="n">
        <f aca="false">F541*(1+IF(G$3&lt;=$O$2,$D541,$D541-($D541-$I$535)*MIN(G$3-$O$2,$Q$2)/$Q$2))</f>
        <v>6746.61636352539</v>
      </c>
      <c r="H541" s="15" t="n">
        <f aca="false">G541*(1+IF(H$3&lt;=$O$2,$D541,$D541-($D541-$I$535)*MIN(H$3-$O$2,$Q$2)/$Q$2))</f>
        <v>6852.03224420548</v>
      </c>
      <c r="I541" s="15" t="n">
        <f aca="false">H541*(1+IF(I$3&lt;=$O$2,$D541,$D541-($D541-$I$535)*MIN(I$3-$O$2,$Q$2)/$Q$2))</f>
        <v>6959.09524802119</v>
      </c>
      <c r="J541" s="15" t="n">
        <f aca="false">I541*(1+IF(J$3&lt;=$O$2,$D541,$D541-($D541-$I$535)*MIN(J$3-$O$2,$Q$2)/$Q$2))</f>
        <v>7092.43151297327</v>
      </c>
      <c r="K541" s="15" t="n">
        <f aca="false">J541*(1+IF(K$3&lt;=$O$2,$D541,$D541-($D541-$I$535)*MIN(K$3-$O$2,$Q$2)/$Q$2))</f>
        <v>7253.3942461602</v>
      </c>
      <c r="L541" s="15" t="n">
        <f aca="false">K541*(1+IF(L$3&lt;=$O$2,$D541,$D541-($D541-$I$535)*MIN(L$3-$O$2,$Q$2)/$Q$2))</f>
        <v>7443.65077723698</v>
      </c>
      <c r="M541" s="15" t="n">
        <f aca="false">L541*(1+IF(M$3&lt;=$O$2,$D541,$D541-($D541-$I$535)*MIN(M$3-$O$2,$Q$2)/$Q$2))</f>
        <v>7665.21104262144</v>
      </c>
      <c r="N541" s="15" t="n">
        <f aca="false">M541*(1+IF(N$3&lt;=$O$2,$D541,$D541-($D541-$I$535)*MIN(N$3-$O$2,$Q$2)/$Q$2))</f>
        <v>7920.46257034074</v>
      </c>
      <c r="O541" s="15" t="n">
        <f aca="false">SUMPRODUCT(E541:N541,1/(1+$F$535)^$E$3:$N$3)*$E$2</f>
        <v>8610.98256170103</v>
      </c>
      <c r="P541" s="15" t="n">
        <f aca="false">N541*$E$2*(1+$I$535)/($F$535-$I$535)/(1+$F$535)^$N$3</f>
        <v>9473.69666944891</v>
      </c>
      <c r="Q541" s="15" t="n">
        <f aca="false">O541+P541</f>
        <v>18084.6792311499</v>
      </c>
      <c r="R541" s="15" t="n">
        <f aca="false">Q541-$G$2+$I$2</f>
        <v>12784.7792311499</v>
      </c>
      <c r="S541" s="42" t="n">
        <f aca="false">R541/$K$2</f>
        <v>108.825155185137</v>
      </c>
      <c r="T541" s="43" t="n">
        <f aca="false">S541-$M$2</f>
        <v>-38.3488318764902</v>
      </c>
    </row>
    <row r="542" customFormat="false" ht="15" hidden="false" customHeight="false" outlineLevel="0" collapsed="false">
      <c r="A542" s="5" t="n">
        <v>6</v>
      </c>
      <c r="B542" s="25" t="n">
        <f aca="false">IF(T541&gt;0,B541,D541)</f>
        <v>0.015625</v>
      </c>
      <c r="C542" s="25" t="n">
        <f aca="false">IF(T541&gt;0,D541,C541)</f>
        <v>0.0625</v>
      </c>
      <c r="D542" s="41" t="n">
        <f aca="false">(B542+C542)/2</f>
        <v>0.0390625</v>
      </c>
      <c r="E542" s="15" t="n">
        <f aca="false">$C$2*(1+IF(E$3&lt;=$O$2,$D542,$D542-($D542-$I$535)*MIN(E$3-$O$2,$Q$2)/$Q$2))</f>
        <v>6691.5625</v>
      </c>
      <c r="F542" s="15" t="n">
        <f aca="false">E542*(1+IF(F$3&lt;=$O$2,$D542,$D542-($D542-$I$535)*MIN(F$3-$O$2,$Q$2)/$Q$2))</f>
        <v>6952.95166015625</v>
      </c>
      <c r="G542" s="15" t="n">
        <f aca="false">F542*(1+IF(G$3&lt;=$O$2,$D542,$D542-($D542-$I$535)*MIN(G$3-$O$2,$Q$2)/$Q$2))</f>
        <v>7224.5513343811</v>
      </c>
      <c r="H542" s="15" t="n">
        <f aca="false">G542*(1+IF(H$3&lt;=$O$2,$D542,$D542-($D542-$I$535)*MIN(H$3-$O$2,$Q$2)/$Q$2))</f>
        <v>7506.76037088037</v>
      </c>
      <c r="I542" s="15" t="n">
        <f aca="false">H542*(1+IF(I$3&lt;=$O$2,$D542,$D542-($D542-$I$535)*MIN(I$3-$O$2,$Q$2)/$Q$2))</f>
        <v>7799.99319786788</v>
      </c>
      <c r="J542" s="15" t="n">
        <f aca="false">I542*(1+IF(J$3&lt;=$O$2,$D542,$D542-($D542-$I$535)*MIN(J$3-$O$2,$Q$2)/$Q$2))</f>
        <v>8095.69093999905</v>
      </c>
      <c r="K542" s="15" t="n">
        <f aca="false">J542*(1+IF(K$3&lt;=$O$2,$D542,$D542-($D542-$I$535)*MIN(K$3-$O$2,$Q$2)/$Q$2))</f>
        <v>8393.26829972607</v>
      </c>
      <c r="L542" s="15" t="n">
        <f aca="false">K542*(1+IF(L$3&lt;=$O$2,$D542,$D542-($D542-$I$535)*MIN(L$3-$O$2,$Q$2)/$Q$2))</f>
        <v>8692.11061753782</v>
      </c>
      <c r="M542" s="15" t="n">
        <f aca="false">L542*(1+IF(M$3&lt;=$O$2,$D542,$D542-($D542-$I$535)*MIN(M$3-$O$2,$Q$2)/$Q$2))</f>
        <v>8991.57555858854</v>
      </c>
      <c r="N542" s="15" t="n">
        <f aca="false">M542*(1+IF(N$3&lt;=$O$2,$D542,$D542-($D542-$I$535)*MIN(N$3-$O$2,$Q$2)/$Q$2))</f>
        <v>9290.99502468954</v>
      </c>
      <c r="O542" s="15" t="n">
        <f aca="false">SUMPRODUCT(E542:N542,1/(1+$F$535)^$E$3:$N$3)*$E$2</f>
        <v>9521.27571438594</v>
      </c>
      <c r="P542" s="15" t="n">
        <f aca="false">N542*$E$2*(1+$I$535)/($F$535-$I$535)/(1+$F$535)^$N$3</f>
        <v>11112.9959695626</v>
      </c>
      <c r="Q542" s="15" t="n">
        <f aca="false">O542+P542</f>
        <v>20634.2716839485</v>
      </c>
      <c r="R542" s="15" t="n">
        <f aca="false">Q542-$G$2+$I$2</f>
        <v>15334.3716839485</v>
      </c>
      <c r="S542" s="42" t="n">
        <f aca="false">R542/$K$2</f>
        <v>130.527508375455</v>
      </c>
      <c r="T542" s="43" t="n">
        <f aca="false">S542-$M$2</f>
        <v>-16.6464786861722</v>
      </c>
    </row>
    <row r="543" customFormat="false" ht="15" hidden="false" customHeight="false" outlineLevel="0" collapsed="false">
      <c r="A543" s="5" t="n">
        <v>7</v>
      </c>
      <c r="B543" s="25" t="n">
        <f aca="false">IF(T542&gt;0,B542,D542)</f>
        <v>0.0390625</v>
      </c>
      <c r="C543" s="25" t="n">
        <f aca="false">IF(T542&gt;0,D542,C542)</f>
        <v>0.0625</v>
      </c>
      <c r="D543" s="41" t="n">
        <f aca="false">(B543+C543)/2</f>
        <v>0.05078125</v>
      </c>
      <c r="E543" s="15" t="n">
        <f aca="false">$C$2*(1+IF(E$3&lt;=$O$2,$D543,$D543-($D543-$I$535)*MIN(E$3-$O$2,$Q$2)/$Q$2))</f>
        <v>6767.03125</v>
      </c>
      <c r="F543" s="15" t="n">
        <f aca="false">E543*(1+IF(F$3&lt;=$O$2,$D543,$D543-($D543-$I$535)*MIN(F$3-$O$2,$Q$2)/$Q$2))</f>
        <v>7110.66955566406</v>
      </c>
      <c r="G543" s="15" t="n">
        <f aca="false">F543*(1+IF(G$3&lt;=$O$2,$D543,$D543-($D543-$I$535)*MIN(G$3-$O$2,$Q$2)/$Q$2))</f>
        <v>7471.75824403763</v>
      </c>
      <c r="H543" s="15" t="n">
        <f aca="false">G543*(1+IF(H$3&lt;=$O$2,$D543,$D543-($D543-$I$535)*MIN(H$3-$O$2,$Q$2)/$Q$2))</f>
        <v>7851.18346736766</v>
      </c>
      <c r="I543" s="15" t="n">
        <f aca="false">H543*(1+IF(I$3&lt;=$O$2,$D543,$D543-($D543-$I$535)*MIN(I$3-$O$2,$Q$2)/$Q$2))</f>
        <v>8249.87637781993</v>
      </c>
      <c r="J543" s="15" t="n">
        <f aca="false">I543*(1+IF(J$3&lt;=$O$2,$D543,$D543-($D543-$I$535)*MIN(J$3-$O$2,$Q$2)/$Q$2))</f>
        <v>8639.97178234514</v>
      </c>
      <c r="K543" s="15" t="n">
        <f aca="false">J543*(1+IF(K$3&lt;=$O$2,$D543,$D543-($D543-$I$535)*MIN(K$3-$O$2,$Q$2)/$Q$2))</f>
        <v>9018.30534672931</v>
      </c>
      <c r="L543" s="15" t="n">
        <f aca="false">K543*(1+IF(L$3&lt;=$O$2,$D543,$D543-($D543-$I$535)*MIN(L$3-$O$2,$Q$2)/$Q$2))</f>
        <v>9381.6754149124</v>
      </c>
      <c r="M543" s="15" t="n">
        <f aca="false">L543*(1+IF(M$3&lt;=$O$2,$D543,$D543-($D543-$I$535)*MIN(M$3-$O$2,$Q$2)/$Q$2))</f>
        <v>9726.88588889837</v>
      </c>
      <c r="N543" s="15" t="n">
        <f aca="false">M543*(1+IF(N$3&lt;=$O$2,$D543,$D543-($D543-$I$535)*MIN(N$3-$O$2,$Q$2)/$Q$2))</f>
        <v>10050.7911889987</v>
      </c>
      <c r="O543" s="15" t="n">
        <f aca="false">SUMPRODUCT(E543:N543,1/(1+$F$535)^$E$3:$N$3)*$E$2</f>
        <v>10012.5550323532</v>
      </c>
      <c r="P543" s="15" t="n">
        <f aca="false">N543*$E$2*(1+$I$535)/($F$535-$I$535)/(1+$F$535)^$N$3</f>
        <v>12021.7911727909</v>
      </c>
      <c r="Q543" s="15" t="n">
        <f aca="false">O543+P543</f>
        <v>22034.3462051442</v>
      </c>
      <c r="R543" s="15" t="n">
        <f aca="false">Q543-$G$2+$I$2</f>
        <v>16734.4462051442</v>
      </c>
      <c r="S543" s="42" t="n">
        <f aca="false">R543/$K$2</f>
        <v>142.44506473565</v>
      </c>
      <c r="T543" s="43" t="n">
        <f aca="false">S543-$M$2</f>
        <v>-4.72892232597729</v>
      </c>
    </row>
    <row r="544" customFormat="false" ht="15" hidden="false" customHeight="false" outlineLevel="0" collapsed="false">
      <c r="A544" s="5" t="n">
        <v>8</v>
      </c>
      <c r="B544" s="25" t="n">
        <f aca="false">IF(T543&gt;0,B543,D543)</f>
        <v>0.05078125</v>
      </c>
      <c r="C544" s="25" t="n">
        <f aca="false">IF(T543&gt;0,D543,C543)</f>
        <v>0.0625</v>
      </c>
      <c r="D544" s="41" t="n">
        <f aca="false">(B544+C544)/2</f>
        <v>0.056640625</v>
      </c>
      <c r="E544" s="15" t="n">
        <f aca="false">$C$2*(1+IF(E$3&lt;=$O$2,$D544,$D544-($D544-$I$535)*MIN(E$3-$O$2,$Q$2)/$Q$2))</f>
        <v>6804.765625</v>
      </c>
      <c r="F544" s="15" t="n">
        <f aca="false">E544*(1+IF(F$3&lt;=$O$2,$D544,$D544-($D544-$I$535)*MIN(F$3-$O$2,$Q$2)/$Q$2))</f>
        <v>7190.19180297852</v>
      </c>
      <c r="G544" s="15" t="n">
        <f aca="false">F544*(1+IF(G$3&lt;=$O$2,$D544,$D544-($D544-$I$535)*MIN(G$3-$O$2,$Q$2)/$Q$2))</f>
        <v>7597.4487605691</v>
      </c>
      <c r="H544" s="15" t="n">
        <f aca="false">G544*(1+IF(H$3&lt;=$O$2,$D544,$D544-($D544-$I$535)*MIN(H$3-$O$2,$Q$2)/$Q$2))</f>
        <v>8027.7730067732</v>
      </c>
      <c r="I544" s="15" t="n">
        <f aca="false">H544*(1+IF(I$3&lt;=$O$2,$D544,$D544-($D544-$I$535)*MIN(I$3-$O$2,$Q$2)/$Q$2))</f>
        <v>8482.47108723497</v>
      </c>
      <c r="J544" s="15" t="n">
        <f aca="false">I544*(1+IF(J$3&lt;=$O$2,$D544,$D544-($D544-$I$535)*MIN(J$3-$O$2,$Q$2)/$Q$2))</f>
        <v>8923.32631581629</v>
      </c>
      <c r="K544" s="15" t="n">
        <f aca="false">J544*(1+IF(K$3&lt;=$O$2,$D544,$D544-($D544-$I$535)*MIN(K$3-$O$2,$Q$2)/$Q$2))</f>
        <v>9345.43869010703</v>
      </c>
      <c r="L544" s="15" t="n">
        <f aca="false">K544*(1+IF(L$3&lt;=$O$2,$D544,$D544-($D544-$I$535)*MIN(L$3-$O$2,$Q$2)/$Q$2))</f>
        <v>9743.8931504581</v>
      </c>
      <c r="M544" s="15" t="n">
        <f aca="false">L544*(1+IF(M$3&lt;=$O$2,$D544,$D544-($D544-$I$535)*MIN(M$3-$O$2,$Q$2)/$Q$2))</f>
        <v>10113.8505035813</v>
      </c>
      <c r="N544" s="15" t="n">
        <f aca="false">M544*(1+IF(N$3&lt;=$O$2,$D544,$D544-($D544-$I$535)*MIN(N$3-$O$2,$Q$2)/$Q$2))</f>
        <v>10450.6417253506</v>
      </c>
      <c r="O544" s="15" t="n">
        <f aca="false">SUMPRODUCT(E544:N544,1/(1+$F$535)^$E$3:$N$3)*$E$2</f>
        <v>10267.7459361726</v>
      </c>
      <c r="P544" s="15" t="n">
        <f aca="false">N544*$E$2*(1+$I$535)/($F$535-$I$535)/(1+$F$535)^$N$3</f>
        <v>12500.0539839428</v>
      </c>
      <c r="Q544" s="15" t="n">
        <f aca="false">O544+P544</f>
        <v>22767.7999201155</v>
      </c>
      <c r="R544" s="15" t="n">
        <f aca="false">Q544-$G$2+$I$2</f>
        <v>17467.8999201155</v>
      </c>
      <c r="S544" s="42" t="n">
        <f aca="false">R544/$K$2</f>
        <v>148.688286688078</v>
      </c>
      <c r="T544" s="43" t="n">
        <f aca="false">S544-$M$2</f>
        <v>1.51429962645094</v>
      </c>
    </row>
    <row r="545" customFormat="false" ht="15" hidden="false" customHeight="false" outlineLevel="0" collapsed="false">
      <c r="A545" s="5" t="n">
        <v>9</v>
      </c>
      <c r="B545" s="25" t="n">
        <f aca="false">IF(T544&gt;0,B544,D544)</f>
        <v>0.05078125</v>
      </c>
      <c r="C545" s="25" t="n">
        <f aca="false">IF(T544&gt;0,D544,C544)</f>
        <v>0.056640625</v>
      </c>
      <c r="D545" s="41" t="n">
        <f aca="false">(B545+C545)/2</f>
        <v>0.0537109375</v>
      </c>
      <c r="E545" s="15" t="n">
        <f aca="false">$C$2*(1+IF(E$3&lt;=$O$2,$D545,$D545-($D545-$I$535)*MIN(E$3-$O$2,$Q$2)/$Q$2))</f>
        <v>6785.8984375</v>
      </c>
      <c r="F545" s="15" t="n">
        <f aca="false">E545*(1+IF(F$3&lt;=$O$2,$D545,$D545-($D545-$I$535)*MIN(F$3-$O$2,$Q$2)/$Q$2))</f>
        <v>7150.37540435791</v>
      </c>
      <c r="G545" s="15" t="n">
        <f aca="false">F545*(1+IF(G$3&lt;=$O$2,$D545,$D545-($D545-$I$535)*MIN(G$3-$O$2,$Q$2)/$Q$2))</f>
        <v>7534.42877080292</v>
      </c>
      <c r="H545" s="15" t="n">
        <f aca="false">G545*(1+IF(H$3&lt;=$O$2,$D545,$D545-($D545-$I$535)*MIN(H$3-$O$2,$Q$2)/$Q$2))</f>
        <v>7939.11000360971</v>
      </c>
      <c r="I545" s="15" t="n">
        <f aca="false">H545*(1+IF(I$3&lt;=$O$2,$D545,$D545-($D545-$I$535)*MIN(I$3-$O$2,$Q$2)/$Q$2))</f>
        <v>8365.52704481922</v>
      </c>
      <c r="J545" s="15" t="n">
        <f aca="false">I545*(1+IF(J$3&lt;=$O$2,$D545,$D545-($D545-$I$535)*MIN(J$3-$O$2,$Q$2)/$Q$2))</f>
        <v>8780.69769514479</v>
      </c>
      <c r="K545" s="15" t="n">
        <f aca="false">J545*(1+IF(K$3&lt;=$O$2,$D545,$D545-($D545-$I$535)*MIN(K$3-$O$2,$Q$2)/$Q$2))</f>
        <v>9180.62829151031</v>
      </c>
      <c r="L545" s="15" t="n">
        <f aca="false">K545*(1+IF(L$3&lt;=$O$2,$D545,$D545-($D545-$I$535)*MIN(L$3-$O$2,$Q$2)/$Q$2))</f>
        <v>9561.2973057251</v>
      </c>
      <c r="M545" s="15" t="n">
        <f aca="false">L545*(1+IF(M$3&lt;=$O$2,$D545,$D545-($D545-$I$535)*MIN(M$3-$O$2,$Q$2)/$Q$2))</f>
        <v>9918.71951435096</v>
      </c>
      <c r="N545" s="15" t="n">
        <f aca="false">M545*(1+IF(N$3&lt;=$O$2,$D545,$D545-($D545-$I$535)*MIN(N$3-$O$2,$Q$2)/$Q$2))</f>
        <v>10249.0128741788</v>
      </c>
      <c r="O545" s="15" t="n">
        <f aca="false">SUMPRODUCT(E545:N545,1/(1+$F$535)^$E$3:$N$3)*$E$2</f>
        <v>10139.3385995494</v>
      </c>
      <c r="P545" s="15" t="n">
        <f aca="false">N545*$E$2*(1+$I$535)/($F$535-$I$535)/(1+$F$535)^$N$3</f>
        <v>12258.8849159943</v>
      </c>
      <c r="Q545" s="15" t="n">
        <f aca="false">O545+P545</f>
        <v>22398.2235155436</v>
      </c>
      <c r="R545" s="15" t="n">
        <f aca="false">Q545-$G$2+$I$2</f>
        <v>17098.3235155436</v>
      </c>
      <c r="S545" s="42" t="n">
        <f aca="false">R545/$K$2</f>
        <v>145.542420118689</v>
      </c>
      <c r="T545" s="43" t="n">
        <f aca="false">S545-$M$2</f>
        <v>-1.63156694293832</v>
      </c>
    </row>
    <row r="546" customFormat="false" ht="15" hidden="false" customHeight="false" outlineLevel="0" collapsed="false">
      <c r="A546" s="5" t="n">
        <v>10</v>
      </c>
      <c r="B546" s="25" t="n">
        <f aca="false">IF(T545&gt;0,B545,D545)</f>
        <v>0.0537109375</v>
      </c>
      <c r="C546" s="25" t="n">
        <f aca="false">IF(T545&gt;0,D545,C545)</f>
        <v>0.056640625</v>
      </c>
      <c r="D546" s="41" t="n">
        <f aca="false">(B546+C546)/2</f>
        <v>0.05517578125</v>
      </c>
      <c r="E546" s="15" t="n">
        <f aca="false">$C$2*(1+IF(E$3&lt;=$O$2,$D546,$D546-($D546-$I$535)*MIN(E$3-$O$2,$Q$2)/$Q$2))</f>
        <v>6795.33203125</v>
      </c>
      <c r="F546" s="15" t="n">
        <f aca="false">E546*(1+IF(F$3&lt;=$O$2,$D546,$D546-($D546-$I$535)*MIN(F$3-$O$2,$Q$2)/$Q$2))</f>
        <v>7170.26978492737</v>
      </c>
      <c r="G546" s="15" t="n">
        <f aca="false">F546*(1+IF(G$3&lt;=$O$2,$D546,$D546-($D546-$I$535)*MIN(G$3-$O$2,$Q$2)/$Q$2))</f>
        <v>7565.89502208401</v>
      </c>
      <c r="H546" s="15" t="n">
        <f aca="false">G546*(1+IF(H$3&lt;=$O$2,$D546,$D546-($D546-$I$535)*MIN(H$3-$O$2,$Q$2)/$Q$2))</f>
        <v>7983.34919078298</v>
      </c>
      <c r="I546" s="15" t="n">
        <f aca="false">H546*(1+IF(I$3&lt;=$O$2,$D546,$D546-($D546-$I$535)*MIN(I$3-$O$2,$Q$2)/$Q$2))</f>
        <v>8423.83671937598</v>
      </c>
      <c r="J546" s="15" t="n">
        <f aca="false">I546*(1+IF(J$3&lt;=$O$2,$D546,$D546-($D546-$I$535)*MIN(J$3-$O$2,$Q$2)/$Q$2))</f>
        <v>8851.77288961823</v>
      </c>
      <c r="K546" s="15" t="n">
        <f aca="false">J546*(1+IF(K$3&lt;=$O$2,$D546,$D546-($D546-$I$535)*MIN(K$3-$O$2,$Q$2)/$Q$2))</f>
        <v>9262.7205952873</v>
      </c>
      <c r="L546" s="15" t="n">
        <f aca="false">K546*(1+IF(L$3&lt;=$O$2,$D546,$D546-($D546-$I$535)*MIN(L$3-$O$2,$Q$2)/$Q$2))</f>
        <v>9652.22089091932</v>
      </c>
      <c r="M546" s="15" t="n">
        <f aca="false">L546*(1+IF(M$3&lt;=$O$2,$D546,$D546-($D546-$I$535)*MIN(M$3-$O$2,$Q$2)/$Q$2))</f>
        <v>10015.8698211442</v>
      </c>
      <c r="N546" s="15" t="n">
        <f aca="false">M546*(1+IF(N$3&lt;=$O$2,$D546,$D546-($D546-$I$535)*MIN(N$3-$O$2,$Q$2)/$Q$2))</f>
        <v>10349.3982861883</v>
      </c>
      <c r="O546" s="15" t="n">
        <f aca="false">SUMPRODUCT(E546:N546,1/(1+$F$535)^$E$3:$N$3)*$E$2</f>
        <v>10203.3380834236</v>
      </c>
      <c r="P546" s="15" t="n">
        <f aca="false">N546*$E$2*(1+$I$535)/($F$535-$I$535)/(1+$F$535)^$N$3</f>
        <v>12378.9563051296</v>
      </c>
      <c r="Q546" s="15" t="n">
        <f aca="false">O546+P546</f>
        <v>22582.2943885532</v>
      </c>
      <c r="R546" s="15" t="n">
        <f aca="false">Q546-$G$2+$I$2</f>
        <v>17282.3943885532</v>
      </c>
      <c r="S546" s="42" t="n">
        <f aca="false">R546/$K$2</f>
        <v>147.109247434059</v>
      </c>
      <c r="T546" s="43" t="n">
        <f aca="false">S546-$M$2</f>
        <v>-0.0647396275689118</v>
      </c>
    </row>
    <row r="547" customFormat="false" ht="15" hidden="false" customHeight="false" outlineLevel="0" collapsed="false">
      <c r="A547" s="5" t="n">
        <v>11</v>
      </c>
      <c r="B547" s="25" t="n">
        <f aca="false">IF(T546&gt;0,B546,D546)</f>
        <v>0.05517578125</v>
      </c>
      <c r="C547" s="25" t="n">
        <f aca="false">IF(T546&gt;0,D546,C546)</f>
        <v>0.056640625</v>
      </c>
      <c r="D547" s="41" t="n">
        <f aca="false">(B547+C547)/2</f>
        <v>0.055908203125</v>
      </c>
      <c r="E547" s="15" t="n">
        <f aca="false">$C$2*(1+IF(E$3&lt;=$O$2,$D547,$D547-($D547-$I$535)*MIN(E$3-$O$2,$Q$2)/$Q$2))</f>
        <v>6800.048828125</v>
      </c>
      <c r="F547" s="15" t="n">
        <f aca="false">E547*(1+IF(F$3&lt;=$O$2,$D547,$D547-($D547-$I$535)*MIN(F$3-$O$2,$Q$2)/$Q$2))</f>
        <v>7180.22733926773</v>
      </c>
      <c r="G547" s="15" t="n">
        <f aca="false">F547*(1+IF(G$3&lt;=$O$2,$D547,$D547-($D547-$I$535)*MIN(G$3-$O$2,$Q$2)/$Q$2))</f>
        <v>7581.66094783519</v>
      </c>
      <c r="H547" s="15" t="n">
        <f aca="false">G547*(1+IF(H$3&lt;=$O$2,$D547,$D547-($D547-$I$535)*MIN(H$3-$O$2,$Q$2)/$Q$2))</f>
        <v>8005.53798813164</v>
      </c>
      <c r="I547" s="15" t="n">
        <f aca="false">H547*(1+IF(I$3&lt;=$O$2,$D547,$D547-($D547-$I$535)*MIN(I$3-$O$2,$Q$2)/$Q$2))</f>
        <v>8453.11323209701</v>
      </c>
      <c r="J547" s="15" t="n">
        <f aca="false">I547*(1+IF(J$3&lt;=$O$2,$D547,$D547-($D547-$I$535)*MIN(J$3-$O$2,$Q$2)/$Q$2))</f>
        <v>8887.48966351774</v>
      </c>
      <c r="K547" s="15" t="n">
        <f aca="false">J547*(1+IF(K$3&lt;=$O$2,$D547,$D547-($D547-$I$535)*MIN(K$3-$O$2,$Q$2)/$Q$2))</f>
        <v>9304.00117226337</v>
      </c>
      <c r="L547" s="15" t="n">
        <f aca="false">K547*(1+IF(L$3&lt;=$O$2,$D547,$D547-($D547-$I$535)*MIN(L$3-$O$2,$Q$2)/$Q$2))</f>
        <v>9697.96311065084</v>
      </c>
      <c r="M547" s="15" t="n">
        <f aca="false">L547*(1+IF(M$3&lt;=$O$2,$D547,$D547-($D547-$I$535)*MIN(M$3-$O$2,$Q$2)/$Q$2))</f>
        <v>10064.7559862164</v>
      </c>
      <c r="N547" s="15" t="n">
        <f aca="false">M547*(1+IF(N$3&lt;=$O$2,$D547,$D547-($D547-$I$535)*MIN(N$3-$O$2,$Q$2)/$Q$2))</f>
        <v>10399.9123605574</v>
      </c>
      <c r="O547" s="15" t="n">
        <f aca="false">SUMPRODUCT(E547:N547,1/(1+$F$535)^$E$3:$N$3)*$E$2</f>
        <v>10235.4908113411</v>
      </c>
      <c r="P547" s="15" t="n">
        <f aca="false">N547*$E$2*(1+$I$535)/($F$535-$I$535)/(1+$F$535)^$N$3</f>
        <v>12439.3763896715</v>
      </c>
      <c r="Q547" s="15" t="n">
        <f aca="false">O547+P547</f>
        <v>22674.8672010126</v>
      </c>
      <c r="R547" s="15" t="n">
        <f aca="false">Q547-$G$2+$I$2</f>
        <v>17374.9672010126</v>
      </c>
      <c r="S547" s="42" t="n">
        <f aca="false">R547/$K$2</f>
        <v>147.897235282708</v>
      </c>
      <c r="T547" s="43" t="n">
        <f aca="false">S547-$M$2</f>
        <v>0.723248221080723</v>
      </c>
    </row>
    <row r="548" customFormat="false" ht="15" hidden="false" customHeight="false" outlineLevel="0" collapsed="false">
      <c r="A548" s="5" t="n">
        <v>12</v>
      </c>
      <c r="B548" s="25" t="n">
        <f aca="false">IF(T547&gt;0,B547,D547)</f>
        <v>0.05517578125</v>
      </c>
      <c r="C548" s="25" t="n">
        <f aca="false">IF(T547&gt;0,D547,C547)</f>
        <v>0.055908203125</v>
      </c>
      <c r="D548" s="41" t="n">
        <f aca="false">(B548+C548)/2</f>
        <v>0.0555419921875</v>
      </c>
      <c r="E548" s="15" t="n">
        <f aca="false">$C$2*(1+IF(E$3&lt;=$O$2,$D548,$D548-($D548-$I$535)*MIN(E$3-$O$2,$Q$2)/$Q$2))</f>
        <v>6797.6904296875</v>
      </c>
      <c r="F548" s="15" t="n">
        <f aca="false">E548*(1+IF(F$3&lt;=$O$2,$D548,$D548-($D548-$I$535)*MIN(F$3-$O$2,$Q$2)/$Q$2))</f>
        <v>7175.24769842625</v>
      </c>
      <c r="G548" s="15" t="n">
        <f aca="false">F548*(1+IF(G$3&lt;=$O$2,$D548,$D548-($D548-$I$535)*MIN(G$3-$O$2,$Q$2)/$Q$2))</f>
        <v>7573.77525003562</v>
      </c>
      <c r="H548" s="15" t="n">
        <f aca="false">G548*(1+IF(H$3&lt;=$O$2,$D548,$D548-($D548-$I$535)*MIN(H$3-$O$2,$Q$2)/$Q$2))</f>
        <v>7994.43781580297</v>
      </c>
      <c r="I548" s="15" t="n">
        <f aca="false">H548*(1+IF(I$3&lt;=$O$2,$D548,$D548-($D548-$I$535)*MIN(I$3-$O$2,$Q$2)/$Q$2))</f>
        <v>8438.46481851176</v>
      </c>
      <c r="J548" s="15" t="n">
        <f aca="false">I548*(1+IF(J$3&lt;=$O$2,$D548,$D548-($D548-$I$535)*MIN(J$3-$O$2,$Q$2)/$Q$2))</f>
        <v>8869.61631182247</v>
      </c>
      <c r="K548" s="15" t="n">
        <f aca="false">J548*(1+IF(K$3&lt;=$O$2,$D548,$D548-($D548-$I$535)*MIN(K$3-$O$2,$Q$2)/$Q$2))</f>
        <v>9283.34129703436</v>
      </c>
      <c r="L548" s="15" t="n">
        <f aca="false">K548*(1+IF(L$3&lt;=$O$2,$D548,$D548-($D548-$I$535)*MIN(L$3-$O$2,$Q$2)/$Q$2))</f>
        <v>9675.06856406662</v>
      </c>
      <c r="M548" s="15" t="n">
        <f aca="false">L548*(1+IF(M$3&lt;=$O$2,$D548,$D548-($D548-$I$535)*MIN(M$3-$O$2,$Q$2)/$Q$2))</f>
        <v>10040.2869071331</v>
      </c>
      <c r="N548" s="15" t="n">
        <f aca="false">M548*(1+IF(N$3&lt;=$O$2,$D548,$D548-($D548-$I$535)*MIN(N$3-$O$2,$Q$2)/$Q$2))</f>
        <v>10374.6284611407</v>
      </c>
      <c r="O548" s="15" t="n">
        <f aca="false">SUMPRODUCT(E548:N548,1/(1+$F$535)^$E$3:$N$3)*$E$2</f>
        <v>10219.4016668425</v>
      </c>
      <c r="P548" s="15" t="n">
        <f aca="false">N548*$E$2*(1+$I$535)/($F$535-$I$535)/(1+$F$535)^$N$3</f>
        <v>12409.1342173782</v>
      </c>
      <c r="Q548" s="15" t="n">
        <f aca="false">O548+P548</f>
        <v>22628.5358842206</v>
      </c>
      <c r="R548" s="15" t="n">
        <f aca="false">Q548-$G$2+$I$2</f>
        <v>17328.6358842206</v>
      </c>
      <c r="S548" s="42" t="n">
        <f aca="false">R548/$K$2</f>
        <v>147.502859075763</v>
      </c>
      <c r="T548" s="43" t="n">
        <f aca="false">S548-$M$2</f>
        <v>0.328872014135385</v>
      </c>
    </row>
    <row r="549" customFormat="false" ht="15" hidden="false" customHeight="false" outlineLevel="0" collapsed="false">
      <c r="A549" s="5" t="n">
        <v>13</v>
      </c>
      <c r="B549" s="25" t="n">
        <f aca="false">IF(T548&gt;0,B548,D548)</f>
        <v>0.05517578125</v>
      </c>
      <c r="C549" s="25" t="n">
        <f aca="false">IF(T548&gt;0,D548,C548)</f>
        <v>0.0555419921875</v>
      </c>
      <c r="D549" s="41" t="n">
        <f aca="false">(B549+C549)/2</f>
        <v>0.05535888671875</v>
      </c>
      <c r="E549" s="15" t="n">
        <f aca="false">$C$2*(1+IF(E$3&lt;=$O$2,$D549,$D549-($D549-$I$535)*MIN(E$3-$O$2,$Q$2)/$Q$2))</f>
        <v>6796.51123046875</v>
      </c>
      <c r="F549" s="15" t="n">
        <f aca="false">E549*(1+IF(F$3&lt;=$O$2,$D549,$D549-($D549-$I$535)*MIN(F$3-$O$2,$Q$2)/$Q$2))</f>
        <v>7172.75852575898</v>
      </c>
      <c r="G549" s="15" t="n">
        <f aca="false">F549*(1+IF(G$3&lt;=$O$2,$D549,$D549-($D549-$I$535)*MIN(G$3-$O$2,$Q$2)/$Q$2))</f>
        <v>7569.83445244742</v>
      </c>
      <c r="H549" s="15" t="n">
        <f aca="false">G549*(1+IF(H$3&lt;=$O$2,$D549,$D549-($D549-$I$535)*MIN(H$3-$O$2,$Q$2)/$Q$2))</f>
        <v>7988.89206038015</v>
      </c>
      <c r="I549" s="15" t="n">
        <f aca="false">H549*(1+IF(I$3&lt;=$O$2,$D549,$D549-($D549-$I$535)*MIN(I$3-$O$2,$Q$2)/$Q$2))</f>
        <v>8431.14823095906</v>
      </c>
      <c r="J549" s="15" t="n">
        <f aca="false">I549*(1+IF(J$3&lt;=$O$2,$D549,$D549-($D549-$I$535)*MIN(J$3-$O$2,$Q$2)/$Q$2))</f>
        <v>8860.69086203856</v>
      </c>
      <c r="K549" s="15" t="n">
        <f aca="false">J549*(1+IF(K$3&lt;=$O$2,$D549,$D549-($D549-$I$535)*MIN(K$3-$O$2,$Q$2)/$Q$2))</f>
        <v>9273.02605332979</v>
      </c>
      <c r="L549" s="15" t="n">
        <f aca="false">K549*(1+IF(L$3&lt;=$O$2,$D549,$D549-($D549-$I$535)*MIN(L$3-$O$2,$Q$2)/$Q$2))</f>
        <v>9663.63887340584</v>
      </c>
      <c r="M549" s="15" t="n">
        <f aca="false">L549*(1+IF(M$3&lt;=$O$2,$D549,$D549-($D549-$I$535)*MIN(M$3-$O$2,$Q$2)/$Q$2))</f>
        <v>10028.0718709301</v>
      </c>
      <c r="N549" s="15" t="n">
        <f aca="false">M549*(1+IF(N$3&lt;=$O$2,$D549,$D549-($D549-$I$535)*MIN(N$3-$O$2,$Q$2)/$Q$2))</f>
        <v>10362.0066642321</v>
      </c>
      <c r="O549" s="15" t="n">
        <f aca="false">SUMPRODUCT(E549:N549,1/(1+$F$535)^$E$3:$N$3)*$E$2</f>
        <v>10211.3666823796</v>
      </c>
      <c r="P549" s="15" t="n">
        <f aca="false">N549*$E$2*(1+$I$535)/($F$535-$I$535)/(1+$F$535)^$N$3</f>
        <v>12394.0372360752</v>
      </c>
      <c r="Q549" s="15" t="n">
        <f aca="false">O549+P549</f>
        <v>22605.4039184549</v>
      </c>
      <c r="R549" s="15" t="n">
        <f aca="false">Q549-$G$2+$I$2</f>
        <v>17305.5039184549</v>
      </c>
      <c r="S549" s="42" t="n">
        <f aca="false">R549/$K$2</f>
        <v>147.305957766895</v>
      </c>
      <c r="T549" s="43" t="n">
        <f aca="false">S549-$M$2</f>
        <v>0.131970705267833</v>
      </c>
    </row>
    <row r="550" customFormat="false" ht="15" hidden="false" customHeight="false" outlineLevel="0" collapsed="false">
      <c r="A550" s="5" t="n">
        <v>14</v>
      </c>
      <c r="B550" s="25" t="n">
        <f aca="false">IF(T549&gt;0,B549,D549)</f>
        <v>0.05517578125</v>
      </c>
      <c r="C550" s="25" t="n">
        <f aca="false">IF(T549&gt;0,D549,C549)</f>
        <v>0.05535888671875</v>
      </c>
      <c r="D550" s="41" t="n">
        <f aca="false">(B550+C550)/2</f>
        <v>0.055267333984375</v>
      </c>
      <c r="E550" s="15" t="n">
        <f aca="false">$C$2*(1+IF(E$3&lt;=$O$2,$D550,$D550-($D550-$I$535)*MIN(E$3-$O$2,$Q$2)/$Q$2))</f>
        <v>6795.92163085938</v>
      </c>
      <c r="F550" s="15" t="n">
        <f aca="false">E550*(1+IF(F$3&lt;=$O$2,$D550,$D550-($D550-$I$535)*MIN(F$3-$O$2,$Q$2)/$Q$2))</f>
        <v>7171.51410136372</v>
      </c>
      <c r="G550" s="15" t="n">
        <f aca="false">F550*(1+IF(G$3&lt;=$O$2,$D550,$D550-($D550-$I$535)*MIN(G$3-$O$2,$Q$2)/$Q$2))</f>
        <v>7567.86456637744</v>
      </c>
      <c r="H550" s="15" t="n">
        <f aca="false">G550*(1+IF(H$3&lt;=$O$2,$D550,$D550-($D550-$I$535)*MIN(H$3-$O$2,$Q$2)/$Q$2))</f>
        <v>7986.12026491594</v>
      </c>
      <c r="I550" s="15" t="n">
        <f aca="false">H550*(1+IF(I$3&lt;=$O$2,$D550,$D550-($D550-$I$535)*MIN(I$3-$O$2,$Q$2)/$Q$2))</f>
        <v>8427.49184083644</v>
      </c>
      <c r="J550" s="15" t="n">
        <f aca="false">I550*(1+IF(J$3&lt;=$O$2,$D550,$D550-($D550-$I$535)*MIN(J$3-$O$2,$Q$2)/$Q$2))</f>
        <v>8856.23094147089</v>
      </c>
      <c r="K550" s="15" t="n">
        <f aca="false">J550*(1+IF(K$3&lt;=$O$2,$D550,$D550-($D550-$I$535)*MIN(K$3-$O$2,$Q$2)/$Q$2))</f>
        <v>9267.8721015823</v>
      </c>
      <c r="L550" s="15" t="n">
        <f aca="false">K550*(1+IF(L$3&lt;=$O$2,$D550,$D550-($D550-$I$535)*MIN(L$3-$O$2,$Q$2)/$Q$2))</f>
        <v>9657.92841927696</v>
      </c>
      <c r="M550" s="15" t="n">
        <f aca="false">L550*(1+IF(M$3&lt;=$O$2,$D550,$D550-($D550-$I$535)*MIN(M$3-$O$2,$Q$2)/$Q$2))</f>
        <v>10021.9692234756</v>
      </c>
      <c r="N550" s="15" t="n">
        <f aca="false">M550*(1+IF(N$3&lt;=$O$2,$D550,$D550-($D550-$I$535)*MIN(N$3-$O$2,$Q$2)/$Q$2))</f>
        <v>10355.7007986173</v>
      </c>
      <c r="O550" s="15" t="n">
        <f aca="false">SUMPRODUCT(E550:N550,1/(1+$F$535)^$E$3:$N$3)*$E$2</f>
        <v>10207.3515850108</v>
      </c>
      <c r="P550" s="15" t="n">
        <f aca="false">N550*$E$2*(1+$I$535)/($F$535-$I$535)/(1+$F$535)^$N$3</f>
        <v>12386.494765223</v>
      </c>
      <c r="Q550" s="15" t="n">
        <f aca="false">O550+P550</f>
        <v>22593.8463502338</v>
      </c>
      <c r="R550" s="15" t="n">
        <f aca="false">Q550-$G$2+$I$2</f>
        <v>17293.9463502338</v>
      </c>
      <c r="S550" s="42" t="n">
        <f aca="false">R550/$K$2</f>
        <v>147.207578738796</v>
      </c>
      <c r="T550" s="43" t="n">
        <f aca="false">S550-$M$2</f>
        <v>0.0335916771688574</v>
      </c>
    </row>
    <row r="551" customFormat="false" ht="15" hidden="false" customHeight="false" outlineLevel="0" collapsed="false">
      <c r="A551" s="5" t="n">
        <v>15</v>
      </c>
      <c r="B551" s="25" t="n">
        <f aca="false">IF(T550&gt;0,B550,D550)</f>
        <v>0.05517578125</v>
      </c>
      <c r="C551" s="25" t="n">
        <f aca="false">IF(T550&gt;0,D550,C550)</f>
        <v>0.055267333984375</v>
      </c>
      <c r="D551" s="41" t="n">
        <f aca="false">(B551+C551)/2</f>
        <v>0.0552215576171875</v>
      </c>
      <c r="E551" s="15" t="n">
        <f aca="false">$C$2*(1+IF(E$3&lt;=$O$2,$D551,$D551-($D551-$I$535)*MIN(E$3-$O$2,$Q$2)/$Q$2))</f>
        <v>6795.62683105469</v>
      </c>
      <c r="F551" s="15" t="n">
        <f aca="false">E551*(1+IF(F$3&lt;=$O$2,$D551,$D551-($D551-$I$535)*MIN(F$3-$O$2,$Q$2)/$Q$2))</f>
        <v>7170.89192965068</v>
      </c>
      <c r="G551" s="15" t="n">
        <f aca="false">F551*(1+IF(G$3&lt;=$O$2,$D551,$D551-($D551-$I$535)*MIN(G$3-$O$2,$Q$2)/$Q$2))</f>
        <v>7566.87975151051</v>
      </c>
      <c r="H551" s="15" t="n">
        <f aca="false">G551*(1+IF(H$3&lt;=$O$2,$D551,$D551-($D551-$I$535)*MIN(H$3-$O$2,$Q$2)/$Q$2))</f>
        <v>7984.73463769088</v>
      </c>
      <c r="I551" s="15" t="n">
        <f aca="false">H551*(1+IF(I$3&lt;=$O$2,$D551,$D551-($D551-$I$535)*MIN(I$3-$O$2,$Q$2)/$Q$2))</f>
        <v>8425.66412154408</v>
      </c>
      <c r="J551" s="15" t="n">
        <f aca="false">I551*(1+IF(J$3&lt;=$O$2,$D551,$D551-($D551-$I$535)*MIN(J$3-$O$2,$Q$2)/$Q$2))</f>
        <v>8854.00168199429</v>
      </c>
      <c r="K551" s="15" t="n">
        <f aca="false">J551*(1+IF(K$3&lt;=$O$2,$D551,$D551-($D551-$I$535)*MIN(K$3-$O$2,$Q$2)/$Q$2))</f>
        <v>9265.29604281341</v>
      </c>
      <c r="L551" s="15" t="n">
        <f aca="false">K551*(1+IF(L$3&lt;=$O$2,$D551,$D551-($D551-$I$535)*MIN(L$3-$O$2,$Q$2)/$Q$2))</f>
        <v>9655.07428945623</v>
      </c>
      <c r="M551" s="15" t="n">
        <f aca="false">L551*(1+IF(M$3&lt;=$O$2,$D551,$D551-($D551-$I$535)*MIN(M$3-$O$2,$Q$2)/$Q$2))</f>
        <v>10018.919116762</v>
      </c>
      <c r="N551" s="15" t="n">
        <f aca="false">M551*(1+IF(N$3&lt;=$O$2,$D551,$D551-($D551-$I$535)*MIN(N$3-$O$2,$Q$2)/$Q$2))</f>
        <v>10352.5491233502</v>
      </c>
      <c r="O551" s="15" t="n">
        <f aca="false">SUMPRODUCT(E551:N551,1/(1+$F$535)^$E$3:$N$3)*$E$2</f>
        <v>10205.3446347817</v>
      </c>
      <c r="P551" s="15" t="n">
        <f aca="false">N551*$E$2*(1+$I$535)/($F$535-$I$535)/(1+$F$535)^$N$3</f>
        <v>12382.7250339458</v>
      </c>
      <c r="Q551" s="15" t="n">
        <f aca="false">O551+P551</f>
        <v>22588.0696687275</v>
      </c>
      <c r="R551" s="15" t="n">
        <f aca="false">Q551-$G$2+$I$2</f>
        <v>17288.1696687275</v>
      </c>
      <c r="S551" s="42" t="n">
        <f aca="false">R551/$K$2</f>
        <v>147.158407122297</v>
      </c>
      <c r="T551" s="43" t="n">
        <f aca="false">S551-$M$2</f>
        <v>-0.0155799393301379</v>
      </c>
    </row>
    <row r="552" customFormat="false" ht="15" hidden="false" customHeight="false" outlineLevel="0" collapsed="false">
      <c r="A552" s="5" t="n">
        <v>16</v>
      </c>
      <c r="B552" s="25" t="n">
        <f aca="false">IF(T551&gt;0,B551,D551)</f>
        <v>0.0552215576171875</v>
      </c>
      <c r="C552" s="25" t="n">
        <f aca="false">IF(T551&gt;0,D551,C551)</f>
        <v>0.055267333984375</v>
      </c>
      <c r="D552" s="41" t="n">
        <f aca="false">(B552+C552)/2</f>
        <v>0.0552444458007813</v>
      </c>
      <c r="E552" s="15" t="n">
        <f aca="false">$C$2*(1+IF(E$3&lt;=$O$2,$D552,$D552-($D552-$I$535)*MIN(E$3-$O$2,$Q$2)/$Q$2))</f>
        <v>6795.77423095703</v>
      </c>
      <c r="F552" s="15" t="n">
        <f aca="false">E552*(1+IF(F$3&lt;=$O$2,$D552,$D552-($D552-$I$535)*MIN(F$3-$O$2,$Q$2)/$Q$2))</f>
        <v>7171.20301213348</v>
      </c>
      <c r="G552" s="15" t="n">
        <f aca="false">F552*(1+IF(G$3&lt;=$O$2,$D552,$D552-($D552-$I$535)*MIN(G$3-$O$2,$Q$2)/$Q$2))</f>
        <v>7567.37214826369</v>
      </c>
      <c r="H552" s="15" t="n">
        <f aca="false">G552*(1+IF(H$3&lt;=$O$2,$D552,$D552-($D552-$I$535)*MIN(H$3-$O$2,$Q$2)/$Q$2))</f>
        <v>7985.42742876279</v>
      </c>
      <c r="I552" s="15" t="n">
        <f aca="false">H552*(1+IF(I$3&lt;=$O$2,$D552,$D552-($D552-$I$535)*MIN(I$3-$O$2,$Q$2)/$Q$2))</f>
        <v>8426.57794154714</v>
      </c>
      <c r="J552" s="15" t="n">
        <f aca="false">I552*(1+IF(J$3&lt;=$O$2,$D552,$D552-($D552-$I$535)*MIN(J$3-$O$2,$Q$2)/$Q$2))</f>
        <v>8855.11625334014</v>
      </c>
      <c r="K552" s="15" t="n">
        <f aca="false">J552*(1+IF(K$3&lt;=$O$2,$D552,$D552-($D552-$I$535)*MIN(K$3-$O$2,$Q$2)/$Q$2))</f>
        <v>9266.58399578499</v>
      </c>
      <c r="L552" s="15" t="n">
        <f aca="false">K552*(1+IF(L$3&lt;=$O$2,$D552,$D552-($D552-$I$535)*MIN(L$3-$O$2,$Q$2)/$Q$2))</f>
        <v>9656.50126294618</v>
      </c>
      <c r="M552" s="15" t="n">
        <f aca="false">L552*(1+IF(M$3&lt;=$O$2,$D552,$D552-($D552-$I$535)*MIN(M$3-$O$2,$Q$2)/$Q$2))</f>
        <v>10020.4440687203</v>
      </c>
      <c r="N552" s="15" t="n">
        <f aca="false">M552*(1+IF(N$3&lt;=$O$2,$D552,$D552-($D552-$I$535)*MIN(N$3-$O$2,$Q$2)/$Q$2))</f>
        <v>10354.1248562087</v>
      </c>
      <c r="O552" s="15" t="n">
        <f aca="false">SUMPRODUCT(E552:N552,1/(1+$F$535)^$E$3:$N$3)*$E$2</f>
        <v>10206.3480600327</v>
      </c>
      <c r="P552" s="15" t="n">
        <f aca="false">N552*$E$2*(1+$I$535)/($F$535-$I$535)/(1+$F$535)^$N$3</f>
        <v>12384.6097742625</v>
      </c>
      <c r="Q552" s="15" t="n">
        <f aca="false">O552+P552</f>
        <v>22590.9578342952</v>
      </c>
      <c r="R552" s="15" t="n">
        <f aca="false">Q552-$G$2+$I$2</f>
        <v>17291.0578342952</v>
      </c>
      <c r="S552" s="42" t="n">
        <f aca="false">R552/$K$2</f>
        <v>147.182991439353</v>
      </c>
      <c r="T552" s="43" t="n">
        <f aca="false">S552-$M$2</f>
        <v>0.00900437772563123</v>
      </c>
    </row>
    <row r="553" customFormat="false" ht="15" hidden="false" customHeight="false" outlineLevel="0" collapsed="false">
      <c r="A553" s="5" t="n">
        <v>17</v>
      </c>
      <c r="B553" s="25" t="n">
        <f aca="false">IF(T552&gt;0,B552,D552)</f>
        <v>0.0552215576171875</v>
      </c>
      <c r="C553" s="25" t="n">
        <f aca="false">IF(T552&gt;0,D552,C552)</f>
        <v>0.0552444458007813</v>
      </c>
      <c r="D553" s="41" t="n">
        <f aca="false">(B553+C553)/2</f>
        <v>0.0552330017089844</v>
      </c>
      <c r="E553" s="15" t="n">
        <f aca="false">$C$2*(1+IF(E$3&lt;=$O$2,$D553,$D553-($D553-$I$535)*MIN(E$3-$O$2,$Q$2)/$Q$2))</f>
        <v>6795.70053100586</v>
      </c>
      <c r="F553" s="15" t="n">
        <f aca="false">E553*(1+IF(F$3&lt;=$O$2,$D553,$D553-($D553-$I$535)*MIN(F$3-$O$2,$Q$2)/$Q$2))</f>
        <v>7171.04747004865</v>
      </c>
      <c r="G553" s="15" t="n">
        <f aca="false">F553*(1+IF(G$3&lt;=$O$2,$D553,$D553-($D553-$I$535)*MIN(G$3-$O$2,$Q$2)/$Q$2))</f>
        <v>7567.12594721706</v>
      </c>
      <c r="H553" s="15" t="n">
        <f aca="false">G553*(1+IF(H$3&lt;=$O$2,$D553,$D553-($D553-$I$535)*MIN(H$3-$O$2,$Q$2)/$Q$2))</f>
        <v>7985.0810275918</v>
      </c>
      <c r="I553" s="15" t="n">
        <f aca="false">H553*(1+IF(I$3&lt;=$O$2,$D553,$D553-($D553-$I$535)*MIN(I$3-$O$2,$Q$2)/$Q$2))</f>
        <v>8426.12102163515</v>
      </c>
      <c r="J553" s="15" t="n">
        <f aca="false">I553*(1+IF(J$3&lt;=$O$2,$D553,$D553-($D553-$I$535)*MIN(J$3-$O$2,$Q$2)/$Q$2))</f>
        <v>8854.55895306971</v>
      </c>
      <c r="K553" s="15" t="n">
        <f aca="false">J553*(1+IF(K$3&lt;=$O$2,$D553,$D553-($D553-$I$535)*MIN(K$3-$O$2,$Q$2)/$Q$2))</f>
        <v>9265.94000019692</v>
      </c>
      <c r="L553" s="15" t="n">
        <f aca="false">K553*(1+IF(L$3&lt;=$O$2,$D553,$D553-($D553-$I$535)*MIN(L$3-$O$2,$Q$2)/$Q$2))</f>
        <v>9655.78775334734</v>
      </c>
      <c r="M553" s="15" t="n">
        <f aca="false">L553*(1+IF(M$3&lt;=$O$2,$D553,$D553-($D553-$I$535)*MIN(M$3-$O$2,$Q$2)/$Q$2))</f>
        <v>10019.681567393</v>
      </c>
      <c r="N553" s="15" t="n">
        <f aca="false">M553*(1+IF(N$3&lt;=$O$2,$D553,$D553-($D553-$I$535)*MIN(N$3-$O$2,$Q$2)/$Q$2))</f>
        <v>10353.3369635871</v>
      </c>
      <c r="O553" s="15" t="n">
        <f aca="false">SUMPRODUCT(E553:N553,1/(1+$F$535)^$E$3:$N$3)*$E$2</f>
        <v>10205.8463349419</v>
      </c>
      <c r="P553" s="15" t="n">
        <f aca="false">N553*$E$2*(1+$I$535)/($F$535-$I$535)/(1+$F$535)^$N$3</f>
        <v>12383.6673727755</v>
      </c>
      <c r="Q553" s="15" t="n">
        <f aca="false">O553+P553</f>
        <v>22589.5137077174</v>
      </c>
      <c r="R553" s="15" t="n">
        <f aca="false">Q553-$G$2+$I$2</f>
        <v>17289.6137077174</v>
      </c>
      <c r="S553" s="42" t="n">
        <f aca="false">R553/$K$2</f>
        <v>147.170698908047</v>
      </c>
      <c r="T553" s="43" t="n">
        <f aca="false">S553-$M$2</f>
        <v>-0.00328815358054158</v>
      </c>
    </row>
    <row r="554" customFormat="false" ht="15" hidden="false" customHeight="false" outlineLevel="0" collapsed="false">
      <c r="A554" s="5" t="n">
        <v>18</v>
      </c>
      <c r="B554" s="25" t="n">
        <f aca="false">IF(T553&gt;0,B553,D553)</f>
        <v>0.0552330017089844</v>
      </c>
      <c r="C554" s="25" t="n">
        <f aca="false">IF(T553&gt;0,D553,C553)</f>
        <v>0.0552444458007813</v>
      </c>
      <c r="D554" s="41" t="n">
        <f aca="false">(B554+C554)/2</f>
        <v>0.0552387237548828</v>
      </c>
      <c r="E554" s="15" t="n">
        <f aca="false">$C$2*(1+IF(E$3&lt;=$O$2,$D554,$D554-($D554-$I$535)*MIN(E$3-$O$2,$Q$2)/$Q$2))</f>
        <v>6795.73738098145</v>
      </c>
      <c r="F554" s="15" t="n">
        <f aca="false">E554*(1+IF(F$3&lt;=$O$2,$D554,$D554-($D554-$I$535)*MIN(F$3-$O$2,$Q$2)/$Q$2))</f>
        <v>7171.12524088021</v>
      </c>
      <c r="G554" s="15" t="n">
        <f aca="false">F554*(1+IF(G$3&lt;=$O$2,$D554,$D554-($D554-$I$535)*MIN(G$3-$O$2,$Q$2)/$Q$2))</f>
        <v>7567.24904707286</v>
      </c>
      <c r="H554" s="15" t="n">
        <f aca="false">G554*(1+IF(H$3&lt;=$O$2,$D554,$D554-($D554-$I$535)*MIN(H$3-$O$2,$Q$2)/$Q$2))</f>
        <v>7985.25422676852</v>
      </c>
      <c r="I554" s="15" t="n">
        <f aca="false">H554*(1+IF(I$3&lt;=$O$2,$D554,$D554-($D554-$I$535)*MIN(I$3-$O$2,$Q$2)/$Q$2))</f>
        <v>8426.34947911349</v>
      </c>
      <c r="J554" s="15" t="n">
        <f aca="false">I554*(1+IF(J$3&lt;=$O$2,$D554,$D554-($D554-$I$535)*MIN(J$3-$O$2,$Q$2)/$Q$2))</f>
        <v>8854.83759955547</v>
      </c>
      <c r="K554" s="15" t="n">
        <f aca="false">J554*(1+IF(K$3&lt;=$O$2,$D554,$D554-($D554-$I$535)*MIN(K$3-$O$2,$Q$2)/$Q$2))</f>
        <v>9266.26199321527</v>
      </c>
      <c r="L554" s="15" t="n">
        <f aca="false">K554*(1+IF(L$3&lt;=$O$2,$D554,$D554-($D554-$I$535)*MIN(L$3-$O$2,$Q$2)/$Q$2))</f>
        <v>9656.14450243314</v>
      </c>
      <c r="M554" s="15" t="n">
        <f aca="false">L554*(1+IF(M$3&lt;=$O$2,$D554,$D554-($D554-$I$535)*MIN(M$3-$O$2,$Q$2)/$Q$2))</f>
        <v>10020.0628117194</v>
      </c>
      <c r="N554" s="15" t="n">
        <f aca="false">M554*(1+IF(N$3&lt;=$O$2,$D554,$D554-($D554-$I$535)*MIN(N$3-$O$2,$Q$2)/$Q$2))</f>
        <v>10353.7309033496</v>
      </c>
      <c r="O554" s="15" t="n">
        <f aca="false">SUMPRODUCT(E554:N554,1/(1+$F$535)^$E$3:$N$3)*$E$2</f>
        <v>10206.0971943709</v>
      </c>
      <c r="P554" s="15" t="n">
        <f aca="false">N554*$E$2*(1+$I$535)/($F$535-$I$535)/(1+$F$535)^$N$3</f>
        <v>12384.1385656866</v>
      </c>
      <c r="Q554" s="15" t="n">
        <f aca="false">O554+P554</f>
        <v>22590.2357600575</v>
      </c>
      <c r="R554" s="15" t="n">
        <f aca="false">Q554-$G$2+$I$2</f>
        <v>17290.3357600575</v>
      </c>
      <c r="S554" s="42" t="n">
        <f aca="false">R554/$K$2</f>
        <v>147.176845080503</v>
      </c>
      <c r="T554" s="43" t="n">
        <f aca="false">S554-$M$2</f>
        <v>0.00285801887551429</v>
      </c>
    </row>
    <row r="555" customFormat="false" ht="15" hidden="false" customHeight="false" outlineLevel="0" collapsed="false">
      <c r="A555" s="5" t="n">
        <v>19</v>
      </c>
      <c r="B555" s="25" t="n">
        <f aca="false">IF(T554&gt;0,B554,D554)</f>
        <v>0.0552330017089844</v>
      </c>
      <c r="C555" s="25" t="n">
        <f aca="false">IF(T554&gt;0,D554,C554)</f>
        <v>0.0552387237548828</v>
      </c>
      <c r="D555" s="41" t="n">
        <f aca="false">(B555+C555)/2</f>
        <v>0.0552358627319336</v>
      </c>
      <c r="E555" s="15" t="n">
        <f aca="false">$C$2*(1+IF(E$3&lt;=$O$2,$D555,$D555-($D555-$I$535)*MIN(E$3-$O$2,$Q$2)/$Q$2))</f>
        <v>6795.71895599365</v>
      </c>
      <c r="F555" s="15" t="n">
        <f aca="false">E555*(1+IF(F$3&lt;=$O$2,$D555,$D555-($D555-$I$535)*MIN(F$3-$O$2,$Q$2)/$Q$2))</f>
        <v>7171.08635541172</v>
      </c>
      <c r="G555" s="15" t="n">
        <f aca="false">F555*(1+IF(G$3&lt;=$O$2,$D555,$D555-($D555-$I$535)*MIN(G$3-$O$2,$Q$2)/$Q$2))</f>
        <v>7567.18749697808</v>
      </c>
      <c r="H555" s="15" t="n">
        <f aca="false">G555*(1+IF(H$3&lt;=$O$2,$D555,$D555-($D555-$I$535)*MIN(H$3-$O$2,$Q$2)/$Q$2))</f>
        <v>7985.16762682797</v>
      </c>
      <c r="I555" s="15" t="n">
        <f aca="false">H555*(1+IF(I$3&lt;=$O$2,$D555,$D555-($D555-$I$535)*MIN(I$3-$O$2,$Q$2)/$Q$2))</f>
        <v>8426.23524975492</v>
      </c>
      <c r="J555" s="15" t="n">
        <f aca="false">I555*(1+IF(J$3&lt;=$O$2,$D555,$D555-($D555-$I$535)*MIN(J$3-$O$2,$Q$2)/$Q$2))</f>
        <v>8854.69827540024</v>
      </c>
      <c r="K555" s="15" t="n">
        <f aca="false">J555*(1+IF(K$3&lt;=$O$2,$D555,$D555-($D555-$I$535)*MIN(K$3-$O$2,$Q$2)/$Q$2))</f>
        <v>9266.10099551218</v>
      </c>
      <c r="L555" s="15" t="n">
        <f aca="false">K555*(1+IF(L$3&lt;=$O$2,$D555,$D555-($D555-$I$535)*MIN(L$3-$O$2,$Q$2)/$Q$2))</f>
        <v>9655.96612646186</v>
      </c>
      <c r="M555" s="15" t="n">
        <f aca="false">L555*(1+IF(M$3&lt;=$O$2,$D555,$D555-($D555-$I$535)*MIN(M$3-$O$2,$Q$2)/$Q$2))</f>
        <v>10019.8721879719</v>
      </c>
      <c r="N555" s="15" t="n">
        <f aca="false">M555*(1+IF(N$3&lt;=$O$2,$D555,$D555-($D555-$I$535)*MIN(N$3-$O$2,$Q$2)/$Q$2))</f>
        <v>10353.5339318314</v>
      </c>
      <c r="O555" s="15" t="n">
        <f aca="false">SUMPRODUCT(E555:N555,1/(1+$F$535)^$E$3:$N$3)*$E$2</f>
        <v>10205.9717638773</v>
      </c>
      <c r="P555" s="15" t="n">
        <f aca="false">N555*$E$2*(1+$I$535)/($F$535-$I$535)/(1+$F$535)^$N$3</f>
        <v>12383.9029672729</v>
      </c>
      <c r="Q555" s="15" t="n">
        <f aca="false">O555+P555</f>
        <v>22589.8747311503</v>
      </c>
      <c r="R555" s="15" t="n">
        <f aca="false">Q555-$G$2+$I$2</f>
        <v>17289.9747311503</v>
      </c>
      <c r="S555" s="42" t="n">
        <f aca="false">R555/$K$2</f>
        <v>147.173771970976</v>
      </c>
      <c r="T555" s="43" t="n">
        <f aca="false">S555-$M$2</f>
        <v>-0.000215090651522587</v>
      </c>
    </row>
    <row r="556" customFormat="false" ht="15" hidden="false" customHeight="false" outlineLevel="0" collapsed="false">
      <c r="A556" s="5" t="n">
        <v>20</v>
      </c>
      <c r="B556" s="25" t="n">
        <f aca="false">IF(T555&gt;0,B555,D555)</f>
        <v>0.0552358627319336</v>
      </c>
      <c r="C556" s="25" t="n">
        <f aca="false">IF(T555&gt;0,D555,C555)</f>
        <v>0.0552387237548828</v>
      </c>
      <c r="D556" s="41" t="n">
        <f aca="false">(B556+C556)/2</f>
        <v>0.0552372932434082</v>
      </c>
      <c r="E556" s="15" t="n">
        <f aca="false">$C$2*(1+IF(E$3&lt;=$O$2,$D556,$D556-($D556-$I$535)*MIN(E$3-$O$2,$Q$2)/$Q$2))</f>
        <v>6795.72816848755</v>
      </c>
      <c r="F556" s="15" t="n">
        <f aca="false">E556*(1+IF(F$3&lt;=$O$2,$D556,$D556-($D556-$I$535)*MIN(F$3-$O$2,$Q$2)/$Q$2))</f>
        <v>7171.10579813279</v>
      </c>
      <c r="G556" s="15" t="n">
        <f aca="false">F556*(1+IF(G$3&lt;=$O$2,$D556,$D556-($D556-$I$535)*MIN(G$3-$O$2,$Q$2)/$Q$2))</f>
        <v>7567.21827198375</v>
      </c>
      <c r="H556" s="15" t="n">
        <f aca="false">G556*(1+IF(H$3&lt;=$O$2,$D556,$D556-($D556-$I$535)*MIN(H$3-$O$2,$Q$2)/$Q$2))</f>
        <v>7985.21092671019</v>
      </c>
      <c r="I556" s="15" t="n">
        <f aca="false">H556*(1+IF(I$3&lt;=$O$2,$D556,$D556-($D556-$I$535)*MIN(I$3-$O$2,$Q$2)/$Q$2))</f>
        <v>8426.29236427935</v>
      </c>
      <c r="J556" s="15" t="n">
        <f aca="false">I556*(1+IF(J$3&lt;=$O$2,$D556,$D556-($D556-$I$535)*MIN(J$3-$O$2,$Q$2)/$Q$2))</f>
        <v>8854.76793724976</v>
      </c>
      <c r="K556" s="15" t="n">
        <f aca="false">J556*(1+IF(K$3&lt;=$O$2,$D556,$D556-($D556-$I$535)*MIN(K$3-$O$2,$Q$2)/$Q$2))</f>
        <v>9266.18149406525</v>
      </c>
      <c r="L556" s="15" t="n">
        <f aca="false">K556*(1+IF(L$3&lt;=$O$2,$D556,$D556-($D556-$I$535)*MIN(L$3-$O$2,$Q$2)/$Q$2))</f>
        <v>9656.0553140904</v>
      </c>
      <c r="M556" s="15" t="n">
        <f aca="false">L556*(1+IF(M$3&lt;=$O$2,$D556,$D556-($D556-$I$535)*MIN(M$3-$O$2,$Q$2)/$Q$2))</f>
        <v>10019.9674994496</v>
      </c>
      <c r="N556" s="15" t="n">
        <f aca="false">M556*(1+IF(N$3&lt;=$O$2,$D556,$D556-($D556-$I$535)*MIN(N$3-$O$2,$Q$2)/$Q$2))</f>
        <v>10353.6324171812</v>
      </c>
      <c r="O556" s="15" t="n">
        <f aca="false">SUMPRODUCT(E556:N556,1/(1+$F$535)^$E$3:$N$3)*$E$2</f>
        <v>10206.0344789293</v>
      </c>
      <c r="P556" s="15" t="n">
        <f aca="false">N556*$E$2*(1+$I$535)/($F$535-$I$535)/(1+$F$535)^$N$3</f>
        <v>12384.0207659903</v>
      </c>
      <c r="Q556" s="15" t="n">
        <f aca="false">O556+P556</f>
        <v>22590.0552449196</v>
      </c>
      <c r="R556" s="15" t="n">
        <f aca="false">Q556-$G$2+$I$2</f>
        <v>17290.1552449196</v>
      </c>
      <c r="S556" s="42" t="n">
        <f aca="false">R556/$K$2</f>
        <v>147.175308519915</v>
      </c>
      <c r="T556" s="43" t="n">
        <f aca="false">S556-$M$2</f>
        <v>0.00132145828726493</v>
      </c>
    </row>
    <row r="557" customFormat="false" ht="15" hidden="false" customHeight="false" outlineLevel="0" collapsed="false">
      <c r="A557" s="5" t="n">
        <v>21</v>
      </c>
      <c r="B557" s="25" t="n">
        <f aca="false">IF(T556&gt;0,B556,D556)</f>
        <v>0.0552358627319336</v>
      </c>
      <c r="C557" s="25" t="n">
        <f aca="false">IF(T556&gt;0,D556,C556)</f>
        <v>0.0552372932434082</v>
      </c>
      <c r="D557" s="41" t="n">
        <f aca="false">(B557+C557)/2</f>
        <v>0.0552365779876709</v>
      </c>
      <c r="E557" s="15" t="n">
        <f aca="false">$C$2*(1+IF(E$3&lt;=$O$2,$D557,$D557-($D557-$I$535)*MIN(E$3-$O$2,$Q$2)/$Q$2))</f>
        <v>6795.7235622406</v>
      </c>
      <c r="F557" s="15" t="n">
        <f aca="false">E557*(1+IF(F$3&lt;=$O$2,$D557,$D557-($D557-$I$535)*MIN(F$3-$O$2,$Q$2)/$Q$2))</f>
        <v>7171.09607676896</v>
      </c>
      <c r="G557" s="15" t="n">
        <f aca="false">F557*(1+IF(G$3&lt;=$O$2,$D557,$D557-($D557-$I$535)*MIN(G$3-$O$2,$Q$2)/$Q$2))</f>
        <v>7567.20288447049</v>
      </c>
      <c r="H557" s="15" t="n">
        <f aca="false">G557*(1+IF(H$3&lt;=$O$2,$D557,$D557-($D557-$I$535)*MIN(H$3-$O$2,$Q$2)/$Q$2))</f>
        <v>7985.18927674707</v>
      </c>
      <c r="I557" s="15" t="n">
        <f aca="false">H557*(1+IF(I$3&lt;=$O$2,$D557,$D557-($D557-$I$535)*MIN(I$3-$O$2,$Q$2)/$Q$2))</f>
        <v>8426.26380697842</v>
      </c>
      <c r="J557" s="15" t="n">
        <f aca="false">I557*(1+IF(J$3&lt;=$O$2,$D557,$D557-($D557-$I$535)*MIN(J$3-$O$2,$Q$2)/$Q$2))</f>
        <v>8854.73310626798</v>
      </c>
      <c r="K557" s="15" t="n">
        <f aca="false">J557*(1+IF(K$3&lt;=$O$2,$D557,$D557-($D557-$I$535)*MIN(K$3-$O$2,$Q$2)/$Q$2))</f>
        <v>9266.1412447141</v>
      </c>
      <c r="L557" s="15" t="n">
        <f aca="false">K557*(1+IF(L$3&lt;=$O$2,$D557,$D557-($D557-$I$535)*MIN(L$3-$O$2,$Q$2)/$Q$2))</f>
        <v>9656.01072018685</v>
      </c>
      <c r="M557" s="15" t="n">
        <f aca="false">L557*(1+IF(M$3&lt;=$O$2,$D557,$D557-($D557-$I$535)*MIN(M$3-$O$2,$Q$2)/$Q$2))</f>
        <v>10019.9198436117</v>
      </c>
      <c r="N557" s="15" t="n">
        <f aca="false">M557*(1+IF(N$3&lt;=$O$2,$D557,$D557-($D557-$I$535)*MIN(N$3-$O$2,$Q$2)/$Q$2))</f>
        <v>10353.583174404</v>
      </c>
      <c r="O557" s="15" t="n">
        <f aca="false">SUMPRODUCT(E557:N557,1/(1+$F$535)^$E$3:$N$3)*$E$2</f>
        <v>10206.0031213546</v>
      </c>
      <c r="P557" s="15" t="n">
        <f aca="false">N557*$E$2*(1+$I$535)/($F$535-$I$535)/(1+$F$535)^$N$3</f>
        <v>12383.9618665092</v>
      </c>
      <c r="Q557" s="15" t="n">
        <f aca="false">O557+P557</f>
        <v>22589.9649878639</v>
      </c>
      <c r="R557" s="15" t="n">
        <f aca="false">Q557-$G$2+$I$2</f>
        <v>17290.0649878639</v>
      </c>
      <c r="S557" s="42" t="n">
        <f aca="false">R557/$K$2</f>
        <v>147.174540243989</v>
      </c>
      <c r="T557" s="43" t="n">
        <f aca="false">S557-$M$2</f>
        <v>0.000553182361670679</v>
      </c>
    </row>
    <row r="558" customFormat="false" ht="15" hidden="false" customHeight="false" outlineLevel="0" collapsed="false">
      <c r="A558" s="5" t="n">
        <v>22</v>
      </c>
      <c r="B558" s="25" t="n">
        <f aca="false">IF(T557&gt;0,B557,D557)</f>
        <v>0.0552358627319336</v>
      </c>
      <c r="C558" s="25" t="n">
        <f aca="false">IF(T557&gt;0,D557,C557)</f>
        <v>0.0552365779876709</v>
      </c>
      <c r="D558" s="41" t="n">
        <f aca="false">(B558+C558)/2</f>
        <v>0.0552362203598022</v>
      </c>
      <c r="E558" s="15" t="n">
        <f aca="false">$C$2*(1+IF(E$3&lt;=$O$2,$D558,$D558-($D558-$I$535)*MIN(E$3-$O$2,$Q$2)/$Q$2))</f>
        <v>6795.72125911713</v>
      </c>
      <c r="F558" s="15" t="n">
        <f aca="false">E558*(1+IF(F$3&lt;=$O$2,$D558,$D558-($D558-$I$535)*MIN(F$3-$O$2,$Q$2)/$Q$2))</f>
        <v>7171.09121608951</v>
      </c>
      <c r="G558" s="15" t="n">
        <f aca="false">F558*(1+IF(G$3&lt;=$O$2,$D558,$D558-($D558-$I$535)*MIN(G$3-$O$2,$Q$2)/$Q$2))</f>
        <v>7567.19519072168</v>
      </c>
      <c r="H558" s="15" t="n">
        <f aca="false">G558*(1+IF(H$3&lt;=$O$2,$D558,$D558-($D558-$I$535)*MIN(H$3-$O$2,$Q$2)/$Q$2))</f>
        <v>7985.17845178201</v>
      </c>
      <c r="I558" s="15" t="n">
        <f aca="false">H558*(1+IF(I$3&lt;=$O$2,$D558,$D558-($D558-$I$535)*MIN(I$3-$O$2,$Q$2)/$Q$2))</f>
        <v>8426.24952835699</v>
      </c>
      <c r="J558" s="15" t="n">
        <f aca="false">I558*(1+IF(J$3&lt;=$O$2,$D558,$D558-($D558-$I$535)*MIN(J$3-$O$2,$Q$2)/$Q$2))</f>
        <v>8854.71569081985</v>
      </c>
      <c r="K558" s="15" t="n">
        <f aca="false">J558*(1+IF(K$3&lt;=$O$2,$D558,$D558-($D558-$I$535)*MIN(K$3-$O$2,$Q$2)/$Q$2))</f>
        <v>9266.12112009449</v>
      </c>
      <c r="L558" s="15" t="n">
        <f aca="false">K558*(1+IF(L$3&lt;=$O$2,$D558,$D558-($D558-$I$535)*MIN(L$3-$O$2,$Q$2)/$Q$2))</f>
        <v>9655.98842330204</v>
      </c>
      <c r="M558" s="15" t="n">
        <f aca="false">L558*(1+IF(M$3&lt;=$O$2,$D558,$D558-($D558-$I$535)*MIN(M$3-$O$2,$Q$2)/$Q$2))</f>
        <v>10019.896015767</v>
      </c>
      <c r="N558" s="15" t="n">
        <f aca="false">M558*(1+IF(N$3&lt;=$O$2,$D558,$D558-($D558-$I$535)*MIN(N$3-$O$2,$Q$2)/$Q$2))</f>
        <v>10353.5585530921</v>
      </c>
      <c r="O558" s="15" t="n">
        <f aca="false">SUMPRODUCT(E558:N558,1/(1+$F$535)^$E$3:$N$3)*$E$2</f>
        <v>10205.9874426038</v>
      </c>
      <c r="P558" s="15" t="n">
        <f aca="false">N558*$E$2*(1+$I$535)/($F$535-$I$535)/(1+$F$535)^$N$3</f>
        <v>12383.9324168605</v>
      </c>
      <c r="Q558" s="15" t="n">
        <f aca="false">O558+P558</f>
        <v>22589.9198594643</v>
      </c>
      <c r="R558" s="15" t="n">
        <f aca="false">Q558-$G$2+$I$2</f>
        <v>17290.0198594643</v>
      </c>
      <c r="S558" s="42" t="n">
        <f aca="false">R558/$K$2</f>
        <v>147.174156107119</v>
      </c>
      <c r="T558" s="43" t="n">
        <f aca="false">S558-$M$2</f>
        <v>0.000169045491077213</v>
      </c>
    </row>
    <row r="559" customFormat="false" ht="15" hidden="false" customHeight="false" outlineLevel="0" collapsed="false">
      <c r="A559" s="5" t="n">
        <v>23</v>
      </c>
      <c r="B559" s="25" t="n">
        <f aca="false">IF(T558&gt;0,B558,D558)</f>
        <v>0.0552358627319336</v>
      </c>
      <c r="C559" s="25" t="n">
        <f aca="false">IF(T558&gt;0,D558,C558)</f>
        <v>0.0552362203598022</v>
      </c>
      <c r="D559" s="41" t="n">
        <f aca="false">(B559+C559)/2</f>
        <v>0.0552360415458679</v>
      </c>
      <c r="E559" s="15" t="n">
        <f aca="false">$C$2*(1+IF(E$3&lt;=$O$2,$D559,$D559-($D559-$I$535)*MIN(E$3-$O$2,$Q$2)/$Q$2))</f>
        <v>6795.72010755539</v>
      </c>
      <c r="F559" s="15" t="n">
        <f aca="false">E559*(1+IF(F$3&lt;=$O$2,$D559,$D559-($D559-$I$535)*MIN(F$3-$O$2,$Q$2)/$Q$2))</f>
        <v>7171.08878575041</v>
      </c>
      <c r="G559" s="15" t="n">
        <f aca="false">F559*(1+IF(G$3&lt;=$O$2,$D559,$D559-($D559-$I$535)*MIN(G$3-$O$2,$Q$2)/$Q$2))</f>
        <v>7567.19134384923</v>
      </c>
      <c r="H559" s="15" t="n">
        <f aca="false">G559*(1+IF(H$3&lt;=$O$2,$D559,$D559-($D559-$I$535)*MIN(H$3-$O$2,$Q$2)/$Q$2))</f>
        <v>7985.17303930361</v>
      </c>
      <c r="I559" s="15" t="n">
        <f aca="false">H559*(1+IF(I$3&lt;=$O$2,$D559,$D559-($D559-$I$535)*MIN(I$3-$O$2,$Q$2)/$Q$2))</f>
        <v>8426.24238905353</v>
      </c>
      <c r="J559" s="15" t="n">
        <f aca="false">I559*(1+IF(J$3&lt;=$O$2,$D559,$D559-($D559-$I$535)*MIN(J$3-$O$2,$Q$2)/$Q$2))</f>
        <v>8854.70698310648</v>
      </c>
      <c r="K559" s="15" t="n">
        <f aca="false">J559*(1+IF(K$3&lt;=$O$2,$D559,$D559-($D559-$I$535)*MIN(K$3-$O$2,$Q$2)/$Q$2))</f>
        <v>9266.11105779867</v>
      </c>
      <c r="L559" s="15" t="n">
        <f aca="false">K559*(1+IF(L$3&lt;=$O$2,$D559,$D559-($D559-$I$535)*MIN(L$3-$O$2,$Q$2)/$Q$2))</f>
        <v>9655.97727487636</v>
      </c>
      <c r="M559" s="15" t="n">
        <f aca="false">L559*(1+IF(M$3&lt;=$O$2,$D559,$D559-($D559-$I$535)*MIN(M$3-$O$2,$Q$2)/$Q$2))</f>
        <v>10019.8841018633</v>
      </c>
      <c r="N559" s="15" t="n">
        <f aca="false">M559*(1+IF(N$3&lt;=$O$2,$D559,$D559-($D559-$I$535)*MIN(N$3-$O$2,$Q$2)/$Q$2))</f>
        <v>10353.5462424553</v>
      </c>
      <c r="O559" s="15" t="n">
        <f aca="false">SUMPRODUCT(E559:N559,1/(1+$F$535)^$E$3:$N$3)*$E$2</f>
        <v>10205.9796032375</v>
      </c>
      <c r="P559" s="15" t="n">
        <f aca="false">N559*$E$2*(1+$I$535)/($F$535-$I$535)/(1+$F$535)^$N$3</f>
        <v>12383.9176920591</v>
      </c>
      <c r="Q559" s="15" t="n">
        <f aca="false">O559+P559</f>
        <v>22589.8972952966</v>
      </c>
      <c r="R559" s="15" t="n">
        <f aca="false">Q559-$G$2+$I$2</f>
        <v>17289.9972952966</v>
      </c>
      <c r="S559" s="42" t="n">
        <f aca="false">R559/$K$2</f>
        <v>147.173964038956</v>
      </c>
      <c r="T559" s="43" t="n">
        <f aca="false">S559-$M$2</f>
        <v>-2.30226713142656E-005</v>
      </c>
    </row>
    <row r="560" customFormat="false" ht="15" hidden="false" customHeight="false" outlineLevel="0" collapsed="false">
      <c r="A560" s="5" t="n">
        <v>24</v>
      </c>
      <c r="B560" s="25" t="n">
        <f aca="false">IF(T559&gt;0,B559,D559)</f>
        <v>0.0552360415458679</v>
      </c>
      <c r="C560" s="25" t="n">
        <f aca="false">IF(T559&gt;0,D559,C559)</f>
        <v>0.0552362203598022</v>
      </c>
      <c r="D560" s="41" t="n">
        <f aca="false">(B560+C560)/2</f>
        <v>0.0552361309528351</v>
      </c>
      <c r="E560" s="15" t="n">
        <f aca="false">$C$2*(1+IF(E$3&lt;=$O$2,$D560,$D560-($D560-$I$535)*MIN(E$3-$O$2,$Q$2)/$Q$2))</f>
        <v>6795.72068333626</v>
      </c>
      <c r="F560" s="15" t="n">
        <f aca="false">E560*(1+IF(F$3&lt;=$O$2,$D560,$D560-($D560-$I$535)*MIN(F$3-$O$2,$Q$2)/$Q$2))</f>
        <v>7171.09000091991</v>
      </c>
      <c r="G560" s="15" t="n">
        <f aca="false">F560*(1+IF(G$3&lt;=$O$2,$D560,$D560-($D560-$I$535)*MIN(G$3-$O$2,$Q$2)/$Q$2))</f>
        <v>7567.19326728529</v>
      </c>
      <c r="H560" s="15" t="n">
        <f aca="false">G560*(1+IF(H$3&lt;=$O$2,$D560,$D560-($D560-$I$535)*MIN(H$3-$O$2,$Q$2)/$Q$2))</f>
        <v>7985.17574554247</v>
      </c>
      <c r="I560" s="15" t="n">
        <f aca="false">H560*(1+IF(I$3&lt;=$O$2,$D560,$D560-($D560-$I$535)*MIN(I$3-$O$2,$Q$2)/$Q$2))</f>
        <v>8426.24595870466</v>
      </c>
      <c r="J560" s="15" t="n">
        <f aca="false">I560*(1+IF(J$3&lt;=$O$2,$D560,$D560-($D560-$I$535)*MIN(J$3-$O$2,$Q$2)/$Q$2))</f>
        <v>8854.71133696228</v>
      </c>
      <c r="K560" s="15" t="n">
        <f aca="false">J560*(1+IF(K$3&lt;=$O$2,$D560,$D560-($D560-$I$535)*MIN(K$3-$O$2,$Q$2)/$Q$2))</f>
        <v>9266.11608894542</v>
      </c>
      <c r="L560" s="15" t="n">
        <f aca="false">K560*(1+IF(L$3&lt;=$O$2,$D560,$D560-($D560-$I$535)*MIN(L$3-$O$2,$Q$2)/$Q$2))</f>
        <v>9655.98284908781</v>
      </c>
      <c r="M560" s="15" t="n">
        <f aca="false">L560*(1+IF(M$3&lt;=$O$2,$D560,$D560-($D560-$I$535)*MIN(M$3-$O$2,$Q$2)/$Q$2))</f>
        <v>10019.8900588136</v>
      </c>
      <c r="N560" s="15" t="n">
        <f aca="false">M560*(1+IF(N$3&lt;=$O$2,$D560,$D560-($D560-$I$535)*MIN(N$3-$O$2,$Q$2)/$Q$2))</f>
        <v>10353.5523977721</v>
      </c>
      <c r="O560" s="15" t="n">
        <f aca="false">SUMPRODUCT(E560:N560,1/(1+$F$535)^$E$3:$N$3)*$E$2</f>
        <v>10205.9835229199</v>
      </c>
      <c r="P560" s="15" t="n">
        <f aca="false">N560*$E$2*(1+$I$535)/($F$535-$I$535)/(1+$F$535)^$N$3</f>
        <v>12383.9250544579</v>
      </c>
      <c r="Q560" s="15" t="n">
        <f aca="false">O560+P560</f>
        <v>22589.9085773778</v>
      </c>
      <c r="R560" s="15" t="n">
        <f aca="false">Q560-$G$2+$I$2</f>
        <v>17290.0085773778</v>
      </c>
      <c r="S560" s="42" t="n">
        <f aca="false">R560/$K$2</f>
        <v>147.174060073015</v>
      </c>
      <c r="T560" s="43" t="n">
        <f aca="false">S560-$M$2</f>
        <v>7.30113871156846E-005</v>
      </c>
    </row>
    <row r="562" customFormat="false" ht="15" hidden="false" customHeight="false" outlineLevel="0" collapsed="false">
      <c r="A562" s="38" t="s">
        <v>200</v>
      </c>
      <c r="E562" s="5" t="s">
        <v>11</v>
      </c>
      <c r="F562" s="12" t="n">
        <f aca="false">Sensitivity!$B$13</f>
        <v>0.0999886567315273</v>
      </c>
      <c r="G562" s="5" t="s">
        <v>12</v>
      </c>
      <c r="I562" s="12" t="n">
        <f aca="false">Sensitivity!$G$9</f>
        <v>0.0383</v>
      </c>
    </row>
    <row r="563" customFormat="false" ht="23.85" hidden="false" customHeight="false" outlineLevel="0" collapsed="false">
      <c r="A563" s="38" t="s">
        <v>161</v>
      </c>
      <c r="B563" s="28" t="s">
        <v>162</v>
      </c>
      <c r="C563" s="28" t="s">
        <v>163</v>
      </c>
      <c r="D563" s="28" t="s">
        <v>164</v>
      </c>
      <c r="E563" s="28" t="s">
        <v>165</v>
      </c>
      <c r="F563" s="28" t="s">
        <v>166</v>
      </c>
      <c r="G563" s="28" t="s">
        <v>167</v>
      </c>
      <c r="H563" s="28" t="s">
        <v>168</v>
      </c>
      <c r="I563" s="28" t="s">
        <v>169</v>
      </c>
      <c r="J563" s="28" t="s">
        <v>170</v>
      </c>
      <c r="K563" s="28" t="s">
        <v>171</v>
      </c>
      <c r="L563" s="28" t="s">
        <v>172</v>
      </c>
      <c r="M563" s="28" t="s">
        <v>173</v>
      </c>
      <c r="N563" s="28" t="s">
        <v>174</v>
      </c>
      <c r="O563" s="28" t="s">
        <v>175</v>
      </c>
      <c r="P563" s="28" t="s">
        <v>176</v>
      </c>
      <c r="Q563" s="28" t="s">
        <v>177</v>
      </c>
      <c r="R563" s="28" t="s">
        <v>178</v>
      </c>
      <c r="S563" s="28" t="s">
        <v>179</v>
      </c>
      <c r="T563" s="28" t="s">
        <v>180</v>
      </c>
    </row>
    <row r="564" customFormat="false" ht="15" hidden="false" customHeight="false" outlineLevel="0" collapsed="false">
      <c r="A564" s="5" t="n">
        <v>1</v>
      </c>
      <c r="B564" s="24" t="n">
        <v>-0.5</v>
      </c>
      <c r="C564" s="24" t="n">
        <v>1</v>
      </c>
      <c r="D564" s="41" t="n">
        <f aca="false">(B564+C564)/2</f>
        <v>0.25</v>
      </c>
      <c r="E564" s="15" t="n">
        <f aca="false">$C$2*(1+IF(E$3&lt;=$O$2,$D564,$D564-($D564-$I$562)*MIN(E$3-$O$2,$Q$2)/$Q$2))</f>
        <v>8050</v>
      </c>
      <c r="F564" s="15" t="n">
        <f aca="false">E564*(1+IF(F$3&lt;=$O$2,$D564,$D564-($D564-$I$562)*MIN(F$3-$O$2,$Q$2)/$Q$2))</f>
        <v>10062.5</v>
      </c>
      <c r="G564" s="15" t="n">
        <f aca="false">F564*(1+IF(G$3&lt;=$O$2,$D564,$D564-($D564-$I$562)*MIN(G$3-$O$2,$Q$2)/$Q$2))</f>
        <v>12578.125</v>
      </c>
      <c r="H564" s="15" t="n">
        <f aca="false">G564*(1+IF(H$3&lt;=$O$2,$D564,$D564-($D564-$I$562)*MIN(H$3-$O$2,$Q$2)/$Q$2))</f>
        <v>15722.65625</v>
      </c>
      <c r="I564" s="15" t="n">
        <f aca="false">H564*(1+IF(I$3&lt;=$O$2,$D564,$D564-($D564-$I$562)*MIN(I$3-$O$2,$Q$2)/$Q$2))</f>
        <v>19653.3203125</v>
      </c>
      <c r="J564" s="15" t="n">
        <f aca="false">I564*(1+IF(J$3&lt;=$O$2,$D564,$D564-($D564-$I$562)*MIN(J$3-$O$2,$Q$2)/$Q$2))</f>
        <v>23734.5288085938</v>
      </c>
      <c r="K564" s="15" t="n">
        <f aca="false">J564*(1+IF(K$3&lt;=$O$2,$D564,$D564-($D564-$I$562)*MIN(K$3-$O$2,$Q$2)/$Q$2))</f>
        <v>27658.3211112305</v>
      </c>
      <c r="L564" s="15" t="n">
        <f aca="false">K564*(1+IF(L$3&lt;=$O$2,$D564,$D564-($D564-$I$562)*MIN(L$3-$O$2,$Q$2)/$Q$2))</f>
        <v>31059.7414414896</v>
      </c>
      <c r="M564" s="15" t="n">
        <f aca="false">L564*(1+IF(M$3&lt;=$O$2,$D564,$D564-($D564-$I$562)*MIN(M$3-$O$2,$Q$2)/$Q$2))</f>
        <v>33564.3989913313</v>
      </c>
      <c r="N564" s="15" t="n">
        <f aca="false">M564*(1+IF(N$3&lt;=$O$2,$D564,$D564-($D564-$I$562)*MIN(N$3-$O$2,$Q$2)/$Q$2))</f>
        <v>34849.9154726993</v>
      </c>
      <c r="O564" s="15" t="n">
        <f aca="false">SUMPRODUCT(E564:N564,1/(1+$F$562)^$E$3:$N$3)*$E$2</f>
        <v>23581.1724036816</v>
      </c>
      <c r="P564" s="15" t="n">
        <f aca="false">N564*$E$2*(1+$I$562)/($F$562-$I$562)/(1+$F$562)^$N$3</f>
        <v>45280.76330381</v>
      </c>
      <c r="Q564" s="15" t="n">
        <f aca="false">O564+P564</f>
        <v>68861.9357074916</v>
      </c>
      <c r="R564" s="15" t="n">
        <f aca="false">Q564-$G$2+$I$2</f>
        <v>63562.0357074916</v>
      </c>
      <c r="S564" s="42" t="n">
        <f aca="false">R564/$K$2</f>
        <v>541.045588248992</v>
      </c>
      <c r="T564" s="43" t="n">
        <f aca="false">S564-$M$2</f>
        <v>393.871601187365</v>
      </c>
    </row>
    <row r="565" customFormat="false" ht="15" hidden="false" customHeight="false" outlineLevel="0" collapsed="false">
      <c r="A565" s="5" t="n">
        <v>2</v>
      </c>
      <c r="B565" s="25" t="n">
        <f aca="false">IF(T564&gt;0,B564,D564)</f>
        <v>-0.5</v>
      </c>
      <c r="C565" s="25" t="n">
        <f aca="false">IF(T564&gt;0,D564,C564)</f>
        <v>0.25</v>
      </c>
      <c r="D565" s="41" t="n">
        <f aca="false">(B565+C565)/2</f>
        <v>-0.125</v>
      </c>
      <c r="E565" s="15" t="n">
        <f aca="false">$C$2*(1+IF(E$3&lt;=$O$2,$D565,$D565-($D565-$I$562)*MIN(E$3-$O$2,$Q$2)/$Q$2))</f>
        <v>5635</v>
      </c>
      <c r="F565" s="15" t="n">
        <f aca="false">E565*(1+IF(F$3&lt;=$O$2,$D565,$D565-($D565-$I$562)*MIN(F$3-$O$2,$Q$2)/$Q$2))</f>
        <v>4930.625</v>
      </c>
      <c r="G565" s="15" t="n">
        <f aca="false">F565*(1+IF(G$3&lt;=$O$2,$D565,$D565-($D565-$I$562)*MIN(G$3-$O$2,$Q$2)/$Q$2))</f>
        <v>4314.296875</v>
      </c>
      <c r="H565" s="15" t="n">
        <f aca="false">G565*(1+IF(H$3&lt;=$O$2,$D565,$D565-($D565-$I$562)*MIN(H$3-$O$2,$Q$2)/$Q$2))</f>
        <v>3775.009765625</v>
      </c>
      <c r="I565" s="15" t="n">
        <f aca="false">H565*(1+IF(I$3&lt;=$O$2,$D565,$D565-($D565-$I$562)*MIN(I$3-$O$2,$Q$2)/$Q$2))</f>
        <v>3303.13354492188</v>
      </c>
      <c r="J565" s="15" t="n">
        <f aca="false">I565*(1+IF(J$3&lt;=$O$2,$D565,$D565-($D565-$I$562)*MIN(J$3-$O$2,$Q$2)/$Q$2))</f>
        <v>2998.12219338379</v>
      </c>
      <c r="K565" s="15" t="n">
        <f aca="false">J565*(1+IF(K$3&lt;=$O$2,$D565,$D565-($D565-$I$562)*MIN(K$3-$O$2,$Q$2)/$Q$2))</f>
        <v>2819.19426088265</v>
      </c>
      <c r="L565" s="15" t="n">
        <f aca="false">K565*(1+IF(L$3&lt;=$O$2,$D565,$D565-($D565-$I$562)*MIN(L$3-$O$2,$Q$2)/$Q$2))</f>
        <v>2743.0196319536</v>
      </c>
      <c r="M565" s="15" t="n">
        <f aca="false">L565*(1+IF(M$3&lt;=$O$2,$D565,$D565-($D565-$I$562)*MIN(M$3-$O$2,$Q$2)/$Q$2))</f>
        <v>2758.49026267781</v>
      </c>
      <c r="N565" s="15" t="n">
        <f aca="false">M565*(1+IF(N$3&lt;=$O$2,$D565,$D565-($D565-$I$562)*MIN(N$3-$O$2,$Q$2)/$Q$2))</f>
        <v>2864.14043973838</v>
      </c>
      <c r="O565" s="15" t="n">
        <f aca="false">SUMPRODUCT(E565:N565,1/(1+$F$562)^$E$3:$N$3)*$E$2</f>
        <v>4757.32624510338</v>
      </c>
      <c r="P565" s="15" t="n">
        <f aca="false">N565*$E$2*(1+$I$562)/($F$562-$I$562)/(1+$F$562)^$N$3</f>
        <v>3721.39970962801</v>
      </c>
      <c r="Q565" s="15" t="n">
        <f aca="false">O565+P565</f>
        <v>8478.72595473138</v>
      </c>
      <c r="R565" s="15" t="n">
        <f aca="false">Q565-$G$2+$I$2</f>
        <v>3178.82595473138</v>
      </c>
      <c r="S565" s="42" t="n">
        <f aca="false">R565/$K$2</f>
        <v>27.0584436051361</v>
      </c>
      <c r="T565" s="43" t="n">
        <f aca="false">S565-$M$2</f>
        <v>-120.115543456491</v>
      </c>
    </row>
    <row r="566" customFormat="false" ht="15" hidden="false" customHeight="false" outlineLevel="0" collapsed="false">
      <c r="A566" s="5" t="n">
        <v>3</v>
      </c>
      <c r="B566" s="25" t="n">
        <f aca="false">IF(T565&gt;0,B565,D565)</f>
        <v>-0.125</v>
      </c>
      <c r="C566" s="25" t="n">
        <f aca="false">IF(T565&gt;0,D565,C565)</f>
        <v>0.25</v>
      </c>
      <c r="D566" s="41" t="n">
        <f aca="false">(B566+C566)/2</f>
        <v>0.0625</v>
      </c>
      <c r="E566" s="15" t="n">
        <f aca="false">$C$2*(1+IF(E$3&lt;=$O$2,$D566,$D566-($D566-$I$562)*MIN(E$3-$O$2,$Q$2)/$Q$2))</f>
        <v>6842.5</v>
      </c>
      <c r="F566" s="15" t="n">
        <f aca="false">E566*(1+IF(F$3&lt;=$O$2,$D566,$D566-($D566-$I$562)*MIN(F$3-$O$2,$Q$2)/$Q$2))</f>
        <v>7270.15625</v>
      </c>
      <c r="G566" s="15" t="n">
        <f aca="false">F566*(1+IF(G$3&lt;=$O$2,$D566,$D566-($D566-$I$562)*MIN(G$3-$O$2,$Q$2)/$Q$2))</f>
        <v>7724.541015625</v>
      </c>
      <c r="H566" s="15" t="n">
        <f aca="false">G566*(1+IF(H$3&lt;=$O$2,$D566,$D566-($D566-$I$562)*MIN(H$3-$O$2,$Q$2)/$Q$2))</f>
        <v>8207.32482910156</v>
      </c>
      <c r="I566" s="15" t="n">
        <f aca="false">H566*(1+IF(I$3&lt;=$O$2,$D566,$D566-($D566-$I$562)*MIN(I$3-$O$2,$Q$2)/$Q$2))</f>
        <v>8720.28263092041</v>
      </c>
      <c r="J566" s="15" t="n">
        <f aca="false">I566*(1+IF(J$3&lt;=$O$2,$D566,$D566-($D566-$I$562)*MIN(J$3-$O$2,$Q$2)/$Q$2))</f>
        <v>9223.09412741928</v>
      </c>
      <c r="K566" s="15" t="n">
        <f aca="false">J566*(1+IF(K$3&lt;=$O$2,$D566,$D566-($D566-$I$562)*MIN(K$3-$O$2,$Q$2)/$Q$2))</f>
        <v>9710.25795922957</v>
      </c>
      <c r="L566" s="15" t="n">
        <f aca="false">K566*(1+IF(L$3&lt;=$O$2,$D566,$D566-($D566-$I$562)*MIN(L$3-$O$2,$Q$2)/$Q$2))</f>
        <v>10176.1561361134</v>
      </c>
      <c r="M566" s="15" t="n">
        <f aca="false">L566*(1+IF(M$3&lt;=$O$2,$D566,$D566-($D566-$I$562)*MIN(M$3-$O$2,$Q$2)/$Q$2))</f>
        <v>10615.1555118253</v>
      </c>
      <c r="N566" s="15" t="n">
        <f aca="false">M566*(1+IF(N$3&lt;=$O$2,$D566,$D566-($D566-$I$562)*MIN(N$3-$O$2,$Q$2)/$Q$2))</f>
        <v>11021.7159679282</v>
      </c>
      <c r="O566" s="15" t="n">
        <f aca="false">SUMPRODUCT(E566:N566,1/(1+$F$562)^$E$3:$N$3)*$E$2</f>
        <v>10559.4710571147</v>
      </c>
      <c r="P566" s="15" t="n">
        <f aca="false">N566*$E$2*(1+$I$562)/($F$562-$I$562)/(1+$F$562)^$N$3</f>
        <v>14320.6003565932</v>
      </c>
      <c r="Q566" s="15" t="n">
        <f aca="false">O566+P566</f>
        <v>24880.0714137079</v>
      </c>
      <c r="R566" s="15" t="n">
        <f aca="false">Q566-$G$2+$I$2</f>
        <v>19580.1714137079</v>
      </c>
      <c r="S566" s="42" t="n">
        <f aca="false">R566/$K$2</f>
        <v>166.66812575509</v>
      </c>
      <c r="T566" s="43" t="n">
        <f aca="false">S566-$M$2</f>
        <v>19.4941386934622</v>
      </c>
    </row>
    <row r="567" customFormat="false" ht="15" hidden="false" customHeight="false" outlineLevel="0" collapsed="false">
      <c r="A567" s="5" t="n">
        <v>4</v>
      </c>
      <c r="B567" s="25" t="n">
        <f aca="false">IF(T566&gt;0,B566,D566)</f>
        <v>-0.125</v>
      </c>
      <c r="C567" s="25" t="n">
        <f aca="false">IF(T566&gt;0,D566,C566)</f>
        <v>0.0625</v>
      </c>
      <c r="D567" s="41" t="n">
        <f aca="false">(B567+C567)/2</f>
        <v>-0.03125</v>
      </c>
      <c r="E567" s="15" t="n">
        <f aca="false">$C$2*(1+IF(E$3&lt;=$O$2,$D567,$D567-($D567-$I$562)*MIN(E$3-$O$2,$Q$2)/$Q$2))</f>
        <v>6238.75</v>
      </c>
      <c r="F567" s="15" t="n">
        <f aca="false">E567*(1+IF(F$3&lt;=$O$2,$D567,$D567-($D567-$I$562)*MIN(F$3-$O$2,$Q$2)/$Q$2))</f>
        <v>6043.7890625</v>
      </c>
      <c r="G567" s="15" t="n">
        <f aca="false">F567*(1+IF(G$3&lt;=$O$2,$D567,$D567-($D567-$I$562)*MIN(G$3-$O$2,$Q$2)/$Q$2))</f>
        <v>5854.92065429688</v>
      </c>
      <c r="H567" s="15" t="n">
        <f aca="false">G567*(1+IF(H$3&lt;=$O$2,$D567,$D567-($D567-$I$562)*MIN(H$3-$O$2,$Q$2)/$Q$2))</f>
        <v>5671.9543838501</v>
      </c>
      <c r="I567" s="15" t="n">
        <f aca="false">H567*(1+IF(I$3&lt;=$O$2,$D567,$D567-($D567-$I$562)*MIN(I$3-$O$2,$Q$2)/$Q$2))</f>
        <v>5494.70580935478</v>
      </c>
      <c r="J567" s="15" t="n">
        <f aca="false">I567*(1+IF(J$3&lt;=$O$2,$D567,$D567-($D567-$I$562)*MIN(J$3-$O$2,$Q$2)/$Q$2))</f>
        <v>5399.42761062057</v>
      </c>
      <c r="K567" s="15" t="n">
        <f aca="false">J567*(1+IF(K$3&lt;=$O$2,$D567,$D567-($D567-$I$562)*MIN(K$3-$O$2,$Q$2)/$Q$2))</f>
        <v>5380.90757391614</v>
      </c>
      <c r="L567" s="15" t="n">
        <f aca="false">K567*(1+IF(L$3&lt;=$O$2,$D567,$D567-($D567-$I$562)*MIN(L$3-$O$2,$Q$2)/$Q$2))</f>
        <v>5437.29948529078</v>
      </c>
      <c r="M567" s="15" t="n">
        <f aca="false">L567*(1+IF(M$3&lt;=$O$2,$D567,$D567-($D567-$I$562)*MIN(M$3-$O$2,$Q$2)/$Q$2))</f>
        <v>5569.91521973702</v>
      </c>
      <c r="N567" s="15" t="n">
        <f aca="false">M567*(1+IF(N$3&lt;=$O$2,$D567,$D567-($D567-$I$562)*MIN(N$3-$O$2,$Q$2)/$Q$2))</f>
        <v>5783.24297265295</v>
      </c>
      <c r="O567" s="15" t="n">
        <f aca="false">SUMPRODUCT(E567:N567,1/(1+$F$562)^$E$3:$N$3)*$E$2</f>
        <v>7065.32851189632</v>
      </c>
      <c r="P567" s="15" t="n">
        <f aca="false">N567*$E$2*(1+$I$562)/($F$562-$I$562)/(1+$F$562)^$N$3</f>
        <v>7514.21208979012</v>
      </c>
      <c r="Q567" s="15" t="n">
        <f aca="false">O567+P567</f>
        <v>14579.5406016864</v>
      </c>
      <c r="R567" s="15" t="n">
        <f aca="false">Q567-$G$2+$I$2</f>
        <v>9279.64060168644</v>
      </c>
      <c r="S567" s="42" t="n">
        <f aca="false">R567/$K$2</f>
        <v>78.9891096500378</v>
      </c>
      <c r="T567" s="43" t="n">
        <f aca="false">S567-$M$2</f>
        <v>-68.1848774115897</v>
      </c>
    </row>
    <row r="568" customFormat="false" ht="15" hidden="false" customHeight="false" outlineLevel="0" collapsed="false">
      <c r="A568" s="5" t="n">
        <v>5</v>
      </c>
      <c r="B568" s="25" t="n">
        <f aca="false">IF(T567&gt;0,B567,D567)</f>
        <v>-0.03125</v>
      </c>
      <c r="C568" s="25" t="n">
        <f aca="false">IF(T567&gt;0,D567,C567)</f>
        <v>0.0625</v>
      </c>
      <c r="D568" s="41" t="n">
        <f aca="false">(B568+C568)/2</f>
        <v>0.015625</v>
      </c>
      <c r="E568" s="15" t="n">
        <f aca="false">$C$2*(1+IF(E$3&lt;=$O$2,$D568,$D568-($D568-$I$562)*MIN(E$3-$O$2,$Q$2)/$Q$2))</f>
        <v>6540.625</v>
      </c>
      <c r="F568" s="15" t="n">
        <f aca="false">E568*(1+IF(F$3&lt;=$O$2,$D568,$D568-($D568-$I$562)*MIN(F$3-$O$2,$Q$2)/$Q$2))</f>
        <v>6642.822265625</v>
      </c>
      <c r="G568" s="15" t="n">
        <f aca="false">F568*(1+IF(G$3&lt;=$O$2,$D568,$D568-($D568-$I$562)*MIN(G$3-$O$2,$Q$2)/$Q$2))</f>
        <v>6746.61636352539</v>
      </c>
      <c r="H568" s="15" t="n">
        <f aca="false">G568*(1+IF(H$3&lt;=$O$2,$D568,$D568-($D568-$I$562)*MIN(H$3-$O$2,$Q$2)/$Q$2))</f>
        <v>6852.03224420548</v>
      </c>
      <c r="I568" s="15" t="n">
        <f aca="false">H568*(1+IF(I$3&lt;=$O$2,$D568,$D568-($D568-$I$562)*MIN(I$3-$O$2,$Q$2)/$Q$2))</f>
        <v>6959.09524802119</v>
      </c>
      <c r="J568" s="15" t="n">
        <f aca="false">I568*(1+IF(J$3&lt;=$O$2,$D568,$D568-($D568-$I$562)*MIN(J$3-$O$2,$Q$2)/$Q$2))</f>
        <v>7099.39060822129</v>
      </c>
      <c r="K568" s="15" t="n">
        <f aca="false">J568*(1+IF(K$3&lt;=$O$2,$D568,$D568-($D568-$I$562)*MIN(K$3-$O$2,$Q$2)/$Q$2))</f>
        <v>7274.71005929132</v>
      </c>
      <c r="L568" s="15" t="n">
        <f aca="false">K568*(1+IF(L$3&lt;=$O$2,$D568,$D568-($D568-$I$562)*MIN(L$3-$O$2,$Q$2)/$Q$2))</f>
        <v>7487.3498343244</v>
      </c>
      <c r="M568" s="15" t="n">
        <f aca="false">L568*(1+IF(M$3&lt;=$O$2,$D568,$D568-($D568-$I$562)*MIN(M$3-$O$2,$Q$2)/$Q$2))</f>
        <v>7740.16020148037</v>
      </c>
      <c r="N568" s="15" t="n">
        <f aca="false">M568*(1+IF(N$3&lt;=$O$2,$D568,$D568-($D568-$I$562)*MIN(N$3-$O$2,$Q$2)/$Q$2))</f>
        <v>8036.60833719706</v>
      </c>
      <c r="O568" s="15" t="n">
        <f aca="false">SUMPRODUCT(E568:N568,1/(1+$F$562)^$E$3:$N$3)*$E$2</f>
        <v>8633.37113103122</v>
      </c>
      <c r="P568" s="15" t="n">
        <f aca="false">N568*$E$2*(1+$I$562)/($F$562-$I$562)/(1+$F$562)^$N$3</f>
        <v>10442.0270450045</v>
      </c>
      <c r="Q568" s="15" t="n">
        <f aca="false">O568+P568</f>
        <v>19075.3981760357</v>
      </c>
      <c r="R568" s="15" t="n">
        <f aca="false">Q568-$G$2+$I$2</f>
        <v>13775.4981760357</v>
      </c>
      <c r="S568" s="42" t="n">
        <f aca="false">R568/$K$2</f>
        <v>117.258241198806</v>
      </c>
      <c r="T568" s="43" t="n">
        <f aca="false">S568-$M$2</f>
        <v>-29.9157458628217</v>
      </c>
    </row>
    <row r="569" customFormat="false" ht="15" hidden="false" customHeight="false" outlineLevel="0" collapsed="false">
      <c r="A569" s="5" t="n">
        <v>6</v>
      </c>
      <c r="B569" s="25" t="n">
        <f aca="false">IF(T568&gt;0,B568,D568)</f>
        <v>0.015625</v>
      </c>
      <c r="C569" s="25" t="n">
        <f aca="false">IF(T568&gt;0,D568,C568)</f>
        <v>0.0625</v>
      </c>
      <c r="D569" s="41" t="n">
        <f aca="false">(B569+C569)/2</f>
        <v>0.0390625</v>
      </c>
      <c r="E569" s="15" t="n">
        <f aca="false">$C$2*(1+IF(E$3&lt;=$O$2,$D569,$D569-($D569-$I$562)*MIN(E$3-$O$2,$Q$2)/$Q$2))</f>
        <v>6691.5625</v>
      </c>
      <c r="F569" s="15" t="n">
        <f aca="false">E569*(1+IF(F$3&lt;=$O$2,$D569,$D569-($D569-$I$562)*MIN(F$3-$O$2,$Q$2)/$Q$2))</f>
        <v>6952.95166015625</v>
      </c>
      <c r="G569" s="15" t="n">
        <f aca="false">F569*(1+IF(G$3&lt;=$O$2,$D569,$D569-($D569-$I$562)*MIN(G$3-$O$2,$Q$2)/$Q$2))</f>
        <v>7224.5513343811</v>
      </c>
      <c r="H569" s="15" t="n">
        <f aca="false">G569*(1+IF(H$3&lt;=$O$2,$D569,$D569-($D569-$I$562)*MIN(H$3-$O$2,$Q$2)/$Q$2))</f>
        <v>7506.76037088037</v>
      </c>
      <c r="I569" s="15" t="n">
        <f aca="false">H569*(1+IF(I$3&lt;=$O$2,$D569,$D569-($D569-$I$562)*MIN(I$3-$O$2,$Q$2)/$Q$2))</f>
        <v>7799.99319786788</v>
      </c>
      <c r="J569" s="15" t="n">
        <f aca="false">I569*(1+IF(J$3&lt;=$O$2,$D569,$D569-($D569-$I$562)*MIN(J$3-$O$2,$Q$2)/$Q$2))</f>
        <v>8103.49093319692</v>
      </c>
      <c r="K569" s="15" t="n">
        <f aca="false">J569*(1+IF(K$3&lt;=$O$2,$D569,$D569-($D569-$I$562)*MIN(K$3-$O$2,$Q$2)/$Q$2))</f>
        <v>8417.5619830403</v>
      </c>
      <c r="L569" s="15" t="n">
        <f aca="false">K569*(1+IF(L$3&lt;=$O$2,$D569,$D569-($D569-$I$562)*MIN(L$3-$O$2,$Q$2)/$Q$2))</f>
        <v>8742.52196339557</v>
      </c>
      <c r="M569" s="15" t="n">
        <f aca="false">L569*(1+IF(M$3&lt;=$O$2,$D569,$D569-($D569-$I$562)*MIN(M$3-$O$2,$Q$2)/$Q$2))</f>
        <v>9078.69378919304</v>
      </c>
      <c r="N569" s="15" t="n">
        <f aca="false">M569*(1+IF(N$3&lt;=$O$2,$D569,$D569-($D569-$I$562)*MIN(N$3-$O$2,$Q$2)/$Q$2))</f>
        <v>9426.40776131913</v>
      </c>
      <c r="O569" s="15" t="n">
        <f aca="false">SUMPRODUCT(E569:N569,1/(1+$F$562)^$E$3:$N$3)*$E$2</f>
        <v>9547.21290728685</v>
      </c>
      <c r="P569" s="15" t="n">
        <f aca="false">N569*$E$2*(1+$I$562)/($F$562-$I$562)/(1+$F$562)^$N$3</f>
        <v>12247.804129679</v>
      </c>
      <c r="Q569" s="15" t="n">
        <f aca="false">O569+P569</f>
        <v>21795.0170369658</v>
      </c>
      <c r="R569" s="15" t="n">
        <f aca="false">Q569-$G$2+$I$2</f>
        <v>16495.1170369658</v>
      </c>
      <c r="S569" s="42" t="n">
        <f aca="false">R569/$K$2</f>
        <v>140.407873995283</v>
      </c>
      <c r="T569" s="43" t="n">
        <f aca="false">S569-$M$2</f>
        <v>-6.76611306634487</v>
      </c>
    </row>
    <row r="570" customFormat="false" ht="15" hidden="false" customHeight="false" outlineLevel="0" collapsed="false">
      <c r="A570" s="5" t="n">
        <v>7</v>
      </c>
      <c r="B570" s="25" t="n">
        <f aca="false">IF(T569&gt;0,B569,D569)</f>
        <v>0.0390625</v>
      </c>
      <c r="C570" s="25" t="n">
        <f aca="false">IF(T569&gt;0,D569,C569)</f>
        <v>0.0625</v>
      </c>
      <c r="D570" s="41" t="n">
        <f aca="false">(B570+C570)/2</f>
        <v>0.05078125</v>
      </c>
      <c r="E570" s="15" t="n">
        <f aca="false">$C$2*(1+IF(E$3&lt;=$O$2,$D570,$D570-($D570-$I$562)*MIN(E$3-$O$2,$Q$2)/$Q$2))</f>
        <v>6767.03125</v>
      </c>
      <c r="F570" s="15" t="n">
        <f aca="false">E570*(1+IF(F$3&lt;=$O$2,$D570,$D570-($D570-$I$562)*MIN(F$3-$O$2,$Q$2)/$Q$2))</f>
        <v>7110.66955566406</v>
      </c>
      <c r="G570" s="15" t="n">
        <f aca="false">F570*(1+IF(G$3&lt;=$O$2,$D570,$D570-($D570-$I$562)*MIN(G$3-$O$2,$Q$2)/$Q$2))</f>
        <v>7471.75824403763</v>
      </c>
      <c r="H570" s="15" t="n">
        <f aca="false">G570*(1+IF(H$3&lt;=$O$2,$D570,$D570-($D570-$I$562)*MIN(H$3-$O$2,$Q$2)/$Q$2))</f>
        <v>7851.18346736766</v>
      </c>
      <c r="I570" s="15" t="n">
        <f aca="false">H570*(1+IF(I$3&lt;=$O$2,$D570,$D570-($D570-$I$562)*MIN(I$3-$O$2,$Q$2)/$Q$2))</f>
        <v>8249.87637781993</v>
      </c>
      <c r="J570" s="15" t="n">
        <f aca="false">I570*(1+IF(J$3&lt;=$O$2,$D570,$D570-($D570-$I$562)*MIN(J$3-$O$2,$Q$2)/$Q$2))</f>
        <v>8648.22165872296</v>
      </c>
      <c r="K570" s="15" t="n">
        <f aca="false">J570*(1+IF(K$3&lt;=$O$2,$D570,$D570-($D570-$I$562)*MIN(K$3-$O$2,$Q$2)/$Q$2))</f>
        <v>9044.21291819882</v>
      </c>
      <c r="L570" s="15" t="n">
        <f aca="false">K570*(1+IF(L$3&lt;=$O$2,$D570,$D570-($D570-$I$562)*MIN(L$3-$O$2,$Q$2)/$Q$2))</f>
        <v>9435.75950595994</v>
      </c>
      <c r="M570" s="15" t="n">
        <f aca="false">L570*(1+IF(M$3&lt;=$O$2,$D570,$D570-($D570-$I$562)*MIN(M$3-$O$2,$Q$2)/$Q$2))</f>
        <v>9820.70310970496</v>
      </c>
      <c r="N570" s="15" t="n">
        <f aca="false">M570*(1+IF(N$3&lt;=$O$2,$D570,$D570-($D570-$I$562)*MIN(N$3-$O$2,$Q$2)/$Q$2))</f>
        <v>10196.8360388067</v>
      </c>
      <c r="O570" s="15" t="n">
        <f aca="false">SUMPRODUCT(E570:N570,1/(1+$F$562)^$E$3:$N$3)*$E$2</f>
        <v>10040.4415402689</v>
      </c>
      <c r="P570" s="15" t="n">
        <f aca="false">N570*$E$2*(1+$I$562)/($F$562-$I$562)/(1+$F$562)^$N$3</f>
        <v>13248.8275181805</v>
      </c>
      <c r="Q570" s="15" t="n">
        <f aca="false">O570+P570</f>
        <v>23289.2690584494</v>
      </c>
      <c r="R570" s="15" t="n">
        <f aca="false">Q570-$G$2+$I$2</f>
        <v>17989.3690584494</v>
      </c>
      <c r="S570" s="42" t="n">
        <f aca="false">R570/$K$2</f>
        <v>153.127077446795</v>
      </c>
      <c r="T570" s="43" t="n">
        <f aca="false">S570-$M$2</f>
        <v>5.95309038516712</v>
      </c>
    </row>
    <row r="571" customFormat="false" ht="15" hidden="false" customHeight="false" outlineLevel="0" collapsed="false">
      <c r="A571" s="5" t="n">
        <v>8</v>
      </c>
      <c r="B571" s="25" t="n">
        <f aca="false">IF(T570&gt;0,B570,D570)</f>
        <v>0.0390625</v>
      </c>
      <c r="C571" s="25" t="n">
        <f aca="false">IF(T570&gt;0,D570,C570)</f>
        <v>0.05078125</v>
      </c>
      <c r="D571" s="41" t="n">
        <f aca="false">(B571+C571)/2</f>
        <v>0.044921875</v>
      </c>
      <c r="E571" s="15" t="n">
        <f aca="false">$C$2*(1+IF(E$3&lt;=$O$2,$D571,$D571-($D571-$I$562)*MIN(E$3-$O$2,$Q$2)/$Q$2))</f>
        <v>6729.296875</v>
      </c>
      <c r="F571" s="15" t="n">
        <f aca="false">E571*(1+IF(F$3&lt;=$O$2,$D571,$D571-($D571-$I$562)*MIN(F$3-$O$2,$Q$2)/$Q$2))</f>
        <v>7031.58950805664</v>
      </c>
      <c r="G571" s="15" t="n">
        <f aca="false">F571*(1+IF(G$3&lt;=$O$2,$D571,$D571-($D571-$I$562)*MIN(G$3-$O$2,$Q$2)/$Q$2))</f>
        <v>7347.46169298887</v>
      </c>
      <c r="H571" s="15" t="n">
        <f aca="false">G571*(1+IF(H$3&lt;=$O$2,$D571,$D571-($D571-$I$562)*MIN(H$3-$O$2,$Q$2)/$Q$2))</f>
        <v>7677.52344872861</v>
      </c>
      <c r="I571" s="15" t="n">
        <f aca="false">H571*(1+IF(I$3&lt;=$O$2,$D571,$D571-($D571-$I$562)*MIN(I$3-$O$2,$Q$2)/$Q$2))</f>
        <v>8022.41219740196</v>
      </c>
      <c r="J571" s="15" t="n">
        <f aca="false">I571*(1+IF(J$3&lt;=$O$2,$D571,$D571-($D571-$I$562)*MIN(J$3-$O$2,$Q$2)/$Q$2))</f>
        <v>8372.16931317819</v>
      </c>
      <c r="K571" s="15" t="n">
        <f aca="false">J571*(1+IF(K$3&lt;=$O$2,$D571,$D571-($D571-$I$562)*MIN(K$3-$O$2,$Q$2)/$Q$2))</f>
        <v>8726.08707307534</v>
      </c>
      <c r="L571" s="15" t="n">
        <f aca="false">K571*(1+IF(L$3&lt;=$O$2,$D571,$D571-($D571-$I$562)*MIN(L$3-$O$2,$Q$2)/$Q$2))</f>
        <v>9083.40943110893</v>
      </c>
      <c r="M571" s="15" t="n">
        <f aca="false">L571*(1+IF(M$3&lt;=$O$2,$D571,$D571-($D571-$I$562)*MIN(M$3-$O$2,$Q$2)/$Q$2))</f>
        <v>9443.33385268573</v>
      </c>
      <c r="N571" s="15" t="n">
        <f aca="false">M571*(1+IF(N$3&lt;=$O$2,$D571,$D571-($D571-$I$562)*MIN(N$3-$O$2,$Q$2)/$Q$2))</f>
        <v>9805.0135392436</v>
      </c>
      <c r="O571" s="15" t="n">
        <f aca="false">SUMPRODUCT(E571:N571,1/(1+$F$562)^$E$3:$N$3)*$E$2</f>
        <v>9790.67887416676</v>
      </c>
      <c r="P571" s="15" t="n">
        <f aca="false">N571*$E$2*(1+$I$562)/($F$562-$I$562)/(1+$F$562)^$N$3</f>
        <v>12739.7295298735</v>
      </c>
      <c r="Q571" s="15" t="n">
        <f aca="false">O571+P571</f>
        <v>22530.4084040402</v>
      </c>
      <c r="R571" s="15" t="n">
        <f aca="false">Q571-$G$2+$I$2</f>
        <v>17230.5084040402</v>
      </c>
      <c r="S571" s="42" t="n">
        <f aca="false">R571/$K$2</f>
        <v>146.667589411306</v>
      </c>
      <c r="T571" s="43" t="n">
        <f aca="false">S571-$M$2</f>
        <v>-0.506397650321446</v>
      </c>
    </row>
    <row r="572" customFormat="false" ht="15" hidden="false" customHeight="false" outlineLevel="0" collapsed="false">
      <c r="A572" s="5" t="n">
        <v>9</v>
      </c>
      <c r="B572" s="25" t="n">
        <f aca="false">IF(T571&gt;0,B571,D571)</f>
        <v>0.044921875</v>
      </c>
      <c r="C572" s="25" t="n">
        <f aca="false">IF(T571&gt;0,D571,C571)</f>
        <v>0.05078125</v>
      </c>
      <c r="D572" s="41" t="n">
        <f aca="false">(B572+C572)/2</f>
        <v>0.0478515625</v>
      </c>
      <c r="E572" s="15" t="n">
        <f aca="false">$C$2*(1+IF(E$3&lt;=$O$2,$D572,$D572-($D572-$I$562)*MIN(E$3-$O$2,$Q$2)/$Q$2))</f>
        <v>6748.1640625</v>
      </c>
      <c r="F572" s="15" t="n">
        <f aca="false">E572*(1+IF(F$3&lt;=$O$2,$D572,$D572-($D572-$I$562)*MIN(F$3-$O$2,$Q$2)/$Q$2))</f>
        <v>7071.07425689697</v>
      </c>
      <c r="G572" s="15" t="n">
        <f aca="false">F572*(1+IF(G$3&lt;=$O$2,$D572,$D572-($D572-$I$562)*MIN(G$3-$O$2,$Q$2)/$Q$2))</f>
        <v>7409.43620864302</v>
      </c>
      <c r="H572" s="15" t="n">
        <f aca="false">G572*(1+IF(H$3&lt;=$O$2,$D572,$D572-($D572-$I$562)*MIN(H$3-$O$2,$Q$2)/$Q$2))</f>
        <v>7763.98930847066</v>
      </c>
      <c r="I572" s="15" t="n">
        <f aca="false">H572*(1+IF(I$3&lt;=$O$2,$D572,$D572-($D572-$I$562)*MIN(I$3-$O$2,$Q$2)/$Q$2))</f>
        <v>8135.50832811428</v>
      </c>
      <c r="J572" s="15" t="n">
        <f aca="false">I572*(1+IF(J$3&lt;=$O$2,$D572,$D572-($D572-$I$562)*MIN(J$3-$O$2,$Q$2)/$Q$2))</f>
        <v>8509.26375009326</v>
      </c>
      <c r="K572" s="15" t="n">
        <f aca="false">J572*(1+IF(K$3&lt;=$O$2,$D572,$D572-($D572-$I$562)*MIN(K$3-$O$2,$Q$2)/$Q$2))</f>
        <v>8883.93461044463</v>
      </c>
      <c r="L572" s="15" t="n">
        <f aca="false">K572*(1+IF(L$3&lt;=$O$2,$D572,$D572-($D572-$I$562)*MIN(L$3-$O$2,$Q$2)/$Q$2))</f>
        <v>9258.13148869569</v>
      </c>
      <c r="M572" s="15" t="n">
        <f aca="false">L572*(1+IF(M$3&lt;=$O$2,$D572,$D572-($D572-$I$562)*MIN(M$3-$O$2,$Q$2)/$Q$2))</f>
        <v>9630.40384902224</v>
      </c>
      <c r="N572" s="15" t="n">
        <f aca="false">M572*(1+IF(N$3&lt;=$O$2,$D572,$D572-($D572-$I$562)*MIN(N$3-$O$2,$Q$2)/$Q$2))</f>
        <v>9999.24831643979</v>
      </c>
      <c r="O572" s="15" t="n">
        <f aca="false">SUMPRODUCT(E572:N572,1/(1+$F$562)^$E$3:$N$3)*$E$2</f>
        <v>9914.76364963327</v>
      </c>
      <c r="P572" s="15" t="n">
        <f aca="false">N572*$E$2*(1+$I$562)/($F$562-$I$562)/(1+$F$562)^$N$3</f>
        <v>12992.1002702983</v>
      </c>
      <c r="Q572" s="15" t="n">
        <f aca="false">O572+P572</f>
        <v>22906.8639199316</v>
      </c>
      <c r="R572" s="15" t="n">
        <f aca="false">Q572-$G$2+$I$2</f>
        <v>17606.9639199316</v>
      </c>
      <c r="S572" s="42" t="n">
        <f aca="false">R572/$K$2</f>
        <v>149.872011575856</v>
      </c>
      <c r="T572" s="43" t="n">
        <f aca="false">S572-$M$2</f>
        <v>2.69802451422888</v>
      </c>
    </row>
    <row r="573" customFormat="false" ht="15" hidden="false" customHeight="false" outlineLevel="0" collapsed="false">
      <c r="A573" s="5" t="n">
        <v>10</v>
      </c>
      <c r="B573" s="25" t="n">
        <f aca="false">IF(T572&gt;0,B572,D572)</f>
        <v>0.044921875</v>
      </c>
      <c r="C573" s="25" t="n">
        <f aca="false">IF(T572&gt;0,D572,C572)</f>
        <v>0.0478515625</v>
      </c>
      <c r="D573" s="41" t="n">
        <f aca="false">(B573+C573)/2</f>
        <v>0.04638671875</v>
      </c>
      <c r="E573" s="15" t="n">
        <f aca="false">$C$2*(1+IF(E$3&lt;=$O$2,$D573,$D573-($D573-$I$562)*MIN(E$3-$O$2,$Q$2)/$Q$2))</f>
        <v>6738.73046875</v>
      </c>
      <c r="F573" s="15" t="n">
        <f aca="false">E573*(1+IF(F$3&lt;=$O$2,$D573,$D573-($D573-$I$562)*MIN(F$3-$O$2,$Q$2)/$Q$2))</f>
        <v>7051.31806373596</v>
      </c>
      <c r="G573" s="15" t="n">
        <f aca="false">F573*(1+IF(G$3&lt;=$O$2,$D573,$D573-($D573-$I$562)*MIN(G$3-$O$2,$Q$2)/$Q$2))</f>
        <v>7378.40557157528</v>
      </c>
      <c r="H573" s="15" t="n">
        <f aca="false">G573*(1+IF(H$3&lt;=$O$2,$D573,$D573-($D573-$I$562)*MIN(H$3-$O$2,$Q$2)/$Q$2))</f>
        <v>7720.66559564737</v>
      </c>
      <c r="I573" s="15" t="n">
        <f aca="false">H573*(1+IF(I$3&lt;=$O$2,$D573,$D573-($D573-$I$562)*MIN(I$3-$O$2,$Q$2)/$Q$2))</f>
        <v>8078.80193919547</v>
      </c>
      <c r="J573" s="15" t="n">
        <f aca="false">I573*(1+IF(J$3&lt;=$O$2,$D573,$D573-($D573-$I$562)*MIN(J$3-$O$2,$Q$2)/$Q$2))</f>
        <v>8440.48485276204</v>
      </c>
      <c r="K573" s="15" t="n">
        <f aca="false">J573*(1+IF(K$3&lt;=$O$2,$D573,$D573-($D573-$I$562)*MIN(K$3-$O$2,$Q$2)/$Q$2))</f>
        <v>8804.70891889358</v>
      </c>
      <c r="L573" s="15" t="n">
        <f aca="false">K573*(1+IF(L$3&lt;=$O$2,$D573,$D573-($D573-$I$562)*MIN(L$3-$O$2,$Q$2)/$Q$2))</f>
        <v>9170.40975236828</v>
      </c>
      <c r="M573" s="15" t="n">
        <f aca="false">L573*(1+IF(M$3&lt;=$O$2,$D573,$D573-($D573-$I$562)*MIN(M$3-$O$2,$Q$2)/$Q$2))</f>
        <v>9536.46815078192</v>
      </c>
      <c r="N573" s="15" t="n">
        <f aca="false">M573*(1+IF(N$3&lt;=$O$2,$D573,$D573-($D573-$I$562)*MIN(N$3-$O$2,$Q$2)/$Q$2))</f>
        <v>9901.71488095687</v>
      </c>
      <c r="O573" s="15" t="n">
        <f aca="false">SUMPRODUCT(E573:N573,1/(1+$F$562)^$E$3:$N$3)*$E$2</f>
        <v>9852.5233140107</v>
      </c>
      <c r="P573" s="15" t="n">
        <f aca="false">N573*$E$2*(1+$I$562)/($F$562-$I$562)/(1+$F$562)^$N$3</f>
        <v>12865.3743271675</v>
      </c>
      <c r="Q573" s="15" t="n">
        <f aca="false">O573+P573</f>
        <v>22717.8976411782</v>
      </c>
      <c r="R573" s="15" t="n">
        <f aca="false">Q573-$G$2+$I$2</f>
        <v>17417.9976411782</v>
      </c>
      <c r="S573" s="42" t="n">
        <f aca="false">R573/$K$2</f>
        <v>148.263514140093</v>
      </c>
      <c r="T573" s="43" t="n">
        <f aca="false">S573-$M$2</f>
        <v>1.08952707846572</v>
      </c>
    </row>
    <row r="574" customFormat="false" ht="15" hidden="false" customHeight="false" outlineLevel="0" collapsed="false">
      <c r="A574" s="5" t="n">
        <v>11</v>
      </c>
      <c r="B574" s="25" t="n">
        <f aca="false">IF(T573&gt;0,B573,D573)</f>
        <v>0.044921875</v>
      </c>
      <c r="C574" s="25" t="n">
        <f aca="false">IF(T573&gt;0,D573,C573)</f>
        <v>0.04638671875</v>
      </c>
      <c r="D574" s="41" t="n">
        <f aca="false">(B574+C574)/2</f>
        <v>0.045654296875</v>
      </c>
      <c r="E574" s="15" t="n">
        <f aca="false">$C$2*(1+IF(E$3&lt;=$O$2,$D574,$D574-($D574-$I$562)*MIN(E$3-$O$2,$Q$2)/$Q$2))</f>
        <v>6734.013671875</v>
      </c>
      <c r="F574" s="15" t="n">
        <f aca="false">E574*(1+IF(F$3&lt;=$O$2,$D574,$D574-($D574-$I$562)*MIN(F$3-$O$2,$Q$2)/$Q$2))</f>
        <v>7041.45033121109</v>
      </c>
      <c r="G574" s="15" t="n">
        <f aca="false">F574*(1+IF(G$3&lt;=$O$2,$D574,$D574-($D574-$I$562)*MIN(G$3-$O$2,$Q$2)/$Q$2))</f>
        <v>7362.92279506277</v>
      </c>
      <c r="H574" s="15" t="n">
        <f aca="false">G574*(1+IF(H$3&lt;=$O$2,$D574,$D574-($D574-$I$562)*MIN(H$3-$O$2,$Q$2)/$Q$2))</f>
        <v>7699.07185821627</v>
      </c>
      <c r="I574" s="15" t="n">
        <f aca="false">H574*(1+IF(I$3&lt;=$O$2,$D574,$D574-($D574-$I$562)*MIN(I$3-$O$2,$Q$2)/$Q$2))</f>
        <v>8050.56757049323</v>
      </c>
      <c r="J574" s="15" t="n">
        <f aca="false">I574*(1+IF(J$3&lt;=$O$2,$D574,$D574-($D574-$I$562)*MIN(J$3-$O$2,$Q$2)/$Q$2))</f>
        <v>8406.26931958365</v>
      </c>
      <c r="K574" s="15" t="n">
        <f aca="false">J574*(1+IF(K$3&lt;=$O$2,$D574,$D574-($D574-$I$562)*MIN(K$3-$O$2,$Q$2)/$Q$2))</f>
        <v>8765.32275463615</v>
      </c>
      <c r="L574" s="15" t="n">
        <f aca="false">K574*(1+IF(L$3&lt;=$O$2,$D574,$D574-($D574-$I$562)*MIN(L$3-$O$2,$Q$2)/$Q$2))</f>
        <v>9126.81973043584</v>
      </c>
      <c r="M574" s="15" t="n">
        <f aca="false">L574*(1+IF(M$3&lt;=$O$2,$D574,$D574-($D574-$I$562)*MIN(M$3-$O$2,$Q$2)/$Q$2))</f>
        <v>9489.80119447597</v>
      </c>
      <c r="N574" s="15" t="n">
        <f aca="false">M574*(1+IF(N$3&lt;=$O$2,$D574,$D574-($D574-$I$562)*MIN(N$3-$O$2,$Q$2)/$Q$2))</f>
        <v>9853.2605802244</v>
      </c>
      <c r="O574" s="15" t="n">
        <f aca="false">SUMPRODUCT(E574:N574,1/(1+$F$562)^$E$3:$N$3)*$E$2</f>
        <v>9821.5517553754</v>
      </c>
      <c r="P574" s="15" t="n">
        <f aca="false">N574*$E$2*(1+$I$562)/($F$562-$I$562)/(1+$F$562)^$N$3</f>
        <v>12802.4172814255</v>
      </c>
      <c r="Q574" s="15" t="n">
        <f aca="false">O574+P574</f>
        <v>22623.9690368009</v>
      </c>
      <c r="R574" s="15" t="n">
        <f aca="false">Q574-$G$2+$I$2</f>
        <v>17324.0690368009</v>
      </c>
      <c r="S574" s="42" t="n">
        <f aca="false">R574/$K$2</f>
        <v>147.463985672462</v>
      </c>
      <c r="T574" s="43" t="n">
        <f aca="false">S574-$M$2</f>
        <v>0.289998610834914</v>
      </c>
    </row>
    <row r="575" customFormat="false" ht="15" hidden="false" customHeight="false" outlineLevel="0" collapsed="false">
      <c r="A575" s="5" t="n">
        <v>12</v>
      </c>
      <c r="B575" s="25" t="n">
        <f aca="false">IF(T574&gt;0,B574,D574)</f>
        <v>0.044921875</v>
      </c>
      <c r="C575" s="25" t="n">
        <f aca="false">IF(T574&gt;0,D574,C574)</f>
        <v>0.045654296875</v>
      </c>
      <c r="D575" s="41" t="n">
        <f aca="false">(B575+C575)/2</f>
        <v>0.0452880859375</v>
      </c>
      <c r="E575" s="15" t="n">
        <f aca="false">$C$2*(1+IF(E$3&lt;=$O$2,$D575,$D575-($D575-$I$562)*MIN(E$3-$O$2,$Q$2)/$Q$2))</f>
        <v>6731.6552734375</v>
      </c>
      <c r="F575" s="15" t="n">
        <f aca="false">E575*(1+IF(F$3&lt;=$O$2,$D575,$D575-($D575-$I$562)*MIN(F$3-$O$2,$Q$2)/$Q$2))</f>
        <v>7036.51905596256</v>
      </c>
      <c r="G575" s="15" t="n">
        <f aca="false">F575*(1+IF(G$3&lt;=$O$2,$D575,$D575-($D575-$I$562)*MIN(G$3-$O$2,$Q$2)/$Q$2))</f>
        <v>7355.18953566985</v>
      </c>
      <c r="H575" s="15" t="n">
        <f aca="false">G575*(1+IF(H$3&lt;=$O$2,$D575,$D575-($D575-$I$562)*MIN(H$3-$O$2,$Q$2)/$Q$2))</f>
        <v>7688.29199144787</v>
      </c>
      <c r="I575" s="15" t="n">
        <f aca="false">H575*(1+IF(I$3&lt;=$O$2,$D575,$D575-($D575-$I$562)*MIN(I$3-$O$2,$Q$2)/$Q$2))</f>
        <v>8036.48001986915</v>
      </c>
      <c r="J575" s="15" t="n">
        <f aca="false">I575*(1+IF(J$3&lt;=$O$2,$D575,$D575-($D575-$I$562)*MIN(J$3-$O$2,$Q$2)/$Q$2))</f>
        <v>8389.20489504122</v>
      </c>
      <c r="K575" s="15" t="n">
        <f aca="false">J575*(1+IF(K$3&lt;=$O$2,$D575,$D575-($D575-$I$562)*MIN(K$3-$O$2,$Q$2)/$Q$2))</f>
        <v>8745.6861333736</v>
      </c>
      <c r="L575" s="15" t="n">
        <f aca="false">K575*(1+IF(L$3&lt;=$O$2,$D575,$D575-($D575-$I$562)*MIN(L$3-$O$2,$Q$2)/$Q$2))</f>
        <v>9105.09215479478</v>
      </c>
      <c r="M575" s="15" t="n">
        <f aca="false">L575*(1+IF(M$3&lt;=$O$2,$D575,$D575-($D575-$I$562)*MIN(M$3-$O$2,$Q$2)/$Q$2))</f>
        <v>9466.54261761273</v>
      </c>
      <c r="N575" s="15" t="n">
        <f aca="false">M575*(1+IF(N$3&lt;=$O$2,$D575,$D575-($D575-$I$562)*MIN(N$3-$O$2,$Q$2)/$Q$2))</f>
        <v>9829.1111998673</v>
      </c>
      <c r="O575" s="15" t="n">
        <f aca="false">SUMPRODUCT(E575:N575,1/(1+$F$562)^$E$3:$N$3)*$E$2</f>
        <v>9806.1029985828</v>
      </c>
      <c r="P575" s="15" t="n">
        <f aca="false">N575*$E$2*(1+$I$562)/($F$562-$I$562)/(1+$F$562)^$N$3</f>
        <v>12771.0398057257</v>
      </c>
      <c r="Q575" s="15" t="n">
        <f aca="false">O575+P575</f>
        <v>22577.1428043085</v>
      </c>
      <c r="R575" s="15" t="n">
        <f aca="false">Q575-$G$2+$I$2</f>
        <v>17277.2428043085</v>
      </c>
      <c r="S575" s="42" t="n">
        <f aca="false">R575/$K$2</f>
        <v>147.065396699936</v>
      </c>
      <c r="T575" s="43" t="n">
        <f aca="false">S575-$M$2</f>
        <v>-0.108590361691256</v>
      </c>
    </row>
    <row r="576" customFormat="false" ht="15" hidden="false" customHeight="false" outlineLevel="0" collapsed="false">
      <c r="A576" s="5" t="n">
        <v>13</v>
      </c>
      <c r="B576" s="25" t="n">
        <f aca="false">IF(T575&gt;0,B575,D575)</f>
        <v>0.0452880859375</v>
      </c>
      <c r="C576" s="25" t="n">
        <f aca="false">IF(T575&gt;0,D575,C575)</f>
        <v>0.045654296875</v>
      </c>
      <c r="D576" s="41" t="n">
        <f aca="false">(B576+C576)/2</f>
        <v>0.04547119140625</v>
      </c>
      <c r="E576" s="15" t="n">
        <f aca="false">$C$2*(1+IF(E$3&lt;=$O$2,$D576,$D576-($D576-$I$562)*MIN(E$3-$O$2,$Q$2)/$Q$2))</f>
        <v>6732.83447265625</v>
      </c>
      <c r="F576" s="15" t="n">
        <f aca="false">E576*(1+IF(F$3&lt;=$O$2,$D576,$D576-($D576-$I$562)*MIN(F$3-$O$2,$Q$2)/$Q$2))</f>
        <v>7038.984477669</v>
      </c>
      <c r="G576" s="15" t="n">
        <f aca="false">F576*(1+IF(G$3&lt;=$O$2,$D576,$D576-($D576-$I$562)*MIN(G$3-$O$2,$Q$2)/$Q$2))</f>
        <v>7359.05548815871</v>
      </c>
      <c r="H576" s="15" t="n">
        <f aca="false">G576*(1+IF(H$3&lt;=$O$2,$D576,$D576-($D576-$I$562)*MIN(H$3-$O$2,$Q$2)/$Q$2))</f>
        <v>7693.68050882999</v>
      </c>
      <c r="I576" s="15" t="n">
        <f aca="false">H576*(1+IF(I$3&lt;=$O$2,$D576,$D576-($D576-$I$562)*MIN(I$3-$O$2,$Q$2)/$Q$2))</f>
        <v>8043.52132786553</v>
      </c>
      <c r="J576" s="15" t="n">
        <f aca="false">I576*(1+IF(J$3&lt;=$O$2,$D576,$D576-($D576-$I$562)*MIN(J$3-$O$2,$Q$2)/$Q$2))</f>
        <v>8397.73349954069</v>
      </c>
      <c r="K576" s="15" t="n">
        <f aca="false">J576*(1+IF(K$3&lt;=$O$2,$D576,$D576-($D576-$I$562)*MIN(K$3-$O$2,$Q$2)/$Q$2))</f>
        <v>8755.49974515543</v>
      </c>
      <c r="L576" s="15" t="n">
        <f aca="false">K576*(1+IF(L$3&lt;=$O$2,$D576,$D576-($D576-$I$562)*MIN(L$3-$O$2,$Q$2)/$Q$2))</f>
        <v>9115.95033120683</v>
      </c>
      <c r="M576" s="15" t="n">
        <f aca="false">L576*(1+IF(M$3&lt;=$O$2,$D576,$D576-($D576-$I$562)*MIN(M$3-$O$2,$Q$2)/$Q$2))</f>
        <v>9478.16567382704</v>
      </c>
      <c r="N576" s="15" t="n">
        <f aca="false">M576*(1+IF(N$3&lt;=$O$2,$D576,$D576-($D576-$I$562)*MIN(N$3-$O$2,$Q$2)/$Q$2))</f>
        <v>9841.17941913462</v>
      </c>
      <c r="O576" s="15" t="n">
        <f aca="false">SUMPRODUCT(E576:N576,1/(1+$F$562)^$E$3:$N$3)*$E$2</f>
        <v>9813.82429562266</v>
      </c>
      <c r="P576" s="15" t="n">
        <f aca="false">N576*$E$2*(1+$I$562)/($F$562-$I$562)/(1+$F$562)^$N$3</f>
        <v>12786.7201358708</v>
      </c>
      <c r="Q576" s="15" t="n">
        <f aca="false">O576+P576</f>
        <v>22600.5444314935</v>
      </c>
      <c r="R576" s="15" t="n">
        <f aca="false">Q576-$G$2+$I$2</f>
        <v>17300.6444314935</v>
      </c>
      <c r="S576" s="42" t="n">
        <f aca="false">R576/$K$2</f>
        <v>147.264593390309</v>
      </c>
      <c r="T576" s="43" t="n">
        <f aca="false">S576-$M$2</f>
        <v>0.0906063286815027</v>
      </c>
    </row>
    <row r="577" customFormat="false" ht="15" hidden="false" customHeight="false" outlineLevel="0" collapsed="false">
      <c r="A577" s="5" t="n">
        <v>14</v>
      </c>
      <c r="B577" s="25" t="n">
        <f aca="false">IF(T576&gt;0,B576,D576)</f>
        <v>0.0452880859375</v>
      </c>
      <c r="C577" s="25" t="n">
        <f aca="false">IF(T576&gt;0,D576,C576)</f>
        <v>0.04547119140625</v>
      </c>
      <c r="D577" s="41" t="n">
        <f aca="false">(B577+C577)/2</f>
        <v>0.045379638671875</v>
      </c>
      <c r="E577" s="15" t="n">
        <f aca="false">$C$2*(1+IF(E$3&lt;=$O$2,$D577,$D577-($D577-$I$562)*MIN(E$3-$O$2,$Q$2)/$Q$2))</f>
        <v>6732.24487304688</v>
      </c>
      <c r="F577" s="15" t="n">
        <f aca="false">E577*(1+IF(F$3&lt;=$O$2,$D577,$D577-($D577-$I$562)*MIN(F$3-$O$2,$Q$2)/$Q$2))</f>
        <v>7037.75171283633</v>
      </c>
      <c r="G577" s="15" t="n">
        <f aca="false">F577*(1+IF(G$3&lt;=$O$2,$D577,$D577-($D577-$I$562)*MIN(G$3-$O$2,$Q$2)/$Q$2))</f>
        <v>7357.12234262721</v>
      </c>
      <c r="H577" s="15" t="n">
        <f aca="false">G577*(1+IF(H$3&lt;=$O$2,$D577,$D577-($D577-$I$562)*MIN(H$3-$O$2,$Q$2)/$Q$2))</f>
        <v>7690.98589620041</v>
      </c>
      <c r="I577" s="15" t="n">
        <f aca="false">H577*(1+IF(I$3&lt;=$O$2,$D577,$D577-($D577-$I$562)*MIN(I$3-$O$2,$Q$2)/$Q$2))</f>
        <v>8040.00005720047</v>
      </c>
      <c r="J577" s="15" t="n">
        <f aca="false">I577*(1+IF(J$3&lt;=$O$2,$D577,$D577-($D577-$I$562)*MIN(J$3-$O$2,$Q$2)/$Q$2))</f>
        <v>8393.46829565271</v>
      </c>
      <c r="K577" s="15" t="n">
        <f aca="false">J577*(1+IF(K$3&lt;=$O$2,$D577,$D577-($D577-$I$562)*MIN(K$3-$O$2,$Q$2)/$Q$2))</f>
        <v>8750.59176501845</v>
      </c>
      <c r="L577" s="15" t="n">
        <f aca="false">K577*(1+IF(L$3&lt;=$O$2,$D577,$D577-($D577-$I$562)*MIN(L$3-$O$2,$Q$2)/$Q$2))</f>
        <v>9110.51984076322</v>
      </c>
      <c r="M577" s="15" t="n">
        <f aca="false">L577*(1+IF(M$3&lt;=$O$2,$D577,$D577-($D577-$I$562)*MIN(M$3-$O$2,$Q$2)/$Q$2))</f>
        <v>9472.35258838156</v>
      </c>
      <c r="N577" s="15" t="n">
        <f aca="false">M577*(1+IF(N$3&lt;=$O$2,$D577,$D577-($D577-$I$562)*MIN(N$3-$O$2,$Q$2)/$Q$2))</f>
        <v>9835.14369251658</v>
      </c>
      <c r="O577" s="15" t="n">
        <f aca="false">SUMPRODUCT(E577:N577,1/(1+$F$562)^$E$3:$N$3)*$E$2</f>
        <v>9809.96287705241</v>
      </c>
      <c r="P577" s="15" t="n">
        <f aca="false">N577*$E$2*(1+$I$562)/($F$562-$I$562)/(1+$F$562)^$N$3</f>
        <v>12778.877869838</v>
      </c>
      <c r="Q577" s="15" t="n">
        <f aca="false">O577+P577</f>
        <v>22588.8407468904</v>
      </c>
      <c r="R577" s="15" t="n">
        <f aca="false">Q577-$G$2+$I$2</f>
        <v>17288.9407468904</v>
      </c>
      <c r="S577" s="42" t="n">
        <f aca="false">R577/$K$2</f>
        <v>147.16497060683</v>
      </c>
      <c r="T577" s="43" t="n">
        <f aca="false">S577-$M$2</f>
        <v>-0.00901645479706303</v>
      </c>
    </row>
    <row r="578" customFormat="false" ht="15" hidden="false" customHeight="false" outlineLevel="0" collapsed="false">
      <c r="A578" s="5" t="n">
        <v>15</v>
      </c>
      <c r="B578" s="25" t="n">
        <f aca="false">IF(T577&gt;0,B577,D577)</f>
        <v>0.045379638671875</v>
      </c>
      <c r="C578" s="25" t="n">
        <f aca="false">IF(T577&gt;0,D577,C577)</f>
        <v>0.04547119140625</v>
      </c>
      <c r="D578" s="41" t="n">
        <f aca="false">(B578+C578)/2</f>
        <v>0.0454254150390625</v>
      </c>
      <c r="E578" s="15" t="n">
        <f aca="false">$C$2*(1+IF(E$3&lt;=$O$2,$D578,$D578-($D578-$I$562)*MIN(E$3-$O$2,$Q$2)/$Q$2))</f>
        <v>6732.53967285156</v>
      </c>
      <c r="F578" s="15" t="n">
        <f aca="false">E578*(1+IF(F$3&lt;=$O$2,$D578,$D578-($D578-$I$562)*MIN(F$3-$O$2,$Q$2)/$Q$2))</f>
        <v>7038.3680817578</v>
      </c>
      <c r="G578" s="15" t="n">
        <f aca="false">F578*(1+IF(G$3&lt;=$O$2,$D578,$D578-($D578-$I$562)*MIN(G$3-$O$2,$Q$2)/$Q$2))</f>
        <v>7358.08887306934</v>
      </c>
      <c r="H578" s="15" t="n">
        <f aca="false">G578*(1+IF(H$3&lt;=$O$2,$D578,$D578-($D578-$I$562)*MIN(H$3-$O$2,$Q$2)/$Q$2))</f>
        <v>7692.33311402282</v>
      </c>
      <c r="I578" s="15" t="n">
        <f aca="false">H578*(1+IF(I$3&lt;=$O$2,$D578,$D578-($D578-$I$562)*MIN(I$3-$O$2,$Q$2)/$Q$2))</f>
        <v>8041.76053834603</v>
      </c>
      <c r="J578" s="15" t="n">
        <f aca="false">I578*(1+IF(J$3&lt;=$O$2,$D578,$D578-($D578-$I$562)*MIN(J$3-$O$2,$Q$2)/$Q$2))</f>
        <v>8395.60067214906</v>
      </c>
      <c r="K578" s="15" t="n">
        <f aca="false">J578*(1+IF(K$3&lt;=$O$2,$D578,$D578-($D578-$I$562)*MIN(K$3-$O$2,$Q$2)/$Q$2))</f>
        <v>8753.04546146715</v>
      </c>
      <c r="L578" s="15" t="n">
        <f aca="false">K578*(1+IF(L$3&lt;=$O$2,$D578,$D578-($D578-$I$562)*MIN(L$3-$O$2,$Q$2)/$Q$2))</f>
        <v>9113.23473534883</v>
      </c>
      <c r="M578" s="15" t="n">
        <f aca="false">L578*(1+IF(M$3&lt;=$O$2,$D578,$D578-($D578-$I$562)*MIN(M$3-$O$2,$Q$2)/$Q$2))</f>
        <v>9475.25874168024</v>
      </c>
      <c r="N578" s="15" t="n">
        <f aca="false">M578*(1+IF(N$3&lt;=$O$2,$D578,$D578-($D578-$I$562)*MIN(N$3-$O$2,$Q$2)/$Q$2))</f>
        <v>9838.1611514866</v>
      </c>
      <c r="O578" s="15" t="n">
        <f aca="false">SUMPRODUCT(E578:N578,1/(1+$F$562)^$E$3:$N$3)*$E$2</f>
        <v>9811.89339378886</v>
      </c>
      <c r="P578" s="15" t="n">
        <f aca="false">N578*$E$2*(1+$I$562)/($F$562-$I$562)/(1+$F$562)^$N$3</f>
        <v>12782.7984774937</v>
      </c>
      <c r="Q578" s="15" t="n">
        <f aca="false">O578+P578</f>
        <v>22594.6918712825</v>
      </c>
      <c r="R578" s="15" t="n">
        <f aca="false">Q578-$G$2+$I$2</f>
        <v>17294.7918712825</v>
      </c>
      <c r="S578" s="42" t="n">
        <f aca="false">R578/$K$2</f>
        <v>147.214775887662</v>
      </c>
      <c r="T578" s="43" t="n">
        <f aca="false">S578-$M$2</f>
        <v>0.0407888260344578</v>
      </c>
    </row>
    <row r="579" customFormat="false" ht="15" hidden="false" customHeight="false" outlineLevel="0" collapsed="false">
      <c r="A579" s="5" t="n">
        <v>16</v>
      </c>
      <c r="B579" s="25" t="n">
        <f aca="false">IF(T578&gt;0,B578,D578)</f>
        <v>0.045379638671875</v>
      </c>
      <c r="C579" s="25" t="n">
        <f aca="false">IF(T578&gt;0,D578,C578)</f>
        <v>0.0454254150390625</v>
      </c>
      <c r="D579" s="41" t="n">
        <f aca="false">(B579+C579)/2</f>
        <v>0.0454025268554688</v>
      </c>
      <c r="E579" s="15" t="n">
        <f aca="false">$C$2*(1+IF(E$3&lt;=$O$2,$D579,$D579-($D579-$I$562)*MIN(E$3-$O$2,$Q$2)/$Q$2))</f>
        <v>6732.39227294922</v>
      </c>
      <c r="F579" s="15" t="n">
        <f aca="false">E579*(1+IF(F$3&lt;=$O$2,$D579,$D579-($D579-$I$562)*MIN(F$3-$O$2,$Q$2)/$Q$2))</f>
        <v>7038.05989392335</v>
      </c>
      <c r="G579" s="15" t="n">
        <f aca="false">F579*(1+IF(G$3&lt;=$O$2,$D579,$D579-($D579-$I$562)*MIN(G$3-$O$2,$Q$2)/$Q$2))</f>
        <v>7357.6055972676</v>
      </c>
      <c r="H579" s="15" t="n">
        <f aca="false">G579*(1+IF(H$3&lt;=$O$2,$D579,$D579-($D579-$I$562)*MIN(H$3-$O$2,$Q$2)/$Q$2))</f>
        <v>7691.65948298949</v>
      </c>
      <c r="I579" s="15" t="n">
        <f aca="false">H579*(1+IF(I$3&lt;=$O$2,$D579,$D579-($D579-$I$562)*MIN(I$3-$O$2,$Q$2)/$Q$2))</f>
        <v>8040.88025922904</v>
      </c>
      <c r="J579" s="15" t="n">
        <f aca="false">I579*(1+IF(J$3&lt;=$O$2,$D579,$D579-($D579-$I$562)*MIN(J$3-$O$2,$Q$2)/$Q$2))</f>
        <v>8394.53442754374</v>
      </c>
      <c r="K579" s="15" t="n">
        <f aca="false">J579*(1+IF(K$3&lt;=$O$2,$D579,$D579-($D579-$I$562)*MIN(K$3-$O$2,$Q$2)/$Q$2))</f>
        <v>8751.81853984513</v>
      </c>
      <c r="L579" s="15" t="n">
        <f aca="false">K579*(1+IF(L$3&lt;=$O$2,$D579,$D579-($D579-$I$562)*MIN(L$3-$O$2,$Q$2)/$Q$2))</f>
        <v>9111.87720040658</v>
      </c>
      <c r="M579" s="15" t="n">
        <f aca="false">L579*(1+IF(M$3&lt;=$O$2,$D579,$D579-($D579-$I$562)*MIN(M$3-$O$2,$Q$2)/$Q$2))</f>
        <v>9473.80556768608</v>
      </c>
      <c r="N579" s="15" t="n">
        <f aca="false">M579*(1+IF(N$3&lt;=$O$2,$D579,$D579-($D579-$I$562)*MIN(N$3-$O$2,$Q$2)/$Q$2))</f>
        <v>9836.65232092845</v>
      </c>
      <c r="O579" s="15" t="n">
        <f aca="false">SUMPRODUCT(E579:N579,1/(1+$F$562)^$E$3:$N$3)*$E$2</f>
        <v>9810.92808728798</v>
      </c>
      <c r="P579" s="15" t="n">
        <f aca="false">N579*$E$2*(1+$I$562)/($F$562-$I$562)/(1+$F$562)^$N$3</f>
        <v>12780.8380423407</v>
      </c>
      <c r="Q579" s="15" t="n">
        <f aca="false">O579+P579</f>
        <v>22591.7661296287</v>
      </c>
      <c r="R579" s="15" t="n">
        <f aca="false">Q579-$G$2+$I$2</f>
        <v>17291.8661296287</v>
      </c>
      <c r="S579" s="42" t="n">
        <f aca="false">R579/$K$2</f>
        <v>147.189871719686</v>
      </c>
      <c r="T579" s="43" t="n">
        <f aca="false">S579-$M$2</f>
        <v>0.0158846580585816</v>
      </c>
    </row>
    <row r="580" customFormat="false" ht="15" hidden="false" customHeight="false" outlineLevel="0" collapsed="false">
      <c r="A580" s="5" t="n">
        <v>17</v>
      </c>
      <c r="B580" s="25" t="n">
        <f aca="false">IF(T579&gt;0,B579,D579)</f>
        <v>0.045379638671875</v>
      </c>
      <c r="C580" s="25" t="n">
        <f aca="false">IF(T579&gt;0,D579,C579)</f>
        <v>0.0454025268554688</v>
      </c>
      <c r="D580" s="41" t="n">
        <f aca="false">(B580+C580)/2</f>
        <v>0.0453910827636719</v>
      </c>
      <c r="E580" s="15" t="n">
        <f aca="false">$C$2*(1+IF(E$3&lt;=$O$2,$D580,$D580-($D580-$I$562)*MIN(E$3-$O$2,$Q$2)/$Q$2))</f>
        <v>6732.31857299805</v>
      </c>
      <c r="F580" s="15" t="n">
        <f aca="false">E580*(1+IF(F$3&lt;=$O$2,$D580,$D580-($D580-$I$562)*MIN(F$3-$O$2,$Q$2)/$Q$2))</f>
        <v>7037.90580253641</v>
      </c>
      <c r="G580" s="15" t="n">
        <f aca="false">F580*(1+IF(G$3&lt;=$O$2,$D580,$D580-($D580-$I$562)*MIN(G$3-$O$2,$Q$2)/$Q$2))</f>
        <v>7357.36396730226</v>
      </c>
      <c r="H580" s="15" t="n">
        <f aca="false">G580*(1+IF(H$3&lt;=$O$2,$D580,$D580-($D580-$I$562)*MIN(H$3-$O$2,$Q$2)/$Q$2))</f>
        <v>7691.32268406454</v>
      </c>
      <c r="I580" s="15" t="n">
        <f aca="false">H580*(1+IF(I$3&lt;=$O$2,$D580,$D580-($D580-$I$562)*MIN(I$3-$O$2,$Q$2)/$Q$2))</f>
        <v>8040.44014857902</v>
      </c>
      <c r="J580" s="15" t="n">
        <f aca="false">I580*(1+IF(J$3&lt;=$O$2,$D580,$D580-($D580-$I$562)*MIN(J$3-$O$2,$Q$2)/$Q$2))</f>
        <v>8394.00134750953</v>
      </c>
      <c r="K580" s="15" t="n">
        <f aca="false">J580*(1+IF(K$3&lt;=$O$2,$D580,$D580-($D580-$I$562)*MIN(K$3-$O$2,$Q$2)/$Q$2))</f>
        <v>8751.20513408329</v>
      </c>
      <c r="L580" s="15" t="n">
        <f aca="false">K580*(1+IF(L$3&lt;=$O$2,$D580,$D580-($D580-$I$562)*MIN(L$3-$O$2,$Q$2)/$Q$2))</f>
        <v>9111.19849867374</v>
      </c>
      <c r="M580" s="15" t="n">
        <f aca="false">L580*(1+IF(M$3&lt;=$O$2,$D580,$D580-($D580-$I$562)*MIN(M$3-$O$2,$Q$2)/$Q$2))</f>
        <v>9473.07905369901</v>
      </c>
      <c r="N580" s="15" t="n">
        <f aca="false">M580*(1+IF(N$3&lt;=$O$2,$D580,$D580-($D580-$I$562)*MIN(N$3-$O$2,$Q$2)/$Q$2))</f>
        <v>9835.89798145568</v>
      </c>
      <c r="O580" s="15" t="n">
        <f aca="false">SUMPRODUCT(E580:N580,1/(1+$F$562)^$E$3:$N$3)*$E$2</f>
        <v>9810.44547013759</v>
      </c>
      <c r="P580" s="15" t="n">
        <f aca="false">N580*$E$2*(1+$I$562)/($F$562-$I$562)/(1+$F$562)^$N$3</f>
        <v>12779.85792326</v>
      </c>
      <c r="Q580" s="15" t="n">
        <f aca="false">O580+P580</f>
        <v>22590.3033933976</v>
      </c>
      <c r="R580" s="15" t="n">
        <f aca="false">Q580-$G$2+$I$2</f>
        <v>17290.4033933976</v>
      </c>
      <c r="S580" s="42" t="n">
        <f aca="false">R580/$K$2</f>
        <v>147.177420781389</v>
      </c>
      <c r="T580" s="43" t="n">
        <f aca="false">S580-$M$2</f>
        <v>0.00343371976160256</v>
      </c>
    </row>
    <row r="581" customFormat="false" ht="15" hidden="false" customHeight="false" outlineLevel="0" collapsed="false">
      <c r="A581" s="5" t="n">
        <v>18</v>
      </c>
      <c r="B581" s="25" t="n">
        <f aca="false">IF(T580&gt;0,B580,D580)</f>
        <v>0.045379638671875</v>
      </c>
      <c r="C581" s="25" t="n">
        <f aca="false">IF(T580&gt;0,D580,C580)</f>
        <v>0.0453910827636719</v>
      </c>
      <c r="D581" s="41" t="n">
        <f aca="false">(B581+C581)/2</f>
        <v>0.0453853607177734</v>
      </c>
      <c r="E581" s="15" t="n">
        <f aca="false">$C$2*(1+IF(E$3&lt;=$O$2,$D581,$D581-($D581-$I$562)*MIN(E$3-$O$2,$Q$2)/$Q$2))</f>
        <v>6732.28172302246</v>
      </c>
      <c r="F581" s="15" t="n">
        <f aca="false">E581*(1+IF(F$3&lt;=$O$2,$D581,$D581-($D581-$I$562)*MIN(F$3-$O$2,$Q$2)/$Q$2))</f>
        <v>7037.82875747551</v>
      </c>
      <c r="G581" s="15" t="n">
        <f aca="false">F581*(1+IF(G$3&lt;=$O$2,$D581,$D581-($D581-$I$562)*MIN(G$3-$O$2,$Q$2)/$Q$2))</f>
        <v>7357.24315430345</v>
      </c>
      <c r="H581" s="15" t="n">
        <f aca="false">G581*(1+IF(H$3&lt;=$O$2,$D581,$D581-($D581-$I$562)*MIN(H$3-$O$2,$Q$2)/$Q$2))</f>
        <v>7691.15428874989</v>
      </c>
      <c r="I581" s="15" t="n">
        <f aca="false">H581*(1+IF(I$3&lt;=$O$2,$D581,$D581-($D581-$I$562)*MIN(I$3-$O$2,$Q$2)/$Q$2))</f>
        <v>8040.22010048085</v>
      </c>
      <c r="J581" s="15" t="n">
        <f aca="false">I581*(1+IF(J$3&lt;=$O$2,$D581,$D581-($D581-$I$562)*MIN(J$3-$O$2,$Q$2)/$Q$2))</f>
        <v>8393.73481805903</v>
      </c>
      <c r="K581" s="15" t="n">
        <f aca="false">J581*(1+IF(K$3&lt;=$O$2,$D581,$D581-($D581-$I$562)*MIN(K$3-$O$2,$Q$2)/$Q$2))</f>
        <v>8750.89844496386</v>
      </c>
      <c r="L581" s="15" t="n">
        <f aca="false">K581*(1+IF(L$3&lt;=$O$2,$D581,$D581-($D581-$I$562)*MIN(L$3-$O$2,$Q$2)/$Q$2))</f>
        <v>9110.85916424084</v>
      </c>
      <c r="M581" s="15" t="n">
        <f aca="false">L581*(1+IF(M$3&lt;=$O$2,$D581,$D581-($D581-$I$562)*MIN(M$3-$O$2,$Q$2)/$Q$2))</f>
        <v>9472.71581495676</v>
      </c>
      <c r="N581" s="15" t="n">
        <f aca="false">M581*(1+IF(N$3&lt;=$O$2,$D581,$D581-($D581-$I$562)*MIN(N$3-$O$2,$Q$2)/$Q$2))</f>
        <v>9835.5208306696</v>
      </c>
      <c r="O581" s="15" t="n">
        <f aca="false">SUMPRODUCT(E581:N581,1/(1+$F$562)^$E$3:$N$3)*$E$2</f>
        <v>9810.20417058692</v>
      </c>
      <c r="P581" s="15" t="n">
        <f aca="false">N581*$E$2*(1+$I$562)/($F$562-$I$562)/(1+$F$562)^$N$3</f>
        <v>12779.3678883419</v>
      </c>
      <c r="Q581" s="15" t="n">
        <f aca="false">O581+P581</f>
        <v>22589.5720589288</v>
      </c>
      <c r="R581" s="15" t="n">
        <f aca="false">Q581-$G$2+$I$2</f>
        <v>17289.6720589288</v>
      </c>
      <c r="S581" s="42" t="n">
        <f aca="false">R581/$K$2</f>
        <v>147.171195598645</v>
      </c>
      <c r="T581" s="43" t="n">
        <f aca="false">S581-$M$2</f>
        <v>-0.00279146298245792</v>
      </c>
    </row>
    <row r="582" customFormat="false" ht="15" hidden="false" customHeight="false" outlineLevel="0" collapsed="false">
      <c r="A582" s="5" t="n">
        <v>19</v>
      </c>
      <c r="B582" s="25" t="n">
        <f aca="false">IF(T581&gt;0,B581,D581)</f>
        <v>0.0453853607177734</v>
      </c>
      <c r="C582" s="25" t="n">
        <f aca="false">IF(T581&gt;0,D581,C581)</f>
        <v>0.0453910827636719</v>
      </c>
      <c r="D582" s="41" t="n">
        <f aca="false">(B582+C582)/2</f>
        <v>0.0453882217407227</v>
      </c>
      <c r="E582" s="15" t="n">
        <f aca="false">$C$2*(1+IF(E$3&lt;=$O$2,$D582,$D582-($D582-$I$562)*MIN(E$3-$O$2,$Q$2)/$Q$2))</f>
        <v>6732.30014801025</v>
      </c>
      <c r="F582" s="15" t="n">
        <f aca="false">E582*(1+IF(F$3&lt;=$O$2,$D582,$D582-($D582-$I$562)*MIN(F$3-$O$2,$Q$2)/$Q$2))</f>
        <v>7037.86727995324</v>
      </c>
      <c r="G582" s="15" t="n">
        <f aca="false">F582*(1+IF(G$3&lt;=$O$2,$D582,$D582-($D582-$I$562)*MIN(G$3-$O$2,$Q$2)/$Q$2))</f>
        <v>7357.30356063754</v>
      </c>
      <c r="H582" s="15" t="n">
        <f aca="false">G582*(1+IF(H$3&lt;=$O$2,$D582,$D582-($D582-$I$562)*MIN(H$3-$O$2,$Q$2)/$Q$2))</f>
        <v>7691.23848606156</v>
      </c>
      <c r="I582" s="15" t="n">
        <f aca="false">H582*(1+IF(I$3&lt;=$O$2,$D582,$D582-($D582-$I$562)*MIN(I$3-$O$2,$Q$2)/$Q$2))</f>
        <v>8040.33012392771</v>
      </c>
      <c r="J582" s="15" t="n">
        <f aca="false">I582*(1+IF(J$3&lt;=$O$2,$D582,$D582-($D582-$I$562)*MIN(J$3-$O$2,$Q$2)/$Q$2))</f>
        <v>8393.86808190375</v>
      </c>
      <c r="K582" s="15" t="n">
        <f aca="false">J582*(1+IF(K$3&lt;=$O$2,$D582,$D582-($D582-$I$562)*MIN(K$3-$O$2,$Q$2)/$Q$2))</f>
        <v>8751.0517883768</v>
      </c>
      <c r="L582" s="15" t="n">
        <f aca="false">K582*(1+IF(L$3&lt;=$O$2,$D582,$D582-($D582-$I$562)*MIN(L$3-$O$2,$Q$2)/$Q$2))</f>
        <v>9111.02883008786</v>
      </c>
      <c r="M582" s="15" t="n">
        <f aca="false">L582*(1+IF(M$3&lt;=$O$2,$D582,$D582-($D582-$I$562)*MIN(M$3-$O$2,$Q$2)/$Q$2))</f>
        <v>9472.89743280698</v>
      </c>
      <c r="N582" s="15" t="n">
        <f aca="false">M582*(1+IF(N$3&lt;=$O$2,$D582,$D582-($D582-$I$562)*MIN(N$3-$O$2,$Q$2)/$Q$2))</f>
        <v>9835.70940448349</v>
      </c>
      <c r="O582" s="15" t="n">
        <f aca="false">SUMPRODUCT(E582:N582,1/(1+$F$562)^$E$3:$N$3)*$E$2</f>
        <v>9810.32481961023</v>
      </c>
      <c r="P582" s="15" t="n">
        <f aca="false">N582*$E$2*(1+$I$562)/($F$562-$I$562)/(1+$F$562)^$N$3</f>
        <v>12779.6129037491</v>
      </c>
      <c r="Q582" s="15" t="n">
        <f aca="false">O582+P582</f>
        <v>22589.9377233594</v>
      </c>
      <c r="R582" s="15" t="n">
        <f aca="false">Q582-$G$2+$I$2</f>
        <v>17290.0377233594</v>
      </c>
      <c r="S582" s="42" t="n">
        <f aca="false">R582/$K$2</f>
        <v>147.174308166151</v>
      </c>
      <c r="T582" s="43" t="n">
        <f aca="false">S582-$M$2</f>
        <v>0.000321104523067106</v>
      </c>
    </row>
    <row r="583" customFormat="false" ht="15" hidden="false" customHeight="false" outlineLevel="0" collapsed="false">
      <c r="A583" s="5" t="n">
        <v>20</v>
      </c>
      <c r="B583" s="25" t="n">
        <f aca="false">IF(T582&gt;0,B582,D582)</f>
        <v>0.0453853607177734</v>
      </c>
      <c r="C583" s="25" t="n">
        <f aca="false">IF(T582&gt;0,D582,C582)</f>
        <v>0.0453882217407227</v>
      </c>
      <c r="D583" s="41" t="n">
        <f aca="false">(B583+C583)/2</f>
        <v>0.0453867912292481</v>
      </c>
      <c r="E583" s="15" t="n">
        <f aca="false">$C$2*(1+IF(E$3&lt;=$O$2,$D583,$D583-($D583-$I$562)*MIN(E$3-$O$2,$Q$2)/$Q$2))</f>
        <v>6732.29093551636</v>
      </c>
      <c r="F583" s="15" t="n">
        <f aca="false">E583*(1+IF(F$3&lt;=$O$2,$D583,$D583-($D583-$I$562)*MIN(F$3-$O$2,$Q$2)/$Q$2))</f>
        <v>7037.8480187012</v>
      </c>
      <c r="G583" s="15" t="n">
        <f aca="false">F583*(1+IF(G$3&lt;=$O$2,$D583,$D583-($D583-$I$562)*MIN(G$3-$O$2,$Q$2)/$Q$2))</f>
        <v>7357.27335742917</v>
      </c>
      <c r="H583" s="15" t="n">
        <f aca="false">G583*(1+IF(H$3&lt;=$O$2,$D583,$D583-($D583-$I$562)*MIN(H$3-$O$2,$Q$2)/$Q$2))</f>
        <v>7691.19638731931</v>
      </c>
      <c r="I583" s="15" t="n">
        <f aca="false">H583*(1+IF(I$3&lt;=$O$2,$D583,$D583-($D583-$I$562)*MIN(I$3-$O$2,$Q$2)/$Q$2))</f>
        <v>8040.27511205372</v>
      </c>
      <c r="J583" s="15" t="n">
        <f aca="false">I583*(1+IF(J$3&lt;=$O$2,$D583,$D583-($D583-$I$562)*MIN(J$3-$O$2,$Q$2)/$Q$2))</f>
        <v>8393.80144976125</v>
      </c>
      <c r="K583" s="15" t="n">
        <f aca="false">J583*(1+IF(K$3&lt;=$O$2,$D583,$D583-($D583-$I$562)*MIN(K$3-$O$2,$Q$2)/$Q$2))</f>
        <v>8750.97511638364</v>
      </c>
      <c r="L583" s="15" t="n">
        <f aca="false">K583*(1+IF(L$3&lt;=$O$2,$D583,$D583-($D583-$I$562)*MIN(L$3-$O$2,$Q$2)/$Q$2))</f>
        <v>9110.943996822</v>
      </c>
      <c r="M583" s="15" t="n">
        <f aca="false">L583*(1+IF(M$3&lt;=$O$2,$D583,$D583-($D583-$I$562)*MIN(M$3-$O$2,$Q$2)/$Q$2))</f>
        <v>9472.80662350165</v>
      </c>
      <c r="N583" s="15" t="n">
        <f aca="false">M583*(1+IF(N$3&lt;=$O$2,$D583,$D583-($D583-$I$562)*MIN(N$3-$O$2,$Q$2)/$Q$2))</f>
        <v>9835.61511718176</v>
      </c>
      <c r="O583" s="15" t="n">
        <f aca="false">SUMPRODUCT(E583:N583,1/(1+$F$562)^$E$3:$N$3)*$E$2</f>
        <v>9810.26449491057</v>
      </c>
      <c r="P583" s="15" t="n">
        <f aca="false">N583*$E$2*(1+$I$562)/($F$562-$I$562)/(1+$F$562)^$N$3</f>
        <v>12779.4903955326</v>
      </c>
      <c r="Q583" s="15" t="n">
        <f aca="false">O583+P583</f>
        <v>22589.7548904432</v>
      </c>
      <c r="R583" s="15" t="n">
        <f aca="false">Q583-$G$2+$I$2</f>
        <v>17289.8548904432</v>
      </c>
      <c r="S583" s="42" t="n">
        <f aca="false">R583/$K$2</f>
        <v>147.172751876431</v>
      </c>
      <c r="T583" s="43" t="n">
        <f aca="false">S583-$M$2</f>
        <v>-0.00123518519620802</v>
      </c>
    </row>
    <row r="584" customFormat="false" ht="15" hidden="false" customHeight="false" outlineLevel="0" collapsed="false">
      <c r="A584" s="5" t="n">
        <v>21</v>
      </c>
      <c r="B584" s="25" t="n">
        <f aca="false">IF(T583&gt;0,B583,D583)</f>
        <v>0.0453867912292481</v>
      </c>
      <c r="C584" s="25" t="n">
        <f aca="false">IF(T583&gt;0,D583,C583)</f>
        <v>0.0453882217407227</v>
      </c>
      <c r="D584" s="41" t="n">
        <f aca="false">(B584+C584)/2</f>
        <v>0.0453875064849854</v>
      </c>
      <c r="E584" s="15" t="n">
        <f aca="false">$C$2*(1+IF(E$3&lt;=$O$2,$D584,$D584-($D584-$I$562)*MIN(E$3-$O$2,$Q$2)/$Q$2))</f>
        <v>6732.29554176331</v>
      </c>
      <c r="F584" s="15" t="n">
        <f aca="false">E584*(1+IF(F$3&lt;=$O$2,$D584,$D584-($D584-$I$562)*MIN(F$3-$O$2,$Q$2)/$Q$2))</f>
        <v>7037.85764932393</v>
      </c>
      <c r="G584" s="15" t="n">
        <f aca="false">F584*(1+IF(G$3&lt;=$O$2,$D584,$D584-($D584-$I$562)*MIN(G$3-$O$2,$Q$2)/$Q$2))</f>
        <v>7357.28845902302</v>
      </c>
      <c r="H584" s="15" t="n">
        <f aca="false">G584*(1+IF(H$3&lt;=$O$2,$D584,$D584-($D584-$I$562)*MIN(H$3-$O$2,$Q$2)/$Q$2))</f>
        <v>7691.21743666883</v>
      </c>
      <c r="I584" s="15" t="n">
        <f aca="false">H584*(1+IF(I$3&lt;=$O$2,$D584,$D584-($D584-$I$562)*MIN(I$3-$O$2,$Q$2)/$Q$2))</f>
        <v>8040.30261795307</v>
      </c>
      <c r="J584" s="15" t="n">
        <f aca="false">I584*(1+IF(J$3&lt;=$O$2,$D584,$D584-($D584-$I$562)*MIN(J$3-$O$2,$Q$2)/$Q$2))</f>
        <v>8393.83476577747</v>
      </c>
      <c r="K584" s="15" t="n">
        <f aca="false">J584*(1+IF(K$3&lt;=$O$2,$D584,$D584-($D584-$I$562)*MIN(K$3-$O$2,$Q$2)/$Q$2))</f>
        <v>8751.01345230855</v>
      </c>
      <c r="L584" s="15" t="n">
        <f aca="false">K584*(1+IF(L$3&lt;=$O$2,$D584,$D584-($D584-$I$562)*MIN(L$3-$O$2,$Q$2)/$Q$2))</f>
        <v>9110.98641336934</v>
      </c>
      <c r="M584" s="15" t="n">
        <f aca="false">L584*(1+IF(M$3&lt;=$O$2,$D584,$D584-($D584-$I$562)*MIN(M$3-$O$2,$Q$2)/$Q$2))</f>
        <v>9472.85202805926</v>
      </c>
      <c r="N584" s="15" t="n">
        <f aca="false">M584*(1+IF(N$3&lt;=$O$2,$D584,$D584-($D584-$I$562)*MIN(N$3-$O$2,$Q$2)/$Q$2))</f>
        <v>9835.66226073393</v>
      </c>
      <c r="O584" s="15" t="n">
        <f aca="false">SUMPRODUCT(E584:N584,1/(1+$F$562)^$E$3:$N$3)*$E$2</f>
        <v>9810.2946572134</v>
      </c>
      <c r="P584" s="15" t="n">
        <f aca="false">N584*$E$2*(1+$I$562)/($F$562-$I$562)/(1+$F$562)^$N$3</f>
        <v>12779.5516495126</v>
      </c>
      <c r="Q584" s="15" t="n">
        <f aca="false">O584+P584</f>
        <v>22589.846306726</v>
      </c>
      <c r="R584" s="15" t="n">
        <f aca="false">Q584-$G$2+$I$2</f>
        <v>17289.946306726</v>
      </c>
      <c r="S584" s="42" t="n">
        <f aca="false">R584/$K$2</f>
        <v>147.173530019799</v>
      </c>
      <c r="T584" s="43" t="n">
        <f aca="false">S584-$M$2</f>
        <v>-0.000457041828212823</v>
      </c>
    </row>
    <row r="585" customFormat="false" ht="15" hidden="false" customHeight="false" outlineLevel="0" collapsed="false">
      <c r="A585" s="5" t="n">
        <v>22</v>
      </c>
      <c r="B585" s="25" t="n">
        <f aca="false">IF(T584&gt;0,B584,D584)</f>
        <v>0.0453875064849854</v>
      </c>
      <c r="C585" s="25" t="n">
        <f aca="false">IF(T584&gt;0,D584,C584)</f>
        <v>0.0453882217407227</v>
      </c>
      <c r="D585" s="41" t="n">
        <f aca="false">(B585+C585)/2</f>
        <v>0.045387864112854</v>
      </c>
      <c r="E585" s="15" t="n">
        <f aca="false">$C$2*(1+IF(E$3&lt;=$O$2,$D585,$D585-($D585-$I$562)*MIN(E$3-$O$2,$Q$2)/$Q$2))</f>
        <v>6732.29784488678</v>
      </c>
      <c r="F585" s="15" t="n">
        <f aca="false">E585*(1+IF(F$3&lt;=$O$2,$D585,$D585-($D585-$I$562)*MIN(F$3-$O$2,$Q$2)/$Q$2))</f>
        <v>7037.86246463776</v>
      </c>
      <c r="G585" s="15" t="n">
        <f aca="false">F585*(1+IF(G$3&lt;=$O$2,$D585,$D585-($D585-$I$562)*MIN(G$3-$O$2,$Q$2)/$Q$2))</f>
        <v>7357.2960098277</v>
      </c>
      <c r="H585" s="15" t="n">
        <f aca="false">G585*(1+IF(H$3&lt;=$O$2,$D585,$D585-($D585-$I$562)*MIN(H$3-$O$2,$Q$2)/$Q$2))</f>
        <v>7691.2279613598</v>
      </c>
      <c r="I585" s="15" t="n">
        <f aca="false">H585*(1+IF(I$3&lt;=$O$2,$D585,$D585-($D585-$I$562)*MIN(I$3-$O$2,$Q$2)/$Q$2))</f>
        <v>8040.31637093098</v>
      </c>
      <c r="J585" s="15" t="n">
        <f aca="false">I585*(1+IF(J$3&lt;=$O$2,$D585,$D585-($D585-$I$562)*MIN(J$3-$O$2,$Q$2)/$Q$2))</f>
        <v>8393.85142382685</v>
      </c>
      <c r="K585" s="15" t="n">
        <f aca="false">J585*(1+IF(K$3&lt;=$O$2,$D585,$D585-($D585-$I$562)*MIN(K$3-$O$2,$Q$2)/$Q$2))</f>
        <v>8751.03262032476</v>
      </c>
      <c r="L585" s="15" t="n">
        <f aca="false">K585*(1+IF(L$3&lt;=$O$2,$D585,$D585-($D585-$I$562)*MIN(L$3-$O$2,$Q$2)/$Q$2))</f>
        <v>9111.0076217072</v>
      </c>
      <c r="M585" s="15" t="n">
        <f aca="false">L585*(1+IF(M$3&lt;=$O$2,$D585,$D585-($D585-$I$562)*MIN(M$3-$O$2,$Q$2)/$Q$2))</f>
        <v>9472.87473040935</v>
      </c>
      <c r="N585" s="15" t="n">
        <f aca="false">M585*(1+IF(N$3&lt;=$O$2,$D585,$D585-($D585-$I$562)*MIN(N$3-$O$2,$Q$2)/$Q$2))</f>
        <v>9835.68583258403</v>
      </c>
      <c r="O585" s="15" t="n">
        <f aca="false">SUMPRODUCT(E585:N585,1/(1+$F$562)^$E$3:$N$3)*$E$2</f>
        <v>9810.30973840006</v>
      </c>
      <c r="P585" s="15" t="n">
        <f aca="false">N585*$E$2*(1+$I$562)/($F$562-$I$562)/(1+$F$562)^$N$3</f>
        <v>12779.5822765988</v>
      </c>
      <c r="Q585" s="15" t="n">
        <f aca="false">O585+P585</f>
        <v>22589.8920149989</v>
      </c>
      <c r="R585" s="15" t="n">
        <f aca="false">Q585-$G$2+$I$2</f>
        <v>17289.9920149989</v>
      </c>
      <c r="S585" s="42" t="n">
        <f aca="false">R585/$K$2</f>
        <v>147.173919092602</v>
      </c>
      <c r="T585" s="43" t="n">
        <f aca="false">S585-$M$2</f>
        <v>-6.7969025479897E-005</v>
      </c>
    </row>
    <row r="586" customFormat="false" ht="15" hidden="false" customHeight="false" outlineLevel="0" collapsed="false">
      <c r="A586" s="5" t="n">
        <v>23</v>
      </c>
      <c r="B586" s="25" t="n">
        <f aca="false">IF(T585&gt;0,B585,D585)</f>
        <v>0.045387864112854</v>
      </c>
      <c r="C586" s="25" t="n">
        <f aca="false">IF(T585&gt;0,D585,C585)</f>
        <v>0.0453882217407227</v>
      </c>
      <c r="D586" s="41" t="n">
        <f aca="false">(B586+C586)/2</f>
        <v>0.0453880429267883</v>
      </c>
      <c r="E586" s="15" t="n">
        <f aca="false">$C$2*(1+IF(E$3&lt;=$O$2,$D586,$D586-($D586-$I$562)*MIN(E$3-$O$2,$Q$2)/$Q$2))</f>
        <v>6732.29899644852</v>
      </c>
      <c r="F586" s="15" t="n">
        <f aca="false">E586*(1+IF(F$3&lt;=$O$2,$D586,$D586-($D586-$I$562)*MIN(F$3-$O$2,$Q$2)/$Q$2))</f>
        <v>7037.8648722953</v>
      </c>
      <c r="G586" s="15" t="n">
        <f aca="false">F586*(1+IF(G$3&lt;=$O$2,$D586,$D586-($D586-$I$562)*MIN(G$3-$O$2,$Q$2)/$Q$2))</f>
        <v>7357.29978523197</v>
      </c>
      <c r="H586" s="15" t="n">
        <f aca="false">G586*(1+IF(H$3&lt;=$O$2,$D586,$D586-($D586-$I$562)*MIN(H$3-$O$2,$Q$2)/$Q$2))</f>
        <v>7691.23322370933</v>
      </c>
      <c r="I586" s="15" t="n">
        <f aca="false">H586*(1+IF(I$3&lt;=$O$2,$D586,$D586-($D586-$I$562)*MIN(I$3-$O$2,$Q$2)/$Q$2))</f>
        <v>8040.32324742699</v>
      </c>
      <c r="J586" s="15" t="n">
        <f aca="false">I586*(1+IF(J$3&lt;=$O$2,$D586,$D586-($D586-$I$562)*MIN(J$3-$O$2,$Q$2)/$Q$2))</f>
        <v>8393.85975286186</v>
      </c>
      <c r="K586" s="15" t="n">
        <f aca="false">J586*(1+IF(K$3&lt;=$O$2,$D586,$D586-($D586-$I$562)*MIN(K$3-$O$2,$Q$2)/$Q$2))</f>
        <v>8751.0422043463</v>
      </c>
      <c r="L586" s="15" t="n">
        <f aca="false">K586*(1+IF(L$3&lt;=$O$2,$D586,$D586-($D586-$I$562)*MIN(L$3-$O$2,$Q$2)/$Q$2))</f>
        <v>9111.01822589218</v>
      </c>
      <c r="M586" s="15" t="n">
        <f aca="false">L586*(1+IF(M$3&lt;=$O$2,$D586,$D586-($D586-$I$562)*MIN(M$3-$O$2,$Q$2)/$Q$2))</f>
        <v>9472.88608160223</v>
      </c>
      <c r="N586" s="15" t="n">
        <f aca="false">M586*(1+IF(N$3&lt;=$O$2,$D586,$D586-($D586-$I$562)*MIN(N$3-$O$2,$Q$2)/$Q$2))</f>
        <v>9835.69761852759</v>
      </c>
      <c r="O586" s="15" t="n">
        <f aca="false">SUMPRODUCT(E586:N586,1/(1+$F$562)^$E$3:$N$3)*$E$2</f>
        <v>9810.31727900221</v>
      </c>
      <c r="P586" s="15" t="n">
        <f aca="false">N586*$E$2*(1+$I$562)/($F$562-$I$562)/(1+$F$562)^$N$3</f>
        <v>12779.597590166</v>
      </c>
      <c r="Q586" s="15" t="n">
        <f aca="false">O586+P586</f>
        <v>22589.9148691682</v>
      </c>
      <c r="R586" s="15" t="n">
        <f aca="false">Q586-$G$2+$I$2</f>
        <v>17290.0148691682</v>
      </c>
      <c r="S586" s="42" t="n">
        <f aca="false">R586/$K$2</f>
        <v>147.174113629283</v>
      </c>
      <c r="T586" s="43" t="n">
        <f aca="false">S586-$M$2</f>
        <v>0.000126567655541976</v>
      </c>
    </row>
    <row r="587" customFormat="false" ht="15" hidden="false" customHeight="false" outlineLevel="0" collapsed="false">
      <c r="A587" s="5" t="n">
        <v>24</v>
      </c>
      <c r="B587" s="25" t="n">
        <f aca="false">IF(T586&gt;0,B586,D586)</f>
        <v>0.045387864112854</v>
      </c>
      <c r="C587" s="25" t="n">
        <f aca="false">IF(T586&gt;0,D586,C586)</f>
        <v>0.0453880429267883</v>
      </c>
      <c r="D587" s="41" t="n">
        <f aca="false">(B587+C587)/2</f>
        <v>0.0453879535198212</v>
      </c>
      <c r="E587" s="15" t="n">
        <f aca="false">$C$2*(1+IF(E$3&lt;=$O$2,$D587,$D587-($D587-$I$562)*MIN(E$3-$O$2,$Q$2)/$Q$2))</f>
        <v>6732.29842066765</v>
      </c>
      <c r="F587" s="15" t="n">
        <f aca="false">E587*(1+IF(F$3&lt;=$O$2,$D587,$D587-($D587-$I$562)*MIN(F$3-$O$2,$Q$2)/$Q$2))</f>
        <v>7037.86366846648</v>
      </c>
      <c r="G587" s="15" t="n">
        <f aca="false">F587*(1+IF(G$3&lt;=$O$2,$D587,$D587-($D587-$I$562)*MIN(G$3-$O$2,$Q$2)/$Q$2))</f>
        <v>7357.29789752967</v>
      </c>
      <c r="H587" s="15" t="n">
        <f aca="false">G587*(1+IF(H$3&lt;=$O$2,$D587,$D587-($D587-$I$562)*MIN(H$3-$O$2,$Q$2)/$Q$2))</f>
        <v>7691.23059253423</v>
      </c>
      <c r="I587" s="15" t="n">
        <f aca="false">H587*(1+IF(I$3&lt;=$O$2,$D587,$D587-($D587-$I$562)*MIN(I$3-$O$2,$Q$2)/$Q$2))</f>
        <v>8040.3198091784</v>
      </c>
      <c r="J587" s="15" t="n">
        <f aca="false">I587*(1+IF(J$3&lt;=$O$2,$D587,$D587-($D587-$I$562)*MIN(J$3-$O$2,$Q$2)/$Q$2))</f>
        <v>8393.85558834349</v>
      </c>
      <c r="K587" s="15" t="n">
        <f aca="false">J587*(1+IF(K$3&lt;=$O$2,$D587,$D587-($D587-$I$562)*MIN(K$3-$O$2,$Q$2)/$Q$2))</f>
        <v>8751.03741233441</v>
      </c>
      <c r="L587" s="15" t="n">
        <f aca="false">K587*(1+IF(L$3&lt;=$O$2,$D587,$D587-($D587-$I$562)*MIN(L$3-$O$2,$Q$2)/$Q$2))</f>
        <v>9111.01292379836</v>
      </c>
      <c r="M587" s="15" t="n">
        <f aca="false">L587*(1+IF(M$3&lt;=$O$2,$D587,$D587-($D587-$I$562)*MIN(M$3-$O$2,$Q$2)/$Q$2))</f>
        <v>9472.88040600431</v>
      </c>
      <c r="N587" s="15" t="n">
        <f aca="false">M587*(1+IF(N$3&lt;=$O$2,$D587,$D587-($D587-$I$562)*MIN(N$3-$O$2,$Q$2)/$Q$2))</f>
        <v>9835.69172555427</v>
      </c>
      <c r="O587" s="15" t="n">
        <f aca="false">SUMPRODUCT(E587:N587,1/(1+$F$562)^$E$3:$N$3)*$E$2</f>
        <v>9810.3135087004</v>
      </c>
      <c r="P587" s="15" t="n">
        <f aca="false">N587*$E$2*(1+$I$562)/($F$562-$I$562)/(1+$F$562)^$N$3</f>
        <v>12779.5899333804</v>
      </c>
      <c r="Q587" s="15" t="n">
        <f aca="false">O587+P587</f>
        <v>22589.9034420808</v>
      </c>
      <c r="R587" s="15" t="n">
        <f aca="false">Q587-$G$2+$I$2</f>
        <v>17290.0034420808</v>
      </c>
      <c r="S587" s="42" t="n">
        <f aca="false">R587/$K$2</f>
        <v>147.174016360919</v>
      </c>
      <c r="T587" s="43" t="n">
        <f aca="false">S587-$M$2</f>
        <v>2.92992917820811E-005</v>
      </c>
    </row>
    <row r="589" customFormat="false" ht="15" hidden="false" customHeight="false" outlineLevel="0" collapsed="false">
      <c r="A589" s="38" t="s">
        <v>201</v>
      </c>
      <c r="E589" s="5" t="s">
        <v>11</v>
      </c>
      <c r="F589" s="12" t="n">
        <f aca="false">Sensitivity!$B$14</f>
        <v>0.104988656731527</v>
      </c>
      <c r="G589" s="5" t="s">
        <v>12</v>
      </c>
      <c r="I589" s="12" t="n">
        <f aca="false">Sensitivity!$C$9</f>
        <v>0.0183</v>
      </c>
    </row>
    <row r="590" customFormat="false" ht="23.85" hidden="false" customHeight="false" outlineLevel="0" collapsed="false">
      <c r="A590" s="38" t="s">
        <v>161</v>
      </c>
      <c r="B590" s="28" t="s">
        <v>162</v>
      </c>
      <c r="C590" s="28" t="s">
        <v>163</v>
      </c>
      <c r="D590" s="28" t="s">
        <v>164</v>
      </c>
      <c r="E590" s="28" t="s">
        <v>165</v>
      </c>
      <c r="F590" s="28" t="s">
        <v>166</v>
      </c>
      <c r="G590" s="28" t="s">
        <v>167</v>
      </c>
      <c r="H590" s="28" t="s">
        <v>168</v>
      </c>
      <c r="I590" s="28" t="s">
        <v>169</v>
      </c>
      <c r="J590" s="28" t="s">
        <v>170</v>
      </c>
      <c r="K590" s="28" t="s">
        <v>171</v>
      </c>
      <c r="L590" s="28" t="s">
        <v>172</v>
      </c>
      <c r="M590" s="28" t="s">
        <v>173</v>
      </c>
      <c r="N590" s="28" t="s">
        <v>174</v>
      </c>
      <c r="O590" s="28" t="s">
        <v>175</v>
      </c>
      <c r="P590" s="28" t="s">
        <v>176</v>
      </c>
      <c r="Q590" s="28" t="s">
        <v>177</v>
      </c>
      <c r="R590" s="28" t="s">
        <v>178</v>
      </c>
      <c r="S590" s="28" t="s">
        <v>179</v>
      </c>
      <c r="T590" s="28" t="s">
        <v>180</v>
      </c>
    </row>
    <row r="591" customFormat="false" ht="15" hidden="false" customHeight="false" outlineLevel="0" collapsed="false">
      <c r="A591" s="5" t="n">
        <v>1</v>
      </c>
      <c r="B591" s="24" t="n">
        <v>-0.5</v>
      </c>
      <c r="C591" s="24" t="n">
        <v>1</v>
      </c>
      <c r="D591" s="41" t="n">
        <f aca="false">(B591+C591)/2</f>
        <v>0.25</v>
      </c>
      <c r="E591" s="15" t="n">
        <f aca="false">$C$2*(1+IF(E$3&lt;=$O$2,$D591,$D591-($D591-$I$589)*MIN(E$3-$O$2,$Q$2)/$Q$2))</f>
        <v>8050</v>
      </c>
      <c r="F591" s="15" t="n">
        <f aca="false">E591*(1+IF(F$3&lt;=$O$2,$D591,$D591-($D591-$I$589)*MIN(F$3-$O$2,$Q$2)/$Q$2))</f>
        <v>10062.5</v>
      </c>
      <c r="G591" s="15" t="n">
        <f aca="false">F591*(1+IF(G$3&lt;=$O$2,$D591,$D591-($D591-$I$589)*MIN(G$3-$O$2,$Q$2)/$Q$2))</f>
        <v>12578.125</v>
      </c>
      <c r="H591" s="15" t="n">
        <f aca="false">G591*(1+IF(H$3&lt;=$O$2,$D591,$D591-($D591-$I$589)*MIN(H$3-$O$2,$Q$2)/$Q$2))</f>
        <v>15722.65625</v>
      </c>
      <c r="I591" s="15" t="n">
        <f aca="false">H591*(1+IF(I$3&lt;=$O$2,$D591,$D591-($D591-$I$589)*MIN(I$3-$O$2,$Q$2)/$Q$2))</f>
        <v>19653.3203125</v>
      </c>
      <c r="J591" s="15" t="n">
        <f aca="false">I591*(1+IF(J$3&lt;=$O$2,$D591,$D591-($D591-$I$589)*MIN(J$3-$O$2,$Q$2)/$Q$2))</f>
        <v>23655.9155273438</v>
      </c>
      <c r="K591" s="15" t="n">
        <f aca="false">J591*(1+IF(K$3&lt;=$O$2,$D591,$D591-($D591-$I$589)*MIN(K$3-$O$2,$Q$2)/$Q$2))</f>
        <v>27377.4641581055</v>
      </c>
      <c r="L591" s="15" t="n">
        <f aca="false">K591*(1+IF(L$3&lt;=$O$2,$D591,$D591-($D591-$I$589)*MIN(L$3-$O$2,$Q$2)/$Q$2))</f>
        <v>30415.815130372</v>
      </c>
      <c r="M591" s="15" t="n">
        <f aca="false">L591*(1+IF(M$3&lt;=$O$2,$D591,$D591-($D591-$I$589)*MIN(M$3-$O$2,$Q$2)/$Q$2))</f>
        <v>32381.8934203993</v>
      </c>
      <c r="N591" s="15" t="n">
        <f aca="false">M591*(1+IF(N$3&lt;=$O$2,$D591,$D591-($D591-$I$589)*MIN(N$3-$O$2,$Q$2)/$Q$2))</f>
        <v>32974.4820699926</v>
      </c>
      <c r="O591" s="15" t="n">
        <f aca="false">SUMPRODUCT(E591:N591,1/(1+$F$589)^$E$3:$N$3)*$E$2</f>
        <v>22613.7004214387</v>
      </c>
      <c r="P591" s="15" t="n">
        <f aca="false">N591*$E$2*(1+$I$589)/($F$589-$I$589)/(1+$F$589)^$N$3</f>
        <v>28575.2337412755</v>
      </c>
      <c r="Q591" s="15" t="n">
        <f aca="false">O591+P591</f>
        <v>51188.9341627142</v>
      </c>
      <c r="R591" s="15" t="n">
        <f aca="false">Q591-$G$2+$I$2</f>
        <v>45889.0341627142</v>
      </c>
      <c r="S591" s="42" t="n">
        <f aca="false">R591/$K$2</f>
        <v>390.61145865436</v>
      </c>
      <c r="T591" s="43" t="n">
        <f aca="false">S591-$M$2</f>
        <v>243.437471592732</v>
      </c>
    </row>
    <row r="592" customFormat="false" ht="15" hidden="false" customHeight="false" outlineLevel="0" collapsed="false">
      <c r="A592" s="5" t="n">
        <v>2</v>
      </c>
      <c r="B592" s="25" t="n">
        <f aca="false">IF(T591&gt;0,B591,D591)</f>
        <v>-0.5</v>
      </c>
      <c r="C592" s="25" t="n">
        <f aca="false">IF(T591&gt;0,D591,C591)</f>
        <v>0.25</v>
      </c>
      <c r="D592" s="41" t="n">
        <f aca="false">(B592+C592)/2</f>
        <v>-0.125</v>
      </c>
      <c r="E592" s="15" t="n">
        <f aca="false">$C$2*(1+IF(E$3&lt;=$O$2,$D592,$D592-($D592-$I$589)*MIN(E$3-$O$2,$Q$2)/$Q$2))</f>
        <v>5635</v>
      </c>
      <c r="F592" s="15" t="n">
        <f aca="false">E592*(1+IF(F$3&lt;=$O$2,$D592,$D592-($D592-$I$589)*MIN(F$3-$O$2,$Q$2)/$Q$2))</f>
        <v>4930.625</v>
      </c>
      <c r="G592" s="15" t="n">
        <f aca="false">F592*(1+IF(G$3&lt;=$O$2,$D592,$D592-($D592-$I$589)*MIN(G$3-$O$2,$Q$2)/$Q$2))</f>
        <v>4314.296875</v>
      </c>
      <c r="H592" s="15" t="n">
        <f aca="false">G592*(1+IF(H$3&lt;=$O$2,$D592,$D592-($D592-$I$589)*MIN(H$3-$O$2,$Q$2)/$Q$2))</f>
        <v>3775.009765625</v>
      </c>
      <c r="I592" s="15" t="n">
        <f aca="false">H592*(1+IF(I$3&lt;=$O$2,$D592,$D592-($D592-$I$589)*MIN(I$3-$O$2,$Q$2)/$Q$2))</f>
        <v>3303.13354492188</v>
      </c>
      <c r="J592" s="15" t="n">
        <f aca="false">I592*(1+IF(J$3&lt;=$O$2,$D592,$D592-($D592-$I$589)*MIN(J$3-$O$2,$Q$2)/$Q$2))</f>
        <v>2984.9096592041</v>
      </c>
      <c r="K592" s="15" t="n">
        <f aca="false">J592*(1+IF(K$3&lt;=$O$2,$D592,$D592-($D592-$I$589)*MIN(K$3-$O$2,$Q$2)/$Q$2))</f>
        <v>2782.89097346917</v>
      </c>
      <c r="L592" s="15" t="n">
        <f aca="false">K592*(1+IF(L$3&lt;=$O$2,$D592,$D592-($D592-$I$589)*MIN(L$3-$O$2,$Q$2)/$Q$2))</f>
        <v>2674.3025676844</v>
      </c>
      <c r="M592" s="15" t="n">
        <f aca="false">L592*(1+IF(M$3&lt;=$O$2,$D592,$D592-($D592-$I$589)*MIN(M$3-$O$2,$Q$2)/$Q$2))</f>
        <v>2646.59679308319</v>
      </c>
      <c r="N592" s="15" t="n">
        <f aca="false">M592*(1+IF(N$3&lt;=$O$2,$D592,$D592-($D592-$I$589)*MIN(N$3-$O$2,$Q$2)/$Q$2))</f>
        <v>2695.02951439661</v>
      </c>
      <c r="O592" s="15" t="n">
        <f aca="false">SUMPRODUCT(E592:N592,1/(1+$F$589)^$E$3:$N$3)*$E$2</f>
        <v>4638.76031644292</v>
      </c>
      <c r="P592" s="15" t="n">
        <f aca="false">N592*$E$2*(1+$I$589)/($F$589-$I$589)/(1+$F$589)^$N$3</f>
        <v>2335.47560049779</v>
      </c>
      <c r="Q592" s="15" t="n">
        <f aca="false">O592+P592</f>
        <v>6974.23591694071</v>
      </c>
      <c r="R592" s="15" t="n">
        <f aca="false">Q592-$G$2+$I$2</f>
        <v>1674.33591694071</v>
      </c>
      <c r="S592" s="42" t="n">
        <f aca="false">R592/$K$2</f>
        <v>14.2520932664344</v>
      </c>
      <c r="T592" s="43" t="n">
        <f aca="false">S592-$M$2</f>
        <v>-132.921893795193</v>
      </c>
    </row>
    <row r="593" customFormat="false" ht="15" hidden="false" customHeight="false" outlineLevel="0" collapsed="false">
      <c r="A593" s="5" t="n">
        <v>3</v>
      </c>
      <c r="B593" s="25" t="n">
        <f aca="false">IF(T592&gt;0,B592,D592)</f>
        <v>-0.125</v>
      </c>
      <c r="C593" s="25" t="n">
        <f aca="false">IF(T592&gt;0,D592,C592)</f>
        <v>0.25</v>
      </c>
      <c r="D593" s="41" t="n">
        <f aca="false">(B593+C593)/2</f>
        <v>0.0625</v>
      </c>
      <c r="E593" s="15" t="n">
        <f aca="false">$C$2*(1+IF(E$3&lt;=$O$2,$D593,$D593-($D593-$I$589)*MIN(E$3-$O$2,$Q$2)/$Q$2))</f>
        <v>6842.5</v>
      </c>
      <c r="F593" s="15" t="n">
        <f aca="false">E593*(1+IF(F$3&lt;=$O$2,$D593,$D593-($D593-$I$589)*MIN(F$3-$O$2,$Q$2)/$Q$2))</f>
        <v>7270.15625</v>
      </c>
      <c r="G593" s="15" t="n">
        <f aca="false">F593*(1+IF(G$3&lt;=$O$2,$D593,$D593-($D593-$I$589)*MIN(G$3-$O$2,$Q$2)/$Q$2))</f>
        <v>7724.541015625</v>
      </c>
      <c r="H593" s="15" t="n">
        <f aca="false">G593*(1+IF(H$3&lt;=$O$2,$D593,$D593-($D593-$I$589)*MIN(H$3-$O$2,$Q$2)/$Q$2))</f>
        <v>8207.32482910156</v>
      </c>
      <c r="I593" s="15" t="n">
        <f aca="false">H593*(1+IF(I$3&lt;=$O$2,$D593,$D593-($D593-$I$589)*MIN(I$3-$O$2,$Q$2)/$Q$2))</f>
        <v>8720.28263092041</v>
      </c>
      <c r="J593" s="15" t="n">
        <f aca="false">I593*(1+IF(J$3&lt;=$O$2,$D593,$D593-($D593-$I$589)*MIN(J$3-$O$2,$Q$2)/$Q$2))</f>
        <v>9188.2129968956</v>
      </c>
      <c r="K593" s="15" t="n">
        <f aca="false">J593*(1+IF(K$3&lt;=$O$2,$D593,$D593-($D593-$I$589)*MIN(K$3-$O$2,$Q$2)/$Q$2))</f>
        <v>9600.02870341646</v>
      </c>
      <c r="L593" s="15" t="n">
        <f aca="false">K593*(1+IF(L$3&lt;=$O$2,$D593,$D593-($D593-$I$589)*MIN(L$3-$O$2,$Q$2)/$Q$2))</f>
        <v>9945.43773616538</v>
      </c>
      <c r="M593" s="15" t="n">
        <f aca="false">L593*(1+IF(M$3&lt;=$O$2,$D593,$D593-($D593-$I$589)*MIN(M$3-$O$2,$Q$2)/$Q$2))</f>
        <v>10215.3569163249</v>
      </c>
      <c r="N593" s="15" t="n">
        <f aca="false">M593*(1+IF(N$3&lt;=$O$2,$D593,$D593-($D593-$I$589)*MIN(N$3-$O$2,$Q$2)/$Q$2))</f>
        <v>10402.2979478937</v>
      </c>
      <c r="O593" s="15" t="n">
        <f aca="false">SUMPRODUCT(E593:N593,1/(1+$F$589)^$E$3:$N$3)*$E$2</f>
        <v>10202.1108162617</v>
      </c>
      <c r="P593" s="15" t="n">
        <f aca="false">N593*$E$2*(1+$I$589)/($F$589-$I$589)/(1+$F$589)^$N$3</f>
        <v>9014.48867874573</v>
      </c>
      <c r="Q593" s="15" t="n">
        <f aca="false">O593+P593</f>
        <v>19216.5994950075</v>
      </c>
      <c r="R593" s="15" t="n">
        <f aca="false">Q593-$G$2+$I$2</f>
        <v>13916.6994950075</v>
      </c>
      <c r="S593" s="42" t="n">
        <f aca="false">R593/$K$2</f>
        <v>118.460159133533</v>
      </c>
      <c r="T593" s="43" t="n">
        <f aca="false">S593-$M$2</f>
        <v>-28.7138279280944</v>
      </c>
    </row>
    <row r="594" customFormat="false" ht="15" hidden="false" customHeight="false" outlineLevel="0" collapsed="false">
      <c r="A594" s="5" t="n">
        <v>4</v>
      </c>
      <c r="B594" s="25" t="n">
        <f aca="false">IF(T593&gt;0,B593,D593)</f>
        <v>0.0625</v>
      </c>
      <c r="C594" s="25" t="n">
        <f aca="false">IF(T593&gt;0,D593,C593)</f>
        <v>0.25</v>
      </c>
      <c r="D594" s="41" t="n">
        <f aca="false">(B594+C594)/2</f>
        <v>0.15625</v>
      </c>
      <c r="E594" s="15" t="n">
        <f aca="false">$C$2*(1+IF(E$3&lt;=$O$2,$D594,$D594-($D594-$I$589)*MIN(E$3-$O$2,$Q$2)/$Q$2))</f>
        <v>7446.25</v>
      </c>
      <c r="F594" s="15" t="n">
        <f aca="false">E594*(1+IF(F$3&lt;=$O$2,$D594,$D594-($D594-$I$589)*MIN(F$3-$O$2,$Q$2)/$Q$2))</f>
        <v>8609.7265625</v>
      </c>
      <c r="G594" s="15" t="n">
        <f aca="false">F594*(1+IF(G$3&lt;=$O$2,$D594,$D594-($D594-$I$589)*MIN(G$3-$O$2,$Q$2)/$Q$2))</f>
        <v>9954.99633789063</v>
      </c>
      <c r="H594" s="15" t="n">
        <f aca="false">G594*(1+IF(H$3&lt;=$O$2,$D594,$D594-($D594-$I$589)*MIN(H$3-$O$2,$Q$2)/$Q$2))</f>
        <v>11510.464515686</v>
      </c>
      <c r="I594" s="15" t="n">
        <f aca="false">H594*(1+IF(I$3&lt;=$O$2,$D594,$D594-($D594-$I$589)*MIN(I$3-$O$2,$Q$2)/$Q$2))</f>
        <v>13308.974596262</v>
      </c>
      <c r="J594" s="15" t="n">
        <f aca="false">I594*(1+IF(J$3&lt;=$O$2,$D594,$D594-($D594-$I$589)*MIN(J$3-$O$2,$Q$2)/$Q$2))</f>
        <v>15021.307267817</v>
      </c>
      <c r="K594" s="15" t="n">
        <f aca="false">J594*(1+IF(K$3&lt;=$O$2,$D594,$D594-($D594-$I$589)*MIN(K$3-$O$2,$Q$2)/$Q$2))</f>
        <v>16539.5107933753</v>
      </c>
      <c r="L594" s="15" t="n">
        <f aca="false">K594*(1+IF(L$3&lt;=$O$2,$D594,$D594-($D594-$I$589)*MIN(L$3-$O$2,$Q$2)/$Q$2))</f>
        <v>17754.8340464725</v>
      </c>
      <c r="M594" s="15" t="n">
        <f aca="false">L594*(1+IF(M$3&lt;=$O$2,$D594,$D594-($D594-$I$589)*MIN(M$3-$O$2,$Q$2)/$Q$2))</f>
        <v>18569.6033808652</v>
      </c>
      <c r="N594" s="15" t="n">
        <f aca="false">M594*(1+IF(N$3&lt;=$O$2,$D594,$D594-($D594-$I$589)*MIN(N$3-$O$2,$Q$2)/$Q$2))</f>
        <v>18909.427122735</v>
      </c>
      <c r="O594" s="15" t="n">
        <f aca="false">SUMPRODUCT(E594:N594,1/(1+$F$589)^$E$3:$N$3)*$E$2</f>
        <v>15207.7056483313</v>
      </c>
      <c r="P594" s="15" t="n">
        <f aca="false">N594*$E$2*(1+$I$589)/($F$589-$I$589)/(1+$F$589)^$N$3</f>
        <v>16386.650101094</v>
      </c>
      <c r="Q594" s="15" t="n">
        <f aca="false">O594+P594</f>
        <v>31594.3557494254</v>
      </c>
      <c r="R594" s="15" t="n">
        <f aca="false">Q594-$G$2+$I$2</f>
        <v>26294.4557494254</v>
      </c>
      <c r="S594" s="42" t="n">
        <f aca="false">R594/$K$2</f>
        <v>223.820699263069</v>
      </c>
      <c r="T594" s="43" t="n">
        <f aca="false">S594-$M$2</f>
        <v>76.6467122014418</v>
      </c>
    </row>
    <row r="595" customFormat="false" ht="15" hidden="false" customHeight="false" outlineLevel="0" collapsed="false">
      <c r="A595" s="5" t="n">
        <v>5</v>
      </c>
      <c r="B595" s="25" t="n">
        <f aca="false">IF(T594&gt;0,B594,D594)</f>
        <v>0.0625</v>
      </c>
      <c r="C595" s="25" t="n">
        <f aca="false">IF(T594&gt;0,D594,C594)</f>
        <v>0.15625</v>
      </c>
      <c r="D595" s="41" t="n">
        <f aca="false">(B595+C595)/2</f>
        <v>0.109375</v>
      </c>
      <c r="E595" s="15" t="n">
        <f aca="false">$C$2*(1+IF(E$3&lt;=$O$2,$D595,$D595-($D595-$I$589)*MIN(E$3-$O$2,$Q$2)/$Q$2))</f>
        <v>7144.375</v>
      </c>
      <c r="F595" s="15" t="n">
        <f aca="false">E595*(1+IF(F$3&lt;=$O$2,$D595,$D595-($D595-$I$589)*MIN(F$3-$O$2,$Q$2)/$Q$2))</f>
        <v>7925.791015625</v>
      </c>
      <c r="G595" s="15" t="n">
        <f aca="false">F595*(1+IF(G$3&lt;=$O$2,$D595,$D595-($D595-$I$589)*MIN(G$3-$O$2,$Q$2)/$Q$2))</f>
        <v>8792.67440795898</v>
      </c>
      <c r="H595" s="15" t="n">
        <f aca="false">G595*(1+IF(H$3&lt;=$O$2,$D595,$D595-($D595-$I$589)*MIN(H$3-$O$2,$Q$2)/$Q$2))</f>
        <v>9754.3731713295</v>
      </c>
      <c r="I595" s="15" t="n">
        <f aca="false">H595*(1+IF(I$3&lt;=$O$2,$D595,$D595-($D595-$I$589)*MIN(I$3-$O$2,$Q$2)/$Q$2))</f>
        <v>10821.2577369437</v>
      </c>
      <c r="J595" s="15" t="n">
        <f aca="false">I595*(1+IF(J$3&lt;=$O$2,$D595,$D595-($D595-$I$589)*MIN(J$3-$O$2,$Q$2)/$Q$2))</f>
        <v>11807.7235922434</v>
      </c>
      <c r="K595" s="15" t="n">
        <f aca="false">J595*(1+IF(K$3&lt;=$O$2,$D595,$D595-($D595-$I$589)*MIN(K$3-$O$2,$Q$2)/$Q$2))</f>
        <v>12669.0379896796</v>
      </c>
      <c r="L595" s="15" t="n">
        <f aca="false">K595*(1+IF(L$3&lt;=$O$2,$D595,$D595-($D595-$I$589)*MIN(L$3-$O$2,$Q$2)/$Q$2))</f>
        <v>13362.4144388548</v>
      </c>
      <c r="M595" s="15" t="n">
        <f aca="false">L595*(1+IF(M$3&lt;=$O$2,$D595,$D595-($D595-$I$589)*MIN(M$3-$O$2,$Q$2)/$Q$2))</f>
        <v>13850.3430020896</v>
      </c>
      <c r="N595" s="15" t="n">
        <f aca="false">M595*(1+IF(N$3&lt;=$O$2,$D595,$D595-($D595-$I$589)*MIN(N$3-$O$2,$Q$2)/$Q$2))</f>
        <v>14103.8042790278</v>
      </c>
      <c r="O595" s="15" t="n">
        <f aca="false">SUMPRODUCT(E595:N595,1/(1+$F$589)^$E$3:$N$3)*$E$2</f>
        <v>12456.6533834431</v>
      </c>
      <c r="P595" s="15" t="n">
        <f aca="false">N595*$E$2*(1+$I$589)/($F$589-$I$589)/(1+$F$589)^$N$3</f>
        <v>12222.1632794402</v>
      </c>
      <c r="Q595" s="15" t="n">
        <f aca="false">O595+P595</f>
        <v>24678.8166628832</v>
      </c>
      <c r="R595" s="15" t="n">
        <f aca="false">Q595-$G$2+$I$2</f>
        <v>19378.9166628832</v>
      </c>
      <c r="S595" s="42" t="n">
        <f aca="false">R595/$K$2</f>
        <v>164.955027773947</v>
      </c>
      <c r="T595" s="43" t="n">
        <f aca="false">S595-$M$2</f>
        <v>17.7810407123191</v>
      </c>
    </row>
    <row r="596" customFormat="false" ht="15" hidden="false" customHeight="false" outlineLevel="0" collapsed="false">
      <c r="A596" s="5" t="n">
        <v>6</v>
      </c>
      <c r="B596" s="25" t="n">
        <f aca="false">IF(T595&gt;0,B595,D595)</f>
        <v>0.0625</v>
      </c>
      <c r="C596" s="25" t="n">
        <f aca="false">IF(T595&gt;0,D595,C595)</f>
        <v>0.109375</v>
      </c>
      <c r="D596" s="41" t="n">
        <f aca="false">(B596+C596)/2</f>
        <v>0.0859375</v>
      </c>
      <c r="E596" s="15" t="n">
        <f aca="false">$C$2*(1+IF(E$3&lt;=$O$2,$D596,$D596-($D596-$I$589)*MIN(E$3-$O$2,$Q$2)/$Q$2))</f>
        <v>6993.4375</v>
      </c>
      <c r="F596" s="15" t="n">
        <f aca="false">E596*(1+IF(F$3&lt;=$O$2,$D596,$D596-($D596-$I$589)*MIN(F$3-$O$2,$Q$2)/$Q$2))</f>
        <v>7594.43603515625</v>
      </c>
      <c r="G596" s="15" t="n">
        <f aca="false">F596*(1+IF(G$3&lt;=$O$2,$D596,$D596-($D596-$I$589)*MIN(G$3-$O$2,$Q$2)/$Q$2))</f>
        <v>8247.08288192749</v>
      </c>
      <c r="H596" s="15" t="n">
        <f aca="false">G596*(1+IF(H$3&lt;=$O$2,$D596,$D596-($D596-$I$589)*MIN(H$3-$O$2,$Q$2)/$Q$2))</f>
        <v>8955.81656709313</v>
      </c>
      <c r="I596" s="15" t="n">
        <f aca="false">H596*(1+IF(I$3&lt;=$O$2,$D596,$D596-($D596-$I$589)*MIN(I$3-$O$2,$Q$2)/$Q$2))</f>
        <v>9725.4570533277</v>
      </c>
      <c r="J596" s="15" t="n">
        <f aca="false">I596*(1+IF(J$3&lt;=$O$2,$D596,$D596-($D596-$I$589)*MIN(J$3-$O$2,$Q$2)/$Q$2))</f>
        <v>10429.6773985592</v>
      </c>
      <c r="K596" s="15" t="n">
        <f aca="false">J596*(1+IF(K$3&lt;=$O$2,$D596,$D596-($D596-$I$589)*MIN(K$3-$O$2,$Q$2)/$Q$2))</f>
        <v>11043.8028779798</v>
      </c>
      <c r="L596" s="15" t="n">
        <f aca="false">K596*(1+IF(L$3&lt;=$O$2,$D596,$D596-($D596-$I$589)*MIN(L$3-$O$2,$Q$2)/$Q$2))</f>
        <v>11544.6945575106</v>
      </c>
      <c r="M596" s="15" t="n">
        <f aca="false">L596*(1+IF(M$3&lt;=$O$2,$D596,$D596-($D596-$I$589)*MIN(M$3-$O$2,$Q$2)/$Q$2))</f>
        <v>11912.1333235398</v>
      </c>
      <c r="N596" s="15" t="n">
        <f aca="false">M596*(1+IF(N$3&lt;=$O$2,$D596,$D596-($D596-$I$589)*MIN(N$3-$O$2,$Q$2)/$Q$2))</f>
        <v>12130.1253633605</v>
      </c>
      <c r="O596" s="15" t="n">
        <f aca="false">SUMPRODUCT(E596:N596,1/(1+$F$589)^$E$3:$N$3)*$E$2</f>
        <v>11272.9331189683</v>
      </c>
      <c r="P596" s="15" t="n">
        <f aca="false">N596*$E$2*(1+$I$589)/($F$589-$I$589)/(1+$F$589)^$N$3</f>
        <v>10511.8002106372</v>
      </c>
      <c r="Q596" s="15" t="n">
        <f aca="false">O596+P596</f>
        <v>21784.7333296055</v>
      </c>
      <c r="R596" s="15" t="n">
        <f aca="false">Q596-$G$2+$I$2</f>
        <v>16484.8333296055</v>
      </c>
      <c r="S596" s="42" t="n">
        <f aca="false">R596/$K$2</f>
        <v>140.320338181865</v>
      </c>
      <c r="T596" s="43" t="n">
        <f aca="false">S596-$M$2</f>
        <v>-6.85364887976223</v>
      </c>
    </row>
    <row r="597" customFormat="false" ht="15" hidden="false" customHeight="false" outlineLevel="0" collapsed="false">
      <c r="A597" s="5" t="n">
        <v>7</v>
      </c>
      <c r="B597" s="25" t="n">
        <f aca="false">IF(T596&gt;0,B596,D596)</f>
        <v>0.0859375</v>
      </c>
      <c r="C597" s="25" t="n">
        <f aca="false">IF(T596&gt;0,D596,C596)</f>
        <v>0.109375</v>
      </c>
      <c r="D597" s="41" t="n">
        <f aca="false">(B597+C597)/2</f>
        <v>0.09765625</v>
      </c>
      <c r="E597" s="15" t="n">
        <f aca="false">$C$2*(1+IF(E$3&lt;=$O$2,$D597,$D597-($D597-$I$589)*MIN(E$3-$O$2,$Q$2)/$Q$2))</f>
        <v>7068.90625</v>
      </c>
      <c r="F597" s="15" t="n">
        <f aca="false">E597*(1+IF(F$3&lt;=$O$2,$D597,$D597-($D597-$I$589)*MIN(F$3-$O$2,$Q$2)/$Q$2))</f>
        <v>7759.22912597656</v>
      </c>
      <c r="G597" s="15" t="n">
        <f aca="false">F597*(1+IF(G$3&lt;=$O$2,$D597,$D597-($D597-$I$589)*MIN(G$3-$O$2,$Q$2)/$Q$2))</f>
        <v>8516.96634531021</v>
      </c>
      <c r="H597" s="15" t="n">
        <f aca="false">G597*(1+IF(H$3&lt;=$O$2,$D597,$D597-($D597-$I$589)*MIN(H$3-$O$2,$Q$2)/$Q$2))</f>
        <v>9348.70133996941</v>
      </c>
      <c r="I597" s="15" t="n">
        <f aca="false">H597*(1+IF(I$3&lt;=$O$2,$D597,$D597-($D597-$I$589)*MIN(I$3-$O$2,$Q$2)/$Q$2))</f>
        <v>10261.6604552008</v>
      </c>
      <c r="J597" s="15" t="n">
        <f aca="false">I597*(1+IF(J$3&lt;=$O$2,$D597,$D597-($D597-$I$589)*MIN(J$3-$O$2,$Q$2)/$Q$2))</f>
        <v>11100.9103555294</v>
      </c>
      <c r="K597" s="15" t="n">
        <f aca="false">J597*(1+IF(K$3&lt;=$O$2,$D597,$D597-($D597-$I$589)*MIN(K$3-$O$2,$Q$2)/$Q$2))</f>
        <v>11832.6129854762</v>
      </c>
      <c r="L597" s="15" t="n">
        <f aca="false">K597*(1+IF(L$3&lt;=$O$2,$D597,$D597-($D597-$I$589)*MIN(L$3-$O$2,$Q$2)/$Q$2))</f>
        <v>12424.7465208019</v>
      </c>
      <c r="M597" s="15" t="n">
        <f aca="false">L597*(1+IF(M$3&lt;=$O$2,$D597,$D597-($D597-$I$589)*MIN(M$3-$O$2,$Q$2)/$Q$2))</f>
        <v>12849.3156403508</v>
      </c>
      <c r="N597" s="15" t="n">
        <f aca="false">M597*(1+IF(N$3&lt;=$O$2,$D597,$D597-($D597-$I$589)*MIN(N$3-$O$2,$Q$2)/$Q$2))</f>
        <v>13084.4581165692</v>
      </c>
      <c r="O597" s="15" t="n">
        <f aca="false">SUMPRODUCT(E597:N597,1/(1+$F$589)^$E$3:$N$3)*$E$2</f>
        <v>11850.0143323471</v>
      </c>
      <c r="P597" s="15" t="n">
        <f aca="false">N597*$E$2*(1+$I$589)/($F$589-$I$589)/(1+$F$589)^$N$3</f>
        <v>11338.8118808133</v>
      </c>
      <c r="Q597" s="15" t="n">
        <f aca="false">O597+P597</f>
        <v>23188.8262131603</v>
      </c>
      <c r="R597" s="15" t="n">
        <f aca="false">Q597-$G$2+$I$2</f>
        <v>17888.9262131603</v>
      </c>
      <c r="S597" s="42" t="n">
        <f aca="false">R597/$K$2</f>
        <v>152.272099192716</v>
      </c>
      <c r="T597" s="43" t="n">
        <f aca="false">S597-$M$2</f>
        <v>5.09811213108875</v>
      </c>
    </row>
    <row r="598" customFormat="false" ht="15" hidden="false" customHeight="false" outlineLevel="0" collapsed="false">
      <c r="A598" s="5" t="n">
        <v>8</v>
      </c>
      <c r="B598" s="25" t="n">
        <f aca="false">IF(T597&gt;0,B597,D597)</f>
        <v>0.0859375</v>
      </c>
      <c r="C598" s="25" t="n">
        <f aca="false">IF(T597&gt;0,D597,C597)</f>
        <v>0.09765625</v>
      </c>
      <c r="D598" s="41" t="n">
        <f aca="false">(B598+C598)/2</f>
        <v>0.091796875</v>
      </c>
      <c r="E598" s="15" t="n">
        <f aca="false">$C$2*(1+IF(E$3&lt;=$O$2,$D598,$D598-($D598-$I$589)*MIN(E$3-$O$2,$Q$2)/$Q$2))</f>
        <v>7031.171875</v>
      </c>
      <c r="F598" s="15" t="n">
        <f aca="false">E598*(1+IF(F$3&lt;=$O$2,$D598,$D598-($D598-$I$589)*MIN(F$3-$O$2,$Q$2)/$Q$2))</f>
        <v>7676.61148071289</v>
      </c>
      <c r="G598" s="15" t="n">
        <f aca="false">F598*(1+IF(G$3&lt;=$O$2,$D598,$D598-($D598-$I$589)*MIN(G$3-$O$2,$Q$2)/$Q$2))</f>
        <v>8381.30042523146</v>
      </c>
      <c r="H598" s="15" t="n">
        <f aca="false">G598*(1+IF(H$3&lt;=$O$2,$D598,$D598-($D598-$I$589)*MIN(H$3-$O$2,$Q$2)/$Q$2))</f>
        <v>9150.67761270388</v>
      </c>
      <c r="I598" s="15" t="n">
        <f aca="false">H598*(1+IF(I$3&lt;=$O$2,$D598,$D598-($D598-$I$589)*MIN(I$3-$O$2,$Q$2)/$Q$2))</f>
        <v>9990.68122168255</v>
      </c>
      <c r="J598" s="15" t="n">
        <f aca="false">I598*(1+IF(J$3&lt;=$O$2,$D598,$D598-($D598-$I$589)*MIN(J$3-$O$2,$Q$2)/$Q$2))</f>
        <v>10760.9377671712</v>
      </c>
      <c r="K598" s="15" t="n">
        <f aca="false">J598*(1+IF(K$3&lt;=$O$2,$D598,$D598-($D598-$I$589)*MIN(K$3-$O$2,$Q$2)/$Q$2))</f>
        <v>11432.4001070844</v>
      </c>
      <c r="L598" s="15" t="n">
        <f aca="false">K598*(1+IF(L$3&lt;=$O$2,$D598,$D598-($D598-$I$589)*MIN(L$3-$O$2,$Q$2)/$Q$2))</f>
        <v>11977.7113016922</v>
      </c>
      <c r="M598" s="15" t="n">
        <f aca="false">L598*(1+IF(M$3&lt;=$O$2,$D598,$D598-($D598-$I$589)*MIN(M$3-$O$2,$Q$2)/$Q$2))</f>
        <v>12372.9682885785</v>
      </c>
      <c r="N598" s="15" t="n">
        <f aca="false">M598*(1+IF(N$3&lt;=$O$2,$D598,$D598-($D598-$I$589)*MIN(N$3-$O$2,$Q$2)/$Q$2))</f>
        <v>12599.3936082595</v>
      </c>
      <c r="O598" s="15" t="n">
        <f aca="false">SUMPRODUCT(E598:N598,1/(1+$F$589)^$E$3:$N$3)*$E$2</f>
        <v>11557.8644480953</v>
      </c>
      <c r="P598" s="15" t="n">
        <f aca="false">N598*$E$2*(1+$I$589)/($F$589-$I$589)/(1+$F$589)^$N$3</f>
        <v>10918.4616331542</v>
      </c>
      <c r="Q598" s="15" t="n">
        <f aca="false">O598+P598</f>
        <v>22476.3260812495</v>
      </c>
      <c r="R598" s="15" t="n">
        <f aca="false">Q598-$G$2+$I$2</f>
        <v>17176.4260812495</v>
      </c>
      <c r="S598" s="42" t="n">
        <f aca="false">R598/$K$2</f>
        <v>146.207235965692</v>
      </c>
      <c r="T598" s="43" t="n">
        <f aca="false">S598-$M$2</f>
        <v>-0.966751095935194</v>
      </c>
    </row>
    <row r="599" customFormat="false" ht="15" hidden="false" customHeight="false" outlineLevel="0" collapsed="false">
      <c r="A599" s="5" t="n">
        <v>9</v>
      </c>
      <c r="B599" s="25" t="n">
        <f aca="false">IF(T598&gt;0,B598,D598)</f>
        <v>0.091796875</v>
      </c>
      <c r="C599" s="25" t="n">
        <f aca="false">IF(T598&gt;0,D598,C598)</f>
        <v>0.09765625</v>
      </c>
      <c r="D599" s="41" t="n">
        <f aca="false">(B599+C599)/2</f>
        <v>0.0947265625</v>
      </c>
      <c r="E599" s="15" t="n">
        <f aca="false">$C$2*(1+IF(E$3&lt;=$O$2,$D599,$D599-($D599-$I$589)*MIN(E$3-$O$2,$Q$2)/$Q$2))</f>
        <v>7050.0390625</v>
      </c>
      <c r="F599" s="15" t="n">
        <f aca="false">E599*(1+IF(F$3&lt;=$O$2,$D599,$D599-($D599-$I$589)*MIN(F$3-$O$2,$Q$2)/$Q$2))</f>
        <v>7717.86502838135</v>
      </c>
      <c r="G599" s="15" t="n">
        <f aca="false">F599*(1+IF(G$3&lt;=$O$2,$D599,$D599-($D599-$I$589)*MIN(G$3-$O$2,$Q$2)/$Q$2))</f>
        <v>8448.95185235888</v>
      </c>
      <c r="H599" s="15" t="n">
        <f aca="false">G599*(1+IF(H$3&lt;=$O$2,$D599,$D599-($D599-$I$589)*MIN(H$3-$O$2,$Q$2)/$Q$2))</f>
        <v>9249.29201806084</v>
      </c>
      <c r="I599" s="15" t="n">
        <f aca="false">H599*(1+IF(I$3&lt;=$O$2,$D599,$D599-($D599-$I$589)*MIN(I$3-$O$2,$Q$2)/$Q$2))</f>
        <v>10125.4456564904</v>
      </c>
      <c r="J599" s="15" t="n">
        <f aca="false">I599*(1+IF(J$3&lt;=$O$2,$D599,$D599-($D599-$I$589)*MIN(J$3-$O$2,$Q$2)/$Q$2))</f>
        <v>10929.8237162491</v>
      </c>
      <c r="K599" s="15" t="n">
        <f aca="false">J599*(1+IF(K$3&lt;=$O$2,$D599,$D599-($D599-$I$589)*MIN(K$3-$O$2,$Q$2)/$Q$2))</f>
        <v>11631.0368034748</v>
      </c>
      <c r="L599" s="15" t="n">
        <f aca="false">K599*(1+IF(L$3&lt;=$O$2,$D599,$D599-($D599-$I$589)*MIN(L$3-$O$2,$Q$2)/$Q$2))</f>
        <v>12199.4528414586</v>
      </c>
      <c r="M599" s="15" t="n">
        <f aca="false">L599*(1+IF(M$3&lt;=$O$2,$D599,$D599-($D599-$I$589)*MIN(M$3-$O$2,$Q$2)/$Q$2))</f>
        <v>12609.175277468</v>
      </c>
      <c r="N599" s="15" t="n">
        <f aca="false">M599*(1+IF(N$3&lt;=$O$2,$D599,$D599-($D599-$I$589)*MIN(N$3-$O$2,$Q$2)/$Q$2))</f>
        <v>12839.9231850457</v>
      </c>
      <c r="O599" s="15" t="n">
        <f aca="false">SUMPRODUCT(E599:N599,1/(1+$F$589)^$E$3:$N$3)*$E$2</f>
        <v>11703.0265241277</v>
      </c>
      <c r="P599" s="15" t="n">
        <f aca="false">N599*$E$2*(1+$I$589)/($F$589-$I$589)/(1+$F$589)^$N$3</f>
        <v>11126.9012642535</v>
      </c>
      <c r="Q599" s="15" t="n">
        <f aca="false">O599+P599</f>
        <v>22829.9277883812</v>
      </c>
      <c r="R599" s="15" t="n">
        <f aca="false">Q599-$G$2+$I$2</f>
        <v>17530.0277883812</v>
      </c>
      <c r="S599" s="42" t="n">
        <f aca="false">R599/$K$2</f>
        <v>149.217124518055</v>
      </c>
      <c r="T599" s="43" t="n">
        <f aca="false">S599-$M$2</f>
        <v>2.0431374564279</v>
      </c>
    </row>
    <row r="600" customFormat="false" ht="15" hidden="false" customHeight="false" outlineLevel="0" collapsed="false">
      <c r="A600" s="5" t="n">
        <v>10</v>
      </c>
      <c r="B600" s="25" t="n">
        <f aca="false">IF(T599&gt;0,B599,D599)</f>
        <v>0.091796875</v>
      </c>
      <c r="C600" s="25" t="n">
        <f aca="false">IF(T599&gt;0,D599,C599)</f>
        <v>0.0947265625</v>
      </c>
      <c r="D600" s="41" t="n">
        <f aca="false">(B600+C600)/2</f>
        <v>0.09326171875</v>
      </c>
      <c r="E600" s="15" t="n">
        <f aca="false">$C$2*(1+IF(E$3&lt;=$O$2,$D600,$D600-($D600-$I$589)*MIN(E$3-$O$2,$Q$2)/$Q$2))</f>
        <v>7040.60546875</v>
      </c>
      <c r="F600" s="15" t="n">
        <f aca="false">E600*(1+IF(F$3&lt;=$O$2,$D600,$D600-($D600-$I$589)*MIN(F$3-$O$2,$Q$2)/$Q$2))</f>
        <v>7697.22443580627</v>
      </c>
      <c r="G600" s="15" t="n">
        <f aca="false">F600*(1+IF(G$3&lt;=$O$2,$D600,$D600-($D600-$I$589)*MIN(G$3-$O$2,$Q$2)/$Q$2))</f>
        <v>8415.08081629407</v>
      </c>
      <c r="H600" s="15" t="n">
        <f aca="false">G600*(1+IF(H$3&lt;=$O$2,$D600,$D600-($D600-$I$589)*MIN(H$3-$O$2,$Q$2)/$Q$2))</f>
        <v>9199.8857166418</v>
      </c>
      <c r="I600" s="15" t="n">
        <f aca="false">H600*(1+IF(I$3&lt;=$O$2,$D600,$D600-($D600-$I$589)*MIN(I$3-$O$2,$Q$2)/$Q$2))</f>
        <v>10057.8828708794</v>
      </c>
      <c r="J600" s="15" t="n">
        <f aca="false">I600*(1+IF(J$3&lt;=$O$2,$D600,$D600-($D600-$I$589)*MIN(J$3-$O$2,$Q$2)/$Q$2))</f>
        <v>10845.1070770063</v>
      </c>
      <c r="K600" s="15" t="n">
        <f aca="false">J600*(1+IF(K$3&lt;=$O$2,$D600,$D600-($D600-$I$589)*MIN(K$3-$O$2,$Q$2)/$Q$2))</f>
        <v>11531.3532564277</v>
      </c>
      <c r="L600" s="15" t="n">
        <f aca="false">K600*(1+IF(L$3&lt;=$O$2,$D600,$D600-($D600-$I$589)*MIN(L$3-$O$2,$Q$2)/$Q$2))</f>
        <v>12088.1410448664</v>
      </c>
      <c r="M600" s="15" t="n">
        <f aca="false">L600*(1+IF(M$3&lt;=$O$2,$D600,$D600-($D600-$I$589)*MIN(M$3-$O$2,$Q$2)/$Q$2))</f>
        <v>12490.5835918305</v>
      </c>
      <c r="N600" s="15" t="n">
        <f aca="false">M600*(1+IF(N$3&lt;=$O$2,$D600,$D600-($D600-$I$589)*MIN(N$3-$O$2,$Q$2)/$Q$2))</f>
        <v>12719.161271561</v>
      </c>
      <c r="O600" s="15" t="n">
        <f aca="false">SUMPRODUCT(E600:N600,1/(1+$F$589)^$E$3:$N$3)*$E$2</f>
        <v>11630.2185962747</v>
      </c>
      <c r="P600" s="15" t="n">
        <f aca="false">N600*$E$2*(1+$I$589)/($F$589-$I$589)/(1+$F$589)^$N$3</f>
        <v>11022.2506469203</v>
      </c>
      <c r="Q600" s="15" t="n">
        <f aca="false">O600+P600</f>
        <v>22652.469243195</v>
      </c>
      <c r="R600" s="15" t="n">
        <f aca="false">Q600-$G$2+$I$2</f>
        <v>17352.569243195</v>
      </c>
      <c r="S600" s="42" t="n">
        <f aca="false">R600/$K$2</f>
        <v>147.706581913475</v>
      </c>
      <c r="T600" s="43" t="n">
        <f aca="false">S600-$M$2</f>
        <v>0.532594851846994</v>
      </c>
    </row>
    <row r="601" customFormat="false" ht="15" hidden="false" customHeight="false" outlineLevel="0" collapsed="false">
      <c r="A601" s="5" t="n">
        <v>11</v>
      </c>
      <c r="B601" s="25" t="n">
        <f aca="false">IF(T600&gt;0,B600,D600)</f>
        <v>0.091796875</v>
      </c>
      <c r="C601" s="25" t="n">
        <f aca="false">IF(T600&gt;0,D600,C600)</f>
        <v>0.09326171875</v>
      </c>
      <c r="D601" s="41" t="n">
        <f aca="false">(B601+C601)/2</f>
        <v>0.092529296875</v>
      </c>
      <c r="E601" s="15" t="n">
        <f aca="false">$C$2*(1+IF(E$3&lt;=$O$2,$D601,$D601-($D601-$I$589)*MIN(E$3-$O$2,$Q$2)/$Q$2))</f>
        <v>7035.888671875</v>
      </c>
      <c r="F601" s="15" t="n">
        <f aca="false">E601*(1+IF(F$3&lt;=$O$2,$D601,$D601-($D601-$I$589)*MIN(F$3-$O$2,$Q$2)/$Q$2))</f>
        <v>7686.91450357437</v>
      </c>
      <c r="G601" s="15" t="n">
        <f aca="false">F601*(1+IF(G$3&lt;=$O$2,$D601,$D601-($D601-$I$589)*MIN(G$3-$O$2,$Q$2)/$Q$2))</f>
        <v>8398.17929772835</v>
      </c>
      <c r="H601" s="15" t="n">
        <f aca="false">G601*(1+IF(H$3&lt;=$O$2,$D601,$D601-($D601-$I$589)*MIN(H$3-$O$2,$Q$2)/$Q$2))</f>
        <v>9175.25692317733</v>
      </c>
      <c r="I601" s="15" t="n">
        <f aca="false">H601*(1+IF(I$3&lt;=$O$2,$D601,$D601-($D601-$I$589)*MIN(I$3-$O$2,$Q$2)/$Q$2))</f>
        <v>10024.2369949264</v>
      </c>
      <c r="J601" s="15" t="n">
        <f aca="false">I601*(1+IF(J$3&lt;=$O$2,$D601,$D601-($D601-$I$589)*MIN(J$3-$O$2,$Q$2)/$Q$2))</f>
        <v>10802.954183007</v>
      </c>
      <c r="K601" s="15" t="n">
        <f aca="false">J601*(1+IF(K$3&lt;=$O$2,$D601,$D601-($D601-$I$589)*MIN(K$3-$O$2,$Q$2)/$Q$2))</f>
        <v>11481.7856604625</v>
      </c>
      <c r="L601" s="15" t="n">
        <f aca="false">K601*(1+IF(L$3&lt;=$O$2,$D601,$D601-($D601-$I$589)*MIN(L$3-$O$2,$Q$2)/$Q$2))</f>
        <v>12032.8162886272</v>
      </c>
      <c r="M601" s="15" t="n">
        <f aca="false">L601*(1+IF(M$3&lt;=$O$2,$D601,$D601-($D601-$I$589)*MIN(M$3-$O$2,$Q$2)/$Q$2))</f>
        <v>12431.6543252152</v>
      </c>
      <c r="N601" s="15" t="n">
        <f aca="false">M601*(1+IF(N$3&lt;=$O$2,$D601,$D601-($D601-$I$589)*MIN(N$3-$O$2,$Q$2)/$Q$2))</f>
        <v>12659.1535993666</v>
      </c>
      <c r="O601" s="15" t="n">
        <f aca="false">SUMPRODUCT(E601:N601,1/(1+$F$589)^$E$3:$N$3)*$E$2</f>
        <v>11593.9849648284</v>
      </c>
      <c r="P601" s="15" t="n">
        <f aca="false">N601*$E$2*(1+$I$589)/($F$589-$I$589)/(1+$F$589)^$N$3</f>
        <v>10970.2488215213</v>
      </c>
      <c r="Q601" s="15" t="n">
        <f aca="false">O601+P601</f>
        <v>22564.2337863497</v>
      </c>
      <c r="R601" s="15" t="n">
        <f aca="false">Q601-$G$2+$I$2</f>
        <v>17264.3337863497</v>
      </c>
      <c r="S601" s="42" t="n">
        <f aca="false">R601/$K$2</f>
        <v>146.955514013872</v>
      </c>
      <c r="T601" s="43" t="n">
        <f aca="false">S601-$M$2</f>
        <v>-0.218473047755623</v>
      </c>
    </row>
    <row r="602" customFormat="false" ht="15" hidden="false" customHeight="false" outlineLevel="0" collapsed="false">
      <c r="A602" s="5" t="n">
        <v>12</v>
      </c>
      <c r="B602" s="25" t="n">
        <f aca="false">IF(T601&gt;0,B601,D601)</f>
        <v>0.092529296875</v>
      </c>
      <c r="C602" s="25" t="n">
        <f aca="false">IF(T601&gt;0,D601,C601)</f>
        <v>0.09326171875</v>
      </c>
      <c r="D602" s="41" t="n">
        <f aca="false">(B602+C602)/2</f>
        <v>0.0928955078125</v>
      </c>
      <c r="E602" s="15" t="n">
        <f aca="false">$C$2*(1+IF(E$3&lt;=$O$2,$D602,$D602-($D602-$I$589)*MIN(E$3-$O$2,$Q$2)/$Q$2))</f>
        <v>7038.2470703125</v>
      </c>
      <c r="F602" s="15" t="n">
        <f aca="false">E602*(1+IF(F$3&lt;=$O$2,$D602,$D602-($D602-$I$589)*MIN(F$3-$O$2,$Q$2)/$Q$2))</f>
        <v>7692.06860601902</v>
      </c>
      <c r="G602" s="15" t="n">
        <f aca="false">F602*(1+IF(G$3&lt;=$O$2,$D602,$D602-($D602-$I$589)*MIN(G$3-$O$2,$Q$2)/$Q$2))</f>
        <v>8406.62722530375</v>
      </c>
      <c r="H602" s="15" t="n">
        <f aca="false">G602*(1+IF(H$3&lt;=$O$2,$D602,$D602-($D602-$I$589)*MIN(H$3-$O$2,$Q$2)/$Q$2))</f>
        <v>9187.56513038873</v>
      </c>
      <c r="I602" s="15" t="n">
        <f aca="false">H602*(1+IF(I$3&lt;=$O$2,$D602,$D602-($D602-$I$589)*MIN(I$3-$O$2,$Q$2)/$Q$2))</f>
        <v>10041.0486587366</v>
      </c>
      <c r="J602" s="15" t="n">
        <f aca="false">I602*(1+IF(J$3&lt;=$O$2,$D602,$D602-($D602-$I$589)*MIN(J$3-$O$2,$Q$2)/$Q$2))</f>
        <v>10824.0135481263</v>
      </c>
      <c r="K602" s="15" t="n">
        <f aca="false">J602*(1+IF(K$3&lt;=$O$2,$D602,$D602-($D602-$I$589)*MIN(K$3-$O$2,$Q$2)/$Q$2))</f>
        <v>11506.5466683721</v>
      </c>
      <c r="L602" s="15" t="n">
        <f aca="false">K602*(1+IF(L$3&lt;=$O$2,$D602,$D602-($D602-$I$589)*MIN(L$3-$O$2,$Q$2)/$Q$2))</f>
        <v>12060.4511491615</v>
      </c>
      <c r="M602" s="15" t="n">
        <f aca="false">L602*(1+IF(M$3&lt;=$O$2,$D602,$D602-($D602-$I$589)*MIN(M$3-$O$2,$Q$2)/$Q$2))</f>
        <v>12461.088500775</v>
      </c>
      <c r="N602" s="15" t="n">
        <f aca="false">M602*(1+IF(N$3&lt;=$O$2,$D602,$D602-($D602-$I$589)*MIN(N$3-$O$2,$Q$2)/$Q$2))</f>
        <v>12689.1264203392</v>
      </c>
      <c r="O602" s="15" t="n">
        <f aca="false">SUMPRODUCT(E602:N602,1/(1+$F$589)^$E$3:$N$3)*$E$2</f>
        <v>11612.0876206072</v>
      </c>
      <c r="P602" s="15" t="n">
        <f aca="false">N602*$E$2*(1+$I$589)/($F$589-$I$589)/(1+$F$589)^$N$3</f>
        <v>10996.2228569393</v>
      </c>
      <c r="Q602" s="15" t="n">
        <f aca="false">O602+P602</f>
        <v>22608.3104775466</v>
      </c>
      <c r="R602" s="15" t="n">
        <f aca="false">Q602-$G$2+$I$2</f>
        <v>17308.4104775466</v>
      </c>
      <c r="S602" s="42" t="n">
        <f aca="false">R602/$K$2</f>
        <v>147.33069865123</v>
      </c>
      <c r="T602" s="43" t="n">
        <f aca="false">S602-$M$2</f>
        <v>0.156711589602935</v>
      </c>
    </row>
    <row r="603" customFormat="false" ht="15" hidden="false" customHeight="false" outlineLevel="0" collapsed="false">
      <c r="A603" s="5" t="n">
        <v>13</v>
      </c>
      <c r="B603" s="25" t="n">
        <f aca="false">IF(T602&gt;0,B602,D602)</f>
        <v>0.092529296875</v>
      </c>
      <c r="C603" s="25" t="n">
        <f aca="false">IF(T602&gt;0,D602,C602)</f>
        <v>0.0928955078125</v>
      </c>
      <c r="D603" s="41" t="n">
        <f aca="false">(B603+C603)/2</f>
        <v>0.09271240234375</v>
      </c>
      <c r="E603" s="15" t="n">
        <f aca="false">$C$2*(1+IF(E$3&lt;=$O$2,$D603,$D603-($D603-$I$589)*MIN(E$3-$O$2,$Q$2)/$Q$2))</f>
        <v>7037.06787109375</v>
      </c>
      <c r="F603" s="15" t="n">
        <f aca="false">E603*(1+IF(F$3&lt;=$O$2,$D603,$D603-($D603-$I$589)*MIN(F$3-$O$2,$Q$2)/$Q$2))</f>
        <v>7689.49133887887</v>
      </c>
      <c r="G603" s="15" t="n">
        <f aca="false">F603*(1+IF(G$3&lt;=$O$2,$D603,$D603-($D603-$I$589)*MIN(G$3-$O$2,$Q$2)/$Q$2))</f>
        <v>8402.40255370779</v>
      </c>
      <c r="H603" s="15" t="n">
        <f aca="false">G603*(1+IF(H$3&lt;=$O$2,$D603,$D603-($D603-$I$589)*MIN(H$3-$O$2,$Q$2)/$Q$2))</f>
        <v>9181.4094799213</v>
      </c>
      <c r="I603" s="15" t="n">
        <f aca="false">H603*(1+IF(I$3&lt;=$O$2,$D603,$D603-($D603-$I$589)*MIN(I$3-$O$2,$Q$2)/$Q$2))</f>
        <v>10032.6400097065</v>
      </c>
      <c r="J603" s="15" t="n">
        <f aca="false">I603*(1+IF(J$3&lt;=$O$2,$D603,$D603-($D603-$I$589)*MIN(J$3-$O$2,$Q$2)/$Q$2))</f>
        <v>10813.4795978619</v>
      </c>
      <c r="K603" s="15" t="n">
        <f aca="false">J603*(1+IF(K$3&lt;=$O$2,$D603,$D603-($D603-$I$589)*MIN(K$3-$O$2,$Q$2)/$Q$2))</f>
        <v>11494.160471246</v>
      </c>
      <c r="L603" s="15" t="n">
        <f aca="false">K603*(1+IF(L$3&lt;=$O$2,$D603,$D603-($D603-$I$589)*MIN(L$3-$O$2,$Q$2)/$Q$2))</f>
        <v>12046.6268453058</v>
      </c>
      <c r="M603" s="15" t="n">
        <f aca="false">L603*(1+IF(M$3&lt;=$O$2,$D603,$D603-($D603-$I$589)*MIN(M$3-$O$2,$Q$2)/$Q$2))</f>
        <v>12446.3638053145</v>
      </c>
      <c r="N603" s="15" t="n">
        <f aca="false">M603*(1+IF(N$3&lt;=$O$2,$D603,$D603-($D603-$I$589)*MIN(N$3-$O$2,$Q$2)/$Q$2))</f>
        <v>12674.1322629518</v>
      </c>
      <c r="O603" s="15" t="n">
        <f aca="false">SUMPRODUCT(E603:N603,1/(1+$F$589)^$E$3:$N$3)*$E$2</f>
        <v>11603.0327553094</v>
      </c>
      <c r="P603" s="15" t="n">
        <f aca="false">N603*$E$2*(1+$I$589)/($F$589-$I$589)/(1+$F$589)^$N$3</f>
        <v>10983.229125872</v>
      </c>
      <c r="Q603" s="15" t="n">
        <f aca="false">O603+P603</f>
        <v>22586.2618811815</v>
      </c>
      <c r="R603" s="15" t="n">
        <f aca="false">Q603-$G$2+$I$2</f>
        <v>17286.3618811815</v>
      </c>
      <c r="S603" s="42" t="n">
        <f aca="false">R603/$K$2</f>
        <v>147.143019077132</v>
      </c>
      <c r="T603" s="43" t="n">
        <f aca="false">S603-$M$2</f>
        <v>-0.0309679844956747</v>
      </c>
    </row>
    <row r="604" customFormat="false" ht="15" hidden="false" customHeight="false" outlineLevel="0" collapsed="false">
      <c r="A604" s="5" t="n">
        <v>14</v>
      </c>
      <c r="B604" s="25" t="n">
        <f aca="false">IF(T603&gt;0,B603,D603)</f>
        <v>0.09271240234375</v>
      </c>
      <c r="C604" s="25" t="n">
        <f aca="false">IF(T603&gt;0,D603,C603)</f>
        <v>0.0928955078125</v>
      </c>
      <c r="D604" s="41" t="n">
        <f aca="false">(B604+C604)/2</f>
        <v>0.092803955078125</v>
      </c>
      <c r="E604" s="15" t="n">
        <f aca="false">$C$2*(1+IF(E$3&lt;=$O$2,$D604,$D604-($D604-$I$589)*MIN(E$3-$O$2,$Q$2)/$Q$2))</f>
        <v>7037.65747070313</v>
      </c>
      <c r="F604" s="15" t="n">
        <f aca="false">E604*(1+IF(F$3&lt;=$O$2,$D604,$D604-($D604-$I$589)*MIN(F$3-$O$2,$Q$2)/$Q$2))</f>
        <v>7690.77991846949</v>
      </c>
      <c r="G604" s="15" t="n">
        <f aca="false">F604*(1+IF(G$3&lt;=$O$2,$D604,$D604-($D604-$I$589)*MIN(G$3-$O$2,$Q$2)/$Q$2))</f>
        <v>8404.51471253888</v>
      </c>
      <c r="H604" s="15" t="n">
        <f aca="false">G604*(1+IF(H$3&lt;=$O$2,$D604,$D604-($D604-$I$589)*MIN(H$3-$O$2,$Q$2)/$Q$2))</f>
        <v>9184.48691837478</v>
      </c>
      <c r="I604" s="15" t="n">
        <f aca="false">H604*(1+IF(I$3&lt;=$O$2,$D604,$D604-($D604-$I$589)*MIN(I$3-$O$2,$Q$2)/$Q$2))</f>
        <v>10036.8436297633</v>
      </c>
      <c r="J604" s="15" t="n">
        <f aca="false">I604*(1+IF(J$3&lt;=$O$2,$D604,$D604-($D604-$I$589)*MIN(J$3-$O$2,$Q$2)/$Q$2))</f>
        <v>10818.7455057224</v>
      </c>
      <c r="K604" s="15" t="n">
        <f aca="false">J604*(1+IF(K$3&lt;=$O$2,$D604,$D604-($D604-$I$589)*MIN(K$3-$O$2,$Q$2)/$Q$2))</f>
        <v>11500.3521459731</v>
      </c>
      <c r="L604" s="15" t="n">
        <f aca="false">K604*(1+IF(L$3&lt;=$O$2,$D604,$D604-($D604-$I$589)*MIN(L$3-$O$2,$Q$2)/$Q$2))</f>
        <v>12053.5372781109</v>
      </c>
      <c r="M604" s="15" t="n">
        <f aca="false">L604*(1+IF(M$3&lt;=$O$2,$D604,$D604-($D604-$I$589)*MIN(M$3-$O$2,$Q$2)/$Q$2))</f>
        <v>12453.7242502805</v>
      </c>
      <c r="N604" s="15" t="n">
        <f aca="false">M604*(1+IF(N$3&lt;=$O$2,$D604,$D604-($D604-$I$589)*MIN(N$3-$O$2,$Q$2)/$Q$2))</f>
        <v>12681.6274040606</v>
      </c>
      <c r="O604" s="15" t="n">
        <f aca="false">SUMPRODUCT(E604:N604,1/(1+$F$589)^$E$3:$N$3)*$E$2</f>
        <v>11607.5593032841</v>
      </c>
      <c r="P604" s="15" t="n">
        <f aca="false">N604*$E$2*(1+$I$589)/($F$589-$I$589)/(1+$F$589)^$N$3</f>
        <v>10989.7243123212</v>
      </c>
      <c r="Q604" s="15" t="n">
        <f aca="false">O604+P604</f>
        <v>22597.2836156053</v>
      </c>
      <c r="R604" s="15" t="n">
        <f aca="false">Q604-$G$2+$I$2</f>
        <v>17297.3836156053</v>
      </c>
      <c r="S604" s="42" t="n">
        <f aca="false">R604/$K$2</f>
        <v>147.236837041244</v>
      </c>
      <c r="T604" s="43" t="n">
        <f aca="false">S604-$M$2</f>
        <v>0.0628499796164022</v>
      </c>
    </row>
    <row r="605" customFormat="false" ht="15" hidden="false" customHeight="false" outlineLevel="0" collapsed="false">
      <c r="A605" s="5" t="n">
        <v>15</v>
      </c>
      <c r="B605" s="25" t="n">
        <f aca="false">IF(T604&gt;0,B604,D604)</f>
        <v>0.09271240234375</v>
      </c>
      <c r="C605" s="25" t="n">
        <f aca="false">IF(T604&gt;0,D604,C604)</f>
        <v>0.092803955078125</v>
      </c>
      <c r="D605" s="41" t="n">
        <f aca="false">(B605+C605)/2</f>
        <v>0.0927581787109375</v>
      </c>
      <c r="E605" s="15" t="n">
        <f aca="false">$C$2*(1+IF(E$3&lt;=$O$2,$D605,$D605-($D605-$I$589)*MIN(E$3-$O$2,$Q$2)/$Q$2))</f>
        <v>7037.36267089844</v>
      </c>
      <c r="F605" s="15" t="n">
        <f aca="false">E605*(1+IF(F$3&lt;=$O$2,$D605,$D605-($D605-$I$589)*MIN(F$3-$O$2,$Q$2)/$Q$2))</f>
        <v>7690.13561517932</v>
      </c>
      <c r="G605" s="15" t="n">
        <f aca="false">F605*(1+IF(G$3&lt;=$O$2,$D605,$D605-($D605-$I$589)*MIN(G$3-$O$2,$Q$2)/$Q$2))</f>
        <v>8403.45858888346</v>
      </c>
      <c r="H605" s="15" t="n">
        <f aca="false">G605*(1+IF(H$3&lt;=$O$2,$D605,$D605-($D605-$I$589)*MIN(H$3-$O$2,$Q$2)/$Q$2))</f>
        <v>9182.94810246108</v>
      </c>
      <c r="I605" s="15" t="n">
        <f aca="false">H605*(1+IF(I$3&lt;=$O$2,$D605,$D605-($D605-$I$589)*MIN(I$3-$O$2,$Q$2)/$Q$2))</f>
        <v>10034.7416436424</v>
      </c>
      <c r="J605" s="15" t="n">
        <f aca="false">I605*(1+IF(J$3&lt;=$O$2,$D605,$D605-($D605-$I$589)*MIN(J$3-$O$2,$Q$2)/$Q$2))</f>
        <v>10816.1122850174</v>
      </c>
      <c r="K605" s="15" t="n">
        <f aca="false">J605*(1+IF(K$3&lt;=$O$2,$D605,$D605-($D605-$I$589)*MIN(K$3-$O$2,$Q$2)/$Q$2))</f>
        <v>11497.2559527185</v>
      </c>
      <c r="L605" s="15" t="n">
        <f aca="false">K605*(1+IF(L$3&lt;=$O$2,$D605,$D605-($D605-$I$589)*MIN(L$3-$O$2,$Q$2)/$Q$2))</f>
        <v>12050.0816320184</v>
      </c>
      <c r="M605" s="15" t="n">
        <f aca="false">L605*(1+IF(M$3&lt;=$O$2,$D605,$D605-($D605-$I$589)*MIN(M$3-$O$2,$Q$2)/$Q$2))</f>
        <v>12450.043552212</v>
      </c>
      <c r="N605" s="15" t="n">
        <f aca="false">M605*(1+IF(N$3&lt;=$O$2,$D605,$D605-($D605-$I$589)*MIN(N$3-$O$2,$Q$2)/$Q$2))</f>
        <v>12677.8793492174</v>
      </c>
      <c r="O605" s="15" t="n">
        <f aca="false">SUMPRODUCT(E605:N605,1/(1+$F$589)^$E$3:$N$3)*$E$2</f>
        <v>11605.2958081685</v>
      </c>
      <c r="P605" s="15" t="n">
        <f aca="false">N605*$E$2*(1+$I$589)/($F$589-$I$589)/(1+$F$589)^$N$3</f>
        <v>10986.4762994186</v>
      </c>
      <c r="Q605" s="15" t="n">
        <f aca="false">O605+P605</f>
        <v>22591.7721075871</v>
      </c>
      <c r="R605" s="15" t="n">
        <f aca="false">Q605-$G$2+$I$2</f>
        <v>17291.8721075871</v>
      </c>
      <c r="S605" s="42" t="n">
        <f aca="false">R605/$K$2</f>
        <v>147.189922604589</v>
      </c>
      <c r="T605" s="43" t="n">
        <f aca="false">S605-$M$2</f>
        <v>0.0159355429615573</v>
      </c>
    </row>
    <row r="606" customFormat="false" ht="15" hidden="false" customHeight="false" outlineLevel="0" collapsed="false">
      <c r="A606" s="5" t="n">
        <v>16</v>
      </c>
      <c r="B606" s="25" t="n">
        <f aca="false">IF(T605&gt;0,B605,D605)</f>
        <v>0.09271240234375</v>
      </c>
      <c r="C606" s="25" t="n">
        <f aca="false">IF(T605&gt;0,D605,C605)</f>
        <v>0.0927581787109375</v>
      </c>
      <c r="D606" s="41" t="n">
        <f aca="false">(B606+C606)/2</f>
        <v>0.0927352905273438</v>
      </c>
      <c r="E606" s="15" t="n">
        <f aca="false">$C$2*(1+IF(E$3&lt;=$O$2,$D606,$D606-($D606-$I$589)*MIN(E$3-$O$2,$Q$2)/$Q$2))</f>
        <v>7037.21527099609</v>
      </c>
      <c r="F606" s="15" t="n">
        <f aca="false">E606*(1+IF(F$3&lt;=$O$2,$D606,$D606-($D606-$I$589)*MIN(F$3-$O$2,$Q$2)/$Q$2))</f>
        <v>7689.81347365538</v>
      </c>
      <c r="G606" s="15" t="n">
        <f aca="false">F606*(1+IF(G$3&lt;=$O$2,$D606,$D606-($D606-$I$589)*MIN(G$3-$O$2,$Q$2)/$Q$2))</f>
        <v>8402.93056023589</v>
      </c>
      <c r="H606" s="15" t="n">
        <f aca="false">G606*(1+IF(H$3&lt;=$O$2,$D606,$D606-($D606-$I$589)*MIN(H$3-$O$2,$Q$2)/$Q$2))</f>
        <v>9182.17876702046</v>
      </c>
      <c r="I606" s="15" t="n">
        <f aca="false">H606*(1+IF(I$3&lt;=$O$2,$D606,$D606-($D606-$I$589)*MIN(I$3-$O$2,$Q$2)/$Q$2))</f>
        <v>10033.6907826541</v>
      </c>
      <c r="J606" s="15" t="n">
        <f aca="false">I606*(1+IF(J$3&lt;=$O$2,$D606,$D606-($D606-$I$589)*MIN(J$3-$O$2,$Q$2)/$Q$2))</f>
        <v>10814.7958747514</v>
      </c>
      <c r="K606" s="15" t="n">
        <f aca="false">J606*(1+IF(K$3&lt;=$O$2,$D606,$D606-($D606-$I$589)*MIN(K$3-$O$2,$Q$2)/$Q$2))</f>
        <v>11495.708123018</v>
      </c>
      <c r="L606" s="15" t="n">
        <f aca="false">K606*(1+IF(L$3&lt;=$O$2,$D606,$D606-($D606-$I$589)*MIN(L$3-$O$2,$Q$2)/$Q$2))</f>
        <v>12048.3541312509</v>
      </c>
      <c r="M606" s="15" t="n">
        <f aca="false">L606*(1+IF(M$3&lt;=$O$2,$D606,$D606-($D606-$I$589)*MIN(M$3-$O$2,$Q$2)/$Q$2))</f>
        <v>12448.20355988</v>
      </c>
      <c r="N606" s="15" t="n">
        <f aca="false">M606*(1+IF(N$3&lt;=$O$2,$D606,$D606-($D606-$I$589)*MIN(N$3-$O$2,$Q$2)/$Q$2))</f>
        <v>12676.0056850258</v>
      </c>
      <c r="O606" s="15" t="n">
        <f aca="false">SUMPRODUCT(E606:N606,1/(1+$F$589)^$E$3:$N$3)*$E$2</f>
        <v>11604.1642264619</v>
      </c>
      <c r="P606" s="15" t="n">
        <f aca="false">N606*$E$2*(1+$I$589)/($F$589-$I$589)/(1+$F$589)^$N$3</f>
        <v>10984.8526077375</v>
      </c>
      <c r="Q606" s="15" t="n">
        <f aca="false">O606+P606</f>
        <v>22589.0168341994</v>
      </c>
      <c r="R606" s="15" t="n">
        <f aca="false">Q606-$G$2+$I$2</f>
        <v>17289.1168341994</v>
      </c>
      <c r="S606" s="42" t="n">
        <f aca="false">R606/$K$2</f>
        <v>147.166469477353</v>
      </c>
      <c r="T606" s="43" t="n">
        <f aca="false">S606-$M$2</f>
        <v>-0.00751758427483651</v>
      </c>
    </row>
    <row r="607" customFormat="false" ht="15" hidden="false" customHeight="false" outlineLevel="0" collapsed="false">
      <c r="A607" s="5" t="n">
        <v>17</v>
      </c>
      <c r="B607" s="25" t="n">
        <f aca="false">IF(T606&gt;0,B606,D606)</f>
        <v>0.0927352905273438</v>
      </c>
      <c r="C607" s="25" t="n">
        <f aca="false">IF(T606&gt;0,D606,C606)</f>
        <v>0.0927581787109375</v>
      </c>
      <c r="D607" s="41" t="n">
        <f aca="false">(B607+C607)/2</f>
        <v>0.0927467346191406</v>
      </c>
      <c r="E607" s="15" t="n">
        <f aca="false">$C$2*(1+IF(E$3&lt;=$O$2,$D607,$D607-($D607-$I$589)*MIN(E$3-$O$2,$Q$2)/$Q$2))</f>
        <v>7037.28897094727</v>
      </c>
      <c r="F607" s="15" t="n">
        <f aca="false">E607*(1+IF(F$3&lt;=$O$2,$D607,$D607-($D607-$I$589)*MIN(F$3-$O$2,$Q$2)/$Q$2))</f>
        <v>7689.97454357392</v>
      </c>
      <c r="G607" s="15" t="n">
        <f aca="false">F607*(1+IF(G$3&lt;=$O$2,$D607,$D607-($D607-$I$589)*MIN(G$3-$O$2,$Q$2)/$Q$2))</f>
        <v>8403.19457179472</v>
      </c>
      <c r="H607" s="15" t="n">
        <f aca="false">G607*(1+IF(H$3&lt;=$O$2,$D607,$D607-($D607-$I$589)*MIN(H$3-$O$2,$Q$2)/$Q$2))</f>
        <v>9182.56342869796</v>
      </c>
      <c r="I607" s="15" t="n">
        <f aca="false">H607*(1+IF(I$3&lt;=$O$2,$D607,$D607-($D607-$I$589)*MIN(I$3-$O$2,$Q$2)/$Q$2))</f>
        <v>10034.2162021428</v>
      </c>
      <c r="J607" s="15" t="n">
        <f aca="false">I607*(1+IF(J$3&lt;=$O$2,$D607,$D607-($D607-$I$589)*MIN(J$3-$O$2,$Q$2)/$Q$2))</f>
        <v>10815.4540632117</v>
      </c>
      <c r="K607" s="15" t="n">
        <f aca="false">J607*(1+IF(K$3&lt;=$O$2,$D607,$D607-($D607-$I$589)*MIN(K$3-$O$2,$Q$2)/$Q$2))</f>
        <v>11496.4820156261</v>
      </c>
      <c r="L607" s="15" t="n">
        <f aca="false">K607*(1+IF(L$3&lt;=$O$2,$D607,$D607-($D607-$I$589)*MIN(L$3-$O$2,$Q$2)/$Q$2))</f>
        <v>12049.2178547805</v>
      </c>
      <c r="M607" s="15" t="n">
        <f aca="false">L607*(1+IF(M$3&lt;=$O$2,$D607,$D607-($D607-$I$589)*MIN(M$3-$O$2,$Q$2)/$Q$2))</f>
        <v>12449.1235263236</v>
      </c>
      <c r="N607" s="15" t="n">
        <f aca="false">M607*(1+IF(N$3&lt;=$O$2,$D607,$D607-($D607-$I$589)*MIN(N$3-$O$2,$Q$2)/$Q$2))</f>
        <v>12676.9424868553</v>
      </c>
      <c r="O607" s="15" t="n">
        <f aca="false">SUMPRODUCT(E607:N607,1/(1+$F$589)^$E$3:$N$3)*$E$2</f>
        <v>11604.7300034953</v>
      </c>
      <c r="P607" s="15" t="n">
        <f aca="false">N607*$E$2*(1+$I$589)/($F$589-$I$589)/(1+$F$589)^$N$3</f>
        <v>10985.6644273496</v>
      </c>
      <c r="Q607" s="15" t="n">
        <f aca="false">O607+P607</f>
        <v>22590.394430845</v>
      </c>
      <c r="R607" s="15" t="n">
        <f aca="false">Q607-$G$2+$I$2</f>
        <v>17290.494430845</v>
      </c>
      <c r="S607" s="42" t="n">
        <f aca="false">R607/$K$2</f>
        <v>147.178195700076</v>
      </c>
      <c r="T607" s="43" t="n">
        <f aca="false">S607-$M$2</f>
        <v>0.00420863844871633</v>
      </c>
    </row>
    <row r="608" customFormat="false" ht="15" hidden="false" customHeight="false" outlineLevel="0" collapsed="false">
      <c r="A608" s="5" t="n">
        <v>18</v>
      </c>
      <c r="B608" s="25" t="n">
        <f aca="false">IF(T607&gt;0,B607,D607)</f>
        <v>0.0927352905273438</v>
      </c>
      <c r="C608" s="25" t="n">
        <f aca="false">IF(T607&gt;0,D607,C607)</f>
        <v>0.0927467346191406</v>
      </c>
      <c r="D608" s="41" t="n">
        <f aca="false">(B608+C608)/2</f>
        <v>0.0927410125732422</v>
      </c>
      <c r="E608" s="15" t="n">
        <f aca="false">$C$2*(1+IF(E$3&lt;=$O$2,$D608,$D608-($D608-$I$589)*MIN(E$3-$O$2,$Q$2)/$Q$2))</f>
        <v>7037.25212097168</v>
      </c>
      <c r="F608" s="15" t="n">
        <f aca="false">E608*(1+IF(F$3&lt;=$O$2,$D608,$D608-($D608-$I$589)*MIN(F$3-$O$2,$Q$2)/$Q$2))</f>
        <v>7689.89400840379</v>
      </c>
      <c r="G608" s="15" t="n">
        <f aca="false">F608*(1+IF(G$3&lt;=$O$2,$D608,$D608-($D608-$I$589)*MIN(G$3-$O$2,$Q$2)/$Q$2))</f>
        <v>8403.06256532407</v>
      </c>
      <c r="H608" s="15" t="n">
        <f aca="false">G608*(1+IF(H$3&lt;=$O$2,$D608,$D608-($D608-$I$589)*MIN(H$3-$O$2,$Q$2)/$Q$2))</f>
        <v>9182.37109634853</v>
      </c>
      <c r="I608" s="15" t="n">
        <f aca="false">H608*(1+IF(I$3&lt;=$O$2,$D608,$D608-($D608-$I$589)*MIN(I$3-$O$2,$Q$2)/$Q$2))</f>
        <v>10033.9534896472</v>
      </c>
      <c r="J608" s="15" t="n">
        <f aca="false">I608*(1+IF(J$3&lt;=$O$2,$D608,$D608-($D608-$I$589)*MIN(J$3-$O$2,$Q$2)/$Q$2))</f>
        <v>10815.1249648134</v>
      </c>
      <c r="K608" s="15" t="n">
        <f aca="false">J608*(1+IF(K$3&lt;=$O$2,$D608,$D608-($D608-$I$589)*MIN(K$3-$O$2,$Q$2)/$Q$2))</f>
        <v>11496.0950637616</v>
      </c>
      <c r="L608" s="15" t="n">
        <f aca="false">K608*(1+IF(L$3&lt;=$O$2,$D608,$D608-($D608-$I$589)*MIN(L$3-$O$2,$Q$2)/$Q$2))</f>
        <v>12048.7859863023</v>
      </c>
      <c r="M608" s="15" t="n">
        <f aca="false">L608*(1+IF(M$3&lt;=$O$2,$D608,$D608-($D608-$I$589)*MIN(M$3-$O$2,$Q$2)/$Q$2))</f>
        <v>12448.6635356714</v>
      </c>
      <c r="N608" s="15" t="n">
        <f aca="false">M608*(1+IF(N$3&lt;=$O$2,$D608,$D608-($D608-$I$589)*MIN(N$3-$O$2,$Q$2)/$Q$2))</f>
        <v>12676.4740783742</v>
      </c>
      <c r="O608" s="15" t="n">
        <f aca="false">SUMPRODUCT(E608:N608,1/(1+$F$589)^$E$3:$N$3)*$E$2</f>
        <v>11604.4471115237</v>
      </c>
      <c r="P608" s="15" t="n">
        <f aca="false">N608*$E$2*(1+$I$589)/($F$589-$I$589)/(1+$F$589)^$N$3</f>
        <v>10985.2585109866</v>
      </c>
      <c r="Q608" s="15" t="n">
        <f aca="false">O608+P608</f>
        <v>22589.7056225104</v>
      </c>
      <c r="R608" s="15" t="n">
        <f aca="false">Q608-$G$2+$I$2</f>
        <v>17289.8056225104</v>
      </c>
      <c r="S608" s="42" t="n">
        <f aca="false">R608/$K$2</f>
        <v>147.172332503493</v>
      </c>
      <c r="T608" s="43" t="n">
        <f aca="false">S608-$M$2</f>
        <v>-0.00165455813444737</v>
      </c>
    </row>
    <row r="609" customFormat="false" ht="15" hidden="false" customHeight="false" outlineLevel="0" collapsed="false">
      <c r="A609" s="5" t="n">
        <v>19</v>
      </c>
      <c r="B609" s="25" t="n">
        <f aca="false">IF(T608&gt;0,B608,D608)</f>
        <v>0.0927410125732422</v>
      </c>
      <c r="C609" s="25" t="n">
        <f aca="false">IF(T608&gt;0,D608,C608)</f>
        <v>0.0927467346191406</v>
      </c>
      <c r="D609" s="41" t="n">
        <f aca="false">(B609+C609)/2</f>
        <v>0.0927438735961914</v>
      </c>
      <c r="E609" s="15" t="n">
        <f aca="false">$C$2*(1+IF(E$3&lt;=$O$2,$D609,$D609-($D609-$I$589)*MIN(E$3-$O$2,$Q$2)/$Q$2))</f>
        <v>7037.27054595947</v>
      </c>
      <c r="F609" s="15" t="n">
        <f aca="false">E609*(1+IF(F$3&lt;=$O$2,$D609,$D609-($D609-$I$589)*MIN(F$3-$O$2,$Q$2)/$Q$2))</f>
        <v>7689.93427593614</v>
      </c>
      <c r="G609" s="15" t="n">
        <f aca="false">F609*(1+IF(G$3&lt;=$O$2,$D609,$D609-($D609-$I$589)*MIN(G$3-$O$2,$Q$2)/$Q$2))</f>
        <v>8403.12856838658</v>
      </c>
      <c r="H609" s="15" t="n">
        <f aca="false">G609*(1+IF(H$3&lt;=$O$2,$D609,$D609-($D609-$I$589)*MIN(H$3-$O$2,$Q$2)/$Q$2))</f>
        <v>9182.46726214557</v>
      </c>
      <c r="I609" s="15" t="n">
        <f aca="false">H609*(1+IF(I$3&lt;=$O$2,$D609,$D609-($D609-$I$589)*MIN(I$3-$O$2,$Q$2)/$Q$2))</f>
        <v>10034.0848452072</v>
      </c>
      <c r="J609" s="15" t="n">
        <f aca="false">I609*(1+IF(J$3&lt;=$O$2,$D609,$D609-($D609-$I$589)*MIN(J$3-$O$2,$Q$2)/$Q$2))</f>
        <v>10815.2895129705</v>
      </c>
      <c r="K609" s="15" t="n">
        <f aca="false">J609*(1+IF(K$3&lt;=$O$2,$D609,$D609-($D609-$I$589)*MIN(K$3-$O$2,$Q$2)/$Q$2))</f>
        <v>11496.2885383037</v>
      </c>
      <c r="L609" s="15" t="n">
        <f aca="false">K609*(1+IF(L$3&lt;=$O$2,$D609,$D609-($D609-$I$589)*MIN(L$3-$O$2,$Q$2)/$Q$2))</f>
        <v>12049.001918863</v>
      </c>
      <c r="M609" s="15" t="n">
        <f aca="false">L609*(1+IF(M$3&lt;=$O$2,$D609,$D609-($D609-$I$589)*MIN(M$3-$O$2,$Q$2)/$Q$2))</f>
        <v>12448.8935291398</v>
      </c>
      <c r="N609" s="15" t="n">
        <f aca="false">M609*(1+IF(N$3&lt;=$O$2,$D609,$D609-($D609-$I$589)*MIN(N$3-$O$2,$Q$2)/$Q$2))</f>
        <v>12676.7082807231</v>
      </c>
      <c r="O609" s="15" t="n">
        <f aca="false">SUMPRODUCT(E609:N609,1/(1+$F$589)^$E$3:$N$3)*$E$2</f>
        <v>11604.5885566458</v>
      </c>
      <c r="P609" s="15" t="n">
        <f aca="false">N609*$E$2*(1+$I$589)/($F$589-$I$589)/(1+$F$589)^$N$3</f>
        <v>10985.4614675289</v>
      </c>
      <c r="Q609" s="15" t="n">
        <f aca="false">O609+P609</f>
        <v>22590.0500241747</v>
      </c>
      <c r="R609" s="15" t="n">
        <f aca="false">Q609-$G$2+$I$2</f>
        <v>17290.1500241747</v>
      </c>
      <c r="S609" s="42" t="n">
        <f aca="false">R609/$K$2</f>
        <v>147.175264080479</v>
      </c>
      <c r="T609" s="43" t="n">
        <f aca="false">S609-$M$2</f>
        <v>0.0012770188514537</v>
      </c>
    </row>
    <row r="610" customFormat="false" ht="15" hidden="false" customHeight="false" outlineLevel="0" collapsed="false">
      <c r="A610" s="5" t="n">
        <v>20</v>
      </c>
      <c r="B610" s="25" t="n">
        <f aca="false">IF(T609&gt;0,B609,D609)</f>
        <v>0.0927410125732422</v>
      </c>
      <c r="C610" s="25" t="n">
        <f aca="false">IF(T609&gt;0,D609,C609)</f>
        <v>0.0927438735961914</v>
      </c>
      <c r="D610" s="41" t="n">
        <f aca="false">(B610+C610)/2</f>
        <v>0.0927424430847168</v>
      </c>
      <c r="E610" s="15" t="n">
        <f aca="false">$C$2*(1+IF(E$3&lt;=$O$2,$D610,$D610-($D610-$I$589)*MIN(E$3-$O$2,$Q$2)/$Q$2))</f>
        <v>7037.26133346558</v>
      </c>
      <c r="F610" s="15" t="n">
        <f aca="false">E610*(1+IF(F$3&lt;=$O$2,$D610,$D610-($D610-$I$589)*MIN(F$3-$O$2,$Q$2)/$Q$2))</f>
        <v>7689.91414215679</v>
      </c>
      <c r="G610" s="15" t="n">
        <f aca="false">F610*(1+IF(G$3&lt;=$O$2,$D610,$D610-($D610-$I$589)*MIN(G$3-$O$2,$Q$2)/$Q$2))</f>
        <v>8403.09556681212</v>
      </c>
      <c r="H610" s="15" t="n">
        <f aca="false">G610*(1+IF(H$3&lt;=$O$2,$D610,$D610-($D610-$I$589)*MIN(H$3-$O$2,$Q$2)/$Q$2))</f>
        <v>9182.41917915263</v>
      </c>
      <c r="I610" s="15" t="n">
        <f aca="false">H610*(1+IF(I$3&lt;=$O$2,$D610,$D610-($D610-$I$589)*MIN(I$3-$O$2,$Q$2)/$Q$2))</f>
        <v>10034.0191672552</v>
      </c>
      <c r="J610" s="15" t="n">
        <f aca="false">I610*(1+IF(J$3&lt;=$O$2,$D610,$D610-($D610-$I$589)*MIN(J$3-$O$2,$Q$2)/$Q$2))</f>
        <v>10815.2072386315</v>
      </c>
      <c r="K610" s="15" t="n">
        <f aca="false">J610*(1+IF(K$3&lt;=$O$2,$D610,$D610-($D610-$I$589)*MIN(K$3-$O$2,$Q$2)/$Q$2))</f>
        <v>11496.1918006852</v>
      </c>
      <c r="L610" s="15" t="n">
        <f aca="false">K610*(1+IF(L$3&lt;=$O$2,$D610,$D610-($D610-$I$589)*MIN(L$3-$O$2,$Q$2)/$Q$2))</f>
        <v>12048.8939521631</v>
      </c>
      <c r="M610" s="15" t="n">
        <f aca="false">L610*(1+IF(M$3&lt;=$O$2,$D610,$D610-($D610-$I$589)*MIN(M$3-$O$2,$Q$2)/$Q$2))</f>
        <v>12448.7785319412</v>
      </c>
      <c r="N610" s="15" t="n">
        <f aca="false">M610*(1+IF(N$3&lt;=$O$2,$D610,$D610-($D610-$I$589)*MIN(N$3-$O$2,$Q$2)/$Q$2))</f>
        <v>12676.5911790757</v>
      </c>
      <c r="O610" s="15" t="n">
        <f aca="false">SUMPRODUCT(E610:N610,1/(1+$F$589)^$E$3:$N$3)*$E$2</f>
        <v>11604.5178338688</v>
      </c>
      <c r="P610" s="15" t="n">
        <f aca="false">N610*$E$2*(1+$I$589)/($F$589-$I$589)/(1+$F$589)^$N$3</f>
        <v>10985.359988848</v>
      </c>
      <c r="Q610" s="15" t="n">
        <f aca="false">O610+P610</f>
        <v>22589.8778227168</v>
      </c>
      <c r="R610" s="15" t="n">
        <f aca="false">Q610-$G$2+$I$2</f>
        <v>17289.9778227168</v>
      </c>
      <c r="S610" s="42" t="n">
        <f aca="false">R610/$K$2</f>
        <v>147.17379828666</v>
      </c>
      <c r="T610" s="43" t="n">
        <f aca="false">S610-$M$2</f>
        <v>-0.000188774967853078</v>
      </c>
    </row>
    <row r="611" customFormat="false" ht="15" hidden="false" customHeight="false" outlineLevel="0" collapsed="false">
      <c r="A611" s="5" t="n">
        <v>21</v>
      </c>
      <c r="B611" s="25" t="n">
        <f aca="false">IF(T610&gt;0,B610,D610)</f>
        <v>0.0927424430847168</v>
      </c>
      <c r="C611" s="25" t="n">
        <f aca="false">IF(T610&gt;0,D610,C610)</f>
        <v>0.0927438735961914</v>
      </c>
      <c r="D611" s="41" t="n">
        <f aca="false">(B611+C611)/2</f>
        <v>0.0927431583404541</v>
      </c>
      <c r="E611" s="15" t="n">
        <f aca="false">$C$2*(1+IF(E$3&lt;=$O$2,$D611,$D611-($D611-$I$589)*MIN(E$3-$O$2,$Q$2)/$Q$2))</f>
        <v>7037.26593971252</v>
      </c>
      <c r="F611" s="15" t="n">
        <f aca="false">E611*(1+IF(F$3&lt;=$O$2,$D611,$D611-($D611-$I$589)*MIN(F$3-$O$2,$Q$2)/$Q$2))</f>
        <v>7689.92420904317</v>
      </c>
      <c r="G611" s="15" t="n">
        <f aca="false">F611*(1+IF(G$3&lt;=$O$2,$D611,$D611-($D611-$I$589)*MIN(G$3-$O$2,$Q$2)/$Q$2))</f>
        <v>8403.11206758855</v>
      </c>
      <c r="H611" s="15" t="n">
        <f aca="false">G611*(1+IF(H$3&lt;=$O$2,$D611,$D611-($D611-$I$589)*MIN(H$3-$O$2,$Q$2)/$Q$2))</f>
        <v>9182.44322062549</v>
      </c>
      <c r="I611" s="15" t="n">
        <f aca="false">H611*(1+IF(I$3&lt;=$O$2,$D611,$D611-($D611-$I$589)*MIN(I$3-$O$2,$Q$2)/$Q$2))</f>
        <v>10034.0520061882</v>
      </c>
      <c r="J611" s="15" t="n">
        <f aca="false">I611*(1+IF(J$3&lt;=$O$2,$D611,$D611-($D611-$I$589)*MIN(J$3-$O$2,$Q$2)/$Q$2))</f>
        <v>10815.2483757359</v>
      </c>
      <c r="K611" s="15" t="n">
        <f aca="false">J611*(1+IF(K$3&lt;=$O$2,$D611,$D611-($D611-$I$589)*MIN(K$3-$O$2,$Q$2)/$Q$2))</f>
        <v>11496.2401694076</v>
      </c>
      <c r="L611" s="15" t="n">
        <f aca="false">K611*(1+IF(L$3&lt;=$O$2,$D611,$D611-($D611-$I$589)*MIN(L$3-$O$2,$Q$2)/$Q$2))</f>
        <v>12048.9479354082</v>
      </c>
      <c r="M611" s="15" t="n">
        <f aca="false">L611*(1+IF(M$3&lt;=$O$2,$D611,$D611-($D611-$I$589)*MIN(M$3-$O$2,$Q$2)/$Q$2))</f>
        <v>12448.8360304244</v>
      </c>
      <c r="N611" s="15" t="n">
        <f aca="false">M611*(1+IF(N$3&lt;=$O$2,$D611,$D611-($D611-$I$589)*MIN(N$3-$O$2,$Q$2)/$Q$2))</f>
        <v>12676.6497297812</v>
      </c>
      <c r="O611" s="15" t="n">
        <f aca="false">SUMPRODUCT(E611:N611,1/(1+$F$589)^$E$3:$N$3)*$E$2</f>
        <v>11604.5531952033</v>
      </c>
      <c r="P611" s="15" t="n">
        <f aca="false">N611*$E$2*(1+$I$589)/($F$589-$I$589)/(1+$F$589)^$N$3</f>
        <v>10985.410728086</v>
      </c>
      <c r="Q611" s="15" t="n">
        <f aca="false">O611+P611</f>
        <v>22589.9639232893</v>
      </c>
      <c r="R611" s="15" t="n">
        <f aca="false">Q611-$G$2+$I$2</f>
        <v>17290.0639232893</v>
      </c>
      <c r="S611" s="42" t="n">
        <f aca="false">R611/$K$2</f>
        <v>147.174531182238</v>
      </c>
      <c r="T611" s="43" t="n">
        <f aca="false">S611-$M$2</f>
        <v>0.000544120610186383</v>
      </c>
    </row>
    <row r="612" customFormat="false" ht="15" hidden="false" customHeight="false" outlineLevel="0" collapsed="false">
      <c r="A612" s="5" t="n">
        <v>22</v>
      </c>
      <c r="B612" s="25" t="n">
        <f aca="false">IF(T611&gt;0,B611,D611)</f>
        <v>0.0927424430847168</v>
      </c>
      <c r="C612" s="25" t="n">
        <f aca="false">IF(T611&gt;0,D611,C611)</f>
        <v>0.0927431583404541</v>
      </c>
      <c r="D612" s="41" t="n">
        <f aca="false">(B612+C612)/2</f>
        <v>0.0927428007125855</v>
      </c>
      <c r="E612" s="15" t="n">
        <f aca="false">$C$2*(1+IF(E$3&lt;=$O$2,$D612,$D612-($D612-$I$589)*MIN(E$3-$O$2,$Q$2)/$Q$2))</f>
        <v>7037.26363658905</v>
      </c>
      <c r="F612" s="15" t="n">
        <f aca="false">E612*(1+IF(F$3&lt;=$O$2,$D612,$D612-($D612-$I$589)*MIN(F$3-$O$2,$Q$2)/$Q$2))</f>
        <v>7689.91917559915</v>
      </c>
      <c r="G612" s="15" t="n">
        <f aca="false">F612*(1+IF(G$3&lt;=$O$2,$D612,$D612-($D612-$I$589)*MIN(G$3-$O$2,$Q$2)/$Q$2))</f>
        <v>8403.10381719763</v>
      </c>
      <c r="H612" s="15" t="n">
        <f aca="false">G612*(1+IF(H$3&lt;=$O$2,$D612,$D612-($D612-$I$589)*MIN(H$3-$O$2,$Q$2)/$Q$2))</f>
        <v>9182.43119988316</v>
      </c>
      <c r="I612" s="15" t="n">
        <f aca="false">H612*(1+IF(I$3&lt;=$O$2,$D612,$D612-($D612-$I$589)*MIN(I$3-$O$2,$Q$2)/$Q$2))</f>
        <v>10034.035586711</v>
      </c>
      <c r="J612" s="15" t="n">
        <f aca="false">I612*(1+IF(J$3&lt;=$O$2,$D612,$D612-($D612-$I$589)*MIN(J$3-$O$2,$Q$2)/$Q$2))</f>
        <v>10815.2278071674</v>
      </c>
      <c r="K612" s="15" t="n">
        <f aca="false">J612*(1+IF(K$3&lt;=$O$2,$D612,$D612-($D612-$I$589)*MIN(K$3-$O$2,$Q$2)/$Q$2))</f>
        <v>11496.2159850246</v>
      </c>
      <c r="L612" s="15" t="n">
        <f aca="false">K612*(1+IF(L$3&lt;=$O$2,$D612,$D612-($D612-$I$589)*MIN(L$3-$O$2,$Q$2)/$Q$2))</f>
        <v>12048.9209437594</v>
      </c>
      <c r="M612" s="15" t="n">
        <f aca="false">L612*(1+IF(M$3&lt;=$O$2,$D612,$D612-($D612-$I$589)*MIN(M$3-$O$2,$Q$2)/$Q$2))</f>
        <v>12448.8072811538</v>
      </c>
      <c r="N612" s="15" t="n">
        <f aca="false">M612*(1+IF(N$3&lt;=$O$2,$D612,$D612-($D612-$I$589)*MIN(N$3-$O$2,$Q$2)/$Q$2))</f>
        <v>12676.6204543989</v>
      </c>
      <c r="O612" s="15" t="n">
        <f aca="false">SUMPRODUCT(E612:N612,1/(1+$F$589)^$E$3:$N$3)*$E$2</f>
        <v>11604.5355145226</v>
      </c>
      <c r="P612" s="15" t="n">
        <f aca="false">N612*$E$2*(1+$I$589)/($F$589-$I$589)/(1+$F$589)^$N$3</f>
        <v>10985.3853584413</v>
      </c>
      <c r="Q612" s="15" t="n">
        <f aca="false">O612+P612</f>
        <v>22589.9208729639</v>
      </c>
      <c r="R612" s="15" t="n">
        <f aca="false">Q612-$G$2+$I$2</f>
        <v>17290.0208729639</v>
      </c>
      <c r="S612" s="42" t="n">
        <f aca="false">R612/$K$2</f>
        <v>147.174164734116</v>
      </c>
      <c r="T612" s="43" t="n">
        <f aca="false">S612-$M$2</f>
        <v>0.000177672488177905</v>
      </c>
    </row>
    <row r="613" customFormat="false" ht="15" hidden="false" customHeight="false" outlineLevel="0" collapsed="false">
      <c r="A613" s="5" t="n">
        <v>23</v>
      </c>
      <c r="B613" s="25" t="n">
        <f aca="false">IF(T612&gt;0,B612,D612)</f>
        <v>0.0927424430847168</v>
      </c>
      <c r="C613" s="25" t="n">
        <f aca="false">IF(T612&gt;0,D612,C612)</f>
        <v>0.0927428007125855</v>
      </c>
      <c r="D613" s="41" t="n">
        <f aca="false">(B613+C613)/2</f>
        <v>0.0927426218986511</v>
      </c>
      <c r="E613" s="15" t="n">
        <f aca="false">$C$2*(1+IF(E$3&lt;=$O$2,$D613,$D613-($D613-$I$589)*MIN(E$3-$O$2,$Q$2)/$Q$2))</f>
        <v>7037.26248502731</v>
      </c>
      <c r="F613" s="15" t="n">
        <f aca="false">E613*(1+IF(F$3&lt;=$O$2,$D613,$D613-($D613-$I$589)*MIN(F$3-$O$2,$Q$2)/$Q$2))</f>
        <v>7689.91665887776</v>
      </c>
      <c r="G613" s="15" t="n">
        <f aca="false">F613*(1+IF(G$3&lt;=$O$2,$D613,$D613-($D613-$I$589)*MIN(G$3-$O$2,$Q$2)/$Q$2))</f>
        <v>8403.0996920042</v>
      </c>
      <c r="H613" s="15" t="n">
        <f aca="false">G613*(1+IF(H$3&lt;=$O$2,$D613,$D613-($D613-$I$589)*MIN(H$3-$O$2,$Q$2)/$Q$2))</f>
        <v>9182.42518951642</v>
      </c>
      <c r="I613" s="15" t="n">
        <f aca="false">H613*(1+IF(I$3&lt;=$O$2,$D613,$D613-($D613-$I$589)*MIN(I$3-$O$2,$Q$2)/$Q$2))</f>
        <v>10034.0273769804</v>
      </c>
      <c r="J613" s="15" t="n">
        <f aca="false">I613*(1+IF(J$3&lt;=$O$2,$D613,$D613-($D613-$I$589)*MIN(J$3-$O$2,$Q$2)/$Q$2))</f>
        <v>10815.2175228953</v>
      </c>
      <c r="K613" s="15" t="n">
        <f aca="false">J613*(1+IF(K$3&lt;=$O$2,$D613,$D613-($D613-$I$589)*MIN(K$3-$O$2,$Q$2)/$Q$2))</f>
        <v>11496.2038928495</v>
      </c>
      <c r="L613" s="15" t="n">
        <f aca="false">K613*(1+IF(L$3&lt;=$O$2,$D613,$D613-($D613-$I$589)*MIN(L$3-$O$2,$Q$2)/$Q$2))</f>
        <v>12048.9074479547</v>
      </c>
      <c r="M613" s="15" t="n">
        <f aca="false">L613*(1+IF(M$3&lt;=$O$2,$D613,$D613-($D613-$I$589)*MIN(M$3-$O$2,$Q$2)/$Q$2))</f>
        <v>12448.7929065403</v>
      </c>
      <c r="N613" s="15" t="n">
        <f aca="false">M613*(1+IF(N$3&lt;=$O$2,$D613,$D613-($D613-$I$589)*MIN(N$3-$O$2,$Q$2)/$Q$2))</f>
        <v>12676.6058167299</v>
      </c>
      <c r="O613" s="15" t="n">
        <f aca="false">SUMPRODUCT(E613:N613,1/(1+$F$589)^$E$3:$N$3)*$E$2</f>
        <v>11604.5266741923</v>
      </c>
      <c r="P613" s="15" t="n">
        <f aca="false">N613*$E$2*(1+$I$589)/($F$589-$I$589)/(1+$F$589)^$N$3</f>
        <v>10985.3726736382</v>
      </c>
      <c r="Q613" s="15" t="n">
        <f aca="false">O613+P613</f>
        <v>22589.8993478306</v>
      </c>
      <c r="R613" s="15" t="n">
        <f aca="false">Q613-$G$2+$I$2</f>
        <v>17289.9993478306</v>
      </c>
      <c r="S613" s="42" t="n">
        <f aca="false">R613/$K$2</f>
        <v>147.173981510304</v>
      </c>
      <c r="T613" s="43" t="n">
        <f aca="false">S613-$M$2</f>
        <v>-5.55132305635198E-006</v>
      </c>
    </row>
    <row r="614" customFormat="false" ht="15" hidden="false" customHeight="false" outlineLevel="0" collapsed="false">
      <c r="A614" s="5" t="n">
        <v>24</v>
      </c>
      <c r="B614" s="25" t="n">
        <f aca="false">IF(T613&gt;0,B613,D613)</f>
        <v>0.0927426218986511</v>
      </c>
      <c r="C614" s="25" t="n">
        <f aca="false">IF(T613&gt;0,D613,C613)</f>
        <v>0.0927428007125855</v>
      </c>
      <c r="D614" s="41" t="n">
        <f aca="false">(B614+C614)/2</f>
        <v>0.0927427113056183</v>
      </c>
      <c r="E614" s="15" t="n">
        <f aca="false">$C$2*(1+IF(E$3&lt;=$O$2,$D614,$D614-($D614-$I$589)*MIN(E$3-$O$2,$Q$2)/$Q$2))</f>
        <v>7037.26306080818</v>
      </c>
      <c r="F614" s="15" t="n">
        <f aca="false">E614*(1+IF(F$3&lt;=$O$2,$D614,$D614-($D614-$I$589)*MIN(F$3-$O$2,$Q$2)/$Q$2))</f>
        <v>7689.91791723841</v>
      </c>
      <c r="G614" s="15" t="n">
        <f aca="false">F614*(1+IF(G$3&lt;=$O$2,$D614,$D614-($D614-$I$589)*MIN(G$3-$O$2,$Q$2)/$Q$2))</f>
        <v>8403.10175460075</v>
      </c>
      <c r="H614" s="15" t="n">
        <f aca="false">G614*(1+IF(H$3&lt;=$O$2,$D614,$D614-($D614-$I$589)*MIN(H$3-$O$2,$Q$2)/$Q$2))</f>
        <v>9182.42819469942</v>
      </c>
      <c r="I614" s="15" t="n">
        <f aca="false">H614*(1+IF(I$3&lt;=$O$2,$D614,$D614-($D614-$I$589)*MIN(I$3-$O$2,$Q$2)/$Q$2))</f>
        <v>10034.031481845</v>
      </c>
      <c r="J614" s="15" t="n">
        <f aca="false">I614*(1+IF(J$3&lt;=$O$2,$D614,$D614-($D614-$I$589)*MIN(J$3-$O$2,$Q$2)/$Q$2))</f>
        <v>10815.2226650303</v>
      </c>
      <c r="K614" s="15" t="n">
        <f aca="false">J614*(1+IF(K$3&lt;=$O$2,$D614,$D614-($D614-$I$589)*MIN(K$3-$O$2,$Q$2)/$Q$2))</f>
        <v>11496.2099389357</v>
      </c>
      <c r="L614" s="15" t="n">
        <f aca="false">K614*(1+IF(L$3&lt;=$O$2,$D614,$D614-($D614-$I$589)*MIN(L$3-$O$2,$Q$2)/$Q$2))</f>
        <v>12048.9141958554</v>
      </c>
      <c r="M614" s="15" t="n">
        <f aca="false">L614*(1+IF(M$3&lt;=$O$2,$D614,$D614-($D614-$I$589)*MIN(M$3-$O$2,$Q$2)/$Q$2))</f>
        <v>12448.8000938452</v>
      </c>
      <c r="N614" s="15" t="n">
        <f aca="false">M614*(1+IF(N$3&lt;=$O$2,$D614,$D614-($D614-$I$589)*MIN(N$3-$O$2,$Q$2)/$Q$2))</f>
        <v>12676.6131355626</v>
      </c>
      <c r="O614" s="15" t="n">
        <f aca="false">SUMPRODUCT(E614:N614,1/(1+$F$589)^$E$3:$N$3)*$E$2</f>
        <v>11604.5310943566</v>
      </c>
      <c r="P614" s="15" t="n">
        <f aca="false">N614*$E$2*(1+$I$589)/($F$589-$I$589)/(1+$F$589)^$N$3</f>
        <v>10985.3790160382</v>
      </c>
      <c r="Q614" s="15" t="n">
        <f aca="false">O614+P614</f>
        <v>22589.9101103948</v>
      </c>
      <c r="R614" s="15" t="n">
        <f aca="false">Q614-$G$2+$I$2</f>
        <v>17290.0101103948</v>
      </c>
      <c r="S614" s="42" t="n">
        <f aca="false">R614/$K$2</f>
        <v>147.174073122189</v>
      </c>
      <c r="T614" s="43" t="n">
        <f aca="false">S614-$M$2</f>
        <v>8.60605617845067E-005</v>
      </c>
    </row>
    <row r="616" customFormat="false" ht="15" hidden="false" customHeight="false" outlineLevel="0" collapsed="false">
      <c r="A616" s="38" t="s">
        <v>202</v>
      </c>
      <c r="E616" s="5" t="s">
        <v>11</v>
      </c>
      <c r="F616" s="12" t="n">
        <f aca="false">Sensitivity!$B$14</f>
        <v>0.104988656731527</v>
      </c>
      <c r="G616" s="5" t="s">
        <v>12</v>
      </c>
      <c r="I616" s="12" t="n">
        <f aca="false">Sensitivity!$D$9</f>
        <v>0.0233</v>
      </c>
    </row>
    <row r="617" customFormat="false" ht="23.85" hidden="false" customHeight="false" outlineLevel="0" collapsed="false">
      <c r="A617" s="38" t="s">
        <v>161</v>
      </c>
      <c r="B617" s="28" t="s">
        <v>162</v>
      </c>
      <c r="C617" s="28" t="s">
        <v>163</v>
      </c>
      <c r="D617" s="28" t="s">
        <v>164</v>
      </c>
      <c r="E617" s="28" t="s">
        <v>165</v>
      </c>
      <c r="F617" s="28" t="s">
        <v>166</v>
      </c>
      <c r="G617" s="28" t="s">
        <v>167</v>
      </c>
      <c r="H617" s="28" t="s">
        <v>168</v>
      </c>
      <c r="I617" s="28" t="s">
        <v>169</v>
      </c>
      <c r="J617" s="28" t="s">
        <v>170</v>
      </c>
      <c r="K617" s="28" t="s">
        <v>171</v>
      </c>
      <c r="L617" s="28" t="s">
        <v>172</v>
      </c>
      <c r="M617" s="28" t="s">
        <v>173</v>
      </c>
      <c r="N617" s="28" t="s">
        <v>174</v>
      </c>
      <c r="O617" s="28" t="s">
        <v>175</v>
      </c>
      <c r="P617" s="28" t="s">
        <v>176</v>
      </c>
      <c r="Q617" s="28" t="s">
        <v>177</v>
      </c>
      <c r="R617" s="28" t="s">
        <v>178</v>
      </c>
      <c r="S617" s="28" t="s">
        <v>179</v>
      </c>
      <c r="T617" s="28" t="s">
        <v>180</v>
      </c>
    </row>
    <row r="618" customFormat="false" ht="15" hidden="false" customHeight="false" outlineLevel="0" collapsed="false">
      <c r="A618" s="5" t="n">
        <v>1</v>
      </c>
      <c r="B618" s="24" t="n">
        <v>-0.5</v>
      </c>
      <c r="C618" s="24" t="n">
        <v>1</v>
      </c>
      <c r="D618" s="41" t="n">
        <f aca="false">(B618+C618)/2</f>
        <v>0.25</v>
      </c>
      <c r="E618" s="15" t="n">
        <f aca="false">$C$2*(1+IF(E$3&lt;=$O$2,$D618,$D618-($D618-$I$616)*MIN(E$3-$O$2,$Q$2)/$Q$2))</f>
        <v>8050</v>
      </c>
      <c r="F618" s="15" t="n">
        <f aca="false">E618*(1+IF(F$3&lt;=$O$2,$D618,$D618-($D618-$I$616)*MIN(F$3-$O$2,$Q$2)/$Q$2))</f>
        <v>10062.5</v>
      </c>
      <c r="G618" s="15" t="n">
        <f aca="false">F618*(1+IF(G$3&lt;=$O$2,$D618,$D618-($D618-$I$616)*MIN(G$3-$O$2,$Q$2)/$Q$2))</f>
        <v>12578.125</v>
      </c>
      <c r="H618" s="15" t="n">
        <f aca="false">G618*(1+IF(H$3&lt;=$O$2,$D618,$D618-($D618-$I$616)*MIN(H$3-$O$2,$Q$2)/$Q$2))</f>
        <v>15722.65625</v>
      </c>
      <c r="I618" s="15" t="n">
        <f aca="false">H618*(1+IF(I$3&lt;=$O$2,$D618,$D618-($D618-$I$616)*MIN(I$3-$O$2,$Q$2)/$Q$2))</f>
        <v>19653.3203125</v>
      </c>
      <c r="J618" s="15" t="n">
        <f aca="false">I618*(1+IF(J$3&lt;=$O$2,$D618,$D618-($D618-$I$616)*MIN(J$3-$O$2,$Q$2)/$Q$2))</f>
        <v>23675.5688476563</v>
      </c>
      <c r="K618" s="15" t="n">
        <f aca="false">J618*(1+IF(K$3&lt;=$O$2,$D618,$D618-($D618-$I$616)*MIN(K$3-$O$2,$Q$2)/$Q$2))</f>
        <v>27447.5604764648</v>
      </c>
      <c r="L618" s="15" t="n">
        <f aca="false">K618*(1+IF(L$3&lt;=$O$2,$D618,$D618-($D618-$I$616)*MIN(L$3-$O$2,$Q$2)/$Q$2))</f>
        <v>30576.0334195723</v>
      </c>
      <c r="M618" s="15" t="n">
        <f aca="false">L618*(1+IF(M$3&lt;=$O$2,$D618,$D618-($D618-$I$616)*MIN(M$3-$O$2,$Q$2)/$Q$2))</f>
        <v>32674.7723534918</v>
      </c>
      <c r="N618" s="15" t="n">
        <f aca="false">M618*(1+IF(N$3&lt;=$O$2,$D618,$D618-($D618-$I$616)*MIN(N$3-$O$2,$Q$2)/$Q$2))</f>
        <v>33436.0945493281</v>
      </c>
      <c r="O618" s="15" t="n">
        <f aca="false">SUMPRODUCT(E618:N618,1/(1+$F$616)^$E$3:$N$3)*$E$2</f>
        <v>22695.2005878055</v>
      </c>
      <c r="P618" s="15" t="n">
        <f aca="false">N618*$E$2*(1+$I$616)/($F$616-$I$616)/(1+$F$616)^$N$3</f>
        <v>30899.7597349318</v>
      </c>
      <c r="Q618" s="15" t="n">
        <f aca="false">O618+P618</f>
        <v>53594.9603227373</v>
      </c>
      <c r="R618" s="15" t="n">
        <f aca="false">Q618-$G$2+$I$2</f>
        <v>48295.0603227373</v>
      </c>
      <c r="S618" s="42" t="n">
        <f aca="false">R618/$K$2</f>
        <v>411.091763046794</v>
      </c>
      <c r="T618" s="43" t="n">
        <f aca="false">S618-$M$2</f>
        <v>263.917775985166</v>
      </c>
    </row>
    <row r="619" customFormat="false" ht="15" hidden="false" customHeight="false" outlineLevel="0" collapsed="false">
      <c r="A619" s="5" t="n">
        <v>2</v>
      </c>
      <c r="B619" s="25" t="n">
        <f aca="false">IF(T618&gt;0,B618,D618)</f>
        <v>-0.5</v>
      </c>
      <c r="C619" s="25" t="n">
        <f aca="false">IF(T618&gt;0,D618,C618)</f>
        <v>0.25</v>
      </c>
      <c r="D619" s="41" t="n">
        <f aca="false">(B619+C619)/2</f>
        <v>-0.125</v>
      </c>
      <c r="E619" s="15" t="n">
        <f aca="false">$C$2*(1+IF(E$3&lt;=$O$2,$D619,$D619-($D619-$I$616)*MIN(E$3-$O$2,$Q$2)/$Q$2))</f>
        <v>5635</v>
      </c>
      <c r="F619" s="15" t="n">
        <f aca="false">E619*(1+IF(F$3&lt;=$O$2,$D619,$D619-($D619-$I$616)*MIN(F$3-$O$2,$Q$2)/$Q$2))</f>
        <v>4930.625</v>
      </c>
      <c r="G619" s="15" t="n">
        <f aca="false">F619*(1+IF(G$3&lt;=$O$2,$D619,$D619-($D619-$I$616)*MIN(G$3-$O$2,$Q$2)/$Q$2))</f>
        <v>4314.296875</v>
      </c>
      <c r="H619" s="15" t="n">
        <f aca="false">G619*(1+IF(H$3&lt;=$O$2,$D619,$D619-($D619-$I$616)*MIN(H$3-$O$2,$Q$2)/$Q$2))</f>
        <v>3775.009765625</v>
      </c>
      <c r="I619" s="15" t="n">
        <f aca="false">H619*(1+IF(I$3&lt;=$O$2,$D619,$D619-($D619-$I$616)*MIN(I$3-$O$2,$Q$2)/$Q$2))</f>
        <v>3303.13354492188</v>
      </c>
      <c r="J619" s="15" t="n">
        <f aca="false">I619*(1+IF(J$3&lt;=$O$2,$D619,$D619-($D619-$I$616)*MIN(J$3-$O$2,$Q$2)/$Q$2))</f>
        <v>2988.21279274902</v>
      </c>
      <c r="K619" s="15" t="n">
        <f aca="false">J619*(1+IF(K$3&lt;=$O$2,$D619,$D619-($D619-$I$616)*MIN(K$3-$O$2,$Q$2)/$Q$2))</f>
        <v>2791.94697652127</v>
      </c>
      <c r="L619" s="15" t="n">
        <f aca="false">K619*(1+IF(L$3&lt;=$O$2,$D619,$D619-($D619-$I$616)*MIN(L$3-$O$2,$Q$2)/$Q$2))</f>
        <v>2691.38104642697</v>
      </c>
      <c r="M619" s="15" t="n">
        <f aca="false">L619*(1+IF(M$3&lt;=$O$2,$D619,$D619-($D619-$I$616)*MIN(M$3-$O$2,$Q$2)/$Q$2))</f>
        <v>2674.2638629717</v>
      </c>
      <c r="N619" s="15" t="n">
        <f aca="false">M619*(1+IF(N$3&lt;=$O$2,$D619,$D619-($D619-$I$616)*MIN(N$3-$O$2,$Q$2)/$Q$2))</f>
        <v>2736.57421097894</v>
      </c>
      <c r="O619" s="15" t="n">
        <f aca="false">SUMPRODUCT(E619:N619,1/(1+$F$616)^$E$3:$N$3)*$E$2</f>
        <v>4646.88362877865</v>
      </c>
      <c r="P619" s="15" t="n">
        <f aca="false">N619*$E$2*(1+$I$616)/($F$616-$I$616)/(1+$F$616)^$N$3</f>
        <v>2528.98811167404</v>
      </c>
      <c r="Q619" s="15" t="n">
        <f aca="false">O619+P619</f>
        <v>7175.87174045269</v>
      </c>
      <c r="R619" s="15" t="n">
        <f aca="false">Q619-$G$2+$I$2</f>
        <v>1875.97174045269</v>
      </c>
      <c r="S619" s="42" t="n">
        <f aca="false">R619/$K$2</f>
        <v>15.9684349715074</v>
      </c>
      <c r="T619" s="43" t="n">
        <f aca="false">S619-$M$2</f>
        <v>-131.20555209012</v>
      </c>
    </row>
    <row r="620" customFormat="false" ht="15" hidden="false" customHeight="false" outlineLevel="0" collapsed="false">
      <c r="A620" s="5" t="n">
        <v>3</v>
      </c>
      <c r="B620" s="25" t="n">
        <f aca="false">IF(T619&gt;0,B619,D619)</f>
        <v>-0.125</v>
      </c>
      <c r="C620" s="25" t="n">
        <f aca="false">IF(T619&gt;0,D619,C619)</f>
        <v>0.25</v>
      </c>
      <c r="D620" s="41" t="n">
        <f aca="false">(B620+C620)/2</f>
        <v>0.0625</v>
      </c>
      <c r="E620" s="15" t="n">
        <f aca="false">$C$2*(1+IF(E$3&lt;=$O$2,$D620,$D620-($D620-$I$616)*MIN(E$3-$O$2,$Q$2)/$Q$2))</f>
        <v>6842.5</v>
      </c>
      <c r="F620" s="15" t="n">
        <f aca="false">E620*(1+IF(F$3&lt;=$O$2,$D620,$D620-($D620-$I$616)*MIN(F$3-$O$2,$Q$2)/$Q$2))</f>
        <v>7270.15625</v>
      </c>
      <c r="G620" s="15" t="n">
        <f aca="false">F620*(1+IF(G$3&lt;=$O$2,$D620,$D620-($D620-$I$616)*MIN(G$3-$O$2,$Q$2)/$Q$2))</f>
        <v>7724.541015625</v>
      </c>
      <c r="H620" s="15" t="n">
        <f aca="false">G620*(1+IF(H$3&lt;=$O$2,$D620,$D620-($D620-$I$616)*MIN(H$3-$O$2,$Q$2)/$Q$2))</f>
        <v>8207.32482910156</v>
      </c>
      <c r="I620" s="15" t="n">
        <f aca="false">H620*(1+IF(I$3&lt;=$O$2,$D620,$D620-($D620-$I$616)*MIN(I$3-$O$2,$Q$2)/$Q$2))</f>
        <v>8720.28263092041</v>
      </c>
      <c r="J620" s="15" t="n">
        <f aca="false">I620*(1+IF(J$3&lt;=$O$2,$D620,$D620-($D620-$I$616)*MIN(J$3-$O$2,$Q$2)/$Q$2))</f>
        <v>9196.93327952652</v>
      </c>
      <c r="K620" s="15" t="n">
        <f aca="false">J620*(1+IF(K$3&lt;=$O$2,$D620,$D620-($D620-$I$616)*MIN(K$3-$O$2,$Q$2)/$Q$2))</f>
        <v>9627.53369567395</v>
      </c>
      <c r="L620" s="15" t="n">
        <f aca="false">K620*(1+IF(L$3&lt;=$O$2,$D620,$D620-($D620-$I$616)*MIN(L$3-$O$2,$Q$2)/$Q$2))</f>
        <v>10002.8149591313</v>
      </c>
      <c r="M620" s="15" t="n">
        <f aca="false">L620*(1+IF(M$3&lt;=$O$2,$D620,$D620-($D620-$I$616)*MIN(M$3-$O$2,$Q$2)/$Q$2))</f>
        <v>10314.3026169587</v>
      </c>
      <c r="N620" s="15" t="n">
        <f aca="false">M620*(1+IF(N$3&lt;=$O$2,$D620,$D620-($D620-$I$616)*MIN(N$3-$O$2,$Q$2)/$Q$2))</f>
        <v>10554.6258679338</v>
      </c>
      <c r="O620" s="15" t="n">
        <f aca="false">SUMPRODUCT(E620:N620,1/(1+$F$616)^$E$3:$N$3)*$E$2</f>
        <v>10230.2795764605</v>
      </c>
      <c r="P620" s="15" t="n">
        <f aca="false">N620*$E$2*(1+$I$616)/($F$616-$I$616)/(1+$F$616)^$N$3</f>
        <v>9753.99213954564</v>
      </c>
      <c r="Q620" s="15" t="n">
        <f aca="false">O620+P620</f>
        <v>19984.2717160062</v>
      </c>
      <c r="R620" s="15" t="n">
        <f aca="false">Q620-$G$2+$I$2</f>
        <v>14684.3717160062</v>
      </c>
      <c r="S620" s="42" t="n">
        <f aca="false">R620/$K$2</f>
        <v>124.994651991881</v>
      </c>
      <c r="T620" s="43" t="n">
        <f aca="false">S620-$M$2</f>
        <v>-22.1793350697465</v>
      </c>
    </row>
    <row r="621" customFormat="false" ht="15" hidden="false" customHeight="false" outlineLevel="0" collapsed="false">
      <c r="A621" s="5" t="n">
        <v>4</v>
      </c>
      <c r="B621" s="25" t="n">
        <f aca="false">IF(T620&gt;0,B620,D620)</f>
        <v>0.0625</v>
      </c>
      <c r="C621" s="25" t="n">
        <f aca="false">IF(T620&gt;0,D620,C620)</f>
        <v>0.25</v>
      </c>
      <c r="D621" s="41" t="n">
        <f aca="false">(B621+C621)/2</f>
        <v>0.15625</v>
      </c>
      <c r="E621" s="15" t="n">
        <f aca="false">$C$2*(1+IF(E$3&lt;=$O$2,$D621,$D621-($D621-$I$616)*MIN(E$3-$O$2,$Q$2)/$Q$2))</f>
        <v>7446.25</v>
      </c>
      <c r="F621" s="15" t="n">
        <f aca="false">E621*(1+IF(F$3&lt;=$O$2,$D621,$D621-($D621-$I$616)*MIN(F$3-$O$2,$Q$2)/$Q$2))</f>
        <v>8609.7265625</v>
      </c>
      <c r="G621" s="15" t="n">
        <f aca="false">F621*(1+IF(G$3&lt;=$O$2,$D621,$D621-($D621-$I$616)*MIN(G$3-$O$2,$Q$2)/$Q$2))</f>
        <v>9954.99633789063</v>
      </c>
      <c r="H621" s="15" t="n">
        <f aca="false">G621*(1+IF(H$3&lt;=$O$2,$D621,$D621-($D621-$I$616)*MIN(H$3-$O$2,$Q$2)/$Q$2))</f>
        <v>11510.464515686</v>
      </c>
      <c r="I621" s="15" t="n">
        <f aca="false">H621*(1+IF(I$3&lt;=$O$2,$D621,$D621-($D621-$I$616)*MIN(I$3-$O$2,$Q$2)/$Q$2))</f>
        <v>13308.974596262</v>
      </c>
      <c r="J621" s="15" t="n">
        <f aca="false">I621*(1+IF(J$3&lt;=$O$2,$D621,$D621-($D621-$I$616)*MIN(J$3-$O$2,$Q$2)/$Q$2))</f>
        <v>15034.6162424133</v>
      </c>
      <c r="K621" s="15" t="n">
        <f aca="false">J621*(1+IF(K$3&lt;=$O$2,$D621,$D621-($D621-$I$616)*MIN(K$3-$O$2,$Q$2)/$Q$2))</f>
        <v>16584.2341385188</v>
      </c>
      <c r="L621" s="15" t="n">
        <f aca="false">K621*(1+IF(L$3&lt;=$O$2,$D621,$D621-($D621-$I$616)*MIN(L$3-$O$2,$Q$2)/$Q$2))</f>
        <v>17852.5963654328</v>
      </c>
      <c r="M621" s="15" t="n">
        <f aca="false">L621*(1+IF(M$3&lt;=$O$2,$D621,$D621-($D621-$I$616)*MIN(M$3-$O$2,$Q$2)/$Q$2))</f>
        <v>18743.2623981042</v>
      </c>
      <c r="N621" s="15" t="n">
        <f aca="false">M621*(1+IF(N$3&lt;=$O$2,$D621,$D621-($D621-$I$616)*MIN(N$3-$O$2,$Q$2)/$Q$2))</f>
        <v>19179.98041198</v>
      </c>
      <c r="O621" s="15" t="n">
        <f aca="false">SUMPRODUCT(E621:N621,1/(1+$F$616)^$E$3:$N$3)*$E$2</f>
        <v>15256.5430483747</v>
      </c>
      <c r="P621" s="15" t="n">
        <f aca="false">N621*$E$2*(1+$I$616)/($F$616-$I$616)/(1+$F$616)^$N$3</f>
        <v>17725.0601315455</v>
      </c>
      <c r="Q621" s="15" t="n">
        <f aca="false">O621+P621</f>
        <v>32981.6031799203</v>
      </c>
      <c r="R621" s="15" t="n">
        <f aca="false">Q621-$G$2+$I$2</f>
        <v>27681.7031799202</v>
      </c>
      <c r="S621" s="42" t="n">
        <f aca="false">R621/$K$2</f>
        <v>235.629070309161</v>
      </c>
      <c r="T621" s="43" t="n">
        <f aca="false">S621-$M$2</f>
        <v>88.4550832475336</v>
      </c>
    </row>
    <row r="622" customFormat="false" ht="15" hidden="false" customHeight="false" outlineLevel="0" collapsed="false">
      <c r="A622" s="5" t="n">
        <v>5</v>
      </c>
      <c r="B622" s="25" t="n">
        <f aca="false">IF(T621&gt;0,B621,D621)</f>
        <v>0.0625</v>
      </c>
      <c r="C622" s="25" t="n">
        <f aca="false">IF(T621&gt;0,D621,C621)</f>
        <v>0.15625</v>
      </c>
      <c r="D622" s="41" t="n">
        <f aca="false">(B622+C622)/2</f>
        <v>0.109375</v>
      </c>
      <c r="E622" s="15" t="n">
        <f aca="false">$C$2*(1+IF(E$3&lt;=$O$2,$D622,$D622-($D622-$I$616)*MIN(E$3-$O$2,$Q$2)/$Q$2))</f>
        <v>7144.375</v>
      </c>
      <c r="F622" s="15" t="n">
        <f aca="false">E622*(1+IF(F$3&lt;=$O$2,$D622,$D622-($D622-$I$616)*MIN(F$3-$O$2,$Q$2)/$Q$2))</f>
        <v>7925.791015625</v>
      </c>
      <c r="G622" s="15" t="n">
        <f aca="false">F622*(1+IF(G$3&lt;=$O$2,$D622,$D622-($D622-$I$616)*MIN(G$3-$O$2,$Q$2)/$Q$2))</f>
        <v>8792.67440795898</v>
      </c>
      <c r="H622" s="15" t="n">
        <f aca="false">G622*(1+IF(H$3&lt;=$O$2,$D622,$D622-($D622-$I$616)*MIN(H$3-$O$2,$Q$2)/$Q$2))</f>
        <v>9754.3731713295</v>
      </c>
      <c r="I622" s="15" t="n">
        <f aca="false">H622*(1+IF(I$3&lt;=$O$2,$D622,$D622-($D622-$I$616)*MIN(I$3-$O$2,$Q$2)/$Q$2))</f>
        <v>10821.2577369437</v>
      </c>
      <c r="J622" s="15" t="n">
        <f aca="false">I622*(1+IF(J$3&lt;=$O$2,$D622,$D622-($D622-$I$616)*MIN(J$3-$O$2,$Q$2)/$Q$2))</f>
        <v>11818.5448499804</v>
      </c>
      <c r="K622" s="15" t="n">
        <f aca="false">J622*(1+IF(K$3&lt;=$O$2,$D622,$D622-($D622-$I$616)*MIN(K$3-$O$2,$Q$2)/$Q$2))</f>
        <v>12704.2856937622</v>
      </c>
      <c r="L622" s="15" t="n">
        <f aca="false">K622*(1+IF(L$3&lt;=$O$2,$D622,$D622-($D622-$I$616)*MIN(L$3-$O$2,$Q$2)/$Q$2))</f>
        <v>13437.7041068631</v>
      </c>
      <c r="M622" s="15" t="n">
        <f aca="false">L622*(1+IF(M$3&lt;=$O$2,$D622,$D622-($D622-$I$616)*MIN(M$3-$O$2,$Q$2)/$Q$2))</f>
        <v>13982.1326887526</v>
      </c>
      <c r="N622" s="15" t="n">
        <f aca="false">M622*(1+IF(N$3&lt;=$O$2,$D622,$D622-($D622-$I$616)*MIN(N$3-$O$2,$Q$2)/$Q$2))</f>
        <v>14307.9163804006</v>
      </c>
      <c r="O622" s="15" t="n">
        <f aca="false">SUMPRODUCT(E622:N622,1/(1+$F$616)^$E$3:$N$3)*$E$2</f>
        <v>12493.9350551942</v>
      </c>
      <c r="P622" s="15" t="n">
        <f aca="false">N622*$E$2*(1+$I$616)/($F$616-$I$616)/(1+$F$616)^$N$3</f>
        <v>13222.5723255337</v>
      </c>
      <c r="Q622" s="15" t="n">
        <f aca="false">O622+P622</f>
        <v>25716.5073807278</v>
      </c>
      <c r="R622" s="15" t="n">
        <f aca="false">Q622-$G$2+$I$2</f>
        <v>20416.6073807278</v>
      </c>
      <c r="S622" s="42" t="n">
        <f aca="false">R622/$K$2</f>
        <v>173.787941613278</v>
      </c>
      <c r="T622" s="43" t="n">
        <f aca="false">S622-$M$2</f>
        <v>26.61395455165</v>
      </c>
    </row>
    <row r="623" customFormat="false" ht="15" hidden="false" customHeight="false" outlineLevel="0" collapsed="false">
      <c r="A623" s="5" t="n">
        <v>6</v>
      </c>
      <c r="B623" s="25" t="n">
        <f aca="false">IF(T622&gt;0,B622,D622)</f>
        <v>0.0625</v>
      </c>
      <c r="C623" s="25" t="n">
        <f aca="false">IF(T622&gt;0,D622,C622)</f>
        <v>0.109375</v>
      </c>
      <c r="D623" s="41" t="n">
        <f aca="false">(B623+C623)/2</f>
        <v>0.0859375</v>
      </c>
      <c r="E623" s="15" t="n">
        <f aca="false">$C$2*(1+IF(E$3&lt;=$O$2,$D623,$D623-($D623-$I$616)*MIN(E$3-$O$2,$Q$2)/$Q$2))</f>
        <v>6993.4375</v>
      </c>
      <c r="F623" s="15" t="n">
        <f aca="false">E623*(1+IF(F$3&lt;=$O$2,$D623,$D623-($D623-$I$616)*MIN(F$3-$O$2,$Q$2)/$Q$2))</f>
        <v>7594.43603515625</v>
      </c>
      <c r="G623" s="15" t="n">
        <f aca="false">F623*(1+IF(G$3&lt;=$O$2,$D623,$D623-($D623-$I$616)*MIN(G$3-$O$2,$Q$2)/$Q$2))</f>
        <v>8247.08288192749</v>
      </c>
      <c r="H623" s="15" t="n">
        <f aca="false">G623*(1+IF(H$3&lt;=$O$2,$D623,$D623-($D623-$I$616)*MIN(H$3-$O$2,$Q$2)/$Q$2))</f>
        <v>8955.81656709313</v>
      </c>
      <c r="I623" s="15" t="n">
        <f aca="false">H623*(1+IF(I$3&lt;=$O$2,$D623,$D623-($D623-$I$616)*MIN(I$3-$O$2,$Q$2)/$Q$2))</f>
        <v>9725.4570533277</v>
      </c>
      <c r="J623" s="15" t="n">
        <f aca="false">I623*(1+IF(J$3&lt;=$O$2,$D623,$D623-($D623-$I$616)*MIN(J$3-$O$2,$Q$2)/$Q$2))</f>
        <v>10439.4028556125</v>
      </c>
      <c r="K623" s="15" t="n">
        <f aca="false">J623*(1+IF(K$3&lt;=$O$2,$D623,$D623-($D623-$I$616)*MIN(K$3-$O$2,$Q$2)/$Q$2))</f>
        <v>11074.9797999693</v>
      </c>
      <c r="L623" s="15" t="n">
        <f aca="false">K623*(1+IF(L$3&lt;=$O$2,$D623,$D623-($D623-$I$616)*MIN(L$3-$O$2,$Q$2)/$Q$2))</f>
        <v>11610.5104481968</v>
      </c>
      <c r="M623" s="15" t="n">
        <f aca="false">L623*(1+IF(M$3&lt;=$O$2,$D623,$D623-($D623-$I$616)*MIN(M$3-$O$2,$Q$2)/$Q$2))</f>
        <v>12026.4860112796</v>
      </c>
      <c r="N623" s="15" t="n">
        <f aca="false">M623*(1+IF(N$3&lt;=$O$2,$D623,$D623-($D623-$I$616)*MIN(N$3-$O$2,$Q$2)/$Q$2))</f>
        <v>12306.7031353424</v>
      </c>
      <c r="O623" s="15" t="n">
        <f aca="false">SUMPRODUCT(E623:N623,1/(1+$F$616)^$E$3:$N$3)*$E$2</f>
        <v>11305.3829868491</v>
      </c>
      <c r="P623" s="15" t="n">
        <f aca="false">N623*$E$2*(1+$I$616)/($F$616-$I$616)/(1+$F$616)^$N$3</f>
        <v>11373.1634970166</v>
      </c>
      <c r="Q623" s="15" t="n">
        <f aca="false">O623+P623</f>
        <v>22678.5464838657</v>
      </c>
      <c r="R623" s="15" t="n">
        <f aca="false">Q623-$G$2+$I$2</f>
        <v>17378.6464838657</v>
      </c>
      <c r="S623" s="42" t="n">
        <f aca="false">R623/$K$2</f>
        <v>147.928553659054</v>
      </c>
      <c r="T623" s="43" t="n">
        <f aca="false">S623-$M$2</f>
        <v>0.754566597426447</v>
      </c>
    </row>
    <row r="624" customFormat="false" ht="15" hidden="false" customHeight="false" outlineLevel="0" collapsed="false">
      <c r="A624" s="5" t="n">
        <v>7</v>
      </c>
      <c r="B624" s="25" t="n">
        <f aca="false">IF(T623&gt;0,B623,D623)</f>
        <v>0.0625</v>
      </c>
      <c r="C624" s="25" t="n">
        <f aca="false">IF(T623&gt;0,D623,C623)</f>
        <v>0.0859375</v>
      </c>
      <c r="D624" s="41" t="n">
        <f aca="false">(B624+C624)/2</f>
        <v>0.07421875</v>
      </c>
      <c r="E624" s="15" t="n">
        <f aca="false">$C$2*(1+IF(E$3&lt;=$O$2,$D624,$D624-($D624-$I$616)*MIN(E$3-$O$2,$Q$2)/$Q$2))</f>
        <v>6917.96875</v>
      </c>
      <c r="F624" s="15" t="n">
        <f aca="false">E624*(1+IF(F$3&lt;=$O$2,$D624,$D624-($D624-$I$616)*MIN(F$3-$O$2,$Q$2)/$Q$2))</f>
        <v>7431.41174316406</v>
      </c>
      <c r="G624" s="15" t="n">
        <f aca="false">F624*(1+IF(G$3&lt;=$O$2,$D624,$D624-($D624-$I$616)*MIN(G$3-$O$2,$Q$2)/$Q$2))</f>
        <v>7982.96183347702</v>
      </c>
      <c r="H624" s="15" t="n">
        <f aca="false">G624*(1+IF(H$3&lt;=$O$2,$D624,$D624-($D624-$I$616)*MIN(H$3-$O$2,$Q$2)/$Q$2))</f>
        <v>8575.44728205539</v>
      </c>
      <c r="I624" s="15" t="n">
        <f aca="false">H624*(1+IF(I$3&lt;=$O$2,$D624,$D624-($D624-$I$616)*MIN(I$3-$O$2,$Q$2)/$Q$2))</f>
        <v>9211.90626002044</v>
      </c>
      <c r="J624" s="15" t="n">
        <f aca="false">I624*(1+IF(J$3&lt;=$O$2,$D624,$D624-($D624-$I$616)*MIN(J$3-$O$2,$Q$2)/$Q$2))</f>
        <v>9801.79067738085</v>
      </c>
      <c r="K624" s="15" t="n">
        <f aca="false">J624*(1+IF(K$3&lt;=$O$2,$D624,$D624-($D624-$I$616)*MIN(K$3-$O$2,$Q$2)/$Q$2))</f>
        <v>10329.6293575962</v>
      </c>
      <c r="L624" s="15" t="n">
        <f aca="false">K624*(1+IF(L$3&lt;=$O$2,$D624,$D624-($D624-$I$616)*MIN(L$3-$O$2,$Q$2)/$Q$2))</f>
        <v>10780.698447569</v>
      </c>
      <c r="M624" s="15" t="n">
        <f aca="false">L624*(1+IF(M$3&lt;=$O$2,$D624,$D624-($D624-$I$616)*MIN(M$3-$O$2,$Q$2)/$Q$2))</f>
        <v>11141.6766592128</v>
      </c>
      <c r="N624" s="15" t="n">
        <f aca="false">M624*(1+IF(N$3&lt;=$O$2,$D624,$D624-($D624-$I$616)*MIN(N$3-$O$2,$Q$2)/$Q$2))</f>
        <v>11401.2777253724</v>
      </c>
      <c r="O624" s="15" t="n">
        <f aca="false">SUMPRODUCT(E624:N624,1/(1+$F$616)^$E$3:$N$3)*$E$2</f>
        <v>10754.3069365431</v>
      </c>
      <c r="P624" s="15" t="n">
        <f aca="false">N624*$E$2*(1+$I$616)/($F$616-$I$616)/(1+$F$616)^$N$3</f>
        <v>10536.4202109638</v>
      </c>
      <c r="Q624" s="15" t="n">
        <f aca="false">O624+P624</f>
        <v>21290.7271475069</v>
      </c>
      <c r="R624" s="15" t="n">
        <f aca="false">Q624-$G$2+$I$2</f>
        <v>15990.8271475069</v>
      </c>
      <c r="S624" s="42" t="n">
        <f aca="false">R624/$K$2</f>
        <v>136.115314500399</v>
      </c>
      <c r="T624" s="43" t="n">
        <f aca="false">S624-$M$2</f>
        <v>-11.0586725612282</v>
      </c>
    </row>
    <row r="625" customFormat="false" ht="15" hidden="false" customHeight="false" outlineLevel="0" collapsed="false">
      <c r="A625" s="5" t="n">
        <v>8</v>
      </c>
      <c r="B625" s="25" t="n">
        <f aca="false">IF(T624&gt;0,B624,D624)</f>
        <v>0.07421875</v>
      </c>
      <c r="C625" s="25" t="n">
        <f aca="false">IF(T624&gt;0,D624,C624)</f>
        <v>0.0859375</v>
      </c>
      <c r="D625" s="41" t="n">
        <f aca="false">(B625+C625)/2</f>
        <v>0.080078125</v>
      </c>
      <c r="E625" s="15" t="n">
        <f aca="false">$C$2*(1+IF(E$3&lt;=$O$2,$D625,$D625-($D625-$I$616)*MIN(E$3-$O$2,$Q$2)/$Q$2))</f>
        <v>6955.703125</v>
      </c>
      <c r="F625" s="15" t="n">
        <f aca="false">E625*(1+IF(F$3&lt;=$O$2,$D625,$D625-($D625-$I$616)*MIN(F$3-$O$2,$Q$2)/$Q$2))</f>
        <v>7512.70278930664</v>
      </c>
      <c r="G625" s="15" t="n">
        <f aca="false">F625*(1+IF(G$3&lt;=$O$2,$D625,$D625-($D625-$I$616)*MIN(G$3-$O$2,$Q$2)/$Q$2))</f>
        <v>8114.30594235659</v>
      </c>
      <c r="H625" s="15" t="n">
        <f aca="false">G625*(1+IF(H$3&lt;=$O$2,$D625,$D625-($D625-$I$616)*MIN(H$3-$O$2,$Q$2)/$Q$2))</f>
        <v>8764.08434789686</v>
      </c>
      <c r="I625" s="15" t="n">
        <f aca="false">H625*(1+IF(I$3&lt;=$O$2,$D625,$D625-($D625-$I$616)*MIN(I$3-$O$2,$Q$2)/$Q$2))</f>
        <v>9465.89578981829</v>
      </c>
      <c r="J625" s="15" t="n">
        <f aca="false">I625*(1+IF(J$3&lt;=$O$2,$D625,$D625-($D625-$I$616)*MIN(J$3-$O$2,$Q$2)/$Q$2))</f>
        <v>10116.4158132341</v>
      </c>
      <c r="K625" s="15" t="n">
        <f aca="false">J625*(1+IF(K$3&lt;=$O$2,$D625,$D625-($D625-$I$616)*MIN(K$3-$O$2,$Q$2)/$Q$2))</f>
        <v>10696.7629746399</v>
      </c>
      <c r="L625" s="15" t="n">
        <f aca="false">K625*(1+IF(L$3&lt;=$O$2,$D625,$D625-($D625-$I$616)*MIN(L$3-$O$2,$Q$2)/$Q$2))</f>
        <v>11188.9344100568</v>
      </c>
      <c r="M625" s="15" t="n">
        <f aca="false">L625*(1+IF(M$3&lt;=$O$2,$D625,$D625-($D625-$I$616)*MIN(M$3-$O$2,$Q$2)/$Q$2))</f>
        <v>11576.6939251213</v>
      </c>
      <c r="N625" s="15" t="n">
        <f aca="false">M625*(1+IF(N$3&lt;=$O$2,$D625,$D625-($D625-$I$616)*MIN(N$3-$O$2,$Q$2)/$Q$2))</f>
        <v>11846.4308935767</v>
      </c>
      <c r="O625" s="15" t="n">
        <f aca="false">SUMPRODUCT(E625:N625,1/(1+$F$616)^$E$3:$N$3)*$E$2</f>
        <v>11026.383870414</v>
      </c>
      <c r="P625" s="15" t="n">
        <f aca="false">N625*$E$2*(1+$I$616)/($F$616-$I$616)/(1+$F$616)^$N$3</f>
        <v>10947.8057548844</v>
      </c>
      <c r="Q625" s="15" t="n">
        <f aca="false">O625+P625</f>
        <v>21974.1896252984</v>
      </c>
      <c r="R625" s="15" t="n">
        <f aca="false">Q625-$G$2+$I$2</f>
        <v>16674.2896252984</v>
      </c>
      <c r="S625" s="42" t="n">
        <f aca="false">R625/$K$2</f>
        <v>141.933006684528</v>
      </c>
      <c r="T625" s="43" t="n">
        <f aca="false">S625-$M$2</f>
        <v>-5.24098037709925</v>
      </c>
    </row>
    <row r="626" customFormat="false" ht="15" hidden="false" customHeight="false" outlineLevel="0" collapsed="false">
      <c r="A626" s="5" t="n">
        <v>9</v>
      </c>
      <c r="B626" s="25" t="n">
        <f aca="false">IF(T625&gt;0,B625,D625)</f>
        <v>0.080078125</v>
      </c>
      <c r="C626" s="25" t="n">
        <f aca="false">IF(T625&gt;0,D625,C625)</f>
        <v>0.0859375</v>
      </c>
      <c r="D626" s="41" t="n">
        <f aca="false">(B626+C626)/2</f>
        <v>0.0830078125</v>
      </c>
      <c r="E626" s="15" t="n">
        <f aca="false">$C$2*(1+IF(E$3&lt;=$O$2,$D626,$D626-($D626-$I$616)*MIN(E$3-$O$2,$Q$2)/$Q$2))</f>
        <v>6974.5703125</v>
      </c>
      <c r="F626" s="15" t="n">
        <f aca="false">E626*(1+IF(F$3&lt;=$O$2,$D626,$D626-($D626-$I$616)*MIN(F$3-$O$2,$Q$2)/$Q$2))</f>
        <v>7553.51413726807</v>
      </c>
      <c r="G626" s="15" t="n">
        <f aca="false">F626*(1+IF(G$3&lt;=$O$2,$D626,$D626-($D626-$I$616)*MIN(G$3-$O$2,$Q$2)/$Q$2))</f>
        <v>8180.51482249051</v>
      </c>
      <c r="H626" s="15" t="n">
        <f aca="false">G626*(1+IF(H$3&lt;=$O$2,$D626,$D626-($D626-$I$616)*MIN(H$3-$O$2,$Q$2)/$Q$2))</f>
        <v>8859.56146302928</v>
      </c>
      <c r="I626" s="15" t="n">
        <f aca="false">H626*(1+IF(I$3&lt;=$O$2,$D626,$D626-($D626-$I$616)*MIN(I$3-$O$2,$Q$2)/$Q$2))</f>
        <v>9594.97427978464</v>
      </c>
      <c r="J626" s="15" t="n">
        <f aca="false">I626*(1+IF(J$3&lt;=$O$2,$D626,$D626-($D626-$I$616)*MIN(J$3-$O$2,$Q$2)/$Q$2))</f>
        <v>10276.8531206954</v>
      </c>
      <c r="K626" s="15" t="n">
        <f aca="false">J626*(1+IF(K$3&lt;=$O$2,$D626,$D626-($D626-$I$616)*MIN(K$3-$O$2,$Q$2)/$Q$2))</f>
        <v>10884.4688499399</v>
      </c>
      <c r="L626" s="15" t="n">
        <f aca="false">K626*(1+IF(L$3&lt;=$O$2,$D626,$D626-($D626-$I$616)*MIN(L$3-$O$2,$Q$2)/$Q$2))</f>
        <v>11398.0321042452</v>
      </c>
      <c r="M626" s="15" t="n">
        <f aca="false">L626*(1+IF(M$3&lt;=$O$2,$D626,$D626-($D626-$I$616)*MIN(M$3-$O$2,$Q$2)/$Q$2))</f>
        <v>11799.716565024</v>
      </c>
      <c r="N626" s="15" t="n">
        <f aca="false">M626*(1+IF(N$3&lt;=$O$2,$D626,$D626-($D626-$I$616)*MIN(N$3-$O$2,$Q$2)/$Q$2))</f>
        <v>12074.649960989</v>
      </c>
      <c r="O626" s="15" t="n">
        <f aca="false">SUMPRODUCT(E626:N626,1/(1+$F$616)^$E$3:$N$3)*$E$2</f>
        <v>11165.0079753275</v>
      </c>
      <c r="P626" s="15" t="n">
        <f aca="false">N626*$E$2*(1+$I$616)/($F$616-$I$616)/(1+$F$616)^$N$3</f>
        <v>11158.7129928565</v>
      </c>
      <c r="Q626" s="15" t="n">
        <f aca="false">O626+P626</f>
        <v>22323.720968184</v>
      </c>
      <c r="R626" s="15" t="n">
        <f aca="false">Q626-$G$2+$I$2</f>
        <v>17023.820968184</v>
      </c>
      <c r="S626" s="42" t="n">
        <f aca="false">R626/$K$2</f>
        <v>144.908247941641</v>
      </c>
      <c r="T626" s="43" t="n">
        <f aca="false">S626-$M$2</f>
        <v>-2.26573911998682</v>
      </c>
    </row>
    <row r="627" customFormat="false" ht="15" hidden="false" customHeight="false" outlineLevel="0" collapsed="false">
      <c r="A627" s="5" t="n">
        <v>10</v>
      </c>
      <c r="B627" s="25" t="n">
        <f aca="false">IF(T626&gt;0,B626,D626)</f>
        <v>0.0830078125</v>
      </c>
      <c r="C627" s="25" t="n">
        <f aca="false">IF(T626&gt;0,D626,C626)</f>
        <v>0.0859375</v>
      </c>
      <c r="D627" s="41" t="n">
        <f aca="false">(B627+C627)/2</f>
        <v>0.08447265625</v>
      </c>
      <c r="E627" s="15" t="n">
        <f aca="false">$C$2*(1+IF(E$3&lt;=$O$2,$D627,$D627-($D627-$I$616)*MIN(E$3-$O$2,$Q$2)/$Q$2))</f>
        <v>6984.00390625</v>
      </c>
      <c r="F627" s="15" t="n">
        <f aca="false">E627*(1+IF(F$3&lt;=$O$2,$D627,$D627-($D627-$I$616)*MIN(F$3-$O$2,$Q$2)/$Q$2))</f>
        <v>7573.96126747131</v>
      </c>
      <c r="G627" s="15" t="n">
        <f aca="false">F627*(1+IF(G$3&lt;=$O$2,$D627,$D627-($D627-$I$616)*MIN(G$3-$O$2,$Q$2)/$Q$2))</f>
        <v>8213.75389406923</v>
      </c>
      <c r="H627" s="15" t="n">
        <f aca="false">G627*(1+IF(H$3&lt;=$O$2,$D627,$D627-($D627-$I$616)*MIN(H$3-$O$2,$Q$2)/$Q$2))</f>
        <v>8907.59150328504</v>
      </c>
      <c r="I627" s="15" t="n">
        <f aca="false">H627*(1+IF(I$3&lt;=$O$2,$D627,$D627-($D627-$I$616)*MIN(I$3-$O$2,$Q$2)/$Q$2))</f>
        <v>9660.03941835746</v>
      </c>
      <c r="J627" s="15" t="n">
        <f aca="false">I627*(1+IF(J$3&lt;=$O$2,$D627,$D627-($D627-$I$616)*MIN(J$3-$O$2,$Q$2)/$Q$2))</f>
        <v>10357.8625533657</v>
      </c>
      <c r="K627" s="15" t="n">
        <f aca="false">J627*(1+IF(K$3&lt;=$O$2,$D627,$D627-($D627-$I$616)*MIN(K$3-$O$2,$Q$2)/$Q$2))</f>
        <v>10979.3715301362</v>
      </c>
      <c r="L627" s="15" t="n">
        <f aca="false">K627*(1+IF(L$3&lt;=$O$2,$D627,$D627-($D627-$I$616)*MIN(L$3-$O$2,$Q$2)/$Q$2))</f>
        <v>11503.84581497</v>
      </c>
      <c r="M627" s="15" t="n">
        <f aca="false">L627*(1+IF(M$3&lt;=$O$2,$D627,$D627-($D627-$I$616)*MIN(M$3-$O$2,$Q$2)/$Q$2))</f>
        <v>11912.6295835772</v>
      </c>
      <c r="N627" s="15" t="n">
        <f aca="false">M627*(1+IF(N$3&lt;=$O$2,$D627,$D627-($D627-$I$616)*MIN(N$3-$O$2,$Q$2)/$Q$2))</f>
        <v>12190.1938528746</v>
      </c>
      <c r="O627" s="15" t="n">
        <f aca="false">SUMPRODUCT(E627:N627,1/(1+$F$616)^$E$3:$N$3)*$E$2</f>
        <v>11234.9753338179</v>
      </c>
      <c r="P627" s="15" t="n">
        <f aca="false">N627*$E$2*(1+$I$616)/($F$616-$I$616)/(1+$F$616)^$N$3</f>
        <v>11265.4921650721</v>
      </c>
      <c r="Q627" s="15" t="n">
        <f aca="false">O627+P627</f>
        <v>22500.4674988901</v>
      </c>
      <c r="R627" s="15" t="n">
        <f aca="false">Q627-$G$2+$I$2</f>
        <v>17200.5674988901</v>
      </c>
      <c r="S627" s="42" t="n">
        <f aca="false">R627/$K$2</f>
        <v>146.412729816906</v>
      </c>
      <c r="T627" s="43" t="n">
        <f aca="false">S627-$M$2</f>
        <v>-0.761257244721776</v>
      </c>
    </row>
    <row r="628" customFormat="false" ht="15" hidden="false" customHeight="false" outlineLevel="0" collapsed="false">
      <c r="A628" s="5" t="n">
        <v>11</v>
      </c>
      <c r="B628" s="25" t="n">
        <f aca="false">IF(T627&gt;0,B627,D627)</f>
        <v>0.08447265625</v>
      </c>
      <c r="C628" s="25" t="n">
        <f aca="false">IF(T627&gt;0,D627,C627)</f>
        <v>0.0859375</v>
      </c>
      <c r="D628" s="41" t="n">
        <f aca="false">(B628+C628)/2</f>
        <v>0.085205078125</v>
      </c>
      <c r="E628" s="15" t="n">
        <f aca="false">$C$2*(1+IF(E$3&lt;=$O$2,$D628,$D628-($D628-$I$616)*MIN(E$3-$O$2,$Q$2)/$Q$2))</f>
        <v>6988.720703125</v>
      </c>
      <c r="F628" s="15" t="n">
        <f aca="false">E628*(1+IF(F$3&lt;=$O$2,$D628,$D628-($D628-$I$616)*MIN(F$3-$O$2,$Q$2)/$Q$2))</f>
        <v>7584.19519662857</v>
      </c>
      <c r="G628" s="15" t="n">
        <f aca="false">F628*(1+IF(G$3&lt;=$O$2,$D628,$D628-($D628-$I$616)*MIN(G$3-$O$2,$Q$2)/$Q$2))</f>
        <v>8230.40714087256</v>
      </c>
      <c r="H628" s="15" t="n">
        <f aca="false">G628*(1+IF(H$3&lt;=$O$2,$D628,$D628-($D628-$I$616)*MIN(H$3-$O$2,$Q$2)/$Q$2))</f>
        <v>8931.67962431116</v>
      </c>
      <c r="I628" s="15" t="n">
        <f aca="false">H628*(1+IF(I$3&lt;=$O$2,$D628,$D628-($D628-$I$616)*MIN(I$3-$O$2,$Q$2)/$Q$2))</f>
        <v>9692.70408448807</v>
      </c>
      <c r="J628" s="15" t="n">
        <f aca="false">I628*(1+IF(J$3&lt;=$O$2,$D628,$D628-($D628-$I$616)*MIN(J$3-$O$2,$Q$2)/$Q$2))</f>
        <v>10398.5661725308</v>
      </c>
      <c r="K628" s="15" t="n">
        <f aca="false">J628*(1+IF(K$3&lt;=$O$2,$D628,$D628-($D628-$I$616)*MIN(K$3-$O$2,$Q$2)/$Q$2))</f>
        <v>11027.0871951299</v>
      </c>
      <c r="L628" s="15" t="n">
        <f aca="false">K628*(1+IF(L$3&lt;=$O$2,$D628,$D628-($D628-$I$616)*MIN(L$3-$O$2,$Q$2)/$Q$2))</f>
        <v>11557.0714044987</v>
      </c>
      <c r="M628" s="15" t="n">
        <f aca="false">L628*(1+IF(M$3&lt;=$O$2,$D628,$D628-($D628-$I$616)*MIN(M$3-$O$2,$Q$2)/$Q$2))</f>
        <v>11969.4394498619</v>
      </c>
      <c r="N628" s="15" t="n">
        <f aca="false">M628*(1+IF(N$3&lt;=$O$2,$D628,$D628-($D628-$I$616)*MIN(N$3-$O$2,$Q$2)/$Q$2))</f>
        <v>12248.3273890436</v>
      </c>
      <c r="O628" s="15" t="n">
        <f aca="false">SUMPRODUCT(E628:N628,1/(1+$F$616)^$E$3:$N$3)*$E$2</f>
        <v>11270.1239623069</v>
      </c>
      <c r="P628" s="15" t="n">
        <f aca="false">N628*$E$2*(1+$I$616)/($F$616-$I$616)/(1+$F$616)^$N$3</f>
        <v>11319.2159125486</v>
      </c>
      <c r="Q628" s="15" t="n">
        <f aca="false">O628+P628</f>
        <v>22589.3398748555</v>
      </c>
      <c r="R628" s="15" t="n">
        <f aca="false">Q628-$G$2+$I$2</f>
        <v>17289.4398748555</v>
      </c>
      <c r="S628" s="42" t="n">
        <f aca="false">R628/$K$2</f>
        <v>147.169219227575</v>
      </c>
      <c r="T628" s="43" t="n">
        <f aca="false">S628-$M$2</f>
        <v>-0.00476783405269998</v>
      </c>
    </row>
    <row r="629" customFormat="false" ht="15" hidden="false" customHeight="false" outlineLevel="0" collapsed="false">
      <c r="A629" s="5" t="n">
        <v>12</v>
      </c>
      <c r="B629" s="25" t="n">
        <f aca="false">IF(T628&gt;0,B628,D628)</f>
        <v>0.085205078125</v>
      </c>
      <c r="C629" s="25" t="n">
        <f aca="false">IF(T628&gt;0,D628,C628)</f>
        <v>0.0859375</v>
      </c>
      <c r="D629" s="41" t="n">
        <f aca="false">(B629+C629)/2</f>
        <v>0.0855712890625</v>
      </c>
      <c r="E629" s="15" t="n">
        <f aca="false">$C$2*(1+IF(E$3&lt;=$O$2,$D629,$D629-($D629-$I$616)*MIN(E$3-$O$2,$Q$2)/$Q$2))</f>
        <v>6991.0791015625</v>
      </c>
      <c r="F629" s="15" t="n">
        <f aca="false">E629*(1+IF(F$3&lt;=$O$2,$D629,$D629-($D629-$I$616)*MIN(F$3-$O$2,$Q$2)/$Q$2))</f>
        <v>7589.31475222111</v>
      </c>
      <c r="G629" s="15" t="n">
        <f aca="false">F629*(1+IF(G$3&lt;=$O$2,$D629,$D629-($D629-$I$616)*MIN(G$3-$O$2,$Q$2)/$Q$2))</f>
        <v>8238.74219866972</v>
      </c>
      <c r="H629" s="15" t="n">
        <f aca="false">G629*(1+IF(H$3&lt;=$O$2,$D629,$D629-($D629-$I$616)*MIN(H$3-$O$2,$Q$2)/$Q$2))</f>
        <v>8943.7419888635</v>
      </c>
      <c r="I629" s="15" t="n">
        <f aca="false">H629*(1+IF(I$3&lt;=$O$2,$D629,$D629-($D629-$I$616)*MIN(I$3-$O$2,$Q$2)/$Q$2))</f>
        <v>9709.06951989296</v>
      </c>
      <c r="J629" s="15" t="n">
        <f aca="false">I629*(1+IF(J$3&lt;=$O$2,$D629,$D629-($D629-$I$616)*MIN(J$3-$O$2,$Q$2)/$Q$2))</f>
        <v>10418.9678593874</v>
      </c>
      <c r="K629" s="15" t="n">
        <f aca="false">J629*(1+IF(K$3&lt;=$O$2,$D629,$D629-($D629-$I$616)*MIN(K$3-$O$2,$Q$2)/$Q$2))</f>
        <v>11051.011346094</v>
      </c>
      <c r="L629" s="15" t="n">
        <f aca="false">K629*(1+IF(L$3&lt;=$O$2,$D629,$D629-($D629-$I$616)*MIN(L$3-$O$2,$Q$2)/$Q$2))</f>
        <v>11583.7641992442</v>
      </c>
      <c r="M629" s="15" t="n">
        <f aca="false">L629*(1+IF(M$3&lt;=$O$2,$D629,$D629-($D629-$I$616)*MIN(M$3-$O$2,$Q$2)/$Q$2))</f>
        <v>11997.9330908632</v>
      </c>
      <c r="N629" s="15" t="n">
        <f aca="false">M629*(1+IF(N$3&lt;=$O$2,$D629,$D629-($D629-$I$616)*MIN(N$3-$O$2,$Q$2)/$Q$2))</f>
        <v>12277.4849318803</v>
      </c>
      <c r="O629" s="15" t="n">
        <f aca="false">SUMPRODUCT(E629:N629,1/(1+$F$616)^$E$3:$N$3)*$E$2</f>
        <v>11287.7396548753</v>
      </c>
      <c r="P629" s="15" t="n">
        <f aca="false">N629*$E$2*(1+$I$616)/($F$616-$I$616)/(1+$F$616)^$N$3</f>
        <v>11346.1616752119</v>
      </c>
      <c r="Q629" s="15" t="n">
        <f aca="false">O629+P629</f>
        <v>22633.9013300872</v>
      </c>
      <c r="R629" s="15" t="n">
        <f aca="false">Q629-$G$2+$I$2</f>
        <v>17334.0013300872</v>
      </c>
      <c r="S629" s="42" t="n">
        <f aca="false">R629/$K$2</f>
        <v>147.548530218652</v>
      </c>
      <c r="T629" s="43" t="n">
        <f aca="false">S629-$M$2</f>
        <v>0.374543157024419</v>
      </c>
    </row>
    <row r="630" customFormat="false" ht="15" hidden="false" customHeight="false" outlineLevel="0" collapsed="false">
      <c r="A630" s="5" t="n">
        <v>13</v>
      </c>
      <c r="B630" s="25" t="n">
        <f aca="false">IF(T629&gt;0,B629,D629)</f>
        <v>0.085205078125</v>
      </c>
      <c r="C630" s="25" t="n">
        <f aca="false">IF(T629&gt;0,D629,C629)</f>
        <v>0.0855712890625</v>
      </c>
      <c r="D630" s="41" t="n">
        <f aca="false">(B630+C630)/2</f>
        <v>0.08538818359375</v>
      </c>
      <c r="E630" s="15" t="n">
        <f aca="false">$C$2*(1+IF(E$3&lt;=$O$2,$D630,$D630-($D630-$I$616)*MIN(E$3-$O$2,$Q$2)/$Q$2))</f>
        <v>6989.89990234375</v>
      </c>
      <c r="F630" s="15" t="n">
        <f aca="false">E630*(1+IF(F$3&lt;=$O$2,$D630,$D630-($D630-$I$616)*MIN(F$3-$O$2,$Q$2)/$Q$2))</f>
        <v>7586.75475850701</v>
      </c>
      <c r="G630" s="15" t="n">
        <f aca="false">F630*(1+IF(G$3&lt;=$O$2,$D630,$D630-($D630-$I$616)*MIN(G$3-$O$2,$Q$2)/$Q$2))</f>
        <v>8234.57396670717</v>
      </c>
      <c r="H630" s="15" t="n">
        <f aca="false">G630*(1+IF(H$3&lt;=$O$2,$D630,$D630-($D630-$I$616)*MIN(H$3-$O$2,$Q$2)/$Q$2))</f>
        <v>8937.70928039267</v>
      </c>
      <c r="I630" s="15" t="n">
        <f aca="false">H630*(1+IF(I$3&lt;=$O$2,$D630,$D630-($D630-$I$616)*MIN(I$3-$O$2,$Q$2)/$Q$2))</f>
        <v>9700.8840413344</v>
      </c>
      <c r="J630" s="15" t="n">
        <f aca="false">I630*(1+IF(J$3&lt;=$O$2,$D630,$D630-($D630-$I$616)*MIN(J$3-$O$2,$Q$2)/$Q$2))</f>
        <v>10408.7628550015</v>
      </c>
      <c r="K630" s="15" t="n">
        <f aca="false">J630*(1+IF(K$3&lt;=$O$2,$D630,$D630-($D630-$I$616)*MIN(K$3-$O$2,$Q$2)/$Q$2))</f>
        <v>11039.0437369982</v>
      </c>
      <c r="L630" s="15" t="n">
        <f aca="false">K630*(1+IF(L$3&lt;=$O$2,$D630,$D630-($D630-$I$616)*MIN(L$3-$O$2,$Q$2)/$Q$2))</f>
        <v>11570.4111257671</v>
      </c>
      <c r="M630" s="15" t="n">
        <f aca="false">L630*(1+IF(M$3&lt;=$O$2,$D630,$D630-($D630-$I$616)*MIN(M$3-$O$2,$Q$2)/$Q$2))</f>
        <v>11983.6788670438</v>
      </c>
      <c r="N630" s="15" t="n">
        <f aca="false">M630*(1+IF(N$3&lt;=$O$2,$D630,$D630-($D630-$I$616)*MIN(N$3-$O$2,$Q$2)/$Q$2))</f>
        <v>12262.8985846459</v>
      </c>
      <c r="O630" s="15" t="n">
        <f aca="false">SUMPRODUCT(E630:N630,1/(1+$F$616)^$E$3:$N$3)*$E$2</f>
        <v>11278.928356192</v>
      </c>
      <c r="P630" s="15" t="n">
        <f aca="false">N630*$E$2*(1+$I$616)/($F$616-$I$616)/(1+$F$616)^$N$3</f>
        <v>11332.6817927368</v>
      </c>
      <c r="Q630" s="15" t="n">
        <f aca="false">O630+P630</f>
        <v>22611.6101489287</v>
      </c>
      <c r="R630" s="15" t="n">
        <f aca="false">Q630-$G$2+$I$2</f>
        <v>17311.7101489287</v>
      </c>
      <c r="S630" s="42" t="n">
        <f aca="false">R630/$K$2</f>
        <v>147.358785741647</v>
      </c>
      <c r="T630" s="43" t="n">
        <f aca="false">S630-$M$2</f>
        <v>0.18479868001964</v>
      </c>
    </row>
    <row r="631" customFormat="false" ht="15" hidden="false" customHeight="false" outlineLevel="0" collapsed="false">
      <c r="A631" s="5" t="n">
        <v>14</v>
      </c>
      <c r="B631" s="25" t="n">
        <f aca="false">IF(T630&gt;0,B630,D630)</f>
        <v>0.085205078125</v>
      </c>
      <c r="C631" s="25" t="n">
        <f aca="false">IF(T630&gt;0,D630,C630)</f>
        <v>0.08538818359375</v>
      </c>
      <c r="D631" s="41" t="n">
        <f aca="false">(B631+C631)/2</f>
        <v>0.085296630859375</v>
      </c>
      <c r="E631" s="15" t="n">
        <f aca="false">$C$2*(1+IF(E$3&lt;=$O$2,$D631,$D631-($D631-$I$616)*MIN(E$3-$O$2,$Q$2)/$Q$2))</f>
        <v>6989.31030273438</v>
      </c>
      <c r="F631" s="15" t="n">
        <f aca="false">E631*(1+IF(F$3&lt;=$O$2,$D631,$D631-($D631-$I$616)*MIN(F$3-$O$2,$Q$2)/$Q$2))</f>
        <v>7585.47492358834</v>
      </c>
      <c r="G631" s="15" t="n">
        <f aca="false">F631*(1+IF(G$3&lt;=$O$2,$D631,$D631-($D631-$I$616)*MIN(G$3-$O$2,$Q$2)/$Q$2))</f>
        <v>8232.4903780387</v>
      </c>
      <c r="H631" s="15" t="n">
        <f aca="false">G631*(1+IF(H$3&lt;=$O$2,$D631,$D631-($D631-$I$616)*MIN(H$3-$O$2,$Q$2)/$Q$2))</f>
        <v>8934.69407086762</v>
      </c>
      <c r="I631" s="15" t="n">
        <f aca="false">H631*(1+IF(I$3&lt;=$O$2,$D631,$D631-($D631-$I$616)*MIN(I$3-$O$2,$Q$2)/$Q$2))</f>
        <v>9696.79337287186</v>
      </c>
      <c r="J631" s="15" t="n">
        <f aca="false">I631*(1+IF(J$3&lt;=$O$2,$D631,$D631-($D631-$I$616)*MIN(J$3-$O$2,$Q$2)/$Q$2))</f>
        <v>10403.6634738658</v>
      </c>
      <c r="K631" s="15" t="n">
        <f aca="false">J631*(1+IF(K$3&lt;=$O$2,$D631,$D631-($D631-$I$616)*MIN(K$3-$O$2,$Q$2)/$Q$2))</f>
        <v>11033.0640831916</v>
      </c>
      <c r="L631" s="15" t="n">
        <f aca="false">K631*(1+IF(L$3&lt;=$O$2,$D631,$D631-($D631-$I$616)*MIN(L$3-$O$2,$Q$2)/$Q$2))</f>
        <v>11563.7395968153</v>
      </c>
      <c r="M631" s="15" t="n">
        <f aca="false">L631*(1+IF(M$3&lt;=$O$2,$D631,$D631-($D631-$I$616)*MIN(M$3-$O$2,$Q$2)/$Q$2))</f>
        <v>11976.5573084486</v>
      </c>
      <c r="N631" s="15" t="n">
        <f aca="false">M631*(1+IF(N$3&lt;=$O$2,$D631,$D631-($D631-$I$616)*MIN(N$3-$O$2,$Q$2)/$Q$2))</f>
        <v>12255.6110937355</v>
      </c>
      <c r="O631" s="15" t="n">
        <f aca="false">SUMPRODUCT(E631:N631,1/(1+$F$616)^$E$3:$N$3)*$E$2</f>
        <v>11274.5252964653</v>
      </c>
      <c r="P631" s="15" t="n">
        <f aca="false">N631*$E$2*(1+$I$616)/($F$616-$I$616)/(1+$F$616)^$N$3</f>
        <v>11325.9471031374</v>
      </c>
      <c r="Q631" s="15" t="n">
        <f aca="false">O631+P631</f>
        <v>22600.4723996027</v>
      </c>
      <c r="R631" s="15" t="n">
        <f aca="false">Q631-$G$2+$I$2</f>
        <v>17300.5723996027</v>
      </c>
      <c r="S631" s="42" t="n">
        <f aca="false">R631/$K$2</f>
        <v>147.263980248576</v>
      </c>
      <c r="T631" s="43" t="n">
        <f aca="false">S631-$M$2</f>
        <v>0.0899931869485329</v>
      </c>
    </row>
    <row r="632" customFormat="false" ht="15" hidden="false" customHeight="false" outlineLevel="0" collapsed="false">
      <c r="A632" s="5" t="n">
        <v>15</v>
      </c>
      <c r="B632" s="25" t="n">
        <f aca="false">IF(T631&gt;0,B631,D631)</f>
        <v>0.085205078125</v>
      </c>
      <c r="C632" s="25" t="n">
        <f aca="false">IF(T631&gt;0,D631,C631)</f>
        <v>0.085296630859375</v>
      </c>
      <c r="D632" s="41" t="n">
        <f aca="false">(B632+C632)/2</f>
        <v>0.0852508544921875</v>
      </c>
      <c r="E632" s="15" t="n">
        <f aca="false">$C$2*(1+IF(E$3&lt;=$O$2,$D632,$D632-($D632-$I$616)*MIN(E$3-$O$2,$Q$2)/$Q$2))</f>
        <v>6989.01550292969</v>
      </c>
      <c r="F632" s="15" t="n">
        <f aca="false">E632*(1+IF(F$3&lt;=$O$2,$D632,$D632-($D632-$I$616)*MIN(F$3-$O$2,$Q$2)/$Q$2))</f>
        <v>7584.83504661359</v>
      </c>
      <c r="G632" s="15" t="n">
        <f aca="false">F632*(1+IF(G$3&lt;=$O$2,$D632,$D632-($D632-$I$616)*MIN(G$3-$O$2,$Q$2)/$Q$2))</f>
        <v>8231.44871551969</v>
      </c>
      <c r="H632" s="15" t="n">
        <f aca="false">G632*(1+IF(H$3&lt;=$O$2,$D632,$D632-($D632-$I$616)*MIN(H$3-$O$2,$Q$2)/$Q$2))</f>
        <v>8933.18675222636</v>
      </c>
      <c r="I632" s="15" t="n">
        <f aca="false">H632*(1+IF(I$3&lt;=$O$2,$D632,$D632-($D632-$I$616)*MIN(I$3-$O$2,$Q$2)/$Q$2))</f>
        <v>9694.74855619195</v>
      </c>
      <c r="J632" s="15" t="n">
        <f aca="false">I632*(1+IF(J$3&lt;=$O$2,$D632,$D632-($D632-$I$616)*MIN(J$3-$O$2,$Q$2)/$Q$2))</f>
        <v>10401.1145632656</v>
      </c>
      <c r="K632" s="15" t="n">
        <f aca="false">J632*(1+IF(K$3&lt;=$O$2,$D632,$D632-($D632-$I$616)*MIN(K$3-$O$2,$Q$2)/$Q$2))</f>
        <v>11030.075293509</v>
      </c>
      <c r="L632" s="15" t="n">
        <f aca="false">K632*(1+IF(L$3&lt;=$O$2,$D632,$D632-($D632-$I$616)*MIN(L$3-$O$2,$Q$2)/$Q$2))</f>
        <v>11560.4050836661</v>
      </c>
      <c r="M632" s="15" t="n">
        <f aca="false">L632*(1+IF(M$3&lt;=$O$2,$D632,$D632-($D632-$I$616)*MIN(M$3-$O$2,$Q$2)/$Q$2))</f>
        <v>11972.9979167574</v>
      </c>
      <c r="N632" s="15" t="n">
        <f aca="false">M632*(1+IF(N$3&lt;=$O$2,$D632,$D632-($D632-$I$616)*MIN(N$3-$O$2,$Q$2)/$Q$2))</f>
        <v>12251.9687682178</v>
      </c>
      <c r="O632" s="15" t="n">
        <f aca="false">SUMPRODUCT(E632:N632,1/(1+$F$616)^$E$3:$N$3)*$E$2</f>
        <v>11272.3244137295</v>
      </c>
      <c r="P632" s="15" t="n">
        <f aca="false">N632*$E$2*(1+$I$616)/($F$616-$I$616)/(1+$F$616)^$N$3</f>
        <v>11322.5810705642</v>
      </c>
      <c r="Q632" s="15" t="n">
        <f aca="false">O632+P632</f>
        <v>22594.9054842937</v>
      </c>
      <c r="R632" s="15" t="n">
        <f aca="false">Q632-$G$2+$I$2</f>
        <v>17295.0054842937</v>
      </c>
      <c r="S632" s="42" t="n">
        <f aca="false">R632/$K$2</f>
        <v>147.216594180233</v>
      </c>
      <c r="T632" s="43" t="n">
        <f aca="false">S632-$M$2</f>
        <v>0.04260711860519</v>
      </c>
    </row>
    <row r="633" customFormat="false" ht="15" hidden="false" customHeight="false" outlineLevel="0" collapsed="false">
      <c r="A633" s="5" t="n">
        <v>16</v>
      </c>
      <c r="B633" s="25" t="n">
        <f aca="false">IF(T632&gt;0,B632,D632)</f>
        <v>0.085205078125</v>
      </c>
      <c r="C633" s="25" t="n">
        <f aca="false">IF(T632&gt;0,D632,C632)</f>
        <v>0.0852508544921875</v>
      </c>
      <c r="D633" s="41" t="n">
        <f aca="false">(B633+C633)/2</f>
        <v>0.0852279663085938</v>
      </c>
      <c r="E633" s="15" t="n">
        <f aca="false">$C$2*(1+IF(E$3&lt;=$O$2,$D633,$D633-($D633-$I$616)*MIN(E$3-$O$2,$Q$2)/$Q$2))</f>
        <v>6988.86810302734</v>
      </c>
      <c r="F633" s="15" t="n">
        <f aca="false">E633*(1+IF(F$3&lt;=$O$2,$D633,$D633-($D633-$I$616)*MIN(F$3-$O$2,$Q$2)/$Q$2))</f>
        <v>7584.51511824736</v>
      </c>
      <c r="G633" s="15" t="n">
        <f aca="false">F633*(1+IF(G$3&lt;=$O$2,$D633,$D633-($D633-$I$616)*MIN(G$3-$O$2,$Q$2)/$Q$2))</f>
        <v>8230.92791721237</v>
      </c>
      <c r="H633" s="15" t="n">
        <f aca="false">G633*(1+IF(H$3&lt;=$O$2,$D633,$D633-($D633-$I$616)*MIN(H$3-$O$2,$Q$2)/$Q$2))</f>
        <v>8932.43316442901</v>
      </c>
      <c r="I633" s="15" t="n">
        <f aca="false">H633*(1+IF(I$3&lt;=$O$2,$D633,$D633-($D633-$I$616)*MIN(I$3-$O$2,$Q$2)/$Q$2))</f>
        <v>9693.72627722073</v>
      </c>
      <c r="J633" s="15" t="n">
        <f aca="false">I633*(1+IF(J$3&lt;=$O$2,$D633,$D633-($D633-$I$616)*MIN(J$3-$O$2,$Q$2)/$Q$2))</f>
        <v>10399.8403029203</v>
      </c>
      <c r="K633" s="15" t="n">
        <f aca="false">J633*(1+IF(K$3&lt;=$O$2,$D633,$D633-($D633-$I$616)*MIN(K$3-$O$2,$Q$2)/$Q$2))</f>
        <v>11028.5811579148</v>
      </c>
      <c r="L633" s="15" t="n">
        <f aca="false">K633*(1+IF(L$3&lt;=$O$2,$D633,$D633-($D633-$I$616)*MIN(L$3-$O$2,$Q$2)/$Q$2))</f>
        <v>11558.7381398458</v>
      </c>
      <c r="M633" s="15" t="n">
        <f aca="false">L633*(1+IF(M$3&lt;=$O$2,$D633,$D633-($D633-$I$616)*MIN(M$3-$O$2,$Q$2)/$Q$2))</f>
        <v>11971.218567723</v>
      </c>
      <c r="N633" s="15" t="n">
        <f aca="false">M633*(1+IF(N$3&lt;=$O$2,$D633,$D633-($D633-$I$616)*MIN(N$3-$O$2,$Q$2)/$Q$2))</f>
        <v>12250.147960351</v>
      </c>
      <c r="O633" s="15" t="n">
        <f aca="false">SUMPRODUCT(E633:N633,1/(1+$F$616)^$E$3:$N$3)*$E$2</f>
        <v>11271.224134109</v>
      </c>
      <c r="P633" s="15" t="n">
        <f aca="false">N633*$E$2*(1+$I$616)/($F$616-$I$616)/(1+$F$616)^$N$3</f>
        <v>11320.8983822489</v>
      </c>
      <c r="Q633" s="15" t="n">
        <f aca="false">O633+P633</f>
        <v>22592.1225163579</v>
      </c>
      <c r="R633" s="15" t="n">
        <f aca="false">Q633-$G$2+$I$2</f>
        <v>17292.2225163579</v>
      </c>
      <c r="S633" s="42" t="n">
        <f aca="false">R633/$K$2</f>
        <v>147.192905314589</v>
      </c>
      <c r="T633" s="43" t="n">
        <f aca="false">S633-$M$2</f>
        <v>0.0189182529613845</v>
      </c>
    </row>
    <row r="634" customFormat="false" ht="15" hidden="false" customHeight="false" outlineLevel="0" collapsed="false">
      <c r="A634" s="5" t="n">
        <v>17</v>
      </c>
      <c r="B634" s="25" t="n">
        <f aca="false">IF(T633&gt;0,B633,D633)</f>
        <v>0.085205078125</v>
      </c>
      <c r="C634" s="25" t="n">
        <f aca="false">IF(T633&gt;0,D633,C633)</f>
        <v>0.0852279663085938</v>
      </c>
      <c r="D634" s="41" t="n">
        <f aca="false">(B634+C634)/2</f>
        <v>0.0852165222167969</v>
      </c>
      <c r="E634" s="15" t="n">
        <f aca="false">$C$2*(1+IF(E$3&lt;=$O$2,$D634,$D634-($D634-$I$616)*MIN(E$3-$O$2,$Q$2)/$Q$2))</f>
        <v>6988.79440307617</v>
      </c>
      <c r="F634" s="15" t="n">
        <f aca="false">E634*(1+IF(F$3&lt;=$O$2,$D634,$D634-($D634-$I$616)*MIN(F$3-$O$2,$Q$2)/$Q$2))</f>
        <v>7584.35515659454</v>
      </c>
      <c r="G634" s="15" t="n">
        <f aca="false">F634*(1+IF(G$3&lt;=$O$2,$D634,$D634-($D634-$I$616)*MIN(G$3-$O$2,$Q$2)/$Q$2))</f>
        <v>8230.66752629656</v>
      </c>
      <c r="H634" s="15" t="n">
        <f aca="false">G634*(1+IF(H$3&lt;=$O$2,$D634,$D634-($D634-$I$616)*MIN(H$3-$O$2,$Q$2)/$Q$2))</f>
        <v>8932.05638841027</v>
      </c>
      <c r="I634" s="15" t="n">
        <f aca="false">H634*(1+IF(I$3&lt;=$O$2,$D634,$D634-($D634-$I$616)*MIN(I$3-$O$2,$Q$2)/$Q$2))</f>
        <v>9693.21517007492</v>
      </c>
      <c r="J634" s="15" t="n">
        <f aca="false">I634*(1+IF(J$3&lt;=$O$2,$D634,$D634-($D634-$I$616)*MIN(J$3-$O$2,$Q$2)/$Q$2))</f>
        <v>10399.2032214818</v>
      </c>
      <c r="K634" s="15" t="n">
        <f aca="false">J634*(1+IF(K$3&lt;=$O$2,$D634,$D634-($D634-$I$616)*MIN(K$3-$O$2,$Q$2)/$Q$2))</f>
        <v>11027.8341549222</v>
      </c>
      <c r="L634" s="15" t="n">
        <f aca="false">K634*(1+IF(L$3&lt;=$O$2,$D634,$D634-($D634-$I$616)*MIN(L$3-$O$2,$Q$2)/$Q$2))</f>
        <v>11557.9047461145</v>
      </c>
      <c r="M634" s="15" t="n">
        <f aca="false">L634*(1+IF(M$3&lt;=$O$2,$D634,$D634-($D634-$I$616)*MIN(M$3-$O$2,$Q$2)/$Q$2))</f>
        <v>11970.3289798974</v>
      </c>
      <c r="N634" s="15" t="n">
        <f aca="false">M634*(1+IF(N$3&lt;=$O$2,$D634,$D634-($D634-$I$616)*MIN(N$3-$O$2,$Q$2)/$Q$2))</f>
        <v>12249.237645129</v>
      </c>
      <c r="O634" s="15" t="n">
        <f aca="false">SUMPRODUCT(E634:N634,1/(1+$F$616)^$E$3:$N$3)*$E$2</f>
        <v>11270.6740347313</v>
      </c>
      <c r="P634" s="15" t="n">
        <f aca="false">N634*$E$2*(1+$I$616)/($F$616-$I$616)/(1+$F$616)^$N$3</f>
        <v>11320.0571200734</v>
      </c>
      <c r="Q634" s="15" t="n">
        <f aca="false">O634+P634</f>
        <v>22590.7311548047</v>
      </c>
      <c r="R634" s="15" t="n">
        <f aca="false">Q634-$G$2+$I$2</f>
        <v>17290.8311548047</v>
      </c>
      <c r="S634" s="42" t="n">
        <f aca="false">R634/$K$2</f>
        <v>147.181061923771</v>
      </c>
      <c r="T634" s="43" t="n">
        <f aca="false">S634-$M$2</f>
        <v>0.00707486214380992</v>
      </c>
    </row>
    <row r="635" customFormat="false" ht="15" hidden="false" customHeight="false" outlineLevel="0" collapsed="false">
      <c r="A635" s="5" t="n">
        <v>18</v>
      </c>
      <c r="B635" s="25" t="n">
        <f aca="false">IF(T634&gt;0,B634,D634)</f>
        <v>0.085205078125</v>
      </c>
      <c r="C635" s="25" t="n">
        <f aca="false">IF(T634&gt;0,D634,C634)</f>
        <v>0.0852165222167969</v>
      </c>
      <c r="D635" s="41" t="n">
        <f aca="false">(B635+C635)/2</f>
        <v>0.0852108001708984</v>
      </c>
      <c r="E635" s="15" t="n">
        <f aca="false">$C$2*(1+IF(E$3&lt;=$O$2,$D635,$D635-($D635-$I$616)*MIN(E$3-$O$2,$Q$2)/$Q$2))</f>
        <v>6988.75755310059</v>
      </c>
      <c r="F635" s="15" t="n">
        <f aca="false">E635*(1+IF(F$3&lt;=$O$2,$D635,$D635-($D635-$I$616)*MIN(F$3-$O$2,$Q$2)/$Q$2))</f>
        <v>7584.2751764007</v>
      </c>
      <c r="G635" s="15" t="n">
        <f aca="false">F635*(1+IF(G$3&lt;=$O$2,$D635,$D635-($D635-$I$616)*MIN(G$3-$O$2,$Q$2)/$Q$2))</f>
        <v>8230.53733289808</v>
      </c>
      <c r="H635" s="15" t="n">
        <f aca="false">G635*(1+IF(H$3&lt;=$O$2,$D635,$D635-($D635-$I$616)*MIN(H$3-$O$2,$Q$2)/$Q$2))</f>
        <v>8931.86800487078</v>
      </c>
      <c r="I635" s="15" t="n">
        <f aca="false">H635*(1+IF(I$3&lt;=$O$2,$D635,$D635-($D635-$I$616)*MIN(I$3-$O$2,$Q$2)/$Q$2))</f>
        <v>9692.95962458667</v>
      </c>
      <c r="J635" s="15" t="n">
        <f aca="false">I635*(1+IF(J$3&lt;=$O$2,$D635,$D635-($D635-$I$616)*MIN(J$3-$O$2,$Q$2)/$Q$2))</f>
        <v>10398.8846929454</v>
      </c>
      <c r="K635" s="15" t="n">
        <f aca="false">J635*(1+IF(K$3&lt;=$O$2,$D635,$D635-($D635-$I$616)*MIN(K$3-$O$2,$Q$2)/$Q$2))</f>
        <v>11027.4606696262</v>
      </c>
      <c r="L635" s="15" t="n">
        <f aca="false">K635*(1+IF(L$3&lt;=$O$2,$D635,$D635-($D635-$I$616)*MIN(L$3-$O$2,$Q$2)/$Q$2))</f>
        <v>11557.4880687923</v>
      </c>
      <c r="M635" s="15" t="n">
        <f aca="false">L635*(1+IF(M$3&lt;=$O$2,$D635,$D635-($D635-$I$616)*MIN(M$3-$O$2,$Q$2)/$Q$2))</f>
        <v>11969.8842076561</v>
      </c>
      <c r="N635" s="15" t="n">
        <f aca="false">M635*(1+IF(N$3&lt;=$O$2,$D635,$D635-($D635-$I$616)*MIN(N$3-$O$2,$Q$2)/$Q$2))</f>
        <v>12248.7825096945</v>
      </c>
      <c r="O635" s="15" t="n">
        <f aca="false">SUMPRODUCT(E635:N635,1/(1+$F$616)^$E$3:$N$3)*$E$2</f>
        <v>11270.39899515</v>
      </c>
      <c r="P635" s="15" t="n">
        <f aca="false">N635*$E$2*(1+$I$616)/($F$616-$I$616)/(1+$F$616)^$N$3</f>
        <v>11319.6365094798</v>
      </c>
      <c r="Q635" s="15" t="n">
        <f aca="false">O635+P635</f>
        <v>22590.0355046298</v>
      </c>
      <c r="R635" s="15" t="n">
        <f aca="false">Q635-$G$2+$I$2</f>
        <v>17290.1355046298</v>
      </c>
      <c r="S635" s="42" t="n">
        <f aca="false">R635/$K$2</f>
        <v>147.175140488848</v>
      </c>
      <c r="T635" s="43" t="n">
        <f aca="false">S635-$M$2</f>
        <v>0.00115342722017431</v>
      </c>
    </row>
    <row r="636" customFormat="false" ht="15" hidden="false" customHeight="false" outlineLevel="0" collapsed="false">
      <c r="A636" s="5" t="n">
        <v>19</v>
      </c>
      <c r="B636" s="25" t="n">
        <f aca="false">IF(T635&gt;0,B635,D635)</f>
        <v>0.085205078125</v>
      </c>
      <c r="C636" s="25" t="n">
        <f aca="false">IF(T635&gt;0,D635,C635)</f>
        <v>0.0852108001708984</v>
      </c>
      <c r="D636" s="41" t="n">
        <f aca="false">(B636+C636)/2</f>
        <v>0.0852079391479492</v>
      </c>
      <c r="E636" s="15" t="n">
        <f aca="false">$C$2*(1+IF(E$3&lt;=$O$2,$D636,$D636-($D636-$I$616)*MIN(E$3-$O$2,$Q$2)/$Q$2))</f>
        <v>6988.73912811279</v>
      </c>
      <c r="F636" s="15" t="n">
        <f aca="false">E636*(1+IF(F$3&lt;=$O$2,$D636,$D636-($D636-$I$616)*MIN(F$3-$O$2,$Q$2)/$Q$2))</f>
        <v>7584.23518646192</v>
      </c>
      <c r="G636" s="15" t="n">
        <f aca="false">F636*(1+IF(G$3&lt;=$O$2,$D636,$D636-($D636-$I$616)*MIN(G$3-$O$2,$Q$2)/$Q$2))</f>
        <v>8230.4722367137</v>
      </c>
      <c r="H636" s="15" t="n">
        <f aca="false">G636*(1+IF(H$3&lt;=$O$2,$D636,$D636-($D636-$I$616)*MIN(H$3-$O$2,$Q$2)/$Q$2))</f>
        <v>8931.77381421849</v>
      </c>
      <c r="I636" s="15" t="n">
        <f aca="false">H636*(1+IF(I$3&lt;=$O$2,$D636,$D636-($D636-$I$616)*MIN(I$3-$O$2,$Q$2)/$Q$2))</f>
        <v>9692.83185386366</v>
      </c>
      <c r="J636" s="15" t="n">
        <f aca="false">I636*(1+IF(J$3&lt;=$O$2,$D636,$D636-($D636-$I$616)*MIN(J$3-$O$2,$Q$2)/$Q$2))</f>
        <v>10398.7254317229</v>
      </c>
      <c r="K636" s="15" t="n">
        <f aca="false">J636*(1+IF(K$3&lt;=$O$2,$D636,$D636-($D636-$I$616)*MIN(K$3-$O$2,$Q$2)/$Q$2))</f>
        <v>11027.2739310281</v>
      </c>
      <c r="L636" s="15" t="n">
        <f aca="false">K636*(1+IF(L$3&lt;=$O$2,$D636,$D636-($D636-$I$616)*MIN(L$3-$O$2,$Q$2)/$Q$2))</f>
        <v>11557.279735017</v>
      </c>
      <c r="M636" s="15" t="n">
        <f aca="false">L636*(1+IF(M$3&lt;=$O$2,$D636,$D636-($D636-$I$616)*MIN(M$3-$O$2,$Q$2)/$Q$2))</f>
        <v>11969.6618269531</v>
      </c>
      <c r="N636" s="15" t="n">
        <f aca="false">M636*(1+IF(N$3&lt;=$O$2,$D636,$D636-($D636-$I$616)*MIN(N$3-$O$2,$Q$2)/$Q$2))</f>
        <v>12248.5549475211</v>
      </c>
      <c r="O636" s="15" t="n">
        <f aca="false">SUMPRODUCT(E636:N636,1/(1+$F$616)^$E$3:$N$3)*$E$2</f>
        <v>11270.2614778862</v>
      </c>
      <c r="P636" s="15" t="n">
        <f aca="false">N636*$E$2*(1+$I$616)/($F$616-$I$616)/(1+$F$616)^$N$3</f>
        <v>11319.4262093065</v>
      </c>
      <c r="Q636" s="15" t="n">
        <f aca="false">O636+P636</f>
        <v>22589.6876871926</v>
      </c>
      <c r="R636" s="15" t="n">
        <f aca="false">Q636-$G$2+$I$2</f>
        <v>17289.7876871926</v>
      </c>
      <c r="S636" s="42" t="n">
        <f aca="false">R636/$K$2</f>
        <v>147.172179836505</v>
      </c>
      <c r="T636" s="43" t="n">
        <f aca="false">S636-$M$2</f>
        <v>-0.00180722512232023</v>
      </c>
    </row>
    <row r="637" customFormat="false" ht="15" hidden="false" customHeight="false" outlineLevel="0" collapsed="false">
      <c r="A637" s="5" t="n">
        <v>20</v>
      </c>
      <c r="B637" s="25" t="n">
        <f aca="false">IF(T636&gt;0,B636,D636)</f>
        <v>0.0852079391479492</v>
      </c>
      <c r="C637" s="25" t="n">
        <f aca="false">IF(T636&gt;0,D636,C636)</f>
        <v>0.0852108001708984</v>
      </c>
      <c r="D637" s="41" t="n">
        <f aca="false">(B637+C637)/2</f>
        <v>0.0852093696594238</v>
      </c>
      <c r="E637" s="15" t="n">
        <f aca="false">$C$2*(1+IF(E$3&lt;=$O$2,$D637,$D637-($D637-$I$616)*MIN(E$3-$O$2,$Q$2)/$Q$2))</f>
        <v>6988.74834060669</v>
      </c>
      <c r="F637" s="15" t="n">
        <f aca="false">E637*(1+IF(F$3&lt;=$O$2,$D637,$D637-($D637-$I$616)*MIN(F$3-$O$2,$Q$2)/$Q$2))</f>
        <v>7584.25518141813</v>
      </c>
      <c r="G637" s="15" t="n">
        <f aca="false">F637*(1+IF(G$3&lt;=$O$2,$D637,$D637-($D637-$I$616)*MIN(G$3-$O$2,$Q$2)/$Q$2))</f>
        <v>8230.50478476299</v>
      </c>
      <c r="H637" s="15" t="n">
        <f aca="false">G637*(1+IF(H$3&lt;=$O$2,$D637,$D637-($D637-$I$616)*MIN(H$3-$O$2,$Q$2)/$Q$2))</f>
        <v>8931.82090945152</v>
      </c>
      <c r="I637" s="15" t="n">
        <f aca="false">H637*(1+IF(I$3&lt;=$O$2,$D637,$D637-($D637-$I$616)*MIN(I$3-$O$2,$Q$2)/$Q$2))</f>
        <v>9692.89573905674</v>
      </c>
      <c r="J637" s="15" t="n">
        <f aca="false">I637*(1+IF(J$3&lt;=$O$2,$D637,$D637-($D637-$I$616)*MIN(J$3-$O$2,$Q$2)/$Q$2))</f>
        <v>10398.8050620804</v>
      </c>
      <c r="K637" s="15" t="n">
        <f aca="false">J637*(1+IF(K$3&lt;=$O$2,$D637,$D637-($D637-$I$616)*MIN(K$3-$O$2,$Q$2)/$Q$2))</f>
        <v>11027.3672999896</v>
      </c>
      <c r="L637" s="15" t="n">
        <f aca="false">K637*(1+IF(L$3&lt;=$O$2,$D637,$D637-($D637-$I$616)*MIN(L$3-$O$2,$Q$2)/$Q$2))</f>
        <v>11557.3839014975</v>
      </c>
      <c r="M637" s="15" t="n">
        <f aca="false">L637*(1+IF(M$3&lt;=$O$2,$D637,$D637-($D637-$I$616)*MIN(M$3-$O$2,$Q$2)/$Q$2))</f>
        <v>11969.7730168531</v>
      </c>
      <c r="N637" s="15" t="n">
        <f aca="false">M637*(1+IF(N$3&lt;=$O$2,$D637,$D637-($D637-$I$616)*MIN(N$3-$O$2,$Q$2)/$Q$2))</f>
        <v>12248.6687281458</v>
      </c>
      <c r="O637" s="15" t="n">
        <f aca="false">SUMPRODUCT(E637:N637,1/(1+$F$616)^$E$3:$N$3)*$E$2</f>
        <v>11270.3302363075</v>
      </c>
      <c r="P637" s="15" t="n">
        <f aca="false">N637*$E$2*(1+$I$616)/($F$616-$I$616)/(1+$F$616)^$N$3</f>
        <v>11319.5313589662</v>
      </c>
      <c r="Q637" s="15" t="n">
        <f aca="false">O637+P637</f>
        <v>22589.8615952737</v>
      </c>
      <c r="R637" s="15" t="n">
        <f aca="false">Q637-$G$2+$I$2</f>
        <v>17289.9615952737</v>
      </c>
      <c r="S637" s="42" t="n">
        <f aca="false">R637/$K$2</f>
        <v>147.17366015725</v>
      </c>
      <c r="T637" s="43" t="n">
        <f aca="false">S637-$M$2</f>
        <v>-0.000326904377544679</v>
      </c>
    </row>
    <row r="638" customFormat="false" ht="15" hidden="false" customHeight="false" outlineLevel="0" collapsed="false">
      <c r="A638" s="5" t="n">
        <v>21</v>
      </c>
      <c r="B638" s="25" t="n">
        <f aca="false">IF(T637&gt;0,B637,D637)</f>
        <v>0.0852093696594238</v>
      </c>
      <c r="C638" s="25" t="n">
        <f aca="false">IF(T637&gt;0,D637,C637)</f>
        <v>0.0852108001708984</v>
      </c>
      <c r="D638" s="41" t="n">
        <f aca="false">(B638+C638)/2</f>
        <v>0.0852100849151611</v>
      </c>
      <c r="E638" s="15" t="n">
        <f aca="false">$C$2*(1+IF(E$3&lt;=$O$2,$D638,$D638-($D638-$I$616)*MIN(E$3-$O$2,$Q$2)/$Q$2))</f>
        <v>6988.75294685364</v>
      </c>
      <c r="F638" s="15" t="n">
        <f aca="false">E638*(1+IF(F$3&lt;=$O$2,$D638,$D638-($D638-$I$616)*MIN(F$3-$O$2,$Q$2)/$Q$2))</f>
        <v>7584.26517890612</v>
      </c>
      <c r="G638" s="15" t="n">
        <f aca="false">F638*(1+IF(G$3&lt;=$O$2,$D638,$D638-($D638-$I$616)*MIN(G$3-$O$2,$Q$2)/$Q$2))</f>
        <v>8230.52105881981</v>
      </c>
      <c r="H638" s="15" t="n">
        <f aca="false">G638*(1+IF(H$3&lt;=$O$2,$D638,$D638-($D638-$I$616)*MIN(H$3-$O$2,$Q$2)/$Q$2))</f>
        <v>8931.84445713787</v>
      </c>
      <c r="I638" s="15" t="n">
        <f aca="false">H638*(1+IF(I$3&lt;=$O$2,$D638,$D638-($D638-$I$616)*MIN(I$3-$O$2,$Q$2)/$Q$2))</f>
        <v>9692.92768177959</v>
      </c>
      <c r="J638" s="15" t="n">
        <f aca="false">I638*(1+IF(J$3&lt;=$O$2,$D638,$D638-($D638-$I$616)*MIN(J$3-$O$2,$Q$2)/$Q$2))</f>
        <v>10398.8448774495</v>
      </c>
      <c r="K638" s="15" t="n">
        <f aca="false">J638*(1+IF(K$3&lt;=$O$2,$D638,$D638-($D638-$I$616)*MIN(K$3-$O$2,$Q$2)/$Q$2))</f>
        <v>11027.4139847235</v>
      </c>
      <c r="L638" s="15" t="n">
        <f aca="false">K638*(1+IF(L$3&lt;=$O$2,$D638,$D638-($D638-$I$616)*MIN(L$3-$O$2,$Q$2)/$Q$2))</f>
        <v>11557.4359850431</v>
      </c>
      <c r="M638" s="15" t="n">
        <f aca="false">L638*(1+IF(M$3&lt;=$O$2,$D638,$D638-($D638-$I$616)*MIN(M$3-$O$2,$Q$2)/$Q$2))</f>
        <v>11969.8286121417</v>
      </c>
      <c r="N638" s="15" t="n">
        <f aca="false">M638*(1+IF(N$3&lt;=$O$2,$D638,$D638-($D638-$I$616)*MIN(N$3-$O$2,$Q$2)/$Q$2))</f>
        <v>12248.7256188046</v>
      </c>
      <c r="O638" s="15" t="n">
        <f aca="false">SUMPRODUCT(E638:N638,1/(1+$F$616)^$E$3:$N$3)*$E$2</f>
        <v>11270.3646156761</v>
      </c>
      <c r="P638" s="15" t="n">
        <f aca="false">N638*$E$2*(1+$I$616)/($F$616-$I$616)/(1+$F$616)^$N$3</f>
        <v>11319.5839341163</v>
      </c>
      <c r="Q638" s="15" t="n">
        <f aca="false">O638+P638</f>
        <v>22589.9485497924</v>
      </c>
      <c r="R638" s="15" t="n">
        <f aca="false">Q638-$G$2+$I$2</f>
        <v>17290.0485497924</v>
      </c>
      <c r="S638" s="42" t="n">
        <f aca="false">R638/$K$2</f>
        <v>147.174400321692</v>
      </c>
      <c r="T638" s="43" t="n">
        <f aca="false">S638-$M$2</f>
        <v>0.000413260064703991</v>
      </c>
    </row>
    <row r="639" customFormat="false" ht="15" hidden="false" customHeight="false" outlineLevel="0" collapsed="false">
      <c r="A639" s="5" t="n">
        <v>22</v>
      </c>
      <c r="B639" s="25" t="n">
        <f aca="false">IF(T638&gt;0,B638,D638)</f>
        <v>0.0852093696594238</v>
      </c>
      <c r="C639" s="25" t="n">
        <f aca="false">IF(T638&gt;0,D638,C638)</f>
        <v>0.0852100849151611</v>
      </c>
      <c r="D639" s="41" t="n">
        <f aca="false">(B639+C639)/2</f>
        <v>0.0852097272872925</v>
      </c>
      <c r="E639" s="15" t="n">
        <f aca="false">$C$2*(1+IF(E$3&lt;=$O$2,$D639,$D639-($D639-$I$616)*MIN(E$3-$O$2,$Q$2)/$Q$2))</f>
        <v>6988.75064373016</v>
      </c>
      <c r="F639" s="15" t="n">
        <f aca="false">E639*(1+IF(F$3&lt;=$O$2,$D639,$D639-($D639-$I$616)*MIN(F$3-$O$2,$Q$2)/$Q$2))</f>
        <v>7584.2601801613</v>
      </c>
      <c r="G639" s="15" t="n">
        <f aca="false">F639*(1+IF(G$3&lt;=$O$2,$D639,$D639-($D639-$I$616)*MIN(G$3-$O$2,$Q$2)/$Q$2))</f>
        <v>8230.51292178872</v>
      </c>
      <c r="H639" s="15" t="n">
        <f aca="false">G639*(1+IF(H$3&lt;=$O$2,$D639,$D639-($D639-$I$616)*MIN(H$3-$O$2,$Q$2)/$Q$2))</f>
        <v>8931.83268328887</v>
      </c>
      <c r="I639" s="15" t="n">
        <f aca="false">H639*(1+IF(I$3&lt;=$O$2,$D639,$D639-($D639-$I$616)*MIN(I$3-$O$2,$Q$2)/$Q$2))</f>
        <v>9692.91171040764</v>
      </c>
      <c r="J639" s="15" t="n">
        <f aca="false">I639*(1+IF(J$3&lt;=$O$2,$D639,$D639-($D639-$I$616)*MIN(J$3-$O$2,$Q$2)/$Q$2))</f>
        <v>10398.8249697491</v>
      </c>
      <c r="K639" s="15" t="n">
        <f aca="false">J639*(1+IF(K$3&lt;=$O$2,$D639,$D639-($D639-$I$616)*MIN(K$3-$O$2,$Q$2)/$Q$2))</f>
        <v>11027.3906423355</v>
      </c>
      <c r="L639" s="15" t="n">
        <f aca="false">K639*(1+IF(L$3&lt;=$O$2,$D639,$D639-($D639-$I$616)*MIN(L$3-$O$2,$Q$2)/$Q$2))</f>
        <v>11557.4099432449</v>
      </c>
      <c r="M639" s="15" t="n">
        <f aca="false">L639*(1+IF(M$3&lt;=$O$2,$D639,$D639-($D639-$I$616)*MIN(M$3-$O$2,$Q$2)/$Q$2))</f>
        <v>11969.8008144692</v>
      </c>
      <c r="N639" s="15" t="n">
        <f aca="false">M639*(1+IF(N$3&lt;=$O$2,$D639,$D639-($D639-$I$616)*MIN(N$3-$O$2,$Q$2)/$Q$2))</f>
        <v>12248.6971734463</v>
      </c>
      <c r="O639" s="15" t="n">
        <f aca="false">SUMPRODUCT(E639:N639,1/(1+$F$616)^$E$3:$N$3)*$E$2</f>
        <v>11270.3474259787</v>
      </c>
      <c r="P639" s="15" t="n">
        <f aca="false">N639*$E$2*(1+$I$616)/($F$616-$I$616)/(1+$F$616)^$N$3</f>
        <v>11319.5576465146</v>
      </c>
      <c r="Q639" s="15" t="n">
        <f aca="false">O639+P639</f>
        <v>22589.9050724932</v>
      </c>
      <c r="R639" s="15" t="n">
        <f aca="false">Q639-$G$2+$I$2</f>
        <v>17290.0050724932</v>
      </c>
      <c r="S639" s="42" t="n">
        <f aca="false">R639/$K$2</f>
        <v>147.174030239132</v>
      </c>
      <c r="T639" s="43" t="n">
        <f aca="false">S639-$M$2</f>
        <v>4.31775043807647E-005</v>
      </c>
    </row>
    <row r="640" customFormat="false" ht="15" hidden="false" customHeight="false" outlineLevel="0" collapsed="false">
      <c r="A640" s="5" t="n">
        <v>23</v>
      </c>
      <c r="B640" s="25" t="n">
        <f aca="false">IF(T639&gt;0,B639,D639)</f>
        <v>0.0852093696594238</v>
      </c>
      <c r="C640" s="25" t="n">
        <f aca="false">IF(T639&gt;0,D639,C639)</f>
        <v>0.0852097272872925</v>
      </c>
      <c r="D640" s="41" t="n">
        <f aca="false">(B640+C640)/2</f>
        <v>0.0852095484733582</v>
      </c>
      <c r="E640" s="15" t="n">
        <f aca="false">$C$2*(1+IF(E$3&lt;=$O$2,$D640,$D640-($D640-$I$616)*MIN(E$3-$O$2,$Q$2)/$Q$2))</f>
        <v>6988.74949216843</v>
      </c>
      <c r="F640" s="15" t="n">
        <f aca="false">E640*(1+IF(F$3&lt;=$O$2,$D640,$D640-($D640-$I$616)*MIN(F$3-$O$2,$Q$2)/$Q$2))</f>
        <v>7584.25768078951</v>
      </c>
      <c r="G640" s="15" t="n">
        <f aca="false">F640*(1+IF(G$3&lt;=$O$2,$D640,$D640-($D640-$I$616)*MIN(G$3-$O$2,$Q$2)/$Q$2))</f>
        <v>8230.50885327518</v>
      </c>
      <c r="H640" s="15" t="n">
        <f aca="false">G640*(1+IF(H$3&lt;=$O$2,$D640,$D640-($D640-$I$616)*MIN(H$3-$O$2,$Q$2)/$Q$2))</f>
        <v>8931.82679636874</v>
      </c>
      <c r="I640" s="15" t="n">
        <f aca="false">H640*(1+IF(I$3&lt;=$O$2,$D640,$D640-($D640-$I$616)*MIN(I$3-$O$2,$Q$2)/$Q$2))</f>
        <v>9692.90372472956</v>
      </c>
      <c r="J640" s="15" t="n">
        <f aca="false">I640*(1+IF(J$3&lt;=$O$2,$D640,$D640-($D640-$I$616)*MIN(J$3-$O$2,$Q$2)/$Q$2))</f>
        <v>10398.8150159107</v>
      </c>
      <c r="K640" s="15" t="n">
        <f aca="false">J640*(1+IF(K$3&lt;=$O$2,$D640,$D640-($D640-$I$616)*MIN(K$3-$O$2,$Q$2)/$Q$2))</f>
        <v>11027.3789711573</v>
      </c>
      <c r="L640" s="15" t="n">
        <f aca="false">K640*(1+IF(L$3&lt;=$O$2,$D640,$D640-($D640-$I$616)*MIN(L$3-$O$2,$Q$2)/$Q$2))</f>
        <v>11557.3969223648</v>
      </c>
      <c r="M640" s="15" t="n">
        <f aca="false">L640*(1+IF(M$3&lt;=$O$2,$D640,$D640-($D640-$I$616)*MIN(M$3-$O$2,$Q$2)/$Q$2))</f>
        <v>11969.7869156541</v>
      </c>
      <c r="N640" s="15" t="n">
        <f aca="false">M640*(1+IF(N$3&lt;=$O$2,$D640,$D640-($D640-$I$616)*MIN(N$3-$O$2,$Q$2)/$Q$2))</f>
        <v>12248.6829507889</v>
      </c>
      <c r="O640" s="15" t="n">
        <f aca="false">SUMPRODUCT(E640:N640,1/(1+$F$616)^$E$3:$N$3)*$E$2</f>
        <v>11270.3388311398</v>
      </c>
      <c r="P640" s="15" t="n">
        <f aca="false">N640*$E$2*(1+$I$616)/($F$616-$I$616)/(1+$F$616)^$N$3</f>
        <v>11319.5445027337</v>
      </c>
      <c r="Q640" s="15" t="n">
        <f aca="false">O640+P640</f>
        <v>22589.8833338735</v>
      </c>
      <c r="R640" s="15" t="n">
        <f aca="false">Q640-$G$2+$I$2</f>
        <v>17289.9833338735</v>
      </c>
      <c r="S640" s="42" t="n">
        <f aca="false">R640/$K$2</f>
        <v>147.173845198106</v>
      </c>
      <c r="T640" s="43" t="n">
        <f aca="false">S640-$M$2</f>
        <v>-0.000141863521378127</v>
      </c>
    </row>
    <row r="641" customFormat="false" ht="15" hidden="false" customHeight="false" outlineLevel="0" collapsed="false">
      <c r="A641" s="5" t="n">
        <v>24</v>
      </c>
      <c r="B641" s="25" t="n">
        <f aca="false">IF(T640&gt;0,B640,D640)</f>
        <v>0.0852095484733582</v>
      </c>
      <c r="C641" s="25" t="n">
        <f aca="false">IF(T640&gt;0,D640,C640)</f>
        <v>0.0852097272872925</v>
      </c>
      <c r="D641" s="41" t="n">
        <f aca="false">(B641+C641)/2</f>
        <v>0.0852096378803253</v>
      </c>
      <c r="E641" s="15" t="n">
        <f aca="false">$C$2*(1+IF(E$3&lt;=$O$2,$D641,$D641-($D641-$I$616)*MIN(E$3-$O$2,$Q$2)/$Q$2))</f>
        <v>6988.7500679493</v>
      </c>
      <c r="F641" s="15" t="n">
        <f aca="false">E641*(1+IF(F$3&lt;=$O$2,$D641,$D641-($D641-$I$616)*MIN(F$3-$O$2,$Q$2)/$Q$2))</f>
        <v>7584.25893047535</v>
      </c>
      <c r="G641" s="15" t="n">
        <f aca="false">F641*(1+IF(G$3&lt;=$O$2,$D641,$D641-($D641-$I$616)*MIN(G$3-$O$2,$Q$2)/$Q$2))</f>
        <v>8230.51088753178</v>
      </c>
      <c r="H641" s="15" t="n">
        <f aca="false">G641*(1+IF(H$3&lt;=$O$2,$D641,$D641-($D641-$I$616)*MIN(H$3-$O$2,$Q$2)/$Q$2))</f>
        <v>8931.82973982844</v>
      </c>
      <c r="I641" s="15" t="n">
        <f aca="false">H641*(1+IF(I$3&lt;=$O$2,$D641,$D641-($D641-$I$616)*MIN(I$3-$O$2,$Q$2)/$Q$2))</f>
        <v>9692.90771756794</v>
      </c>
      <c r="J641" s="15" t="n">
        <f aca="false">I641*(1+IF(J$3&lt;=$O$2,$D641,$D641-($D641-$I$616)*MIN(J$3-$O$2,$Q$2)/$Q$2))</f>
        <v>10398.8199928289</v>
      </c>
      <c r="K641" s="15" t="n">
        <f aca="false">J641*(1+IF(K$3&lt;=$O$2,$D641,$D641-($D641-$I$616)*MIN(K$3-$O$2,$Q$2)/$Q$2))</f>
        <v>11027.3848067451</v>
      </c>
      <c r="L641" s="15" t="n">
        <f aca="false">K641*(1+IF(L$3&lt;=$O$2,$D641,$D641-($D641-$I$616)*MIN(L$3-$O$2,$Q$2)/$Q$2))</f>
        <v>11557.4034328033</v>
      </c>
      <c r="M641" s="15" t="n">
        <f aca="false">L641*(1+IF(M$3&lt;=$O$2,$D641,$D641-($D641-$I$616)*MIN(M$3-$O$2,$Q$2)/$Q$2))</f>
        <v>11969.7938650599</v>
      </c>
      <c r="N641" s="15" t="n">
        <f aca="false">M641*(1+IF(N$3&lt;=$O$2,$D641,$D641-($D641-$I$616)*MIN(N$3-$O$2,$Q$2)/$Q$2))</f>
        <v>12248.6900621158</v>
      </c>
      <c r="O641" s="15" t="n">
        <f aca="false">SUMPRODUCT(E641:N641,1/(1+$F$616)^$E$3:$N$3)*$E$2</f>
        <v>11270.3431285584</v>
      </c>
      <c r="P641" s="15" t="n">
        <f aca="false">N641*$E$2*(1+$I$616)/($F$616-$I$616)/(1+$F$616)^$N$3</f>
        <v>11319.5510746225</v>
      </c>
      <c r="Q641" s="15" t="n">
        <f aca="false">O641+P641</f>
        <v>22589.8942031809</v>
      </c>
      <c r="R641" s="15" t="n">
        <f aca="false">Q641-$G$2+$I$2</f>
        <v>17289.9942031809</v>
      </c>
      <c r="S641" s="42" t="n">
        <f aca="false">R641/$K$2</f>
        <v>147.173937718598</v>
      </c>
      <c r="T641" s="43" t="n">
        <f aca="false">S641-$M$2</f>
        <v>-4.93430296160113E-005</v>
      </c>
    </row>
    <row r="643" customFormat="false" ht="15" hidden="false" customHeight="false" outlineLevel="0" collapsed="false">
      <c r="A643" s="38" t="s">
        <v>203</v>
      </c>
      <c r="E643" s="5" t="s">
        <v>11</v>
      </c>
      <c r="F643" s="12" t="n">
        <f aca="false">Sensitivity!$B$14</f>
        <v>0.104988656731527</v>
      </c>
      <c r="G643" s="5" t="s">
        <v>12</v>
      </c>
      <c r="I643" s="12" t="n">
        <f aca="false">Sensitivity!$E$9</f>
        <v>0.0283</v>
      </c>
    </row>
    <row r="644" customFormat="false" ht="23.85" hidden="false" customHeight="false" outlineLevel="0" collapsed="false">
      <c r="A644" s="38" t="s">
        <v>161</v>
      </c>
      <c r="B644" s="28" t="s">
        <v>162</v>
      </c>
      <c r="C644" s="28" t="s">
        <v>163</v>
      </c>
      <c r="D644" s="28" t="s">
        <v>164</v>
      </c>
      <c r="E644" s="28" t="s">
        <v>165</v>
      </c>
      <c r="F644" s="28" t="s">
        <v>166</v>
      </c>
      <c r="G644" s="28" t="s">
        <v>167</v>
      </c>
      <c r="H644" s="28" t="s">
        <v>168</v>
      </c>
      <c r="I644" s="28" t="s">
        <v>169</v>
      </c>
      <c r="J644" s="28" t="s">
        <v>170</v>
      </c>
      <c r="K644" s="28" t="s">
        <v>171</v>
      </c>
      <c r="L644" s="28" t="s">
        <v>172</v>
      </c>
      <c r="M644" s="28" t="s">
        <v>173</v>
      </c>
      <c r="N644" s="28" t="s">
        <v>174</v>
      </c>
      <c r="O644" s="28" t="s">
        <v>175</v>
      </c>
      <c r="P644" s="28" t="s">
        <v>176</v>
      </c>
      <c r="Q644" s="28" t="s">
        <v>177</v>
      </c>
      <c r="R644" s="28" t="s">
        <v>178</v>
      </c>
      <c r="S644" s="28" t="s">
        <v>179</v>
      </c>
      <c r="T644" s="28" t="s">
        <v>180</v>
      </c>
    </row>
    <row r="645" customFormat="false" ht="15" hidden="false" customHeight="false" outlineLevel="0" collapsed="false">
      <c r="A645" s="5" t="n">
        <v>1</v>
      </c>
      <c r="B645" s="24" t="n">
        <v>-0.5</v>
      </c>
      <c r="C645" s="24" t="n">
        <v>1</v>
      </c>
      <c r="D645" s="41" t="n">
        <f aca="false">(B645+C645)/2</f>
        <v>0.25</v>
      </c>
      <c r="E645" s="15" t="n">
        <f aca="false">$C$2*(1+IF(E$3&lt;=$O$2,$D645,$D645-($D645-$I$643)*MIN(E$3-$O$2,$Q$2)/$Q$2))</f>
        <v>8050</v>
      </c>
      <c r="F645" s="15" t="n">
        <f aca="false">E645*(1+IF(F$3&lt;=$O$2,$D645,$D645-($D645-$I$643)*MIN(F$3-$O$2,$Q$2)/$Q$2))</f>
        <v>10062.5</v>
      </c>
      <c r="G645" s="15" t="n">
        <f aca="false">F645*(1+IF(G$3&lt;=$O$2,$D645,$D645-($D645-$I$643)*MIN(G$3-$O$2,$Q$2)/$Q$2))</f>
        <v>12578.125</v>
      </c>
      <c r="H645" s="15" t="n">
        <f aca="false">G645*(1+IF(H$3&lt;=$O$2,$D645,$D645-($D645-$I$643)*MIN(H$3-$O$2,$Q$2)/$Q$2))</f>
        <v>15722.65625</v>
      </c>
      <c r="I645" s="15" t="n">
        <f aca="false">H645*(1+IF(I$3&lt;=$O$2,$D645,$D645-($D645-$I$643)*MIN(I$3-$O$2,$Q$2)/$Q$2))</f>
        <v>19653.3203125</v>
      </c>
      <c r="J645" s="15" t="n">
        <f aca="false">I645*(1+IF(J$3&lt;=$O$2,$D645,$D645-($D645-$I$643)*MIN(J$3-$O$2,$Q$2)/$Q$2))</f>
        <v>23695.2221679688</v>
      </c>
      <c r="K645" s="15" t="n">
        <f aca="false">J645*(1+IF(K$3&lt;=$O$2,$D645,$D645-($D645-$I$643)*MIN(K$3-$O$2,$Q$2)/$Q$2))</f>
        <v>27517.7354081055</v>
      </c>
      <c r="L645" s="15" t="n">
        <f aca="false">K645*(1+IF(L$3&lt;=$O$2,$D645,$D645-($D645-$I$643)*MIN(L$3-$O$2,$Q$2)/$Q$2))</f>
        <v>30736.7600961456</v>
      </c>
      <c r="M645" s="15" t="n">
        <f aca="false">L645*(1+IF(M$3&lt;=$O$2,$D645,$D645-($D645-$I$643)*MIN(M$3-$O$2,$Q$2)/$Q$2))</f>
        <v>32969.4783495297</v>
      </c>
      <c r="N645" s="15" t="n">
        <f aca="false">M645*(1+IF(N$3&lt;=$O$2,$D645,$D645-($D645-$I$643)*MIN(N$3-$O$2,$Q$2)/$Q$2))</f>
        <v>33902.5145868214</v>
      </c>
      <c r="O645" s="15" t="n">
        <f aca="false">SUMPRODUCT(E645:N645,1/(1+$F$643)^$E$3:$N$3)*$E$2</f>
        <v>22777.2579810303</v>
      </c>
      <c r="P645" s="15" t="n">
        <f aca="false">N645*$E$2*(1+$I$643)/($F$643-$I$643)/(1+$F$643)^$N$3</f>
        <v>33536.5941308392</v>
      </c>
      <c r="Q645" s="15" t="n">
        <f aca="false">O645+P645</f>
        <v>56313.8521118695</v>
      </c>
      <c r="R645" s="15" t="n">
        <f aca="false">Q645-$G$2+$I$2</f>
        <v>51013.9521118695</v>
      </c>
      <c r="S645" s="42" t="n">
        <f aca="false">R645/$K$2</f>
        <v>434.235206944752</v>
      </c>
      <c r="T645" s="43" t="n">
        <f aca="false">S645-$M$2</f>
        <v>287.061219883125</v>
      </c>
    </row>
    <row r="646" customFormat="false" ht="15" hidden="false" customHeight="false" outlineLevel="0" collapsed="false">
      <c r="A646" s="5" t="n">
        <v>2</v>
      </c>
      <c r="B646" s="25" t="n">
        <f aca="false">IF(T645&gt;0,B645,D645)</f>
        <v>-0.5</v>
      </c>
      <c r="C646" s="25" t="n">
        <f aca="false">IF(T645&gt;0,D645,C645)</f>
        <v>0.25</v>
      </c>
      <c r="D646" s="41" t="n">
        <f aca="false">(B646+C646)/2</f>
        <v>-0.125</v>
      </c>
      <c r="E646" s="15" t="n">
        <f aca="false">$C$2*(1+IF(E$3&lt;=$O$2,$D646,$D646-($D646-$I$643)*MIN(E$3-$O$2,$Q$2)/$Q$2))</f>
        <v>5635</v>
      </c>
      <c r="F646" s="15" t="n">
        <f aca="false">E646*(1+IF(F$3&lt;=$O$2,$D646,$D646-($D646-$I$643)*MIN(F$3-$O$2,$Q$2)/$Q$2))</f>
        <v>4930.625</v>
      </c>
      <c r="G646" s="15" t="n">
        <f aca="false">F646*(1+IF(G$3&lt;=$O$2,$D646,$D646-($D646-$I$643)*MIN(G$3-$O$2,$Q$2)/$Q$2))</f>
        <v>4314.296875</v>
      </c>
      <c r="H646" s="15" t="n">
        <f aca="false">G646*(1+IF(H$3&lt;=$O$2,$D646,$D646-($D646-$I$643)*MIN(H$3-$O$2,$Q$2)/$Q$2))</f>
        <v>3775.009765625</v>
      </c>
      <c r="I646" s="15" t="n">
        <f aca="false">H646*(1+IF(I$3&lt;=$O$2,$D646,$D646-($D646-$I$643)*MIN(I$3-$O$2,$Q$2)/$Q$2))</f>
        <v>3303.13354492188</v>
      </c>
      <c r="J646" s="15" t="n">
        <f aca="false">I646*(1+IF(J$3&lt;=$O$2,$D646,$D646-($D646-$I$643)*MIN(J$3-$O$2,$Q$2)/$Q$2))</f>
        <v>2991.51592629395</v>
      </c>
      <c r="K646" s="15" t="n">
        <f aca="false">J646*(1+IF(K$3&lt;=$O$2,$D646,$D646-($D646-$I$643)*MIN(K$3-$O$2,$Q$2)/$Q$2))</f>
        <v>2801.01619210755</v>
      </c>
      <c r="L646" s="15" t="n">
        <f aca="false">K646*(1+IF(L$3&lt;=$O$2,$D646,$D646-($D646-$I$643)*MIN(L$3-$O$2,$Q$2)/$Q$2))</f>
        <v>2708.52663744416</v>
      </c>
      <c r="M646" s="15" t="n">
        <f aca="false">L646*(1+IF(M$3&lt;=$O$2,$D646,$D646-($D646-$I$643)*MIN(M$3-$O$2,$Q$2)/$Q$2))</f>
        <v>2702.13451457979</v>
      </c>
      <c r="N646" s="15" t="n">
        <f aca="false">M646*(1+IF(N$3&lt;=$O$2,$D646,$D646-($D646-$I$643)*MIN(N$3-$O$2,$Q$2)/$Q$2))</f>
        <v>2778.6049213424</v>
      </c>
      <c r="O646" s="15" t="n">
        <f aca="false">SUMPRODUCT(E646:N646,1/(1+$F$643)^$E$3:$N$3)*$E$2</f>
        <v>4655.06675192911</v>
      </c>
      <c r="P646" s="15" t="n">
        <f aca="false">N646*$E$2*(1+$I$643)/($F$643-$I$643)/(1+$F$643)^$N$3</f>
        <v>2748.61456834931</v>
      </c>
      <c r="Q646" s="15" t="n">
        <f aca="false">O646+P646</f>
        <v>7403.68132027842</v>
      </c>
      <c r="R646" s="15" t="n">
        <f aca="false">Q646-$G$2+$I$2</f>
        <v>2103.78132027842</v>
      </c>
      <c r="S646" s="42" t="n">
        <f aca="false">R646/$K$2</f>
        <v>17.9075699717264</v>
      </c>
      <c r="T646" s="43" t="n">
        <f aca="false">S646-$M$2</f>
        <v>-129.266417089901</v>
      </c>
    </row>
    <row r="647" customFormat="false" ht="15" hidden="false" customHeight="false" outlineLevel="0" collapsed="false">
      <c r="A647" s="5" t="n">
        <v>3</v>
      </c>
      <c r="B647" s="25" t="n">
        <f aca="false">IF(T646&gt;0,B646,D646)</f>
        <v>-0.125</v>
      </c>
      <c r="C647" s="25" t="n">
        <f aca="false">IF(T646&gt;0,D646,C646)</f>
        <v>0.25</v>
      </c>
      <c r="D647" s="41" t="n">
        <f aca="false">(B647+C647)/2</f>
        <v>0.0625</v>
      </c>
      <c r="E647" s="15" t="n">
        <f aca="false">$C$2*(1+IF(E$3&lt;=$O$2,$D647,$D647-($D647-$I$643)*MIN(E$3-$O$2,$Q$2)/$Q$2))</f>
        <v>6842.5</v>
      </c>
      <c r="F647" s="15" t="n">
        <f aca="false">E647*(1+IF(F$3&lt;=$O$2,$D647,$D647-($D647-$I$643)*MIN(F$3-$O$2,$Q$2)/$Q$2))</f>
        <v>7270.15625</v>
      </c>
      <c r="G647" s="15" t="n">
        <f aca="false">F647*(1+IF(G$3&lt;=$O$2,$D647,$D647-($D647-$I$643)*MIN(G$3-$O$2,$Q$2)/$Q$2))</f>
        <v>7724.541015625</v>
      </c>
      <c r="H647" s="15" t="n">
        <f aca="false">G647*(1+IF(H$3&lt;=$O$2,$D647,$D647-($D647-$I$643)*MIN(H$3-$O$2,$Q$2)/$Q$2))</f>
        <v>8207.32482910156</v>
      </c>
      <c r="I647" s="15" t="n">
        <f aca="false">H647*(1+IF(I$3&lt;=$O$2,$D647,$D647-($D647-$I$643)*MIN(I$3-$O$2,$Q$2)/$Q$2))</f>
        <v>8720.28263092041</v>
      </c>
      <c r="J647" s="15" t="n">
        <f aca="false">I647*(1+IF(J$3&lt;=$O$2,$D647,$D647-($D647-$I$643)*MIN(J$3-$O$2,$Q$2)/$Q$2))</f>
        <v>9205.65356215744</v>
      </c>
      <c r="K647" s="15" t="n">
        <f aca="false">J647*(1+IF(K$3&lt;=$O$2,$D647,$D647-($D647-$I$643)*MIN(K$3-$O$2,$Q$2)/$Q$2))</f>
        <v>9655.07356906197</v>
      </c>
      <c r="L647" s="15" t="n">
        <f aca="false">K647*(1+IF(L$3&lt;=$O$2,$D647,$D647-($D647-$I$643)*MIN(L$3-$O$2,$Q$2)/$Q$2))</f>
        <v>10060.3935574912</v>
      </c>
      <c r="M647" s="15" t="n">
        <f aca="false">L647*(1+IF(M$3&lt;=$O$2,$D647,$D647-($D647-$I$643)*MIN(M$3-$O$2,$Q$2)/$Q$2))</f>
        <v>10413.9157871014</v>
      </c>
      <c r="N647" s="15" t="n">
        <f aca="false">M647*(1+IF(N$3&lt;=$O$2,$D647,$D647-($D647-$I$643)*MIN(N$3-$O$2,$Q$2)/$Q$2))</f>
        <v>10708.6296038764</v>
      </c>
      <c r="O647" s="15" t="n">
        <f aca="false">SUMPRODUCT(E647:N647,1/(1+$F$643)^$E$3:$N$3)*$E$2</f>
        <v>10258.6479891461</v>
      </c>
      <c r="P647" s="15" t="n">
        <f aca="false">N647*$E$2*(1+$I$643)/($F$643-$I$643)/(1+$F$643)^$N$3</f>
        <v>10593.0480113205</v>
      </c>
      <c r="Q647" s="15" t="n">
        <f aca="false">O647+P647</f>
        <v>20851.6960004666</v>
      </c>
      <c r="R647" s="15" t="n">
        <f aca="false">Q647-$G$2+$I$2</f>
        <v>15551.7960004666</v>
      </c>
      <c r="S647" s="42" t="n">
        <f aca="false">R647/$K$2</f>
        <v>132.378243109181</v>
      </c>
      <c r="T647" s="43" t="n">
        <f aca="false">S647-$M$2</f>
        <v>-14.7957439524465</v>
      </c>
    </row>
    <row r="648" customFormat="false" ht="15" hidden="false" customHeight="false" outlineLevel="0" collapsed="false">
      <c r="A648" s="5" t="n">
        <v>4</v>
      </c>
      <c r="B648" s="25" t="n">
        <f aca="false">IF(T647&gt;0,B647,D647)</f>
        <v>0.0625</v>
      </c>
      <c r="C648" s="25" t="n">
        <f aca="false">IF(T647&gt;0,D647,C647)</f>
        <v>0.25</v>
      </c>
      <c r="D648" s="41" t="n">
        <f aca="false">(B648+C648)/2</f>
        <v>0.15625</v>
      </c>
      <c r="E648" s="15" t="n">
        <f aca="false">$C$2*(1+IF(E$3&lt;=$O$2,$D648,$D648-($D648-$I$643)*MIN(E$3-$O$2,$Q$2)/$Q$2))</f>
        <v>7446.25</v>
      </c>
      <c r="F648" s="15" t="n">
        <f aca="false">E648*(1+IF(F$3&lt;=$O$2,$D648,$D648-($D648-$I$643)*MIN(F$3-$O$2,$Q$2)/$Q$2))</f>
        <v>8609.7265625</v>
      </c>
      <c r="G648" s="15" t="n">
        <f aca="false">F648*(1+IF(G$3&lt;=$O$2,$D648,$D648-($D648-$I$643)*MIN(G$3-$O$2,$Q$2)/$Q$2))</f>
        <v>9954.99633789063</v>
      </c>
      <c r="H648" s="15" t="n">
        <f aca="false">G648*(1+IF(H$3&lt;=$O$2,$D648,$D648-($D648-$I$643)*MIN(H$3-$O$2,$Q$2)/$Q$2))</f>
        <v>11510.464515686</v>
      </c>
      <c r="I648" s="15" t="n">
        <f aca="false">H648*(1+IF(I$3&lt;=$O$2,$D648,$D648-($D648-$I$643)*MIN(I$3-$O$2,$Q$2)/$Q$2))</f>
        <v>13308.974596262</v>
      </c>
      <c r="J648" s="15" t="n">
        <f aca="false">I648*(1+IF(J$3&lt;=$O$2,$D648,$D648-($D648-$I$643)*MIN(J$3-$O$2,$Q$2)/$Q$2))</f>
        <v>15047.9252170096</v>
      </c>
      <c r="K648" s="15" t="n">
        <f aca="false">J648*(1+IF(K$3&lt;=$O$2,$D648,$D648-($D648-$I$643)*MIN(K$3-$O$2,$Q$2)/$Q$2))</f>
        <v>16629.0107195608</v>
      </c>
      <c r="L648" s="15" t="n">
        <f aca="false">K648*(1+IF(L$3&lt;=$O$2,$D648,$D648-($D648-$I$643)*MIN(L$3-$O$2,$Q$2)/$Q$2))</f>
        <v>17950.6844915515</v>
      </c>
      <c r="M648" s="15" t="n">
        <f aca="false">L648*(1+IF(M$3&lt;=$O$2,$D648,$D648-($D648-$I$643)*MIN(M$3-$O$2,$Q$2)/$Q$2))</f>
        <v>18918.0468788012</v>
      </c>
      <c r="N648" s="15" t="n">
        <f aca="false">M648*(1+IF(N$3&lt;=$O$2,$D648,$D648-($D648-$I$643)*MIN(N$3-$O$2,$Q$2)/$Q$2))</f>
        <v>19453.4276054712</v>
      </c>
      <c r="O648" s="15" t="n">
        <f aca="false">SUMPRODUCT(E648:N648,1/(1+$F$643)^$E$3:$N$3)*$E$2</f>
        <v>15305.7203334657</v>
      </c>
      <c r="P648" s="15" t="n">
        <f aca="false">N648*$E$2*(1+$I$643)/($F$643-$I$643)/(1+$F$643)^$N$3</f>
        <v>19243.4606697863</v>
      </c>
      <c r="Q648" s="15" t="n">
        <f aca="false">O648+P648</f>
        <v>34549.1810032519</v>
      </c>
      <c r="R648" s="15" t="n">
        <f aca="false">Q648-$G$2+$I$2</f>
        <v>29249.2810032519</v>
      </c>
      <c r="S648" s="42" t="n">
        <f aca="false">R648/$K$2</f>
        <v>248.972429377357</v>
      </c>
      <c r="T648" s="43" t="n">
        <f aca="false">S648-$M$2</f>
        <v>101.79844231573</v>
      </c>
    </row>
    <row r="649" customFormat="false" ht="15" hidden="false" customHeight="false" outlineLevel="0" collapsed="false">
      <c r="A649" s="5" t="n">
        <v>5</v>
      </c>
      <c r="B649" s="25" t="n">
        <f aca="false">IF(T648&gt;0,B648,D648)</f>
        <v>0.0625</v>
      </c>
      <c r="C649" s="25" t="n">
        <f aca="false">IF(T648&gt;0,D648,C648)</f>
        <v>0.15625</v>
      </c>
      <c r="D649" s="41" t="n">
        <f aca="false">(B649+C649)/2</f>
        <v>0.109375</v>
      </c>
      <c r="E649" s="15" t="n">
        <f aca="false">$C$2*(1+IF(E$3&lt;=$O$2,$D649,$D649-($D649-$I$643)*MIN(E$3-$O$2,$Q$2)/$Q$2))</f>
        <v>7144.375</v>
      </c>
      <c r="F649" s="15" t="n">
        <f aca="false">E649*(1+IF(F$3&lt;=$O$2,$D649,$D649-($D649-$I$643)*MIN(F$3-$O$2,$Q$2)/$Q$2))</f>
        <v>7925.791015625</v>
      </c>
      <c r="G649" s="15" t="n">
        <f aca="false">F649*(1+IF(G$3&lt;=$O$2,$D649,$D649-($D649-$I$643)*MIN(G$3-$O$2,$Q$2)/$Q$2))</f>
        <v>8792.67440795898</v>
      </c>
      <c r="H649" s="15" t="n">
        <f aca="false">G649*(1+IF(H$3&lt;=$O$2,$D649,$D649-($D649-$I$643)*MIN(H$3-$O$2,$Q$2)/$Q$2))</f>
        <v>9754.3731713295</v>
      </c>
      <c r="I649" s="15" t="n">
        <f aca="false">H649*(1+IF(I$3&lt;=$O$2,$D649,$D649-($D649-$I$643)*MIN(I$3-$O$2,$Q$2)/$Q$2))</f>
        <v>10821.2577369437</v>
      </c>
      <c r="J649" s="15" t="n">
        <f aca="false">I649*(1+IF(J$3&lt;=$O$2,$D649,$D649-($D649-$I$643)*MIN(J$3-$O$2,$Q$2)/$Q$2))</f>
        <v>11829.3661077173</v>
      </c>
      <c r="K649" s="15" t="n">
        <f aca="false">J649*(1+IF(K$3&lt;=$O$2,$D649,$D649-($D649-$I$643)*MIN(K$3-$O$2,$Q$2)/$Q$2))</f>
        <v>12739.5766828756</v>
      </c>
      <c r="L649" s="15" t="n">
        <f aca="false">K649*(1+IF(L$3&lt;=$O$2,$D649,$D649-($D649-$I$643)*MIN(L$3-$O$2,$Q$2)/$Q$2))</f>
        <v>13513.2511748267</v>
      </c>
      <c r="M649" s="15" t="n">
        <f aca="false">L649*(1+IF(M$3&lt;=$O$2,$D649,$D649-($D649-$I$643)*MIN(M$3-$O$2,$Q$2)/$Q$2))</f>
        <v>14114.7935508741</v>
      </c>
      <c r="N649" s="15" t="n">
        <f aca="false">M649*(1+IF(N$3&lt;=$O$2,$D649,$D649-($D649-$I$643)*MIN(N$3-$O$2,$Q$2)/$Q$2))</f>
        <v>14514.2422083638</v>
      </c>
      <c r="O649" s="15" t="n">
        <f aca="false">SUMPRODUCT(E649:N649,1/(1+$F$643)^$E$3:$N$3)*$E$2</f>
        <v>12531.4785516012</v>
      </c>
      <c r="P649" s="15" t="n">
        <f aca="false">N649*$E$2*(1+$I$643)/($F$643-$I$643)/(1+$F$643)^$N$3</f>
        <v>14357.5854472991</v>
      </c>
      <c r="Q649" s="15" t="n">
        <f aca="false">O649+P649</f>
        <v>26889.0639989003</v>
      </c>
      <c r="R649" s="15" t="n">
        <f aca="false">Q649-$G$2+$I$2</f>
        <v>21589.1639989003</v>
      </c>
      <c r="S649" s="42" t="n">
        <f aca="false">R649/$K$2</f>
        <v>183.76884575162</v>
      </c>
      <c r="T649" s="43" t="n">
        <f aca="false">S649-$M$2</f>
        <v>36.5948586899924</v>
      </c>
    </row>
    <row r="650" customFormat="false" ht="15" hidden="false" customHeight="false" outlineLevel="0" collapsed="false">
      <c r="A650" s="5" t="n">
        <v>6</v>
      </c>
      <c r="B650" s="25" t="n">
        <f aca="false">IF(T649&gt;0,B649,D649)</f>
        <v>0.0625</v>
      </c>
      <c r="C650" s="25" t="n">
        <f aca="false">IF(T649&gt;0,D649,C649)</f>
        <v>0.109375</v>
      </c>
      <c r="D650" s="41" t="n">
        <f aca="false">(B650+C650)/2</f>
        <v>0.0859375</v>
      </c>
      <c r="E650" s="15" t="n">
        <f aca="false">$C$2*(1+IF(E$3&lt;=$O$2,$D650,$D650-($D650-$I$643)*MIN(E$3-$O$2,$Q$2)/$Q$2))</f>
        <v>6993.4375</v>
      </c>
      <c r="F650" s="15" t="n">
        <f aca="false">E650*(1+IF(F$3&lt;=$O$2,$D650,$D650-($D650-$I$643)*MIN(F$3-$O$2,$Q$2)/$Q$2))</f>
        <v>7594.43603515625</v>
      </c>
      <c r="G650" s="15" t="n">
        <f aca="false">F650*(1+IF(G$3&lt;=$O$2,$D650,$D650-($D650-$I$643)*MIN(G$3-$O$2,$Q$2)/$Q$2))</f>
        <v>8247.08288192749</v>
      </c>
      <c r="H650" s="15" t="n">
        <f aca="false">G650*(1+IF(H$3&lt;=$O$2,$D650,$D650-($D650-$I$643)*MIN(H$3-$O$2,$Q$2)/$Q$2))</f>
        <v>8955.81656709313</v>
      </c>
      <c r="I650" s="15" t="n">
        <f aca="false">H650*(1+IF(I$3&lt;=$O$2,$D650,$D650-($D650-$I$643)*MIN(I$3-$O$2,$Q$2)/$Q$2))</f>
        <v>9725.4570533277</v>
      </c>
      <c r="J650" s="15" t="n">
        <f aca="false">I650*(1+IF(J$3&lt;=$O$2,$D650,$D650-($D650-$I$643)*MIN(J$3-$O$2,$Q$2)/$Q$2))</f>
        <v>10449.1283126658</v>
      </c>
      <c r="K650" s="15" t="n">
        <f aca="false">J650*(1+IF(K$3&lt;=$O$2,$D650,$D650-($D650-$I$643)*MIN(K$3-$O$2,$Q$2)/$Q$2))</f>
        <v>11106.195623787</v>
      </c>
      <c r="L650" s="15" t="n">
        <f aca="false">K650*(1+IF(L$3&lt;=$O$2,$D650,$D650-($D650-$I$643)*MIN(L$3-$O$2,$Q$2)/$Q$2))</f>
        <v>11676.5543000466</v>
      </c>
      <c r="M650" s="15" t="n">
        <f aca="false">L650*(1+IF(M$3&lt;=$O$2,$D650,$D650-($D650-$I$643)*MIN(M$3-$O$2,$Q$2)/$Q$2))</f>
        <v>12141.6022664317</v>
      </c>
      <c r="N650" s="15" t="n">
        <f aca="false">M650*(1+IF(N$3&lt;=$O$2,$D650,$D650-($D650-$I$643)*MIN(N$3-$O$2,$Q$2)/$Q$2))</f>
        <v>12485.2096105717</v>
      </c>
      <c r="O650" s="15" t="n">
        <f aca="false">SUMPRODUCT(E650:N650,1/(1+$F$643)^$E$3:$N$3)*$E$2</f>
        <v>11338.0617922328</v>
      </c>
      <c r="P650" s="15" t="n">
        <f aca="false">N650*$E$2*(1+$I$643)/($F$643-$I$643)/(1+$F$643)^$N$3</f>
        <v>12350.4528336951</v>
      </c>
      <c r="Q650" s="15" t="n">
        <f aca="false">O650+P650</f>
        <v>23688.5146259279</v>
      </c>
      <c r="R650" s="15" t="n">
        <f aca="false">Q650-$G$2+$I$2</f>
        <v>18388.6146259279</v>
      </c>
      <c r="S650" s="42" t="n">
        <f aca="false">R650/$K$2</f>
        <v>156.525490516921</v>
      </c>
      <c r="T650" s="43" t="n">
        <f aca="false">S650-$M$2</f>
        <v>9.35150345529388</v>
      </c>
    </row>
    <row r="651" customFormat="false" ht="15" hidden="false" customHeight="false" outlineLevel="0" collapsed="false">
      <c r="A651" s="5" t="n">
        <v>7</v>
      </c>
      <c r="B651" s="25" t="n">
        <f aca="false">IF(T650&gt;0,B650,D650)</f>
        <v>0.0625</v>
      </c>
      <c r="C651" s="25" t="n">
        <f aca="false">IF(T650&gt;0,D650,C650)</f>
        <v>0.0859375</v>
      </c>
      <c r="D651" s="41" t="n">
        <f aca="false">(B651+C651)/2</f>
        <v>0.07421875</v>
      </c>
      <c r="E651" s="15" t="n">
        <f aca="false">$C$2*(1+IF(E$3&lt;=$O$2,$D651,$D651-($D651-$I$643)*MIN(E$3-$O$2,$Q$2)/$Q$2))</f>
        <v>6917.96875</v>
      </c>
      <c r="F651" s="15" t="n">
        <f aca="false">E651*(1+IF(F$3&lt;=$O$2,$D651,$D651-($D651-$I$643)*MIN(F$3-$O$2,$Q$2)/$Q$2))</f>
        <v>7431.41174316406</v>
      </c>
      <c r="G651" s="15" t="n">
        <f aca="false">F651*(1+IF(G$3&lt;=$O$2,$D651,$D651-($D651-$I$643)*MIN(G$3-$O$2,$Q$2)/$Q$2))</f>
        <v>7982.96183347702</v>
      </c>
      <c r="H651" s="15" t="n">
        <f aca="false">G651*(1+IF(H$3&lt;=$O$2,$D651,$D651-($D651-$I$643)*MIN(H$3-$O$2,$Q$2)/$Q$2))</f>
        <v>8575.44728205539</v>
      </c>
      <c r="I651" s="15" t="n">
        <f aca="false">H651*(1+IF(I$3&lt;=$O$2,$D651,$D651-($D651-$I$643)*MIN(I$3-$O$2,$Q$2)/$Q$2))</f>
        <v>9211.90626002044</v>
      </c>
      <c r="J651" s="15" t="n">
        <f aca="false">I651*(1+IF(J$3&lt;=$O$2,$D651,$D651-($D651-$I$643)*MIN(J$3-$O$2,$Q$2)/$Q$2))</f>
        <v>9811.00258364087</v>
      </c>
      <c r="K651" s="15" t="n">
        <f aca="false">J651*(1+IF(K$3&lt;=$O$2,$D651,$D651-($D651-$I$643)*MIN(K$3-$O$2,$Q$2)/$Q$2))</f>
        <v>10358.9593416904</v>
      </c>
      <c r="L651" s="15" t="n">
        <f aca="false">K651*(1+IF(L$3&lt;=$O$2,$D651,$D651-($D651-$I$643)*MIN(L$3-$O$2,$Q$2)/$Q$2))</f>
        <v>10842.3860767688</v>
      </c>
      <c r="M651" s="15" t="n">
        <f aca="false">L651*(1+IF(M$3&lt;=$O$2,$D651,$D651-($D651-$I$643)*MIN(M$3-$O$2,$Q$2)/$Q$2))</f>
        <v>11248.7993658739</v>
      </c>
      <c r="N651" s="15" t="n">
        <f aca="false">M651*(1+IF(N$3&lt;=$O$2,$D651,$D651-($D651-$I$643)*MIN(N$3-$O$2,$Q$2)/$Q$2))</f>
        <v>11567.1403879281</v>
      </c>
      <c r="O651" s="15" t="n">
        <f aca="false">SUMPRODUCT(E651:N651,1/(1+$F$643)^$E$3:$N$3)*$E$2</f>
        <v>10784.7647627358</v>
      </c>
      <c r="P651" s="15" t="n">
        <f aca="false">N651*$E$2*(1+$I$643)/($F$643-$I$643)/(1+$F$643)^$N$3</f>
        <v>11442.2926196506</v>
      </c>
      <c r="Q651" s="15" t="n">
        <f aca="false">O651+P651</f>
        <v>22227.0573823864</v>
      </c>
      <c r="R651" s="15" t="n">
        <f aca="false">Q651-$G$2+$I$2</f>
        <v>16927.1573823864</v>
      </c>
      <c r="S651" s="42" t="n">
        <f aca="false">R651/$K$2</f>
        <v>144.085439073769</v>
      </c>
      <c r="T651" s="43" t="n">
        <f aca="false">S651-$M$2</f>
        <v>-3.08854798785848</v>
      </c>
    </row>
    <row r="652" customFormat="false" ht="15" hidden="false" customHeight="false" outlineLevel="0" collapsed="false">
      <c r="A652" s="5" t="n">
        <v>8</v>
      </c>
      <c r="B652" s="25" t="n">
        <f aca="false">IF(T651&gt;0,B651,D651)</f>
        <v>0.07421875</v>
      </c>
      <c r="C652" s="25" t="n">
        <f aca="false">IF(T651&gt;0,D651,C651)</f>
        <v>0.0859375</v>
      </c>
      <c r="D652" s="41" t="n">
        <f aca="false">(B652+C652)/2</f>
        <v>0.080078125</v>
      </c>
      <c r="E652" s="15" t="n">
        <f aca="false">$C$2*(1+IF(E$3&lt;=$O$2,$D652,$D652-($D652-$I$643)*MIN(E$3-$O$2,$Q$2)/$Q$2))</f>
        <v>6955.703125</v>
      </c>
      <c r="F652" s="15" t="n">
        <f aca="false">E652*(1+IF(F$3&lt;=$O$2,$D652,$D652-($D652-$I$643)*MIN(F$3-$O$2,$Q$2)/$Q$2))</f>
        <v>7512.70278930664</v>
      </c>
      <c r="G652" s="15" t="n">
        <f aca="false">F652*(1+IF(G$3&lt;=$O$2,$D652,$D652-($D652-$I$643)*MIN(G$3-$O$2,$Q$2)/$Q$2))</f>
        <v>8114.30594235659</v>
      </c>
      <c r="H652" s="15" t="n">
        <f aca="false">G652*(1+IF(H$3&lt;=$O$2,$D652,$D652-($D652-$I$643)*MIN(H$3-$O$2,$Q$2)/$Q$2))</f>
        <v>8764.08434789686</v>
      </c>
      <c r="I652" s="15" t="n">
        <f aca="false">H652*(1+IF(I$3&lt;=$O$2,$D652,$D652-($D652-$I$643)*MIN(I$3-$O$2,$Q$2)/$Q$2))</f>
        <v>9465.89578981829</v>
      </c>
      <c r="J652" s="15" t="n">
        <f aca="false">I652*(1+IF(J$3&lt;=$O$2,$D652,$D652-($D652-$I$643)*MIN(J$3-$O$2,$Q$2)/$Q$2))</f>
        <v>10125.8817090239</v>
      </c>
      <c r="K652" s="15" t="n">
        <f aca="false">J652*(1+IF(K$3&lt;=$O$2,$D652,$D652-($D652-$I$643)*MIN(K$3-$O$2,$Q$2)/$Q$2))</f>
        <v>10727.0236627083</v>
      </c>
      <c r="L652" s="15" t="n">
        <f aca="false">K652*(1+IF(L$3&lt;=$O$2,$D652,$D652-($D652-$I$643)*MIN(L$3-$O$2,$Q$2)/$Q$2))</f>
        <v>11252.7685011972</v>
      </c>
      <c r="M652" s="15" t="n">
        <f aca="false">L652*(1+IF(M$3&lt;=$O$2,$D652,$D652-($D652-$I$643)*MIN(M$3-$O$2,$Q$2)/$Q$2))</f>
        <v>11687.7513005913</v>
      </c>
      <c r="N652" s="15" t="n">
        <f aca="false">M652*(1+IF(N$3&lt;=$O$2,$D652,$D652-($D652-$I$643)*MIN(N$3-$O$2,$Q$2)/$Q$2))</f>
        <v>12018.514662398</v>
      </c>
      <c r="O652" s="15" t="n">
        <f aca="false">SUMPRODUCT(E652:N652,1/(1+$F$643)^$E$3:$N$3)*$E$2</f>
        <v>11057.9353139415</v>
      </c>
      <c r="P652" s="15" t="n">
        <f aca="false">N652*$E$2*(1+$I$643)/($F$643-$I$643)/(1+$F$643)^$N$3</f>
        <v>11888.7950702353</v>
      </c>
      <c r="Q652" s="15" t="n">
        <f aca="false">O652+P652</f>
        <v>22946.7303841768</v>
      </c>
      <c r="R652" s="15" t="n">
        <f aca="false">Q652-$G$2+$I$2</f>
        <v>17646.8303841768</v>
      </c>
      <c r="S652" s="42" t="n">
        <f aca="false">R652/$K$2</f>
        <v>150.211358394423</v>
      </c>
      <c r="T652" s="43" t="n">
        <f aca="false">S652-$M$2</f>
        <v>3.03737133279566</v>
      </c>
    </row>
    <row r="653" customFormat="false" ht="15" hidden="false" customHeight="false" outlineLevel="0" collapsed="false">
      <c r="A653" s="5" t="n">
        <v>9</v>
      </c>
      <c r="B653" s="25" t="n">
        <f aca="false">IF(T652&gt;0,B652,D652)</f>
        <v>0.07421875</v>
      </c>
      <c r="C653" s="25" t="n">
        <f aca="false">IF(T652&gt;0,D652,C652)</f>
        <v>0.080078125</v>
      </c>
      <c r="D653" s="41" t="n">
        <f aca="false">(B653+C653)/2</f>
        <v>0.0771484375</v>
      </c>
      <c r="E653" s="15" t="n">
        <f aca="false">$C$2*(1+IF(E$3&lt;=$O$2,$D653,$D653-($D653-$I$643)*MIN(E$3-$O$2,$Q$2)/$Q$2))</f>
        <v>6936.8359375</v>
      </c>
      <c r="F653" s="15" t="n">
        <f aca="false">E653*(1+IF(F$3&lt;=$O$2,$D653,$D653-($D653-$I$643)*MIN(F$3-$O$2,$Q$2)/$Q$2))</f>
        <v>7472.00199127197</v>
      </c>
      <c r="G653" s="15" t="n">
        <f aca="false">F653*(1+IF(G$3&lt;=$O$2,$D653,$D653-($D653-$I$643)*MIN(G$3-$O$2,$Q$2)/$Q$2))</f>
        <v>8048.45526989549</v>
      </c>
      <c r="H653" s="15" t="n">
        <f aca="false">G653*(1+IF(H$3&lt;=$O$2,$D653,$D653-($D653-$I$643)*MIN(H$3-$O$2,$Q$2)/$Q$2))</f>
        <v>8669.38101825657</v>
      </c>
      <c r="I653" s="15" t="n">
        <f aca="false">H653*(1+IF(I$3&lt;=$O$2,$D653,$D653-($D653-$I$643)*MIN(I$3-$O$2,$Q$2)/$Q$2))</f>
        <v>9338.21021790723</v>
      </c>
      <c r="J653" s="15" t="n">
        <f aca="false">I653*(1+IF(J$3&lt;=$O$2,$D653,$D653-($D653-$I$643)*MIN(J$3-$O$2,$Q$2)/$Q$2))</f>
        <v>9967.40714962704</v>
      </c>
      <c r="K653" s="15" t="n">
        <f aca="false">J653*(1+IF(K$3&lt;=$O$2,$D653,$D653-($D653-$I$643)*MIN(K$3-$O$2,$Q$2)/$Q$2))</f>
        <v>10541.6201310729</v>
      </c>
      <c r="L653" s="15" t="n">
        <f aca="false">K653*(1+IF(L$3&lt;=$O$2,$D653,$D653-($D653-$I$643)*MIN(L$3-$O$2,$Q$2)/$Q$2))</f>
        <v>11045.9246496308</v>
      </c>
      <c r="M653" s="15" t="n">
        <f aca="false">L653*(1+IF(M$3&lt;=$O$2,$D653,$D653-($D653-$I$643)*MIN(M$3-$O$2,$Q$2)/$Q$2))</f>
        <v>11466.4395491908</v>
      </c>
      <c r="N653" s="15" t="n">
        <f aca="false">M653*(1+IF(N$3&lt;=$O$2,$D653,$D653-($D653-$I$643)*MIN(N$3-$O$2,$Q$2)/$Q$2))</f>
        <v>11790.9397884329</v>
      </c>
      <c r="O653" s="15" t="n">
        <f aca="false">SUMPRODUCT(E653:N653,1/(1+$F$643)^$E$3:$N$3)*$E$2</f>
        <v>10920.4907301394</v>
      </c>
      <c r="P653" s="15" t="n">
        <f aca="false">N653*$E$2*(1+$I$643)/($F$643-$I$643)/(1+$F$643)^$N$3</f>
        <v>11663.6764831464</v>
      </c>
      <c r="Q653" s="15" t="n">
        <f aca="false">O653+P653</f>
        <v>22584.1672132858</v>
      </c>
      <c r="R653" s="15" t="n">
        <f aca="false">Q653-$G$2+$I$2</f>
        <v>17284.2672132858</v>
      </c>
      <c r="S653" s="42" t="n">
        <f aca="false">R653/$K$2</f>
        <v>147.125189081425</v>
      </c>
      <c r="T653" s="43" t="n">
        <f aca="false">S653-$M$2</f>
        <v>-0.0487979802022664</v>
      </c>
    </row>
    <row r="654" customFormat="false" ht="15" hidden="false" customHeight="false" outlineLevel="0" collapsed="false">
      <c r="A654" s="5" t="n">
        <v>10</v>
      </c>
      <c r="B654" s="25" t="n">
        <f aca="false">IF(T653&gt;0,B653,D653)</f>
        <v>0.0771484375</v>
      </c>
      <c r="C654" s="25" t="n">
        <f aca="false">IF(T653&gt;0,D653,C653)</f>
        <v>0.080078125</v>
      </c>
      <c r="D654" s="41" t="n">
        <f aca="false">(B654+C654)/2</f>
        <v>0.07861328125</v>
      </c>
      <c r="E654" s="15" t="n">
        <f aca="false">$C$2*(1+IF(E$3&lt;=$O$2,$D654,$D654-($D654-$I$643)*MIN(E$3-$O$2,$Q$2)/$Q$2))</f>
        <v>6946.26953125</v>
      </c>
      <c r="F654" s="15" t="n">
        <f aca="false">E654*(1+IF(F$3&lt;=$O$2,$D654,$D654-($D654-$I$643)*MIN(F$3-$O$2,$Q$2)/$Q$2))</f>
        <v>7492.33857154846</v>
      </c>
      <c r="G654" s="15" t="n">
        <f aca="false">F654*(1+IF(G$3&lt;=$O$2,$D654,$D654-($D654-$I$643)*MIN(G$3-$O$2,$Q$2)/$Q$2))</f>
        <v>8081.33589089382</v>
      </c>
      <c r="H654" s="15" t="n">
        <f aca="false">G654*(1+IF(H$3&lt;=$O$2,$D654,$D654-($D654-$I$643)*MIN(H$3-$O$2,$Q$2)/$Q$2))</f>
        <v>8716.63622216038</v>
      </c>
      <c r="I654" s="15" t="n">
        <f aca="false">H654*(1+IF(I$3&lt;=$O$2,$D654,$D654-($D654-$I$643)*MIN(I$3-$O$2,$Q$2)/$Q$2))</f>
        <v>9401.87959704701</v>
      </c>
      <c r="J654" s="15" t="n">
        <f aca="false">I654*(1+IF(J$3&lt;=$O$2,$D654,$D654-($D654-$I$643)*MIN(J$3-$O$2,$Q$2)/$Q$2))</f>
        <v>10046.3843195993</v>
      </c>
      <c r="K654" s="15" t="n">
        <f aca="false">J654*(1+IF(K$3&lt;=$O$2,$D654,$D654-($D654-$I$643)*MIN(K$3-$O$2,$Q$2)/$Q$2))</f>
        <v>10633.9769317345</v>
      </c>
      <c r="L654" s="15" t="n">
        <f aca="false">K654*(1+IF(L$3&lt;=$O$2,$D654,$D654-($D654-$I$643)*MIN(L$3-$O$2,$Q$2)/$Q$2))</f>
        <v>11148.9305877716</v>
      </c>
      <c r="M654" s="15" t="n">
        <f aca="false">L654*(1+IF(M$3&lt;=$O$2,$D654,$D654-($D654-$I$643)*MIN(M$3-$O$2,$Q$2)/$Q$2))</f>
        <v>11576.6331794654</v>
      </c>
      <c r="N654" s="15" t="n">
        <f aca="false">M654*(1+IF(N$3&lt;=$O$2,$D654,$D654-($D654-$I$643)*MIN(N$3-$O$2,$Q$2)/$Q$2))</f>
        <v>11904.2518984442</v>
      </c>
      <c r="O654" s="15" t="n">
        <f aca="false">SUMPRODUCT(E654:N654,1/(1+$F$643)^$E$3:$N$3)*$E$2</f>
        <v>10988.9969302761</v>
      </c>
      <c r="P654" s="15" t="n">
        <f aca="false">N654*$E$2*(1+$I$643)/($F$643-$I$643)/(1+$F$643)^$N$3</f>
        <v>11775.7655800725</v>
      </c>
      <c r="Q654" s="15" t="n">
        <f aca="false">O654+P654</f>
        <v>22764.7625103486</v>
      </c>
      <c r="R654" s="15" t="n">
        <f aca="false">Q654-$G$2+$I$2</f>
        <v>17464.8625103486</v>
      </c>
      <c r="S654" s="42" t="n">
        <f aca="false">R654/$K$2</f>
        <v>148.662431991391</v>
      </c>
      <c r="T654" s="43" t="n">
        <f aca="false">S654-$M$2</f>
        <v>1.48844492976318</v>
      </c>
    </row>
    <row r="655" customFormat="false" ht="15" hidden="false" customHeight="false" outlineLevel="0" collapsed="false">
      <c r="A655" s="5" t="n">
        <v>11</v>
      </c>
      <c r="B655" s="25" t="n">
        <f aca="false">IF(T654&gt;0,B654,D654)</f>
        <v>0.0771484375</v>
      </c>
      <c r="C655" s="25" t="n">
        <f aca="false">IF(T654&gt;0,D654,C654)</f>
        <v>0.07861328125</v>
      </c>
      <c r="D655" s="41" t="n">
        <f aca="false">(B655+C655)/2</f>
        <v>0.077880859375</v>
      </c>
      <c r="E655" s="15" t="n">
        <f aca="false">$C$2*(1+IF(E$3&lt;=$O$2,$D655,$D655-($D655-$I$643)*MIN(E$3-$O$2,$Q$2)/$Q$2))</f>
        <v>6941.552734375</v>
      </c>
      <c r="F655" s="15" t="n">
        <f aca="false">E655*(1+IF(F$3&lt;=$O$2,$D655,$D655-($D655-$I$643)*MIN(F$3-$O$2,$Q$2)/$Q$2))</f>
        <v>7482.16682672501</v>
      </c>
      <c r="G655" s="15" t="n">
        <f aca="false">F655*(1+IF(G$3&lt;=$O$2,$D655,$D655-($D655-$I$643)*MIN(G$3-$O$2,$Q$2)/$Q$2))</f>
        <v>8064.88440917747</v>
      </c>
      <c r="H655" s="15" t="n">
        <f aca="false">G655*(1+IF(H$3&lt;=$O$2,$D655,$D655-($D655-$I$643)*MIN(H$3-$O$2,$Q$2)/$Q$2))</f>
        <v>8692.98453772425</v>
      </c>
      <c r="I655" s="15" t="n">
        <f aca="false">H655*(1+IF(I$3&lt;=$O$2,$D655,$D655-($D655-$I$643)*MIN(I$3-$O$2,$Q$2)/$Q$2))</f>
        <v>9370.0016440558</v>
      </c>
      <c r="J655" s="15" t="n">
        <f aca="false">I655*(1+IF(J$3&lt;=$O$2,$D655,$D655-($D655-$I$643)*MIN(J$3-$O$2,$Q$2)/$Q$2))</f>
        <v>10006.8308776685</v>
      </c>
      <c r="K655" s="15" t="n">
        <f aca="false">J655*(1+IF(K$3&lt;=$O$2,$D655,$D655-($D655-$I$643)*MIN(K$3-$O$2,$Q$2)/$Q$2))</f>
        <v>10587.7125562276</v>
      </c>
      <c r="L655" s="15" t="n">
        <f aca="false">K655*(1+IF(L$3&lt;=$O$2,$D655,$D655-($D655-$I$643)*MIN(L$3-$O$2,$Q$2)/$Q$2))</f>
        <v>11097.3239765102</v>
      </c>
      <c r="M655" s="15" t="n">
        <f aca="false">L655*(1+IF(M$3&lt;=$O$2,$D655,$D655-($D655-$I$643)*MIN(M$3-$O$2,$Q$2)/$Q$2))</f>
        <v>11521.421216949</v>
      </c>
      <c r="N655" s="15" t="n">
        <f aca="false">M655*(1+IF(N$3&lt;=$O$2,$D655,$D655-($D655-$I$643)*MIN(N$3-$O$2,$Q$2)/$Q$2))</f>
        <v>11847.4774373887</v>
      </c>
      <c r="O655" s="15" t="n">
        <f aca="false">SUMPRODUCT(E655:N655,1/(1+$F$643)^$E$3:$N$3)*$E$2</f>
        <v>10954.6899658612</v>
      </c>
      <c r="P655" s="15" t="n">
        <f aca="false">N655*$E$2*(1+$I$643)/($F$643-$I$643)/(1+$F$643)^$N$3</f>
        <v>11719.6039035531</v>
      </c>
      <c r="Q655" s="15" t="n">
        <f aca="false">O655+P655</f>
        <v>22674.2938694143</v>
      </c>
      <c r="R655" s="15" t="n">
        <f aca="false">Q655-$G$2+$I$2</f>
        <v>17374.3938694143</v>
      </c>
      <c r="S655" s="42" t="n">
        <f aca="false">R655/$K$2</f>
        <v>147.89235503417</v>
      </c>
      <c r="T655" s="43" t="n">
        <f aca="false">S655-$M$2</f>
        <v>0.718367972542922</v>
      </c>
    </row>
    <row r="656" customFormat="false" ht="15" hidden="false" customHeight="false" outlineLevel="0" collapsed="false">
      <c r="A656" s="5" t="n">
        <v>12</v>
      </c>
      <c r="B656" s="25" t="n">
        <f aca="false">IF(T655&gt;0,B655,D655)</f>
        <v>0.0771484375</v>
      </c>
      <c r="C656" s="25" t="n">
        <f aca="false">IF(T655&gt;0,D655,C655)</f>
        <v>0.077880859375</v>
      </c>
      <c r="D656" s="41" t="n">
        <f aca="false">(B656+C656)/2</f>
        <v>0.0775146484375</v>
      </c>
      <c r="E656" s="15" t="n">
        <f aca="false">$C$2*(1+IF(E$3&lt;=$O$2,$D656,$D656-($D656-$I$643)*MIN(E$3-$O$2,$Q$2)/$Q$2))</f>
        <v>6939.1943359375</v>
      </c>
      <c r="F656" s="15" t="n">
        <f aca="false">E656*(1+IF(F$3&lt;=$O$2,$D656,$D656-($D656-$I$643)*MIN(F$3-$O$2,$Q$2)/$Q$2))</f>
        <v>7477.08354532719</v>
      </c>
      <c r="G656" s="15" t="n">
        <f aca="false">F656*(1+IF(G$3&lt;=$O$2,$D656,$D656-($D656-$I$643)*MIN(G$3-$O$2,$Q$2)/$Q$2))</f>
        <v>8056.66704768104</v>
      </c>
      <c r="H656" s="15" t="n">
        <f aca="false">G656*(1+IF(H$3&lt;=$O$2,$D656,$D656-($D656-$I$643)*MIN(H$3-$O$2,$Q$2)/$Q$2))</f>
        <v>8681.17676146003</v>
      </c>
      <c r="I656" s="15" t="n">
        <f aca="false">H656*(1+IF(I$3&lt;=$O$2,$D656,$D656-($D656-$I$643)*MIN(I$3-$O$2,$Q$2)/$Q$2))</f>
        <v>9354.0951261484</v>
      </c>
      <c r="J656" s="15" t="n">
        <f aca="false">I656*(1+IF(J$3&lt;=$O$2,$D656,$D656-($D656-$I$643)*MIN(J$3-$O$2,$Q$2)/$Q$2))</f>
        <v>9987.10282068586</v>
      </c>
      <c r="K656" s="15" t="n">
        <f aca="false">J656*(1+IF(K$3&lt;=$O$2,$D656,$D656-($D656-$I$643)*MIN(K$3-$O$2,$Q$2)/$Q$2))</f>
        <v>10564.6448830488</v>
      </c>
      <c r="L656" s="15" t="n">
        <f aca="false">K656*(1+IF(L$3&lt;=$O$2,$D656,$D656-($D656-$I$643)*MIN(L$3-$O$2,$Q$2)/$Q$2))</f>
        <v>11071.5984467536</v>
      </c>
      <c r="M656" s="15" t="n">
        <f aca="false">L656*(1+IF(M$3&lt;=$O$2,$D656,$D656-($D656-$I$643)*MIN(M$3-$O$2,$Q$2)/$Q$2))</f>
        <v>11493.9016478363</v>
      </c>
      <c r="N656" s="15" t="n">
        <f aca="false">M656*(1+IF(N$3&lt;=$O$2,$D656,$D656-($D656-$I$643)*MIN(N$3-$O$2,$Q$2)/$Q$2))</f>
        <v>11819.1790644701</v>
      </c>
      <c r="O656" s="15" t="n">
        <f aca="false">SUMPRODUCT(E656:N656,1/(1+$F$643)^$E$3:$N$3)*$E$2</f>
        <v>10937.5769016937</v>
      </c>
      <c r="P656" s="15" t="n">
        <f aca="false">N656*$E$2*(1+$I$643)/($F$643-$I$643)/(1+$F$643)^$N$3</f>
        <v>11691.6109638347</v>
      </c>
      <c r="Q656" s="15" t="n">
        <f aca="false">O656+P656</f>
        <v>22629.1878655284</v>
      </c>
      <c r="R656" s="15" t="n">
        <f aca="false">Q656-$G$2+$I$2</f>
        <v>17329.2878655284</v>
      </c>
      <c r="S656" s="42" t="n">
        <f aca="false">R656/$K$2</f>
        <v>147.508408797484</v>
      </c>
      <c r="T656" s="43" t="n">
        <f aca="false">S656-$M$2</f>
        <v>0.334421735856182</v>
      </c>
    </row>
    <row r="657" customFormat="false" ht="15" hidden="false" customHeight="false" outlineLevel="0" collapsed="false">
      <c r="A657" s="5" t="n">
        <v>13</v>
      </c>
      <c r="B657" s="25" t="n">
        <f aca="false">IF(T656&gt;0,B656,D656)</f>
        <v>0.0771484375</v>
      </c>
      <c r="C657" s="25" t="n">
        <f aca="false">IF(T656&gt;0,D656,C656)</f>
        <v>0.0775146484375</v>
      </c>
      <c r="D657" s="41" t="n">
        <f aca="false">(B657+C657)/2</f>
        <v>0.07733154296875</v>
      </c>
      <c r="E657" s="15" t="n">
        <f aca="false">$C$2*(1+IF(E$3&lt;=$O$2,$D657,$D657-($D657-$I$643)*MIN(E$3-$O$2,$Q$2)/$Q$2))</f>
        <v>6938.01513671875</v>
      </c>
      <c r="F657" s="15" t="n">
        <f aca="false">E657*(1+IF(F$3&lt;=$O$2,$D657,$D657-($D657-$I$643)*MIN(F$3-$O$2,$Q$2)/$Q$2))</f>
        <v>7474.54255238175</v>
      </c>
      <c r="G657" s="15" t="n">
        <f aca="false">F657*(1+IF(G$3&lt;=$O$2,$D657,$D657-($D657-$I$643)*MIN(G$3-$O$2,$Q$2)/$Q$2))</f>
        <v>8052.56046094301</v>
      </c>
      <c r="H657" s="15" t="n">
        <f aca="false">G657*(1+IF(H$3&lt;=$O$2,$D657,$D657-($D657-$I$643)*MIN(H$3-$O$2,$Q$2)/$Q$2))</f>
        <v>8675.27738623689</v>
      </c>
      <c r="I657" s="15" t="n">
        <f aca="false">H657*(1+IF(I$3&lt;=$O$2,$D657,$D657-($D657-$I$643)*MIN(I$3-$O$2,$Q$2)/$Q$2))</f>
        <v>9346.14997219649</v>
      </c>
      <c r="J657" s="15" t="n">
        <f aca="false">I657*(1+IF(J$3&lt;=$O$2,$D657,$D657-($D657-$I$643)*MIN(J$3-$O$2,$Q$2)/$Q$2))</f>
        <v>9977.25093957296</v>
      </c>
      <c r="K657" s="15" t="n">
        <f aca="false">J657*(1+IF(K$3&lt;=$O$2,$D657,$D657-($D657-$I$643)*MIN(K$3-$O$2,$Q$2)/$Q$2))</f>
        <v>10553.1271460551</v>
      </c>
      <c r="L657" s="15" t="n">
        <f aca="false">K657*(1+IF(L$3&lt;=$O$2,$D657,$D657-($D657-$I$643)*MIN(L$3-$O$2,$Q$2)/$Q$2))</f>
        <v>11058.755087135</v>
      </c>
      <c r="M657" s="15" t="n">
        <f aca="false">L657*(1+IF(M$3&lt;=$O$2,$D657,$D657-($D657-$I$643)*MIN(M$3-$O$2,$Q$2)/$Q$2))</f>
        <v>11480.1634211481</v>
      </c>
      <c r="N657" s="15" t="n">
        <f aca="false">M657*(1+IF(N$3&lt;=$O$2,$D657,$D657-($D657-$I$643)*MIN(N$3-$O$2,$Q$2)/$Q$2))</f>
        <v>11805.0520459666</v>
      </c>
      <c r="O657" s="15" t="n">
        <f aca="false">SUMPRODUCT(E657:N657,1/(1+$F$643)^$E$3:$N$3)*$E$2</f>
        <v>10929.0304568096</v>
      </c>
      <c r="P657" s="15" t="n">
        <f aca="false">N657*$E$2*(1+$I$643)/($F$643-$I$643)/(1+$F$643)^$N$3</f>
        <v>11677.6364226655</v>
      </c>
      <c r="Q657" s="15" t="n">
        <f aca="false">O657+P657</f>
        <v>22606.6668794752</v>
      </c>
      <c r="R657" s="15" t="n">
        <f aca="false">Q657-$G$2+$I$2</f>
        <v>17306.7668794752</v>
      </c>
      <c r="S657" s="42" t="n">
        <f aca="false">R657/$K$2</f>
        <v>147.316708201185</v>
      </c>
      <c r="T657" s="43" t="n">
        <f aca="false">S657-$M$2</f>
        <v>0.142721139557125</v>
      </c>
    </row>
    <row r="658" customFormat="false" ht="15" hidden="false" customHeight="false" outlineLevel="0" collapsed="false">
      <c r="A658" s="5" t="n">
        <v>14</v>
      </c>
      <c r="B658" s="25" t="n">
        <f aca="false">IF(T657&gt;0,B657,D657)</f>
        <v>0.0771484375</v>
      </c>
      <c r="C658" s="25" t="n">
        <f aca="false">IF(T657&gt;0,D657,C657)</f>
        <v>0.07733154296875</v>
      </c>
      <c r="D658" s="41" t="n">
        <f aca="false">(B658+C658)/2</f>
        <v>0.077239990234375</v>
      </c>
      <c r="E658" s="15" t="n">
        <f aca="false">$C$2*(1+IF(E$3&lt;=$O$2,$D658,$D658-($D658-$I$643)*MIN(E$3-$O$2,$Q$2)/$Q$2))</f>
        <v>6937.42553710938</v>
      </c>
      <c r="F658" s="15" t="n">
        <f aca="false">E658*(1+IF(F$3&lt;=$O$2,$D658,$D658-($D658-$I$643)*MIN(F$3-$O$2,$Q$2)/$Q$2))</f>
        <v>7473.27221784741</v>
      </c>
      <c r="G658" s="15" t="n">
        <f aca="false">F658*(1+IF(G$3&lt;=$O$2,$D658,$D658-($D658-$I$643)*MIN(G$3-$O$2,$Q$2)/$Q$2))</f>
        <v>8050.50769097277</v>
      </c>
      <c r="H658" s="15" t="n">
        <f aca="false">G658*(1+IF(H$3&lt;=$O$2,$D658,$D658-($D658-$I$643)*MIN(H$3-$O$2,$Q$2)/$Q$2))</f>
        <v>8672.32882640526</v>
      </c>
      <c r="I658" s="15" t="n">
        <f aca="false">H658*(1+IF(I$3&lt;=$O$2,$D658,$D658-($D658-$I$643)*MIN(I$3-$O$2,$Q$2)/$Q$2))</f>
        <v>9342.1794202661</v>
      </c>
      <c r="J658" s="15" t="n">
        <f aca="false">I658*(1+IF(J$3&lt;=$O$2,$D658,$D658-($D658-$I$643)*MIN(J$3-$O$2,$Q$2)/$Q$2))</f>
        <v>9972.32803353611</v>
      </c>
      <c r="K658" s="15" t="n">
        <f aca="false">J658*(1+IF(K$3&lt;=$O$2,$D658,$D658-($D658-$I$643)*MIN(K$3-$O$2,$Q$2)/$Q$2))</f>
        <v>10547.3722988303</v>
      </c>
      <c r="L658" s="15" t="n">
        <f aca="false">K658*(1+IF(L$3&lt;=$O$2,$D658,$D658-($D658-$I$643)*MIN(L$3-$O$2,$Q$2)/$Q$2))</f>
        <v>11052.3382538085</v>
      </c>
      <c r="M658" s="15" t="n">
        <f aca="false">L658*(1+IF(M$3&lt;=$O$2,$D658,$D658-($D658-$I$643)*MIN(M$3-$O$2,$Q$2)/$Q$2))</f>
        <v>11473.2996916329</v>
      </c>
      <c r="N658" s="15" t="n">
        <f aca="false">M658*(1+IF(N$3&lt;=$O$2,$D658,$D658-($D658-$I$643)*MIN(N$3-$O$2,$Q$2)/$Q$2))</f>
        <v>11797.9940729061</v>
      </c>
      <c r="O658" s="15" t="n">
        <f aca="false">SUMPRODUCT(E658:N658,1/(1+$F$643)^$E$3:$N$3)*$E$2</f>
        <v>10924.7597540064</v>
      </c>
      <c r="P658" s="15" t="n">
        <f aca="false">N658*$E$2*(1+$I$643)/($F$643-$I$643)/(1+$F$643)^$N$3</f>
        <v>11670.6546285184</v>
      </c>
      <c r="Q658" s="15" t="n">
        <f aca="false">O658+P658</f>
        <v>22595.4143825248</v>
      </c>
      <c r="R658" s="15" t="n">
        <f aca="false">Q658-$G$2+$I$2</f>
        <v>17295.5143825247</v>
      </c>
      <c r="S658" s="42" t="n">
        <f aca="false">R658/$K$2</f>
        <v>147.220925966333</v>
      </c>
      <c r="T658" s="43" t="n">
        <f aca="false">S658-$M$2</f>
        <v>0.0469389047050299</v>
      </c>
    </row>
    <row r="659" customFormat="false" ht="15" hidden="false" customHeight="false" outlineLevel="0" collapsed="false">
      <c r="A659" s="5" t="n">
        <v>15</v>
      </c>
      <c r="B659" s="25" t="n">
        <f aca="false">IF(T658&gt;0,B658,D658)</f>
        <v>0.0771484375</v>
      </c>
      <c r="C659" s="25" t="n">
        <f aca="false">IF(T658&gt;0,D658,C658)</f>
        <v>0.077239990234375</v>
      </c>
      <c r="D659" s="41" t="n">
        <f aca="false">(B659+C659)/2</f>
        <v>0.0771942138671875</v>
      </c>
      <c r="E659" s="15" t="n">
        <f aca="false">$C$2*(1+IF(E$3&lt;=$O$2,$D659,$D659-($D659-$I$643)*MIN(E$3-$O$2,$Q$2)/$Q$2))</f>
        <v>6937.13073730469</v>
      </c>
      <c r="F659" s="15" t="n">
        <f aca="false">E659*(1+IF(F$3&lt;=$O$2,$D659,$D659-($D659-$I$643)*MIN(F$3-$O$2,$Q$2)/$Q$2))</f>
        <v>7472.63709106483</v>
      </c>
      <c r="G659" s="15" t="n">
        <f aca="false">F659*(1+IF(G$3&lt;=$O$2,$D659,$D659-($D659-$I$643)*MIN(G$3-$O$2,$Q$2)/$Q$2))</f>
        <v>8049.48143682436</v>
      </c>
      <c r="H659" s="15" t="n">
        <f aca="false">G659*(1+IF(H$3&lt;=$O$2,$D659,$D659-($D659-$I$643)*MIN(H$3-$O$2,$Q$2)/$Q$2))</f>
        <v>8670.85482837854</v>
      </c>
      <c r="I659" s="15" t="n">
        <f aca="false">H659*(1+IF(I$3&lt;=$O$2,$D659,$D659-($D659-$I$643)*MIN(I$3-$O$2,$Q$2)/$Q$2))</f>
        <v>9340.19465041172</v>
      </c>
      <c r="J659" s="15" t="n">
        <f aca="false">I659*(1+IF(J$3&lt;=$O$2,$D659,$D659-($D659-$I$643)*MIN(J$3-$O$2,$Q$2)/$Q$2))</f>
        <v>9969.86733885709</v>
      </c>
      <c r="K659" s="15" t="n">
        <f aca="false">J659*(1+IF(K$3&lt;=$O$2,$D659,$D659-($D659-$I$643)*MIN(K$3-$O$2,$Q$2)/$Q$2))</f>
        <v>10544.4958800829</v>
      </c>
      <c r="L659" s="15" t="n">
        <f aca="false">K659*(1+IF(L$3&lt;=$O$2,$D659,$D659-($D659-$I$643)*MIN(L$3-$O$2,$Q$2)/$Q$2))</f>
        <v>11049.1310481622</v>
      </c>
      <c r="M659" s="15" t="n">
        <f aca="false">L659*(1+IF(M$3&lt;=$O$2,$D659,$D659-($D659-$I$643)*MIN(M$3-$O$2,$Q$2)/$Q$2))</f>
        <v>11469.8691721283</v>
      </c>
      <c r="N659" s="15" t="n">
        <f aca="false">M659*(1+IF(N$3&lt;=$O$2,$D659,$D659-($D659-$I$643)*MIN(N$3-$O$2,$Q$2)/$Q$2))</f>
        <v>11794.4664696995</v>
      </c>
      <c r="O659" s="15" t="n">
        <f aca="false">SUMPRODUCT(E659:N659,1/(1+$F$643)^$E$3:$N$3)*$E$2</f>
        <v>10922.6250322444</v>
      </c>
      <c r="P659" s="15" t="n">
        <f aca="false">N659*$E$2*(1+$I$643)/($F$643-$I$643)/(1+$F$643)^$N$3</f>
        <v>11667.1650998378</v>
      </c>
      <c r="Q659" s="15" t="n">
        <f aca="false">O659+P659</f>
        <v>22589.7901320822</v>
      </c>
      <c r="R659" s="15" t="n">
        <f aca="false">Q659-$G$2+$I$2</f>
        <v>17289.8901320822</v>
      </c>
      <c r="S659" s="42" t="n">
        <f aca="false">R659/$K$2</f>
        <v>147.173051856335</v>
      </c>
      <c r="T659" s="43" t="n">
        <f aca="false">S659-$M$2</f>
        <v>-0.000935205292734054</v>
      </c>
    </row>
    <row r="660" customFormat="false" ht="15" hidden="false" customHeight="false" outlineLevel="0" collapsed="false">
      <c r="A660" s="5" t="n">
        <v>16</v>
      </c>
      <c r="B660" s="25" t="n">
        <f aca="false">IF(T659&gt;0,B659,D659)</f>
        <v>0.0771942138671875</v>
      </c>
      <c r="C660" s="25" t="n">
        <f aca="false">IF(T659&gt;0,D659,C659)</f>
        <v>0.077239990234375</v>
      </c>
      <c r="D660" s="41" t="n">
        <f aca="false">(B660+C660)/2</f>
        <v>0.0772171020507813</v>
      </c>
      <c r="E660" s="15" t="n">
        <f aca="false">$C$2*(1+IF(E$3&lt;=$O$2,$D660,$D660-($D660-$I$643)*MIN(E$3-$O$2,$Q$2)/$Q$2))</f>
        <v>6937.27813720703</v>
      </c>
      <c r="F660" s="15" t="n">
        <f aca="false">E660*(1+IF(F$3&lt;=$O$2,$D660,$D660-($D660-$I$643)*MIN(F$3-$O$2,$Q$2)/$Q$2))</f>
        <v>7472.9546510824</v>
      </c>
      <c r="G660" s="15" t="n">
        <f aca="false">F660*(1+IF(G$3&lt;=$O$2,$D660,$D660-($D660-$I$643)*MIN(G$3-$O$2,$Q$2)/$Q$2))</f>
        <v>8049.99455299589</v>
      </c>
      <c r="H660" s="15" t="n">
        <f aca="false">G660*(1+IF(H$3&lt;=$O$2,$D660,$D660-($D660-$I$643)*MIN(H$3-$O$2,$Q$2)/$Q$2))</f>
        <v>8671.59180390281</v>
      </c>
      <c r="I660" s="15" t="n">
        <f aca="false">H660*(1+IF(I$3&lt;=$O$2,$D660,$D660-($D660-$I$643)*MIN(I$3-$O$2,$Q$2)/$Q$2))</f>
        <v>9341.18699316749</v>
      </c>
      <c r="J660" s="15" t="n">
        <f aca="false">I660*(1+IF(J$3&lt;=$O$2,$D660,$D660-($D660-$I$643)*MIN(J$3-$O$2,$Q$2)/$Q$2))</f>
        <v>9971.09762301029</v>
      </c>
      <c r="K660" s="15" t="n">
        <f aca="false">J660*(1+IF(K$3&lt;=$O$2,$D660,$D660-($D660-$I$643)*MIN(K$3-$O$2,$Q$2)/$Q$2))</f>
        <v>10545.9340057313</v>
      </c>
      <c r="L660" s="15" t="n">
        <f aca="false">K660*(1+IF(L$3&lt;=$O$2,$D660,$D660-($D660-$I$643)*MIN(L$3-$O$2,$Q$2)/$Q$2))</f>
        <v>11050.7345500852</v>
      </c>
      <c r="M660" s="15" t="n">
        <f aca="false">L660*(1+IF(M$3&lt;=$O$2,$D660,$D660-($D660-$I$643)*MIN(M$3-$O$2,$Q$2)/$Q$2))</f>
        <v>11471.5843197971</v>
      </c>
      <c r="N660" s="15" t="n">
        <f aca="false">M660*(1+IF(N$3&lt;=$O$2,$D660,$D660-($D660-$I$643)*MIN(N$3-$O$2,$Q$2)/$Q$2))</f>
        <v>11796.2301560474</v>
      </c>
      <c r="O660" s="15" t="n">
        <f aca="false">SUMPRODUCT(E660:N660,1/(1+$F$643)^$E$3:$N$3)*$E$2</f>
        <v>10923.6923406634</v>
      </c>
      <c r="P660" s="15" t="n">
        <f aca="false">N660*$E$2*(1+$I$643)/($F$643-$I$643)/(1+$F$643)^$N$3</f>
        <v>11668.9097501667</v>
      </c>
      <c r="Q660" s="15" t="n">
        <f aca="false">O660+P660</f>
        <v>22592.6020908301</v>
      </c>
      <c r="R660" s="15" t="n">
        <f aca="false">Q660-$G$2+$I$2</f>
        <v>17292.7020908301</v>
      </c>
      <c r="S660" s="42" t="n">
        <f aca="false">R660/$K$2</f>
        <v>147.196987494298</v>
      </c>
      <c r="T660" s="43" t="n">
        <f aca="false">S660-$M$2</f>
        <v>0.0230004326702726</v>
      </c>
    </row>
    <row r="661" customFormat="false" ht="15" hidden="false" customHeight="false" outlineLevel="0" collapsed="false">
      <c r="A661" s="5" t="n">
        <v>17</v>
      </c>
      <c r="B661" s="25" t="n">
        <f aca="false">IF(T660&gt;0,B660,D660)</f>
        <v>0.0771942138671875</v>
      </c>
      <c r="C661" s="25" t="n">
        <f aca="false">IF(T660&gt;0,D660,C660)</f>
        <v>0.0772171020507813</v>
      </c>
      <c r="D661" s="41" t="n">
        <f aca="false">(B661+C661)/2</f>
        <v>0.0772056579589844</v>
      </c>
      <c r="E661" s="15" t="n">
        <f aca="false">$C$2*(1+IF(E$3&lt;=$O$2,$D661,$D661-($D661-$I$643)*MIN(E$3-$O$2,$Q$2)/$Q$2))</f>
        <v>6937.20443725586</v>
      </c>
      <c r="F661" s="15" t="n">
        <f aca="false">E661*(1+IF(F$3&lt;=$O$2,$D661,$D661-($D661-$I$643)*MIN(F$3-$O$2,$Q$2)/$Q$2))</f>
        <v>7472.79587023018</v>
      </c>
      <c r="G661" s="15" t="n">
        <f aca="false">F661*(1+IF(G$3&lt;=$O$2,$D661,$D661-($D661-$I$643)*MIN(G$3-$O$2,$Q$2)/$Q$2))</f>
        <v>8049.73799218449</v>
      </c>
      <c r="H661" s="15" t="n">
        <f aca="false">G661*(1+IF(H$3&lt;=$O$2,$D661,$D661-($D661-$I$643)*MIN(H$3-$O$2,$Q$2)/$Q$2))</f>
        <v>8671.22331026852</v>
      </c>
      <c r="I661" s="15" t="n">
        <f aca="false">H661*(1+IF(I$3&lt;=$O$2,$D661,$D661-($D661-$I$643)*MIN(I$3-$O$2,$Q$2)/$Q$2))</f>
        <v>9340.69081124709</v>
      </c>
      <c r="J661" s="15" t="n">
        <f aca="false">I661*(1+IF(J$3&lt;=$O$2,$D661,$D661-($D661-$I$643)*MIN(J$3-$O$2,$Q$2)/$Q$2))</f>
        <v>9970.48246513776</v>
      </c>
      <c r="K661" s="15" t="n">
        <f aca="false">J661*(1+IF(K$3&lt;=$O$2,$D661,$D661-($D661-$I$643)*MIN(K$3-$O$2,$Q$2)/$Q$2))</f>
        <v>10545.2149219768</v>
      </c>
      <c r="L661" s="15" t="n">
        <f aca="false">K661*(1+IF(L$3&lt;=$O$2,$D661,$D661-($D661-$I$643)*MIN(L$3-$O$2,$Q$2)/$Q$2))</f>
        <v>11049.9327739</v>
      </c>
      <c r="M661" s="15" t="n">
        <f aca="false">L661*(1+IF(M$3&lt;=$O$2,$D661,$D661-($D661-$I$643)*MIN(M$3-$O$2,$Q$2)/$Q$2))</f>
        <v>11470.7267179434</v>
      </c>
      <c r="N661" s="15" t="n">
        <f aca="false">M661*(1+IF(N$3&lt;=$O$2,$D661,$D661-($D661-$I$643)*MIN(N$3-$O$2,$Q$2)/$Q$2))</f>
        <v>11795.3482840612</v>
      </c>
      <c r="O661" s="15" t="n">
        <f aca="false">SUMPRODUCT(E661:N661,1/(1+$F$643)^$E$3:$N$3)*$E$2</f>
        <v>10923.158673339</v>
      </c>
      <c r="P661" s="15" t="n">
        <f aca="false">N661*$E$2*(1+$I$643)/($F$643-$I$643)/(1+$F$643)^$N$3</f>
        <v>11668.037396501</v>
      </c>
      <c r="Q661" s="15" t="n">
        <f aca="false">O661+P661</f>
        <v>22591.19606984</v>
      </c>
      <c r="R661" s="15" t="n">
        <f aca="false">Q661-$G$2+$I$2</f>
        <v>17291.29606984</v>
      </c>
      <c r="S661" s="42" t="n">
        <f aca="false">R661/$K$2</f>
        <v>147.185019321076</v>
      </c>
      <c r="T661" s="43" t="n">
        <f aca="false">S661-$M$2</f>
        <v>0.0110322594485126</v>
      </c>
    </row>
    <row r="662" customFormat="false" ht="15" hidden="false" customHeight="false" outlineLevel="0" collapsed="false">
      <c r="A662" s="5" t="n">
        <v>18</v>
      </c>
      <c r="B662" s="25" t="n">
        <f aca="false">IF(T661&gt;0,B661,D661)</f>
        <v>0.0771942138671875</v>
      </c>
      <c r="C662" s="25" t="n">
        <f aca="false">IF(T661&gt;0,D661,C661)</f>
        <v>0.0772056579589844</v>
      </c>
      <c r="D662" s="41" t="n">
        <f aca="false">(B662+C662)/2</f>
        <v>0.0771999359130859</v>
      </c>
      <c r="E662" s="15" t="n">
        <f aca="false">$C$2*(1+IF(E$3&lt;=$O$2,$D662,$D662-($D662-$I$643)*MIN(E$3-$O$2,$Q$2)/$Q$2))</f>
        <v>6937.16758728027</v>
      </c>
      <c r="F662" s="15" t="n">
        <f aca="false">E662*(1+IF(F$3&lt;=$O$2,$D662,$D662-($D662-$I$643)*MIN(F$3-$O$2,$Q$2)/$Q$2))</f>
        <v>7472.71648043665</v>
      </c>
      <c r="G662" s="15" t="n">
        <f aca="false">F662*(1+IF(G$3&lt;=$O$2,$D662,$D662-($D662-$I$643)*MIN(G$3-$O$2,$Q$2)/$Q$2))</f>
        <v>8049.60971382302</v>
      </c>
      <c r="H662" s="15" t="n">
        <f aca="false">G662*(1+IF(H$3&lt;=$O$2,$D662,$D662-($D662-$I$643)*MIN(H$3-$O$2,$Q$2)/$Q$2))</f>
        <v>8671.03906785551</v>
      </c>
      <c r="I662" s="15" t="n">
        <f aca="false">H662*(1+IF(I$3&lt;=$O$2,$D662,$D662-($D662-$I$643)*MIN(I$3-$O$2,$Q$2)/$Q$2))</f>
        <v>9340.44272819382</v>
      </c>
      <c r="J662" s="15" t="n">
        <f aca="false">I662*(1+IF(J$3&lt;=$O$2,$D662,$D662-($D662-$I$643)*MIN(J$3-$O$2,$Q$2)/$Q$2))</f>
        <v>9970.17489804853</v>
      </c>
      <c r="K662" s="15" t="n">
        <f aca="false">J662*(1+IF(K$3&lt;=$O$2,$D662,$D662-($D662-$I$643)*MIN(K$3-$O$2,$Q$2)/$Q$2))</f>
        <v>10544.8553957974</v>
      </c>
      <c r="L662" s="15" t="n">
        <f aca="false">K662*(1+IF(L$3&lt;=$O$2,$D662,$D662-($D662-$I$643)*MIN(L$3-$O$2,$Q$2)/$Q$2))</f>
        <v>11049.5319047254</v>
      </c>
      <c r="M662" s="15" t="n">
        <f aca="false">L662*(1+IF(M$3&lt;=$O$2,$D662,$D662-($D662-$I$643)*MIN(M$3-$O$2,$Q$2)/$Q$2))</f>
        <v>11470.2979380312</v>
      </c>
      <c r="N662" s="15" t="n">
        <f aca="false">M662*(1+IF(N$3&lt;=$O$2,$D662,$D662-($D662-$I$643)*MIN(N$3-$O$2,$Q$2)/$Q$2))</f>
        <v>11794.9073696775</v>
      </c>
      <c r="O662" s="15" t="n">
        <f aca="false">SUMPRODUCT(E662:N662,1/(1+$F$643)^$E$3:$N$3)*$E$2</f>
        <v>10922.8918495131</v>
      </c>
      <c r="P662" s="15" t="n">
        <f aca="false">N662*$E$2*(1+$I$643)/($F$643-$I$643)/(1+$F$643)^$N$3</f>
        <v>11667.6012410443</v>
      </c>
      <c r="Q662" s="15" t="n">
        <f aca="false">O662+P662</f>
        <v>22590.4930905574</v>
      </c>
      <c r="R662" s="15" t="n">
        <f aca="false">Q662-$G$2+$I$2</f>
        <v>17290.5930905574</v>
      </c>
      <c r="S662" s="42" t="n">
        <f aca="false">R662/$K$2</f>
        <v>147.179035500148</v>
      </c>
      <c r="T662" s="43" t="n">
        <f aca="false">S662-$M$2</f>
        <v>0.00504843852021963</v>
      </c>
    </row>
    <row r="663" customFormat="false" ht="15" hidden="false" customHeight="false" outlineLevel="0" collapsed="false">
      <c r="A663" s="5" t="n">
        <v>19</v>
      </c>
      <c r="B663" s="25" t="n">
        <f aca="false">IF(T662&gt;0,B662,D662)</f>
        <v>0.0771942138671875</v>
      </c>
      <c r="C663" s="25" t="n">
        <f aca="false">IF(T662&gt;0,D662,C662)</f>
        <v>0.0771999359130859</v>
      </c>
      <c r="D663" s="41" t="n">
        <f aca="false">(B663+C663)/2</f>
        <v>0.0771970748901367</v>
      </c>
      <c r="E663" s="15" t="n">
        <f aca="false">$C$2*(1+IF(E$3&lt;=$O$2,$D663,$D663-($D663-$I$643)*MIN(E$3-$O$2,$Q$2)/$Q$2))</f>
        <v>6937.14916229248</v>
      </c>
      <c r="F663" s="15" t="n">
        <f aca="false">E663*(1+IF(F$3&lt;=$O$2,$D663,$D663-($D663-$I$643)*MIN(F$3-$O$2,$Q$2)/$Q$2))</f>
        <v>7472.67678569802</v>
      </c>
      <c r="G663" s="15" t="n">
        <f aca="false">F663*(1+IF(G$3&lt;=$O$2,$D663,$D663-($D663-$I$643)*MIN(G$3-$O$2,$Q$2)/$Q$2))</f>
        <v>8049.54557515334</v>
      </c>
      <c r="H663" s="15" t="n">
        <f aca="false">G663*(1+IF(H$3&lt;=$O$2,$D663,$D663-($D663-$I$643)*MIN(H$3-$O$2,$Q$2)/$Q$2))</f>
        <v>8670.94694775002</v>
      </c>
      <c r="I663" s="15" t="n">
        <f aca="false">H663*(1+IF(I$3&lt;=$O$2,$D663,$D663-($D663-$I$643)*MIN(I$3-$O$2,$Q$2)/$Q$2))</f>
        <v>9340.31868864388</v>
      </c>
      <c r="J663" s="15" t="n">
        <f aca="false">I663*(1+IF(J$3&lt;=$O$2,$D663,$D663-($D663-$I$643)*MIN(J$3-$O$2,$Q$2)/$Q$2))</f>
        <v>9970.02111746559</v>
      </c>
      <c r="K663" s="15" t="n">
        <f aca="false">J663*(1+IF(K$3&lt;=$O$2,$D663,$D663-($D663-$I$643)*MIN(K$3-$O$2,$Q$2)/$Q$2))</f>
        <v>10544.675636632</v>
      </c>
      <c r="L663" s="15" t="n">
        <f aca="false">K663*(1+IF(L$3&lt;=$O$2,$D663,$D663-($D663-$I$643)*MIN(L$3-$O$2,$Q$2)/$Q$2))</f>
        <v>11049.3314748674</v>
      </c>
      <c r="M663" s="15" t="n">
        <f aca="false">L663*(1+IF(M$3&lt;=$O$2,$D663,$D663-($D663-$I$643)*MIN(M$3-$O$2,$Q$2)/$Q$2))</f>
        <v>11470.0835533286</v>
      </c>
      <c r="N663" s="15" t="n">
        <f aca="false">M663*(1+IF(N$3&lt;=$O$2,$D663,$D663-($D663-$I$643)*MIN(N$3-$O$2,$Q$2)/$Q$2))</f>
        <v>11794.6869178878</v>
      </c>
      <c r="O663" s="15" t="n">
        <f aca="false">SUMPRODUCT(E663:N663,1/(1+$F$643)^$E$3:$N$3)*$E$2</f>
        <v>10922.7584400591</v>
      </c>
      <c r="P663" s="15" t="n">
        <f aca="false">N663*$E$2*(1+$I$643)/($F$643-$I$643)/(1+$F$643)^$N$3</f>
        <v>11667.3831686598</v>
      </c>
      <c r="Q663" s="15" t="n">
        <f aca="false">O663+P663</f>
        <v>22590.1416087189</v>
      </c>
      <c r="R663" s="15" t="n">
        <f aca="false">Q663-$G$2+$I$2</f>
        <v>17290.2416087189</v>
      </c>
      <c r="S663" s="42" t="n">
        <f aca="false">R663/$K$2</f>
        <v>147.176043656102</v>
      </c>
      <c r="T663" s="43" t="n">
        <f aca="false">S663-$M$2</f>
        <v>0.00205659447459539</v>
      </c>
    </row>
    <row r="664" customFormat="false" ht="15" hidden="false" customHeight="false" outlineLevel="0" collapsed="false">
      <c r="A664" s="5" t="n">
        <v>20</v>
      </c>
      <c r="B664" s="25" t="n">
        <f aca="false">IF(T663&gt;0,B663,D663)</f>
        <v>0.0771942138671875</v>
      </c>
      <c r="C664" s="25" t="n">
        <f aca="false">IF(T663&gt;0,D663,C663)</f>
        <v>0.0771970748901367</v>
      </c>
      <c r="D664" s="41" t="n">
        <f aca="false">(B664+C664)/2</f>
        <v>0.0771956443786621</v>
      </c>
      <c r="E664" s="15" t="n">
        <f aca="false">$C$2*(1+IF(E$3&lt;=$O$2,$D664,$D664-($D664-$I$643)*MIN(E$3-$O$2,$Q$2)/$Q$2))</f>
        <v>6937.13994979858</v>
      </c>
      <c r="F664" s="15" t="n">
        <f aca="false">E664*(1+IF(F$3&lt;=$O$2,$D664,$D664-($D664-$I$643)*MIN(F$3-$O$2,$Q$2)/$Q$2))</f>
        <v>7472.65693836825</v>
      </c>
      <c r="G664" s="15" t="n">
        <f aca="false">F664*(1+IF(G$3&lt;=$O$2,$D664,$D664-($D664-$I$643)*MIN(G$3-$O$2,$Q$2)/$Q$2))</f>
        <v>8049.51350594626</v>
      </c>
      <c r="H664" s="15" t="n">
        <f aca="false">G664*(1+IF(H$3&lt;=$O$2,$D664,$D664-($D664-$I$643)*MIN(H$3-$O$2,$Q$2)/$Q$2))</f>
        <v>8670.90088797253</v>
      </c>
      <c r="I664" s="15" t="n">
        <f aca="false">H664*(1+IF(I$3&lt;=$O$2,$D664,$D664-($D664-$I$643)*MIN(I$3-$O$2,$Q$2)/$Q$2))</f>
        <v>9340.25666936308</v>
      </c>
      <c r="J664" s="15" t="n">
        <f aca="false">I664*(1+IF(J$3&lt;=$O$2,$D664,$D664-($D664-$I$643)*MIN(J$3-$O$2,$Q$2)/$Q$2))</f>
        <v>9969.94422791454</v>
      </c>
      <c r="K664" s="15" t="n">
        <f aca="false">J664*(1+IF(K$3&lt;=$O$2,$D664,$D664-($D664-$I$643)*MIN(K$3-$O$2,$Q$2)/$Q$2))</f>
        <v>10544.5857580304</v>
      </c>
      <c r="L664" s="15" t="n">
        <f aca="false">K664*(1+IF(L$3&lt;=$O$2,$D664,$D664-($D664-$I$643)*MIN(L$3-$O$2,$Q$2)/$Q$2))</f>
        <v>11049.2312611207</v>
      </c>
      <c r="M664" s="15" t="n">
        <f aca="false">L664*(1+IF(M$3&lt;=$O$2,$D664,$D664-($D664-$I$643)*MIN(M$3-$O$2,$Q$2)/$Q$2))</f>
        <v>11469.9763622907</v>
      </c>
      <c r="N664" s="15" t="n">
        <f aca="false">M664*(1+IF(N$3&lt;=$O$2,$D664,$D664-($D664-$I$643)*MIN(N$3-$O$2,$Q$2)/$Q$2))</f>
        <v>11794.5766933435</v>
      </c>
      <c r="O664" s="15" t="n">
        <f aca="false">SUMPRODUCT(E664:N664,1/(1+$F$643)^$E$3:$N$3)*$E$2</f>
        <v>10922.6917359468</v>
      </c>
      <c r="P664" s="15" t="n">
        <f aca="false">N664*$E$2*(1+$I$643)/($F$643-$I$643)/(1+$F$643)^$N$3</f>
        <v>11667.2741338035</v>
      </c>
      <c r="Q664" s="15" t="n">
        <f aca="false">O664+P664</f>
        <v>22589.9658697503</v>
      </c>
      <c r="R664" s="15" t="n">
        <f aca="false">Q664-$G$2+$I$2</f>
        <v>17290.0658697503</v>
      </c>
      <c r="S664" s="42" t="n">
        <f aca="false">R664/$K$2</f>
        <v>147.174547750684</v>
      </c>
      <c r="T664" s="43" t="n">
        <f aca="false">S664-$M$2</f>
        <v>0.000560689056214869</v>
      </c>
    </row>
    <row r="665" customFormat="false" ht="15" hidden="false" customHeight="false" outlineLevel="0" collapsed="false">
      <c r="A665" s="5" t="n">
        <v>21</v>
      </c>
      <c r="B665" s="25" t="n">
        <f aca="false">IF(T664&gt;0,B664,D664)</f>
        <v>0.0771942138671875</v>
      </c>
      <c r="C665" s="25" t="n">
        <f aca="false">IF(T664&gt;0,D664,C664)</f>
        <v>0.0771956443786621</v>
      </c>
      <c r="D665" s="41" t="n">
        <f aca="false">(B665+C665)/2</f>
        <v>0.0771949291229248</v>
      </c>
      <c r="E665" s="15" t="n">
        <f aca="false">$C$2*(1+IF(E$3&lt;=$O$2,$D665,$D665-($D665-$I$643)*MIN(E$3-$O$2,$Q$2)/$Q$2))</f>
        <v>6937.13534355164</v>
      </c>
      <c r="F665" s="15" t="n">
        <f aca="false">E665*(1+IF(F$3&lt;=$O$2,$D665,$D665-($D665-$I$643)*MIN(F$3-$O$2,$Q$2)/$Q$2))</f>
        <v>7472.64701471324</v>
      </c>
      <c r="G665" s="15" t="n">
        <f aca="false">F665*(1+IF(G$3&lt;=$O$2,$D665,$D665-($D665-$I$643)*MIN(G$3-$O$2,$Q$2)/$Q$2))</f>
        <v>8049.49747137466</v>
      </c>
      <c r="H665" s="15" t="n">
        <f aca="false">G665*(1+IF(H$3&lt;=$O$2,$D665,$D665-($D665-$I$643)*MIN(H$3-$O$2,$Q$2)/$Q$2))</f>
        <v>8670.87785815259</v>
      </c>
      <c r="I665" s="15" t="n">
        <f aca="false">H665*(1+IF(I$3&lt;=$O$2,$D665,$D665-($D665-$I$643)*MIN(I$3-$O$2,$Q$2)/$Q$2))</f>
        <v>9340.22565984622</v>
      </c>
      <c r="J665" s="15" t="n">
        <f aca="false">I665*(1+IF(J$3&lt;=$O$2,$D665,$D665-($D665-$I$643)*MIN(J$3-$O$2,$Q$2)/$Q$2))</f>
        <v>9969.90578332411</v>
      </c>
      <c r="K665" s="15" t="n">
        <f aca="false">J665*(1+IF(K$3&lt;=$O$2,$D665,$D665-($D665-$I$643)*MIN(K$3-$O$2,$Q$2)/$Q$2))</f>
        <v>10544.5408189749</v>
      </c>
      <c r="L665" s="15" t="n">
        <f aca="false">K665*(1+IF(L$3&lt;=$O$2,$D665,$D665-($D665-$I$643)*MIN(L$3-$O$2,$Q$2)/$Q$2))</f>
        <v>11049.1811545429</v>
      </c>
      <c r="M665" s="15" t="n">
        <f aca="false">L665*(1+IF(M$3&lt;=$O$2,$D665,$D665-($D665-$I$643)*MIN(M$3-$O$2,$Q$2)/$Q$2))</f>
        <v>11469.9227671</v>
      </c>
      <c r="N665" s="15" t="n">
        <f aca="false">M665*(1+IF(N$3&lt;=$O$2,$D665,$D665-($D665-$I$643)*MIN(N$3-$O$2,$Q$2)/$Q$2))</f>
        <v>11794.521581409</v>
      </c>
      <c r="O665" s="15" t="n">
        <f aca="false">SUMPRODUCT(E665:N665,1/(1+$F$643)^$E$3:$N$3)*$E$2</f>
        <v>10922.6583840444</v>
      </c>
      <c r="P665" s="15" t="n">
        <f aca="false">N665*$E$2*(1+$I$643)/($F$643-$I$643)/(1+$F$643)^$N$3</f>
        <v>11667.2196167093</v>
      </c>
      <c r="Q665" s="15" t="n">
        <f aca="false">O665+P665</f>
        <v>22589.8780007537</v>
      </c>
      <c r="R665" s="15" t="n">
        <f aca="false">Q665-$G$2+$I$2</f>
        <v>17289.9780007537</v>
      </c>
      <c r="S665" s="42" t="n">
        <f aca="false">R665/$K$2</f>
        <v>147.173799802126</v>
      </c>
      <c r="T665" s="43" t="n">
        <f aca="false">S665-$M$2</f>
        <v>-0.000187259502013148</v>
      </c>
    </row>
    <row r="666" customFormat="false" ht="15" hidden="false" customHeight="false" outlineLevel="0" collapsed="false">
      <c r="A666" s="5" t="n">
        <v>22</v>
      </c>
      <c r="B666" s="25" t="n">
        <f aca="false">IF(T665&gt;0,B665,D665)</f>
        <v>0.0771949291229248</v>
      </c>
      <c r="C666" s="25" t="n">
        <f aca="false">IF(T665&gt;0,D665,C665)</f>
        <v>0.0771956443786621</v>
      </c>
      <c r="D666" s="41" t="n">
        <f aca="false">(B666+C666)/2</f>
        <v>0.0771952867507935</v>
      </c>
      <c r="E666" s="15" t="n">
        <f aca="false">$C$2*(1+IF(E$3&lt;=$O$2,$D666,$D666-($D666-$I$643)*MIN(E$3-$O$2,$Q$2)/$Q$2))</f>
        <v>6937.13764667511</v>
      </c>
      <c r="F666" s="15" t="n">
        <f aca="false">E666*(1+IF(F$3&lt;=$O$2,$D666,$D666-($D666-$I$643)*MIN(F$3-$O$2,$Q$2)/$Q$2))</f>
        <v>7472.65197653992</v>
      </c>
      <c r="G666" s="15" t="n">
        <f aca="false">F666*(1+IF(G$3&lt;=$O$2,$D666,$D666-($D666-$I$643)*MIN(G$3-$O$2,$Q$2)/$Q$2))</f>
        <v>8049.5054886578</v>
      </c>
      <c r="H666" s="15" t="n">
        <f aca="false">G666*(1+IF(H$3&lt;=$O$2,$D666,$D666-($D666-$I$643)*MIN(H$3-$O$2,$Q$2)/$Q$2))</f>
        <v>8670.88937305683</v>
      </c>
      <c r="I666" s="15" t="n">
        <f aca="false">H666*(1+IF(I$3&lt;=$O$2,$D666,$D666-($D666-$I$643)*MIN(I$3-$O$2,$Q$2)/$Q$2))</f>
        <v>9340.24116459436</v>
      </c>
      <c r="J666" s="15" t="n">
        <f aca="false">I666*(1+IF(J$3&lt;=$O$2,$D666,$D666-($D666-$I$643)*MIN(J$3-$O$2,$Q$2)/$Q$2))</f>
        <v>9969.9250056039</v>
      </c>
      <c r="K666" s="15" t="n">
        <f aca="false">J666*(1+IF(K$3&lt;=$O$2,$D666,$D666-($D666-$I$643)*MIN(K$3-$O$2,$Q$2)/$Q$2))</f>
        <v>10544.5632884822</v>
      </c>
      <c r="L666" s="15" t="n">
        <f aca="false">K666*(1+IF(L$3&lt;=$O$2,$D666,$D666-($D666-$I$643)*MIN(L$3-$O$2,$Q$2)/$Q$2))</f>
        <v>11049.2062078072</v>
      </c>
      <c r="M666" s="15" t="n">
        <f aca="false">L666*(1+IF(M$3&lt;=$O$2,$D666,$D666-($D666-$I$643)*MIN(M$3-$O$2,$Q$2)/$Q$2))</f>
        <v>11469.949564668</v>
      </c>
      <c r="N666" s="15" t="n">
        <f aca="false">M666*(1+IF(N$3&lt;=$O$2,$D666,$D666-($D666-$I$643)*MIN(N$3-$O$2,$Q$2)/$Q$2))</f>
        <v>11794.5491373481</v>
      </c>
      <c r="O666" s="15" t="n">
        <f aca="false">SUMPRODUCT(E666:N666,1/(1+$F$643)^$E$3:$N$3)*$E$2</f>
        <v>10922.6750599828</v>
      </c>
      <c r="P666" s="15" t="n">
        <f aca="false">N666*$E$2*(1+$I$643)/($F$643-$I$643)/(1+$F$643)^$N$3</f>
        <v>11667.2468752286</v>
      </c>
      <c r="Q666" s="15" t="n">
        <f aca="false">O666+P666</f>
        <v>22589.9219352114</v>
      </c>
      <c r="R666" s="15" t="n">
        <f aca="false">Q666-$G$2+$I$2</f>
        <v>17290.0219352114</v>
      </c>
      <c r="S666" s="42" t="n">
        <f aca="false">R666/$K$2</f>
        <v>147.174173776059</v>
      </c>
      <c r="T666" s="43" t="n">
        <f aca="false">S666-$M$2</f>
        <v>0.000186714431180235</v>
      </c>
    </row>
    <row r="667" customFormat="false" ht="15" hidden="false" customHeight="false" outlineLevel="0" collapsed="false">
      <c r="A667" s="5" t="n">
        <v>23</v>
      </c>
      <c r="B667" s="25" t="n">
        <f aca="false">IF(T666&gt;0,B666,D666)</f>
        <v>0.0771949291229248</v>
      </c>
      <c r="C667" s="25" t="n">
        <f aca="false">IF(T666&gt;0,D666,C666)</f>
        <v>0.0771952867507935</v>
      </c>
      <c r="D667" s="41" t="n">
        <f aca="false">(B667+C667)/2</f>
        <v>0.0771951079368591</v>
      </c>
      <c r="E667" s="15" t="n">
        <f aca="false">$C$2*(1+IF(E$3&lt;=$O$2,$D667,$D667-($D667-$I$643)*MIN(E$3-$O$2,$Q$2)/$Q$2))</f>
        <v>6937.13649511337</v>
      </c>
      <c r="F667" s="15" t="n">
        <f aca="false">E667*(1+IF(F$3&lt;=$O$2,$D667,$D667-($D667-$I$643)*MIN(F$3-$O$2,$Q$2)/$Q$2))</f>
        <v>7472.64949562637</v>
      </c>
      <c r="G667" s="15" t="n">
        <f aca="false">F667*(1+IF(G$3&lt;=$O$2,$D667,$D667-($D667-$I$643)*MIN(G$3-$O$2,$Q$2)/$Q$2))</f>
        <v>8049.50148001557</v>
      </c>
      <c r="H667" s="15" t="n">
        <f aca="false">G667*(1+IF(H$3&lt;=$O$2,$D667,$D667-($D667-$I$643)*MIN(H$3-$O$2,$Q$2)/$Q$2))</f>
        <v>8670.88361560328</v>
      </c>
      <c r="I667" s="15" t="n">
        <f aca="false">H667*(1+IF(I$3&lt;=$O$2,$D667,$D667-($D667-$I$643)*MIN(I$3-$O$2,$Q$2)/$Q$2))</f>
        <v>9340.23341221772</v>
      </c>
      <c r="J667" s="15" t="n">
        <f aca="false">I667*(1+IF(J$3&lt;=$O$2,$D667,$D667-($D667-$I$643)*MIN(J$3-$O$2,$Q$2)/$Q$2))</f>
        <v>9969.91539446015</v>
      </c>
      <c r="K667" s="15" t="n">
        <f aca="false">J667*(1+IF(K$3&lt;=$O$2,$D667,$D667-($D667-$I$643)*MIN(K$3-$O$2,$Q$2)/$Q$2))</f>
        <v>10544.5520537235</v>
      </c>
      <c r="L667" s="15" t="n">
        <f aca="false">K667*(1+IF(L$3&lt;=$O$2,$D667,$D667-($D667-$I$643)*MIN(L$3-$O$2,$Q$2)/$Q$2))</f>
        <v>11049.1936811689</v>
      </c>
      <c r="M667" s="15" t="n">
        <f aca="false">L667*(1+IF(M$3&lt;=$O$2,$D667,$D667-($D667-$I$643)*MIN(M$3-$O$2,$Q$2)/$Q$2))</f>
        <v>11469.9361658772</v>
      </c>
      <c r="N667" s="15" t="n">
        <f aca="false">M667*(1+IF(N$3&lt;=$O$2,$D667,$D667-($D667-$I$643)*MIN(N$3-$O$2,$Q$2)/$Q$2))</f>
        <v>11794.5353593715</v>
      </c>
      <c r="O667" s="15" t="n">
        <f aca="false">SUMPRODUCT(E667:N667,1/(1+$F$643)^$E$3:$N$3)*$E$2</f>
        <v>10922.6667220104</v>
      </c>
      <c r="P667" s="15" t="n">
        <f aca="false">N667*$E$2*(1+$I$643)/($F$643-$I$643)/(1+$F$643)^$N$3</f>
        <v>11667.233245962</v>
      </c>
      <c r="Q667" s="15" t="n">
        <f aca="false">O667+P667</f>
        <v>22589.8999679724</v>
      </c>
      <c r="R667" s="15" t="n">
        <f aca="false">Q667-$G$2+$I$2</f>
        <v>17289.9999679724</v>
      </c>
      <c r="S667" s="42" t="n">
        <f aca="false">R667/$K$2</f>
        <v>147.173986789006</v>
      </c>
      <c r="T667" s="43" t="n">
        <f aca="false">S667-$M$2</f>
        <v>-2.72621861086009E-007</v>
      </c>
    </row>
    <row r="668" customFormat="false" ht="15" hidden="false" customHeight="false" outlineLevel="0" collapsed="false">
      <c r="A668" s="5" t="n">
        <v>24</v>
      </c>
      <c r="B668" s="25" t="n">
        <f aca="false">IF(T667&gt;0,B667,D667)</f>
        <v>0.0771951079368591</v>
      </c>
      <c r="C668" s="25" t="n">
        <f aca="false">IF(T667&gt;0,D667,C667)</f>
        <v>0.0771952867507935</v>
      </c>
      <c r="D668" s="41" t="n">
        <f aca="false">(B668+C668)/2</f>
        <v>0.0771951973438263</v>
      </c>
      <c r="E668" s="15" t="n">
        <f aca="false">$C$2*(1+IF(E$3&lt;=$O$2,$D668,$D668-($D668-$I$643)*MIN(E$3-$O$2,$Q$2)/$Q$2))</f>
        <v>6937.13707089424</v>
      </c>
      <c r="F668" s="15" t="n">
        <f aca="false">E668*(1+IF(F$3&lt;=$O$2,$D668,$D668-($D668-$I$643)*MIN(F$3-$O$2,$Q$2)/$Q$2))</f>
        <v>7472.6507360831</v>
      </c>
      <c r="G668" s="15" t="n">
        <f aca="false">F668*(1+IF(G$3&lt;=$O$2,$D668,$D668-($D668-$I$643)*MIN(G$3-$O$2,$Q$2)/$Q$2))</f>
        <v>8049.50348433652</v>
      </c>
      <c r="H668" s="15" t="n">
        <f aca="false">G668*(1+IF(H$3&lt;=$O$2,$D668,$D668-($D668-$I$643)*MIN(H$3-$O$2,$Q$2)/$Q$2))</f>
        <v>8670.88649432969</v>
      </c>
      <c r="I668" s="15" t="n">
        <f aca="false">H668*(1+IF(I$3&lt;=$O$2,$D668,$D668-($D668-$I$643)*MIN(I$3-$O$2,$Q$2)/$Q$2))</f>
        <v>9340.23728840539</v>
      </c>
      <c r="J668" s="15" t="n">
        <f aca="false">I668*(1+IF(J$3&lt;=$O$2,$D668,$D668-($D668-$I$643)*MIN(J$3-$O$2,$Q$2)/$Q$2))</f>
        <v>9969.92020003106</v>
      </c>
      <c r="K668" s="15" t="n">
        <f aca="false">J668*(1+IF(K$3&lt;=$O$2,$D668,$D668-($D668-$I$643)*MIN(K$3-$O$2,$Q$2)/$Q$2))</f>
        <v>10544.5576711016</v>
      </c>
      <c r="L668" s="15" t="n">
        <f aca="false">K668*(1+IF(L$3&lt;=$O$2,$D668,$D668-($D668-$I$643)*MIN(L$3-$O$2,$Q$2)/$Q$2))</f>
        <v>11049.1999444865</v>
      </c>
      <c r="M668" s="15" t="n">
        <f aca="false">L668*(1+IF(M$3&lt;=$O$2,$D668,$D668-($D668-$I$643)*MIN(M$3-$O$2,$Q$2)/$Q$2))</f>
        <v>11469.9428652709</v>
      </c>
      <c r="N668" s="15" t="n">
        <f aca="false">M668*(1+IF(N$3&lt;=$O$2,$D668,$D668-($D668-$I$643)*MIN(N$3-$O$2,$Q$2)/$Q$2))</f>
        <v>11794.542248358</v>
      </c>
      <c r="O668" s="15" t="n">
        <f aca="false">SUMPRODUCT(E668:N668,1/(1+$F$643)^$E$3:$N$3)*$E$2</f>
        <v>10922.6708909958</v>
      </c>
      <c r="P668" s="15" t="n">
        <f aca="false">N668*$E$2*(1+$I$643)/($F$643-$I$643)/(1+$F$643)^$N$3</f>
        <v>11667.2400605935</v>
      </c>
      <c r="Q668" s="15" t="n">
        <f aca="false">O668+P668</f>
        <v>22589.9109515893</v>
      </c>
      <c r="R668" s="15" t="n">
        <f aca="false">Q668-$G$2+$I$2</f>
        <v>17290.0109515893</v>
      </c>
      <c r="S668" s="42" t="n">
        <f aca="false">R668/$K$2</f>
        <v>147.174080282511</v>
      </c>
      <c r="T668" s="43" t="n">
        <f aca="false">S668-$M$2</f>
        <v>9.32208830590753E-005</v>
      </c>
    </row>
    <row r="670" customFormat="false" ht="15" hidden="false" customHeight="false" outlineLevel="0" collapsed="false">
      <c r="A670" s="38" t="s">
        <v>204</v>
      </c>
      <c r="E670" s="5" t="s">
        <v>11</v>
      </c>
      <c r="F670" s="12" t="n">
        <f aca="false">Sensitivity!$B$14</f>
        <v>0.104988656731527</v>
      </c>
      <c r="G670" s="5" t="s">
        <v>12</v>
      </c>
      <c r="I670" s="12" t="n">
        <f aca="false">Sensitivity!$F$9</f>
        <v>0.0333</v>
      </c>
    </row>
    <row r="671" customFormat="false" ht="23.85" hidden="false" customHeight="false" outlineLevel="0" collapsed="false">
      <c r="A671" s="38" t="s">
        <v>161</v>
      </c>
      <c r="B671" s="28" t="s">
        <v>162</v>
      </c>
      <c r="C671" s="28" t="s">
        <v>163</v>
      </c>
      <c r="D671" s="28" t="s">
        <v>164</v>
      </c>
      <c r="E671" s="28" t="s">
        <v>165</v>
      </c>
      <c r="F671" s="28" t="s">
        <v>166</v>
      </c>
      <c r="G671" s="28" t="s">
        <v>167</v>
      </c>
      <c r="H671" s="28" t="s">
        <v>168</v>
      </c>
      <c r="I671" s="28" t="s">
        <v>169</v>
      </c>
      <c r="J671" s="28" t="s">
        <v>170</v>
      </c>
      <c r="K671" s="28" t="s">
        <v>171</v>
      </c>
      <c r="L671" s="28" t="s">
        <v>172</v>
      </c>
      <c r="M671" s="28" t="s">
        <v>173</v>
      </c>
      <c r="N671" s="28" t="s">
        <v>174</v>
      </c>
      <c r="O671" s="28" t="s">
        <v>175</v>
      </c>
      <c r="P671" s="28" t="s">
        <v>176</v>
      </c>
      <c r="Q671" s="28" t="s">
        <v>177</v>
      </c>
      <c r="R671" s="28" t="s">
        <v>178</v>
      </c>
      <c r="S671" s="28" t="s">
        <v>179</v>
      </c>
      <c r="T671" s="28" t="s">
        <v>180</v>
      </c>
    </row>
    <row r="672" customFormat="false" ht="15" hidden="false" customHeight="false" outlineLevel="0" collapsed="false">
      <c r="A672" s="5" t="n">
        <v>1</v>
      </c>
      <c r="B672" s="24" t="n">
        <v>-0.5</v>
      </c>
      <c r="C672" s="24" t="n">
        <v>1</v>
      </c>
      <c r="D672" s="41" t="n">
        <f aca="false">(B672+C672)/2</f>
        <v>0.25</v>
      </c>
      <c r="E672" s="15" t="n">
        <f aca="false">$C$2*(1+IF(E$3&lt;=$O$2,$D672,$D672-($D672-$I$670)*MIN(E$3-$O$2,$Q$2)/$Q$2))</f>
        <v>8050</v>
      </c>
      <c r="F672" s="15" t="n">
        <f aca="false">E672*(1+IF(F$3&lt;=$O$2,$D672,$D672-($D672-$I$670)*MIN(F$3-$O$2,$Q$2)/$Q$2))</f>
        <v>10062.5</v>
      </c>
      <c r="G672" s="15" t="n">
        <f aca="false">F672*(1+IF(G$3&lt;=$O$2,$D672,$D672-($D672-$I$670)*MIN(G$3-$O$2,$Q$2)/$Q$2))</f>
        <v>12578.125</v>
      </c>
      <c r="H672" s="15" t="n">
        <f aca="false">G672*(1+IF(H$3&lt;=$O$2,$D672,$D672-($D672-$I$670)*MIN(H$3-$O$2,$Q$2)/$Q$2))</f>
        <v>15722.65625</v>
      </c>
      <c r="I672" s="15" t="n">
        <f aca="false">H672*(1+IF(I$3&lt;=$O$2,$D672,$D672-($D672-$I$670)*MIN(I$3-$O$2,$Q$2)/$Q$2))</f>
        <v>19653.3203125</v>
      </c>
      <c r="J672" s="15" t="n">
        <f aca="false">I672*(1+IF(J$3&lt;=$O$2,$D672,$D672-($D672-$I$670)*MIN(J$3-$O$2,$Q$2)/$Q$2))</f>
        <v>23714.8754882813</v>
      </c>
      <c r="K672" s="15" t="n">
        <f aca="false">J672*(1+IF(K$3&lt;=$O$2,$D672,$D672-($D672-$I$670)*MIN(K$3-$O$2,$Q$2)/$Q$2))</f>
        <v>27587.9889530273</v>
      </c>
      <c r="L672" s="15" t="n">
        <f aca="false">K672*(1+IF(L$3&lt;=$O$2,$D672,$D672-($D672-$I$670)*MIN(L$3-$O$2,$Q$2)/$Q$2))</f>
        <v>30897.9958676116</v>
      </c>
      <c r="M672" s="15" t="n">
        <f aca="false">L672*(1+IF(M$3&lt;=$O$2,$D672,$D672-($D672-$I$670)*MIN(M$3-$O$2,$Q$2)/$Q$2))</f>
        <v>33266.0182709053</v>
      </c>
      <c r="N672" s="15" t="n">
        <f aca="false">M672*(1+IF(N$3&lt;=$O$2,$D672,$D672-($D672-$I$670)*MIN(N$3-$O$2,$Q$2)/$Q$2))</f>
        <v>34373.7766793265</v>
      </c>
      <c r="O672" s="15" t="n">
        <f aca="false">SUMPRODUCT(E672:N672,1/(1+$F$670)^$E$3:$N$3)*$E$2</f>
        <v>22859.8757691979</v>
      </c>
      <c r="P672" s="15" t="n">
        <f aca="false">N672*$E$2*(1+$I$670)/($F$670-$I$670)/(1+$F$670)^$N$3</f>
        <v>36551.1946452766</v>
      </c>
      <c r="Q672" s="15" t="n">
        <f aca="false">O672+P672</f>
        <v>59411.0704144744</v>
      </c>
      <c r="R672" s="15" t="n">
        <f aca="false">Q672-$G$2+$I$2</f>
        <v>54111.1704144744</v>
      </c>
      <c r="S672" s="42" t="n">
        <f aca="false">R672/$K$2</f>
        <v>460.598999101757</v>
      </c>
      <c r="T672" s="43" t="n">
        <f aca="false">S672-$M$2</f>
        <v>313.425012040129</v>
      </c>
    </row>
    <row r="673" customFormat="false" ht="15" hidden="false" customHeight="false" outlineLevel="0" collapsed="false">
      <c r="A673" s="5" t="n">
        <v>2</v>
      </c>
      <c r="B673" s="25" t="n">
        <f aca="false">IF(T672&gt;0,B672,D672)</f>
        <v>-0.5</v>
      </c>
      <c r="C673" s="25" t="n">
        <f aca="false">IF(T672&gt;0,D672,C672)</f>
        <v>0.25</v>
      </c>
      <c r="D673" s="41" t="n">
        <f aca="false">(B673+C673)/2</f>
        <v>-0.125</v>
      </c>
      <c r="E673" s="15" t="n">
        <f aca="false">$C$2*(1+IF(E$3&lt;=$O$2,$D673,$D673-($D673-$I$670)*MIN(E$3-$O$2,$Q$2)/$Q$2))</f>
        <v>5635</v>
      </c>
      <c r="F673" s="15" t="n">
        <f aca="false">E673*(1+IF(F$3&lt;=$O$2,$D673,$D673-($D673-$I$670)*MIN(F$3-$O$2,$Q$2)/$Q$2))</f>
        <v>4930.625</v>
      </c>
      <c r="G673" s="15" t="n">
        <f aca="false">F673*(1+IF(G$3&lt;=$O$2,$D673,$D673-($D673-$I$670)*MIN(G$3-$O$2,$Q$2)/$Q$2))</f>
        <v>4314.296875</v>
      </c>
      <c r="H673" s="15" t="n">
        <f aca="false">G673*(1+IF(H$3&lt;=$O$2,$D673,$D673-($D673-$I$670)*MIN(H$3-$O$2,$Q$2)/$Q$2))</f>
        <v>3775.009765625</v>
      </c>
      <c r="I673" s="15" t="n">
        <f aca="false">H673*(1+IF(I$3&lt;=$O$2,$D673,$D673-($D673-$I$670)*MIN(I$3-$O$2,$Q$2)/$Q$2))</f>
        <v>3303.13354492188</v>
      </c>
      <c r="J673" s="15" t="n">
        <f aca="false">I673*(1+IF(J$3&lt;=$O$2,$D673,$D673-($D673-$I$670)*MIN(J$3-$O$2,$Q$2)/$Q$2))</f>
        <v>2994.81905983887</v>
      </c>
      <c r="K673" s="15" t="n">
        <f aca="false">J673*(1+IF(K$3&lt;=$O$2,$D673,$D673-($D673-$I$670)*MIN(K$3-$O$2,$Q$2)/$Q$2))</f>
        <v>2810.09862022801</v>
      </c>
      <c r="L673" s="15" t="n">
        <f aca="false">K673*(1+IF(L$3&lt;=$O$2,$D673,$D673-($D673-$I$670)*MIN(L$3-$O$2,$Q$2)/$Q$2))</f>
        <v>2725.73945964876</v>
      </c>
      <c r="M673" s="15" t="n">
        <f aca="false">L673*(1+IF(M$3&lt;=$O$2,$D673,$D673-($D673-$I$670)*MIN(M$3-$O$2,$Q$2)/$Q$2))</f>
        <v>2730.20967236259</v>
      </c>
      <c r="N673" s="15" t="n">
        <f aca="false">M673*(1+IF(N$3&lt;=$O$2,$D673,$D673-($D673-$I$670)*MIN(N$3-$O$2,$Q$2)/$Q$2))</f>
        <v>2821.12565445226</v>
      </c>
      <c r="O673" s="15" t="n">
        <f aca="false">SUMPRODUCT(E673:N673,1/(1+$F$670)^$E$3:$N$3)*$E$2</f>
        <v>4663.31006771979</v>
      </c>
      <c r="P673" s="15" t="n">
        <f aca="false">N673*$E$2*(1+$I$670)/($F$670-$I$670)/(1+$F$670)^$N$3</f>
        <v>2999.83076857204</v>
      </c>
      <c r="Q673" s="15" t="n">
        <f aca="false">O673+P673</f>
        <v>7663.14083629184</v>
      </c>
      <c r="R673" s="15" t="n">
        <f aca="false">Q673-$G$2+$I$2</f>
        <v>2363.24083629183</v>
      </c>
      <c r="S673" s="42" t="n">
        <f aca="false">R673/$K$2</f>
        <v>20.1161119875028</v>
      </c>
      <c r="T673" s="43" t="n">
        <f aca="false">S673-$M$2</f>
        <v>-127.057875074125</v>
      </c>
    </row>
    <row r="674" customFormat="false" ht="15" hidden="false" customHeight="false" outlineLevel="0" collapsed="false">
      <c r="A674" s="5" t="n">
        <v>3</v>
      </c>
      <c r="B674" s="25" t="n">
        <f aca="false">IF(T673&gt;0,B673,D673)</f>
        <v>-0.125</v>
      </c>
      <c r="C674" s="25" t="n">
        <f aca="false">IF(T673&gt;0,D673,C673)</f>
        <v>0.25</v>
      </c>
      <c r="D674" s="41" t="n">
        <f aca="false">(B674+C674)/2</f>
        <v>0.0625</v>
      </c>
      <c r="E674" s="15" t="n">
        <f aca="false">$C$2*(1+IF(E$3&lt;=$O$2,$D674,$D674-($D674-$I$670)*MIN(E$3-$O$2,$Q$2)/$Q$2))</f>
        <v>6842.5</v>
      </c>
      <c r="F674" s="15" t="n">
        <f aca="false">E674*(1+IF(F$3&lt;=$O$2,$D674,$D674-($D674-$I$670)*MIN(F$3-$O$2,$Q$2)/$Q$2))</f>
        <v>7270.15625</v>
      </c>
      <c r="G674" s="15" t="n">
        <f aca="false">F674*(1+IF(G$3&lt;=$O$2,$D674,$D674-($D674-$I$670)*MIN(G$3-$O$2,$Q$2)/$Q$2))</f>
        <v>7724.541015625</v>
      </c>
      <c r="H674" s="15" t="n">
        <f aca="false">G674*(1+IF(H$3&lt;=$O$2,$D674,$D674-($D674-$I$670)*MIN(H$3-$O$2,$Q$2)/$Q$2))</f>
        <v>8207.32482910156</v>
      </c>
      <c r="I674" s="15" t="n">
        <f aca="false">H674*(1+IF(I$3&lt;=$O$2,$D674,$D674-($D674-$I$670)*MIN(I$3-$O$2,$Q$2)/$Q$2))</f>
        <v>8720.28263092041</v>
      </c>
      <c r="J674" s="15" t="n">
        <f aca="false">I674*(1+IF(J$3&lt;=$O$2,$D674,$D674-($D674-$I$670)*MIN(J$3-$O$2,$Q$2)/$Q$2))</f>
        <v>9214.37384478836</v>
      </c>
      <c r="K674" s="15" t="n">
        <f aca="false">J674*(1+IF(K$3&lt;=$O$2,$D674,$D674-($D674-$I$670)*MIN(K$3-$O$2,$Q$2)/$Q$2))</f>
        <v>9682.64832358051</v>
      </c>
      <c r="L674" s="15" t="n">
        <f aca="false">K674*(1+IF(L$3&lt;=$O$2,$D674,$D674-($D674-$I$670)*MIN(L$3-$O$2,$Q$2)/$Q$2))</f>
        <v>10118.1738451752</v>
      </c>
      <c r="M674" s="15" t="n">
        <f aca="false">L674*(1+IF(M$3&lt;=$O$2,$D674,$D674-($D674-$I$670)*MIN(M$3-$O$2,$Q$2)/$Q$2))</f>
        <v>10514.1991694753</v>
      </c>
      <c r="N674" s="15" t="n">
        <f aca="false">M674*(1+IF(N$3&lt;=$O$2,$D674,$D674-($D674-$I$670)*MIN(N$3-$O$2,$Q$2)/$Q$2))</f>
        <v>10864.3220018188</v>
      </c>
      <c r="O674" s="15" t="n">
        <f aca="false">SUMPRODUCT(E674:N674,1/(1+$F$670)^$E$3:$N$3)*$E$2</f>
        <v>10287.2172538759</v>
      </c>
      <c r="P674" s="15" t="n">
        <f aca="false">N674*$E$2*(1+$I$670)/($F$670-$I$670)/(1+$F$670)^$N$3</f>
        <v>11552.5259817107</v>
      </c>
      <c r="Q674" s="15" t="n">
        <f aca="false">O674+P674</f>
        <v>21839.7432355866</v>
      </c>
      <c r="R674" s="15" t="n">
        <f aca="false">Q674-$G$2+$I$2</f>
        <v>16539.8432355866</v>
      </c>
      <c r="S674" s="42" t="n">
        <f aca="false">R674/$K$2</f>
        <v>140.788587296447</v>
      </c>
      <c r="T674" s="43" t="n">
        <f aca="false">S674-$M$2</f>
        <v>-6.38539976518015</v>
      </c>
    </row>
    <row r="675" customFormat="false" ht="15" hidden="false" customHeight="false" outlineLevel="0" collapsed="false">
      <c r="A675" s="5" t="n">
        <v>4</v>
      </c>
      <c r="B675" s="25" t="n">
        <f aca="false">IF(T674&gt;0,B674,D674)</f>
        <v>0.0625</v>
      </c>
      <c r="C675" s="25" t="n">
        <f aca="false">IF(T674&gt;0,D674,C674)</f>
        <v>0.25</v>
      </c>
      <c r="D675" s="41" t="n">
        <f aca="false">(B675+C675)/2</f>
        <v>0.15625</v>
      </c>
      <c r="E675" s="15" t="n">
        <f aca="false">$C$2*(1+IF(E$3&lt;=$O$2,$D675,$D675-($D675-$I$670)*MIN(E$3-$O$2,$Q$2)/$Q$2))</f>
        <v>7446.25</v>
      </c>
      <c r="F675" s="15" t="n">
        <f aca="false">E675*(1+IF(F$3&lt;=$O$2,$D675,$D675-($D675-$I$670)*MIN(F$3-$O$2,$Q$2)/$Q$2))</f>
        <v>8609.7265625</v>
      </c>
      <c r="G675" s="15" t="n">
        <f aca="false">F675*(1+IF(G$3&lt;=$O$2,$D675,$D675-($D675-$I$670)*MIN(G$3-$O$2,$Q$2)/$Q$2))</f>
        <v>9954.99633789063</v>
      </c>
      <c r="H675" s="15" t="n">
        <f aca="false">G675*(1+IF(H$3&lt;=$O$2,$D675,$D675-($D675-$I$670)*MIN(H$3-$O$2,$Q$2)/$Q$2))</f>
        <v>11510.464515686</v>
      </c>
      <c r="I675" s="15" t="n">
        <f aca="false">H675*(1+IF(I$3&lt;=$O$2,$D675,$D675-($D675-$I$670)*MIN(I$3-$O$2,$Q$2)/$Q$2))</f>
        <v>13308.974596262</v>
      </c>
      <c r="J675" s="15" t="n">
        <f aca="false">I675*(1+IF(J$3&lt;=$O$2,$D675,$D675-($D675-$I$670)*MIN(J$3-$O$2,$Q$2)/$Q$2))</f>
        <v>15061.2341916058</v>
      </c>
      <c r="K675" s="15" t="n">
        <f aca="false">J675*(1+IF(K$3&lt;=$O$2,$D675,$D675-($D675-$I$670)*MIN(K$3-$O$2,$Q$2)/$Q$2))</f>
        <v>16673.8405365011</v>
      </c>
      <c r="L675" s="15" t="n">
        <f aca="false">K675*(1+IF(L$3&lt;=$O$2,$D675,$D675-($D675-$I$670)*MIN(L$3-$O$2,$Q$2)/$Q$2))</f>
        <v>18049.0989039517</v>
      </c>
      <c r="M675" s="15" t="n">
        <f aca="false">L675*(1+IF(M$3&lt;=$O$2,$D675,$D675-($D675-$I$670)*MIN(M$3-$O$2,$Q$2)/$Q$2))</f>
        <v>19093.9612395014</v>
      </c>
      <c r="N675" s="15" t="n">
        <f aca="false">M675*(1+IF(N$3&lt;=$O$2,$D675,$D675-($D675-$I$670)*MIN(N$3-$O$2,$Q$2)/$Q$2))</f>
        <v>19729.7901487768</v>
      </c>
      <c r="O675" s="15" t="n">
        <f aca="false">SUMPRODUCT(E675:N675,1/(1+$F$670)^$E$3:$N$3)*$E$2</f>
        <v>15355.2394888994</v>
      </c>
      <c r="P675" s="15" t="n">
        <f aca="false">N675*$E$2*(1+$I$670)/($F$670-$I$670)/(1+$F$670)^$N$3</f>
        <v>20979.5800666886</v>
      </c>
      <c r="Q675" s="15" t="n">
        <f aca="false">O675+P675</f>
        <v>36334.819555588</v>
      </c>
      <c r="R675" s="15" t="n">
        <f aca="false">Q675-$G$2+$I$2</f>
        <v>31034.919555588</v>
      </c>
      <c r="S675" s="42" t="n">
        <f aca="false">R675/$K$2</f>
        <v>264.171940377835</v>
      </c>
      <c r="T675" s="43" t="n">
        <f aca="false">S675-$M$2</f>
        <v>116.997953316207</v>
      </c>
    </row>
    <row r="676" customFormat="false" ht="15" hidden="false" customHeight="false" outlineLevel="0" collapsed="false">
      <c r="A676" s="5" t="n">
        <v>5</v>
      </c>
      <c r="B676" s="25" t="n">
        <f aca="false">IF(T675&gt;0,B675,D675)</f>
        <v>0.0625</v>
      </c>
      <c r="C676" s="25" t="n">
        <f aca="false">IF(T675&gt;0,D675,C675)</f>
        <v>0.15625</v>
      </c>
      <c r="D676" s="41" t="n">
        <f aca="false">(B676+C676)/2</f>
        <v>0.109375</v>
      </c>
      <c r="E676" s="15" t="n">
        <f aca="false">$C$2*(1+IF(E$3&lt;=$O$2,$D676,$D676-($D676-$I$670)*MIN(E$3-$O$2,$Q$2)/$Q$2))</f>
        <v>7144.375</v>
      </c>
      <c r="F676" s="15" t="n">
        <f aca="false">E676*(1+IF(F$3&lt;=$O$2,$D676,$D676-($D676-$I$670)*MIN(F$3-$O$2,$Q$2)/$Q$2))</f>
        <v>7925.791015625</v>
      </c>
      <c r="G676" s="15" t="n">
        <f aca="false">F676*(1+IF(G$3&lt;=$O$2,$D676,$D676-($D676-$I$670)*MIN(G$3-$O$2,$Q$2)/$Q$2))</f>
        <v>8792.67440795898</v>
      </c>
      <c r="H676" s="15" t="n">
        <f aca="false">G676*(1+IF(H$3&lt;=$O$2,$D676,$D676-($D676-$I$670)*MIN(H$3-$O$2,$Q$2)/$Q$2))</f>
        <v>9754.3731713295</v>
      </c>
      <c r="I676" s="15" t="n">
        <f aca="false">H676*(1+IF(I$3&lt;=$O$2,$D676,$D676-($D676-$I$670)*MIN(I$3-$O$2,$Q$2)/$Q$2))</f>
        <v>10821.2577369437</v>
      </c>
      <c r="J676" s="15" t="n">
        <f aca="false">I676*(1+IF(J$3&lt;=$O$2,$D676,$D676-($D676-$I$670)*MIN(J$3-$O$2,$Q$2)/$Q$2))</f>
        <v>11840.1873654543</v>
      </c>
      <c r="K676" s="15" t="n">
        <f aca="false">J676*(1+IF(K$3&lt;=$O$2,$D676,$D676-($D676-$I$670)*MIN(K$3-$O$2,$Q$2)/$Q$2))</f>
        <v>12774.9109570201</v>
      </c>
      <c r="L676" s="15" t="n">
        <f aca="false">K676*(1+IF(L$3&lt;=$O$2,$D676,$D676-($D676-$I$670)*MIN(L$3-$O$2,$Q$2)/$Q$2))</f>
        <v>13589.056032311</v>
      </c>
      <c r="M676" s="15" t="n">
        <f aca="false">L676*(1+IF(M$3&lt;=$O$2,$D676,$D676-($D676-$I$670)*MIN(M$3-$O$2,$Q$2)/$Q$2))</f>
        <v>14248.3290857185</v>
      </c>
      <c r="N676" s="15" t="n">
        <f aca="false">M676*(1+IF(N$3&lt;=$O$2,$D676,$D676-($D676-$I$670)*MIN(N$3-$O$2,$Q$2)/$Q$2))</f>
        <v>14722.798444273</v>
      </c>
      <c r="O676" s="15" t="n">
        <f aca="false">SUMPRODUCT(E676:N676,1/(1+$F$670)^$E$3:$N$3)*$E$2</f>
        <v>12569.2854234828</v>
      </c>
      <c r="P676" s="15" t="n">
        <f aca="false">N676*$E$2*(1+$I$670)/($F$670-$I$670)/(1+$F$670)^$N$3</f>
        <v>15655.4188583953</v>
      </c>
      <c r="Q676" s="15" t="n">
        <f aca="false">O676+P676</f>
        <v>28224.7042818781</v>
      </c>
      <c r="R676" s="15" t="n">
        <f aca="false">Q676-$G$2+$I$2</f>
        <v>22924.8042818781</v>
      </c>
      <c r="S676" s="42" t="n">
        <f aca="false">R676/$K$2</f>
        <v>195.137932259773</v>
      </c>
      <c r="T676" s="43" t="n">
        <f aca="false">S676-$M$2</f>
        <v>47.9639451981452</v>
      </c>
    </row>
    <row r="677" customFormat="false" ht="15" hidden="false" customHeight="false" outlineLevel="0" collapsed="false">
      <c r="A677" s="5" t="n">
        <v>6</v>
      </c>
      <c r="B677" s="25" t="n">
        <f aca="false">IF(T676&gt;0,B676,D676)</f>
        <v>0.0625</v>
      </c>
      <c r="C677" s="25" t="n">
        <f aca="false">IF(T676&gt;0,D676,C676)</f>
        <v>0.109375</v>
      </c>
      <c r="D677" s="41" t="n">
        <f aca="false">(B677+C677)/2</f>
        <v>0.0859375</v>
      </c>
      <c r="E677" s="15" t="n">
        <f aca="false">$C$2*(1+IF(E$3&lt;=$O$2,$D677,$D677-($D677-$I$670)*MIN(E$3-$O$2,$Q$2)/$Q$2))</f>
        <v>6993.4375</v>
      </c>
      <c r="F677" s="15" t="n">
        <f aca="false">E677*(1+IF(F$3&lt;=$O$2,$D677,$D677-($D677-$I$670)*MIN(F$3-$O$2,$Q$2)/$Q$2))</f>
        <v>7594.43603515625</v>
      </c>
      <c r="G677" s="15" t="n">
        <f aca="false">F677*(1+IF(G$3&lt;=$O$2,$D677,$D677-($D677-$I$670)*MIN(G$3-$O$2,$Q$2)/$Q$2))</f>
        <v>8247.08288192749</v>
      </c>
      <c r="H677" s="15" t="n">
        <f aca="false">G677*(1+IF(H$3&lt;=$O$2,$D677,$D677-($D677-$I$670)*MIN(H$3-$O$2,$Q$2)/$Q$2))</f>
        <v>8955.81656709313</v>
      </c>
      <c r="I677" s="15" t="n">
        <f aca="false">H677*(1+IF(I$3&lt;=$O$2,$D677,$D677-($D677-$I$670)*MIN(I$3-$O$2,$Q$2)/$Q$2))</f>
        <v>9725.4570533277</v>
      </c>
      <c r="J677" s="15" t="n">
        <f aca="false">I677*(1+IF(J$3&lt;=$O$2,$D677,$D677-($D677-$I$670)*MIN(J$3-$O$2,$Q$2)/$Q$2))</f>
        <v>10458.8537697191</v>
      </c>
      <c r="K677" s="15" t="n">
        <f aca="false">J677*(1+IF(K$3&lt;=$O$2,$D677,$D677-($D677-$I$670)*MIN(K$3-$O$2,$Q$2)/$Q$2))</f>
        <v>11137.4503494329</v>
      </c>
      <c r="L677" s="15" t="n">
        <f aca="false">K677*(1+IF(L$3&lt;=$O$2,$D677,$D677-($D677-$I$670)*MIN(L$3-$O$2,$Q$2)/$Q$2))</f>
        <v>11742.8264631764</v>
      </c>
      <c r="M677" s="15" t="n">
        <f aca="false">L677*(1+IF(M$3&lt;=$O$2,$D677,$D677-($D677-$I$670)*MIN(M$3-$O$2,$Q$2)/$Q$2))</f>
        <v>12257.4851899912</v>
      </c>
      <c r="N677" s="15" t="n">
        <f aca="false">M677*(1+IF(N$3&lt;=$O$2,$D677,$D677-($D677-$I$670)*MIN(N$3-$O$2,$Q$2)/$Q$2))</f>
        <v>12665.6594468179</v>
      </c>
      <c r="O677" s="15" t="n">
        <f aca="false">SUMPRODUCT(E677:N677,1/(1+$F$670)^$E$3:$N$3)*$E$2</f>
        <v>11370.9709007953</v>
      </c>
      <c r="P677" s="15" t="n">
        <f aca="false">N677*$E$2*(1+$I$670)/($F$670-$I$670)/(1+$F$670)^$N$3</f>
        <v>13467.9697279193</v>
      </c>
      <c r="Q677" s="15" t="n">
        <f aca="false">O677+P677</f>
        <v>24838.9406287146</v>
      </c>
      <c r="R677" s="15" t="n">
        <f aca="false">Q677-$G$2+$I$2</f>
        <v>19539.0406287146</v>
      </c>
      <c r="S677" s="42" t="n">
        <f aca="false">R677/$K$2</f>
        <v>166.318016928112</v>
      </c>
      <c r="T677" s="43" t="n">
        <f aca="false">S677-$M$2</f>
        <v>19.1440298664845</v>
      </c>
    </row>
    <row r="678" customFormat="false" ht="15" hidden="false" customHeight="false" outlineLevel="0" collapsed="false">
      <c r="A678" s="5" t="n">
        <v>7</v>
      </c>
      <c r="B678" s="25" t="n">
        <f aca="false">IF(T677&gt;0,B677,D677)</f>
        <v>0.0625</v>
      </c>
      <c r="C678" s="25" t="n">
        <f aca="false">IF(T677&gt;0,D677,C677)</f>
        <v>0.0859375</v>
      </c>
      <c r="D678" s="41" t="n">
        <f aca="false">(B678+C678)/2</f>
        <v>0.07421875</v>
      </c>
      <c r="E678" s="15" t="n">
        <f aca="false">$C$2*(1+IF(E$3&lt;=$O$2,$D678,$D678-($D678-$I$670)*MIN(E$3-$O$2,$Q$2)/$Q$2))</f>
        <v>6917.96875</v>
      </c>
      <c r="F678" s="15" t="n">
        <f aca="false">E678*(1+IF(F$3&lt;=$O$2,$D678,$D678-($D678-$I$670)*MIN(F$3-$O$2,$Q$2)/$Q$2))</f>
        <v>7431.41174316406</v>
      </c>
      <c r="G678" s="15" t="n">
        <f aca="false">F678*(1+IF(G$3&lt;=$O$2,$D678,$D678-($D678-$I$670)*MIN(G$3-$O$2,$Q$2)/$Q$2))</f>
        <v>7982.96183347702</v>
      </c>
      <c r="H678" s="15" t="n">
        <f aca="false">G678*(1+IF(H$3&lt;=$O$2,$D678,$D678-($D678-$I$670)*MIN(H$3-$O$2,$Q$2)/$Q$2))</f>
        <v>8575.44728205539</v>
      </c>
      <c r="I678" s="15" t="n">
        <f aca="false">H678*(1+IF(I$3&lt;=$O$2,$D678,$D678-($D678-$I$670)*MIN(I$3-$O$2,$Q$2)/$Q$2))</f>
        <v>9211.90626002044</v>
      </c>
      <c r="J678" s="15" t="n">
        <f aca="false">I678*(1+IF(J$3&lt;=$O$2,$D678,$D678-($D678-$I$670)*MIN(J$3-$O$2,$Q$2)/$Q$2))</f>
        <v>9820.21448990089</v>
      </c>
      <c r="K678" s="15" t="n">
        <f aca="false">J678*(1+IF(K$3&lt;=$O$2,$D678,$D678-($D678-$I$670)*MIN(K$3-$O$2,$Q$2)/$Q$2))</f>
        <v>10388.3261734098</v>
      </c>
      <c r="L678" s="15" t="n">
        <f aca="false">K678*(1+IF(L$3&lt;=$O$2,$D678,$D678-($D678-$I$670)*MIN(L$3-$O$2,$Q$2)/$Q$2))</f>
        <v>10904.2883636276</v>
      </c>
      <c r="M678" s="15" t="n">
        <f aca="false">L678*(1+IF(M$3&lt;=$O$2,$D678,$D678-($D678-$I$670)*MIN(M$3-$O$2,$Q$2)/$Q$2))</f>
        <v>11356.6391360322</v>
      </c>
      <c r="N678" s="15" t="n">
        <f aca="false">M678*(1+IF(N$3&lt;=$O$2,$D678,$D678-($D678-$I$670)*MIN(N$3-$O$2,$Q$2)/$Q$2))</f>
        <v>11734.8152192621</v>
      </c>
      <c r="O678" s="15" t="n">
        <f aca="false">SUMPRODUCT(E678:N678,1/(1+$F$670)^$E$3:$N$3)*$E$2</f>
        <v>10815.437735584</v>
      </c>
      <c r="P678" s="15" t="n">
        <f aca="false">N678*$E$2*(1+$I$670)/($F$670-$I$670)/(1+$F$670)^$N$3</f>
        <v>12478.1608726623</v>
      </c>
      <c r="Q678" s="15" t="n">
        <f aca="false">O678+P678</f>
        <v>23293.5986082463</v>
      </c>
      <c r="R678" s="15" t="n">
        <f aca="false">Q678-$G$2+$I$2</f>
        <v>17993.6986082463</v>
      </c>
      <c r="S678" s="42" t="n">
        <f aca="false">R678/$K$2</f>
        <v>153.163930952045</v>
      </c>
      <c r="T678" s="43" t="n">
        <f aca="false">S678-$M$2</f>
        <v>5.98994389041786</v>
      </c>
    </row>
    <row r="679" customFormat="false" ht="15" hidden="false" customHeight="false" outlineLevel="0" collapsed="false">
      <c r="A679" s="5" t="n">
        <v>8</v>
      </c>
      <c r="B679" s="25" t="n">
        <f aca="false">IF(T678&gt;0,B678,D678)</f>
        <v>0.0625</v>
      </c>
      <c r="C679" s="25" t="n">
        <f aca="false">IF(T678&gt;0,D678,C678)</f>
        <v>0.07421875</v>
      </c>
      <c r="D679" s="41" t="n">
        <f aca="false">(B679+C679)/2</f>
        <v>0.068359375</v>
      </c>
      <c r="E679" s="15" t="n">
        <f aca="false">$C$2*(1+IF(E$3&lt;=$O$2,$D679,$D679-($D679-$I$670)*MIN(E$3-$O$2,$Q$2)/$Q$2))</f>
        <v>6880.234375</v>
      </c>
      <c r="F679" s="15" t="n">
        <f aca="false">E679*(1+IF(F$3&lt;=$O$2,$D679,$D679-($D679-$I$670)*MIN(F$3-$O$2,$Q$2)/$Q$2))</f>
        <v>7350.56289672852</v>
      </c>
      <c r="G679" s="15" t="n">
        <f aca="false">F679*(1+IF(G$3&lt;=$O$2,$D679,$D679-($D679-$I$670)*MIN(G$3-$O$2,$Q$2)/$Q$2))</f>
        <v>7853.04278224707</v>
      </c>
      <c r="H679" s="15" t="n">
        <f aca="false">G679*(1+IF(H$3&lt;=$O$2,$D679,$D679-($D679-$I$670)*MIN(H$3-$O$2,$Q$2)/$Q$2))</f>
        <v>8389.87187868974</v>
      </c>
      <c r="I679" s="15" t="n">
        <f aca="false">H679*(1+IF(I$3&lt;=$O$2,$D679,$D679-($D679-$I$670)*MIN(I$3-$O$2,$Q$2)/$Q$2))</f>
        <v>8963.39827664704</v>
      </c>
      <c r="J679" s="15" t="n">
        <f aca="false">I679*(1+IF(J$3&lt;=$O$2,$D679,$D679-($D679-$I$670)*MIN(J$3-$O$2,$Q$2)/$Q$2))</f>
        <v>9513.28035242365</v>
      </c>
      <c r="K679" s="15" t="n">
        <f aca="false">J679*(1+IF(K$3&lt;=$O$2,$D679,$D679-($D679-$I$670)*MIN(K$3-$O$2,$Q$2)/$Q$2))</f>
        <v>10030.1903861728</v>
      </c>
      <c r="L679" s="15" t="n">
        <f aca="false">K679*(1+IF(L$3&lt;=$O$2,$D679,$D679-($D679-$I$670)*MIN(L$3-$O$2,$Q$2)/$Q$2))</f>
        <v>10504.8566084605</v>
      </c>
      <c r="M679" s="15" t="n">
        <f aca="false">L679*(1+IF(M$3&lt;=$O$2,$D679,$D679-($D679-$I$670)*MIN(M$3-$O$2,$Q$2)/$Q$2))</f>
        <v>10928.3270749536</v>
      </c>
      <c r="N679" s="15" t="n">
        <f aca="false">M679*(1+IF(N$3&lt;=$O$2,$D679,$D679-($D679-$I$670)*MIN(N$3-$O$2,$Q$2)/$Q$2))</f>
        <v>11292.2403665496</v>
      </c>
      <c r="O679" s="15" t="n">
        <f aca="false">SUMPRODUCT(E679:N679,1/(1+$F$670)^$E$3:$N$3)*$E$2</f>
        <v>10547.9934457348</v>
      </c>
      <c r="P679" s="15" t="n">
        <f aca="false">N679*$E$2*(1+$I$670)/($F$670-$I$670)/(1+$F$670)^$N$3</f>
        <v>12007.5509732174</v>
      </c>
      <c r="Q679" s="15" t="n">
        <f aca="false">O679+P679</f>
        <v>22555.5444189522</v>
      </c>
      <c r="R679" s="15" t="n">
        <f aca="false">Q679-$G$2+$I$2</f>
        <v>17255.6444189522</v>
      </c>
      <c r="S679" s="42" t="n">
        <f aca="false">R679/$K$2</f>
        <v>146.881549361187</v>
      </c>
      <c r="T679" s="43" t="n">
        <f aca="false">S679-$M$2</f>
        <v>-0.292437700440729</v>
      </c>
    </row>
    <row r="680" customFormat="false" ht="15" hidden="false" customHeight="false" outlineLevel="0" collapsed="false">
      <c r="A680" s="5" t="n">
        <v>9</v>
      </c>
      <c r="B680" s="25" t="n">
        <f aca="false">IF(T679&gt;0,B679,D679)</f>
        <v>0.068359375</v>
      </c>
      <c r="C680" s="25" t="n">
        <f aca="false">IF(T679&gt;0,D679,C679)</f>
        <v>0.07421875</v>
      </c>
      <c r="D680" s="41" t="n">
        <f aca="false">(B680+C680)/2</f>
        <v>0.0712890625</v>
      </c>
      <c r="E680" s="15" t="n">
        <f aca="false">$C$2*(1+IF(E$3&lt;=$O$2,$D680,$D680-($D680-$I$670)*MIN(E$3-$O$2,$Q$2)/$Q$2))</f>
        <v>6899.1015625</v>
      </c>
      <c r="F680" s="15" t="n">
        <f aca="false">E680*(1+IF(F$3&lt;=$O$2,$D680,$D680-($D680-$I$670)*MIN(F$3-$O$2,$Q$2)/$Q$2))</f>
        <v>7390.93204498291</v>
      </c>
      <c r="G680" s="15" t="n">
        <f aca="false">F680*(1+IF(G$3&lt;=$O$2,$D680,$D680-($D680-$I$670)*MIN(G$3-$O$2,$Q$2)/$Q$2))</f>
        <v>7917.82466147095</v>
      </c>
      <c r="H680" s="15" t="n">
        <f aca="false">G680*(1+IF(H$3&lt;=$O$2,$D680,$D680-($D680-$I$670)*MIN(H$3-$O$2,$Q$2)/$Q$2))</f>
        <v>8482.27895862659</v>
      </c>
      <c r="I680" s="15" t="n">
        <f aca="false">H680*(1+IF(I$3&lt;=$O$2,$D680,$D680-($D680-$I$670)*MIN(I$3-$O$2,$Q$2)/$Q$2))</f>
        <v>9086.97267345056</v>
      </c>
      <c r="J680" s="15" t="n">
        <f aca="false">I680*(1+IF(J$3&lt;=$O$2,$D680,$D680-($D680-$I$670)*MIN(J$3-$O$2,$Q$2)/$Q$2))</f>
        <v>9665.73332173847</v>
      </c>
      <c r="K680" s="15" t="n">
        <f aca="false">J680*(1+IF(K$3&lt;=$O$2,$D680,$D680-($D680-$I$670)*MIN(K$3-$O$2,$Q$2)/$Q$2))</f>
        <v>10207.9175297131</v>
      </c>
      <c r="L680" s="15" t="n">
        <f aca="false">K680*(1+IF(L$3&lt;=$O$2,$D680,$D680-($D680-$I$670)*MIN(L$3-$O$2,$Q$2)/$Q$2))</f>
        <v>10702.956870265</v>
      </c>
      <c r="M680" s="15" t="n">
        <f aca="false">L680*(1+IF(M$3&lt;=$O$2,$D680,$D680-($D680-$I$670)*MIN(M$3-$O$2,$Q$2)/$Q$2))</f>
        <v>11140.6843935406</v>
      </c>
      <c r="N680" s="15" t="n">
        <f aca="false">M680*(1+IF(N$3&lt;=$O$2,$D680,$D680-($D680-$I$670)*MIN(N$3-$O$2,$Q$2)/$Q$2))</f>
        <v>11511.6691838456</v>
      </c>
      <c r="O680" s="15" t="n">
        <f aca="false">SUMPRODUCT(E680:N680,1/(1+$F$670)^$E$3:$N$3)*$E$2</f>
        <v>10680.8722020004</v>
      </c>
      <c r="P680" s="15" t="n">
        <f aca="false">N680*$E$2*(1+$I$670)/($F$670-$I$670)/(1+$F$670)^$N$3</f>
        <v>12240.8795796894</v>
      </c>
      <c r="Q680" s="15" t="n">
        <f aca="false">O680+P680</f>
        <v>22921.7517816898</v>
      </c>
      <c r="R680" s="15" t="n">
        <f aca="false">Q680-$G$2+$I$2</f>
        <v>17621.8517816898</v>
      </c>
      <c r="S680" s="42" t="n">
        <f aca="false">R680/$K$2</f>
        <v>149.998738352824</v>
      </c>
      <c r="T680" s="43" t="n">
        <f aca="false">S680-$M$2</f>
        <v>2.82475129119652</v>
      </c>
    </row>
    <row r="681" customFormat="false" ht="15" hidden="false" customHeight="false" outlineLevel="0" collapsed="false">
      <c r="A681" s="5" t="n">
        <v>10</v>
      </c>
      <c r="B681" s="25" t="n">
        <f aca="false">IF(T680&gt;0,B680,D680)</f>
        <v>0.068359375</v>
      </c>
      <c r="C681" s="25" t="n">
        <f aca="false">IF(T680&gt;0,D680,C680)</f>
        <v>0.0712890625</v>
      </c>
      <c r="D681" s="41" t="n">
        <f aca="false">(B681+C681)/2</f>
        <v>0.06982421875</v>
      </c>
      <c r="E681" s="15" t="n">
        <f aca="false">$C$2*(1+IF(E$3&lt;=$O$2,$D681,$D681-($D681-$I$670)*MIN(E$3-$O$2,$Q$2)/$Q$2))</f>
        <v>6889.66796875</v>
      </c>
      <c r="F681" s="15" t="n">
        <f aca="false">E681*(1+IF(F$3&lt;=$O$2,$D681,$D681-($D681-$I$670)*MIN(F$3-$O$2,$Q$2)/$Q$2))</f>
        <v>7370.73365211487</v>
      </c>
      <c r="G681" s="15" t="n">
        <f aca="false">F681*(1+IF(G$3&lt;=$O$2,$D681,$D681-($D681-$I$670)*MIN(G$3-$O$2,$Q$2)/$Q$2))</f>
        <v>7885.38937098812</v>
      </c>
      <c r="H681" s="15" t="n">
        <f aca="false">G681*(1+IF(H$3&lt;=$O$2,$D681,$D681-($D681-$I$670)*MIN(H$3-$O$2,$Q$2)/$Q$2))</f>
        <v>8435.98052335692</v>
      </c>
      <c r="I681" s="15" t="n">
        <f aca="false">H681*(1+IF(I$3&lt;=$O$2,$D681,$D681-($D681-$I$670)*MIN(I$3-$O$2,$Q$2)/$Q$2))</f>
        <v>9025.01627279054</v>
      </c>
      <c r="J681" s="15" t="n">
        <f aca="false">I681*(1+IF(J$3&lt;=$O$2,$D681,$D681-($D681-$I$670)*MIN(J$3-$O$2,$Q$2)/$Q$2))</f>
        <v>9589.25464953023</v>
      </c>
      <c r="K681" s="15" t="n">
        <f aca="false">J681*(1+IF(K$3&lt;=$O$2,$D681,$D681-($D681-$I$670)*MIN(K$3-$O$2,$Q$2)/$Q$2))</f>
        <v>10118.7208500409</v>
      </c>
      <c r="L681" s="15" t="n">
        <f aca="false">K681*(1+IF(L$3&lt;=$O$2,$D681,$D681-($D681-$I$670)*MIN(L$3-$O$2,$Q$2)/$Q$2))</f>
        <v>10603.5056038661</v>
      </c>
      <c r="M681" s="15" t="n">
        <f aca="false">L681*(1+IF(M$3&lt;=$O$2,$D681,$D681-($D681-$I$670)*MIN(M$3-$O$2,$Q$2)/$Q$2))</f>
        <v>11034.0592921134</v>
      </c>
      <c r="N681" s="15" t="n">
        <f aca="false">M681*(1+IF(N$3&lt;=$O$2,$D681,$D681-($D681-$I$670)*MIN(N$3-$O$2,$Q$2)/$Q$2))</f>
        <v>11401.4934665407</v>
      </c>
      <c r="O681" s="15" t="n">
        <f aca="false">SUMPRODUCT(E681:N681,1/(1+$F$670)^$E$3:$N$3)*$E$2</f>
        <v>10614.2232191887</v>
      </c>
      <c r="P681" s="15" t="n">
        <f aca="false">N681*$E$2*(1+$I$670)/($F$670-$I$670)/(1+$F$670)^$N$3</f>
        <v>12123.7247460509</v>
      </c>
      <c r="Q681" s="15" t="n">
        <f aca="false">O681+P681</f>
        <v>22737.9479652396</v>
      </c>
      <c r="R681" s="15" t="n">
        <f aca="false">Q681-$G$2+$I$2</f>
        <v>17438.0479652396</v>
      </c>
      <c r="S681" s="42" t="n">
        <f aca="false">R681/$K$2</f>
        <v>148.434184246166</v>
      </c>
      <c r="T681" s="43" t="n">
        <f aca="false">S681-$M$2</f>
        <v>1.26019718453884</v>
      </c>
    </row>
    <row r="682" customFormat="false" ht="15" hidden="false" customHeight="false" outlineLevel="0" collapsed="false">
      <c r="A682" s="5" t="n">
        <v>11</v>
      </c>
      <c r="B682" s="25" t="n">
        <f aca="false">IF(T681&gt;0,B681,D681)</f>
        <v>0.068359375</v>
      </c>
      <c r="C682" s="25" t="n">
        <f aca="false">IF(T681&gt;0,D681,C681)</f>
        <v>0.06982421875</v>
      </c>
      <c r="D682" s="41" t="n">
        <f aca="false">(B682+C682)/2</f>
        <v>0.069091796875</v>
      </c>
      <c r="E682" s="15" t="n">
        <f aca="false">$C$2*(1+IF(E$3&lt;=$O$2,$D682,$D682-($D682-$I$670)*MIN(E$3-$O$2,$Q$2)/$Q$2))</f>
        <v>6884.951171875</v>
      </c>
      <c r="F682" s="15" t="n">
        <f aca="false">E682*(1+IF(F$3&lt;=$O$2,$D682,$D682-($D682-$I$670)*MIN(F$3-$O$2,$Q$2)/$Q$2))</f>
        <v>7360.64481973648</v>
      </c>
      <c r="G682" s="15" t="n">
        <f aca="false">F682*(1+IF(G$3&lt;=$O$2,$D682,$D682-($D682-$I$670)*MIN(G$3-$O$2,$Q$2)/$Q$2))</f>
        <v>7869.20499649074</v>
      </c>
      <c r="H682" s="15" t="n">
        <f aca="false">G682*(1+IF(H$3&lt;=$O$2,$D682,$D682-($D682-$I$670)*MIN(H$3-$O$2,$Q$2)/$Q$2))</f>
        <v>8412.90250967601</v>
      </c>
      <c r="I682" s="15" t="n">
        <f aca="false">H682*(1+IF(I$3&lt;=$O$2,$D682,$D682-($D682-$I$670)*MIN(I$3-$O$2,$Q$2)/$Q$2))</f>
        <v>8994.16506100372</v>
      </c>
      <c r="J682" s="15" t="n">
        <f aca="false">I682*(1+IF(J$3&lt;=$O$2,$D682,$D682-($D682-$I$670)*MIN(J$3-$O$2,$Q$2)/$Q$2))</f>
        <v>9551.20462067408</v>
      </c>
      <c r="K682" s="15" t="n">
        <f aca="false">J682*(1+IF(K$3&lt;=$O$2,$D682,$D682-($D682-$I$670)*MIN(K$3-$O$2,$Q$2)/$Q$2))</f>
        <v>10074.3725999594</v>
      </c>
      <c r="L682" s="15" t="n">
        <f aca="false">K682*(1+IF(L$3&lt;=$O$2,$D682,$D682-($D682-$I$670)*MIN(L$3-$O$2,$Q$2)/$Q$2))</f>
        <v>10554.0811666343</v>
      </c>
      <c r="M682" s="15" t="n">
        <f aca="false">L682*(1+IF(M$3&lt;=$O$2,$D682,$D682-($D682-$I$670)*MIN(M$3-$O$2,$Q$2)/$Q$2))</f>
        <v>10981.0819753469</v>
      </c>
      <c r="N682" s="15" t="n">
        <f aca="false">M682*(1+IF(N$3&lt;=$O$2,$D682,$D682-($D682-$I$670)*MIN(N$3-$O$2,$Q$2)/$Q$2))</f>
        <v>11346.752005126</v>
      </c>
      <c r="O682" s="15" t="n">
        <f aca="false">SUMPRODUCT(E682:N682,1/(1+$F$670)^$E$3:$N$3)*$E$2</f>
        <v>10581.0560859058</v>
      </c>
      <c r="P682" s="15" t="n">
        <f aca="false">N682*$E$2*(1+$I$670)/($F$670-$I$670)/(1+$F$670)^$N$3</f>
        <v>12065.5156691141</v>
      </c>
      <c r="Q682" s="15" t="n">
        <f aca="false">O682+P682</f>
        <v>22646.5717550199</v>
      </c>
      <c r="R682" s="15" t="n">
        <f aca="false">Q682-$G$2+$I$2</f>
        <v>17346.6717550199</v>
      </c>
      <c r="S682" s="42" t="n">
        <f aca="false">R682/$K$2</f>
        <v>147.656381980081</v>
      </c>
      <c r="T682" s="43" t="n">
        <f aca="false">S682-$M$2</f>
        <v>0.482394918453679</v>
      </c>
    </row>
    <row r="683" customFormat="false" ht="15" hidden="false" customHeight="false" outlineLevel="0" collapsed="false">
      <c r="A683" s="5" t="n">
        <v>12</v>
      </c>
      <c r="B683" s="25" t="n">
        <f aca="false">IF(T682&gt;0,B682,D682)</f>
        <v>0.068359375</v>
      </c>
      <c r="C683" s="25" t="n">
        <f aca="false">IF(T682&gt;0,D682,C682)</f>
        <v>0.069091796875</v>
      </c>
      <c r="D683" s="41" t="n">
        <f aca="false">(B683+C683)/2</f>
        <v>0.0687255859375</v>
      </c>
      <c r="E683" s="15" t="n">
        <f aca="false">$C$2*(1+IF(E$3&lt;=$O$2,$D683,$D683-($D683-$I$670)*MIN(E$3-$O$2,$Q$2)/$Q$2))</f>
        <v>6882.5927734375</v>
      </c>
      <c r="F683" s="15" t="n">
        <f aca="false">E683*(1+IF(F$3&lt;=$O$2,$D683,$D683-($D683-$I$670)*MIN(F$3-$O$2,$Q$2)/$Q$2))</f>
        <v>7355.6029945612</v>
      </c>
      <c r="G683" s="15" t="n">
        <f aca="false">F683*(1+IF(G$3&lt;=$O$2,$D683,$D683-($D683-$I$670)*MIN(G$3-$O$2,$Q$2)/$Q$2))</f>
        <v>7861.12112028604</v>
      </c>
      <c r="H683" s="15" t="n">
        <f aca="false">G683*(1+IF(H$3&lt;=$O$2,$D683,$D683-($D683-$I$670)*MIN(H$3-$O$2,$Q$2)/$Q$2))</f>
        <v>8401.38127540336</v>
      </c>
      <c r="I683" s="15" t="n">
        <f aca="false">H683*(1+IF(I$3&lt;=$O$2,$D683,$D683-($D683-$I$670)*MIN(I$3-$O$2,$Q$2)/$Q$2))</f>
        <v>8978.77112623979</v>
      </c>
      <c r="J683" s="15" t="n">
        <f aca="false">I683*(1+IF(J$3&lt;=$O$2,$D683,$D683-($D683-$I$670)*MIN(J$3-$O$2,$Q$2)/$Q$2))</f>
        <v>9532.22678726018</v>
      </c>
      <c r="K683" s="15" t="n">
        <f aca="false">J683*(1+IF(K$3&lt;=$O$2,$D683,$D683-($D683-$I$670)*MIN(K$3-$O$2,$Q$2)/$Q$2))</f>
        <v>10052.2607708126</v>
      </c>
      <c r="L683" s="15" t="n">
        <f aca="false">K683*(1+IF(L$3&lt;=$O$2,$D683,$D683-($D683-$I$670)*MIN(L$3-$O$2,$Q$2)/$Q$2))</f>
        <v>10529.4439456017</v>
      </c>
      <c r="M683" s="15" t="n">
        <f aca="false">L683*(1+IF(M$3&lt;=$O$2,$D683,$D683-($D683-$I$670)*MIN(M$3-$O$2,$Q$2)/$Q$2))</f>
        <v>10954.6767732641</v>
      </c>
      <c r="N683" s="15" t="n">
        <f aca="false">M683*(1+IF(N$3&lt;=$O$2,$D683,$D683-($D683-$I$670)*MIN(N$3-$O$2,$Q$2)/$Q$2))</f>
        <v>11319.4675098138</v>
      </c>
      <c r="O683" s="15" t="n">
        <f aca="false">SUMPRODUCT(E683:N683,1/(1+$F$670)^$E$3:$N$3)*$E$2</f>
        <v>10564.5117234647</v>
      </c>
      <c r="P683" s="15" t="n">
        <f aca="false">N683*$E$2*(1+$I$670)/($F$670-$I$670)/(1+$F$670)^$N$3</f>
        <v>12036.5028286497</v>
      </c>
      <c r="Q683" s="15" t="n">
        <f aca="false">O683+P683</f>
        <v>22601.0145521144</v>
      </c>
      <c r="R683" s="15" t="n">
        <f aca="false">Q683-$G$2+$I$2</f>
        <v>17301.1145521144</v>
      </c>
      <c r="S683" s="42" t="n">
        <f aca="false">R683/$K$2</f>
        <v>147.268595098011</v>
      </c>
      <c r="T683" s="43" t="n">
        <f aca="false">S683-$M$2</f>
        <v>0.0946080363839315</v>
      </c>
    </row>
    <row r="684" customFormat="false" ht="15" hidden="false" customHeight="false" outlineLevel="0" collapsed="false">
      <c r="A684" s="5" t="n">
        <v>13</v>
      </c>
      <c r="B684" s="25" t="n">
        <f aca="false">IF(T683&gt;0,B683,D683)</f>
        <v>0.068359375</v>
      </c>
      <c r="C684" s="25" t="n">
        <f aca="false">IF(T683&gt;0,D683,C683)</f>
        <v>0.0687255859375</v>
      </c>
      <c r="D684" s="41" t="n">
        <f aca="false">(B684+C684)/2</f>
        <v>0.06854248046875</v>
      </c>
      <c r="E684" s="15" t="n">
        <f aca="false">$C$2*(1+IF(E$3&lt;=$O$2,$D684,$D684-($D684-$I$670)*MIN(E$3-$O$2,$Q$2)/$Q$2))</f>
        <v>6881.41357421875</v>
      </c>
      <c r="F684" s="15" t="n">
        <f aca="false">E684*(1+IF(F$3&lt;=$O$2,$D684,$D684-($D684-$I$670)*MIN(F$3-$O$2,$Q$2)/$Q$2))</f>
        <v>7353.08272972703</v>
      </c>
      <c r="G684" s="15" t="n">
        <f aca="false">F684*(1+IF(G$3&lt;=$O$2,$D684,$D684-($D684-$I$670)*MIN(G$3-$O$2,$Q$2)/$Q$2))</f>
        <v>7857.08125911445</v>
      </c>
      <c r="H684" s="15" t="n">
        <f aca="false">G684*(1+IF(H$3&lt;=$O$2,$D684,$D684-($D684-$I$670)*MIN(H$3-$O$2,$Q$2)/$Q$2))</f>
        <v>8395.62509785868</v>
      </c>
      <c r="I684" s="15" t="n">
        <f aca="false">H684*(1+IF(I$3&lt;=$O$2,$D684,$D684-($D684-$I$670)*MIN(I$3-$O$2,$Q$2)/$Q$2))</f>
        <v>8971.08206715161</v>
      </c>
      <c r="J684" s="15" t="n">
        <f aca="false">I684*(1+IF(J$3&lt;=$O$2,$D684,$D684-($D684-$I$670)*MIN(J$3-$O$2,$Q$2)/$Q$2))</f>
        <v>9522.74964761587</v>
      </c>
      <c r="K684" s="15" t="n">
        <f aca="false">J684*(1+IF(K$3&lt;=$O$2,$D684,$D684-($D684-$I$670)*MIN(K$3-$O$2,$Q$2)/$Q$2))</f>
        <v>10041.2204019604</v>
      </c>
      <c r="L684" s="15" t="n">
        <f aca="false">K684*(1+IF(L$3&lt;=$O$2,$D684,$D684-($D684-$I$670)*MIN(L$3-$O$2,$Q$2)/$Q$2))</f>
        <v>10517.1440469051</v>
      </c>
      <c r="M684" s="15" t="n">
        <f aca="false">L684*(1+IF(M$3&lt;=$O$2,$D684,$D684-($D684-$I$670)*MIN(M$3-$O$2,$Q$2)/$Q$2))</f>
        <v>10941.4949923991</v>
      </c>
      <c r="N684" s="15" t="n">
        <f aca="false">M684*(1+IF(N$3&lt;=$O$2,$D684,$D684-($D684-$I$670)*MIN(N$3-$O$2,$Q$2)/$Q$2))</f>
        <v>11305.8467756459</v>
      </c>
      <c r="O684" s="15" t="n">
        <f aca="false">SUMPRODUCT(E684:N684,1/(1+$F$670)^$E$3:$N$3)*$E$2</f>
        <v>10556.2493264185</v>
      </c>
      <c r="P684" s="15" t="n">
        <f aca="false">N684*$E$2*(1+$I$670)/($F$670-$I$670)/(1+$F$670)^$N$3</f>
        <v>12022.0192846847</v>
      </c>
      <c r="Q684" s="15" t="n">
        <f aca="false">O684+P684</f>
        <v>22578.2686111032</v>
      </c>
      <c r="R684" s="15" t="n">
        <f aca="false">Q684-$G$2+$I$2</f>
        <v>17278.3686111032</v>
      </c>
      <c r="S684" s="42" t="n">
        <f aca="false">R684/$K$2</f>
        <v>147.074979665502</v>
      </c>
      <c r="T684" s="43" t="n">
        <f aca="false">S684-$M$2</f>
        <v>-0.0990073961251596</v>
      </c>
    </row>
    <row r="685" customFormat="false" ht="15" hidden="false" customHeight="false" outlineLevel="0" collapsed="false">
      <c r="A685" s="5" t="n">
        <v>14</v>
      </c>
      <c r="B685" s="25" t="n">
        <f aca="false">IF(T684&gt;0,B684,D684)</f>
        <v>0.06854248046875</v>
      </c>
      <c r="C685" s="25" t="n">
        <f aca="false">IF(T684&gt;0,D684,C684)</f>
        <v>0.0687255859375</v>
      </c>
      <c r="D685" s="41" t="n">
        <f aca="false">(B685+C685)/2</f>
        <v>0.068634033203125</v>
      </c>
      <c r="E685" s="15" t="n">
        <f aca="false">$C$2*(1+IF(E$3&lt;=$O$2,$D685,$D685-($D685-$I$670)*MIN(E$3-$O$2,$Q$2)/$Q$2))</f>
        <v>6882.00317382813</v>
      </c>
      <c r="F685" s="15" t="n">
        <f aca="false">E685*(1+IF(F$3&lt;=$O$2,$D685,$D685-($D685-$I$670)*MIN(F$3-$O$2,$Q$2)/$Q$2))</f>
        <v>7354.34280816466</v>
      </c>
      <c r="G685" s="15" t="n">
        <f aca="false">F685*(1+IF(G$3&lt;=$O$2,$D685,$D685-($D685-$I$670)*MIN(G$3-$O$2,$Q$2)/$Q$2))</f>
        <v>7859.10101664739</v>
      </c>
      <c r="H685" s="15" t="n">
        <f aca="false">G685*(1+IF(H$3&lt;=$O$2,$D685,$D685-($D685-$I$670)*MIN(H$3-$O$2,$Q$2)/$Q$2))</f>
        <v>8398.50281677068</v>
      </c>
      <c r="I685" s="15" t="n">
        <f aca="false">H685*(1+IF(I$3&lt;=$O$2,$D685,$D685-($D685-$I$670)*MIN(I$3-$O$2,$Q$2)/$Q$2))</f>
        <v>8974.92593795346</v>
      </c>
      <c r="J685" s="15" t="n">
        <f aca="false">I685*(1+IF(J$3&lt;=$O$2,$D685,$D685-($D685-$I$670)*MIN(J$3-$O$2,$Q$2)/$Q$2))</f>
        <v>9527.4872365571</v>
      </c>
      <c r="K685" s="15" t="n">
        <f aca="false">J685*(1+IF(K$3&lt;=$O$2,$D685,$D685-($D685-$I$670)*MIN(K$3-$O$2,$Q$2)/$Q$2))</f>
        <v>10046.7392917498</v>
      </c>
      <c r="L685" s="15" t="n">
        <f aca="false">K685*(1+IF(L$3&lt;=$O$2,$D685,$D685-($D685-$I$670)*MIN(L$3-$O$2,$Q$2)/$Q$2))</f>
        <v>10523.2924380522</v>
      </c>
      <c r="M685" s="15" t="n">
        <f aca="false">L685*(1+IF(M$3&lt;=$O$2,$D685,$D685-($D685-$I$670)*MIN(M$3-$O$2,$Q$2)/$Q$2))</f>
        <v>10948.0841491218</v>
      </c>
      <c r="N685" s="15" t="n">
        <f aca="false">M685*(1+IF(N$3&lt;=$O$2,$D685,$D685-($D685-$I$670)*MIN(N$3-$O$2,$Q$2)/$Q$2))</f>
        <v>11312.6553512875</v>
      </c>
      <c r="O685" s="15" t="n">
        <f aca="false">SUMPRODUCT(E685:N685,1/(1+$F$670)^$E$3:$N$3)*$E$2</f>
        <v>10560.3797100955</v>
      </c>
      <c r="P685" s="15" t="n">
        <f aca="false">N685*$E$2*(1+$I$670)/($F$670-$I$670)/(1+$F$670)^$N$3</f>
        <v>12029.2591517454</v>
      </c>
      <c r="Q685" s="15" t="n">
        <f aca="false">O685+P685</f>
        <v>22589.6388618408</v>
      </c>
      <c r="R685" s="15" t="n">
        <f aca="false">Q685-$G$2+$I$2</f>
        <v>17289.7388618408</v>
      </c>
      <c r="S685" s="42" t="n">
        <f aca="false">R685/$K$2</f>
        <v>147.171764230855</v>
      </c>
      <c r="T685" s="43" t="n">
        <f aca="false">S685-$M$2</f>
        <v>-0.00222283077266638</v>
      </c>
    </row>
    <row r="686" customFormat="false" ht="15" hidden="false" customHeight="false" outlineLevel="0" collapsed="false">
      <c r="A686" s="5" t="n">
        <v>15</v>
      </c>
      <c r="B686" s="25" t="n">
        <f aca="false">IF(T685&gt;0,B685,D685)</f>
        <v>0.068634033203125</v>
      </c>
      <c r="C686" s="25" t="n">
        <f aca="false">IF(T685&gt;0,D685,C685)</f>
        <v>0.0687255859375</v>
      </c>
      <c r="D686" s="41" t="n">
        <f aca="false">(B686+C686)/2</f>
        <v>0.0686798095703125</v>
      </c>
      <c r="E686" s="15" t="n">
        <f aca="false">$C$2*(1+IF(E$3&lt;=$O$2,$D686,$D686-($D686-$I$670)*MIN(E$3-$O$2,$Q$2)/$Q$2))</f>
        <v>6882.29797363281</v>
      </c>
      <c r="F686" s="15" t="n">
        <f aca="false">E686*(1+IF(F$3&lt;=$O$2,$D686,$D686-($D686-$I$670)*MIN(F$3-$O$2,$Q$2)/$Q$2))</f>
        <v>7354.97288786806</v>
      </c>
      <c r="G686" s="15" t="n">
        <f aca="false">F686*(1+IF(G$3&lt;=$O$2,$D686,$D686-($D686-$I$670)*MIN(G$3-$O$2,$Q$2)/$Q$2))</f>
        <v>7860.11102520165</v>
      </c>
      <c r="H686" s="15" t="n">
        <f aca="false">G686*(1+IF(H$3&lt;=$O$2,$D686,$D686-($D686-$I$670)*MIN(H$3-$O$2,$Q$2)/$Q$2))</f>
        <v>8399.94195361401</v>
      </c>
      <c r="I686" s="15" t="n">
        <f aca="false">H686*(1+IF(I$3&lt;=$O$2,$D686,$D686-($D686-$I$670)*MIN(I$3-$O$2,$Q$2)/$Q$2))</f>
        <v>8976.8483673899</v>
      </c>
      <c r="J686" s="15" t="n">
        <f aca="false">I686*(1+IF(J$3&lt;=$O$2,$D686,$D686-($D686-$I$670)*MIN(J$3-$O$2,$Q$2)/$Q$2))</f>
        <v>9529.85676664785</v>
      </c>
      <c r="K686" s="15" t="n">
        <f aca="false">J686*(1+IF(K$3&lt;=$O$2,$D686,$D686-($D686-$I$670)*MIN(K$3-$O$2,$Q$2)/$Q$2))</f>
        <v>10049.499707559</v>
      </c>
      <c r="L686" s="15" t="n">
        <f aca="false">K686*(1+IF(L$3&lt;=$O$2,$D686,$D686-($D686-$I$670)*MIN(L$3-$O$2,$Q$2)/$Q$2))</f>
        <v>10526.3678021929</v>
      </c>
      <c r="M686" s="15" t="n">
        <f aca="false">L686*(1+IF(M$3&lt;=$O$2,$D686,$D686-($D686-$I$670)*MIN(M$3-$O$2,$Q$2)/$Q$2))</f>
        <v>10951.3800276676</v>
      </c>
      <c r="N686" s="15" t="n">
        <f aca="false">M686*(1+IF(N$3&lt;=$O$2,$D686,$D686-($D686-$I$670)*MIN(N$3-$O$2,$Q$2)/$Q$2))</f>
        <v>11316.060982589</v>
      </c>
      <c r="O686" s="15" t="n">
        <f aca="false">SUMPRODUCT(E686:N686,1/(1+$F$670)^$E$3:$N$3)*$E$2</f>
        <v>10562.4455130309</v>
      </c>
      <c r="P686" s="15" t="n">
        <f aca="false">N686*$E$2*(1+$I$670)/($F$670-$I$670)/(1+$F$670)^$N$3</f>
        <v>12032.8805138596</v>
      </c>
      <c r="Q686" s="15" t="n">
        <f aca="false">O686+P686</f>
        <v>22595.3260268905</v>
      </c>
      <c r="R686" s="15" t="n">
        <f aca="false">Q686-$G$2+$I$2</f>
        <v>17295.4260268905</v>
      </c>
      <c r="S686" s="42" t="n">
        <f aca="false">R686/$K$2</f>
        <v>147.220173875473</v>
      </c>
      <c r="T686" s="43" t="n">
        <f aca="false">S686-$M$2</f>
        <v>0.0461868138449972</v>
      </c>
    </row>
    <row r="687" customFormat="false" ht="15" hidden="false" customHeight="false" outlineLevel="0" collapsed="false">
      <c r="A687" s="5" t="n">
        <v>16</v>
      </c>
      <c r="B687" s="25" t="n">
        <f aca="false">IF(T686&gt;0,B686,D686)</f>
        <v>0.068634033203125</v>
      </c>
      <c r="C687" s="25" t="n">
        <f aca="false">IF(T686&gt;0,D686,C686)</f>
        <v>0.0686798095703125</v>
      </c>
      <c r="D687" s="41" t="n">
        <f aca="false">(B687+C687)/2</f>
        <v>0.0686569213867188</v>
      </c>
      <c r="E687" s="15" t="n">
        <f aca="false">$C$2*(1+IF(E$3&lt;=$O$2,$D687,$D687-($D687-$I$670)*MIN(E$3-$O$2,$Q$2)/$Q$2))</f>
        <v>6882.15057373047</v>
      </c>
      <c r="F687" s="15" t="n">
        <f aca="false">E687*(1+IF(F$3&lt;=$O$2,$D687,$D687-($D687-$I$670)*MIN(F$3-$O$2,$Q$2)/$Q$2))</f>
        <v>7354.65784464264</v>
      </c>
      <c r="G687" s="15" t="n">
        <f aca="false">F687*(1+IF(G$3&lt;=$O$2,$D687,$D687-($D687-$I$670)*MIN(G$3-$O$2,$Q$2)/$Q$2))</f>
        <v>7859.60601010849</v>
      </c>
      <c r="H687" s="15" t="n">
        <f aca="false">G687*(1+IF(H$3&lt;=$O$2,$D687,$D687-($D687-$I$670)*MIN(H$3-$O$2,$Q$2)/$Q$2))</f>
        <v>8399.22236207509</v>
      </c>
      <c r="I687" s="15" t="n">
        <f aca="false">H687*(1+IF(I$3&lt;=$O$2,$D687,$D687-($D687-$I$670)*MIN(I$3-$O$2,$Q$2)/$Q$2))</f>
        <v>8975.88711149765</v>
      </c>
      <c r="J687" s="15" t="n">
        <f aca="false">I687*(1+IF(J$3&lt;=$O$2,$D687,$D687-($D687-$I$670)*MIN(J$3-$O$2,$Q$2)/$Q$2))</f>
        <v>9528.67194029235</v>
      </c>
      <c r="K687" s="15" t="n">
        <f aca="false">J687*(1+IF(K$3&lt;=$O$2,$D687,$D687-($D687-$I$670)*MIN(K$3-$O$2,$Q$2)/$Q$2))</f>
        <v>10048.1194187317</v>
      </c>
      <c r="L687" s="15" t="n">
        <f aca="false">K687*(1+IF(L$3&lt;=$O$2,$D687,$D687-($D687-$I$670)*MIN(L$3-$O$2,$Q$2)/$Q$2))</f>
        <v>10524.8300227245</v>
      </c>
      <c r="M687" s="15" t="n">
        <f aca="false">L687*(1+IF(M$3&lt;=$O$2,$D687,$D687-($D687-$I$670)*MIN(M$3-$O$2,$Q$2)/$Q$2))</f>
        <v>10949.7319800256</v>
      </c>
      <c r="N687" s="15" t="n">
        <f aca="false">M687*(1+IF(N$3&lt;=$O$2,$D687,$D687-($D687-$I$670)*MIN(N$3-$O$2,$Q$2)/$Q$2))</f>
        <v>11314.3580549605</v>
      </c>
      <c r="O687" s="15" t="n">
        <f aca="false">SUMPRODUCT(E687:N687,1/(1+$F$670)^$E$3:$N$3)*$E$2</f>
        <v>10561.4125606306</v>
      </c>
      <c r="P687" s="15" t="n">
        <f aca="false">N687*$E$2*(1+$I$670)/($F$670-$I$670)/(1+$F$670)^$N$3</f>
        <v>12031.0697137314</v>
      </c>
      <c r="Q687" s="15" t="n">
        <f aca="false">O687+P687</f>
        <v>22592.482274362</v>
      </c>
      <c r="R687" s="15" t="n">
        <f aca="false">Q687-$G$2+$I$2</f>
        <v>17292.582274362</v>
      </c>
      <c r="S687" s="42" t="n">
        <f aca="false">R687/$K$2</f>
        <v>147.195967606078</v>
      </c>
      <c r="T687" s="43" t="n">
        <f aca="false">S687-$M$2</f>
        <v>0.021980544450372</v>
      </c>
    </row>
    <row r="688" customFormat="false" ht="15" hidden="false" customHeight="false" outlineLevel="0" collapsed="false">
      <c r="A688" s="5" t="n">
        <v>17</v>
      </c>
      <c r="B688" s="25" t="n">
        <f aca="false">IF(T687&gt;0,B687,D687)</f>
        <v>0.068634033203125</v>
      </c>
      <c r="C688" s="25" t="n">
        <f aca="false">IF(T687&gt;0,D687,C687)</f>
        <v>0.0686569213867188</v>
      </c>
      <c r="D688" s="41" t="n">
        <f aca="false">(B688+C688)/2</f>
        <v>0.0686454772949219</v>
      </c>
      <c r="E688" s="15" t="n">
        <f aca="false">$C$2*(1+IF(E$3&lt;=$O$2,$D688,$D688-($D688-$I$670)*MIN(E$3-$O$2,$Q$2)/$Q$2))</f>
        <v>6882.0768737793</v>
      </c>
      <c r="F688" s="15" t="n">
        <f aca="false">E688*(1+IF(F$3&lt;=$O$2,$D688,$D688-($D688-$I$670)*MIN(F$3-$O$2,$Q$2)/$Q$2))</f>
        <v>7354.50032556022</v>
      </c>
      <c r="G688" s="15" t="n">
        <f aca="false">F688*(1+IF(G$3&lt;=$O$2,$D688,$D688-($D688-$I$670)*MIN(G$3-$O$2,$Q$2)/$Q$2))</f>
        <v>7859.35351067396</v>
      </c>
      <c r="H688" s="15" t="n">
        <f aca="false">G688*(1+IF(H$3&lt;=$O$2,$D688,$D688-($D688-$I$670)*MIN(H$3-$O$2,$Q$2)/$Q$2))</f>
        <v>8398.86258364369</v>
      </c>
      <c r="I688" s="15" t="n">
        <f aca="false">H688*(1+IF(I$3&lt;=$O$2,$D688,$D688-($D688-$I$670)*MIN(I$3-$O$2,$Q$2)/$Q$2))</f>
        <v>8975.40651443238</v>
      </c>
      <c r="J688" s="15" t="n">
        <f aca="false">I688*(1+IF(J$3&lt;=$O$2,$D688,$D688-($D688-$I$670)*MIN(J$3-$O$2,$Q$2)/$Q$2))</f>
        <v>9528.07957309783</v>
      </c>
      <c r="K688" s="15" t="n">
        <f aca="false">J688*(1+IF(K$3&lt;=$O$2,$D688,$D688-($D688-$I$670)*MIN(K$3-$O$2,$Q$2)/$Q$2))</f>
        <v>10047.4293350111</v>
      </c>
      <c r="L688" s="15" t="n">
        <f aca="false">K688*(1+IF(L$3&lt;=$O$2,$D688,$D688-($D688-$I$670)*MIN(L$3-$O$2,$Q$2)/$Q$2))</f>
        <v>10524.0612060401</v>
      </c>
      <c r="M688" s="15" t="n">
        <f aca="false">L688*(1+IF(M$3&lt;=$O$2,$D688,$D688-($D688-$I$670)*MIN(M$3-$O$2,$Q$2)/$Q$2))</f>
        <v>10948.908037483</v>
      </c>
      <c r="N688" s="15" t="n">
        <f aca="false">M688*(1+IF(N$3&lt;=$O$2,$D688,$D688-($D688-$I$670)*MIN(N$3-$O$2,$Q$2)/$Q$2))</f>
        <v>11313.5066751311</v>
      </c>
      <c r="O688" s="15" t="n">
        <f aca="false">SUMPRODUCT(E688:N688,1/(1+$F$670)^$E$3:$N$3)*$E$2</f>
        <v>10560.8961226305</v>
      </c>
      <c r="P688" s="15" t="n">
        <f aca="false">N688*$E$2*(1+$I$670)/($F$670-$I$670)/(1+$F$670)^$N$3</f>
        <v>12030.1644029723</v>
      </c>
      <c r="Q688" s="15" t="n">
        <f aca="false">O688+P688</f>
        <v>22591.0605256028</v>
      </c>
      <c r="R688" s="15" t="n">
        <f aca="false">Q688-$G$2+$I$2</f>
        <v>17291.1605256028</v>
      </c>
      <c r="S688" s="42" t="n">
        <f aca="false">R688/$K$2</f>
        <v>147.183865556714</v>
      </c>
      <c r="T688" s="43" t="n">
        <f aca="false">S688-$M$2</f>
        <v>0.00987849508680938</v>
      </c>
    </row>
    <row r="689" customFormat="false" ht="15" hidden="false" customHeight="false" outlineLevel="0" collapsed="false">
      <c r="A689" s="5" t="n">
        <v>18</v>
      </c>
      <c r="B689" s="25" t="n">
        <f aca="false">IF(T688&gt;0,B688,D688)</f>
        <v>0.068634033203125</v>
      </c>
      <c r="C689" s="25" t="n">
        <f aca="false">IF(T688&gt;0,D688,C688)</f>
        <v>0.0686454772949219</v>
      </c>
      <c r="D689" s="41" t="n">
        <f aca="false">(B689+C689)/2</f>
        <v>0.0686397552490234</v>
      </c>
      <c r="E689" s="15" t="n">
        <f aca="false">$C$2*(1+IF(E$3&lt;=$O$2,$D689,$D689-($D689-$I$670)*MIN(E$3-$O$2,$Q$2)/$Q$2))</f>
        <v>6882.04002380371</v>
      </c>
      <c r="F689" s="15" t="n">
        <f aca="false">E689*(1+IF(F$3&lt;=$O$2,$D689,$D689-($D689-$I$670)*MIN(F$3-$O$2,$Q$2)/$Q$2))</f>
        <v>7354.42156665158</v>
      </c>
      <c r="G689" s="15" t="n">
        <f aca="false">F689*(1+IF(G$3&lt;=$O$2,$D689,$D689-($D689-$I$670)*MIN(G$3-$O$2,$Q$2)/$Q$2))</f>
        <v>7859.22726298469</v>
      </c>
      <c r="H689" s="15" t="n">
        <f aca="false">G689*(1+IF(H$3&lt;=$O$2,$D689,$D689-($D689-$I$670)*MIN(H$3-$O$2,$Q$2)/$Q$2))</f>
        <v>8398.68269876241</v>
      </c>
      <c r="I689" s="15" t="n">
        <f aca="false">H689*(1+IF(I$3&lt;=$O$2,$D689,$D689-($D689-$I$670)*MIN(I$3-$O$2,$Q$2)/$Q$2))</f>
        <v>8975.16622361967</v>
      </c>
      <c r="J689" s="15" t="n">
        <f aca="false">I689*(1+IF(J$3&lt;=$O$2,$D689,$D689-($D689-$I$670)*MIN(J$3-$O$2,$Q$2)/$Q$2))</f>
        <v>9527.78340099582</v>
      </c>
      <c r="K689" s="15" t="n">
        <f aca="false">J689*(1+IF(K$3&lt;=$O$2,$D689,$D689-($D689-$I$670)*MIN(K$3-$O$2,$Q$2)/$Q$2))</f>
        <v>10047.0843083231</v>
      </c>
      <c r="L689" s="15" t="n">
        <f aca="false">K689*(1+IF(L$3&lt;=$O$2,$D689,$D689-($D689-$I$670)*MIN(L$3-$O$2,$Q$2)/$Q$2))</f>
        <v>10523.6768159593</v>
      </c>
      <c r="M689" s="15" t="n">
        <f aca="false">L689*(1+IF(M$3&lt;=$O$2,$D689,$D689-($D689-$I$670)*MIN(M$3-$O$2,$Q$2)/$Q$2))</f>
        <v>10948.4960865299</v>
      </c>
      <c r="N689" s="15" t="n">
        <f aca="false">M689*(1+IF(N$3&lt;=$O$2,$D689,$D689-($D689-$I$670)*MIN(N$3-$O$2,$Q$2)/$Q$2))</f>
        <v>11313.0810062113</v>
      </c>
      <c r="O689" s="15" t="n">
        <f aca="false">SUMPRODUCT(E689:N689,1/(1+$F$670)^$E$3:$N$3)*$E$2</f>
        <v>10560.6379131799</v>
      </c>
      <c r="P689" s="15" t="n">
        <f aca="false">N689*$E$2*(1+$I$670)/($F$670-$I$670)/(1+$F$670)^$N$3</f>
        <v>12029.7117699175</v>
      </c>
      <c r="Q689" s="15" t="n">
        <f aca="false">O689+P689</f>
        <v>22590.3496830974</v>
      </c>
      <c r="R689" s="15" t="n">
        <f aca="false">Q689-$G$2+$I$2</f>
        <v>17290.4496830974</v>
      </c>
      <c r="S689" s="42" t="n">
        <f aca="false">R689/$K$2</f>
        <v>147.177814803349</v>
      </c>
      <c r="T689" s="43" t="n">
        <f aca="false">S689-$M$2</f>
        <v>0.00382774172146583</v>
      </c>
    </row>
    <row r="690" customFormat="false" ht="15" hidden="false" customHeight="false" outlineLevel="0" collapsed="false">
      <c r="A690" s="5" t="n">
        <v>19</v>
      </c>
      <c r="B690" s="25" t="n">
        <f aca="false">IF(T689&gt;0,B689,D689)</f>
        <v>0.068634033203125</v>
      </c>
      <c r="C690" s="25" t="n">
        <f aca="false">IF(T689&gt;0,D689,C689)</f>
        <v>0.0686397552490234</v>
      </c>
      <c r="D690" s="41" t="n">
        <f aca="false">(B690+C690)/2</f>
        <v>0.0686368942260742</v>
      </c>
      <c r="E690" s="15" t="n">
        <f aca="false">$C$2*(1+IF(E$3&lt;=$O$2,$D690,$D690-($D690-$I$670)*MIN(E$3-$O$2,$Q$2)/$Q$2))</f>
        <v>6882.02159881592</v>
      </c>
      <c r="F690" s="15" t="n">
        <f aca="false">E690*(1+IF(F$3&lt;=$O$2,$D690,$D690-($D690-$I$670)*MIN(F$3-$O$2,$Q$2)/$Q$2))</f>
        <v>7354.3821873554</v>
      </c>
      <c r="G690" s="15" t="n">
        <f aca="false">F690*(1+IF(G$3&lt;=$O$2,$D690,$D690-($D690-$I$670)*MIN(G$3-$O$2,$Q$2)/$Q$2))</f>
        <v>7859.16413964704</v>
      </c>
      <c r="H690" s="15" t="n">
        <f aca="false">G690*(1+IF(H$3&lt;=$O$2,$D690,$D690-($D690-$I$670)*MIN(H$3-$O$2,$Q$2)/$Q$2))</f>
        <v>8398.59275740535</v>
      </c>
      <c r="I690" s="15" t="n">
        <f aca="false">H690*(1+IF(I$3&lt;=$O$2,$D690,$D690-($D690-$I$670)*MIN(I$3-$O$2,$Q$2)/$Q$2))</f>
        <v>8975.04608014326</v>
      </c>
      <c r="J690" s="15" t="n">
        <f aca="false">I690*(1+IF(J$3&lt;=$O$2,$D690,$D690-($D690-$I$670)*MIN(J$3-$O$2,$Q$2)/$Q$2))</f>
        <v>9527.63531781856</v>
      </c>
      <c r="K690" s="15" t="n">
        <f aca="false">J690*(1+IF(K$3&lt;=$O$2,$D690,$D690-($D690-$I$670)*MIN(K$3-$O$2,$Q$2)/$Q$2))</f>
        <v>10046.9117987721</v>
      </c>
      <c r="L690" s="15" t="n">
        <f aca="false">K690*(1+IF(L$3&lt;=$O$2,$D690,$D690-($D690-$I$670)*MIN(L$3-$O$2,$Q$2)/$Q$2))</f>
        <v>10523.484625484</v>
      </c>
      <c r="M690" s="15" t="n">
        <f aca="false">L690*(1+IF(M$3&lt;=$O$2,$D690,$D690-($D690-$I$670)*MIN(M$3-$O$2,$Q$2)/$Q$2))</f>
        <v>10948.2901161327</v>
      </c>
      <c r="N690" s="15" t="n">
        <f aca="false">M690*(1+IF(N$3&lt;=$O$2,$D690,$D690-($D690-$I$670)*MIN(N$3-$O$2,$Q$2)/$Q$2))</f>
        <v>11312.8681769999</v>
      </c>
      <c r="O690" s="15" t="n">
        <f aca="false">SUMPRODUCT(E690:N690,1/(1+$F$670)^$E$3:$N$3)*$E$2</f>
        <v>10560.5088108419</v>
      </c>
      <c r="P690" s="15" t="n">
        <f aca="false">N690*$E$2*(1+$I$670)/($F$670-$I$670)/(1+$F$670)^$N$3</f>
        <v>12029.4854589712</v>
      </c>
      <c r="Q690" s="15" t="n">
        <f aca="false">O690+P690</f>
        <v>22589.9942698131</v>
      </c>
      <c r="R690" s="15" t="n">
        <f aca="false">Q690-$G$2+$I$2</f>
        <v>17290.0942698131</v>
      </c>
      <c r="S690" s="42" t="n">
        <f aca="false">R690/$K$2</f>
        <v>147.174789494493</v>
      </c>
      <c r="T690" s="43" t="n">
        <f aca="false">S690-$M$2</f>
        <v>0.000802432865810943</v>
      </c>
    </row>
    <row r="691" customFormat="false" ht="15" hidden="false" customHeight="false" outlineLevel="0" collapsed="false">
      <c r="A691" s="5" t="n">
        <v>20</v>
      </c>
      <c r="B691" s="25" t="n">
        <f aca="false">IF(T690&gt;0,B690,D690)</f>
        <v>0.068634033203125</v>
      </c>
      <c r="C691" s="25" t="n">
        <f aca="false">IF(T690&gt;0,D690,C690)</f>
        <v>0.0686368942260742</v>
      </c>
      <c r="D691" s="41" t="n">
        <f aca="false">(B691+C691)/2</f>
        <v>0.0686354637145996</v>
      </c>
      <c r="E691" s="15" t="n">
        <f aca="false">$C$2*(1+IF(E$3&lt;=$O$2,$D691,$D691-($D691-$I$670)*MIN(E$3-$O$2,$Q$2)/$Q$2))</f>
        <v>6882.01238632202</v>
      </c>
      <c r="F691" s="15" t="n">
        <f aca="false">E691*(1+IF(F$3&lt;=$O$2,$D691,$D691-($D691-$I$670)*MIN(F$3-$O$2,$Q$2)/$Q$2))</f>
        <v>7354.36249774685</v>
      </c>
      <c r="G691" s="15" t="n">
        <f aca="false">F691*(1+IF(G$3&lt;=$O$2,$D691,$D691-($D691-$I$670)*MIN(G$3-$O$2,$Q$2)/$Q$2))</f>
        <v>7859.13257810497</v>
      </c>
      <c r="H691" s="15" t="n">
        <f aca="false">G691*(1+IF(H$3&lt;=$O$2,$D691,$D691-($D691-$I$670)*MIN(H$3-$O$2,$Q$2)/$Q$2))</f>
        <v>8398.54778699772</v>
      </c>
      <c r="I691" s="15" t="n">
        <f aca="false">H691*(1+IF(I$3&lt;=$O$2,$D691,$D691-($D691-$I$670)*MIN(I$3-$O$2,$Q$2)/$Q$2))</f>
        <v>8974.98600888753</v>
      </c>
      <c r="J691" s="15" t="n">
        <f aca="false">I691*(1+IF(J$3&lt;=$O$2,$D691,$D691-($D691-$I$670)*MIN(J$3-$O$2,$Q$2)/$Q$2))</f>
        <v>9527.56127694835</v>
      </c>
      <c r="K691" s="15" t="n">
        <f aca="false">J691*(1+IF(K$3&lt;=$O$2,$D691,$D691-($D691-$I$670)*MIN(K$3-$O$2,$Q$2)/$Q$2))</f>
        <v>10046.8255449449</v>
      </c>
      <c r="L691" s="15" t="n">
        <f aca="false">K691*(1+IF(L$3&lt;=$O$2,$D691,$D691-($D691-$I$670)*MIN(L$3-$O$2,$Q$2)/$Q$2))</f>
        <v>10523.3885313877</v>
      </c>
      <c r="M691" s="15" t="n">
        <f aca="false">L691*(1+IF(M$3&lt;=$O$2,$D691,$D691-($D691-$I$670)*MIN(M$3-$O$2,$Q$2)/$Q$2))</f>
        <v>10948.187132204</v>
      </c>
      <c r="N691" s="15" t="n">
        <f aca="false">M691*(1+IF(N$3&lt;=$O$2,$D691,$D691-($D691-$I$670)*MIN(N$3-$O$2,$Q$2)/$Q$2))</f>
        <v>11312.7617637064</v>
      </c>
      <c r="O691" s="15" t="n">
        <f aca="false">SUMPRODUCT(E691:N691,1/(1+$F$670)^$E$3:$N$3)*$E$2</f>
        <v>10560.4442602697</v>
      </c>
      <c r="P691" s="15" t="n">
        <f aca="false">N691*$E$2*(1+$I$670)/($F$670-$I$670)/(1+$F$670)^$N$3</f>
        <v>12029.3723048932</v>
      </c>
      <c r="Q691" s="15" t="n">
        <f aca="false">O691+P691</f>
        <v>22589.8165651629</v>
      </c>
      <c r="R691" s="15" t="n">
        <f aca="false">Q691-$G$2+$I$2</f>
        <v>17289.9165651629</v>
      </c>
      <c r="S691" s="42" t="n">
        <f aca="false">R691/$K$2</f>
        <v>147.173276857022</v>
      </c>
      <c r="T691" s="43" t="n">
        <f aca="false">S691-$M$2</f>
        <v>-0.000710204605582021</v>
      </c>
    </row>
    <row r="692" customFormat="false" ht="15" hidden="false" customHeight="false" outlineLevel="0" collapsed="false">
      <c r="A692" s="5" t="n">
        <v>21</v>
      </c>
      <c r="B692" s="25" t="n">
        <f aca="false">IF(T691&gt;0,B691,D691)</f>
        <v>0.0686354637145996</v>
      </c>
      <c r="C692" s="25" t="n">
        <f aca="false">IF(T691&gt;0,D691,C691)</f>
        <v>0.0686368942260742</v>
      </c>
      <c r="D692" s="41" t="n">
        <f aca="false">(B692+C692)/2</f>
        <v>0.0686361789703369</v>
      </c>
      <c r="E692" s="15" t="n">
        <f aca="false">$C$2*(1+IF(E$3&lt;=$O$2,$D692,$D692-($D692-$I$670)*MIN(E$3-$O$2,$Q$2)/$Q$2))</f>
        <v>6882.01699256897</v>
      </c>
      <c r="F692" s="15" t="n">
        <f aca="false">E692*(1+IF(F$3&lt;=$O$2,$D692,$D692-($D692-$I$670)*MIN(F$3-$O$2,$Q$2)/$Q$2))</f>
        <v>7354.37234254783</v>
      </c>
      <c r="G692" s="15" t="n">
        <f aca="false">F692*(1+IF(G$3&lt;=$O$2,$D692,$D692-($D692-$I$670)*MIN(G$3-$O$2,$Q$2)/$Q$2))</f>
        <v>7859.14835886544</v>
      </c>
      <c r="H692" s="15" t="n">
        <f aca="false">G692*(1+IF(H$3&lt;=$O$2,$D692,$D692-($D692-$I$670)*MIN(H$3-$O$2,$Q$2)/$Q$2))</f>
        <v>8398.57027217896</v>
      </c>
      <c r="I692" s="15" t="n">
        <f aca="false">H692*(1+IF(I$3&lt;=$O$2,$D692,$D692-($D692-$I$670)*MIN(I$3-$O$2,$Q$2)/$Q$2))</f>
        <v>8975.01604447519</v>
      </c>
      <c r="J692" s="15" t="n">
        <f aca="false">I692*(1+IF(J$3&lt;=$O$2,$D692,$D692-($D692-$I$670)*MIN(J$3-$O$2,$Q$2)/$Q$2))</f>
        <v>9527.59829732359</v>
      </c>
      <c r="K692" s="15" t="n">
        <f aca="false">J692*(1+IF(K$3&lt;=$O$2,$D692,$D692-($D692-$I$670)*MIN(K$3-$O$2,$Q$2)/$Q$2))</f>
        <v>10046.8686717795</v>
      </c>
      <c r="L692" s="15" t="n">
        <f aca="false">K692*(1+IF(L$3&lt;=$O$2,$D692,$D692-($D692-$I$670)*MIN(L$3-$O$2,$Q$2)/$Q$2))</f>
        <v>10523.4365783407</v>
      </c>
      <c r="M692" s="15" t="n">
        <f aca="false">L692*(1+IF(M$3&lt;=$O$2,$D692,$D692-($D692-$I$670)*MIN(M$3-$O$2,$Q$2)/$Q$2))</f>
        <v>10948.2386240625</v>
      </c>
      <c r="N692" s="15" t="n">
        <f aca="false">M692*(1+IF(N$3&lt;=$O$2,$D692,$D692-($D692-$I$670)*MIN(N$3-$O$2,$Q$2)/$Q$2))</f>
        <v>11312.8149702438</v>
      </c>
      <c r="O692" s="15" t="n">
        <f aca="false">SUMPRODUCT(E692:N692,1/(1+$F$670)^$E$3:$N$3)*$E$2</f>
        <v>10560.4765355061</v>
      </c>
      <c r="P692" s="15" t="n">
        <f aca="false">N692*$E$2*(1+$I$670)/($F$670-$I$670)/(1+$F$670)^$N$3</f>
        <v>12029.4288818159</v>
      </c>
      <c r="Q692" s="15" t="n">
        <f aca="false">O692+P692</f>
        <v>22589.905417322</v>
      </c>
      <c r="R692" s="15" t="n">
        <f aca="false">Q692-$G$2+$I$2</f>
        <v>17290.005417322</v>
      </c>
      <c r="S692" s="42" t="n">
        <f aca="false">R692/$K$2</f>
        <v>147.174033174345</v>
      </c>
      <c r="T692" s="43" t="n">
        <f aca="false">S692-$M$2</f>
        <v>4.61127170865439E-005</v>
      </c>
    </row>
    <row r="693" customFormat="false" ht="15" hidden="false" customHeight="false" outlineLevel="0" collapsed="false">
      <c r="A693" s="5" t="n">
        <v>22</v>
      </c>
      <c r="B693" s="25" t="n">
        <f aca="false">IF(T692&gt;0,B692,D692)</f>
        <v>0.0686354637145996</v>
      </c>
      <c r="C693" s="25" t="n">
        <f aca="false">IF(T692&gt;0,D692,C692)</f>
        <v>0.0686361789703369</v>
      </c>
      <c r="D693" s="41" t="n">
        <f aca="false">(B693+C693)/2</f>
        <v>0.0686358213424683</v>
      </c>
      <c r="E693" s="15" t="n">
        <f aca="false">$C$2*(1+IF(E$3&lt;=$O$2,$D693,$D693-($D693-$I$670)*MIN(E$3-$O$2,$Q$2)/$Q$2))</f>
        <v>6882.0146894455</v>
      </c>
      <c r="F693" s="15" t="n">
        <f aca="false">E693*(1+IF(F$3&lt;=$O$2,$D693,$D693-($D693-$I$670)*MIN(F$3-$O$2,$Q$2)/$Q$2))</f>
        <v>7354.36742014652</v>
      </c>
      <c r="G693" s="15" t="n">
        <f aca="false">F693*(1+IF(G$3&lt;=$O$2,$D693,$D693-($D693-$I$670)*MIN(G$3-$O$2,$Q$2)/$Q$2))</f>
        <v>7859.14046848257</v>
      </c>
      <c r="H693" s="15" t="n">
        <f aca="false">G693*(1+IF(H$3&lt;=$O$2,$D693,$D693-($D693-$I$670)*MIN(H$3-$O$2,$Q$2)/$Q$2))</f>
        <v>8398.5590295827</v>
      </c>
      <c r="I693" s="15" t="n">
        <f aca="false">H693*(1+IF(I$3&lt;=$O$2,$D693,$D693-($D693-$I$670)*MIN(I$3-$O$2,$Q$2)/$Q$2))</f>
        <v>8975.00102667131</v>
      </c>
      <c r="J693" s="15" t="n">
        <f aca="false">I693*(1+IF(J$3&lt;=$O$2,$D693,$D693-($D693-$I$670)*MIN(J$3-$O$2,$Q$2)/$Q$2))</f>
        <v>9527.57978712101</v>
      </c>
      <c r="K693" s="15" t="n">
        <f aca="false">J693*(1+IF(K$3&lt;=$O$2,$D693,$D693-($D693-$I$670)*MIN(K$3-$O$2,$Q$2)/$Q$2))</f>
        <v>10046.8471083424</v>
      </c>
      <c r="L693" s="15" t="n">
        <f aca="false">K693*(1+IF(L$3&lt;=$O$2,$D693,$D693-($D693-$I$670)*MIN(L$3-$O$2,$Q$2)/$Q$2))</f>
        <v>10523.4125548404</v>
      </c>
      <c r="M693" s="15" t="n">
        <f aca="false">L693*(1+IF(M$3&lt;=$O$2,$D693,$D693-($D693-$I$670)*MIN(M$3-$O$2,$Q$2)/$Q$2))</f>
        <v>10948.2128781068</v>
      </c>
      <c r="N693" s="15" t="n">
        <f aca="false">M693*(1+IF(N$3&lt;=$O$2,$D693,$D693-($D693-$I$670)*MIN(N$3-$O$2,$Q$2)/$Q$2))</f>
        <v>11312.7883669478</v>
      </c>
      <c r="O693" s="15" t="n">
        <f aca="false">SUMPRODUCT(E693:N693,1/(1+$F$670)^$E$3:$N$3)*$E$2</f>
        <v>10560.4603978755</v>
      </c>
      <c r="P693" s="15" t="n">
        <f aca="false">N693*$E$2*(1+$I$670)/($F$670-$I$670)/(1+$F$670)^$N$3</f>
        <v>12029.4005933255</v>
      </c>
      <c r="Q693" s="15" t="n">
        <f aca="false">O693+P693</f>
        <v>22589.860991201</v>
      </c>
      <c r="R693" s="15" t="n">
        <f aca="false">Q693-$G$2+$I$2</f>
        <v>17289.960991201</v>
      </c>
      <c r="S693" s="42" t="n">
        <f aca="false">R693/$K$2</f>
        <v>147.17365501533</v>
      </c>
      <c r="T693" s="43" t="n">
        <f aca="false">S693-$M$2</f>
        <v>-0.000332046297444322</v>
      </c>
    </row>
    <row r="694" customFormat="false" ht="15" hidden="false" customHeight="false" outlineLevel="0" collapsed="false">
      <c r="A694" s="5" t="n">
        <v>23</v>
      </c>
      <c r="B694" s="25" t="n">
        <f aca="false">IF(T693&gt;0,B693,D693)</f>
        <v>0.0686358213424683</v>
      </c>
      <c r="C694" s="25" t="n">
        <f aca="false">IF(T693&gt;0,D693,C693)</f>
        <v>0.0686361789703369</v>
      </c>
      <c r="D694" s="41" t="n">
        <f aca="false">(B694+C694)/2</f>
        <v>0.0686360001564026</v>
      </c>
      <c r="E694" s="15" t="n">
        <f aca="false">$C$2*(1+IF(E$3&lt;=$O$2,$D694,$D694-($D694-$I$670)*MIN(E$3-$O$2,$Q$2)/$Q$2))</f>
        <v>6882.01584100723</v>
      </c>
      <c r="F694" s="15" t="n">
        <f aca="false">E694*(1+IF(F$3&lt;=$O$2,$D694,$D694-($D694-$I$670)*MIN(F$3-$O$2,$Q$2)/$Q$2))</f>
        <v>7354.36988134697</v>
      </c>
      <c r="G694" s="15" t="n">
        <f aca="false">F694*(1+IF(G$3&lt;=$O$2,$D694,$D694-($D694-$I$670)*MIN(G$3-$O$2,$Q$2)/$Q$2))</f>
        <v>7859.14441367334</v>
      </c>
      <c r="H694" s="15" t="n">
        <f aca="false">G694*(1+IF(H$3&lt;=$O$2,$D694,$D694-($D694-$I$670)*MIN(H$3-$O$2,$Q$2)/$Q$2))</f>
        <v>8398.56465087942</v>
      </c>
      <c r="I694" s="15" t="n">
        <f aca="false">H694*(1+IF(I$3&lt;=$O$2,$D694,$D694-($D694-$I$670)*MIN(I$3-$O$2,$Q$2)/$Q$2))</f>
        <v>8975.00853557073</v>
      </c>
      <c r="J694" s="15" t="n">
        <f aca="false">I694*(1+IF(J$3&lt;=$O$2,$D694,$D694-($D694-$I$670)*MIN(J$3-$O$2,$Q$2)/$Q$2))</f>
        <v>9527.58904221855</v>
      </c>
      <c r="K694" s="15" t="n">
        <f aca="false">J694*(1+IF(K$3&lt;=$O$2,$D694,$D694-($D694-$I$670)*MIN(K$3-$O$2,$Q$2)/$Q$2))</f>
        <v>10046.857890056</v>
      </c>
      <c r="L694" s="15" t="n">
        <f aca="false">K694*(1+IF(L$3&lt;=$O$2,$D694,$D694-($D694-$I$670)*MIN(L$3-$O$2,$Q$2)/$Q$2))</f>
        <v>10523.4245665846</v>
      </c>
      <c r="M694" s="15" t="n">
        <f aca="false">L694*(1+IF(M$3&lt;=$O$2,$D694,$D694-($D694-$I$670)*MIN(M$3-$O$2,$Q$2)/$Q$2))</f>
        <v>10948.225751078</v>
      </c>
      <c r="N694" s="15" t="n">
        <f aca="false">M694*(1+IF(N$3&lt;=$O$2,$D694,$D694-($D694-$I$670)*MIN(N$3-$O$2,$Q$2)/$Q$2))</f>
        <v>11312.8016685889</v>
      </c>
      <c r="O694" s="15" t="n">
        <f aca="false">SUMPRODUCT(E694:N694,1/(1+$F$670)^$E$3:$N$3)*$E$2</f>
        <v>10560.4684666877</v>
      </c>
      <c r="P694" s="15" t="n">
        <f aca="false">N694*$E$2*(1+$I$670)/($F$670-$I$670)/(1+$F$670)^$N$3</f>
        <v>12029.4147375634</v>
      </c>
      <c r="Q694" s="15" t="n">
        <f aca="false">O694+P694</f>
        <v>22589.8832042511</v>
      </c>
      <c r="R694" s="15" t="n">
        <f aca="false">Q694-$G$2+$I$2</f>
        <v>17289.9832042511</v>
      </c>
      <c r="S694" s="42" t="n">
        <f aca="false">R694/$K$2</f>
        <v>147.173844094749</v>
      </c>
      <c r="T694" s="43" t="n">
        <f aca="false">S694-$M$2</f>
        <v>-0.00014296687848514</v>
      </c>
    </row>
    <row r="695" customFormat="false" ht="15" hidden="false" customHeight="false" outlineLevel="0" collapsed="false">
      <c r="A695" s="5" t="n">
        <v>24</v>
      </c>
      <c r="B695" s="25" t="n">
        <f aca="false">IF(T694&gt;0,B694,D694)</f>
        <v>0.0686360001564026</v>
      </c>
      <c r="C695" s="25" t="n">
        <f aca="false">IF(T694&gt;0,D694,C694)</f>
        <v>0.0686361789703369</v>
      </c>
      <c r="D695" s="41" t="n">
        <f aca="false">(B695+C695)/2</f>
        <v>0.0686360895633698</v>
      </c>
      <c r="E695" s="15" t="n">
        <f aca="false">$C$2*(1+IF(E$3&lt;=$O$2,$D695,$D695-($D695-$I$670)*MIN(E$3-$O$2,$Q$2)/$Q$2))</f>
        <v>6882.0164167881</v>
      </c>
      <c r="F695" s="15" t="n">
        <f aca="false">E695*(1+IF(F$3&lt;=$O$2,$D695,$D695-($D695-$I$670)*MIN(F$3-$O$2,$Q$2)/$Q$2))</f>
        <v>7354.37111194735</v>
      </c>
      <c r="G695" s="15" t="n">
        <f aca="false">F695*(1+IF(G$3&lt;=$O$2,$D695,$D695-($D695-$I$670)*MIN(G$3-$O$2,$Q$2)/$Q$2))</f>
        <v>7859.14638626923</v>
      </c>
      <c r="H695" s="15" t="n">
        <f aca="false">G695*(1+IF(H$3&lt;=$O$2,$D695,$D695-($D695-$I$670)*MIN(H$3-$O$2,$Q$2)/$Q$2))</f>
        <v>8398.56746152884</v>
      </c>
      <c r="I695" s="15" t="n">
        <f aca="false">H695*(1+IF(I$3&lt;=$O$2,$D695,$D695-($D695-$I$670)*MIN(I$3-$O$2,$Q$2)/$Q$2))</f>
        <v>8975.01229002233</v>
      </c>
      <c r="J695" s="15" t="n">
        <f aca="false">I695*(1+IF(J$3&lt;=$O$2,$D695,$D695-($D695-$I$670)*MIN(J$3-$O$2,$Q$2)/$Q$2))</f>
        <v>9527.59366977014</v>
      </c>
      <c r="K695" s="15" t="n">
        <f aca="false">J695*(1+IF(K$3&lt;=$O$2,$D695,$D695-($D695-$I$670)*MIN(K$3-$O$2,$Q$2)/$Q$2))</f>
        <v>10046.8632809165</v>
      </c>
      <c r="L695" s="15" t="n">
        <f aca="false">K695*(1+IF(L$3&lt;=$O$2,$D695,$D695-($D695-$I$670)*MIN(L$3-$O$2,$Q$2)/$Q$2))</f>
        <v>10523.4305724612</v>
      </c>
      <c r="M695" s="15" t="n">
        <f aca="false">L695*(1+IF(M$3&lt;=$O$2,$D695,$D695-($D695-$I$670)*MIN(M$3-$O$2,$Q$2)/$Q$2))</f>
        <v>10948.2321875686</v>
      </c>
      <c r="N695" s="15" t="n">
        <f aca="false">M695*(1+IF(N$3&lt;=$O$2,$D695,$D695-($D695-$I$670)*MIN(N$3-$O$2,$Q$2)/$Q$2))</f>
        <v>11312.8083194147</v>
      </c>
      <c r="O695" s="15" t="n">
        <f aca="false">SUMPRODUCT(E695:N695,1/(1+$F$670)^$E$3:$N$3)*$E$2</f>
        <v>10560.4725010961</v>
      </c>
      <c r="P695" s="15" t="n">
        <f aca="false">N695*$E$2*(1+$I$670)/($F$670-$I$670)/(1+$F$670)^$N$3</f>
        <v>12029.4218096879</v>
      </c>
      <c r="Q695" s="15" t="n">
        <f aca="false">O695+P695</f>
        <v>22589.894310784</v>
      </c>
      <c r="R695" s="15" t="n">
        <f aca="false">Q695-$G$2+$I$2</f>
        <v>17289.994310784</v>
      </c>
      <c r="S695" s="42" t="n">
        <f aca="false">R695/$K$2</f>
        <v>147.173938634525</v>
      </c>
      <c r="T695" s="43" t="n">
        <f aca="false">S695-$M$2</f>
        <v>-4.84271027403338E-005</v>
      </c>
    </row>
    <row r="697" customFormat="false" ht="15" hidden="false" customHeight="false" outlineLevel="0" collapsed="false">
      <c r="A697" s="38" t="s">
        <v>205</v>
      </c>
      <c r="E697" s="5" t="s">
        <v>11</v>
      </c>
      <c r="F697" s="12" t="n">
        <f aca="false">Sensitivity!$B$14</f>
        <v>0.104988656731527</v>
      </c>
      <c r="G697" s="5" t="s">
        <v>12</v>
      </c>
      <c r="I697" s="12" t="n">
        <f aca="false">Sensitivity!$G$9</f>
        <v>0.0383</v>
      </c>
    </row>
    <row r="698" customFormat="false" ht="23.85" hidden="false" customHeight="false" outlineLevel="0" collapsed="false">
      <c r="A698" s="38" t="s">
        <v>161</v>
      </c>
      <c r="B698" s="28" t="s">
        <v>162</v>
      </c>
      <c r="C698" s="28" t="s">
        <v>163</v>
      </c>
      <c r="D698" s="28" t="s">
        <v>164</v>
      </c>
      <c r="E698" s="28" t="s">
        <v>165</v>
      </c>
      <c r="F698" s="28" t="s">
        <v>166</v>
      </c>
      <c r="G698" s="28" t="s">
        <v>167</v>
      </c>
      <c r="H698" s="28" t="s">
        <v>168</v>
      </c>
      <c r="I698" s="28" t="s">
        <v>169</v>
      </c>
      <c r="J698" s="28" t="s">
        <v>170</v>
      </c>
      <c r="K698" s="28" t="s">
        <v>171</v>
      </c>
      <c r="L698" s="28" t="s">
        <v>172</v>
      </c>
      <c r="M698" s="28" t="s">
        <v>173</v>
      </c>
      <c r="N698" s="28" t="s">
        <v>174</v>
      </c>
      <c r="O698" s="28" t="s">
        <v>175</v>
      </c>
      <c r="P698" s="28" t="s">
        <v>176</v>
      </c>
      <c r="Q698" s="28" t="s">
        <v>177</v>
      </c>
      <c r="R698" s="28" t="s">
        <v>178</v>
      </c>
      <c r="S698" s="28" t="s">
        <v>179</v>
      </c>
      <c r="T698" s="28" t="s">
        <v>180</v>
      </c>
    </row>
    <row r="699" customFormat="false" ht="15" hidden="false" customHeight="false" outlineLevel="0" collapsed="false">
      <c r="A699" s="5" t="n">
        <v>1</v>
      </c>
      <c r="B699" s="24" t="n">
        <v>-0.5</v>
      </c>
      <c r="C699" s="24" t="n">
        <v>1</v>
      </c>
      <c r="D699" s="41" t="n">
        <f aca="false">(B699+C699)/2</f>
        <v>0.25</v>
      </c>
      <c r="E699" s="15" t="n">
        <f aca="false">$C$2*(1+IF(E$3&lt;=$O$2,$D699,$D699-($D699-$I$697)*MIN(E$3-$O$2,$Q$2)/$Q$2))</f>
        <v>8050</v>
      </c>
      <c r="F699" s="15" t="n">
        <f aca="false">E699*(1+IF(F$3&lt;=$O$2,$D699,$D699-($D699-$I$697)*MIN(F$3-$O$2,$Q$2)/$Q$2))</f>
        <v>10062.5</v>
      </c>
      <c r="G699" s="15" t="n">
        <f aca="false">F699*(1+IF(G$3&lt;=$O$2,$D699,$D699-($D699-$I$697)*MIN(G$3-$O$2,$Q$2)/$Q$2))</f>
        <v>12578.125</v>
      </c>
      <c r="H699" s="15" t="n">
        <f aca="false">G699*(1+IF(H$3&lt;=$O$2,$D699,$D699-($D699-$I$697)*MIN(H$3-$O$2,$Q$2)/$Q$2))</f>
        <v>15722.65625</v>
      </c>
      <c r="I699" s="15" t="n">
        <f aca="false">H699*(1+IF(I$3&lt;=$O$2,$D699,$D699-($D699-$I$697)*MIN(I$3-$O$2,$Q$2)/$Q$2))</f>
        <v>19653.3203125</v>
      </c>
      <c r="J699" s="15" t="n">
        <f aca="false">I699*(1+IF(J$3&lt;=$O$2,$D699,$D699-($D699-$I$697)*MIN(J$3-$O$2,$Q$2)/$Q$2))</f>
        <v>23734.5288085938</v>
      </c>
      <c r="K699" s="15" t="n">
        <f aca="false">J699*(1+IF(K$3&lt;=$O$2,$D699,$D699-($D699-$I$697)*MIN(K$3-$O$2,$Q$2)/$Q$2))</f>
        <v>27658.3211112305</v>
      </c>
      <c r="L699" s="15" t="n">
        <f aca="false">K699*(1+IF(L$3&lt;=$O$2,$D699,$D699-($D699-$I$697)*MIN(L$3-$O$2,$Q$2)/$Q$2))</f>
        <v>31059.7414414896</v>
      </c>
      <c r="M699" s="15" t="n">
        <f aca="false">L699*(1+IF(M$3&lt;=$O$2,$D699,$D699-($D699-$I$697)*MIN(M$3-$O$2,$Q$2)/$Q$2))</f>
        <v>33564.3989913313</v>
      </c>
      <c r="N699" s="15" t="n">
        <f aca="false">M699*(1+IF(N$3&lt;=$O$2,$D699,$D699-($D699-$I$697)*MIN(N$3-$O$2,$Q$2)/$Q$2))</f>
        <v>34849.9154726993</v>
      </c>
      <c r="O699" s="15" t="n">
        <f aca="false">SUMPRODUCT(E699:N699,1/(1+$F$697)^$E$3:$N$3)*$E$2</f>
        <v>22943.0571323082</v>
      </c>
      <c r="P699" s="15" t="n">
        <f aca="false">N699*$E$2*(1+$I$697)/($F$697-$I$697)/(1+$F$697)^$N$3</f>
        <v>40028.6507685293</v>
      </c>
      <c r="Q699" s="15" t="n">
        <f aca="false">O699+P699</f>
        <v>62971.7079008374</v>
      </c>
      <c r="R699" s="15" t="n">
        <f aca="false">Q699-$G$2+$I$2</f>
        <v>57671.8079008374</v>
      </c>
      <c r="S699" s="42" t="n">
        <f aca="false">R699/$K$2</f>
        <v>490.907455744275</v>
      </c>
      <c r="T699" s="43" t="n">
        <f aca="false">S699-$M$2</f>
        <v>343.733468682648</v>
      </c>
    </row>
    <row r="700" customFormat="false" ht="15" hidden="false" customHeight="false" outlineLevel="0" collapsed="false">
      <c r="A700" s="5" t="n">
        <v>2</v>
      </c>
      <c r="B700" s="25" t="n">
        <f aca="false">IF(T699&gt;0,B699,D699)</f>
        <v>-0.5</v>
      </c>
      <c r="C700" s="25" t="n">
        <f aca="false">IF(T699&gt;0,D699,C699)</f>
        <v>0.25</v>
      </c>
      <c r="D700" s="41" t="n">
        <f aca="false">(B700+C700)/2</f>
        <v>-0.125</v>
      </c>
      <c r="E700" s="15" t="n">
        <f aca="false">$C$2*(1+IF(E$3&lt;=$O$2,$D700,$D700-($D700-$I$697)*MIN(E$3-$O$2,$Q$2)/$Q$2))</f>
        <v>5635</v>
      </c>
      <c r="F700" s="15" t="n">
        <f aca="false">E700*(1+IF(F$3&lt;=$O$2,$D700,$D700-($D700-$I$697)*MIN(F$3-$O$2,$Q$2)/$Q$2))</f>
        <v>4930.625</v>
      </c>
      <c r="G700" s="15" t="n">
        <f aca="false">F700*(1+IF(G$3&lt;=$O$2,$D700,$D700-($D700-$I$697)*MIN(G$3-$O$2,$Q$2)/$Q$2))</f>
        <v>4314.296875</v>
      </c>
      <c r="H700" s="15" t="n">
        <f aca="false">G700*(1+IF(H$3&lt;=$O$2,$D700,$D700-($D700-$I$697)*MIN(H$3-$O$2,$Q$2)/$Q$2))</f>
        <v>3775.009765625</v>
      </c>
      <c r="I700" s="15" t="n">
        <f aca="false">H700*(1+IF(I$3&lt;=$O$2,$D700,$D700-($D700-$I$697)*MIN(I$3-$O$2,$Q$2)/$Q$2))</f>
        <v>3303.13354492188</v>
      </c>
      <c r="J700" s="15" t="n">
        <f aca="false">I700*(1+IF(J$3&lt;=$O$2,$D700,$D700-($D700-$I$697)*MIN(J$3-$O$2,$Q$2)/$Q$2))</f>
        <v>2998.12219338379</v>
      </c>
      <c r="K700" s="15" t="n">
        <f aca="false">J700*(1+IF(K$3&lt;=$O$2,$D700,$D700-($D700-$I$697)*MIN(K$3-$O$2,$Q$2)/$Q$2))</f>
        <v>2819.19426088265</v>
      </c>
      <c r="L700" s="15" t="n">
        <f aca="false">K700*(1+IF(L$3&lt;=$O$2,$D700,$D700-($D700-$I$697)*MIN(L$3-$O$2,$Q$2)/$Q$2))</f>
        <v>2743.0196319536</v>
      </c>
      <c r="M700" s="15" t="n">
        <f aca="false">L700*(1+IF(M$3&lt;=$O$2,$D700,$D700-($D700-$I$697)*MIN(M$3-$O$2,$Q$2)/$Q$2))</f>
        <v>2758.49026267781</v>
      </c>
      <c r="N700" s="15" t="n">
        <f aca="false">M700*(1+IF(N$3&lt;=$O$2,$D700,$D700-($D700-$I$697)*MIN(N$3-$O$2,$Q$2)/$Q$2))</f>
        <v>2864.14043973838</v>
      </c>
      <c r="O700" s="15" t="n">
        <f aca="false">SUMPRODUCT(E700:N700,1/(1+$F$697)^$E$3:$N$3)*$E$2</f>
        <v>4671.61395964105</v>
      </c>
      <c r="P700" s="15" t="n">
        <f aca="false">N700*$E$2*(1+$I$697)/($F$697-$I$697)/(1+$F$697)^$N$3</f>
        <v>3289.75482032724</v>
      </c>
      <c r="Q700" s="15" t="n">
        <f aca="false">O700+P700</f>
        <v>7961.36877996828</v>
      </c>
      <c r="R700" s="15" t="n">
        <f aca="false">Q700-$G$2+$I$2</f>
        <v>2661.46877996828</v>
      </c>
      <c r="S700" s="42" t="n">
        <f aca="false">R700/$K$2</f>
        <v>22.6546542387494</v>
      </c>
      <c r="T700" s="43" t="n">
        <f aca="false">S700-$M$2</f>
        <v>-124.519332822878</v>
      </c>
    </row>
    <row r="701" customFormat="false" ht="15" hidden="false" customHeight="false" outlineLevel="0" collapsed="false">
      <c r="A701" s="5" t="n">
        <v>3</v>
      </c>
      <c r="B701" s="25" t="n">
        <f aca="false">IF(T700&gt;0,B700,D700)</f>
        <v>-0.125</v>
      </c>
      <c r="C701" s="25" t="n">
        <f aca="false">IF(T700&gt;0,D700,C700)</f>
        <v>0.25</v>
      </c>
      <c r="D701" s="41" t="n">
        <f aca="false">(B701+C701)/2</f>
        <v>0.0625</v>
      </c>
      <c r="E701" s="15" t="n">
        <f aca="false">$C$2*(1+IF(E$3&lt;=$O$2,$D701,$D701-($D701-$I$697)*MIN(E$3-$O$2,$Q$2)/$Q$2))</f>
        <v>6842.5</v>
      </c>
      <c r="F701" s="15" t="n">
        <f aca="false">E701*(1+IF(F$3&lt;=$O$2,$D701,$D701-($D701-$I$697)*MIN(F$3-$O$2,$Q$2)/$Q$2))</f>
        <v>7270.15625</v>
      </c>
      <c r="G701" s="15" t="n">
        <f aca="false">F701*(1+IF(G$3&lt;=$O$2,$D701,$D701-($D701-$I$697)*MIN(G$3-$O$2,$Q$2)/$Q$2))</f>
        <v>7724.541015625</v>
      </c>
      <c r="H701" s="15" t="n">
        <f aca="false">G701*(1+IF(H$3&lt;=$O$2,$D701,$D701-($D701-$I$697)*MIN(H$3-$O$2,$Q$2)/$Q$2))</f>
        <v>8207.32482910156</v>
      </c>
      <c r="I701" s="15" t="n">
        <f aca="false">H701*(1+IF(I$3&lt;=$O$2,$D701,$D701-($D701-$I$697)*MIN(I$3-$O$2,$Q$2)/$Q$2))</f>
        <v>8720.28263092041</v>
      </c>
      <c r="J701" s="15" t="n">
        <f aca="false">I701*(1+IF(J$3&lt;=$O$2,$D701,$D701-($D701-$I$697)*MIN(J$3-$O$2,$Q$2)/$Q$2))</f>
        <v>9223.09412741928</v>
      </c>
      <c r="K701" s="15" t="n">
        <f aca="false">J701*(1+IF(K$3&lt;=$O$2,$D701,$D701-($D701-$I$697)*MIN(K$3-$O$2,$Q$2)/$Q$2))</f>
        <v>9710.25795922957</v>
      </c>
      <c r="L701" s="15" t="n">
        <f aca="false">K701*(1+IF(L$3&lt;=$O$2,$D701,$D701-($D701-$I$697)*MIN(L$3-$O$2,$Q$2)/$Q$2))</f>
        <v>10176.1561361134</v>
      </c>
      <c r="M701" s="15" t="n">
        <f aca="false">L701*(1+IF(M$3&lt;=$O$2,$D701,$D701-($D701-$I$697)*MIN(M$3-$O$2,$Q$2)/$Q$2))</f>
        <v>10615.1555118253</v>
      </c>
      <c r="N701" s="15" t="n">
        <f aca="false">M701*(1+IF(N$3&lt;=$O$2,$D701,$D701-($D701-$I$697)*MIN(N$3-$O$2,$Q$2)/$Q$2))</f>
        <v>11021.7159679282</v>
      </c>
      <c r="O701" s="15" t="n">
        <f aca="false">SUMPRODUCT(E701:N701,1/(1+$F$697)^$E$3:$N$3)*$E$2</f>
        <v>10315.9885750486</v>
      </c>
      <c r="P701" s="15" t="n">
        <f aca="false">N701*$E$2*(1+$I$697)/($F$697-$I$697)/(1+$F$697)^$N$3</f>
        <v>12659.5549333753</v>
      </c>
      <c r="Q701" s="15" t="n">
        <f aca="false">O701+P701</f>
        <v>22975.5435084239</v>
      </c>
      <c r="R701" s="15" t="n">
        <f aca="false">Q701-$G$2+$I$2</f>
        <v>17675.6435084239</v>
      </c>
      <c r="S701" s="42" t="n">
        <f aca="false">R701/$K$2</f>
        <v>150.456618219475</v>
      </c>
      <c r="T701" s="43" t="n">
        <f aca="false">S701-$M$2</f>
        <v>3.28263115784719</v>
      </c>
    </row>
    <row r="702" customFormat="false" ht="15" hidden="false" customHeight="false" outlineLevel="0" collapsed="false">
      <c r="A702" s="5" t="n">
        <v>4</v>
      </c>
      <c r="B702" s="25" t="n">
        <f aca="false">IF(T701&gt;0,B701,D701)</f>
        <v>-0.125</v>
      </c>
      <c r="C702" s="25" t="n">
        <f aca="false">IF(T701&gt;0,D701,C701)</f>
        <v>0.0625</v>
      </c>
      <c r="D702" s="41" t="n">
        <f aca="false">(B702+C702)/2</f>
        <v>-0.03125</v>
      </c>
      <c r="E702" s="15" t="n">
        <f aca="false">$C$2*(1+IF(E$3&lt;=$O$2,$D702,$D702-($D702-$I$697)*MIN(E$3-$O$2,$Q$2)/$Q$2))</f>
        <v>6238.75</v>
      </c>
      <c r="F702" s="15" t="n">
        <f aca="false">E702*(1+IF(F$3&lt;=$O$2,$D702,$D702-($D702-$I$697)*MIN(F$3-$O$2,$Q$2)/$Q$2))</f>
        <v>6043.7890625</v>
      </c>
      <c r="G702" s="15" t="n">
        <f aca="false">F702*(1+IF(G$3&lt;=$O$2,$D702,$D702-($D702-$I$697)*MIN(G$3-$O$2,$Q$2)/$Q$2))</f>
        <v>5854.92065429688</v>
      </c>
      <c r="H702" s="15" t="n">
        <f aca="false">G702*(1+IF(H$3&lt;=$O$2,$D702,$D702-($D702-$I$697)*MIN(H$3-$O$2,$Q$2)/$Q$2))</f>
        <v>5671.9543838501</v>
      </c>
      <c r="I702" s="15" t="n">
        <f aca="false">H702*(1+IF(I$3&lt;=$O$2,$D702,$D702-($D702-$I$697)*MIN(I$3-$O$2,$Q$2)/$Q$2))</f>
        <v>5494.70580935478</v>
      </c>
      <c r="J702" s="15" t="n">
        <f aca="false">I702*(1+IF(J$3&lt;=$O$2,$D702,$D702-($D702-$I$697)*MIN(J$3-$O$2,$Q$2)/$Q$2))</f>
        <v>5399.42761062057</v>
      </c>
      <c r="K702" s="15" t="n">
        <f aca="false">J702*(1+IF(K$3&lt;=$O$2,$D702,$D702-($D702-$I$697)*MIN(K$3-$O$2,$Q$2)/$Q$2))</f>
        <v>5380.90757391614</v>
      </c>
      <c r="L702" s="15" t="n">
        <f aca="false">K702*(1+IF(L$3&lt;=$O$2,$D702,$D702-($D702-$I$697)*MIN(L$3-$O$2,$Q$2)/$Q$2))</f>
        <v>5437.29948529078</v>
      </c>
      <c r="M702" s="15" t="n">
        <f aca="false">L702*(1+IF(M$3&lt;=$O$2,$D702,$D702-($D702-$I$697)*MIN(M$3-$O$2,$Q$2)/$Q$2))</f>
        <v>5569.91521973702</v>
      </c>
      <c r="N702" s="15" t="n">
        <f aca="false">M702*(1+IF(N$3&lt;=$O$2,$D702,$D702-($D702-$I$697)*MIN(N$3-$O$2,$Q$2)/$Q$2))</f>
        <v>5783.24297265295</v>
      </c>
      <c r="O702" s="15" t="n">
        <f aca="false">SUMPRODUCT(E702:N702,1/(1+$F$697)^$E$3:$N$3)*$E$2</f>
        <v>6919.53593721362</v>
      </c>
      <c r="P702" s="15" t="n">
        <f aca="false">N702*$E$2*(1+$I$697)/($F$697-$I$697)/(1+$F$697)^$N$3</f>
        <v>6642.6391605806</v>
      </c>
      <c r="Q702" s="15" t="n">
        <f aca="false">O702+P702</f>
        <v>13562.1750977942</v>
      </c>
      <c r="R702" s="15" t="n">
        <f aca="false">Q702-$G$2+$I$2</f>
        <v>8262.27509779421</v>
      </c>
      <c r="S702" s="42" t="n">
        <f aca="false">R702/$K$2</f>
        <v>70.3292058034918</v>
      </c>
      <c r="T702" s="43" t="n">
        <f aca="false">S702-$M$2</f>
        <v>-76.8447812581358</v>
      </c>
    </row>
    <row r="703" customFormat="false" ht="15" hidden="false" customHeight="false" outlineLevel="0" collapsed="false">
      <c r="A703" s="5" t="n">
        <v>5</v>
      </c>
      <c r="B703" s="25" t="n">
        <f aca="false">IF(T702&gt;0,B702,D702)</f>
        <v>-0.03125</v>
      </c>
      <c r="C703" s="25" t="n">
        <f aca="false">IF(T702&gt;0,D702,C702)</f>
        <v>0.0625</v>
      </c>
      <c r="D703" s="41" t="n">
        <f aca="false">(B703+C703)/2</f>
        <v>0.015625</v>
      </c>
      <c r="E703" s="15" t="n">
        <f aca="false">$C$2*(1+IF(E$3&lt;=$O$2,$D703,$D703-($D703-$I$697)*MIN(E$3-$O$2,$Q$2)/$Q$2))</f>
        <v>6540.625</v>
      </c>
      <c r="F703" s="15" t="n">
        <f aca="false">E703*(1+IF(F$3&lt;=$O$2,$D703,$D703-($D703-$I$697)*MIN(F$3-$O$2,$Q$2)/$Q$2))</f>
        <v>6642.822265625</v>
      </c>
      <c r="G703" s="15" t="n">
        <f aca="false">F703*(1+IF(G$3&lt;=$O$2,$D703,$D703-($D703-$I$697)*MIN(G$3-$O$2,$Q$2)/$Q$2))</f>
        <v>6746.61636352539</v>
      </c>
      <c r="H703" s="15" t="n">
        <f aca="false">G703*(1+IF(H$3&lt;=$O$2,$D703,$D703-($D703-$I$697)*MIN(H$3-$O$2,$Q$2)/$Q$2))</f>
        <v>6852.03224420548</v>
      </c>
      <c r="I703" s="15" t="n">
        <f aca="false">H703*(1+IF(I$3&lt;=$O$2,$D703,$D703-($D703-$I$697)*MIN(I$3-$O$2,$Q$2)/$Q$2))</f>
        <v>6959.09524802119</v>
      </c>
      <c r="J703" s="15" t="n">
        <f aca="false">I703*(1+IF(J$3&lt;=$O$2,$D703,$D703-($D703-$I$697)*MIN(J$3-$O$2,$Q$2)/$Q$2))</f>
        <v>7099.39060822129</v>
      </c>
      <c r="K703" s="15" t="n">
        <f aca="false">J703*(1+IF(K$3&lt;=$O$2,$D703,$D703-($D703-$I$697)*MIN(K$3-$O$2,$Q$2)/$Q$2))</f>
        <v>7274.71005929132</v>
      </c>
      <c r="L703" s="15" t="n">
        <f aca="false">K703*(1+IF(L$3&lt;=$O$2,$D703,$D703-($D703-$I$697)*MIN(L$3-$O$2,$Q$2)/$Q$2))</f>
        <v>7487.3498343244</v>
      </c>
      <c r="M703" s="15" t="n">
        <f aca="false">L703*(1+IF(M$3&lt;=$O$2,$D703,$D703-($D703-$I$697)*MIN(M$3-$O$2,$Q$2)/$Q$2))</f>
        <v>7740.16020148037</v>
      </c>
      <c r="N703" s="15" t="n">
        <f aca="false">M703*(1+IF(N$3&lt;=$O$2,$D703,$D703-($D703-$I$697)*MIN(N$3-$O$2,$Q$2)/$Q$2))</f>
        <v>8036.60833719706</v>
      </c>
      <c r="O703" s="15" t="n">
        <f aca="false">SUMPRODUCT(E703:N703,1/(1+$F$697)^$E$3:$N$3)*$E$2</f>
        <v>8444.49579156809</v>
      </c>
      <c r="P703" s="15" t="n">
        <f aca="false">N703*$E$2*(1+$I$697)/($F$697-$I$697)/(1+$F$697)^$N$3</f>
        <v>9230.85706607009</v>
      </c>
      <c r="Q703" s="15" t="n">
        <f aca="false">O703+P703</f>
        <v>17675.3528576382</v>
      </c>
      <c r="R703" s="15" t="n">
        <f aca="false">Q703-$G$2+$I$2</f>
        <v>12375.4528576382</v>
      </c>
      <c r="S703" s="42" t="n">
        <f aca="false">R703/$K$2</f>
        <v>105.340933415374</v>
      </c>
      <c r="T703" s="43" t="n">
        <f aca="false">S703-$M$2</f>
        <v>-41.8330536462531</v>
      </c>
    </row>
    <row r="704" customFormat="false" ht="15" hidden="false" customHeight="false" outlineLevel="0" collapsed="false">
      <c r="A704" s="5" t="n">
        <v>6</v>
      </c>
      <c r="B704" s="25" t="n">
        <f aca="false">IF(T703&gt;0,B703,D703)</f>
        <v>0.015625</v>
      </c>
      <c r="C704" s="25" t="n">
        <f aca="false">IF(T703&gt;0,D703,C703)</f>
        <v>0.0625</v>
      </c>
      <c r="D704" s="41" t="n">
        <f aca="false">(B704+C704)/2</f>
        <v>0.0390625</v>
      </c>
      <c r="E704" s="15" t="n">
        <f aca="false">$C$2*(1+IF(E$3&lt;=$O$2,$D704,$D704-($D704-$I$697)*MIN(E$3-$O$2,$Q$2)/$Q$2))</f>
        <v>6691.5625</v>
      </c>
      <c r="F704" s="15" t="n">
        <f aca="false">E704*(1+IF(F$3&lt;=$O$2,$D704,$D704-($D704-$I$697)*MIN(F$3-$O$2,$Q$2)/$Q$2))</f>
        <v>6952.95166015625</v>
      </c>
      <c r="G704" s="15" t="n">
        <f aca="false">F704*(1+IF(G$3&lt;=$O$2,$D704,$D704-($D704-$I$697)*MIN(G$3-$O$2,$Q$2)/$Q$2))</f>
        <v>7224.5513343811</v>
      </c>
      <c r="H704" s="15" t="n">
        <f aca="false">G704*(1+IF(H$3&lt;=$O$2,$D704,$D704-($D704-$I$697)*MIN(H$3-$O$2,$Q$2)/$Q$2))</f>
        <v>7506.76037088037</v>
      </c>
      <c r="I704" s="15" t="n">
        <f aca="false">H704*(1+IF(I$3&lt;=$O$2,$D704,$D704-($D704-$I$697)*MIN(I$3-$O$2,$Q$2)/$Q$2))</f>
        <v>7799.99319786788</v>
      </c>
      <c r="J704" s="15" t="n">
        <f aca="false">I704*(1+IF(J$3&lt;=$O$2,$D704,$D704-($D704-$I$697)*MIN(J$3-$O$2,$Q$2)/$Q$2))</f>
        <v>8103.49093319692</v>
      </c>
      <c r="K704" s="15" t="n">
        <f aca="false">J704*(1+IF(K$3&lt;=$O$2,$D704,$D704-($D704-$I$697)*MIN(K$3-$O$2,$Q$2)/$Q$2))</f>
        <v>8417.5619830403</v>
      </c>
      <c r="L704" s="15" t="n">
        <f aca="false">K704*(1+IF(L$3&lt;=$O$2,$D704,$D704-($D704-$I$697)*MIN(L$3-$O$2,$Q$2)/$Q$2))</f>
        <v>8742.52196339557</v>
      </c>
      <c r="M704" s="15" t="n">
        <f aca="false">L704*(1+IF(M$3&lt;=$O$2,$D704,$D704-($D704-$I$697)*MIN(M$3-$O$2,$Q$2)/$Q$2))</f>
        <v>9078.69378919304</v>
      </c>
      <c r="N704" s="15" t="n">
        <f aca="false">M704*(1+IF(N$3&lt;=$O$2,$D704,$D704-($D704-$I$697)*MIN(N$3-$O$2,$Q$2)/$Q$2))</f>
        <v>9426.40776131913</v>
      </c>
      <c r="O704" s="15" t="n">
        <f aca="false">SUMPRODUCT(E704:N704,1/(1+$F$697)^$E$3:$N$3)*$E$2</f>
        <v>9332.62921444758</v>
      </c>
      <c r="P704" s="15" t="n">
        <f aca="false">N704*$E$2*(1+$I$697)/($F$697-$I$697)/(1+$F$697)^$N$3</f>
        <v>10827.1821943209</v>
      </c>
      <c r="Q704" s="15" t="n">
        <f aca="false">O704+P704</f>
        <v>20159.8114087685</v>
      </c>
      <c r="R704" s="15" t="n">
        <f aca="false">Q704-$G$2+$I$2</f>
        <v>14859.9114087685</v>
      </c>
      <c r="S704" s="42" t="n">
        <f aca="false">R704/$K$2</f>
        <v>126.488861157375</v>
      </c>
      <c r="T704" s="43" t="n">
        <f aca="false">S704-$M$2</f>
        <v>-20.6851259042522</v>
      </c>
    </row>
    <row r="705" customFormat="false" ht="15" hidden="false" customHeight="false" outlineLevel="0" collapsed="false">
      <c r="A705" s="5" t="n">
        <v>7</v>
      </c>
      <c r="B705" s="25" t="n">
        <f aca="false">IF(T704&gt;0,B704,D704)</f>
        <v>0.0390625</v>
      </c>
      <c r="C705" s="25" t="n">
        <f aca="false">IF(T704&gt;0,D704,C704)</f>
        <v>0.0625</v>
      </c>
      <c r="D705" s="41" t="n">
        <f aca="false">(B705+C705)/2</f>
        <v>0.05078125</v>
      </c>
      <c r="E705" s="15" t="n">
        <f aca="false">$C$2*(1+IF(E$3&lt;=$O$2,$D705,$D705-($D705-$I$697)*MIN(E$3-$O$2,$Q$2)/$Q$2))</f>
        <v>6767.03125</v>
      </c>
      <c r="F705" s="15" t="n">
        <f aca="false">E705*(1+IF(F$3&lt;=$O$2,$D705,$D705-($D705-$I$697)*MIN(F$3-$O$2,$Q$2)/$Q$2))</f>
        <v>7110.66955566406</v>
      </c>
      <c r="G705" s="15" t="n">
        <f aca="false">F705*(1+IF(G$3&lt;=$O$2,$D705,$D705-($D705-$I$697)*MIN(G$3-$O$2,$Q$2)/$Q$2))</f>
        <v>7471.75824403763</v>
      </c>
      <c r="H705" s="15" t="n">
        <f aca="false">G705*(1+IF(H$3&lt;=$O$2,$D705,$D705-($D705-$I$697)*MIN(H$3-$O$2,$Q$2)/$Q$2))</f>
        <v>7851.18346736766</v>
      </c>
      <c r="I705" s="15" t="n">
        <f aca="false">H705*(1+IF(I$3&lt;=$O$2,$D705,$D705-($D705-$I$697)*MIN(I$3-$O$2,$Q$2)/$Q$2))</f>
        <v>8249.87637781993</v>
      </c>
      <c r="J705" s="15" t="n">
        <f aca="false">I705*(1+IF(J$3&lt;=$O$2,$D705,$D705-($D705-$I$697)*MIN(J$3-$O$2,$Q$2)/$Q$2))</f>
        <v>8648.22165872296</v>
      </c>
      <c r="K705" s="15" t="n">
        <f aca="false">J705*(1+IF(K$3&lt;=$O$2,$D705,$D705-($D705-$I$697)*MIN(K$3-$O$2,$Q$2)/$Q$2))</f>
        <v>9044.21291819882</v>
      </c>
      <c r="L705" s="15" t="n">
        <f aca="false">K705*(1+IF(L$3&lt;=$O$2,$D705,$D705-($D705-$I$697)*MIN(L$3-$O$2,$Q$2)/$Q$2))</f>
        <v>9435.75950595994</v>
      </c>
      <c r="M705" s="15" t="n">
        <f aca="false">L705*(1+IF(M$3&lt;=$O$2,$D705,$D705-($D705-$I$697)*MIN(M$3-$O$2,$Q$2)/$Q$2))</f>
        <v>9820.70310970496</v>
      </c>
      <c r="N705" s="15" t="n">
        <f aca="false">M705*(1+IF(N$3&lt;=$O$2,$D705,$D705-($D705-$I$697)*MIN(N$3-$O$2,$Q$2)/$Q$2))</f>
        <v>10196.8360388067</v>
      </c>
      <c r="O705" s="15" t="n">
        <f aca="false">SUMPRODUCT(E705:N705,1/(1+$F$697)^$E$3:$N$3)*$E$2</f>
        <v>9811.82812612788</v>
      </c>
      <c r="P705" s="15" t="n">
        <f aca="false">N705*$E$2*(1+$I$697)/($F$697-$I$697)/(1+$F$697)^$N$3</f>
        <v>11712.0969507399</v>
      </c>
      <c r="Q705" s="15" t="n">
        <f aca="false">O705+P705</f>
        <v>21523.9250768678</v>
      </c>
      <c r="R705" s="15" t="n">
        <f aca="false">Q705-$G$2+$I$2</f>
        <v>16224.0250768678</v>
      </c>
      <c r="S705" s="42" t="n">
        <f aca="false">R705/$K$2</f>
        <v>138.10031560153</v>
      </c>
      <c r="T705" s="43" t="n">
        <f aca="false">S705-$M$2</f>
        <v>-9.07367146009716</v>
      </c>
    </row>
    <row r="706" customFormat="false" ht="15" hidden="false" customHeight="false" outlineLevel="0" collapsed="false">
      <c r="A706" s="5" t="n">
        <v>8</v>
      </c>
      <c r="B706" s="25" t="n">
        <f aca="false">IF(T705&gt;0,B705,D705)</f>
        <v>0.05078125</v>
      </c>
      <c r="C706" s="25" t="n">
        <f aca="false">IF(T705&gt;0,D705,C705)</f>
        <v>0.0625</v>
      </c>
      <c r="D706" s="41" t="n">
        <f aca="false">(B706+C706)/2</f>
        <v>0.056640625</v>
      </c>
      <c r="E706" s="15" t="n">
        <f aca="false">$C$2*(1+IF(E$3&lt;=$O$2,$D706,$D706-($D706-$I$697)*MIN(E$3-$O$2,$Q$2)/$Q$2))</f>
        <v>6804.765625</v>
      </c>
      <c r="F706" s="15" t="n">
        <f aca="false">E706*(1+IF(F$3&lt;=$O$2,$D706,$D706-($D706-$I$697)*MIN(F$3-$O$2,$Q$2)/$Q$2))</f>
        <v>7190.19180297852</v>
      </c>
      <c r="G706" s="15" t="n">
        <f aca="false">F706*(1+IF(G$3&lt;=$O$2,$D706,$D706-($D706-$I$697)*MIN(G$3-$O$2,$Q$2)/$Q$2))</f>
        <v>7597.4487605691</v>
      </c>
      <c r="H706" s="15" t="n">
        <f aca="false">G706*(1+IF(H$3&lt;=$O$2,$D706,$D706-($D706-$I$697)*MIN(H$3-$O$2,$Q$2)/$Q$2))</f>
        <v>8027.7730067732</v>
      </c>
      <c r="I706" s="15" t="n">
        <f aca="false">H706*(1+IF(I$3&lt;=$O$2,$D706,$D706-($D706-$I$697)*MIN(I$3-$O$2,$Q$2)/$Q$2))</f>
        <v>8482.47108723497</v>
      </c>
      <c r="J706" s="15" t="n">
        <f aca="false">I706*(1+IF(J$3&lt;=$O$2,$D706,$D706-($D706-$I$697)*MIN(J$3-$O$2,$Q$2)/$Q$2))</f>
        <v>8931.80878690352</v>
      </c>
      <c r="K706" s="15" t="n">
        <f aca="false">J706*(1+IF(K$3&lt;=$O$2,$D706,$D706-($D706-$I$697)*MIN(K$3-$O$2,$Q$2)/$Q$2))</f>
        <v>9372.18603676131</v>
      </c>
      <c r="L706" s="15" t="n">
        <f aca="false">K706*(1+IF(L$3&lt;=$O$2,$D706,$D706-($D706-$I$697)*MIN(L$3-$O$2,$Q$2)/$Q$2))</f>
        <v>9799.89746178146</v>
      </c>
      <c r="M706" s="15" t="n">
        <f aca="false">L706*(1+IF(M$3&lt;=$O$2,$D706,$D706-($D706-$I$697)*MIN(M$3-$O$2,$Q$2)/$Q$2))</f>
        <v>10211.1807834447</v>
      </c>
      <c r="N706" s="15" t="n">
        <f aca="false">M706*(1+IF(N$3&lt;=$O$2,$D706,$D706-($D706-$I$697)*MIN(N$3-$O$2,$Q$2)/$Q$2))</f>
        <v>10602.2690074506</v>
      </c>
      <c r="O706" s="15" t="n">
        <f aca="false">SUMPRODUCT(E706:N706,1/(1+$F$697)^$E$3:$N$3)*$E$2</f>
        <v>10060.7133037013</v>
      </c>
      <c r="P706" s="15" t="n">
        <f aca="false">N706*$E$2*(1+$I$697)/($F$697-$I$697)/(1+$F$697)^$N$3</f>
        <v>12177.777698936</v>
      </c>
      <c r="Q706" s="15" t="n">
        <f aca="false">O706+P706</f>
        <v>22238.4910026372</v>
      </c>
      <c r="R706" s="15" t="n">
        <f aca="false">Q706-$G$2+$I$2</f>
        <v>16938.5910026372</v>
      </c>
      <c r="S706" s="42" t="n">
        <f aca="false">R706/$K$2</f>
        <v>144.182763045942</v>
      </c>
      <c r="T706" s="43" t="n">
        <f aca="false">S706-$M$2</f>
        <v>-2.9912240156857</v>
      </c>
    </row>
    <row r="707" customFormat="false" ht="15" hidden="false" customHeight="false" outlineLevel="0" collapsed="false">
      <c r="A707" s="5" t="n">
        <v>9</v>
      </c>
      <c r="B707" s="25" t="n">
        <f aca="false">IF(T706&gt;0,B706,D706)</f>
        <v>0.056640625</v>
      </c>
      <c r="C707" s="25" t="n">
        <f aca="false">IF(T706&gt;0,D706,C706)</f>
        <v>0.0625</v>
      </c>
      <c r="D707" s="41" t="n">
        <f aca="false">(B707+C707)/2</f>
        <v>0.0595703125</v>
      </c>
      <c r="E707" s="15" t="n">
        <f aca="false">$C$2*(1+IF(E$3&lt;=$O$2,$D707,$D707-($D707-$I$697)*MIN(E$3-$O$2,$Q$2)/$Q$2))</f>
        <v>6823.6328125</v>
      </c>
      <c r="F707" s="15" t="n">
        <f aca="false">E707*(1+IF(F$3&lt;=$O$2,$D707,$D707-($D707-$I$697)*MIN(F$3-$O$2,$Q$2)/$Q$2))</f>
        <v>7230.11875152588</v>
      </c>
      <c r="G707" s="15" t="n">
        <f aca="false">F707*(1+IF(G$3&lt;=$O$2,$D707,$D707-($D707-$I$697)*MIN(G$3-$O$2,$Q$2)/$Q$2))</f>
        <v>7660.81918496639</v>
      </c>
      <c r="H707" s="15" t="n">
        <f aca="false">G707*(1+IF(H$3&lt;=$O$2,$D707,$D707-($D707-$I$697)*MIN(H$3-$O$2,$Q$2)/$Q$2))</f>
        <v>8117.17657782083</v>
      </c>
      <c r="I707" s="15" t="n">
        <f aca="false">H707*(1+IF(I$3&lt;=$O$2,$D707,$D707-($D707-$I$697)*MIN(I$3-$O$2,$Q$2)/$Q$2))</f>
        <v>8600.7193231793</v>
      </c>
      <c r="J707" s="15" t="n">
        <f aca="false">I707*(1+IF(J$3&lt;=$O$2,$D707,$D707-($D707-$I$697)*MIN(J$3-$O$2,$Q$2)/$Q$2))</f>
        <v>9076.47886344011</v>
      </c>
      <c r="K707" s="15" t="n">
        <f aca="false">J707*(1+IF(K$3&lt;=$O$2,$D707,$D707-($D707-$I$697)*MIN(K$3-$O$2,$Q$2)/$Q$2))</f>
        <v>9539.94372900488</v>
      </c>
      <c r="L707" s="15" t="n">
        <f aca="false">K707*(1+IF(L$3&lt;=$O$2,$D707,$D707-($D707-$I$697)*MIN(L$3-$O$2,$Q$2)/$Q$2))</f>
        <v>9986.49060756511</v>
      </c>
      <c r="M707" s="15" t="n">
        <f aca="false">L707*(1+IF(M$3&lt;=$O$2,$D707,$D707-($D707-$I$697)*MIN(M$3-$O$2,$Q$2)/$Q$2))</f>
        <v>10411.4563530351</v>
      </c>
      <c r="N707" s="15" t="n">
        <f aca="false">M707*(1+IF(N$3&lt;=$O$2,$D707,$D707-($D707-$I$697)*MIN(N$3-$O$2,$Q$2)/$Q$2))</f>
        <v>10810.2151313563</v>
      </c>
      <c r="O707" s="15" t="n">
        <f aca="false">SUMPRODUCT(E707:N707,1/(1+$F$697)^$E$3:$N$3)*$E$2</f>
        <v>10187.5426499879</v>
      </c>
      <c r="P707" s="15" t="n">
        <f aca="false">N707*$E$2*(1+$I$697)/($F$697-$I$697)/(1+$F$697)^$N$3</f>
        <v>12416.6248427408</v>
      </c>
      <c r="Q707" s="15" t="n">
        <f aca="false">O707+P707</f>
        <v>22604.1674927287</v>
      </c>
      <c r="R707" s="15" t="n">
        <f aca="false">Q707-$G$2+$I$2</f>
        <v>17304.2674927287</v>
      </c>
      <c r="S707" s="42" t="n">
        <f aca="false">R707/$K$2</f>
        <v>147.295433203342</v>
      </c>
      <c r="T707" s="43" t="n">
        <f aca="false">S707-$M$2</f>
        <v>0.12144614171487</v>
      </c>
    </row>
    <row r="708" customFormat="false" ht="15" hidden="false" customHeight="false" outlineLevel="0" collapsed="false">
      <c r="A708" s="5" t="n">
        <v>10</v>
      </c>
      <c r="B708" s="25" t="n">
        <f aca="false">IF(T707&gt;0,B707,D707)</f>
        <v>0.056640625</v>
      </c>
      <c r="C708" s="25" t="n">
        <f aca="false">IF(T707&gt;0,D707,C707)</f>
        <v>0.0595703125</v>
      </c>
      <c r="D708" s="41" t="n">
        <f aca="false">(B708+C708)/2</f>
        <v>0.05810546875</v>
      </c>
      <c r="E708" s="15" t="n">
        <f aca="false">$C$2*(1+IF(E$3&lt;=$O$2,$D708,$D708-($D708-$I$697)*MIN(E$3-$O$2,$Q$2)/$Q$2))</f>
        <v>6814.19921875</v>
      </c>
      <c r="F708" s="15" t="n">
        <f aca="false">E708*(1+IF(F$3&lt;=$O$2,$D708,$D708-($D708-$I$697)*MIN(F$3-$O$2,$Q$2)/$Q$2))</f>
        <v>7210.14145851135</v>
      </c>
      <c r="G708" s="15" t="n">
        <f aca="false">F708*(1+IF(G$3&lt;=$O$2,$D708,$D708-($D708-$I$697)*MIN(G$3-$O$2,$Q$2)/$Q$2))</f>
        <v>7629.09010771196</v>
      </c>
      <c r="H708" s="15" t="n">
        <f aca="false">G708*(1+IF(H$3&lt;=$O$2,$D708,$D708-($D708-$I$697)*MIN(H$3-$O$2,$Q$2)/$Q$2))</f>
        <v>8072.38196455655</v>
      </c>
      <c r="I708" s="15" t="n">
        <f aca="false">H708*(1+IF(I$3&lt;=$O$2,$D708,$D708-($D708-$I$697)*MIN(I$3-$O$2,$Q$2)/$Q$2))</f>
        <v>8541.43150253616</v>
      </c>
      <c r="J708" s="15" t="n">
        <f aca="false">I708*(1+IF(J$3&lt;=$O$2,$D708,$D708-($D708-$I$697)*MIN(J$3-$O$2,$Q$2)/$Q$2))</f>
        <v>9003.90197284629</v>
      </c>
      <c r="K708" s="15" t="n">
        <f aca="false">J708*(1+IF(K$3&lt;=$O$2,$D708,$D708-($D708-$I$697)*MIN(K$3-$O$2,$Q$2)/$Q$2))</f>
        <v>9455.74731789707</v>
      </c>
      <c r="L708" s="15" t="n">
        <f aca="false">K708*(1+IF(L$3&lt;=$O$2,$D708,$D708-($D708-$I$697)*MIN(L$3-$O$2,$Q$2)/$Q$2))</f>
        <v>9892.81264337753</v>
      </c>
      <c r="M708" s="15" t="n">
        <f aca="false">L708*(1+IF(M$3&lt;=$O$2,$D708,$D708-($D708-$I$697)*MIN(M$3-$O$2,$Q$2)/$Q$2))</f>
        <v>10310.8937259505</v>
      </c>
      <c r="N708" s="15" t="n">
        <f aca="false">M708*(1+IF(N$3&lt;=$O$2,$D708,$D708-($D708-$I$697)*MIN(N$3-$O$2,$Q$2)/$Q$2))</f>
        <v>10705.8009556544</v>
      </c>
      <c r="O708" s="15" t="n">
        <f aca="false">SUMPRODUCT(E708:N708,1/(1+$F$697)^$E$3:$N$3)*$E$2</f>
        <v>10123.9271031671</v>
      </c>
      <c r="P708" s="15" t="n">
        <f aca="false">N708*$E$2*(1+$I$697)/($F$697-$I$697)/(1+$F$697)^$N$3</f>
        <v>12296.694607107</v>
      </c>
      <c r="Q708" s="15" t="n">
        <f aca="false">O708+P708</f>
        <v>22420.6217102741</v>
      </c>
      <c r="R708" s="15" t="n">
        <f aca="false">Q708-$G$2+$I$2</f>
        <v>17120.7217102741</v>
      </c>
      <c r="S708" s="42" t="n">
        <f aca="false">R708/$K$2</f>
        <v>145.733075504547</v>
      </c>
      <c r="T708" s="43" t="n">
        <f aca="false">S708-$M$2</f>
        <v>-1.44091155708085</v>
      </c>
    </row>
    <row r="709" customFormat="false" ht="15" hidden="false" customHeight="false" outlineLevel="0" collapsed="false">
      <c r="A709" s="5" t="n">
        <v>11</v>
      </c>
      <c r="B709" s="25" t="n">
        <f aca="false">IF(T708&gt;0,B708,D708)</f>
        <v>0.05810546875</v>
      </c>
      <c r="C709" s="25" t="n">
        <f aca="false">IF(T708&gt;0,D708,C708)</f>
        <v>0.0595703125</v>
      </c>
      <c r="D709" s="41" t="n">
        <f aca="false">(B709+C709)/2</f>
        <v>0.058837890625</v>
      </c>
      <c r="E709" s="15" t="n">
        <f aca="false">$C$2*(1+IF(E$3&lt;=$O$2,$D709,$D709-($D709-$I$697)*MIN(E$3-$O$2,$Q$2)/$Q$2))</f>
        <v>6818.916015625</v>
      </c>
      <c r="F709" s="15" t="n">
        <f aca="false">E709*(1+IF(F$3&lt;=$O$2,$D709,$D709-($D709-$I$697)*MIN(F$3-$O$2,$Q$2)/$Q$2))</f>
        <v>7220.1266503334</v>
      </c>
      <c r="G709" s="15" t="n">
        <f aca="false">F709*(1+IF(G$3&lt;=$O$2,$D709,$D709-($D709-$I$697)*MIN(G$3-$O$2,$Q$2)/$Q$2))</f>
        <v>7644.94367248437</v>
      </c>
      <c r="H709" s="15" t="n">
        <f aca="false">G709*(1+IF(H$3&lt;=$O$2,$D709,$D709-($D709-$I$697)*MIN(H$3-$O$2,$Q$2)/$Q$2))</f>
        <v>8094.75603212029</v>
      </c>
      <c r="I709" s="15" t="n">
        <f aca="false">H709*(1+IF(I$3&lt;=$O$2,$D709,$D709-($D709-$I$697)*MIN(I$3-$O$2,$Q$2)/$Q$2))</f>
        <v>8571.03440217424</v>
      </c>
      <c r="J709" s="15" t="n">
        <f aca="false">I709*(1+IF(J$3&lt;=$O$2,$D709,$D709-($D709-$I$697)*MIN(J$3-$O$2,$Q$2)/$Q$2))</f>
        <v>9040.12979345349</v>
      </c>
      <c r="K709" s="15" t="n">
        <f aca="false">J709*(1+IF(K$3&lt;=$O$2,$D709,$D709-($D709-$I$697)*MIN(K$3-$O$2,$Q$2)/$Q$2))</f>
        <v>9497.76588270301</v>
      </c>
      <c r="L709" s="15" t="n">
        <f aca="false">K709*(1+IF(L$3&lt;=$O$2,$D709,$D709-($D709-$I$697)*MIN(L$3-$O$2,$Q$2)/$Q$2))</f>
        <v>9939.55594676286</v>
      </c>
      <c r="M709" s="15" t="n">
        <f aca="false">L709*(1+IF(M$3&lt;=$O$2,$D709,$D709-($D709-$I$697)*MIN(M$3-$O$2,$Q$2)/$Q$2))</f>
        <v>10361.068442103</v>
      </c>
      <c r="N709" s="15" t="n">
        <f aca="false">M709*(1+IF(N$3&lt;=$O$2,$D709,$D709-($D709-$I$697)*MIN(N$3-$O$2,$Q$2)/$Q$2))</f>
        <v>10757.8973634356</v>
      </c>
      <c r="O709" s="15" t="n">
        <f aca="false">SUMPRODUCT(E709:N709,1/(1+$F$697)^$E$3:$N$3)*$E$2</f>
        <v>10155.6845088087</v>
      </c>
      <c r="P709" s="15" t="n">
        <f aca="false">N709*$E$2*(1+$I$697)/($F$697-$I$697)/(1+$F$697)^$N$3</f>
        <v>12356.5325976755</v>
      </c>
      <c r="Q709" s="15" t="n">
        <f aca="false">O709+P709</f>
        <v>22512.2171064842</v>
      </c>
      <c r="R709" s="15" t="n">
        <f aca="false">Q709-$G$2+$I$2</f>
        <v>17212.3171064842</v>
      </c>
      <c r="S709" s="42" t="n">
        <f aca="false">R709/$K$2</f>
        <v>146.512743500887</v>
      </c>
      <c r="T709" s="43" t="n">
        <f aca="false">S709-$M$2</f>
        <v>-0.661243560740729</v>
      </c>
    </row>
    <row r="710" customFormat="false" ht="15" hidden="false" customHeight="false" outlineLevel="0" collapsed="false">
      <c r="A710" s="5" t="n">
        <v>12</v>
      </c>
      <c r="B710" s="25" t="n">
        <f aca="false">IF(T709&gt;0,B709,D709)</f>
        <v>0.058837890625</v>
      </c>
      <c r="C710" s="25" t="n">
        <f aca="false">IF(T709&gt;0,D709,C709)</f>
        <v>0.0595703125</v>
      </c>
      <c r="D710" s="41" t="n">
        <f aca="false">(B710+C710)/2</f>
        <v>0.0592041015625</v>
      </c>
      <c r="E710" s="15" t="n">
        <f aca="false">$C$2*(1+IF(E$3&lt;=$O$2,$D710,$D710-($D710-$I$697)*MIN(E$3-$O$2,$Q$2)/$Q$2))</f>
        <v>6821.2744140625</v>
      </c>
      <c r="F710" s="15" t="n">
        <f aca="false">E710*(1+IF(F$3&lt;=$O$2,$D710,$D710-($D710-$I$697)*MIN(F$3-$O$2,$Q$2)/$Q$2))</f>
        <v>7225.12183725834</v>
      </c>
      <c r="G710" s="15" t="n">
        <f aca="false">F710*(1+IF(G$3&lt;=$O$2,$D710,$D710-($D710-$I$697)*MIN(G$3-$O$2,$Q$2)/$Q$2))</f>
        <v>7652.87868431282</v>
      </c>
      <c r="H710" s="15" t="n">
        <f aca="false">G710*(1+IF(H$3&lt;=$O$2,$D710,$D710-($D710-$I$697)*MIN(H$3-$O$2,$Q$2)/$Q$2))</f>
        <v>8105.96049118437</v>
      </c>
      <c r="I710" s="15" t="n">
        <f aca="false">H710*(1+IF(I$3&lt;=$O$2,$D710,$D710-($D710-$I$697)*MIN(I$3-$O$2,$Q$2)/$Q$2))</f>
        <v>8585.86659936606</v>
      </c>
      <c r="J710" s="15" t="n">
        <f aca="false">I710*(1+IF(J$3&lt;=$O$2,$D710,$D710-($D710-$I$697)*MIN(J$3-$O$2,$Q$2)/$Q$2))</f>
        <v>9058.28915203796</v>
      </c>
      <c r="K710" s="15" t="n">
        <f aca="false">J710*(1+IF(K$3&lt;=$O$2,$D710,$D710-($D710-$I$697)*MIN(K$3-$O$2,$Q$2)/$Q$2))</f>
        <v>9518.83486441103</v>
      </c>
      <c r="L710" s="15" t="n">
        <f aca="false">K710*(1+IF(L$3&lt;=$O$2,$D710,$D710-($D710-$I$697)*MIN(L$3-$O$2,$Q$2)/$Q$2))</f>
        <v>9962.9993160229</v>
      </c>
      <c r="M710" s="15" t="n">
        <f aca="false">L710*(1+IF(M$3&lt;=$O$2,$D710,$D710-($D710-$I$697)*MIN(M$3-$O$2,$Q$2)/$Q$2))</f>
        <v>10386.2356997404</v>
      </c>
      <c r="N710" s="15" t="n">
        <f aca="false">M710*(1+IF(N$3&lt;=$O$2,$D710,$D710-($D710-$I$697)*MIN(N$3-$O$2,$Q$2)/$Q$2))</f>
        <v>10784.0285270405</v>
      </c>
      <c r="O710" s="15" t="n">
        <f aca="false">SUMPRODUCT(E710:N710,1/(1+$F$697)^$E$3:$N$3)*$E$2</f>
        <v>10171.6009687451</v>
      </c>
      <c r="P710" s="15" t="n">
        <f aca="false">N710*$E$2*(1+$I$697)/($F$697-$I$697)/(1+$F$697)^$N$3</f>
        <v>12386.5468805777</v>
      </c>
      <c r="Q710" s="15" t="n">
        <f aca="false">O710+P710</f>
        <v>22558.1478493229</v>
      </c>
      <c r="R710" s="15" t="n">
        <f aca="false">Q710-$G$2+$I$2</f>
        <v>17258.2478493229</v>
      </c>
      <c r="S710" s="42" t="n">
        <f aca="false">R710/$K$2</f>
        <v>146.903709987426</v>
      </c>
      <c r="T710" s="43" t="n">
        <f aca="false">S710-$M$2</f>
        <v>-0.27027707420109</v>
      </c>
    </row>
    <row r="711" customFormat="false" ht="15" hidden="false" customHeight="false" outlineLevel="0" collapsed="false">
      <c r="A711" s="5" t="n">
        <v>13</v>
      </c>
      <c r="B711" s="25" t="n">
        <f aca="false">IF(T710&gt;0,B710,D710)</f>
        <v>0.0592041015625</v>
      </c>
      <c r="C711" s="25" t="n">
        <f aca="false">IF(T710&gt;0,D710,C710)</f>
        <v>0.0595703125</v>
      </c>
      <c r="D711" s="41" t="n">
        <f aca="false">(B711+C711)/2</f>
        <v>0.05938720703125</v>
      </c>
      <c r="E711" s="15" t="n">
        <f aca="false">$C$2*(1+IF(E$3&lt;=$O$2,$D711,$D711-($D711-$I$697)*MIN(E$3-$O$2,$Q$2)/$Q$2))</f>
        <v>6822.45361328125</v>
      </c>
      <c r="F711" s="15" t="n">
        <f aca="false">E711*(1+IF(F$3&lt;=$O$2,$D711,$D711-($D711-$I$697)*MIN(F$3-$O$2,$Q$2)/$Q$2))</f>
        <v>7227.62007847428</v>
      </c>
      <c r="G711" s="15" t="n">
        <f aca="false">F711*(1+IF(G$3&lt;=$O$2,$D711,$D711-($D711-$I$697)*MIN(G$3-$O$2,$Q$2)/$Q$2))</f>
        <v>7656.84824841786</v>
      </c>
      <c r="H711" s="15" t="n">
        <f aca="false">G711*(1+IF(H$3&lt;=$O$2,$D711,$D711-($D711-$I$697)*MIN(H$3-$O$2,$Q$2)/$Q$2))</f>
        <v>8111.56708055351</v>
      </c>
      <c r="I711" s="15" t="n">
        <f aca="false">H711*(1+IF(I$3&lt;=$O$2,$D711,$D711-($D711-$I$697)*MIN(I$3-$O$2,$Q$2)/$Q$2))</f>
        <v>8593.29039411421</v>
      </c>
      <c r="J711" s="15" t="n">
        <f aca="false">I711*(1+IF(J$3&lt;=$O$2,$D711,$D711-($D711-$I$697)*MIN(J$3-$O$2,$Q$2)/$Q$2))</f>
        <v>9067.38021110506</v>
      </c>
      <c r="K711" s="15" t="n">
        <f aca="false">J711*(1+IF(K$3&lt;=$O$2,$D711,$D711-($D711-$I$697)*MIN(K$3-$O$2,$Q$2)/$Q$2))</f>
        <v>9529.38430743596</v>
      </c>
      <c r="L711" s="15" t="n">
        <f aca="false">K711*(1+IF(L$3&lt;=$O$2,$D711,$D711-($D711-$I$697)*MIN(L$3-$O$2,$Q$2)/$Q$2))</f>
        <v>9974.73896631926</v>
      </c>
      <c r="M711" s="15" t="n">
        <f aca="false">L711*(1+IF(M$3&lt;=$O$2,$D711,$D711-($D711-$I$697)*MIN(M$3-$O$2,$Q$2)/$Q$2))</f>
        <v>10398.8393458624</v>
      </c>
      <c r="N711" s="15" t="n">
        <f aca="false">M711*(1+IF(N$3&lt;=$O$2,$D711,$D711-($D711-$I$697)*MIN(N$3-$O$2,$Q$2)/$Q$2))</f>
        <v>10797.1148928089</v>
      </c>
      <c r="O711" s="15" t="n">
        <f aca="false">SUMPRODUCT(E711:N711,1/(1+$F$697)^$E$3:$N$3)*$E$2</f>
        <v>10179.5686543617</v>
      </c>
      <c r="P711" s="15" t="n">
        <f aca="false">N711*$E$2*(1+$I$697)/($F$697-$I$697)/(1+$F$697)^$N$3</f>
        <v>12401.5778945147</v>
      </c>
      <c r="Q711" s="15" t="n">
        <f aca="false">O711+P711</f>
        <v>22581.1465488764</v>
      </c>
      <c r="R711" s="15" t="n">
        <f aca="false">Q711-$G$2+$I$2</f>
        <v>17281.2465488764</v>
      </c>
      <c r="S711" s="42" t="n">
        <f aca="false">R711/$K$2</f>
        <v>147.09947692268</v>
      </c>
      <c r="T711" s="43" t="n">
        <f aca="false">S711-$M$2</f>
        <v>-0.0745101389477441</v>
      </c>
    </row>
    <row r="712" customFormat="false" ht="15" hidden="false" customHeight="false" outlineLevel="0" collapsed="false">
      <c r="A712" s="5" t="n">
        <v>14</v>
      </c>
      <c r="B712" s="25" t="n">
        <f aca="false">IF(T711&gt;0,B711,D711)</f>
        <v>0.05938720703125</v>
      </c>
      <c r="C712" s="25" t="n">
        <f aca="false">IF(T711&gt;0,D711,C711)</f>
        <v>0.0595703125</v>
      </c>
      <c r="D712" s="41" t="n">
        <f aca="false">(B712+C712)/2</f>
        <v>0.059478759765625</v>
      </c>
      <c r="E712" s="15" t="n">
        <f aca="false">$C$2*(1+IF(E$3&lt;=$O$2,$D712,$D712-($D712-$I$697)*MIN(E$3-$O$2,$Q$2)/$Q$2))</f>
        <v>6823.04321289063</v>
      </c>
      <c r="F712" s="15" t="n">
        <f aca="false">E712*(1+IF(F$3&lt;=$O$2,$D712,$D712-($D712-$I$697)*MIN(F$3-$O$2,$Q$2)/$Q$2))</f>
        <v>7228.86936102063</v>
      </c>
      <c r="G712" s="15" t="n">
        <f aca="false">F712*(1+IF(G$3&lt;=$O$2,$D712,$D712-($D712-$I$697)*MIN(G$3-$O$2,$Q$2)/$Q$2))</f>
        <v>7658.83354512186</v>
      </c>
      <c r="H712" s="15" t="n">
        <f aca="false">G712*(1+IF(H$3&lt;=$O$2,$D712,$D712-($D712-$I$697)*MIN(H$3-$O$2,$Q$2)/$Q$2))</f>
        <v>8114.37146563707</v>
      </c>
      <c r="I712" s="15" t="n">
        <f aca="false">H712*(1+IF(I$3&lt;=$O$2,$D712,$D712-($D712-$I$697)*MIN(I$3-$O$2,$Q$2)/$Q$2))</f>
        <v>8597.00421669074</v>
      </c>
      <c r="J712" s="15" t="n">
        <f aca="false">I712*(1+IF(J$3&lt;=$O$2,$D712,$D712-($D712-$I$697)*MIN(J$3-$O$2,$Q$2)/$Q$2))</f>
        <v>9071.92858779748</v>
      </c>
      <c r="K712" s="15" t="n">
        <f aca="false">J712*(1+IF(K$3&lt;=$O$2,$D712,$D712-($D712-$I$697)*MIN(K$3-$O$2,$Q$2)/$Q$2))</f>
        <v>9534.66277041325</v>
      </c>
      <c r="L712" s="15" t="n">
        <f aca="false">K712*(1+IF(L$3&lt;=$O$2,$D712,$D712-($D712-$I$697)*MIN(L$3-$O$2,$Q$2)/$Q$2))</f>
        <v>9980.61328742441</v>
      </c>
      <c r="M712" s="15" t="n">
        <f aca="false">L712*(1+IF(M$3&lt;=$O$2,$D712,$D712-($D712-$I$697)*MIN(M$3-$O$2,$Q$2)/$Q$2))</f>
        <v>10405.1461785584</v>
      </c>
      <c r="N712" s="15" t="n">
        <f aca="false">M712*(1+IF(N$3&lt;=$O$2,$D712,$D712-($D712-$I$697)*MIN(N$3-$O$2,$Q$2)/$Q$2))</f>
        <v>10803.6632771971</v>
      </c>
      <c r="O712" s="15" t="n">
        <f aca="false">SUMPRODUCT(E712:N712,1/(1+$F$697)^$E$3:$N$3)*$E$2</f>
        <v>10183.5548631308</v>
      </c>
      <c r="P712" s="15" t="n">
        <f aca="false">N712*$E$2*(1+$I$697)/($F$697-$I$697)/(1+$F$697)^$N$3</f>
        <v>12409.0993759364</v>
      </c>
      <c r="Q712" s="15" t="n">
        <f aca="false">O712+P712</f>
        <v>22592.6542390671</v>
      </c>
      <c r="R712" s="15" t="n">
        <f aca="false">Q712-$G$2+$I$2</f>
        <v>17292.7542390671</v>
      </c>
      <c r="S712" s="42" t="n">
        <f aca="false">R712/$K$2</f>
        <v>147.197431384637</v>
      </c>
      <c r="T712" s="43" t="n">
        <f aca="false">S712-$M$2</f>
        <v>0.0234443230093575</v>
      </c>
    </row>
    <row r="713" customFormat="false" ht="15" hidden="false" customHeight="false" outlineLevel="0" collapsed="false">
      <c r="A713" s="5" t="n">
        <v>15</v>
      </c>
      <c r="B713" s="25" t="n">
        <f aca="false">IF(T712&gt;0,B712,D712)</f>
        <v>0.05938720703125</v>
      </c>
      <c r="C713" s="25" t="n">
        <f aca="false">IF(T712&gt;0,D712,C712)</f>
        <v>0.059478759765625</v>
      </c>
      <c r="D713" s="41" t="n">
        <f aca="false">(B713+C713)/2</f>
        <v>0.0594329833984375</v>
      </c>
      <c r="E713" s="15" t="n">
        <f aca="false">$C$2*(1+IF(E$3&lt;=$O$2,$D713,$D713-($D713-$I$697)*MIN(E$3-$O$2,$Q$2)/$Q$2))</f>
        <v>6822.74841308594</v>
      </c>
      <c r="F713" s="15" t="n">
        <f aca="false">E713*(1+IF(F$3&lt;=$O$2,$D713,$D713-($D713-$I$697)*MIN(F$3-$O$2,$Q$2)/$Q$2))</f>
        <v>7228.24470625259</v>
      </c>
      <c r="G713" s="15" t="n">
        <f aca="false">F713*(1+IF(G$3&lt;=$O$2,$D713,$D713-($D713-$I$697)*MIN(G$3-$O$2,$Q$2)/$Q$2))</f>
        <v>7657.84085387914</v>
      </c>
      <c r="H713" s="15" t="n">
        <f aca="false">G713*(1+IF(H$3&lt;=$O$2,$D713,$D713-($D713-$I$697)*MIN(H$3-$O$2,$Q$2)/$Q$2))</f>
        <v>8112.96918221562</v>
      </c>
      <c r="I713" s="15" t="n">
        <f aca="false">H713*(1+IF(I$3&lt;=$O$2,$D713,$D713-($D713-$I$697)*MIN(I$3-$O$2,$Q$2)/$Q$2))</f>
        <v>8595.14714493428</v>
      </c>
      <c r="J713" s="15" t="n">
        <f aca="false">I713*(1+IF(J$3&lt;=$O$2,$D713,$D713-($D713-$I$697)*MIN(J$3-$O$2,$Q$2)/$Q$2))</f>
        <v>9069.65416212208</v>
      </c>
      <c r="K713" s="15" t="n">
        <f aca="false">J713*(1+IF(K$3&lt;=$O$2,$D713,$D713-($D713-$I$697)*MIN(K$3-$O$2,$Q$2)/$Q$2))</f>
        <v>9532.02322703397</v>
      </c>
      <c r="L713" s="15" t="n">
        <f aca="false">K713*(1+IF(L$3&lt;=$O$2,$D713,$D713-($D713-$I$697)*MIN(L$3-$O$2,$Q$2)/$Q$2))</f>
        <v>9977.67575207354</v>
      </c>
      <c r="M713" s="15" t="n">
        <f aca="false">L713*(1+IF(M$3&lt;=$O$2,$D713,$D713-($D713-$I$697)*MIN(M$3-$O$2,$Q$2)/$Q$2))</f>
        <v>10401.9923445827</v>
      </c>
      <c r="N713" s="15" t="n">
        <f aca="false">M713*(1+IF(N$3&lt;=$O$2,$D713,$D713-($D713-$I$697)*MIN(N$3-$O$2,$Q$2)/$Q$2))</f>
        <v>10800.3886513802</v>
      </c>
      <c r="O713" s="15" t="n">
        <f aca="false">SUMPRODUCT(E713:N713,1/(1+$F$697)^$E$3:$N$3)*$E$2</f>
        <v>10181.5615615218</v>
      </c>
      <c r="P713" s="15" t="n">
        <f aca="false">N713*$E$2*(1+$I$697)/($F$697-$I$697)/(1+$F$697)^$N$3</f>
        <v>12405.3381371659</v>
      </c>
      <c r="Q713" s="15" t="n">
        <f aca="false">O713+P713</f>
        <v>22586.8996986877</v>
      </c>
      <c r="R713" s="15" t="n">
        <f aca="false">Q713-$G$2+$I$2</f>
        <v>17286.9996986877</v>
      </c>
      <c r="S713" s="42" t="n">
        <f aca="false">R713/$K$2</f>
        <v>147.14844823534</v>
      </c>
      <c r="T713" s="43" t="n">
        <f aca="false">S713-$M$2</f>
        <v>-0.0255388262876579</v>
      </c>
    </row>
    <row r="714" customFormat="false" ht="15" hidden="false" customHeight="false" outlineLevel="0" collapsed="false">
      <c r="A714" s="5" t="n">
        <v>16</v>
      </c>
      <c r="B714" s="25" t="n">
        <f aca="false">IF(T713&gt;0,B713,D713)</f>
        <v>0.0594329833984375</v>
      </c>
      <c r="C714" s="25" t="n">
        <f aca="false">IF(T713&gt;0,D713,C713)</f>
        <v>0.059478759765625</v>
      </c>
      <c r="D714" s="41" t="n">
        <f aca="false">(B714+C714)/2</f>
        <v>0.0594558715820313</v>
      </c>
      <c r="E714" s="15" t="n">
        <f aca="false">$C$2*(1+IF(E$3&lt;=$O$2,$D714,$D714-($D714-$I$697)*MIN(E$3-$O$2,$Q$2)/$Q$2))</f>
        <v>6822.89581298828</v>
      </c>
      <c r="F714" s="15" t="n">
        <f aca="false">E714*(1+IF(F$3&lt;=$O$2,$D714,$D714-($D714-$I$697)*MIN(F$3-$O$2,$Q$2)/$Q$2))</f>
        <v>7228.55703026289</v>
      </c>
      <c r="G714" s="15" t="n">
        <f aca="false">F714*(1+IF(G$3&lt;=$O$2,$D714,$D714-($D714-$I$697)*MIN(G$3-$O$2,$Q$2)/$Q$2))</f>
        <v>7658.33718877759</v>
      </c>
      <c r="H714" s="15" t="n">
        <f aca="false">G714*(1+IF(H$3&lt;=$O$2,$D714,$D714-($D714-$I$697)*MIN(H$3-$O$2,$Q$2)/$Q$2))</f>
        <v>8113.67030120545</v>
      </c>
      <c r="I714" s="15" t="n">
        <f aca="false">H714*(1+IF(I$3&lt;=$O$2,$D714,$D714-($D714-$I$697)*MIN(I$3-$O$2,$Q$2)/$Q$2))</f>
        <v>8596.07564069286</v>
      </c>
      <c r="J714" s="15" t="n">
        <f aca="false">I714*(1+IF(J$3&lt;=$O$2,$D714,$D714-($D714-$I$697)*MIN(J$3-$O$2,$Q$2)/$Q$2))</f>
        <v>9070.79131562253</v>
      </c>
      <c r="K714" s="15" t="n">
        <f aca="false">J714*(1+IF(K$3&lt;=$O$2,$D714,$D714-($D714-$I$697)*MIN(K$3-$O$2,$Q$2)/$Q$2))</f>
        <v>9533.3429207433</v>
      </c>
      <c r="L714" s="15" t="n">
        <f aca="false">K714*(1+IF(L$3&lt;=$O$2,$D714,$D714-($D714-$I$697)*MIN(L$3-$O$2,$Q$2)/$Q$2))</f>
        <v>9979.14442603926</v>
      </c>
      <c r="M714" s="15" t="n">
        <f aca="false">L714*(1+IF(M$3&lt;=$O$2,$D714,$D714-($D714-$I$697)*MIN(M$3-$O$2,$Q$2)/$Q$2))</f>
        <v>10403.5691571517</v>
      </c>
      <c r="N714" s="15" t="n">
        <f aca="false">M714*(1+IF(N$3&lt;=$O$2,$D714,$D714-($D714-$I$697)*MIN(N$3-$O$2,$Q$2)/$Q$2))</f>
        <v>10802.0258558706</v>
      </c>
      <c r="O714" s="15" t="n">
        <f aca="false">SUMPRODUCT(E714:N714,1/(1+$F$697)^$E$3:$N$3)*$E$2</f>
        <v>10182.5581630156</v>
      </c>
      <c r="P714" s="15" t="n">
        <f aca="false">N714*$E$2*(1+$I$697)/($F$697-$I$697)/(1+$F$697)^$N$3</f>
        <v>12407.2186320221</v>
      </c>
      <c r="Q714" s="15" t="n">
        <f aca="false">O714+P714</f>
        <v>22589.7767950377</v>
      </c>
      <c r="R714" s="15" t="n">
        <f aca="false">Q714-$G$2+$I$2</f>
        <v>17289.8767950377</v>
      </c>
      <c r="S714" s="42" t="n">
        <f aca="false">R714/$K$2</f>
        <v>147.172938330249</v>
      </c>
      <c r="T714" s="43" t="n">
        <f aca="false">S714-$M$2</f>
        <v>-0.00104873137817663</v>
      </c>
    </row>
    <row r="715" customFormat="false" ht="15" hidden="false" customHeight="false" outlineLevel="0" collapsed="false">
      <c r="A715" s="5" t="n">
        <v>17</v>
      </c>
      <c r="B715" s="25" t="n">
        <f aca="false">IF(T714&gt;0,B714,D714)</f>
        <v>0.0594558715820313</v>
      </c>
      <c r="C715" s="25" t="n">
        <f aca="false">IF(T714&gt;0,D714,C714)</f>
        <v>0.059478759765625</v>
      </c>
      <c r="D715" s="41" t="n">
        <f aca="false">(B715+C715)/2</f>
        <v>0.0594673156738281</v>
      </c>
      <c r="E715" s="15" t="n">
        <f aca="false">$C$2*(1+IF(E$3&lt;=$O$2,$D715,$D715-($D715-$I$697)*MIN(E$3-$O$2,$Q$2)/$Q$2))</f>
        <v>6822.96951293945</v>
      </c>
      <c r="F715" s="15" t="n">
        <f aca="false">E715*(1+IF(F$3&lt;=$O$2,$D715,$D715-($D715-$I$697)*MIN(F$3-$O$2,$Q$2)/$Q$2))</f>
        <v>7228.71319479833</v>
      </c>
      <c r="G715" s="15" t="n">
        <f aca="false">F715*(1+IF(G$3&lt;=$O$2,$D715,$D715-($D715-$I$697)*MIN(G$3-$O$2,$Q$2)/$Q$2))</f>
        <v>7658.58536426897</v>
      </c>
      <c r="H715" s="15" t="n">
        <f aca="false">G715*(1+IF(H$3&lt;=$O$2,$D715,$D715-($D715-$I$697)*MIN(H$3-$O$2,$Q$2)/$Q$2))</f>
        <v>8114.02087774091</v>
      </c>
      <c r="I715" s="15" t="n">
        <f aca="false">H715*(1+IF(I$3&lt;=$O$2,$D715,$D715-($D715-$I$697)*MIN(I$3-$O$2,$Q$2)/$Q$2))</f>
        <v>8596.53991866156</v>
      </c>
      <c r="J715" s="15" t="n">
        <f aca="false">I715*(1+IF(J$3&lt;=$O$2,$D715,$D715-($D715-$I$697)*MIN(J$3-$O$2,$Q$2)/$Q$2))</f>
        <v>9071.35993687508</v>
      </c>
      <c r="K715" s="15" t="n">
        <f aca="false">J715*(1+IF(K$3&lt;=$O$2,$D715,$D715-($D715-$I$697)*MIN(K$3-$O$2,$Q$2)/$Q$2))</f>
        <v>9534.00282608225</v>
      </c>
      <c r="L715" s="15" t="n">
        <f aca="false">K715*(1+IF(L$3&lt;=$O$2,$D715,$D715-($D715-$I$697)*MIN(L$3-$O$2,$Q$2)/$Q$2))</f>
        <v>9979.87883330314</v>
      </c>
      <c r="M715" s="15" t="n">
        <f aca="false">L715*(1+IF(M$3&lt;=$O$2,$D715,$D715-($D715-$I$697)*MIN(M$3-$O$2,$Q$2)/$Q$2))</f>
        <v>10404.3576417489</v>
      </c>
      <c r="N715" s="15" t="n">
        <f aca="false">M715*(1+IF(N$3&lt;=$O$2,$D715,$D715-($D715-$I$697)*MIN(N$3-$O$2,$Q$2)/$Q$2))</f>
        <v>10802.8445394278</v>
      </c>
      <c r="O715" s="15" t="n">
        <f aca="false">SUMPRODUCT(E715:N715,1/(1+$F$697)^$E$3:$N$3)*$E$2</f>
        <v>10183.056500745</v>
      </c>
      <c r="P715" s="15" t="n">
        <f aca="false">N715*$E$2*(1+$I$697)/($F$697-$I$697)/(1+$F$697)^$N$3</f>
        <v>12408.1589728452</v>
      </c>
      <c r="Q715" s="15" t="n">
        <f aca="false">O715+P715</f>
        <v>22591.2154735901</v>
      </c>
      <c r="R715" s="15" t="n">
        <f aca="false">Q715-$G$2+$I$2</f>
        <v>17291.3154735901</v>
      </c>
      <c r="S715" s="42" t="n">
        <f aca="false">R715/$K$2</f>
        <v>147.185184487488</v>
      </c>
      <c r="T715" s="43" t="n">
        <f aca="false">S715-$M$2</f>
        <v>0.011197425860928</v>
      </c>
    </row>
    <row r="716" customFormat="false" ht="15" hidden="false" customHeight="false" outlineLevel="0" collapsed="false">
      <c r="A716" s="5" t="n">
        <v>18</v>
      </c>
      <c r="B716" s="25" t="n">
        <f aca="false">IF(T715&gt;0,B715,D715)</f>
        <v>0.0594558715820313</v>
      </c>
      <c r="C716" s="25" t="n">
        <f aca="false">IF(T715&gt;0,D715,C715)</f>
        <v>0.0594673156738281</v>
      </c>
      <c r="D716" s="41" t="n">
        <f aca="false">(B716+C716)/2</f>
        <v>0.0594615936279297</v>
      </c>
      <c r="E716" s="15" t="n">
        <f aca="false">$C$2*(1+IF(E$3&lt;=$O$2,$D716,$D716-($D716-$I$697)*MIN(E$3-$O$2,$Q$2)/$Q$2))</f>
        <v>6822.93266296387</v>
      </c>
      <c r="F716" s="15" t="n">
        <f aca="false">E716*(1+IF(F$3&lt;=$O$2,$D716,$D716-($D716-$I$697)*MIN(F$3-$O$2,$Q$2)/$Q$2))</f>
        <v>7228.63511231975</v>
      </c>
      <c r="G716" s="15" t="n">
        <f aca="false">F716*(1+IF(G$3&lt;=$O$2,$D716,$D716-($D716-$I$697)*MIN(G$3-$O$2,$Q$2)/$Q$2))</f>
        <v>7658.46127585309</v>
      </c>
      <c r="H716" s="15" t="n">
        <f aca="false">G716*(1+IF(H$3&lt;=$O$2,$D716,$D716-($D716-$I$697)*MIN(H$3-$O$2,$Q$2)/$Q$2))</f>
        <v>8113.84558805311</v>
      </c>
      <c r="I716" s="15" t="n">
        <f aca="false">H716*(1+IF(I$3&lt;=$O$2,$D716,$D716-($D716-$I$697)*MIN(I$3-$O$2,$Q$2)/$Q$2))</f>
        <v>8596.30777716969</v>
      </c>
      <c r="J716" s="15" t="n">
        <f aca="false">I716*(1+IF(J$3&lt;=$O$2,$D716,$D716-($D716-$I$697)*MIN(J$3-$O$2,$Q$2)/$Q$2))</f>
        <v>9071.07562254015</v>
      </c>
      <c r="K716" s="15" t="n">
        <f aca="false">J716*(1+IF(K$3&lt;=$O$2,$D716,$D716-($D716-$I$697)*MIN(K$3-$O$2,$Q$2)/$Q$2))</f>
        <v>9533.67286853889</v>
      </c>
      <c r="L716" s="15" t="n">
        <f aca="false">K716*(1+IF(L$3&lt;=$O$2,$D716,$D716-($D716-$I$697)*MIN(L$3-$O$2,$Q$2)/$Q$2))</f>
        <v>9979.51162381418</v>
      </c>
      <c r="M716" s="15" t="n">
        <f aca="false">L716*(1+IF(M$3&lt;=$O$2,$D716,$D716-($D716-$I$697)*MIN(M$3-$O$2,$Q$2)/$Q$2))</f>
        <v>10403.9633929239</v>
      </c>
      <c r="N716" s="15" t="n">
        <f aca="false">M716*(1+IF(N$3&lt;=$O$2,$D716,$D716-($D716-$I$697)*MIN(N$3-$O$2,$Q$2)/$Q$2))</f>
        <v>10802.4351908729</v>
      </c>
      <c r="O716" s="15" t="n">
        <f aca="false">SUMPRODUCT(E716:N716,1/(1+$F$697)^$E$3:$N$3)*$E$2</f>
        <v>10182.8073287983</v>
      </c>
      <c r="P716" s="15" t="n">
        <f aca="false">N716*$E$2*(1+$I$697)/($F$697-$I$697)/(1+$F$697)^$N$3</f>
        <v>12407.6887946504</v>
      </c>
      <c r="Q716" s="15" t="n">
        <f aca="false">O716+P716</f>
        <v>22590.4961234486</v>
      </c>
      <c r="R716" s="15" t="n">
        <f aca="false">Q716-$G$2+$I$2</f>
        <v>17290.5961234486</v>
      </c>
      <c r="S716" s="42" t="n">
        <f aca="false">R716/$K$2</f>
        <v>147.179061316383</v>
      </c>
      <c r="T716" s="43" t="n">
        <f aca="false">S716-$M$2</f>
        <v>0.00507425475524315</v>
      </c>
    </row>
    <row r="717" customFormat="false" ht="15" hidden="false" customHeight="false" outlineLevel="0" collapsed="false">
      <c r="A717" s="5" t="n">
        <v>19</v>
      </c>
      <c r="B717" s="25" t="n">
        <f aca="false">IF(T716&gt;0,B716,D716)</f>
        <v>0.0594558715820313</v>
      </c>
      <c r="C717" s="25" t="n">
        <f aca="false">IF(T716&gt;0,D716,C716)</f>
        <v>0.0594615936279297</v>
      </c>
      <c r="D717" s="41" t="n">
        <f aca="false">(B717+C717)/2</f>
        <v>0.0594587326049805</v>
      </c>
      <c r="E717" s="15" t="n">
        <f aca="false">$C$2*(1+IF(E$3&lt;=$O$2,$D717,$D717-($D717-$I$697)*MIN(E$3-$O$2,$Q$2)/$Q$2))</f>
        <v>6822.91423797607</v>
      </c>
      <c r="F717" s="15" t="n">
        <f aca="false">E717*(1+IF(F$3&lt;=$O$2,$D717,$D717-($D717-$I$697)*MIN(F$3-$O$2,$Q$2)/$Q$2))</f>
        <v>7228.59607123861</v>
      </c>
      <c r="G717" s="15" t="n">
        <f aca="false">F717*(1+IF(G$3&lt;=$O$2,$D717,$D717-($D717-$I$697)*MIN(G$3-$O$2,$Q$2)/$Q$2))</f>
        <v>7658.3992321478</v>
      </c>
      <c r="H717" s="15" t="n">
        <f aca="false">G717*(1+IF(H$3&lt;=$O$2,$D717,$D717-($D717-$I$697)*MIN(H$3-$O$2,$Q$2)/$Q$2))</f>
        <v>8113.75794427426</v>
      </c>
      <c r="I717" s="15" t="n">
        <f aca="false">H717*(1+IF(I$3&lt;=$O$2,$D717,$D717-($D717-$I$697)*MIN(I$3-$O$2,$Q$2)/$Q$2))</f>
        <v>8596.1917083044</v>
      </c>
      <c r="J717" s="15" t="n">
        <f aca="false">I717*(1+IF(J$3&lt;=$O$2,$D717,$D717-($D717-$I$697)*MIN(J$3-$O$2,$Q$2)/$Q$2))</f>
        <v>9070.93346815419</v>
      </c>
      <c r="K717" s="15" t="n">
        <f aca="false">J717*(1+IF(K$3&lt;=$O$2,$D717,$D717-($D717-$I$697)*MIN(K$3-$O$2,$Q$2)/$Q$2))</f>
        <v>9533.50789342264</v>
      </c>
      <c r="L717" s="15" t="n">
        <f aca="false">K717*(1+IF(L$3&lt;=$O$2,$D717,$D717-($D717-$I$697)*MIN(L$3-$O$2,$Q$2)/$Q$2))</f>
        <v>9979.32802346249</v>
      </c>
      <c r="M717" s="15" t="n">
        <f aca="false">L717*(1+IF(M$3&lt;=$O$2,$D717,$D717-($D717-$I$697)*MIN(M$3-$O$2,$Q$2)/$Q$2))</f>
        <v>10403.7662734063</v>
      </c>
      <c r="N717" s="15" t="n">
        <f aca="false">M717*(1+IF(N$3&lt;=$O$2,$D717,$D717-($D717-$I$697)*MIN(N$3-$O$2,$Q$2)/$Q$2))</f>
        <v>10802.2305216777</v>
      </c>
      <c r="O717" s="15" t="n">
        <f aca="false">SUMPRODUCT(E717:N717,1/(1+$F$697)^$E$3:$N$3)*$E$2</f>
        <v>10182.6827451365</v>
      </c>
      <c r="P717" s="15" t="n">
        <f aca="false">N717*$E$2*(1+$I$697)/($F$697-$I$697)/(1+$F$697)^$N$3</f>
        <v>12407.4537113904</v>
      </c>
      <c r="Q717" s="15" t="n">
        <f aca="false">O717+P717</f>
        <v>22590.1364565269</v>
      </c>
      <c r="R717" s="15" t="n">
        <f aca="false">Q717-$G$2+$I$2</f>
        <v>17290.2364565269</v>
      </c>
      <c r="S717" s="42" t="n">
        <f aca="false">R717/$K$2</f>
        <v>147.175999800195</v>
      </c>
      <c r="T717" s="43" t="n">
        <f aca="false">S717-$M$2</f>
        <v>0.0020127385672879</v>
      </c>
    </row>
    <row r="718" customFormat="false" ht="15" hidden="false" customHeight="false" outlineLevel="0" collapsed="false">
      <c r="A718" s="5" t="n">
        <v>20</v>
      </c>
      <c r="B718" s="25" t="n">
        <f aca="false">IF(T717&gt;0,B717,D717)</f>
        <v>0.0594558715820313</v>
      </c>
      <c r="C718" s="25" t="n">
        <f aca="false">IF(T717&gt;0,D717,C717)</f>
        <v>0.0594587326049805</v>
      </c>
      <c r="D718" s="41" t="n">
        <f aca="false">(B718+C718)/2</f>
        <v>0.0594573020935059</v>
      </c>
      <c r="E718" s="15" t="n">
        <f aca="false">$C$2*(1+IF(E$3&lt;=$O$2,$D718,$D718-($D718-$I$697)*MIN(E$3-$O$2,$Q$2)/$Q$2))</f>
        <v>6822.90502548218</v>
      </c>
      <c r="F718" s="15" t="n">
        <f aca="false">E718*(1+IF(F$3&lt;=$O$2,$D718,$D718-($D718-$I$697)*MIN(F$3-$O$2,$Q$2)/$Q$2))</f>
        <v>7228.57655073757</v>
      </c>
      <c r="G718" s="15" t="n">
        <f aca="false">F718*(1+IF(G$3&lt;=$O$2,$D718,$D718-($D718-$I$697)*MIN(G$3-$O$2,$Q$2)/$Q$2))</f>
        <v>7658.36821042081</v>
      </c>
      <c r="H718" s="15" t="n">
        <f aca="false">G718*(1+IF(H$3&lt;=$O$2,$D718,$D718-($D718-$I$697)*MIN(H$3-$O$2,$Q$2)/$Q$2))</f>
        <v>8113.7141226511</v>
      </c>
      <c r="I718" s="15" t="n">
        <f aca="false">H718*(1+IF(I$3&lt;=$O$2,$D718,$D718-($D718-$I$697)*MIN(I$3-$O$2,$Q$2)/$Q$2))</f>
        <v>8596.13367434191</v>
      </c>
      <c r="J718" s="15" t="n">
        <f aca="false">I718*(1+IF(J$3&lt;=$O$2,$D718,$D718-($D718-$I$697)*MIN(J$3-$O$2,$Q$2)/$Q$2))</f>
        <v>9070.86239165657</v>
      </c>
      <c r="K718" s="15" t="n">
        <f aca="false">J718*(1+IF(K$3&lt;=$O$2,$D718,$D718-($D718-$I$697)*MIN(K$3-$O$2,$Q$2)/$Q$2))</f>
        <v>9533.42540677836</v>
      </c>
      <c r="L718" s="15" t="n">
        <f aca="false">K718*(1+IF(L$3&lt;=$O$2,$D718,$D718-($D718-$I$697)*MIN(L$3-$O$2,$Q$2)/$Q$2))</f>
        <v>9979.23622438482</v>
      </c>
      <c r="M718" s="15" t="n">
        <f aca="false">L718*(1+IF(M$3&lt;=$O$2,$D718,$D718-($D718-$I$697)*MIN(M$3-$O$2,$Q$2)/$Q$2))</f>
        <v>10403.6677148711</v>
      </c>
      <c r="N718" s="15" t="n">
        <f aca="false">M718*(1+IF(N$3&lt;=$O$2,$D718,$D718-($D718-$I$697)*MIN(N$3-$O$2,$Q$2)/$Q$2))</f>
        <v>10802.1281883507</v>
      </c>
      <c r="O718" s="15" t="n">
        <f aca="false">SUMPRODUCT(E718:N718,1/(1+$F$697)^$E$3:$N$3)*$E$2</f>
        <v>10182.6204538834</v>
      </c>
      <c r="P718" s="15" t="n">
        <f aca="false">N718*$E$2*(1+$I$697)/($F$697-$I$697)/(1+$F$697)^$N$3</f>
        <v>12407.3361712198</v>
      </c>
      <c r="Q718" s="15" t="n">
        <f aca="false">O718+P718</f>
        <v>22589.9566251032</v>
      </c>
      <c r="R718" s="15" t="n">
        <f aca="false">Q718-$G$2+$I$2</f>
        <v>17290.0566251032</v>
      </c>
      <c r="S718" s="42" t="n">
        <f aca="false">R718/$K$2</f>
        <v>147.174469059442</v>
      </c>
      <c r="T718" s="43" t="n">
        <f aca="false">S718-$M$2</f>
        <v>0.000481997814262058</v>
      </c>
    </row>
    <row r="719" customFormat="false" ht="15" hidden="false" customHeight="false" outlineLevel="0" collapsed="false">
      <c r="A719" s="5" t="n">
        <v>21</v>
      </c>
      <c r="B719" s="25" t="n">
        <f aca="false">IF(T718&gt;0,B718,D718)</f>
        <v>0.0594558715820313</v>
      </c>
      <c r="C719" s="25" t="n">
        <f aca="false">IF(T718&gt;0,D718,C718)</f>
        <v>0.0594573020935059</v>
      </c>
      <c r="D719" s="41" t="n">
        <f aca="false">(B719+C719)/2</f>
        <v>0.0594565868377686</v>
      </c>
      <c r="E719" s="15" t="n">
        <f aca="false">$C$2*(1+IF(E$3&lt;=$O$2,$D719,$D719-($D719-$I$697)*MIN(E$3-$O$2,$Q$2)/$Q$2))</f>
        <v>6822.90041923523</v>
      </c>
      <c r="F719" s="15" t="n">
        <f aca="false">E719*(1+IF(F$3&lt;=$O$2,$D719,$D719-($D719-$I$697)*MIN(F$3-$O$2,$Q$2)/$Q$2))</f>
        <v>7228.56679049694</v>
      </c>
      <c r="G719" s="15" t="n">
        <f aca="false">F719*(1+IF(G$3&lt;=$O$2,$D719,$D719-($D719-$I$697)*MIN(G$3-$O$2,$Q$2)/$Q$2))</f>
        <v>7658.35269958873</v>
      </c>
      <c r="H719" s="15" t="n">
        <f aca="false">G719*(1+IF(H$3&lt;=$O$2,$D719,$D719-($D719-$I$697)*MIN(H$3-$O$2,$Q$2)/$Q$2))</f>
        <v>8113.69221190608</v>
      </c>
      <c r="I719" s="15" t="n">
        <f aca="false">H719*(1+IF(I$3&lt;=$O$2,$D719,$D719-($D719-$I$697)*MIN(I$3-$O$2,$Q$2)/$Q$2))</f>
        <v>8596.10465747821</v>
      </c>
      <c r="J719" s="15" t="n">
        <f aca="false">I719*(1+IF(J$3&lt;=$O$2,$D719,$D719-($D719-$I$697)*MIN(J$3-$O$2,$Q$2)/$Q$2))</f>
        <v>9070.82685358161</v>
      </c>
      <c r="K719" s="15" t="n">
        <f aca="false">J719*(1+IF(K$3&lt;=$O$2,$D719,$D719-($D719-$I$697)*MIN(K$3-$O$2,$Q$2)/$Q$2))</f>
        <v>9533.38416368468</v>
      </c>
      <c r="L719" s="15" t="n">
        <f aca="false">K719*(1+IF(L$3&lt;=$O$2,$D719,$D719-($D719-$I$697)*MIN(L$3-$O$2,$Q$2)/$Q$2))</f>
        <v>9979.19032512052</v>
      </c>
      <c r="M719" s="15" t="n">
        <f aca="false">L719*(1+IF(M$3&lt;=$O$2,$D719,$D719-($D719-$I$697)*MIN(M$3-$O$2,$Q$2)/$Q$2))</f>
        <v>10403.6184359094</v>
      </c>
      <c r="N719" s="15" t="n">
        <f aca="false">M719*(1+IF(N$3&lt;=$O$2,$D719,$D719-($D719-$I$697)*MIN(N$3-$O$2,$Q$2)/$Q$2))</f>
        <v>10802.0770220048</v>
      </c>
      <c r="O719" s="15" t="n">
        <f aca="false">SUMPRODUCT(E719:N719,1/(1+$F$697)^$E$3:$N$3)*$E$2</f>
        <v>10182.5893084014</v>
      </c>
      <c r="P719" s="15" t="n">
        <f aca="false">N719*$E$2*(1+$I$697)/($F$697-$I$697)/(1+$F$697)^$N$3</f>
        <v>12407.2774014993</v>
      </c>
      <c r="Q719" s="15" t="n">
        <f aca="false">O719+P719</f>
        <v>22589.8667099007</v>
      </c>
      <c r="R719" s="15" t="n">
        <f aca="false">Q719-$G$2+$I$2</f>
        <v>17289.9667099007</v>
      </c>
      <c r="S719" s="42" t="n">
        <f aca="false">R719/$K$2</f>
        <v>147.173703693401</v>
      </c>
      <c r="T719" s="43" t="n">
        <f aca="false">S719-$M$2</f>
        <v>-0.000283368226973835</v>
      </c>
    </row>
    <row r="720" customFormat="false" ht="15" hidden="false" customHeight="false" outlineLevel="0" collapsed="false">
      <c r="A720" s="5" t="n">
        <v>22</v>
      </c>
      <c r="B720" s="25" t="n">
        <f aca="false">IF(T719&gt;0,B719,D719)</f>
        <v>0.0594565868377686</v>
      </c>
      <c r="C720" s="25" t="n">
        <f aca="false">IF(T719&gt;0,D719,C719)</f>
        <v>0.0594573020935059</v>
      </c>
      <c r="D720" s="41" t="n">
        <f aca="false">(B720+C720)/2</f>
        <v>0.0594569444656372</v>
      </c>
      <c r="E720" s="15" t="n">
        <f aca="false">$C$2*(1+IF(E$3&lt;=$O$2,$D720,$D720-($D720-$I$697)*MIN(E$3-$O$2,$Q$2)/$Q$2))</f>
        <v>6822.9027223587</v>
      </c>
      <c r="F720" s="15" t="n">
        <f aca="false">E720*(1+IF(F$3&lt;=$O$2,$D720,$D720-($D720-$I$697)*MIN(F$3-$O$2,$Q$2)/$Q$2))</f>
        <v>7228.57167061643</v>
      </c>
      <c r="G720" s="15" t="n">
        <f aca="false">F720*(1+IF(G$3&lt;=$O$2,$D720,$D720-($D720-$I$697)*MIN(G$3-$O$2,$Q$2)/$Q$2))</f>
        <v>7658.36045500215</v>
      </c>
      <c r="H720" s="15" t="n">
        <f aca="false">G720*(1+IF(H$3&lt;=$O$2,$D720,$D720-($D720-$I$697)*MIN(H$3-$O$2,$Q$2)/$Q$2))</f>
        <v>8113.70316727304</v>
      </c>
      <c r="I720" s="15" t="n">
        <f aca="false">H720*(1+IF(I$3&lt;=$O$2,$D720,$D720-($D720-$I$697)*MIN(I$3-$O$2,$Q$2)/$Q$2))</f>
        <v>8596.11916590026</v>
      </c>
      <c r="J720" s="15" t="n">
        <f aca="false">I720*(1+IF(J$3&lt;=$O$2,$D720,$D720-($D720-$I$697)*MIN(J$3-$O$2,$Q$2)/$Q$2))</f>
        <v>9070.84462260461</v>
      </c>
      <c r="K720" s="15" t="n">
        <f aca="false">J720*(1+IF(K$3&lt;=$O$2,$D720,$D720-($D720-$I$697)*MIN(K$3-$O$2,$Q$2)/$Q$2))</f>
        <v>9533.40478521248</v>
      </c>
      <c r="L720" s="15" t="n">
        <f aca="false">K720*(1+IF(L$3&lt;=$O$2,$D720,$D720-($D720-$I$697)*MIN(L$3-$O$2,$Q$2)/$Q$2))</f>
        <v>9979.21327472979</v>
      </c>
      <c r="M720" s="15" t="n">
        <f aca="false">L720*(1+IF(M$3&lt;=$O$2,$D720,$D720-($D720-$I$697)*MIN(M$3-$O$2,$Q$2)/$Q$2))</f>
        <v>10403.6430753648</v>
      </c>
      <c r="N720" s="15" t="n">
        <f aca="false">M720*(1+IF(N$3&lt;=$O$2,$D720,$D720-($D720-$I$697)*MIN(N$3-$O$2,$Q$2)/$Q$2))</f>
        <v>10802.1026051513</v>
      </c>
      <c r="O720" s="15" t="n">
        <f aca="false">SUMPRODUCT(E720:N720,1/(1+$F$697)^$E$3:$N$3)*$E$2</f>
        <v>10182.6048811304</v>
      </c>
      <c r="P720" s="15" t="n">
        <f aca="false">N720*$E$2*(1+$I$697)/($F$697-$I$697)/(1+$F$697)^$N$3</f>
        <v>12407.3067863292</v>
      </c>
      <c r="Q720" s="15" t="n">
        <f aca="false">O720+P720</f>
        <v>22589.9116674595</v>
      </c>
      <c r="R720" s="15" t="n">
        <f aca="false">Q720-$G$2+$I$2</f>
        <v>17290.0116674595</v>
      </c>
      <c r="S720" s="42" t="n">
        <f aca="false">R720/$K$2</f>
        <v>147.17408637606</v>
      </c>
      <c r="T720" s="43" t="n">
        <f aca="false">S720-$M$2</f>
        <v>9.93144323899742E-005</v>
      </c>
    </row>
    <row r="721" customFormat="false" ht="15" hidden="false" customHeight="false" outlineLevel="0" collapsed="false">
      <c r="A721" s="5" t="n">
        <v>23</v>
      </c>
      <c r="B721" s="25" t="n">
        <f aca="false">IF(T720&gt;0,B720,D720)</f>
        <v>0.0594565868377686</v>
      </c>
      <c r="C721" s="25" t="n">
        <f aca="false">IF(T720&gt;0,D720,C720)</f>
        <v>0.0594569444656372</v>
      </c>
      <c r="D721" s="41" t="n">
        <f aca="false">(B721+C721)/2</f>
        <v>0.0594567656517029</v>
      </c>
      <c r="E721" s="15" t="n">
        <f aca="false">$C$2*(1+IF(E$3&lt;=$O$2,$D721,$D721-($D721-$I$697)*MIN(E$3-$O$2,$Q$2)/$Q$2))</f>
        <v>6822.90157079697</v>
      </c>
      <c r="F721" s="15" t="n">
        <f aca="false">E721*(1+IF(F$3&lt;=$O$2,$D721,$D721-($D721-$I$697)*MIN(F$3-$O$2,$Q$2)/$Q$2))</f>
        <v>7228.56923055648</v>
      </c>
      <c r="G721" s="15" t="n">
        <f aca="false">F721*(1+IF(G$3&lt;=$O$2,$D721,$D721-($D721-$I$697)*MIN(G$3-$O$2,$Q$2)/$Q$2))</f>
        <v>7658.35657729478</v>
      </c>
      <c r="H721" s="15" t="n">
        <f aca="false">G721*(1+IF(H$3&lt;=$O$2,$D721,$D721-($D721-$I$697)*MIN(H$3-$O$2,$Q$2)/$Q$2))</f>
        <v>8113.69768958818</v>
      </c>
      <c r="I721" s="15" t="n">
        <f aca="false">H721*(1+IF(I$3&lt;=$O$2,$D721,$D721-($D721-$I$697)*MIN(I$3-$O$2,$Q$2)/$Q$2))</f>
        <v>8596.11191168679</v>
      </c>
      <c r="J721" s="15" t="n">
        <f aca="false">I721*(1+IF(J$3&lt;=$O$2,$D721,$D721-($D721-$I$697)*MIN(J$3-$O$2,$Q$2)/$Q$2))</f>
        <v>9070.83573808948</v>
      </c>
      <c r="K721" s="15" t="n">
        <f aca="false">J721*(1+IF(K$3&lt;=$O$2,$D721,$D721-($D721-$I$697)*MIN(K$3-$O$2,$Q$2)/$Q$2))</f>
        <v>9533.39447444382</v>
      </c>
      <c r="L721" s="15" t="n">
        <f aca="false">K721*(1+IF(L$3&lt;=$O$2,$D721,$D721-($D721-$I$697)*MIN(L$3-$O$2,$Q$2)/$Q$2))</f>
        <v>9979.20179991944</v>
      </c>
      <c r="M721" s="15" t="n">
        <f aca="false">L721*(1+IF(M$3&lt;=$O$2,$D721,$D721-($D721-$I$697)*MIN(M$3-$O$2,$Q$2)/$Q$2))</f>
        <v>10403.6307556307</v>
      </c>
      <c r="N721" s="15" t="n">
        <f aca="false">M721*(1+IF(N$3&lt;=$O$2,$D721,$D721-($D721-$I$697)*MIN(N$3-$O$2,$Q$2)/$Q$2))</f>
        <v>10802.0898135714</v>
      </c>
      <c r="O721" s="15" t="n">
        <f aca="false">SUMPRODUCT(E721:N721,1/(1+$F$697)^$E$3:$N$3)*$E$2</f>
        <v>10182.5970947629</v>
      </c>
      <c r="P721" s="15" t="n">
        <f aca="false">N721*$E$2*(1+$I$697)/($F$697-$I$697)/(1+$F$697)^$N$3</f>
        <v>12407.2920939066</v>
      </c>
      <c r="Q721" s="15" t="n">
        <f aca="false">O721+P721</f>
        <v>22589.8891886695</v>
      </c>
      <c r="R721" s="15" t="n">
        <f aca="false">Q721-$G$2+$I$2</f>
        <v>17289.9891886695</v>
      </c>
      <c r="S721" s="42" t="n">
        <f aca="false">R721/$K$2</f>
        <v>147.17389503464</v>
      </c>
      <c r="T721" s="43" t="n">
        <f aca="false">S721-$M$2</f>
        <v>-9.2026987601912E-005</v>
      </c>
    </row>
    <row r="722" customFormat="false" ht="15" hidden="false" customHeight="false" outlineLevel="0" collapsed="false">
      <c r="A722" s="5" t="n">
        <v>24</v>
      </c>
      <c r="B722" s="25" t="n">
        <f aca="false">IF(T721&gt;0,B721,D721)</f>
        <v>0.0594567656517029</v>
      </c>
      <c r="C722" s="25" t="n">
        <f aca="false">IF(T721&gt;0,D721,C721)</f>
        <v>0.0594569444656372</v>
      </c>
      <c r="D722" s="41" t="n">
        <f aca="false">(B722+C722)/2</f>
        <v>0.05945685505867</v>
      </c>
      <c r="E722" s="15" t="n">
        <f aca="false">$C$2*(1+IF(E$3&lt;=$O$2,$D722,$D722-($D722-$I$697)*MIN(E$3-$O$2,$Q$2)/$Q$2))</f>
        <v>6822.90214657784</v>
      </c>
      <c r="F722" s="15" t="n">
        <f aca="false">E722*(1+IF(F$3&lt;=$O$2,$D722,$D722-($D722-$I$697)*MIN(F$3-$O$2,$Q$2)/$Q$2))</f>
        <v>7228.5704505864</v>
      </c>
      <c r="G722" s="15" t="n">
        <f aca="false">F722*(1+IF(G$3&lt;=$O$2,$D722,$D722-($D722-$I$697)*MIN(G$3-$O$2,$Q$2)/$Q$2))</f>
        <v>7658.3585161483</v>
      </c>
      <c r="H722" s="15" t="n">
        <f aca="false">G722*(1+IF(H$3&lt;=$O$2,$D722,$D722-($D722-$I$697)*MIN(H$3-$O$2,$Q$2)/$Q$2))</f>
        <v>8113.70042843027</v>
      </c>
      <c r="I722" s="15" t="n">
        <f aca="false">H722*(1+IF(I$3&lt;=$O$2,$D722,$D722-($D722-$I$697)*MIN(I$3-$O$2,$Q$2)/$Q$2))</f>
        <v>8596.11553879291</v>
      </c>
      <c r="J722" s="15" t="n">
        <f aca="false">I722*(1+IF(J$3&lt;=$O$2,$D722,$D722-($D722-$I$697)*MIN(J$3-$O$2,$Q$2)/$Q$2))</f>
        <v>9070.84018034614</v>
      </c>
      <c r="K722" s="15" t="n">
        <f aca="false">J722*(1+IF(K$3&lt;=$O$2,$D722,$D722-($D722-$I$697)*MIN(K$3-$O$2,$Q$2)/$Q$2))</f>
        <v>9533.39962982696</v>
      </c>
      <c r="L722" s="15" t="n">
        <f aca="false">K722*(1+IF(L$3&lt;=$O$2,$D722,$D722-($D722-$I$697)*MIN(L$3-$O$2,$Q$2)/$Q$2))</f>
        <v>9979.20753732318</v>
      </c>
      <c r="M722" s="15" t="n">
        <f aca="false">L722*(1+IF(M$3&lt;=$O$2,$D722,$D722-($D722-$I$697)*MIN(M$3-$O$2,$Q$2)/$Q$2))</f>
        <v>10403.6369154962</v>
      </c>
      <c r="N722" s="15" t="n">
        <f aca="false">M722*(1+IF(N$3&lt;=$O$2,$D722,$D722-($D722-$I$697)*MIN(N$3-$O$2,$Q$2)/$Q$2))</f>
        <v>10802.0962093597</v>
      </c>
      <c r="O722" s="15" t="n">
        <f aca="false">SUMPRODUCT(E722:N722,1/(1+$F$697)^$E$3:$N$3)*$E$2</f>
        <v>10182.6009879459</v>
      </c>
      <c r="P722" s="15" t="n">
        <f aca="false">N722*$E$2*(1+$I$697)/($F$697-$I$697)/(1+$F$697)^$N$3</f>
        <v>12407.299440116</v>
      </c>
      <c r="Q722" s="15" t="n">
        <f aca="false">O722+P722</f>
        <v>22589.9004280619</v>
      </c>
      <c r="R722" s="15" t="n">
        <f aca="false">Q722-$G$2+$I$2</f>
        <v>17290.0004280619</v>
      </c>
      <c r="S722" s="42" t="n">
        <f aca="false">R722/$K$2</f>
        <v>147.173990705327</v>
      </c>
      <c r="T722" s="43" t="n">
        <f aca="false">S722-$M$2</f>
        <v>3.64369978456125E-006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B2:L44"/>
  <sheetViews>
    <sheetView showFormulas="false" showGridLines="fals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2"/>
    <col collapsed="false" customWidth="true" hidden="false" outlineLevel="0" max="2" min="2" style="0" width="36"/>
    <col collapsed="false" customWidth="true" hidden="false" outlineLevel="0" max="13" min="3" style="0" width="12"/>
  </cols>
  <sheetData>
    <row r="2" customFormat="false" ht="19.7" hidden="false" customHeight="false" outlineLevel="0" collapsed="false">
      <c r="B2" s="1" t="s">
        <v>206</v>
      </c>
    </row>
    <row r="3" customFormat="false" ht="15" hidden="false" customHeight="false" outlineLevel="0" collapsed="false">
      <c r="B3" s="2" t="s">
        <v>207</v>
      </c>
    </row>
    <row r="5" customFormat="false" ht="15" hidden="false" customHeight="false" outlineLevel="0" collapsed="false">
      <c r="B5" s="3" t="s">
        <v>208</v>
      </c>
    </row>
    <row r="6" customFormat="false" ht="15" hidden="false" customHeight="false" outlineLevel="0" collapsed="false">
      <c r="B6" s="28" t="s">
        <v>157</v>
      </c>
      <c r="C6" s="44" t="n">
        <v>1</v>
      </c>
      <c r="D6" s="44" t="n">
        <v>2</v>
      </c>
      <c r="E6" s="44" t="n">
        <v>3</v>
      </c>
      <c r="F6" s="44" t="n">
        <v>4</v>
      </c>
      <c r="G6" s="44" t="n">
        <v>5</v>
      </c>
      <c r="H6" s="44" t="n">
        <v>6</v>
      </c>
      <c r="I6" s="44" t="n">
        <v>7</v>
      </c>
      <c r="J6" s="44" t="n">
        <v>8</v>
      </c>
      <c r="K6" s="44" t="n">
        <v>9</v>
      </c>
      <c r="L6" s="44" t="n">
        <v>10</v>
      </c>
    </row>
    <row r="7" customFormat="false" ht="15" hidden="false" customHeight="false" outlineLevel="0" collapsed="false">
      <c r="B7" s="5" t="s">
        <v>209</v>
      </c>
      <c r="C7" s="23" t="n">
        <f aca="false">IF(C$6&lt;=Inputs!$C$46,Solver!$W$7,Solver!$W$7-(Solver!$W$7-Inputs!$C$37)*MIN(C$6-Inputs!$C$46,Inputs!$C$47)/Inputs!$C$47)</f>
        <v>0.0510126700942237</v>
      </c>
      <c r="D7" s="23" t="n">
        <f aca="false">IF(D$6&lt;=Inputs!$C$46,Solver!$W$7,Solver!$W$7-(Solver!$W$7-Inputs!$C$37)*MIN(D$6-Inputs!$C$46,Inputs!$C$47)/Inputs!$C$47)</f>
        <v>0.0510126700942237</v>
      </c>
      <c r="E7" s="23" t="n">
        <f aca="false">IF(E$6&lt;=Inputs!$C$46,Solver!$W$7,Solver!$W$7-(Solver!$W$7-Inputs!$C$37)*MIN(E$6-Inputs!$C$46,Inputs!$C$47)/Inputs!$C$47)</f>
        <v>0.0510126700942237</v>
      </c>
      <c r="F7" s="23" t="n">
        <f aca="false">IF(F$6&lt;=Inputs!$C$46,Solver!$W$7,Solver!$W$7-(Solver!$W$7-Inputs!$C$37)*MIN(F$6-Inputs!$C$46,Inputs!$C$47)/Inputs!$C$47)</f>
        <v>0.0510126700942237</v>
      </c>
      <c r="G7" s="23" t="n">
        <f aca="false">IF(G$6&lt;=Inputs!$C$46,Solver!$W$7,Solver!$W$7-(Solver!$W$7-Inputs!$C$37)*MIN(G$6-Inputs!$C$46,Inputs!$C$47)/Inputs!$C$47)</f>
        <v>0.0510126700942237</v>
      </c>
      <c r="H7" s="23" t="n">
        <f aca="false">IF(H$6&lt;=Inputs!$C$46,Solver!$W$7,Solver!$W$7-(Solver!$W$7-Inputs!$C$37)*MIN(H$6-Inputs!$C$46,Inputs!$C$47)/Inputs!$C$47)</f>
        <v>0.046470136075379</v>
      </c>
      <c r="I7" s="23" t="n">
        <f aca="false">IF(I$6&lt;=Inputs!$C$46,Solver!$W$7,Solver!$W$7-(Solver!$W$7-Inputs!$C$37)*MIN(I$6-Inputs!$C$46,Inputs!$C$47)/Inputs!$C$47)</f>
        <v>0.0419276020565342</v>
      </c>
      <c r="J7" s="23" t="n">
        <f aca="false">IF(J$6&lt;=Inputs!$C$46,Solver!$W$7,Solver!$W$7-(Solver!$W$7-Inputs!$C$37)*MIN(J$6-Inputs!$C$46,Inputs!$C$47)/Inputs!$C$47)</f>
        <v>0.0373850680376895</v>
      </c>
      <c r="K7" s="23" t="n">
        <f aca="false">IF(K$6&lt;=Inputs!$C$46,Solver!$W$7,Solver!$W$7-(Solver!$W$7-Inputs!$C$37)*MIN(K$6-Inputs!$C$46,Inputs!$C$47)/Inputs!$C$47)</f>
        <v>0.0328425340188447</v>
      </c>
      <c r="L7" s="23" t="n">
        <f aca="false">IF(L$6&lt;=Inputs!$C$46,Solver!$W$7,Solver!$W$7-(Solver!$W$7-Inputs!$C$37)*MIN(L$6-Inputs!$C$46,Inputs!$C$47)/Inputs!$C$47)</f>
        <v>0.0283</v>
      </c>
    </row>
    <row r="8" customFormat="false" ht="15" hidden="false" customHeight="false" outlineLevel="0" collapsed="false">
      <c r="B8" s="5" t="s">
        <v>103</v>
      </c>
      <c r="C8" s="15" t="n">
        <f aca="false">Inputs!$C$12*(1+C7)</f>
        <v>6768.5215954068</v>
      </c>
      <c r="D8" s="15" t="n">
        <f aca="false">C8*(1+D7)</f>
        <v>7113.80195457892</v>
      </c>
      <c r="E8" s="15" t="n">
        <f aca="false">D8*(1+E7)</f>
        <v>7476.6959868035</v>
      </c>
      <c r="F8" s="15" t="n">
        <f aca="false">E8*(1+F7)</f>
        <v>7858.10221257311</v>
      </c>
      <c r="G8" s="15" t="n">
        <f aca="false">F8*(1+G7)</f>
        <v>8258.96498830979</v>
      </c>
      <c r="H8" s="15" t="n">
        <f aca="false">G8*(1+H7)</f>
        <v>8642.76021515834</v>
      </c>
      <c r="I8" s="15" t="n">
        <f aca="false">H8*(1+I7)</f>
        <v>9005.13042612954</v>
      </c>
      <c r="J8" s="15" t="n">
        <f aca="false">I8*(1+J7)</f>
        <v>9341.78783979866</v>
      </c>
      <c r="K8" s="15" t="n">
        <f aca="false">J8*(1+K7)</f>
        <v>9648.59582472408</v>
      </c>
      <c r="L8" s="15" t="n">
        <f aca="false">K8*(1+L7)</f>
        <v>9921.65108656377</v>
      </c>
    </row>
    <row r="9" customFormat="false" ht="15" hidden="false" customHeight="false" outlineLevel="0" collapsed="false">
      <c r="B9" s="5" t="s">
        <v>58</v>
      </c>
      <c r="C9" s="15" t="n">
        <f aca="false">C8*Inputs!$C$23</f>
        <v>1355.09691086924</v>
      </c>
      <c r="D9" s="15" t="n">
        <f aca="false">D8*Inputs!$C$23</f>
        <v>1424.22402252911</v>
      </c>
      <c r="E9" s="15" t="n">
        <f aca="false">E8*Inputs!$C$23</f>
        <v>1496.87749273065</v>
      </c>
      <c r="F9" s="15" t="n">
        <f aca="false">F8*Inputs!$C$23</f>
        <v>1573.23721043879</v>
      </c>
      <c r="G9" s="15" t="n">
        <f aca="false">G8*Inputs!$C$23</f>
        <v>1653.49224123486</v>
      </c>
      <c r="H9" s="15" t="n">
        <f aca="false">H8*Inputs!$C$23</f>
        <v>1730.33025068463</v>
      </c>
      <c r="I9" s="15" t="n">
        <f aca="false">I8*Inputs!$C$23</f>
        <v>1802.87884886172</v>
      </c>
      <c r="J9" s="15" t="n">
        <f aca="false">J8*Inputs!$C$23</f>
        <v>1870.27959729013</v>
      </c>
      <c r="K9" s="15" t="n">
        <f aca="false">K8*Inputs!$C$23</f>
        <v>1931.70431858888</v>
      </c>
      <c r="L9" s="15" t="n">
        <f aca="false">L8*Inputs!$C$23</f>
        <v>1986.37155080494</v>
      </c>
    </row>
    <row r="10" customFormat="false" ht="15" hidden="false" customHeight="false" outlineLevel="0" collapsed="false">
      <c r="B10" s="5" t="s">
        <v>210</v>
      </c>
      <c r="C10" s="45" t="n">
        <f aca="false">1/(1+WACC!$C$33)^C$6</f>
        <v>0.913251469640734</v>
      </c>
      <c r="D10" s="45" t="n">
        <f aca="false">1/(1+WACC!$C$33)^D$6</f>
        <v>0.83402824680096</v>
      </c>
      <c r="E10" s="45" t="n">
        <f aca="false">1/(1+WACC!$C$33)^E$6</f>
        <v>0.761677522112861</v>
      </c>
      <c r="F10" s="45" t="n">
        <f aca="false">1/(1+WACC!$C$33)^F$6</f>
        <v>0.695603116461883</v>
      </c>
      <c r="G10" s="45" t="n">
        <f aca="false">1/(1+WACC!$C$33)^G$6</f>
        <v>0.635260568395489</v>
      </c>
      <c r="H10" s="45" t="n">
        <f aca="false">1/(1+WACC!$C$33)^H$6</f>
        <v>0.580152647691988</v>
      </c>
      <c r="I10" s="45" t="n">
        <f aca="false">1/(1+WACC!$C$33)^I$6</f>
        <v>0.529825258120671</v>
      </c>
      <c r="J10" s="45" t="n">
        <f aca="false">1/(1+WACC!$C$33)^J$6</f>
        <v>0.483863695631483</v>
      </c>
      <c r="K10" s="45" t="n">
        <f aca="false">1/(1+WACC!$C$33)^K$6</f>
        <v>0.441889231141249</v>
      </c>
      <c r="L10" s="45" t="n">
        <f aca="false">1/(1+WACC!$C$33)^L$6</f>
        <v>0.403555989758159</v>
      </c>
    </row>
    <row r="11" customFormat="false" ht="15" hidden="false" customHeight="false" outlineLevel="0" collapsed="false">
      <c r="B11" s="5" t="s">
        <v>211</v>
      </c>
      <c r="C11" s="15" t="n">
        <f aca="false">C9*C10</f>
        <v>1237.54424535695</v>
      </c>
      <c r="D11" s="15" t="n">
        <f aca="false">D9*D10</f>
        <v>1187.84306456176</v>
      </c>
      <c r="E11" s="15" t="n">
        <f aca="false">E9*E10</f>
        <v>1140.1379395696</v>
      </c>
      <c r="F11" s="15" t="n">
        <f aca="false">F9*F10</f>
        <v>1094.34870651502</v>
      </c>
      <c r="G11" s="15" t="n">
        <f aca="false">G9*G10</f>
        <v>1050.39842100439</v>
      </c>
      <c r="H11" s="15" t="n">
        <f aca="false">H9*H10</f>
        <v>1003.85567631623</v>
      </c>
      <c r="I11" s="15" t="n">
        <f aca="false">I9*I10</f>
        <v>955.210751458458</v>
      </c>
      <c r="J11" s="15" t="n">
        <f aca="false">J9*J10</f>
        <v>904.960397808963</v>
      </c>
      <c r="K11" s="15" t="n">
        <f aca="false">K9*K10</f>
        <v>853.599336133469</v>
      </c>
      <c r="L11" s="15" t="n">
        <f aca="false">L9*L10</f>
        <v>801.612137212539</v>
      </c>
    </row>
    <row r="13" customFormat="false" ht="15" hidden="false" customHeight="false" outlineLevel="0" collapsed="false">
      <c r="B13" s="5" t="s">
        <v>212</v>
      </c>
      <c r="C13" s="15" t="n">
        <f aca="false">SUM(C11:L11)</f>
        <v>10229.5106759374</v>
      </c>
    </row>
    <row r="14" customFormat="false" ht="15" hidden="false" customHeight="false" outlineLevel="0" collapsed="false">
      <c r="B14" s="5" t="s">
        <v>213</v>
      </c>
      <c r="C14" s="15" t="n">
        <f aca="false">L9*(1+Inputs!$C$37)/(WACC!$C$33-Inputs!$C$37)</f>
        <v>30628.685083817</v>
      </c>
    </row>
    <row r="15" customFormat="false" ht="15" hidden="false" customHeight="false" outlineLevel="0" collapsed="false">
      <c r="B15" s="5" t="s">
        <v>214</v>
      </c>
      <c r="C15" s="15" t="n">
        <f aca="false">C14*L10</f>
        <v>12360.3893239907</v>
      </c>
    </row>
    <row r="16" customFormat="false" ht="15" hidden="false" customHeight="false" outlineLevel="0" collapsed="false">
      <c r="B16" s="7" t="s">
        <v>215</v>
      </c>
      <c r="C16" s="15" t="n">
        <f aca="false">C13+C15</f>
        <v>22589.8999999281</v>
      </c>
    </row>
    <row r="17" customFormat="false" ht="15" hidden="false" customHeight="false" outlineLevel="0" collapsed="false">
      <c r="B17" s="5" t="s">
        <v>216</v>
      </c>
      <c r="C17" s="16" t="n">
        <f aca="false">-Inputs!$C$27</f>
        <v>-5470</v>
      </c>
    </row>
    <row r="18" customFormat="false" ht="15" hidden="false" customHeight="false" outlineLevel="0" collapsed="false">
      <c r="B18" s="5" t="s">
        <v>217</v>
      </c>
      <c r="C18" s="16" t="n">
        <f aca="false">Inputs!$C$28</f>
        <v>170.1</v>
      </c>
    </row>
    <row r="19" customFormat="false" ht="15" hidden="false" customHeight="false" outlineLevel="0" collapsed="false">
      <c r="B19" s="5" t="s">
        <v>218</v>
      </c>
      <c r="C19" s="15" t="n">
        <f aca="false">SUM(C16:C18)</f>
        <v>17289.9999999281</v>
      </c>
    </row>
    <row r="20" customFormat="false" ht="15" hidden="false" customHeight="false" outlineLevel="0" collapsed="false">
      <c r="B20" s="5" t="s">
        <v>219</v>
      </c>
      <c r="C20" s="36" t="n">
        <f aca="false">Inputs!$C$7</f>
        <v>117.48</v>
      </c>
    </row>
    <row r="21" customFormat="false" ht="15" hidden="false" customHeight="false" outlineLevel="0" collapsed="false">
      <c r="B21" s="7" t="s">
        <v>220</v>
      </c>
      <c r="C21" s="46" t="n">
        <f aca="false">C19/C20</f>
        <v>147.173987061016</v>
      </c>
    </row>
    <row r="22" customFormat="false" ht="15" hidden="false" customHeight="false" outlineLevel="0" collapsed="false">
      <c r="B22" s="5" t="s">
        <v>6</v>
      </c>
      <c r="C22" s="6" t="n">
        <f aca="false">Inputs!$C$6</f>
        <v>147.173987061628</v>
      </c>
    </row>
    <row r="23" customFormat="false" ht="15" hidden="false" customHeight="false" outlineLevel="0" collapsed="false">
      <c r="B23" s="5" t="s">
        <v>221</v>
      </c>
      <c r="C23" s="23" t="n">
        <f aca="false">C21/C22-1</f>
        <v>-4.15745216031382E-012</v>
      </c>
    </row>
    <row r="24" customFormat="false" ht="15" hidden="false" customHeight="false" outlineLevel="0" collapsed="false">
      <c r="B24" s="5" t="s">
        <v>222</v>
      </c>
      <c r="C24" s="23" t="n">
        <f aca="false">C15/C16</f>
        <v>0.547164410822096</v>
      </c>
    </row>
    <row r="25" customFormat="false" ht="15" hidden="false" customHeight="false" outlineLevel="0" collapsed="false">
      <c r="B25" s="3" t="s">
        <v>223</v>
      </c>
    </row>
    <row r="26" customFormat="false" ht="15" hidden="false" customHeight="false" outlineLevel="0" collapsed="false">
      <c r="B26" s="28" t="s">
        <v>157</v>
      </c>
      <c r="C26" s="44" t="n">
        <v>1</v>
      </c>
      <c r="D26" s="44" t="n">
        <v>2</v>
      </c>
      <c r="E26" s="44" t="n">
        <v>3</v>
      </c>
      <c r="F26" s="44" t="n">
        <v>4</v>
      </c>
      <c r="G26" s="44" t="n">
        <v>5</v>
      </c>
      <c r="H26" s="44" t="n">
        <v>6</v>
      </c>
      <c r="I26" s="44" t="n">
        <v>7</v>
      </c>
      <c r="J26" s="44" t="n">
        <v>8</v>
      </c>
      <c r="K26" s="44" t="n">
        <v>9</v>
      </c>
      <c r="L26" s="44" t="n">
        <v>10</v>
      </c>
    </row>
    <row r="27" customFormat="false" ht="15" hidden="false" customHeight="false" outlineLevel="0" collapsed="false">
      <c r="B27" s="5" t="s">
        <v>209</v>
      </c>
      <c r="C27" s="23" t="n">
        <f aca="false">IF(C$26&lt;=Inputs!$C$46,Inputs!$C$45,Inputs!$C$45-(Inputs!$C$45-Inputs!$C$37)*MIN(C$26-Inputs!$C$46,Inputs!$C$47)/Inputs!$C$47)</f>
        <v>0.078371941355462</v>
      </c>
      <c r="D27" s="23" t="n">
        <f aca="false">IF(D$26&lt;=Inputs!$C$46,Inputs!$C$45,Inputs!$C$45-(Inputs!$C$45-Inputs!$C$37)*MIN(D$26-Inputs!$C$46,Inputs!$C$47)/Inputs!$C$47)</f>
        <v>0.078371941355462</v>
      </c>
      <c r="E27" s="23" t="n">
        <f aca="false">IF(E$26&lt;=Inputs!$C$46,Inputs!$C$45,Inputs!$C$45-(Inputs!$C$45-Inputs!$C$37)*MIN(E$26-Inputs!$C$46,Inputs!$C$47)/Inputs!$C$47)</f>
        <v>0.078371941355462</v>
      </c>
      <c r="F27" s="23" t="n">
        <f aca="false">IF(F$26&lt;=Inputs!$C$46,Inputs!$C$45,Inputs!$C$45-(Inputs!$C$45-Inputs!$C$37)*MIN(F$26-Inputs!$C$46,Inputs!$C$47)/Inputs!$C$47)</f>
        <v>0.078371941355462</v>
      </c>
      <c r="G27" s="23" t="n">
        <f aca="false">IF(G$26&lt;=Inputs!$C$46,Inputs!$C$45,Inputs!$C$45-(Inputs!$C$45-Inputs!$C$37)*MIN(G$26-Inputs!$C$46,Inputs!$C$47)/Inputs!$C$47)</f>
        <v>0.078371941355462</v>
      </c>
      <c r="H27" s="23" t="n">
        <f aca="false">IF(H$26&lt;=Inputs!$C$46,Inputs!$C$45,Inputs!$C$45-(Inputs!$C$45-Inputs!$C$37)*MIN(H$26-Inputs!$C$46,Inputs!$C$47)/Inputs!$C$47)</f>
        <v>0.0683575530843696</v>
      </c>
      <c r="I27" s="23" t="n">
        <f aca="false">IF(I$26&lt;=Inputs!$C$46,Inputs!$C$45,Inputs!$C$45-(Inputs!$C$45-Inputs!$C$37)*MIN(I$26-Inputs!$C$46,Inputs!$C$47)/Inputs!$C$47)</f>
        <v>0.0583431648132772</v>
      </c>
      <c r="J27" s="23" t="n">
        <f aca="false">IF(J$26&lt;=Inputs!$C$46,Inputs!$C$45,Inputs!$C$45-(Inputs!$C$45-Inputs!$C$37)*MIN(J$26-Inputs!$C$46,Inputs!$C$47)/Inputs!$C$47)</f>
        <v>0.0483287765421848</v>
      </c>
      <c r="K27" s="23" t="n">
        <f aca="false">IF(K$26&lt;=Inputs!$C$46,Inputs!$C$45,Inputs!$C$45-(Inputs!$C$45-Inputs!$C$37)*MIN(K$26-Inputs!$C$46,Inputs!$C$47)/Inputs!$C$47)</f>
        <v>0.0383143882710924</v>
      </c>
      <c r="L27" s="23" t="n">
        <f aca="false">IF(L$26&lt;=Inputs!$C$46,Inputs!$C$45,Inputs!$C$45-(Inputs!$C$45-Inputs!$C$37)*MIN(L$26-Inputs!$C$46,Inputs!$C$47)/Inputs!$C$47)</f>
        <v>0.0283</v>
      </c>
    </row>
    <row r="28" customFormat="false" ht="15" hidden="false" customHeight="false" outlineLevel="0" collapsed="false">
      <c r="B28" s="5" t="s">
        <v>103</v>
      </c>
      <c r="C28" s="15" t="n">
        <f aca="false">Inputs!$C$12*(1+C27)</f>
        <v>6944.71530232918</v>
      </c>
      <c r="D28" s="15" t="n">
        <f aca="false">C28*(1+D27)</f>
        <v>7488.9861227337</v>
      </c>
      <c r="E28" s="15" t="n">
        <f aca="false">D28*(1+E27)</f>
        <v>8075.91250395645</v>
      </c>
      <c r="F28" s="15" t="n">
        <f aca="false">E28*(1+F27)</f>
        <v>8708.83744510837</v>
      </c>
      <c r="G28" s="15" t="n">
        <f aca="false">F28*(1+G27)</f>
        <v>9391.36594263065</v>
      </c>
      <c r="H28" s="15" t="n">
        <f aca="false">G28*(1+H27)</f>
        <v>10033.3367385888</v>
      </c>
      <c r="I28" s="15" t="n">
        <f aca="false">H28*(1+I27)</f>
        <v>10618.7133575554</v>
      </c>
      <c r="J28" s="15" t="n">
        <f aca="false">I28*(1+J27)</f>
        <v>11131.9027825782</v>
      </c>
      <c r="K28" s="15" t="n">
        <f aca="false">J28*(1+K27)</f>
        <v>11558.4148279859</v>
      </c>
      <c r="L28" s="15" t="n">
        <f aca="false">K28*(1+L27)</f>
        <v>11885.5179676179</v>
      </c>
    </row>
    <row r="29" customFormat="false" ht="15" hidden="false" customHeight="false" outlineLevel="0" collapsed="false">
      <c r="B29" s="5" t="s">
        <v>58</v>
      </c>
      <c r="C29" s="15" t="n">
        <f aca="false">C28*Inputs!$C$23</f>
        <v>1390.37190328813</v>
      </c>
      <c r="D29" s="15" t="n">
        <f aca="false">D28*Inputs!$C$23</f>
        <v>1499.33804855491</v>
      </c>
      <c r="E29" s="15" t="n">
        <f aca="false">E28*Inputs!$C$23</f>
        <v>1616.84408216827</v>
      </c>
      <c r="F29" s="15" t="n">
        <f aca="false">F28*Inputs!$C$23</f>
        <v>1743.55929175689</v>
      </c>
      <c r="G29" s="15" t="n">
        <f aca="false">G28*Inputs!$C$23</f>
        <v>1880.20541832023</v>
      </c>
      <c r="H29" s="15" t="n">
        <f aca="false">H28*Inputs!$C$23</f>
        <v>2008.73166001257</v>
      </c>
      <c r="I29" s="15" t="n">
        <f aca="false">I28*Inputs!$C$23</f>
        <v>2125.92742231833</v>
      </c>
      <c r="J29" s="15" t="n">
        <f aca="false">J28*Inputs!$C$23</f>
        <v>2228.67089365646</v>
      </c>
      <c r="K29" s="15" t="n">
        <f aca="false">K28*Inputs!$C$23</f>
        <v>2314.0610556045</v>
      </c>
      <c r="L29" s="15" t="n">
        <f aca="false">L28*Inputs!$C$23</f>
        <v>2379.5489834781</v>
      </c>
    </row>
    <row r="30" customFormat="false" ht="15" hidden="false" customHeight="false" outlineLevel="0" collapsed="false">
      <c r="B30" s="5" t="s">
        <v>210</v>
      </c>
      <c r="C30" s="45" t="n">
        <f aca="false">1/(1+WACC!$C$33)^C$26</f>
        <v>0.913251469640734</v>
      </c>
      <c r="D30" s="45" t="n">
        <f aca="false">1/(1+WACC!$C$33)^D$26</f>
        <v>0.83402824680096</v>
      </c>
      <c r="E30" s="45" t="n">
        <f aca="false">1/(1+WACC!$C$33)^E$26</f>
        <v>0.761677522112861</v>
      </c>
      <c r="F30" s="45" t="n">
        <f aca="false">1/(1+WACC!$C$33)^F$26</f>
        <v>0.695603116461883</v>
      </c>
      <c r="G30" s="45" t="n">
        <f aca="false">1/(1+WACC!$C$33)^G$26</f>
        <v>0.635260568395489</v>
      </c>
      <c r="H30" s="45" t="n">
        <f aca="false">1/(1+WACC!$C$33)^H$26</f>
        <v>0.580152647691988</v>
      </c>
      <c r="I30" s="45" t="n">
        <f aca="false">1/(1+WACC!$C$33)^I$26</f>
        <v>0.529825258120671</v>
      </c>
      <c r="J30" s="45" t="n">
        <f aca="false">1/(1+WACC!$C$33)^J$26</f>
        <v>0.483863695631483</v>
      </c>
      <c r="K30" s="45" t="n">
        <f aca="false">1/(1+WACC!$C$33)^K$26</f>
        <v>0.441889231141249</v>
      </c>
      <c r="L30" s="45" t="n">
        <f aca="false">1/(1+WACC!$C$33)^L$26</f>
        <v>0.403555989758159</v>
      </c>
    </row>
    <row r="31" customFormat="false" ht="15" hidden="false" customHeight="false" outlineLevel="0" collapsed="false">
      <c r="B31" s="5" t="s">
        <v>211</v>
      </c>
      <c r="C31" s="15" t="n">
        <f aca="false">C29*C30</f>
        <v>1269.75918402507</v>
      </c>
      <c r="D31" s="15" t="n">
        <f aca="false">D29*D30</f>
        <v>1250.49028399822</v>
      </c>
      <c r="E31" s="15" t="n">
        <f aca="false">E29*E30</f>
        <v>1231.51379414877</v>
      </c>
      <c r="F31" s="15" t="n">
        <f aca="false">F29*F30</f>
        <v>1212.82527708216</v>
      </c>
      <c r="G31" s="15" t="n">
        <f aca="false">G29*G30</f>
        <v>1194.42036274239</v>
      </c>
      <c r="H31" s="15" t="n">
        <f aca="false">H29*H30</f>
        <v>1165.37099105902</v>
      </c>
      <c r="I31" s="15" t="n">
        <f aca="false">I29*I30</f>
        <v>1126.37004527562</v>
      </c>
      <c r="J31" s="15" t="n">
        <f aca="false">J29*J30</f>
        <v>1078.37293495094</v>
      </c>
      <c r="K31" s="15" t="n">
        <f aca="false">K29*K30</f>
        <v>1022.55866067498</v>
      </c>
      <c r="L31" s="15" t="n">
        <f aca="false">L29*L30</f>
        <v>960.281245205527</v>
      </c>
    </row>
    <row r="33" customFormat="false" ht="15" hidden="false" customHeight="false" outlineLevel="0" collapsed="false">
      <c r="B33" s="5" t="s">
        <v>212</v>
      </c>
      <c r="C33" s="15" t="n">
        <f aca="false">SUM(C31:L31)</f>
        <v>11511.9627791627</v>
      </c>
    </row>
    <row r="34" customFormat="false" ht="15" hidden="false" customHeight="false" outlineLevel="0" collapsed="false">
      <c r="B34" s="5" t="s">
        <v>213</v>
      </c>
      <c r="C34" s="15" t="n">
        <f aca="false">L29*(1+Inputs!$C$37)/(WACC!$C$33-Inputs!$C$37)</f>
        <v>36691.2506509335</v>
      </c>
    </row>
    <row r="35" customFormat="false" ht="15" hidden="false" customHeight="false" outlineLevel="0" collapsed="false">
      <c r="B35" s="5" t="s">
        <v>214</v>
      </c>
      <c r="C35" s="15" t="n">
        <f aca="false">C34*L30</f>
        <v>14806.9739719022</v>
      </c>
    </row>
    <row r="36" customFormat="false" ht="15" hidden="false" customHeight="false" outlineLevel="0" collapsed="false">
      <c r="B36" s="7" t="s">
        <v>215</v>
      </c>
      <c r="C36" s="15" t="n">
        <f aca="false">C33+C35</f>
        <v>26318.9367510649</v>
      </c>
    </row>
    <row r="37" customFormat="false" ht="15" hidden="false" customHeight="false" outlineLevel="0" collapsed="false">
      <c r="B37" s="5" t="s">
        <v>216</v>
      </c>
      <c r="C37" s="16" t="n">
        <f aca="false">-Inputs!$C$27</f>
        <v>-5470</v>
      </c>
    </row>
    <row r="38" customFormat="false" ht="15" hidden="false" customHeight="false" outlineLevel="0" collapsed="false">
      <c r="B38" s="5" t="s">
        <v>217</v>
      </c>
      <c r="C38" s="16" t="n">
        <f aca="false">Inputs!$C$28</f>
        <v>170.1</v>
      </c>
    </row>
    <row r="39" customFormat="false" ht="15" hidden="false" customHeight="false" outlineLevel="0" collapsed="false">
      <c r="B39" s="5" t="s">
        <v>218</v>
      </c>
      <c r="C39" s="15" t="n">
        <f aca="false">SUM(C36:C38)</f>
        <v>21019.0367510649</v>
      </c>
    </row>
    <row r="40" customFormat="false" ht="15" hidden="false" customHeight="false" outlineLevel="0" collapsed="false">
      <c r="B40" s="5" t="s">
        <v>219</v>
      </c>
      <c r="C40" s="36" t="n">
        <f aca="false">Inputs!$C$7</f>
        <v>117.48</v>
      </c>
    </row>
    <row r="41" customFormat="false" ht="15" hidden="false" customHeight="false" outlineLevel="0" collapsed="false">
      <c r="B41" s="7" t="s">
        <v>220</v>
      </c>
      <c r="C41" s="46" t="n">
        <f aca="false">C39/C40</f>
        <v>178.915872923603</v>
      </c>
    </row>
    <row r="42" customFormat="false" ht="15" hidden="false" customHeight="false" outlineLevel="0" collapsed="false">
      <c r="B42" s="5" t="s">
        <v>6</v>
      </c>
      <c r="C42" s="6" t="n">
        <f aca="false">Inputs!$C$6</f>
        <v>147.173987061628</v>
      </c>
    </row>
    <row r="43" customFormat="false" ht="15" hidden="false" customHeight="false" outlineLevel="0" collapsed="false">
      <c r="B43" s="5" t="s">
        <v>221</v>
      </c>
      <c r="C43" s="23" t="n">
        <f aca="false">C41/C42-1</f>
        <v>0.215675925451988</v>
      </c>
    </row>
    <row r="44" customFormat="false" ht="15" hidden="false" customHeight="false" outlineLevel="0" collapsed="false">
      <c r="B44" s="5" t="s">
        <v>222</v>
      </c>
      <c r="C44" s="23" t="n">
        <f aca="false">C35/C36</f>
        <v>0.562597726190557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B2:L32"/>
  <sheetViews>
    <sheetView showFormulas="false" showGridLines="fals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2"/>
    <col collapsed="false" customWidth="true" hidden="false" outlineLevel="0" max="2" min="2" style="0" width="26"/>
    <col collapsed="false" customWidth="true" hidden="false" outlineLevel="0" max="7" min="3" style="0" width="13"/>
    <col collapsed="false" customWidth="true" hidden="false" outlineLevel="0" max="8" min="8" style="0" width="4"/>
    <col collapsed="false" customWidth="true" hidden="false" outlineLevel="0" max="9" min="9" style="0" width="60"/>
  </cols>
  <sheetData>
    <row r="2" customFormat="false" ht="19.7" hidden="false" customHeight="false" outlineLevel="0" collapsed="false">
      <c r="B2" s="1" t="s">
        <v>224</v>
      </c>
    </row>
    <row r="3" customFormat="false" ht="15" hidden="false" customHeight="false" outlineLevel="0" collapsed="false">
      <c r="B3" s="2" t="s">
        <v>225</v>
      </c>
    </row>
    <row r="5" customFormat="false" ht="15" hidden="false" customHeight="false" outlineLevel="0" collapsed="false">
      <c r="B5" s="5" t="s">
        <v>226</v>
      </c>
      <c r="C5" s="24" t="n">
        <v>0.005</v>
      </c>
      <c r="D5" s="5" t="s">
        <v>227</v>
      </c>
      <c r="F5" s="24" t="n">
        <v>0.005</v>
      </c>
    </row>
    <row r="6" customFormat="false" ht="15" hidden="false" customHeight="false" outlineLevel="0" collapsed="false">
      <c r="B6" s="5" t="s">
        <v>228</v>
      </c>
      <c r="C6" s="24" t="n">
        <v>0.02</v>
      </c>
    </row>
    <row r="8" customFormat="false" ht="15" hidden="false" customHeight="false" outlineLevel="0" collapsed="false">
      <c r="B8" s="3" t="s">
        <v>229</v>
      </c>
    </row>
    <row r="9" customFormat="false" ht="15" hidden="false" customHeight="false" outlineLevel="0" collapsed="false">
      <c r="C9" s="47" t="n">
        <f aca="false">Inputs!$C$37+(0-2)*$F$5</f>
        <v>0.0183</v>
      </c>
      <c r="D9" s="47" t="n">
        <f aca="false">Inputs!$C$37+(1-2)*$F$5</f>
        <v>0.0233</v>
      </c>
      <c r="E9" s="47" t="n">
        <f aca="false">Inputs!$C$37+(2-2)*$F$5</f>
        <v>0.0283</v>
      </c>
      <c r="F9" s="47" t="n">
        <f aca="false">Inputs!$C$37+(3-2)*$F$5</f>
        <v>0.0333</v>
      </c>
      <c r="G9" s="47" t="n">
        <f aca="false">Inputs!$C$37+(4-2)*$F$5</f>
        <v>0.0383</v>
      </c>
    </row>
    <row r="10" customFormat="false" ht="15" hidden="false" customHeight="false" outlineLevel="0" collapsed="false">
      <c r="B10" s="47" t="n">
        <f aca="false">WACC!$C$33+(0-2)*$C$5</f>
        <v>0.0849886567315273</v>
      </c>
      <c r="C10" s="9" t="n">
        <f aca="false">Solver!$D$74</f>
        <v>0.0425580441951752</v>
      </c>
      <c r="D10" s="9" t="n">
        <f aca="false">Solver!$D$101</f>
        <v>0.0328434407711029</v>
      </c>
      <c r="E10" s="9" t="n">
        <f aca="false">Solver!$D$128</f>
        <v>0.0223136246204376</v>
      </c>
      <c r="F10" s="9" t="n">
        <f aca="false">Solver!$D$155</f>
        <v>0.0108241140842438</v>
      </c>
      <c r="G10" s="9" t="n">
        <f aca="false">Solver!$D$182</f>
        <v>-0.00181177258491516</v>
      </c>
      <c r="I10" s="19" t="s">
        <v>230</v>
      </c>
    </row>
    <row r="11" customFormat="false" ht="15" hidden="false" customHeight="false" outlineLevel="0" collapsed="false">
      <c r="B11" s="47" t="n">
        <f aca="false">WACC!$C$33+(1-2)*$C$5</f>
        <v>0.0899886567315273</v>
      </c>
      <c r="C11" s="9" t="n">
        <f aca="false">Solver!$D$209</f>
        <v>0.0558414161205292</v>
      </c>
      <c r="D11" s="9" t="n">
        <f aca="false">Solver!$D$236</f>
        <v>0.0467866361141205</v>
      </c>
      <c r="E11" s="9" t="n">
        <f aca="false">Solver!$D$263</f>
        <v>0.037027508020401</v>
      </c>
      <c r="F11" s="9" t="n">
        <f aca="false">Solver!$D$290</f>
        <v>0.0264497697353363</v>
      </c>
      <c r="G11" s="9" t="n">
        <f aca="false">Solver!$D$317</f>
        <v>0.0149080455303192</v>
      </c>
    </row>
    <row r="12" customFormat="false" ht="15" hidden="false" customHeight="false" outlineLevel="0" collapsed="false">
      <c r="B12" s="47" t="n">
        <f aca="false">WACC!$C$33+(2-2)*$C$5</f>
        <v>0.0949886567315273</v>
      </c>
      <c r="C12" s="9" t="n">
        <f aca="false">Solver!$D$344</f>
        <v>0.0685899555683136</v>
      </c>
      <c r="D12" s="9" t="n">
        <f aca="false">Solver!$D$371</f>
        <v>0.0601088106632233</v>
      </c>
      <c r="E12" s="8" t="n">
        <f aca="false">Solver!$D$398</f>
        <v>0.0510127246379852</v>
      </c>
      <c r="F12" s="9" t="n">
        <f aca="false">Solver!$D$425</f>
        <v>0.0412090718746185</v>
      </c>
      <c r="G12" s="9" t="n">
        <f aca="false">Solver!$D$452</f>
        <v>0.0305832326412201</v>
      </c>
    </row>
    <row r="13" customFormat="false" ht="15" hidden="false" customHeight="false" outlineLevel="0" collapsed="false">
      <c r="B13" s="47" t="n">
        <f aca="false">WACC!$C$33+(3-2)*$C$5</f>
        <v>0.0999886567315273</v>
      </c>
      <c r="C13" s="9" t="n">
        <f aca="false">Solver!$D$479</f>
        <v>0.0808717906475067</v>
      </c>
      <c r="D13" s="9" t="n">
        <f aca="false">Solver!$D$506</f>
        <v>0.0728938281536102</v>
      </c>
      <c r="E13" s="9" t="n">
        <f aca="false">Solver!$D$533</f>
        <v>0.0643738806247711</v>
      </c>
      <c r="F13" s="9" t="n">
        <f aca="false">Solver!$D$560</f>
        <v>0.0552361309528351</v>
      </c>
      <c r="G13" s="9" t="n">
        <f aca="false">Solver!$D$587</f>
        <v>0.0453879535198212</v>
      </c>
    </row>
    <row r="14" customFormat="false" ht="15" hidden="false" customHeight="false" outlineLevel="0" collapsed="false">
      <c r="B14" s="47" t="n">
        <f aca="false">WACC!$C$33+(4-2)*$C$5</f>
        <v>0.104988656731527</v>
      </c>
      <c r="C14" s="9" t="n">
        <f aca="false">Solver!$D$614</f>
        <v>0.0927427113056183</v>
      </c>
      <c r="D14" s="9" t="n">
        <f aca="false">Solver!$D$641</f>
        <v>0.0852096378803253</v>
      </c>
      <c r="E14" s="9" t="n">
        <f aca="false">Solver!$D$668</f>
        <v>0.0771951973438263</v>
      </c>
      <c r="F14" s="9" t="n">
        <f aca="false">Solver!$D$695</f>
        <v>0.0686360895633698</v>
      </c>
      <c r="G14" s="9" t="n">
        <f aca="false">Solver!$D$722</f>
        <v>0.05945685505867</v>
      </c>
    </row>
    <row r="17" customFormat="false" ht="15" hidden="false" customHeight="false" outlineLevel="0" collapsed="false">
      <c r="B17" s="3" t="s">
        <v>231</v>
      </c>
    </row>
    <row r="18" customFormat="false" ht="15" hidden="false" customHeight="false" outlineLevel="0" collapsed="false">
      <c r="C18" s="48" t="n">
        <f aca="false">Inputs!$C$45+(0-2)*$C$6</f>
        <v>0.038371941355462</v>
      </c>
      <c r="D18" s="48" t="n">
        <f aca="false">Inputs!$C$45+(1-2)*$C$6</f>
        <v>0.058371941355462</v>
      </c>
      <c r="E18" s="48" t="n">
        <f aca="false">Inputs!$C$45+(2-2)*$C$6</f>
        <v>0.078371941355462</v>
      </c>
      <c r="F18" s="48" t="n">
        <f aca="false">Inputs!$C$45+(3-2)*$C$6</f>
        <v>0.098371941355462</v>
      </c>
      <c r="G18" s="48" t="n">
        <f aca="false">Inputs!$C$45+(4-2)*$C$6</f>
        <v>0.118371941355462</v>
      </c>
    </row>
    <row r="19" customFormat="false" ht="15" hidden="false" customHeight="false" outlineLevel="0" collapsed="false">
      <c r="B19" s="47" t="n">
        <f aca="false">WACC!$C$33+(0-2)*$C$5</f>
        <v>0.0849886567315273</v>
      </c>
      <c r="C19" s="42" t="n">
        <f aca="false">(SUMPRODUCT($C28:$L28,1/(1+$B19)^$C$27:$L$27)*Inputs!$C$23+$L28*Inputs!$C$23*(1+Inputs!$C$37)/($B19-Inputs!$C$37)/(1+$B19)^$L$27-Inputs!$C$27+Inputs!$C$28)/Inputs!$C$7</f>
        <v>165.902373700847</v>
      </c>
      <c r="D19" s="42" t="n">
        <f aca="false">(SUMPRODUCT($C29:$L29,1/(1+$B19)^$C$27:$L$27)*Inputs!$C$23+$L29*Inputs!$C$23*(1+Inputs!$C$37)/($B19-Inputs!$C$37)/(1+$B19)^$L$27-Inputs!$C$27+Inputs!$C$28)/Inputs!$C$7</f>
        <v>191.632282910856</v>
      </c>
      <c r="E19" s="42" t="n">
        <f aca="false">(SUMPRODUCT($C30:$L30,1/(1+$B19)^$C$27:$L$27)*Inputs!$C$23+$L30*Inputs!$C$23*(1+Inputs!$C$37)/($B19-Inputs!$C$37)/(1+$B19)^$L$27-Inputs!$C$27+Inputs!$C$28)/Inputs!$C$7</f>
        <v>220.279328845907</v>
      </c>
      <c r="F19" s="42" t="n">
        <f aca="false">(SUMPRODUCT($C31:$L31,1/(1+$B19)^$C$27:$L$27)*Inputs!$C$23+$L31*Inputs!$C$23*(1+Inputs!$C$37)/($B19-Inputs!$C$37)/(1+$B19)^$L$27-Inputs!$C$27+Inputs!$C$28)/Inputs!$C$7</f>
        <v>252.132396130631</v>
      </c>
      <c r="G19" s="42" t="n">
        <f aca="false">(SUMPRODUCT($C32:$L32,1/(1+$B19)^$C$27:$L$27)*Inputs!$C$23+$L32*Inputs!$C$23*(1+Inputs!$C$37)/($B19-Inputs!$C$37)/(1+$B19)^$L$27-Inputs!$C$27+Inputs!$C$28)/Inputs!$C$7</f>
        <v>287.504285050364</v>
      </c>
      <c r="I19" s="19" t="s">
        <v>232</v>
      </c>
    </row>
    <row r="20" customFormat="false" ht="15" hidden="false" customHeight="false" outlineLevel="0" collapsed="false">
      <c r="B20" s="47" t="n">
        <f aca="false">WACC!$C$33+(1-2)*$C$5</f>
        <v>0.0899886567315273</v>
      </c>
      <c r="C20" s="42" t="n">
        <f aca="false">(SUMPRODUCT($C28:$L28,1/(1+$B20)^$C$27:$L$27)*Inputs!$C$23+$L28*Inputs!$C$23*(1+Inputs!$C$37)/($B20-Inputs!$C$37)/(1+$B20)^$L$27-Inputs!$C$27+Inputs!$C$28)/Inputs!$C$7</f>
        <v>148.65311487333</v>
      </c>
      <c r="D20" s="42" t="n">
        <f aca="false">(SUMPRODUCT($C29:$L29,1/(1+$B20)^$C$27:$L$27)*Inputs!$C$23+$L29*Inputs!$C$23*(1+Inputs!$C$37)/($B20-Inputs!$C$37)/(1+$B20)^$L$27-Inputs!$C$27+Inputs!$C$28)/Inputs!$C$7</f>
        <v>171.969374654117</v>
      </c>
      <c r="E20" s="42" t="n">
        <f aca="false">(SUMPRODUCT($C30:$L30,1/(1+$B20)^$C$27:$L$27)*Inputs!$C$23+$L30*Inputs!$C$23*(1+Inputs!$C$37)/($B20-Inputs!$C$37)/(1+$B20)^$L$27-Inputs!$C$27+Inputs!$C$28)/Inputs!$C$7</f>
        <v>197.910288725827</v>
      </c>
      <c r="F20" s="42" t="n">
        <f aca="false">(SUMPRODUCT($C31:$L31,1/(1+$B20)^$C$27:$L$27)*Inputs!$C$23+$L31*Inputs!$C$23*(1+Inputs!$C$37)/($B20-Inputs!$C$37)/(1+$B20)^$L$27-Inputs!$C$27+Inputs!$C$28)/Inputs!$C$7</f>
        <v>226.734714763364</v>
      </c>
      <c r="G20" s="42" t="n">
        <f aca="false">(SUMPRODUCT($C32:$L32,1/(1+$B20)^$C$27:$L$27)*Inputs!$C$23+$L32*Inputs!$C$23*(1+Inputs!$C$37)/($B20-Inputs!$C$37)/(1+$B20)^$L$27-Inputs!$C$27+Inputs!$C$28)/Inputs!$C$7</f>
        <v>258.722879408436</v>
      </c>
    </row>
    <row r="21" customFormat="false" ht="15" hidden="false" customHeight="false" outlineLevel="0" collapsed="false">
      <c r="B21" s="47" t="n">
        <f aca="false">WACC!$C$33+(2-2)*$C$5</f>
        <v>0.0949886567315273</v>
      </c>
      <c r="C21" s="42" t="n">
        <f aca="false">(SUMPRODUCT($C28:$L28,1/(1+$B21)^$C$27:$L$27)*Inputs!$C$23+$L28*Inputs!$C$23*(1+Inputs!$C$37)/($B21-Inputs!$C$37)/(1+$B21)^$L$27-Inputs!$C$27+Inputs!$C$28)/Inputs!$C$7</f>
        <v>133.993787115086</v>
      </c>
      <c r="D21" s="42" t="n">
        <f aca="false">(SUMPRODUCT($C29:$L29,1/(1+$B21)^$C$27:$L$27)*Inputs!$C$23+$L29*Inputs!$C$23*(1+Inputs!$C$37)/($B21-Inputs!$C$37)/(1+$B21)^$L$27-Inputs!$C$27+Inputs!$C$28)/Inputs!$C$7</f>
        <v>155.266073208689</v>
      </c>
      <c r="E21" s="46" t="n">
        <f aca="false">(SUMPRODUCT($C30:$L30,1/(1+$B21)^$C$27:$L$27)*Inputs!$C$23+$L30*Inputs!$C$23*(1+Inputs!$C$37)/($B21-Inputs!$C$37)/(1+$B21)^$L$27-Inputs!$C$27+Inputs!$C$28)/Inputs!$C$7</f>
        <v>178.915872923603</v>
      </c>
      <c r="F21" s="42" t="n">
        <f aca="false">(SUMPRODUCT($C31:$L31,1/(1+$B21)^$C$27:$L$27)*Inputs!$C$23+$L31*Inputs!$C$23*(1+Inputs!$C$37)/($B21-Inputs!$C$37)/(1+$B21)^$L$27-Inputs!$C$27+Inputs!$C$28)/Inputs!$C$7</f>
        <v>205.176710506931</v>
      </c>
      <c r="G21" s="42" t="n">
        <f aca="false">(SUMPRODUCT($C32:$L32,1/(1+$B21)^$C$27:$L$27)*Inputs!$C$23+$L32*Inputs!$C$23*(1+Inputs!$C$37)/($B21-Inputs!$C$37)/(1+$B21)^$L$27-Inputs!$C$27+Inputs!$C$28)/Inputs!$C$7</f>
        <v>234.301333081396</v>
      </c>
    </row>
    <row r="22" customFormat="false" ht="15" hidden="false" customHeight="false" outlineLevel="0" collapsed="false">
      <c r="B22" s="47" t="n">
        <f aca="false">WACC!$C$33+(3-2)*$C$5</f>
        <v>0.0999886567315273</v>
      </c>
      <c r="C22" s="42" t="n">
        <f aca="false">(SUMPRODUCT($C28:$L28,1/(1+$B22)^$C$27:$L$27)*Inputs!$C$23+$L28*Inputs!$C$23*(1+Inputs!$C$37)/($B22-Inputs!$C$37)/(1+$B22)^$L$27-Inputs!$C$27+Inputs!$C$28)/Inputs!$C$7</f>
        <v>121.382375985912</v>
      </c>
      <c r="D22" s="42" t="n">
        <f aca="false">(SUMPRODUCT($C29:$L29,1/(1+$B22)^$C$27:$L$27)*Inputs!$C$23+$L29*Inputs!$C$23*(1+Inputs!$C$37)/($B22-Inputs!$C$37)/(1+$B22)^$L$27-Inputs!$C$27+Inputs!$C$28)/Inputs!$C$7</f>
        <v>140.902778605547</v>
      </c>
      <c r="E22" s="42" t="n">
        <f aca="false">(SUMPRODUCT($C30:$L30,1/(1+$B22)^$C$27:$L$27)*Inputs!$C$23+$L30*Inputs!$C$23*(1+Inputs!$C$37)/($B22-Inputs!$C$37)/(1+$B22)^$L$27-Inputs!$C$27+Inputs!$C$28)/Inputs!$C$7</f>
        <v>162.589360501061</v>
      </c>
      <c r="F22" s="42" t="n">
        <f aca="false">(SUMPRODUCT($C31:$L31,1/(1+$B22)^$C$27:$L$27)*Inputs!$C$23+$L31*Inputs!$C$23*(1+Inputs!$C$37)/($B22-Inputs!$C$37)/(1+$B22)^$L$27-Inputs!$C$27+Inputs!$C$28)/Inputs!$C$7</f>
        <v>186.654017399528</v>
      </c>
      <c r="G22" s="42" t="n">
        <f aca="false">(SUMPRODUCT($C32:$L32,1/(1+$B22)^$C$27:$L$27)*Inputs!$C$23+$L32*Inputs!$C$23*(1+Inputs!$C$37)/($B22-Inputs!$C$37)/(1+$B22)^$L$27-Inputs!$C$27+Inputs!$C$28)/Inputs!$C$7</f>
        <v>213.32603792314</v>
      </c>
    </row>
    <row r="23" customFormat="false" ht="15" hidden="false" customHeight="false" outlineLevel="0" collapsed="false">
      <c r="B23" s="47" t="n">
        <f aca="false">WACC!$C$33+(4-2)*$C$5</f>
        <v>0.104988656731527</v>
      </c>
      <c r="C23" s="42" t="n">
        <f aca="false">(SUMPRODUCT($C28:$L28,1/(1+$B23)^$C$27:$L$27)*Inputs!$C$23+$L28*Inputs!$C$23*(1+Inputs!$C$37)/($B23-Inputs!$C$37)/(1+$B23)^$L$27-Inputs!$C$27+Inputs!$C$28)/Inputs!$C$7</f>
        <v>110.418225252831</v>
      </c>
      <c r="D23" s="42" t="n">
        <f aca="false">(SUMPRODUCT($C29:$L29,1/(1+$B23)^$C$27:$L$27)*Inputs!$C$23+$L29*Inputs!$C$23*(1+Inputs!$C$37)/($B23-Inputs!$C$37)/(1+$B23)^$L$27-Inputs!$C$27+Inputs!$C$28)/Inputs!$C$7</f>
        <v>128.421491517545</v>
      </c>
      <c r="E23" s="42" t="n">
        <f aca="false">(SUMPRODUCT($C30:$L30,1/(1+$B23)^$C$27:$L$27)*Inputs!$C$23+$L30*Inputs!$C$23*(1+Inputs!$C$37)/($B23-Inputs!$C$37)/(1+$B23)^$L$27-Inputs!$C$27+Inputs!$C$28)/Inputs!$C$7</f>
        <v>148.408362218769</v>
      </c>
      <c r="F23" s="42" t="n">
        <f aca="false">(SUMPRODUCT($C31:$L31,1/(1+$B23)^$C$27:$L$27)*Inputs!$C$23+$L31*Inputs!$C$23*(1+Inputs!$C$37)/($B23-Inputs!$C$37)/(1+$B23)^$L$27-Inputs!$C$27+Inputs!$C$28)/Inputs!$C$7</f>
        <v>170.572078940573</v>
      </c>
      <c r="G23" s="42" t="n">
        <f aca="false">(SUMPRODUCT($C32:$L32,1/(1+$B23)^$C$27:$L$27)*Inputs!$C$23+$L32*Inputs!$C$23*(1+Inputs!$C$37)/($B23-Inputs!$C$37)/(1+$B23)^$L$27-Inputs!$C$27+Inputs!$C$28)/Inputs!$C$7</f>
        <v>195.121699862615</v>
      </c>
    </row>
    <row r="26" customFormat="false" ht="15" hidden="false" customHeight="false" outlineLevel="0" collapsed="false">
      <c r="B26" s="19" t="s">
        <v>233</v>
      </c>
    </row>
    <row r="27" customFormat="false" ht="15" hidden="false" customHeight="false" outlineLevel="0" collapsed="false">
      <c r="C27" s="39" t="n">
        <v>1</v>
      </c>
      <c r="D27" s="39" t="n">
        <v>2</v>
      </c>
      <c r="E27" s="39" t="n">
        <v>3</v>
      </c>
      <c r="F27" s="39" t="n">
        <v>4</v>
      </c>
      <c r="G27" s="39" t="n">
        <v>5</v>
      </c>
      <c r="H27" s="39" t="n">
        <v>6</v>
      </c>
      <c r="I27" s="39" t="n">
        <v>7</v>
      </c>
      <c r="J27" s="39" t="n">
        <v>8</v>
      </c>
      <c r="K27" s="39" t="n">
        <v>9</v>
      </c>
      <c r="L27" s="39" t="n">
        <v>10</v>
      </c>
    </row>
    <row r="28" customFormat="false" ht="15" hidden="false" customHeight="false" outlineLevel="0" collapsed="false">
      <c r="B28" s="23" t="n">
        <f aca="false">C$18</f>
        <v>0.038371941355462</v>
      </c>
      <c r="C28" s="15" t="n">
        <f aca="false">Inputs!$C$12*(1+IF(C$27&lt;=Inputs!$C$46,$B28,$B28-($B28-Inputs!$C$37)*MIN(C$27-Inputs!$C$46,Inputs!$C$47)/Inputs!$C$47))</f>
        <v>6687.11530232918</v>
      </c>
      <c r="D28" s="15" t="n">
        <f aca="false">C28*(1+IF(D$27&lt;=Inputs!$C$46,$B28,$B28-($B28-Inputs!$C$37)*MIN(D$27-Inputs!$C$46,Inputs!$C$47)/Inputs!$C$47))</f>
        <v>6943.71289854736</v>
      </c>
      <c r="E28" s="15" t="n">
        <f aca="false">D28*(1+IF(E$27&lt;=Inputs!$C$46,$B28,$B28-($B28-Inputs!$C$37)*MIN(E$27-Inputs!$C$46,Inputs!$C$47)/Inputs!$C$47))</f>
        <v>7210.15664267959</v>
      </c>
      <c r="F28" s="15" t="n">
        <f aca="false">E28*(1+IF(F$27&lt;=Inputs!$C$46,$B28,$B28-($B28-Inputs!$C$37)*MIN(F$27-Inputs!$C$46,Inputs!$C$47)/Inputs!$C$47))</f>
        <v>7486.82435053618</v>
      </c>
      <c r="G28" s="15" t="n">
        <f aca="false">F28*(1+IF(G$27&lt;=Inputs!$C$46,$B28,$B28-($B28-Inputs!$C$37)*MIN(G$27-Inputs!$C$46,Inputs!$C$47)/Inputs!$C$47))</f>
        <v>7774.1083354536</v>
      </c>
      <c r="H28" s="15" t="n">
        <f aca="false">G28*(1+IF(H$27&lt;=Inputs!$C$46,$B28,$B28-($B28-Inputs!$C$37)*MIN(H$27-Inputs!$C$46,Inputs!$C$47)/Inputs!$C$47))</f>
        <v>8056.7558919435</v>
      </c>
      <c r="I28" s="15" t="n">
        <f aca="false">H28*(1+IF(I$27&lt;=Inputs!$C$46,$B28,$B28-($B28-Inputs!$C$37)*MIN(I$27-Inputs!$C$46,Inputs!$C$47)/Inputs!$C$47))</f>
        <v>8333.45038740085</v>
      </c>
      <c r="J28" s="15" t="n">
        <f aca="false">I28*(1+IF(J$27&lt;=Inputs!$C$46,$B28,$B28-($B28-Inputs!$C$37)*MIN(J$27-Inputs!$C$46,Inputs!$C$47)/Inputs!$C$47))</f>
        <v>8602.86064280052</v>
      </c>
      <c r="K28" s="15" t="n">
        <f aca="false">J28*(1+IF(K$27&lt;=Inputs!$C$46,$B28,$B28-($B28-Inputs!$C$37)*MIN(K$27-Inputs!$C$46,Inputs!$C$47)/Inputs!$C$47))</f>
        <v>8863.65110056848</v>
      </c>
      <c r="L28" s="15" t="n">
        <f aca="false">K28*(1+IF(L$27&lt;=Inputs!$C$46,$B28,$B28-($B28-Inputs!$C$37)*MIN(L$27-Inputs!$C$46,Inputs!$C$47)/Inputs!$C$47))</f>
        <v>9114.49242671456</v>
      </c>
    </row>
    <row r="29" customFormat="false" ht="15" hidden="false" customHeight="false" outlineLevel="0" collapsed="false">
      <c r="B29" s="23" t="n">
        <f aca="false">D$18</f>
        <v>0.058371941355462</v>
      </c>
      <c r="C29" s="15" t="n">
        <f aca="false">Inputs!$C$12*(1+IF(C$27&lt;=Inputs!$C$46,$B29,$B29-($B29-Inputs!$C$37)*MIN(C$27-Inputs!$C$46,Inputs!$C$47)/Inputs!$C$47))</f>
        <v>6815.91530232918</v>
      </c>
      <c r="D29" s="15" t="n">
        <f aca="false">C29*(1+IF(D$27&lt;=Inputs!$C$46,$B29,$B29-($B29-Inputs!$C$37)*MIN(D$27-Inputs!$C$46,Inputs!$C$47)/Inputs!$C$47))</f>
        <v>7213.77351064053</v>
      </c>
      <c r="E29" s="15" t="n">
        <f aca="false">D29*(1+IF(E$27&lt;=Inputs!$C$46,$B29,$B29-($B29-Inputs!$C$37)*MIN(E$27-Inputs!$C$46,Inputs!$C$47)/Inputs!$C$47))</f>
        <v>7634.85547495522</v>
      </c>
      <c r="F29" s="15" t="n">
        <f aca="false">E29*(1+IF(F$27&lt;=Inputs!$C$46,$B29,$B29-($B29-Inputs!$C$37)*MIN(F$27-Inputs!$C$46,Inputs!$C$47)/Inputs!$C$47))</f>
        <v>8080.51681099674</v>
      </c>
      <c r="G29" s="15" t="n">
        <f aca="false">F29*(1+IF(G$27&lt;=Inputs!$C$46,$B29,$B29-($B29-Inputs!$C$37)*MIN(G$27-Inputs!$C$46,Inputs!$C$47)/Inputs!$C$47))</f>
        <v>8552.19226441007</v>
      </c>
      <c r="H29" s="15" t="n">
        <f aca="false">G29*(1+IF(H$27&lt;=Inputs!$C$46,$B29,$B29-($B29-Inputs!$C$37)*MIN(H$27-Inputs!$C$46,Inputs!$C$47)/Inputs!$C$47))</f>
        <v>8999.96412488165</v>
      </c>
      <c r="I29" s="15" t="n">
        <f aca="false">H29*(1+IF(I$27&lt;=Inputs!$C$46,$B29,$B29-($B29-Inputs!$C$37)*MIN(I$27-Inputs!$C$46,Inputs!$C$47)/Inputs!$C$47))</f>
        <v>9417.05094563462</v>
      </c>
      <c r="J29" s="15" t="n">
        <f aca="false">I29*(1+IF(J$27&lt;=Inputs!$C$46,$B29,$B29-($B29-Inputs!$C$37)*MIN(J$27-Inputs!$C$46,Inputs!$C$47)/Inputs!$C$47))</f>
        <v>9796.82908890749</v>
      </c>
      <c r="K29" s="15" t="n">
        <f aca="false">J29*(1+IF(K$27&lt;=Inputs!$C$46,$B29,$B29-($B29-Inputs!$C$37)*MIN(K$27-Inputs!$C$46,Inputs!$C$47)/Inputs!$C$47))</f>
        <v>10133.0012860898</v>
      </c>
      <c r="L29" s="15" t="n">
        <f aca="false">K29*(1+IF(L$27&lt;=Inputs!$C$46,$B29,$B29-($B29-Inputs!$C$37)*MIN(L$27-Inputs!$C$46,Inputs!$C$47)/Inputs!$C$47))</f>
        <v>10419.7652224861</v>
      </c>
    </row>
    <row r="30" customFormat="false" ht="15" hidden="false" customHeight="false" outlineLevel="0" collapsed="false">
      <c r="B30" s="23" t="n">
        <f aca="false">E$18</f>
        <v>0.078371941355462</v>
      </c>
      <c r="C30" s="15" t="n">
        <f aca="false">Inputs!$C$12*(1+IF(C$27&lt;=Inputs!$C$46,$B30,$B30-($B30-Inputs!$C$37)*MIN(C$27-Inputs!$C$46,Inputs!$C$47)/Inputs!$C$47))</f>
        <v>6944.71530232918</v>
      </c>
      <c r="D30" s="15" t="n">
        <f aca="false">C30*(1+IF(D$27&lt;=Inputs!$C$46,$B30,$B30-($B30-Inputs!$C$37)*MIN(D$27-Inputs!$C$46,Inputs!$C$47)/Inputs!$C$47))</f>
        <v>7488.9861227337</v>
      </c>
      <c r="E30" s="15" t="n">
        <f aca="false">D30*(1+IF(E$27&lt;=Inputs!$C$46,$B30,$B30-($B30-Inputs!$C$37)*MIN(E$27-Inputs!$C$46,Inputs!$C$47)/Inputs!$C$47))</f>
        <v>8075.91250395645</v>
      </c>
      <c r="F30" s="15" t="n">
        <f aca="false">E30*(1+IF(F$27&lt;=Inputs!$C$46,$B30,$B30-($B30-Inputs!$C$37)*MIN(F$27-Inputs!$C$46,Inputs!$C$47)/Inputs!$C$47))</f>
        <v>8708.83744510837</v>
      </c>
      <c r="G30" s="15" t="n">
        <f aca="false">F30*(1+IF(G$27&lt;=Inputs!$C$46,$B30,$B30-($B30-Inputs!$C$37)*MIN(G$27-Inputs!$C$46,Inputs!$C$47)/Inputs!$C$47))</f>
        <v>9391.36594263065</v>
      </c>
      <c r="H30" s="15" t="n">
        <f aca="false">G30*(1+IF(H$27&lt;=Inputs!$C$46,$B30,$B30-($B30-Inputs!$C$37)*MIN(H$27-Inputs!$C$46,Inputs!$C$47)/Inputs!$C$47))</f>
        <v>10033.3367385888</v>
      </c>
      <c r="I30" s="15" t="n">
        <f aca="false">H30*(1+IF(I$27&lt;=Inputs!$C$46,$B30,$B30-($B30-Inputs!$C$37)*MIN(I$27-Inputs!$C$46,Inputs!$C$47)/Inputs!$C$47))</f>
        <v>10618.7133575554</v>
      </c>
      <c r="J30" s="15" t="n">
        <f aca="false">I30*(1+IF(J$27&lt;=Inputs!$C$46,$B30,$B30-($B30-Inputs!$C$37)*MIN(J$27-Inputs!$C$46,Inputs!$C$47)/Inputs!$C$47))</f>
        <v>11131.9027825782</v>
      </c>
      <c r="K30" s="15" t="n">
        <f aca="false">J30*(1+IF(K$27&lt;=Inputs!$C$46,$B30,$B30-($B30-Inputs!$C$37)*MIN(K$27-Inputs!$C$46,Inputs!$C$47)/Inputs!$C$47))</f>
        <v>11558.4148279859</v>
      </c>
      <c r="L30" s="15" t="n">
        <f aca="false">K30*(1+IF(L$27&lt;=Inputs!$C$46,$B30,$B30-($B30-Inputs!$C$37)*MIN(L$27-Inputs!$C$46,Inputs!$C$47)/Inputs!$C$47))</f>
        <v>11885.5179676179</v>
      </c>
    </row>
    <row r="31" customFormat="false" ht="15" hidden="false" customHeight="false" outlineLevel="0" collapsed="false">
      <c r="B31" s="23" t="n">
        <f aca="false">F$18</f>
        <v>0.098371941355462</v>
      </c>
      <c r="C31" s="15" t="n">
        <f aca="false">Inputs!$C$12*(1+IF(C$27&lt;=Inputs!$C$46,$B31,$B31-($B31-Inputs!$C$37)*MIN(C$27-Inputs!$C$46,Inputs!$C$47)/Inputs!$C$47))</f>
        <v>7073.51530232918</v>
      </c>
      <c r="D31" s="15" t="n">
        <f aca="false">C31*(1+IF(D$27&lt;=Inputs!$C$46,$B31,$B31-($B31-Inputs!$C$37)*MIN(D$27-Inputs!$C$46,Inputs!$C$47)/Inputs!$C$47))</f>
        <v>7769.35073482686</v>
      </c>
      <c r="E31" s="15" t="n">
        <f aca="false">D31*(1+IF(E$27&lt;=Inputs!$C$46,$B31,$B31-($B31-Inputs!$C$37)*MIN(E$27-Inputs!$C$46,Inputs!$C$47)/Inputs!$C$47))</f>
        <v>8533.63684968327</v>
      </c>
      <c r="F31" s="15" t="n">
        <f aca="false">E31*(1+IF(F$27&lt;=Inputs!$C$46,$B31,$B31-($B31-Inputs!$C$37)*MIN(F$27-Inputs!$C$46,Inputs!$C$47)/Inputs!$C$47))</f>
        <v>9373.10727340912</v>
      </c>
      <c r="G31" s="15" t="n">
        <f aca="false">F31*(1+IF(G$27&lt;=Inputs!$C$46,$B31,$B31-($B31-Inputs!$C$37)*MIN(G$27-Inputs!$C$46,Inputs!$C$47)/Inputs!$C$47))</f>
        <v>10295.1580324274</v>
      </c>
      <c r="H31" s="15" t="n">
        <f aca="false">G31*(1+IF(H$27&lt;=Inputs!$C$46,$B31,$B31-($B31-Inputs!$C$37)*MIN(H$27-Inputs!$C$46,Inputs!$C$47)/Inputs!$C$47))</f>
        <v>11163.6323726598</v>
      </c>
      <c r="I31" s="15" t="n">
        <f aca="false">H31*(1+IF(I$27&lt;=Inputs!$C$46,$B31,$B31-($B31-Inputs!$C$37)*MIN(I$27-Inputs!$C$46,Inputs!$C$47)/Inputs!$C$47))</f>
        <v>11948.9176045647</v>
      </c>
      <c r="J31" s="15" t="n">
        <f aca="false">I31*(1+IF(J$27&lt;=Inputs!$C$46,$B31,$B31-($B31-Inputs!$C$37)*MIN(J$27-Inputs!$C$46,Inputs!$C$47)/Inputs!$C$47))</f>
        <v>12621.9855142332</v>
      </c>
      <c r="K31" s="15" t="n">
        <f aca="false">J31*(1+IF(K$27&lt;=Inputs!$C$46,$B31,$B31-($B31-Inputs!$C$37)*MIN(K$27-Inputs!$C$46,Inputs!$C$47)/Inputs!$C$47))</f>
        <v>13156.0771100346</v>
      </c>
      <c r="L31" s="15" t="n">
        <f aca="false">K31*(1+IF(L$27&lt;=Inputs!$C$46,$B31,$B31-($B31-Inputs!$C$37)*MIN(L$27-Inputs!$C$46,Inputs!$C$47)/Inputs!$C$47))</f>
        <v>13528.3940922485</v>
      </c>
    </row>
    <row r="32" customFormat="false" ht="15" hidden="false" customHeight="false" outlineLevel="0" collapsed="false">
      <c r="B32" s="23" t="n">
        <f aca="false">G$18</f>
        <v>0.118371941355462</v>
      </c>
      <c r="C32" s="15" t="n">
        <f aca="false">Inputs!$C$12*(1+IF(C$27&lt;=Inputs!$C$46,$B32,$B32-($B32-Inputs!$C$37)*MIN(C$27-Inputs!$C$46,Inputs!$C$47)/Inputs!$C$47))</f>
        <v>7202.31530232918</v>
      </c>
      <c r="D32" s="15" t="n">
        <f aca="false">C32*(1+IF(D$27&lt;=Inputs!$C$46,$B32,$B32-($B32-Inputs!$C$37)*MIN(D$27-Inputs!$C$46,Inputs!$C$47)/Inputs!$C$47))</f>
        <v>8054.86734692003</v>
      </c>
      <c r="E32" s="15" t="n">
        <f aca="false">D32*(1+IF(E$27&lt;=Inputs!$C$46,$B32,$B32-($B32-Inputs!$C$37)*MIN(E$27-Inputs!$C$46,Inputs!$C$47)/Inputs!$C$47))</f>
        <v>9008.33763213568</v>
      </c>
      <c r="F32" s="15" t="n">
        <f aca="false">E32*(1+IF(F$27&lt;=Inputs!$C$46,$B32,$B32-($B32-Inputs!$C$37)*MIN(F$27-Inputs!$C$46,Inputs!$C$47)/Inputs!$C$47))</f>
        <v>10074.672046037</v>
      </c>
      <c r="G32" s="15" t="n">
        <f aca="false">F32*(1+IF(G$27&lt;=Inputs!$C$46,$B32,$B32-($B32-Inputs!$C$37)*MIN(G$27-Inputs!$C$46,Inputs!$C$47)/Inputs!$C$47))</f>
        <v>11267.2305346461</v>
      </c>
      <c r="H32" s="15" t="n">
        <f aca="false">G32*(1+IF(H$27&lt;=Inputs!$C$46,$B32,$B32-($B32-Inputs!$C$37)*MIN(H$27-Inputs!$C$46,Inputs!$C$47)/Inputs!$C$47))</f>
        <v>12397.9822211406</v>
      </c>
      <c r="I32" s="15" t="n">
        <f aca="false">H32*(1+IF(I$27&lt;=Inputs!$C$46,$B32,$B32-($B32-Inputs!$C$37)*MIN(I$27-Inputs!$C$46,Inputs!$C$47)/Inputs!$C$47))</f>
        <v>13418.8713145281</v>
      </c>
      <c r="J32" s="15" t="n">
        <f aca="false">I32*(1+IF(J$27&lt;=Inputs!$C$46,$B32,$B32-($B32-Inputs!$C$37)*MIN(J$27-Inputs!$C$46,Inputs!$C$47)/Inputs!$C$47))</f>
        <v>14282.0908887687</v>
      </c>
      <c r="K32" s="15" t="n">
        <f aca="false">J32*(1+IF(K$27&lt;=Inputs!$C$46,$B32,$B32-($B32-Inputs!$C$37)*MIN(K$27-Inputs!$C$46,Inputs!$C$47)/Inputs!$C$47))</f>
        <v>14943.5571915142</v>
      </c>
      <c r="L32" s="15" t="n">
        <f aca="false">K32*(1+IF(L$27&lt;=Inputs!$C$46,$B32,$B32-($B32-Inputs!$C$37)*MIN(L$27-Inputs!$C$46,Inputs!$C$47)/Inputs!$C$47))</f>
        <v>15366.459860034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8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B2:G16"/>
  <sheetViews>
    <sheetView showFormulas="false" showGridLines="fals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2"/>
    <col collapsed="false" customWidth="true" hidden="false" outlineLevel="0" max="2" min="2" style="0" width="46"/>
    <col collapsed="false" customWidth="true" hidden="false" outlineLevel="0" max="4" min="3" style="0" width="16"/>
    <col collapsed="false" customWidth="true" hidden="false" outlineLevel="0" max="5" min="5" style="0" width="14"/>
    <col collapsed="false" customWidth="true" hidden="false" outlineLevel="0" max="6" min="6" style="0" width="10"/>
    <col collapsed="false" customWidth="true" hidden="false" outlineLevel="0" max="7" min="7" style="0" width="50"/>
  </cols>
  <sheetData>
    <row r="2" customFormat="false" ht="19.7" hidden="false" customHeight="false" outlineLevel="0" collapsed="false">
      <c r="B2" s="1" t="s">
        <v>234</v>
      </c>
    </row>
    <row r="3" customFormat="false" ht="15" hidden="false" customHeight="false" outlineLevel="0" collapsed="false">
      <c r="B3" s="2" t="s">
        <v>235</v>
      </c>
    </row>
    <row r="5" customFormat="false" ht="15" hidden="false" customHeight="false" outlineLevel="0" collapsed="false">
      <c r="B5" s="28" t="s">
        <v>236</v>
      </c>
      <c r="C5" s="28" t="s">
        <v>237</v>
      </c>
      <c r="D5" s="28" t="s">
        <v>238</v>
      </c>
      <c r="E5" s="28" t="s">
        <v>239</v>
      </c>
      <c r="F5" s="28" t="s">
        <v>240</v>
      </c>
    </row>
    <row r="6" customFormat="false" ht="15" hidden="false" customHeight="false" outlineLevel="0" collapsed="false">
      <c r="B6" s="5" t="s">
        <v>13</v>
      </c>
      <c r="C6" s="12" t="n">
        <f aca="false">Inputs!$C$23</f>
        <v>0.200205745341615</v>
      </c>
      <c r="D6" s="24" t="n">
        <v>0.20020575</v>
      </c>
      <c r="E6" s="49" t="n">
        <f aca="false">C6-D6</f>
        <v>-4.65838506658045E-009</v>
      </c>
      <c r="F6" s="5" t="str">
        <f aca="false">IF(ABS(E6)&lt;=0.00005,"Pass","Check")</f>
        <v>Pass</v>
      </c>
    </row>
    <row r="7" customFormat="false" ht="15" hidden="false" customHeight="false" outlineLevel="0" collapsed="false">
      <c r="B7" s="5" t="s">
        <v>130</v>
      </c>
      <c r="C7" s="50" t="n">
        <f aca="false">WACC!$C$10</f>
        <v>1.08492606217581</v>
      </c>
      <c r="D7" s="51" t="n">
        <v>1.08492606</v>
      </c>
      <c r="E7" s="49" t="n">
        <f aca="false">C7-D7</f>
        <v>2.17581019867907E-009</v>
      </c>
      <c r="F7" s="5" t="str">
        <f aca="false">IF(ABS(E7)&lt;=0.0005,"Pass","Check")</f>
        <v>Pass</v>
      </c>
    </row>
    <row r="8" customFormat="false" ht="15" hidden="false" customHeight="false" outlineLevel="0" collapsed="false">
      <c r="B8" s="5" t="s">
        <v>11</v>
      </c>
      <c r="C8" s="12" t="n">
        <f aca="false">WACC!$C$33</f>
        <v>0.0949886567315273</v>
      </c>
      <c r="D8" s="24" t="n">
        <v>0.09498866</v>
      </c>
      <c r="E8" s="49" t="n">
        <f aca="false">C8-D8</f>
        <v>-3.26847271470143E-009</v>
      </c>
      <c r="F8" s="5" t="str">
        <f aca="false">IF(ABS(E8)&lt;=0.00005,"Pass","Check")</f>
        <v>Pass</v>
      </c>
    </row>
    <row r="9" customFormat="false" ht="15" hidden="false" customHeight="false" outlineLevel="0" collapsed="false">
      <c r="B9" s="5" t="s">
        <v>12</v>
      </c>
      <c r="C9" s="12" t="n">
        <f aca="false">Inputs!$C$37</f>
        <v>0.0283</v>
      </c>
      <c r="D9" s="24" t="n">
        <v>0.0283</v>
      </c>
      <c r="E9" s="49" t="n">
        <f aca="false">C9-D9</f>
        <v>0</v>
      </c>
      <c r="F9" s="5" t="str">
        <f aca="false">IF(ABS(E9)&lt;=0.00005,"Pass","Check")</f>
        <v>Pass</v>
      </c>
    </row>
    <row r="10" customFormat="false" ht="15" hidden="false" customHeight="false" outlineLevel="0" collapsed="false">
      <c r="B10" s="5" t="s">
        <v>241</v>
      </c>
      <c r="C10" s="12" t="n">
        <f aca="false">Inputs!$C$43</f>
        <v>0.078371941355462</v>
      </c>
      <c r="D10" s="24" t="n">
        <v>0.07837194</v>
      </c>
      <c r="E10" s="49" t="n">
        <f aca="false">C10-D10</f>
        <v>1.3554620204026E-009</v>
      </c>
      <c r="F10" s="5" t="str">
        <f aca="false">IF(ABS(E10)&lt;=0.00005,"Pass","Check")</f>
        <v>Pass</v>
      </c>
    </row>
    <row r="11" customFormat="false" ht="15" hidden="false" customHeight="false" outlineLevel="0" collapsed="false">
      <c r="B11" s="5" t="s">
        <v>242</v>
      </c>
      <c r="C11" s="12" t="n">
        <f aca="false">Solver!$W$7</f>
        <v>0.0510126700942237</v>
      </c>
      <c r="D11" s="24" t="n">
        <v>0.05101268</v>
      </c>
      <c r="E11" s="49" t="n">
        <f aca="false">C11-D11</f>
        <v>-9.90577627563161E-009</v>
      </c>
      <c r="F11" s="5" t="str">
        <f aca="false">IF(ABS(E11)&lt;=0.00005,"Pass","Check")</f>
        <v>Pass</v>
      </c>
    </row>
    <row r="12" customFormat="false" ht="15" hidden="false" customHeight="false" outlineLevel="0" collapsed="false">
      <c r="B12" s="5" t="s">
        <v>243</v>
      </c>
      <c r="C12" s="12" t="n">
        <f aca="false">Sensitivity!$E$14</f>
        <v>0.0771951973438263</v>
      </c>
      <c r="D12" s="24" t="n">
        <v>0.07719511</v>
      </c>
      <c r="E12" s="49" t="n">
        <f aca="false">C12-D12</f>
        <v>8.73438262966042E-008</v>
      </c>
      <c r="F12" s="5" t="str">
        <f aca="false">IF(ABS(E12)&lt;=0.0002,"Pass","Check")</f>
        <v>Pass</v>
      </c>
    </row>
    <row r="13" customFormat="false" ht="15" hidden="false" customHeight="false" outlineLevel="0" collapsed="false">
      <c r="B13" s="5" t="s">
        <v>244</v>
      </c>
      <c r="C13" s="6" t="n">
        <f aca="false">DCF!$C$41</f>
        <v>178.915872923603</v>
      </c>
      <c r="D13" s="20" t="n">
        <v>178.91587292</v>
      </c>
      <c r="E13" s="49" t="n">
        <f aca="false">C13-D13</f>
        <v>3.60293483936403E-009</v>
      </c>
      <c r="F13" s="5" t="str">
        <f aca="false">IF(ABS(E13)&lt;=0.02,"Pass","Check")</f>
        <v>Pass</v>
      </c>
    </row>
    <row r="14" customFormat="false" ht="15" hidden="false" customHeight="false" outlineLevel="0" collapsed="false">
      <c r="B14" s="5" t="s">
        <v>245</v>
      </c>
      <c r="C14" s="6" t="n">
        <f aca="false">DCF!$C$21-DCF!$C$22</f>
        <v>-6.11862560617738E-010</v>
      </c>
      <c r="D14" s="20" t="n">
        <v>0</v>
      </c>
      <c r="E14" s="49" t="n">
        <f aca="false">C14-D14</f>
        <v>-6.11862560617738E-010</v>
      </c>
      <c r="F14" s="5" t="str">
        <f aca="false">IF(ABS(E14)&lt;=0.01,"Pass","Check")</f>
        <v>Pass</v>
      </c>
      <c r="G14" s="19" t="s">
        <v>246</v>
      </c>
    </row>
    <row r="16" customFormat="false" ht="15" hidden="false" customHeight="false" outlineLevel="0" collapsed="false">
      <c r="B16" s="38" t="s">
        <v>247</v>
      </c>
      <c r="C16" s="7" t="str">
        <f aca="false">IF(COUNTIF(F6:F14,"Pass")=9,"All checks pass","Review")</f>
        <v>All checks pass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LibreOffice/24.2.7.2$Linux_X86_64 LibreOffice_project/420$Build-2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2026-10-14T16:48:52Z</dcterms:created>
  <dc:creator>openpyxl</dc:creator>
  <dc:description/>
  <dc:language>en-US</dc:language>
  <cp:lastModifiedBy/>
  <dcterms:modified xsi:type="dcterms:W3CDTF">2026-10-14T16:48:52Z</dcterms:modified>
  <cp:revision>0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